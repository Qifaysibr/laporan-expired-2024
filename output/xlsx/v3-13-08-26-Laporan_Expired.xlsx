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24"/>
  <sheetViews>
    <sheetView workbookViewId="0">
      <selection activeCell="A1" sqref="A1"/>
    </sheetView>
  </sheetViews>
  <sheetFormatPr baseColWidth="8" defaultRowHeight="15"/>
  <cols>
    <col width="50" customWidth="1" min="1" max="1"/>
    <col width="28" customWidth="1" min="2" max="2"/>
    <col width="16" customWidth="1" min="3" max="3"/>
    <col width="43" customWidth="1" min="4" max="4"/>
    <col width="50" customWidth="1" min="5" max="5"/>
    <col width="18" customWidth="1" min="6" max="6"/>
    <col width="50" customWidth="1" min="7" max="7"/>
    <col width="20" customWidth="1" min="8" max="8"/>
    <col width="28" customWidth="1" min="9" max="9"/>
    <col width="34" customWidth="1" min="10" max="10"/>
    <col width="11" customWidth="1" min="11" max="11"/>
    <col width="18" customWidth="1" min="12" max="12"/>
    <col width="50" customWidth="1" min="13" max="13"/>
    <col width="20" customWidth="1" min="14" max="14"/>
    <col width="4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ADHIKARYA TEKNIK PERKASA</t>
        </is>
      </c>
      <c r="B2" t="inlineStr">
        <is>
          <t>Kota Adm. Jakarta Timur</t>
        </is>
      </c>
      <c r="C2" t="inlineStr">
        <is>
          <t>0214890787</t>
        </is>
      </c>
      <c r="D2" t="inlineStr">
        <is>
          <t>adhikarya_perkasa@yahoo.com</t>
        </is>
      </c>
      <c r="E2" t="inlineStr">
        <is>
          <t>https://lpjk.pu.go.id/search-badan-usaha-detail/bnd2RE9mdkp5UE5QK2NkTk5Yd1J3Zz09</t>
        </is>
      </c>
      <c r="F2" t="n">
        <v>3</v>
      </c>
      <c r="G2" t="inlineStr">
        <is>
          <t>BG001</t>
        </is>
      </c>
      <c r="H2" t="inlineStr">
        <is>
          <t>21 November 2003</t>
        </is>
      </c>
      <c r="I2" s="2" t="n">
        <v>46334</v>
      </c>
      <c r="J2" t="inlineStr">
        <is>
          <t>Disetujui</t>
        </is>
      </c>
      <c r="K2" t="n">
        <v>87</v>
      </c>
      <c r="L2" t="inlineStr">
        <is>
          <t>8 November 2026</t>
        </is>
      </c>
      <c r="M2" t="inlineStr">
        <is>
          <t>Konstruksi Gedung Hunian</t>
        </is>
      </c>
      <c r="N2" t="inlineStr">
        <is>
          <t>M</t>
        </is>
      </c>
      <c r="O2" t="inlineStr">
        <is>
          <t>20231004</t>
        </is>
      </c>
      <c r="P2" t="inlineStr">
        <is>
          <t>DKI Jakarta</t>
        </is>
      </c>
      <c r="Q2" t="inlineStr"/>
    </row>
    <row r="3">
      <c r="A3" t="inlineStr">
        <is>
          <t>ADHYA VALUE UTAMA</t>
        </is>
      </c>
      <c r="B3" t="inlineStr">
        <is>
          <t>Kota Adm. Jakarta Timur</t>
        </is>
      </c>
      <c r="C3" t="inlineStr">
        <is>
          <t>081210108070</t>
        </is>
      </c>
      <c r="D3" t="inlineStr">
        <is>
          <t>adhya.valuetama@gmail.com</t>
        </is>
      </c>
      <c r="E3" t="inlineStr">
        <is>
          <t>https://lpjk.pu.go.id/search-badan-usaha-detail/Z2RVQXd6OW0yMEVtTVpxSjRUeVlnQT09</t>
        </is>
      </c>
      <c r="F3" t="n">
        <v>2</v>
      </c>
      <c r="G3" t="inlineStr">
        <is>
          <t>BG002</t>
        </is>
      </c>
      <c r="H3" t="inlineStr">
        <is>
          <t>6 September 2023</t>
        </is>
      </c>
      <c r="I3" s="2" t="n">
        <v>46334</v>
      </c>
      <c r="J3" t="inlineStr">
        <is>
          <t>Pembekuan</t>
        </is>
      </c>
      <c r="K3" t="n">
        <v>87</v>
      </c>
      <c r="L3" t="inlineStr">
        <is>
          <t>8 November 2026</t>
        </is>
      </c>
      <c r="M3" t="inlineStr">
        <is>
          <t>Konstruksi Gedung Perkantoran</t>
        </is>
      </c>
      <c r="N3" t="inlineStr">
        <is>
          <t>K</t>
        </is>
      </c>
      <c r="O3" t="inlineStr">
        <is>
          <t>20231107</t>
        </is>
      </c>
      <c r="P3" t="inlineStr">
        <is>
          <t>DKI Jakarta</t>
        </is>
      </c>
      <c r="Q3" s="3">
        <f>HYPERLINK("https://wa.me/6281210108070?text=Selamat siang Bapak/Ibu pimpinan ADHYA VALUE UTAMA,%0A%0ASemoga Bapak/Ibu dalam keadaan baik.%0ABerdasarkan data LPJK, masa berlaku SBU perusahaan Bapak/Ibu akan berakhir sekitar 3 bulan lagi (pada 8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AGHITSNA KARYA INDAH</t>
        </is>
      </c>
      <c r="B4" t="inlineStr">
        <is>
          <t>Kota Depok</t>
        </is>
      </c>
      <c r="C4" t="inlineStr">
        <is>
          <t>08129596552</t>
        </is>
      </c>
      <c r="D4" t="inlineStr">
        <is>
          <t>design@aghitnsa.id</t>
        </is>
      </c>
      <c r="E4" t="inlineStr">
        <is>
          <t>https://lpjk.pu.go.id/search-badan-usaha-detail/UUpqOHdaK2Foay9hOHFxQkwyTi8zdz09</t>
        </is>
      </c>
      <c r="F4" t="n">
        <v>4</v>
      </c>
      <c r="G4" t="inlineStr">
        <is>
          <t>BG001, BG004, BG006, BG007</t>
        </is>
      </c>
      <c r="H4" t="inlineStr">
        <is>
          <t>11 Juni 2015</t>
        </is>
      </c>
      <c r="I4" s="2" t="n">
        <v>46340</v>
      </c>
      <c r="J4" t="inlineStr">
        <is>
          <t>Disetujui</t>
        </is>
      </c>
      <c r="K4" t="n">
        <v>87</v>
      </c>
      <c r="L4" t="inlineStr">
        <is>
          <t>14 November 2026</t>
        </is>
      </c>
      <c r="M4" t="inlineStr">
        <is>
          <t>Konstruksi Gedung Hunian, Konstruksi Gedung Pendidikan, Konstruksi Gedung Penginapan, Konstruksi Gedung Perbelanjaan</t>
        </is>
      </c>
      <c r="N4" t="inlineStr">
        <is>
          <t>K</t>
        </is>
      </c>
      <c r="O4" t="inlineStr">
        <is>
          <t>20231110</t>
        </is>
      </c>
      <c r="P4" t="inlineStr">
        <is>
          <t>Jawa Barat</t>
        </is>
      </c>
      <c r="Q4" s="3">
        <f>HYPERLINK("https://wa.me/628129596552?text=Selamat siang Bapak/Ibu pimpinan AGHITSNA KARYA INDAH,%0A%0ASemoga Bapak/Ibu dalam keadaan baik.%0ABerdasarkan data LPJK, masa berlaku SBU perusahaan Bapak/Ibu akan berakhir sekitar 3 bulan lagi (pada 14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BAGJA UTAMA SARIMBIT</t>
        </is>
      </c>
      <c r="B5" t="inlineStr">
        <is>
          <t>Kab. Bogor</t>
        </is>
      </c>
      <c r="C5" t="inlineStr">
        <is>
          <t>081294449960</t>
        </is>
      </c>
      <c r="D5" t="inlineStr">
        <is>
          <t>bagja.sarimbit@gmail.com</t>
        </is>
      </c>
      <c r="E5" t="inlineStr">
        <is>
          <t>https://lpjk.pu.go.id/search-badan-usaha-detail/S0lkeUp3bHlhS0V0UGFXbXY4bW9YUT09</t>
        </is>
      </c>
      <c r="F5" t="n">
        <v>1</v>
      </c>
      <c r="G5" t="inlineStr">
        <is>
          <t>BS004</t>
        </is>
      </c>
      <c r="H5" t="inlineStr">
        <is>
          <t>10 Februari 2022</t>
        </is>
      </c>
      <c r="I5" s="2" t="n">
        <v>46340</v>
      </c>
      <c r="J5" t="inlineStr">
        <is>
          <t>Disetujui</t>
        </is>
      </c>
      <c r="K5" t="n">
        <v>87</v>
      </c>
      <c r="L5" t="inlineStr">
        <is>
          <t>14 November 2026</t>
        </is>
      </c>
      <c r="M5" t="inlineStr">
        <is>
          <t>Konstruksi Jaringan Irigasi dan Drainase</t>
        </is>
      </c>
      <c r="N5" t="inlineStr">
        <is>
          <t>K</t>
        </is>
      </c>
      <c r="O5" t="inlineStr">
        <is>
          <t>20231103</t>
        </is>
      </c>
      <c r="P5" t="inlineStr">
        <is>
          <t>Jawa Barat</t>
        </is>
      </c>
      <c r="Q5" s="3">
        <f>HYPERLINK("https://wa.me/6281294449960?text=Selamat siang Bapak/Ibu pimpinan BAGJA UTAMA SARIMBIT,%0A%0ASemoga Bapak/Ibu dalam keadaan baik.%0ABerdasarkan data LPJK, masa berlaku SBU perusahaan Bapak/Ibu akan berakhir sekitar 3 bulan lagi (pada 14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BANGUN PRASETYA UTAMA</t>
        </is>
      </c>
      <c r="B6" t="inlineStr">
        <is>
          <t>Kab. Bogor</t>
        </is>
      </c>
      <c r="C6" t="inlineStr">
        <is>
          <t>087875285893</t>
        </is>
      </c>
      <c r="D6" t="inlineStr">
        <is>
          <t>bangunprasetyautama22@gmail.com</t>
        </is>
      </c>
      <c r="E6" t="inlineStr">
        <is>
          <t>https://lpjk.pu.go.id/search-badan-usaha-detail/aHo4T3IyVTBLZUFIVzdGQ0RNbXBWZz09</t>
        </is>
      </c>
      <c r="F6" t="n">
        <v>2</v>
      </c>
      <c r="G6" t="inlineStr">
        <is>
          <t>BG003, BG009</t>
        </is>
      </c>
      <c r="H6" t="inlineStr">
        <is>
          <t>22 Januari 2010</t>
        </is>
      </c>
      <c r="I6" s="2" t="n">
        <v>46334</v>
      </c>
      <c r="J6" t="inlineStr">
        <is>
          <t>Disetujui</t>
        </is>
      </c>
      <c r="K6" t="n">
        <v>87</v>
      </c>
      <c r="L6" t="inlineStr">
        <is>
          <t>8 November 2026</t>
        </is>
      </c>
      <c r="M6" t="inlineStr">
        <is>
          <t>Konstruksi Gedung Industri, Konstruksi Gedung Lainnya</t>
        </is>
      </c>
      <c r="N6" t="inlineStr">
        <is>
          <t>K</t>
        </is>
      </c>
      <c r="O6" t="inlineStr">
        <is>
          <t>20231102</t>
        </is>
      </c>
      <c r="P6" t="inlineStr">
        <is>
          <t>Jawa Barat</t>
        </is>
      </c>
      <c r="Q6" s="3">
        <f>HYPERLINK("https://wa.me/6287875285893?text=Selamat siang Bapak/Ibu pimpinan BANGUN PRASETYA UTAMA,%0A%0ASemoga Bapak/Ibu dalam keadaan baik.%0ABerdasarkan data LPJK, masa berlaku SBU perusahaan Bapak/Ibu akan berakhir sekitar 3 bulan lagi (pada 8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CAHAYA BERLIAN</t>
        </is>
      </c>
      <c r="B7" t="inlineStr">
        <is>
          <t>Kab. Bekasi</t>
        </is>
      </c>
      <c r="C7" t="inlineStr">
        <is>
          <t>087777000234</t>
        </is>
      </c>
      <c r="D7" t="inlineStr">
        <is>
          <t>cahaya_berlian@yahoo.com</t>
        </is>
      </c>
      <c r="E7" t="inlineStr">
        <is>
          <t>https://lpjk.pu.go.id/search-badan-usaha-detail/UEFCbU5OK2p3VlIwMk02YjJ0MHVTZz09</t>
        </is>
      </c>
      <c r="F7" t="n">
        <v>1</v>
      </c>
      <c r="G7" t="inlineStr">
        <is>
          <t>BS004</t>
        </is>
      </c>
      <c r="H7" t="inlineStr">
        <is>
          <t>19 Desember 1994</t>
        </is>
      </c>
      <c r="I7" s="2" t="n">
        <v>46334</v>
      </c>
      <c r="J7" t="inlineStr">
        <is>
          <t>Disetujui</t>
        </is>
      </c>
      <c r="K7" t="n">
        <v>87</v>
      </c>
      <c r="L7" t="inlineStr">
        <is>
          <t>8 November 2026</t>
        </is>
      </c>
      <c r="M7" t="inlineStr">
        <is>
          <t>Konstruksi Jaringan Irigasi dan Drainase</t>
        </is>
      </c>
      <c r="N7" t="inlineStr">
        <is>
          <t>K</t>
        </is>
      </c>
      <c r="O7" t="inlineStr">
        <is>
          <t>20231104</t>
        </is>
      </c>
      <c r="P7" t="inlineStr">
        <is>
          <t>Jawa Barat</t>
        </is>
      </c>
      <c r="Q7" s="3">
        <f>HYPERLINK("https://wa.me/6287777000234?text=Selamat siang Bapak/Ibu pimpinan CAHAYA BERLIAN,%0A%0ASemoga Bapak/Ibu dalam keadaan baik.%0ABerdasarkan data LPJK, masa berlaku SBU perusahaan Bapak/Ibu akan berakhir sekitar 3 bulan lagi (pada 8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CAKRA BANGUN SUKSES</t>
        </is>
      </c>
      <c r="B8" t="inlineStr">
        <is>
          <t>Kota Depok</t>
        </is>
      </c>
      <c r="C8" t="inlineStr">
        <is>
          <t>02129519909</t>
        </is>
      </c>
      <c r="D8" t="inlineStr">
        <is>
          <t>cakrabangunsukses@gmail.com</t>
        </is>
      </c>
      <c r="E8" t="inlineStr">
        <is>
          <t>https://lpjk.pu.go.id/search-badan-usaha-detail/VEpwVXVwdlg5b3hRWitTNjBzSEx5Zz09</t>
        </is>
      </c>
      <c r="F8" t="n">
        <v>1</v>
      </c>
      <c r="G8" t="inlineStr">
        <is>
          <t>BG004</t>
        </is>
      </c>
      <c r="H8" t="inlineStr">
        <is>
          <t>18 April 2017</t>
        </is>
      </c>
      <c r="I8" s="2" t="n">
        <v>46335</v>
      </c>
      <c r="J8" t="inlineStr">
        <is>
          <t>Pembekuan</t>
        </is>
      </c>
      <c r="K8" t="n">
        <v>87</v>
      </c>
      <c r="L8" t="inlineStr">
        <is>
          <t>9 November 2026</t>
        </is>
      </c>
      <c r="M8" t="inlineStr">
        <is>
          <t>Konstruksi Gedung Perbelanjaan</t>
        </is>
      </c>
      <c r="N8" t="inlineStr">
        <is>
          <t>M</t>
        </is>
      </c>
      <c r="O8" t="inlineStr">
        <is>
          <t>20231106</t>
        </is>
      </c>
      <c r="P8" t="inlineStr">
        <is>
          <t>Jawa Barat</t>
        </is>
      </c>
      <c r="Q8" t="inlineStr"/>
    </row>
    <row r="9">
      <c r="A9" t="inlineStr">
        <is>
          <t>CAKRA ESA UNGGUL</t>
        </is>
      </c>
      <c r="B9" t="inlineStr">
        <is>
          <t>Kota Depok</t>
        </is>
      </c>
      <c r="C9" t="inlineStr">
        <is>
          <t>085959049044</t>
        </is>
      </c>
      <c r="D9" t="inlineStr">
        <is>
          <t>sales@cakraesa.com</t>
        </is>
      </c>
      <c r="E9" t="inlineStr">
        <is>
          <t>https://lpjk.pu.go.id/search-badan-usaha-detail/ZFovbk1BUWZjdGIrTnFMYnRYZ3NUQT09</t>
        </is>
      </c>
      <c r="F9" t="n">
        <v>1</v>
      </c>
      <c r="G9" t="inlineStr">
        <is>
          <t>BG005</t>
        </is>
      </c>
      <c r="H9" t="inlineStr">
        <is>
          <t>27 Oktober 2023</t>
        </is>
      </c>
      <c r="I9" s="2" t="n">
        <v>46339</v>
      </c>
      <c r="J9" t="inlineStr">
        <is>
          <t>Disetujui</t>
        </is>
      </c>
      <c r="K9" t="n">
        <v>87</v>
      </c>
      <c r="L9" t="inlineStr">
        <is>
          <t>13 November 2026</t>
        </is>
      </c>
      <c r="M9" t="inlineStr">
        <is>
          <t>Konstruksi Gedung Kesehatan</t>
        </is>
      </c>
      <c r="N9" t="inlineStr">
        <is>
          <t>K</t>
        </is>
      </c>
      <c r="O9" t="inlineStr">
        <is>
          <t>20231113</t>
        </is>
      </c>
      <c r="P9" t="inlineStr">
        <is>
          <t>Jawa Barat</t>
        </is>
      </c>
      <c r="Q9" s="3">
        <f>HYPERLINK("https://wa.me/6285959049044?text=Selamat siang Bapak/Ibu pimpinan CAKRA ESA UNGGUL,%0A%0ASemoga Bapak/Ibu dalam keadaan baik.%0ABerdasarkan data LPJK, masa berlaku SBU perusahaan Bapak/Ibu akan berakhir sekitar 3 bulan lagi (pada 13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DHEA MULANA BERKARYA</t>
        </is>
      </c>
      <c r="B10" t="inlineStr">
        <is>
          <t>Kota Bekasi</t>
        </is>
      </c>
      <c r="C10" t="inlineStr">
        <is>
          <t>081384382565</t>
        </is>
      </c>
      <c r="D10" t="inlineStr">
        <is>
          <t>ptdheamulanaberkarya@gmail.com</t>
        </is>
      </c>
      <c r="E10" t="inlineStr">
        <is>
          <t>https://lpjk.pu.go.id/search-badan-usaha-detail/eENKZ0t3RGp3MTNiN3kvakdqY3Uxdz09</t>
        </is>
      </c>
      <c r="F10" t="n">
        <v>8</v>
      </c>
      <c r="G10" t="inlineStr">
        <is>
          <t>BG001, BG005, BG006, BG008, BG009, BS001, BS002, BS004</t>
        </is>
      </c>
      <c r="H10" t="inlineStr">
        <is>
          <t>30 Agustus 2023</t>
        </is>
      </c>
      <c r="I10" s="2" t="n">
        <v>46335</v>
      </c>
      <c r="J10" t="inlineStr">
        <is>
          <t>Disetujui, Pencabutan</t>
        </is>
      </c>
      <c r="K10" t="n">
        <v>87</v>
      </c>
      <c r="L10" t="inlineStr">
        <is>
          <t>9 November 2026</t>
        </is>
      </c>
      <c r="M10" t="inlineStr">
        <is>
          <t>Bangunan Sipil Jembatan, Jalan Layang, Fly Over, dan Underpass, Konstruksi Bangunan Sipil Jalan, Konstruksi Gedung Hunian, Konstruksi Gedung Kesehatan, Konstruksi Gedung Lainnya, Konstruksi Gedung Pendidikan, Konstruksi Gedung Tempat Hiburan dan Olahraga, Konstruksi Jaringan Irigasi dan Drainase</t>
        </is>
      </c>
      <c r="N10" t="inlineStr">
        <is>
          <t>K</t>
        </is>
      </c>
      <c r="O10" t="inlineStr">
        <is>
          <t>20231103, 20231109, 20231110</t>
        </is>
      </c>
      <c r="P10" t="inlineStr">
        <is>
          <t>Jawa Barat</t>
        </is>
      </c>
      <c r="Q10" s="3">
        <f>HYPERLINK("https://wa.me/6281384382565?text=Selamat siang Bapak/Ibu pimpinan DHEA MULANA BERKARYA,%0A%0ASemoga Bapak/Ibu dalam keadaan baik.%0ABerdasarkan data LPJK, masa berlaku SBU perusahaan Bapak/Ibu akan berakhir sekitar 3 bulan lagi (pada 9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1">
      <c r="A11" t="inlineStr">
        <is>
          <t>DURAQUIPT CEMERLANG</t>
        </is>
      </c>
      <c r="B11" t="inlineStr">
        <is>
          <t>Kota Depok</t>
        </is>
      </c>
      <c r="C11" t="inlineStr">
        <is>
          <t>0217535559</t>
        </is>
      </c>
      <c r="D11" t="inlineStr">
        <is>
          <t>ptdqc@ptdqc.com</t>
        </is>
      </c>
      <c r="E11" t="inlineStr">
        <is>
          <t>https://lpjk.pu.go.id/search-badan-usaha-detail/cEtoS3ltVzNsRUNtUVB5bXViM1pyQT09</t>
        </is>
      </c>
      <c r="F11" t="n">
        <v>1</v>
      </c>
      <c r="G11" t="inlineStr">
        <is>
          <t>IN004</t>
        </is>
      </c>
      <c r="H11" t="inlineStr">
        <is>
          <t>14 November 2000</t>
        </is>
      </c>
      <c r="I11" s="2" t="n">
        <v>46336</v>
      </c>
      <c r="J11" t="inlineStr">
        <is>
          <t>Disetujui</t>
        </is>
      </c>
      <c r="K11" t="n">
        <v>87</v>
      </c>
      <c r="L11" t="inlineStr">
        <is>
          <t>10 November 2026</t>
        </is>
      </c>
      <c r="M11" t="inlineStr">
        <is>
          <t>Instalasi Minyak dan Gas</t>
        </is>
      </c>
      <c r="N11" t="inlineStr">
        <is>
          <t>Spesialis</t>
        </is>
      </c>
      <c r="O11" t="inlineStr">
        <is>
          <t>20231102</t>
        </is>
      </c>
      <c r="P11" t="inlineStr">
        <is>
          <t>Jawa Barat</t>
        </is>
      </c>
      <c r="Q11" t="inlineStr"/>
    </row>
    <row r="12">
      <c r="A12" t="inlineStr">
        <is>
          <t>ESHAN PANCA BERSAMA</t>
        </is>
      </c>
      <c r="B12" t="inlineStr">
        <is>
          <t>Kota Bogor</t>
        </is>
      </c>
      <c r="C12" t="inlineStr">
        <is>
          <t>081584847506</t>
        </is>
      </c>
      <c r="D12" t="inlineStr">
        <is>
          <t>pt.eshanpancabersama5@gmail.com</t>
        </is>
      </c>
      <c r="E12" t="inlineStr">
        <is>
          <t>https://lpjk.pu.go.id/search-badan-usaha-detail/SjJiTFVjZkU5LzdpVGRmUFVrWXBvdz09</t>
        </is>
      </c>
      <c r="F12" t="n">
        <v>2</v>
      </c>
      <c r="G12" t="inlineStr">
        <is>
          <t>BG009</t>
        </is>
      </c>
      <c r="H12" t="inlineStr">
        <is>
          <t>10 Februari 2017</t>
        </is>
      </c>
      <c r="I12" s="2" t="n">
        <v>46339</v>
      </c>
      <c r="J12" t="inlineStr">
        <is>
          <t>Disetujui</t>
        </is>
      </c>
      <c r="K12" t="n">
        <v>87</v>
      </c>
      <c r="L12" t="inlineStr">
        <is>
          <t>13 November 2026</t>
        </is>
      </c>
      <c r="M12" t="inlineStr">
        <is>
          <t>Konstruksi Gedung Lainnya</t>
        </is>
      </c>
      <c r="N12" t="inlineStr">
        <is>
          <t>K</t>
        </is>
      </c>
      <c r="O12" t="inlineStr">
        <is>
          <t>20231109</t>
        </is>
      </c>
      <c r="P12" t="inlineStr">
        <is>
          <t>Jawa Barat</t>
        </is>
      </c>
      <c r="Q12" s="3">
        <f>HYPERLINK("https://wa.me/6281584847506?text=Selamat siang Bapak/Ibu pimpinan ESHAN PANCA BERSAMA,%0A%0ASemoga Bapak/Ibu dalam keadaan baik.%0ABerdasarkan data LPJK, masa berlaku SBU perusahaan Bapak/Ibu akan berakhir sekitar 3 bulan lagi (pada 13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3">
      <c r="A13" t="inlineStr">
        <is>
          <t>GABE TAMA KARYA</t>
        </is>
      </c>
      <c r="B13" t="inlineStr">
        <is>
          <t>Kota Adm. Jakarta Timur</t>
        </is>
      </c>
      <c r="C13" t="inlineStr">
        <is>
          <t>02122876388</t>
        </is>
      </c>
      <c r="D13" t="inlineStr">
        <is>
          <t>gabetamakarya@yahoo.com</t>
        </is>
      </c>
      <c r="E13" t="inlineStr">
        <is>
          <t>https://lpjk.pu.go.id/search-badan-usaha-detail/T3Jxd1JYYnY0TnJRK0xFaWtPNW01dz09</t>
        </is>
      </c>
      <c r="F13" t="n">
        <v>5</v>
      </c>
      <c r="G13" t="inlineStr">
        <is>
          <t>BG001, BG002, BG005, BG006, BG009</t>
        </is>
      </c>
      <c r="H13" t="inlineStr">
        <is>
          <t>26 September 2023</t>
        </is>
      </c>
      <c r="I13" s="2" t="n">
        <v>46339</v>
      </c>
      <c r="J13" t="inlineStr">
        <is>
          <t>Disetujui</t>
        </is>
      </c>
      <c r="K13" t="n">
        <v>87</v>
      </c>
      <c r="L13" t="inlineStr">
        <is>
          <t>13 November 2026</t>
        </is>
      </c>
      <c r="M13" t="inlineStr">
        <is>
          <t>Konstruksi Gedung Hunian, Konstruksi Gedung Kesehatan, Konstruksi Gedung Lainnya, Konstruksi Gedung Pendidikan, Konstruksi Gedung Perkantoran</t>
        </is>
      </c>
      <c r="N13" t="inlineStr">
        <is>
          <t>K</t>
        </is>
      </c>
      <c r="O13" t="inlineStr">
        <is>
          <t>20231106, 20231113</t>
        </is>
      </c>
      <c r="P13" t="inlineStr">
        <is>
          <t>DKI Jakarta</t>
        </is>
      </c>
      <c r="Q13" t="inlineStr"/>
    </row>
    <row r="14">
      <c r="A14" t="inlineStr">
        <is>
          <t>GENTA BERKARYA</t>
        </is>
      </c>
      <c r="B14" t="inlineStr">
        <is>
          <t>Kota Adm. Jakarta Timur</t>
        </is>
      </c>
      <c r="C14" t="inlineStr">
        <is>
          <t>02184598303</t>
        </is>
      </c>
      <c r="D14" t="inlineStr">
        <is>
          <t>berkarya_genta@yahoo.com</t>
        </is>
      </c>
      <c r="E14" t="inlineStr">
        <is>
          <t>https://lpjk.pu.go.id/search-badan-usaha-detail/T2phOE4rTFBqNDk3L21mYVFyeURYQT09</t>
        </is>
      </c>
      <c r="F14" t="n">
        <v>1</v>
      </c>
      <c r="G14" t="inlineStr">
        <is>
          <t>BS001</t>
        </is>
      </c>
      <c r="H14" t="inlineStr">
        <is>
          <t>14 November 2001</t>
        </is>
      </c>
      <c r="I14" s="2" t="n">
        <v>46338</v>
      </c>
      <c r="J14" t="inlineStr">
        <is>
          <t>Disetujui</t>
        </is>
      </c>
      <c r="K14" t="n">
        <v>87</v>
      </c>
      <c r="L14" t="inlineStr">
        <is>
          <t>12 November 2026</t>
        </is>
      </c>
      <c r="M14" t="inlineStr">
        <is>
          <t>Konstruksi Bangunan Sipil Jalan</t>
        </is>
      </c>
      <c r="N14" t="inlineStr">
        <is>
          <t>K</t>
        </is>
      </c>
      <c r="O14" t="inlineStr">
        <is>
          <t>20231113</t>
        </is>
      </c>
      <c r="P14" t="inlineStr">
        <is>
          <t>DKI Jakarta</t>
        </is>
      </c>
      <c r="Q14" t="inlineStr"/>
    </row>
    <row r="15">
      <c r="A15" t="inlineStr">
        <is>
          <t>GRAHA AVACIA SUKSES</t>
        </is>
      </c>
      <c r="B15" t="inlineStr">
        <is>
          <t>Kota Bekasi</t>
        </is>
      </c>
      <c r="C15" t="inlineStr">
        <is>
          <t>081283755353</t>
        </is>
      </c>
      <c r="D15" t="inlineStr">
        <is>
          <t>dennytri5na@yahoo.com</t>
        </is>
      </c>
      <c r="E15" t="inlineStr">
        <is>
          <t>https://lpjk.pu.go.id/search-badan-usaha-detail/a0JHTko2M2FLY0ltdDh2d0lqWDhBZz09</t>
        </is>
      </c>
      <c r="F15" t="n">
        <v>1</v>
      </c>
      <c r="G15" t="inlineStr">
        <is>
          <t>BG001</t>
        </is>
      </c>
      <c r="H15" t="inlineStr">
        <is>
          <t>1 Maret 2023</t>
        </is>
      </c>
      <c r="I15" s="2" t="n">
        <v>46335</v>
      </c>
      <c r="J15" t="inlineStr">
        <is>
          <t>Disetujui</t>
        </is>
      </c>
      <c r="K15" t="n">
        <v>87</v>
      </c>
      <c r="L15" t="inlineStr">
        <is>
          <t>9 November 2026</t>
        </is>
      </c>
      <c r="M15" t="inlineStr">
        <is>
          <t>Konstruksi Gedung Hunian</t>
        </is>
      </c>
      <c r="N15" t="inlineStr">
        <is>
          <t>K</t>
        </is>
      </c>
      <c r="O15" t="inlineStr">
        <is>
          <t>20231109</t>
        </is>
      </c>
      <c r="P15" t="inlineStr">
        <is>
          <t>Jawa Barat</t>
        </is>
      </c>
      <c r="Q15" s="3">
        <f>HYPERLINK("https://wa.me/6281283755353?text=Selamat siang Bapak/Ibu pimpinan GRAHA AVACIA SUKSES,%0A%0ASemoga Bapak/Ibu dalam keadaan baik.%0ABerdasarkan data LPJK, masa berlaku SBU perusahaan Bapak/Ibu akan berakhir sekitar 3 bulan lagi (pada 9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6">
      <c r="A16" t="inlineStr">
        <is>
          <t>HADERA UTAMA TEKNIK</t>
        </is>
      </c>
      <c r="B16" t="inlineStr">
        <is>
          <t>Kota Bogor</t>
        </is>
      </c>
      <c r="C16" t="inlineStr">
        <is>
          <t>02518324339</t>
        </is>
      </c>
      <c r="D16" t="inlineStr">
        <is>
          <t>haderautamateknik@yahoo.com</t>
        </is>
      </c>
      <c r="E16" t="inlineStr">
        <is>
          <t>https://lpjk.pu.go.id/search-badan-usaha-detail/aUpxbHJVdjg0SCtWNDNPaFA2ZEtPdz09</t>
        </is>
      </c>
      <c r="F16" t="n">
        <v>2</v>
      </c>
      <c r="G16" t="inlineStr">
        <is>
          <t>BG009</t>
        </is>
      </c>
      <c r="H16" t="inlineStr">
        <is>
          <t>8 Desember 2014</t>
        </is>
      </c>
      <c r="I16" s="2" t="n">
        <v>46340</v>
      </c>
      <c r="J16" t="inlineStr">
        <is>
          <t>Pembekuan</t>
        </is>
      </c>
      <c r="K16" t="n">
        <v>87</v>
      </c>
      <c r="L16" t="inlineStr">
        <is>
          <t>14 November 2026</t>
        </is>
      </c>
      <c r="M16" t="inlineStr">
        <is>
          <t>Konstruksi Gedung Lainnya</t>
        </is>
      </c>
      <c r="N16" t="inlineStr">
        <is>
          <t>M</t>
        </is>
      </c>
      <c r="O16" t="inlineStr">
        <is>
          <t>20231009</t>
        </is>
      </c>
      <c r="P16" t="inlineStr">
        <is>
          <t>Jawa Barat</t>
        </is>
      </c>
      <c r="Q16" s="3">
        <f>HYPERLINK("https://wa.me/622518324339?text=Selamat siang Bapak/Ibu pimpinan HADERA UTAMA TEKNIK,%0A%0ASemoga Bapak/Ibu dalam keadaan baik.%0ABerdasarkan data LPJK, masa berlaku SBU perusahaan Bapak/Ibu akan berakhir sekitar 3 bulan lagi (pada 14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7">
      <c r="A17" t="inlineStr">
        <is>
          <t>HOSAN INDO UTAMA</t>
        </is>
      </c>
      <c r="B17" t="inlineStr">
        <is>
          <t>Kota Bekasi</t>
        </is>
      </c>
      <c r="C17" t="inlineStr">
        <is>
          <t>08151813341</t>
        </is>
      </c>
      <c r="D17" t="inlineStr">
        <is>
          <t>hosanindoutama@gmail.com</t>
        </is>
      </c>
      <c r="E17" t="inlineStr">
        <is>
          <t>https://lpjk.pu.go.id/search-badan-usaha-detail/ZG1oNmVVTDd5NFhpc0tUYnRaV2EwZz09</t>
        </is>
      </c>
      <c r="F17" t="n">
        <v>3</v>
      </c>
      <c r="G17" t="inlineStr">
        <is>
          <t>BG002, BG003, BS001</t>
        </is>
      </c>
      <c r="H17" t="inlineStr">
        <is>
          <t>26 Mei 2023</t>
        </is>
      </c>
      <c r="I17" s="2" t="n">
        <v>46335</v>
      </c>
      <c r="J17" t="inlineStr">
        <is>
          <t>Disetujui</t>
        </is>
      </c>
      <c r="K17" t="n">
        <v>87</v>
      </c>
      <c r="L17" t="inlineStr">
        <is>
          <t>9 November 2026</t>
        </is>
      </c>
      <c r="M17" t="inlineStr">
        <is>
          <t>Konstruksi Bangunan Sipil Jalan, Konstruksi Gedung Industri, Konstruksi Gedung Perkantoran</t>
        </is>
      </c>
      <c r="N17" t="inlineStr">
        <is>
          <t>K</t>
        </is>
      </c>
      <c r="O17" t="inlineStr">
        <is>
          <t>20230927, 20231102</t>
        </is>
      </c>
      <c r="P17" t="inlineStr">
        <is>
          <t>Jawa Barat</t>
        </is>
      </c>
      <c r="Q17" s="3">
        <f>HYPERLINK("https://wa.me/628151813341?text=Selamat siang Bapak/Ibu pimpinan HOSAN INDO UTAMA,%0A%0ASemoga Bapak/Ibu dalam keadaan baik.%0ABerdasarkan data LPJK, masa berlaku SBU perusahaan Bapak/Ibu akan berakhir sekitar 3 bulan lagi (pada 9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8">
      <c r="A18" t="inlineStr">
        <is>
          <t>INDOBAKTI PRIMA KARYA</t>
        </is>
      </c>
      <c r="B18" t="inlineStr">
        <is>
          <t>Kota Adm. Jakarta Timur</t>
        </is>
      </c>
      <c r="C18" t="inlineStr">
        <is>
          <t>02189237980</t>
        </is>
      </c>
      <c r="D18" t="inlineStr">
        <is>
          <t>indobaktiprimakarya019@gmail.com</t>
        </is>
      </c>
      <c r="E18" t="inlineStr">
        <is>
          <t>https://lpjk.pu.go.id/search-badan-usaha-detail/bk9DeGh0dU9YQkUxaE8wemtQVytEQT09</t>
        </is>
      </c>
      <c r="F18" t="n">
        <v>5</v>
      </c>
      <c r="G18" t="inlineStr">
        <is>
          <t>BG001, BG002, BG005, BG006, BG009</t>
        </is>
      </c>
      <c r="H18" t="inlineStr">
        <is>
          <t>10 Oktober 2022</t>
        </is>
      </c>
      <c r="I18" s="2" t="n">
        <v>46335</v>
      </c>
      <c r="J18" t="inlineStr">
        <is>
          <t>Pencabutan</t>
        </is>
      </c>
      <c r="K18" t="n">
        <v>87</v>
      </c>
      <c r="L18" t="inlineStr">
        <is>
          <t>9 November 2026</t>
        </is>
      </c>
      <c r="M18" t="inlineStr">
        <is>
          <t>Konstruksi Gedung Hunian, Konstruksi Gedung Kesehatan, Konstruksi Gedung Lainnya, Konstruksi Gedung Pendidikan, Konstruksi Gedung Perkantoran</t>
        </is>
      </c>
      <c r="N18" t="inlineStr">
        <is>
          <t>K</t>
        </is>
      </c>
      <c r="O18" t="inlineStr">
        <is>
          <t>20231024</t>
        </is>
      </c>
      <c r="P18" t="inlineStr">
        <is>
          <t>DKI Jakarta</t>
        </is>
      </c>
      <c r="Q18" t="inlineStr"/>
    </row>
    <row r="19">
      <c r="A19" t="inlineStr">
        <is>
          <t>JAKARTA PRIMA UTAMA</t>
        </is>
      </c>
      <c r="B19" t="inlineStr">
        <is>
          <t>Kab. Bogor</t>
        </is>
      </c>
      <c r="C19" t="inlineStr">
        <is>
          <t>08129979224</t>
        </is>
      </c>
      <c r="D19" t="inlineStr">
        <is>
          <t>jpucontractor@gmail.com</t>
        </is>
      </c>
      <c r="E19" t="inlineStr">
        <is>
          <t>https://lpjk.pu.go.id/search-badan-usaha-detail/TUdiRFl4SzlLY0ZxNm5ka3pHNUdmdz09</t>
        </is>
      </c>
      <c r="F19" t="n">
        <v>2</v>
      </c>
      <c r="G19" t="inlineStr">
        <is>
          <t>BG003</t>
        </is>
      </c>
      <c r="H19" t="inlineStr">
        <is>
          <t>11 Oktober 2010</t>
        </is>
      </c>
      <c r="I19" s="2" t="n">
        <v>46334</v>
      </c>
      <c r="J19" t="inlineStr">
        <is>
          <t>Disetujui</t>
        </is>
      </c>
      <c r="K19" t="n">
        <v>87</v>
      </c>
      <c r="L19" t="inlineStr">
        <is>
          <t>8 November 2026</t>
        </is>
      </c>
      <c r="M19" t="inlineStr">
        <is>
          <t>Konstruksi Gedung Industri</t>
        </is>
      </c>
      <c r="N19" t="inlineStr">
        <is>
          <t>K</t>
        </is>
      </c>
      <c r="O19" t="inlineStr">
        <is>
          <t>20231102</t>
        </is>
      </c>
      <c r="P19" t="inlineStr">
        <is>
          <t>Jawa Barat</t>
        </is>
      </c>
      <c r="Q19" s="3">
        <f>HYPERLINK("https://wa.me/628129979224?text=Selamat siang Bapak/Ibu pimpinan JAKARTA PRIMA UTAMA,%0A%0ASemoga Bapak/Ibu dalam keadaan baik.%0ABerdasarkan data LPJK, masa berlaku SBU perusahaan Bapak/Ibu akan berakhir sekitar 3 bulan lagi (pada 8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20">
      <c r="A20" t="inlineStr">
        <is>
          <t>KARYA CIPTA INDUSTRI</t>
        </is>
      </c>
      <c r="B20" t="inlineStr">
        <is>
          <t>Kab. Bekasi</t>
        </is>
      </c>
      <c r="C20" t="inlineStr">
        <is>
          <t>0817567855</t>
        </is>
      </c>
      <c r="D20" t="inlineStr">
        <is>
          <t>industriars.design@gmail.com</t>
        </is>
      </c>
      <c r="E20" t="inlineStr">
        <is>
          <t>https://lpjk.pu.go.id/search-badan-usaha-detail/bTRDZHhQKy82cjRKdFZ3eTNvRmNQUT09</t>
        </is>
      </c>
      <c r="F20" t="n">
        <v>2</v>
      </c>
      <c r="G20" t="inlineStr">
        <is>
          <t>BG001, BG009</t>
        </is>
      </c>
      <c r="H20" t="inlineStr">
        <is>
          <t>14 Juni 2023</t>
        </is>
      </c>
      <c r="I20" s="2" t="n">
        <v>46338</v>
      </c>
      <c r="J20" t="inlineStr">
        <is>
          <t>Disetujui</t>
        </is>
      </c>
      <c r="K20" t="n">
        <v>87</v>
      </c>
      <c r="L20" t="inlineStr">
        <is>
          <t>12 November 2026</t>
        </is>
      </c>
      <c r="M20" t="inlineStr">
        <is>
          <t>Konstruksi Gedung Hunian, Konstruksi Gedung Lainnya</t>
        </is>
      </c>
      <c r="N20" t="inlineStr">
        <is>
          <t>K</t>
        </is>
      </c>
      <c r="O20" t="inlineStr">
        <is>
          <t>20231109</t>
        </is>
      </c>
      <c r="P20" t="inlineStr">
        <is>
          <t>Jawa Barat</t>
        </is>
      </c>
      <c r="Q20" s="3">
        <f>HYPERLINK("https://wa.me/62817567855?text=Selamat siang Bapak/Ibu pimpinan KARYA CIPTA INDUSTRI,%0A%0ASemoga Bapak/Ibu dalam keadaan baik.%0ABerdasarkan data LPJK, masa berlaku SBU perusahaan Bapak/Ibu akan berakhir sekitar 3 bulan lagi (pada 12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21">
      <c r="A21" t="inlineStr">
        <is>
          <t>KARYA DIVA ANIRA</t>
        </is>
      </c>
      <c r="B21" t="inlineStr">
        <is>
          <t>Kota Bogor</t>
        </is>
      </c>
      <c r="C21" t="inlineStr">
        <is>
          <t>087770680240</t>
        </is>
      </c>
      <c r="D21" t="inlineStr">
        <is>
          <t>cvkaryadivaanira@gmail.com</t>
        </is>
      </c>
      <c r="E21" t="inlineStr">
        <is>
          <t>https://lpjk.pu.go.id/search-badan-usaha-detail/dmY0bnRPS2poWituMUR4MjlEN1d0UT09</t>
        </is>
      </c>
      <c r="F21" t="n">
        <v>1</v>
      </c>
      <c r="G21" t="inlineStr">
        <is>
          <t>BS001</t>
        </is>
      </c>
      <c r="H21" t="inlineStr">
        <is>
          <t>8 Maret 2017</t>
        </is>
      </c>
      <c r="I21" s="2" t="n">
        <v>46340</v>
      </c>
      <c r="J21" t="inlineStr">
        <is>
          <t>Disetujui</t>
        </is>
      </c>
      <c r="K21" t="n">
        <v>87</v>
      </c>
      <c r="L21" t="inlineStr">
        <is>
          <t>14 November 2026</t>
        </is>
      </c>
      <c r="M21" t="inlineStr">
        <is>
          <t>Konstruksi Bangunan Sipil Jalan</t>
        </is>
      </c>
      <c r="N21" t="inlineStr">
        <is>
          <t>K</t>
        </is>
      </c>
      <c r="O21" t="inlineStr">
        <is>
          <t>20231114</t>
        </is>
      </c>
      <c r="P21" t="inlineStr">
        <is>
          <t>Jawa Barat</t>
        </is>
      </c>
      <c r="Q21" s="3">
        <f>HYPERLINK("https://wa.me/6287770680240?text=Selamat siang Bapak/Ibu pimpinan KARYA DIVA ANIRA,%0A%0ASemoga Bapak/Ibu dalam keadaan baik.%0ABerdasarkan data LPJK, masa berlaku SBU perusahaan Bapak/Ibu akan berakhir sekitar 3 bulan lagi (pada 14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22">
      <c r="A22" t="inlineStr">
        <is>
          <t>KARYA PANDU PERKASA</t>
        </is>
      </c>
      <c r="B22" t="inlineStr">
        <is>
          <t>Kota Bogor</t>
        </is>
      </c>
      <c r="C22" t="inlineStr">
        <is>
          <t>085891652886</t>
        </is>
      </c>
      <c r="D22" t="inlineStr">
        <is>
          <t>karyapanduperkasa@gmail.com</t>
        </is>
      </c>
      <c r="E22" t="inlineStr">
        <is>
          <t>https://lpjk.pu.go.id/search-badan-usaha-detail/M25RWGtLQWphR01sNEZwRDU5Vm1hZz09</t>
        </is>
      </c>
      <c r="F22" t="n">
        <v>5</v>
      </c>
      <c r="G22" t="inlineStr">
        <is>
          <t>BG006, BG008, BG009, BS001, BS004</t>
        </is>
      </c>
      <c r="H22" t="inlineStr">
        <is>
          <t>4 Mei 2021</t>
        </is>
      </c>
      <c r="I22" s="2" t="n">
        <v>46334</v>
      </c>
      <c r="J22" t="inlineStr">
        <is>
          <t>Disetujui</t>
        </is>
      </c>
      <c r="K22" t="n">
        <v>87</v>
      </c>
      <c r="L22" t="inlineStr">
        <is>
          <t>8 November 2026</t>
        </is>
      </c>
      <c r="M22" t="inlineStr">
        <is>
          <t>Konstruksi Bangunan Sipil Jalan, Konstruksi Gedung Lainnya, Konstruksi Gedung Pendidikan, Konstruksi Gedung Tempat Hiburan dan Olahraga, Konstruksi Jaringan Irigasi dan Drainase</t>
        </is>
      </c>
      <c r="N22" t="inlineStr">
        <is>
          <t>K</t>
        </is>
      </c>
      <c r="O22" t="inlineStr">
        <is>
          <t>20231025, 20231026</t>
        </is>
      </c>
      <c r="P22" t="inlineStr">
        <is>
          <t>Jawa Barat</t>
        </is>
      </c>
      <c r="Q22" s="3">
        <f>HYPERLINK("https://wa.me/6285891652886?text=Selamat siang Bapak/Ibu pimpinan KARYA PANDU PERKASA,%0A%0ASemoga Bapak/Ibu dalam keadaan baik.%0ABerdasarkan data LPJK, masa berlaku SBU perusahaan Bapak/Ibu akan berakhir sekitar 3 bulan lagi (pada 8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23">
      <c r="A23" t="inlineStr">
        <is>
          <t>KARYA PRIMA MANDIRI ABADI</t>
        </is>
      </c>
      <c r="B23" t="inlineStr">
        <is>
          <t>Kota Depok</t>
        </is>
      </c>
      <c r="C23" t="inlineStr">
        <is>
          <t>02184974490</t>
        </is>
      </c>
      <c r="D23" t="inlineStr">
        <is>
          <t>kpmandiri@yahoo.com</t>
        </is>
      </c>
      <c r="E23" t="inlineStr">
        <is>
          <t>https://lpjk.pu.go.id/search-badan-usaha-detail/L1NHTEEzSCtYVXhMSUdORWRhRDFldz09</t>
        </is>
      </c>
      <c r="F23" t="n">
        <v>1</v>
      </c>
      <c r="G23" t="inlineStr">
        <is>
          <t>PB004</t>
        </is>
      </c>
      <c r="H23" t="inlineStr">
        <is>
          <t>26 Februari 2020</t>
        </is>
      </c>
      <c r="I23" s="2" t="n">
        <v>46335</v>
      </c>
      <c r="J23" t="inlineStr">
        <is>
          <t>Pembekuan</t>
        </is>
      </c>
      <c r="K23" t="n">
        <v>87</v>
      </c>
      <c r="L23" t="inlineStr">
        <is>
          <t>9 November 2026</t>
        </is>
      </c>
      <c r="M23" t="inlineStr">
        <is>
          <t>Dekorasi Interior</t>
        </is>
      </c>
      <c r="N23" t="inlineStr">
        <is>
          <t>Spesialis</t>
        </is>
      </c>
      <c r="O23" t="inlineStr">
        <is>
          <t>20231030</t>
        </is>
      </c>
      <c r="P23" t="inlineStr">
        <is>
          <t>Jawa Barat</t>
        </is>
      </c>
      <c r="Q23" t="inlineStr"/>
    </row>
    <row r="24">
      <c r="A24" t="inlineStr">
        <is>
          <t>KARYA WIKA KONSTRUKSI</t>
        </is>
      </c>
      <c r="B24" t="inlineStr">
        <is>
          <t>Kota Depok</t>
        </is>
      </c>
      <c r="C24" t="inlineStr">
        <is>
          <t>08111115153</t>
        </is>
      </c>
      <c r="D24" t="inlineStr">
        <is>
          <t>karyawika.konstruksi@gmail.com</t>
        </is>
      </c>
      <c r="E24" t="inlineStr">
        <is>
          <t>https://lpjk.pu.go.id/search-badan-usaha-detail/OFBmNW0yZXcwb3N1dEYxZEwrbXJIQT09</t>
        </is>
      </c>
      <c r="F24" t="n">
        <v>1</v>
      </c>
      <c r="G24" t="inlineStr">
        <is>
          <t>BS004</t>
        </is>
      </c>
      <c r="H24" t="inlineStr">
        <is>
          <t>24 Agustus 2023</t>
        </is>
      </c>
      <c r="I24" s="2" t="n">
        <v>46339</v>
      </c>
      <c r="J24" t="inlineStr">
        <is>
          <t>Disetujui</t>
        </is>
      </c>
      <c r="K24" t="n">
        <v>87</v>
      </c>
      <c r="L24" t="inlineStr">
        <is>
          <t>13 November 2026</t>
        </is>
      </c>
      <c r="M24" t="inlineStr">
        <is>
          <t>Konstruksi Jaringan Irigasi dan Drainase</t>
        </is>
      </c>
      <c r="N24" t="inlineStr">
        <is>
          <t>K</t>
        </is>
      </c>
      <c r="O24" t="inlineStr">
        <is>
          <t>20231114</t>
        </is>
      </c>
      <c r="P24" t="inlineStr">
        <is>
          <t>Jawa Barat</t>
        </is>
      </c>
      <c r="Q24" s="3">
        <f>HYPERLINK("https://wa.me/628111115153?text=Selamat siang Bapak/Ibu pimpinan KARYA WIKA KONSTRUKSI,%0A%0ASemoga Bapak/Ibu dalam keadaan baik.%0ABerdasarkan data LPJK, masa berlaku SBU perusahaan Bapak/Ibu akan berakhir sekitar 3 bulan lagi (pada 13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25">
      <c r="A25" t="inlineStr">
        <is>
          <t>KAUSA SINERGI SEJAHTERA</t>
        </is>
      </c>
      <c r="B25" t="inlineStr">
        <is>
          <t>Kota Bekasi</t>
        </is>
      </c>
      <c r="C25" t="inlineStr">
        <is>
          <t>02182636387</t>
        </is>
      </c>
      <c r="D25" t="inlineStr">
        <is>
          <t>kausasinergisejahtera@gmail.com</t>
        </is>
      </c>
      <c r="E25" t="inlineStr">
        <is>
          <t>https://lpjk.pu.go.id/search-badan-usaha-detail/c2dUVUZtQXZxTHZEQitXQURDbzA0Zz09</t>
        </is>
      </c>
      <c r="F25" t="n">
        <v>1</v>
      </c>
      <c r="G25" t="inlineStr">
        <is>
          <t>BG001</t>
        </is>
      </c>
      <c r="H25" t="inlineStr">
        <is>
          <t>3 November 2022</t>
        </is>
      </c>
      <c r="I25" s="2" t="n">
        <v>46340</v>
      </c>
      <c r="J25" t="inlineStr">
        <is>
          <t>Disetujui</t>
        </is>
      </c>
      <c r="K25" t="n">
        <v>87</v>
      </c>
      <c r="L25" t="inlineStr">
        <is>
          <t>14 November 2026</t>
        </is>
      </c>
      <c r="M25" t="inlineStr">
        <is>
          <t>Konstruksi Gedung Hunian</t>
        </is>
      </c>
      <c r="N25" t="inlineStr">
        <is>
          <t>K</t>
        </is>
      </c>
      <c r="O25" t="inlineStr">
        <is>
          <t>20231101</t>
        </is>
      </c>
      <c r="P25" t="inlineStr">
        <is>
          <t>Jawa Barat</t>
        </is>
      </c>
      <c r="Q25" t="inlineStr"/>
    </row>
    <row r="26">
      <c r="A26" t="inlineStr">
        <is>
          <t>KHARISMA KARYA SEJATI</t>
        </is>
      </c>
      <c r="B26" t="inlineStr">
        <is>
          <t>Kota Bekasi</t>
        </is>
      </c>
      <c r="C26" t="inlineStr">
        <is>
          <t>0218868128</t>
        </is>
      </c>
      <c r="D26" t="inlineStr">
        <is>
          <t>kharismakaryasejati@yahoo.co.id</t>
        </is>
      </c>
      <c r="E26" t="inlineStr">
        <is>
          <t>https://lpjk.pu.go.id/search-badan-usaha-detail/UjkzRUQvb2ZBS0lySVVOT1gxQVFvQT09</t>
        </is>
      </c>
      <c r="F26" t="n">
        <v>3</v>
      </c>
      <c r="G26" t="inlineStr">
        <is>
          <t>BG001, BG008, BG009</t>
        </is>
      </c>
      <c r="H26" t="inlineStr">
        <is>
          <t>2 Desember 2009</t>
        </is>
      </c>
      <c r="I26" s="2" t="n">
        <v>46340</v>
      </c>
      <c r="J26" t="inlineStr">
        <is>
          <t>Disetujui</t>
        </is>
      </c>
      <c r="K26" t="n">
        <v>87</v>
      </c>
      <c r="L26" t="inlineStr">
        <is>
          <t>14 November 2026</t>
        </is>
      </c>
      <c r="M26" t="inlineStr">
        <is>
          <t>Konstruksi Gedung Hunian, Konstruksi Gedung Lainnya, Konstruksi Gedung Tempat Hiburan dan Olahraga</t>
        </is>
      </c>
      <c r="N26" t="inlineStr">
        <is>
          <t>K</t>
        </is>
      </c>
      <c r="O26" t="inlineStr">
        <is>
          <t>20231114</t>
        </is>
      </c>
      <c r="P26" t="inlineStr">
        <is>
          <t>Jawa Barat</t>
        </is>
      </c>
      <c r="Q26" t="inlineStr"/>
    </row>
    <row r="27">
      <c r="A27" t="inlineStr">
        <is>
          <t>KURNIA MAKMUR BAROKAH</t>
        </is>
      </c>
      <c r="B27" t="inlineStr">
        <is>
          <t>Kab. Bogor</t>
        </is>
      </c>
      <c r="C27" t="inlineStr">
        <is>
          <t>02150105732</t>
        </is>
      </c>
      <c r="D27" t="inlineStr">
        <is>
          <t>kurniamakmurbarokah@gmail.com</t>
        </is>
      </c>
      <c r="E27" t="inlineStr">
        <is>
          <t>https://lpjk.pu.go.id/search-badan-usaha-detail/NDFXOXlITS9mbW11dmFsSGk3UVJsdz09</t>
        </is>
      </c>
      <c r="F27" t="n">
        <v>1</v>
      </c>
      <c r="G27" t="inlineStr">
        <is>
          <t>BS004</t>
        </is>
      </c>
      <c r="H27" t="inlineStr">
        <is>
          <t>11 Juli 2023</t>
        </is>
      </c>
      <c r="I27" s="2" t="n">
        <v>46335</v>
      </c>
      <c r="J27" t="inlineStr">
        <is>
          <t>Disetujui</t>
        </is>
      </c>
      <c r="K27" t="n">
        <v>87</v>
      </c>
      <c r="L27" t="inlineStr">
        <is>
          <t>9 November 2026</t>
        </is>
      </c>
      <c r="M27" t="inlineStr">
        <is>
          <t>Konstruksi Jaringan Irigasi dan Drainase</t>
        </is>
      </c>
      <c r="N27" t="inlineStr">
        <is>
          <t>K</t>
        </is>
      </c>
      <c r="O27" t="inlineStr">
        <is>
          <t>20231031</t>
        </is>
      </c>
      <c r="P27" t="inlineStr">
        <is>
          <t>Jawa Barat</t>
        </is>
      </c>
      <c r="Q27" t="inlineStr"/>
    </row>
    <row r="28">
      <c r="A28" t="inlineStr">
        <is>
          <t>LASKAR CIPTAUTAMA</t>
        </is>
      </c>
      <c r="B28" t="inlineStr">
        <is>
          <t>Kota Adm. Jakarta Timur</t>
        </is>
      </c>
      <c r="C28" t="inlineStr">
        <is>
          <t>02122868759</t>
        </is>
      </c>
      <c r="D28" t="inlineStr">
        <is>
          <t>marketing@laskar-corp.com</t>
        </is>
      </c>
      <c r="E28" t="inlineStr">
        <is>
          <t>https://lpjk.pu.go.id/search-badan-usaha-detail/VVdvUVFVYlJCRGJWdFJuTk95Mis4dz09</t>
        </is>
      </c>
      <c r="F28" t="n">
        <v>4</v>
      </c>
      <c r="G28" t="inlineStr">
        <is>
          <t>BG002, BG003, BG008, BG009</t>
        </is>
      </c>
      <c r="H28" t="inlineStr">
        <is>
          <t>12 Agustus 1989</t>
        </is>
      </c>
      <c r="I28" s="2" t="n">
        <v>46339</v>
      </c>
      <c r="J28" t="inlineStr">
        <is>
          <t>Disetujui</t>
        </is>
      </c>
      <c r="K28" t="n">
        <v>87</v>
      </c>
      <c r="L28" t="inlineStr">
        <is>
          <t>13 November 2026</t>
        </is>
      </c>
      <c r="M28" t="inlineStr">
        <is>
          <t>Konstruksi Gedung Industri, Konstruksi Gedung Lainnya, Konstruksi Gedung Perkantoran, Konstruksi Gedung Tempat Hiburan dan Olahraga</t>
        </is>
      </c>
      <c r="N28" t="inlineStr">
        <is>
          <t>K</t>
        </is>
      </c>
      <c r="O28" t="inlineStr">
        <is>
          <t>20231109, 20231110</t>
        </is>
      </c>
      <c r="P28" t="inlineStr">
        <is>
          <t>DKI Jakarta</t>
        </is>
      </c>
      <c r="Q28" t="inlineStr"/>
    </row>
    <row r="29">
      <c r="A29" t="inlineStr">
        <is>
          <t>LIMATUJUHLIMADELAPAN MAJU MAPAN</t>
        </is>
      </c>
      <c r="B29" t="inlineStr">
        <is>
          <t>Kota Bekasi</t>
        </is>
      </c>
      <c r="C29" t="inlineStr">
        <is>
          <t>082116845055</t>
        </is>
      </c>
      <c r="D29" t="inlineStr">
        <is>
          <t>cv5758majaumapan@gmail.com</t>
        </is>
      </c>
      <c r="E29" t="inlineStr">
        <is>
          <t>https://lpjk.pu.go.id/search-badan-usaha-detail/WU5vV1BmVjk5dFc4Q2ZhaHlRQlpUQT09</t>
        </is>
      </c>
      <c r="F29" t="n">
        <v>2</v>
      </c>
      <c r="G29" t="inlineStr">
        <is>
          <t>BG002</t>
        </is>
      </c>
      <c r="H29" t="inlineStr">
        <is>
          <t>9 Januari 2019</t>
        </is>
      </c>
      <c r="I29" s="2" t="n">
        <v>46340</v>
      </c>
      <c r="J29" t="inlineStr">
        <is>
          <t>Pencabutan</t>
        </is>
      </c>
      <c r="K29" t="n">
        <v>87</v>
      </c>
      <c r="L29" t="inlineStr">
        <is>
          <t>14 November 2026</t>
        </is>
      </c>
      <c r="M29" t="inlineStr">
        <is>
          <t>Konstruksi Gedung Perkantoran</t>
        </is>
      </c>
      <c r="N29" t="inlineStr">
        <is>
          <t>K</t>
        </is>
      </c>
      <c r="O29" t="inlineStr">
        <is>
          <t>20231030</t>
        </is>
      </c>
      <c r="P29" t="inlineStr">
        <is>
          <t>Jawa Barat</t>
        </is>
      </c>
      <c r="Q29" s="3">
        <f>HYPERLINK("https://wa.me/6282116845055?text=Selamat siang Bapak/Ibu pimpinan LIMATUJUHLIMADELAPAN MAJU MAPAN,%0A%0ASemoga Bapak/Ibu dalam keadaan baik.%0ABerdasarkan data LPJK, masa berlaku SBU perusahaan Bapak/Ibu akan berakhir sekitar 3 bulan lagi (pada 14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0">
      <c r="A30" t="inlineStr">
        <is>
          <t>LINITA KREASI PERSADA</t>
        </is>
      </c>
      <c r="B30" t="inlineStr">
        <is>
          <t>Kota Bekasi</t>
        </is>
      </c>
      <c r="C30" t="inlineStr">
        <is>
          <t>081387302378</t>
        </is>
      </c>
      <c r="D30" t="inlineStr">
        <is>
          <t>linitakreasipersada@gmail.com</t>
        </is>
      </c>
      <c r="E30" t="inlineStr">
        <is>
          <t>https://lpjk.pu.go.id/search-badan-usaha-detail/eHQzRTRoYWowckU1dVZxMzlGMGkzZz09</t>
        </is>
      </c>
      <c r="F30" t="n">
        <v>2</v>
      </c>
      <c r="G30" t="inlineStr">
        <is>
          <t>BS001, BS004</t>
        </is>
      </c>
      <c r="H30" t="inlineStr">
        <is>
          <t>2 Maret 2020</t>
        </is>
      </c>
      <c r="I30" s="2" t="n">
        <v>46340</v>
      </c>
      <c r="J30" t="inlineStr">
        <is>
          <t>Disetujui</t>
        </is>
      </c>
      <c r="K30" t="n">
        <v>87</v>
      </c>
      <c r="L30" t="inlineStr">
        <is>
          <t>14 November 2026</t>
        </is>
      </c>
      <c r="M30" t="inlineStr">
        <is>
          <t>Konstruksi Bangunan Sipil Jalan, Konstruksi Jaringan Irigasi dan Drainase</t>
        </is>
      </c>
      <c r="N30" t="inlineStr">
        <is>
          <t>K</t>
        </is>
      </c>
      <c r="O30" t="inlineStr">
        <is>
          <t>20231113</t>
        </is>
      </c>
      <c r="P30" t="inlineStr">
        <is>
          <t>Jawa Barat</t>
        </is>
      </c>
      <c r="Q30" s="3">
        <f>HYPERLINK("https://wa.me/6281387302378?text=Selamat siang Bapak/Ibu pimpinan LINITA KREASI PERSADA,%0A%0ASemoga Bapak/Ibu dalam keadaan baik.%0ABerdasarkan data LPJK, masa berlaku SBU perusahaan Bapak/Ibu akan berakhir sekitar 3 bulan lagi (pada 14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1">
      <c r="A31" t="inlineStr">
        <is>
          <t>MARGA JAYA</t>
        </is>
      </c>
      <c r="B31" t="inlineStr">
        <is>
          <t>Kota Bogor</t>
        </is>
      </c>
      <c r="C31" t="inlineStr">
        <is>
          <t>02518320867</t>
        </is>
      </c>
      <c r="D31" t="inlineStr">
        <is>
          <t>cvmarga_jaya@yahoo.com</t>
        </is>
      </c>
      <c r="E31" t="inlineStr">
        <is>
          <t>https://lpjk.pu.go.id/search-badan-usaha-detail/Ym1TRStVMkdZMFhVKzF4R0lmdXBnQT09</t>
        </is>
      </c>
      <c r="F31" t="n">
        <v>1</v>
      </c>
      <c r="G31" t="inlineStr">
        <is>
          <t>RK003</t>
        </is>
      </c>
      <c r="H31" t="inlineStr">
        <is>
          <t>25 Maret 2002</t>
        </is>
      </c>
      <c r="I31" s="2" t="n">
        <v>46334</v>
      </c>
      <c r="J31" t="inlineStr">
        <is>
          <t>Disetujui</t>
        </is>
      </c>
      <c r="K31" t="n">
        <v>87</v>
      </c>
      <c r="L31" t="inlineStr">
        <is>
          <t>8 November 2026</t>
        </is>
      </c>
      <c r="M31" t="inlineStr">
        <is>
          <t>Jasa Rekayasa Pekerjaan Teknik Sipil Transportasi</t>
        </is>
      </c>
      <c r="N31" t="inlineStr">
        <is>
          <t>K</t>
        </is>
      </c>
      <c r="O31" t="inlineStr">
        <is>
          <t>20231024</t>
        </is>
      </c>
      <c r="P31" t="inlineStr">
        <is>
          <t>Jawa Barat</t>
        </is>
      </c>
      <c r="Q31" s="3">
        <f>HYPERLINK("https://wa.me/622518320867?text=Selamat siang Bapak/Ibu pimpinan MARGA JAYA,%0A%0ASemoga Bapak/Ibu dalam keadaan baik.%0ABerdasarkan data LPJK, masa berlaku SBU perusahaan Bapak/Ibu akan berakhir sekitar 3 bulan lagi (pada 8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2">
      <c r="A32" t="inlineStr">
        <is>
          <t>MEGALAND INFRA PERKASA</t>
        </is>
      </c>
      <c r="B32" t="inlineStr">
        <is>
          <t>Kab. Bogor</t>
        </is>
      </c>
      <c r="C32" t="inlineStr">
        <is>
          <t>02518543888</t>
        </is>
      </c>
      <c r="D32" t="inlineStr">
        <is>
          <t>megalandinfra.legal@gmail.com</t>
        </is>
      </c>
      <c r="E32" t="inlineStr">
        <is>
          <t>https://lpjk.pu.go.id/search-badan-usaha-detail/OUJuaElPK1d0NkppVTl1NEkrVllJZz09</t>
        </is>
      </c>
      <c r="F32" t="n">
        <v>6</v>
      </c>
      <c r="G32" t="inlineStr">
        <is>
          <t>BG002, BG004, BS001</t>
        </is>
      </c>
      <c r="H32" t="inlineStr">
        <is>
          <t>10 Januari 2023</t>
        </is>
      </c>
      <c r="I32" s="2" t="n">
        <v>46335</v>
      </c>
      <c r="J32" t="inlineStr">
        <is>
          <t>Disetujui</t>
        </is>
      </c>
      <c r="K32" t="n">
        <v>87</v>
      </c>
      <c r="L32" t="inlineStr">
        <is>
          <t>9 November 2026</t>
        </is>
      </c>
      <c r="M32" t="inlineStr">
        <is>
          <t>Konstruksi Bangunan Sipil Jalan, Konstruksi Gedung Perbelanjaan, Konstruksi Gedung Perkantoran</t>
        </is>
      </c>
      <c r="N32" t="inlineStr">
        <is>
          <t>K</t>
        </is>
      </c>
      <c r="O32" t="inlineStr">
        <is>
          <t>20231109, 20231110</t>
        </is>
      </c>
      <c r="P32" t="inlineStr">
        <is>
          <t>Jawa Barat</t>
        </is>
      </c>
      <c r="Q32" s="3">
        <f>HYPERLINK("https://wa.me/622518543888?text=Selamat siang Bapak/Ibu pimpinan MEGALAND INFRA PERKASA,%0A%0ASemoga Bapak/Ibu dalam keadaan baik.%0ABerdasarkan data LPJK, masa berlaku SBU perusahaan Bapak/Ibu akan berakhir sekitar 3 bulan lagi (pada 9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3">
      <c r="A33" t="inlineStr">
        <is>
          <t>MELATI BAROKAH ABADI</t>
        </is>
      </c>
      <c r="B33" t="inlineStr">
        <is>
          <t>Kab. Bekasi</t>
        </is>
      </c>
      <c r="C33" t="inlineStr">
        <is>
          <t>082260691561</t>
        </is>
      </c>
      <c r="D33" t="inlineStr">
        <is>
          <t>melatibarokahabadi@gmail.com</t>
        </is>
      </c>
      <c r="E33" t="inlineStr">
        <is>
          <t>https://lpjk.pu.go.id/search-badan-usaha-detail/T1cwU0hYUm5wMzN3N2NkR1VMd1hTUT09</t>
        </is>
      </c>
      <c r="F33" t="n">
        <v>1</v>
      </c>
      <c r="G33" t="inlineStr">
        <is>
          <t>BS001</t>
        </is>
      </c>
      <c r="H33" t="inlineStr">
        <is>
          <t>30 Oktober 2023</t>
        </is>
      </c>
      <c r="I33" s="2" t="n">
        <v>46340</v>
      </c>
      <c r="J33" t="inlineStr">
        <is>
          <t>Disetujui</t>
        </is>
      </c>
      <c r="K33" t="n">
        <v>87</v>
      </c>
      <c r="L33" t="inlineStr">
        <is>
          <t>14 November 2026</t>
        </is>
      </c>
      <c r="M33" t="inlineStr">
        <is>
          <t>Konstruksi Bangunan Sipil Jalan</t>
        </is>
      </c>
      <c r="N33" t="inlineStr">
        <is>
          <t>K</t>
        </is>
      </c>
      <c r="O33" t="inlineStr">
        <is>
          <t>20231110</t>
        </is>
      </c>
      <c r="P33" t="inlineStr">
        <is>
          <t>Jawa Barat</t>
        </is>
      </c>
      <c r="Q33" s="3">
        <f>HYPERLINK("https://wa.me/6282260691561?text=Selamat siang Bapak/Ibu pimpinan MELATI BAROKAH ABADI,%0A%0ASemoga Bapak/Ibu dalam keadaan baik.%0ABerdasarkan data LPJK, masa berlaku SBU perusahaan Bapak/Ibu akan berakhir sekitar 3 bulan lagi (pada 14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4">
      <c r="A34" t="inlineStr">
        <is>
          <t>METAL GLASSINDO INTIGRAHA</t>
        </is>
      </c>
      <c r="B34" t="inlineStr">
        <is>
          <t>Kota Adm. Jakarta Timur</t>
        </is>
      </c>
      <c r="C34" t="inlineStr">
        <is>
          <t>0214267938</t>
        </is>
      </c>
      <c r="D34" t="inlineStr">
        <is>
          <t>metalglassindo@yahoo.com</t>
        </is>
      </c>
      <c r="E34" t="inlineStr">
        <is>
          <t>https://lpjk.pu.go.id/search-badan-usaha-detail/bkZBUmhtLzlOYm8xVEwva3FuYWRTZz09</t>
        </is>
      </c>
      <c r="F34" t="n">
        <v>2</v>
      </c>
      <c r="G34" t="inlineStr">
        <is>
          <t>PB001</t>
        </is>
      </c>
      <c r="H34" t="inlineStr">
        <is>
          <t>2 Mei 2002</t>
        </is>
      </c>
      <c r="I34" s="2" t="n">
        <v>46340</v>
      </c>
      <c r="J34" t="inlineStr">
        <is>
          <t>Pembekuan</t>
        </is>
      </c>
      <c r="K34" t="n">
        <v>87</v>
      </c>
      <c r="L34" t="inlineStr">
        <is>
          <t>14 November 2026</t>
        </is>
      </c>
      <c r="M34" t="inlineStr">
        <is>
          <t>Pengerjaan Pemasangan Kaca dan Alumunium</t>
        </is>
      </c>
      <c r="N34" t="inlineStr">
        <is>
          <t>Spesialis</t>
        </is>
      </c>
      <c r="O34" t="inlineStr">
        <is>
          <t>20231113</t>
        </is>
      </c>
      <c r="P34" t="inlineStr">
        <is>
          <t>DKI Jakarta</t>
        </is>
      </c>
      <c r="Q34" t="inlineStr"/>
    </row>
    <row r="35">
      <c r="A35" t="inlineStr">
        <is>
          <t>MILAD BERKAH SEJAHTERA</t>
        </is>
      </c>
      <c r="B35" t="inlineStr">
        <is>
          <t>Kota Adm. Jakarta Timur</t>
        </is>
      </c>
      <c r="C35" t="inlineStr">
        <is>
          <t>081574164643</t>
        </is>
      </c>
      <c r="D35" t="inlineStr">
        <is>
          <t>ptmiladberkahsejahtera@gmail.com</t>
        </is>
      </c>
      <c r="E35" t="inlineStr">
        <is>
          <t>https://lpjk.pu.go.id/search-badan-usaha-detail/UFJYc21OQVp1a1ltb09UeWlOdnpldz09</t>
        </is>
      </c>
      <c r="F35" t="n">
        <v>3</v>
      </c>
      <c r="G35" t="inlineStr">
        <is>
          <t>BG001, BG002, BS001</t>
        </is>
      </c>
      <c r="H35" t="inlineStr">
        <is>
          <t>11 September 2023</t>
        </is>
      </c>
      <c r="I35" s="2" t="n">
        <v>46340</v>
      </c>
      <c r="J35" t="inlineStr">
        <is>
          <t>Disetujui</t>
        </is>
      </c>
      <c r="K35" t="n">
        <v>87</v>
      </c>
      <c r="L35" t="inlineStr">
        <is>
          <t>14 November 2026</t>
        </is>
      </c>
      <c r="M35" t="inlineStr">
        <is>
          <t>Konstruksi Bangunan Sipil Jalan, Konstruksi Gedung Hunian, Konstruksi Gedung Perkantoran</t>
        </is>
      </c>
      <c r="N35" t="inlineStr">
        <is>
          <t>K</t>
        </is>
      </c>
      <c r="O35" t="inlineStr">
        <is>
          <t>20231113, 20231114</t>
        </is>
      </c>
      <c r="P35" t="inlineStr">
        <is>
          <t>DKI Jakarta</t>
        </is>
      </c>
      <c r="Q35" s="3">
        <f>HYPERLINK("https://wa.me/6281574164643?text=Selamat siang Bapak/Ibu pimpinan MILAD BERKAH SEJAHTERA,%0A%0ASemoga Bapak/Ibu dalam keadaan baik.%0ABerdasarkan data LPJK, masa berlaku SBU perusahaan Bapak/Ibu akan berakhir sekitar 3 bulan lagi (pada 14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6">
      <c r="A36" t="inlineStr">
        <is>
          <t>MITRA JASA LAKSANA</t>
        </is>
      </c>
      <c r="B36" t="inlineStr">
        <is>
          <t>Kota Bogor</t>
        </is>
      </c>
      <c r="C36" t="inlineStr">
        <is>
          <t>0251327974</t>
        </is>
      </c>
      <c r="D36" t="inlineStr">
        <is>
          <t>rief73@yahoo.co.id</t>
        </is>
      </c>
      <c r="E36" t="inlineStr">
        <is>
          <t>https://lpjk.pu.go.id/search-badan-usaha-detail/aUU2UGFvSVVHUWt5YmdONFBZTWZLUT09</t>
        </is>
      </c>
      <c r="F36" t="n">
        <v>3</v>
      </c>
      <c r="G36" t="inlineStr">
        <is>
          <t>BG009, BS001, BS004</t>
        </is>
      </c>
      <c r="H36" t="inlineStr">
        <is>
          <t>19 November 2001</t>
        </is>
      </c>
      <c r="I36" s="2" t="n">
        <v>46339</v>
      </c>
      <c r="J36" t="inlineStr">
        <is>
          <t>Disetujui</t>
        </is>
      </c>
      <c r="K36" t="n">
        <v>87</v>
      </c>
      <c r="L36" t="inlineStr">
        <is>
          <t>13 November 2026</t>
        </is>
      </c>
      <c r="M36" t="inlineStr">
        <is>
          <t>Konstruksi Bangunan Sipil Jalan, Konstruksi Gedung Lainnya, Konstruksi Jaringan Irigasi dan Drainase</t>
        </is>
      </c>
      <c r="N36" t="inlineStr">
        <is>
          <t>K</t>
        </is>
      </c>
      <c r="O36" t="inlineStr">
        <is>
          <t>20231110</t>
        </is>
      </c>
      <c r="P36" t="inlineStr">
        <is>
          <t>Jawa Barat</t>
        </is>
      </c>
      <c r="Q36" s="3">
        <f>HYPERLINK("https://wa.me/62251327974?text=Selamat siang Bapak/Ibu pimpinan MITRA JASA LAKSANA,%0A%0ASemoga Bapak/Ibu dalam keadaan baik.%0ABerdasarkan data LPJK, masa berlaku SBU perusahaan Bapak/Ibu akan berakhir sekitar 3 bulan lagi (pada 13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7">
      <c r="A37" t="inlineStr">
        <is>
          <t>MSM NIRWANA PUTRA</t>
        </is>
      </c>
      <c r="B37" t="inlineStr">
        <is>
          <t>Kota Bekasi</t>
        </is>
      </c>
      <c r="C37" t="inlineStr">
        <is>
          <t>081317724444</t>
        </is>
      </c>
      <c r="D37" t="inlineStr">
        <is>
          <t>msmnirwana@gmail.com</t>
        </is>
      </c>
      <c r="E37" t="inlineStr">
        <is>
          <t>https://lpjk.pu.go.id/search-badan-usaha-detail/ZmNKcER4N2JaemdEYm5ldC91NTFMdz09</t>
        </is>
      </c>
      <c r="F37" t="n">
        <v>1</v>
      </c>
      <c r="G37" t="inlineStr">
        <is>
          <t>PL003</t>
        </is>
      </c>
      <c r="H37" t="inlineStr">
        <is>
          <t>22 Juni 2015</t>
        </is>
      </c>
      <c r="I37" s="2" t="n">
        <v>46340</v>
      </c>
      <c r="J37" t="inlineStr">
        <is>
          <t>Disetujui</t>
        </is>
      </c>
      <c r="K37" t="n">
        <v>87</v>
      </c>
      <c r="L37" t="inlineStr">
        <is>
          <t>14 November 2026</t>
        </is>
      </c>
      <c r="M37" t="inlineStr">
        <is>
          <t>Penyiapan Lahan Konstruksi</t>
        </is>
      </c>
      <c r="N37" t="inlineStr">
        <is>
          <t>Spesialis</t>
        </is>
      </c>
      <c r="O37" t="inlineStr">
        <is>
          <t>20231103</t>
        </is>
      </c>
      <c r="P37" t="inlineStr">
        <is>
          <t>Jawa Barat</t>
        </is>
      </c>
      <c r="Q37" s="3">
        <f>HYPERLINK("https://wa.me/6281317724444?text=Selamat siang Bapak/Ibu pimpinan MSM NIRWANA PUTRA,%0A%0ASemoga Bapak/Ibu dalam keadaan baik.%0ABerdasarkan data LPJK, masa berlaku SBU perusahaan Bapak/Ibu akan berakhir sekitar 3 bulan lagi (pada 14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8">
      <c r="A38" t="inlineStr">
        <is>
          <t>MUSANO PERMATA INDO</t>
        </is>
      </c>
      <c r="B38" t="inlineStr">
        <is>
          <t>Kab. Bekasi</t>
        </is>
      </c>
      <c r="C38" t="inlineStr">
        <is>
          <t>085779170668</t>
        </is>
      </c>
      <c r="D38" t="inlineStr">
        <is>
          <t>musanopermata.indo@gmail.com</t>
        </is>
      </c>
      <c r="E38" t="inlineStr">
        <is>
          <t>https://lpjk.pu.go.id/search-badan-usaha-detail/MzlNc1BNRW03WFl6WFlzVE5uYlZ1UT09</t>
        </is>
      </c>
      <c r="F38" t="n">
        <v>1</v>
      </c>
      <c r="G38" t="inlineStr">
        <is>
          <t>BG009</t>
        </is>
      </c>
      <c r="H38" t="inlineStr">
        <is>
          <t>24 Oktober 2023</t>
        </is>
      </c>
      <c r="I38" s="2" t="n">
        <v>46339</v>
      </c>
      <c r="J38" t="inlineStr">
        <is>
          <t>Disetujui</t>
        </is>
      </c>
      <c r="K38" t="n">
        <v>87</v>
      </c>
      <c r="L38" t="inlineStr">
        <is>
          <t>13 November 2026</t>
        </is>
      </c>
      <c r="M38" t="inlineStr">
        <is>
          <t>Konstruksi Gedung Lainnya</t>
        </is>
      </c>
      <c r="N38" t="inlineStr">
        <is>
          <t>K</t>
        </is>
      </c>
      <c r="O38" t="inlineStr">
        <is>
          <t>20231027</t>
        </is>
      </c>
      <c r="P38" t="inlineStr">
        <is>
          <t>Jawa Barat</t>
        </is>
      </c>
      <c r="Q38" s="3">
        <f>HYPERLINK("https://wa.me/6285779170668?text=Selamat siang Bapak/Ibu pimpinan MUSANO PERMATA INDO,%0A%0ASemoga Bapak/Ibu dalam keadaan baik.%0ABerdasarkan data LPJK, masa berlaku SBU perusahaan Bapak/Ibu akan berakhir sekitar 3 bulan lagi (pada 13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9">
      <c r="A39" t="inlineStr">
        <is>
          <t>NINDYA CAKTI KARYA UTAMA</t>
        </is>
      </c>
      <c r="B39" t="inlineStr">
        <is>
          <t>Kab. Bogor</t>
        </is>
      </c>
      <c r="C39" t="inlineStr">
        <is>
          <t>081286930247</t>
        </is>
      </c>
      <c r="D39" t="inlineStr">
        <is>
          <t>pt.nindyacaktikaryautama@gmail.com</t>
        </is>
      </c>
      <c r="E39" t="inlineStr">
        <is>
          <t>https://lpjk.pu.go.id/search-badan-usaha-detail/OWowcit1VGp6Qno4NVJ6d01iVXdtdz09</t>
        </is>
      </c>
      <c r="F39" t="n">
        <v>4</v>
      </c>
      <c r="G39" t="inlineStr">
        <is>
          <t>BS002, BS004</t>
        </is>
      </c>
      <c r="H39" t="inlineStr">
        <is>
          <t>6 Januari 2022</t>
        </is>
      </c>
      <c r="I39" s="2" t="n">
        <v>46334</v>
      </c>
      <c r="J39" t="inlineStr">
        <is>
          <t>Pencabutan</t>
        </is>
      </c>
      <c r="K39" t="n">
        <v>87</v>
      </c>
      <c r="L39" t="inlineStr">
        <is>
          <t>8 November 2026</t>
        </is>
      </c>
      <c r="M39" t="inlineStr">
        <is>
          <t>Bangunan Sipil Jembatan, Jalan Layang, Fly Over, dan Underpass, Konstruksi Jaringan Irigasi dan Drainase</t>
        </is>
      </c>
      <c r="N39" t="inlineStr">
        <is>
          <t>M</t>
        </is>
      </c>
      <c r="O39" t="inlineStr">
        <is>
          <t>20231020, 20231030</t>
        </is>
      </c>
      <c r="P39" t="inlineStr">
        <is>
          <t>Jawa Barat</t>
        </is>
      </c>
      <c r="Q39" s="3">
        <f>HYPERLINK("https://wa.me/6281286930247?text=Selamat siang Bapak/Ibu pimpinan NINDYA CAKTI KARYA UTAMA,%0A%0ASemoga Bapak/Ibu dalam keadaan baik.%0ABerdasarkan data LPJK, masa berlaku SBU perusahaan Bapak/Ibu akan berakhir sekitar 3 bulan lagi (pada 8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0">
      <c r="A40" t="inlineStr">
        <is>
          <t>NURA BANGKIT PRATAMA</t>
        </is>
      </c>
      <c r="B40" t="inlineStr">
        <is>
          <t>Kota Bogor</t>
        </is>
      </c>
      <c r="C40" t="inlineStr">
        <is>
          <t>08111100749</t>
        </is>
      </c>
      <c r="D40" t="inlineStr">
        <is>
          <t>nurabangkitpratama.pt@gmail.com</t>
        </is>
      </c>
      <c r="E40" t="inlineStr">
        <is>
          <t>https://lpjk.pu.go.id/search-badan-usaha-detail/UE9URWUxVzAwVGRIYUVBQWF4U1NGQT09</t>
        </is>
      </c>
      <c r="F40" t="n">
        <v>1</v>
      </c>
      <c r="G40" t="inlineStr">
        <is>
          <t>BS001</t>
        </is>
      </c>
      <c r="H40" t="inlineStr">
        <is>
          <t>7 Juli 2023</t>
        </is>
      </c>
      <c r="I40" s="2" t="n">
        <v>46340</v>
      </c>
      <c r="J40" t="inlineStr">
        <is>
          <t>Disetujui</t>
        </is>
      </c>
      <c r="K40" t="n">
        <v>87</v>
      </c>
      <c r="L40" t="inlineStr">
        <is>
          <t>14 November 2026</t>
        </is>
      </c>
      <c r="M40" t="inlineStr">
        <is>
          <t>Konstruksi Bangunan Sipil Jalan</t>
        </is>
      </c>
      <c r="N40" t="inlineStr">
        <is>
          <t>K</t>
        </is>
      </c>
      <c r="O40" t="inlineStr">
        <is>
          <t>20231115</t>
        </is>
      </c>
      <c r="P40" t="inlineStr">
        <is>
          <t>Jawa Barat</t>
        </is>
      </c>
      <c r="Q40" s="3">
        <f>HYPERLINK("https://wa.me/628111100749?text=Selamat siang Bapak/Ibu pimpinan NURA BANGKIT PRATAMA,%0A%0ASemoga Bapak/Ibu dalam keadaan baik.%0ABerdasarkan data LPJK, masa berlaku SBU perusahaan Bapak/Ibu akan berakhir sekitar 3 bulan lagi (pada 14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1">
      <c r="A41" t="inlineStr">
        <is>
          <t>OIXIO RANCANG BANGUN</t>
        </is>
      </c>
      <c r="B41" t="inlineStr">
        <is>
          <t>Kota Bogor</t>
        </is>
      </c>
      <c r="C41" t="inlineStr">
        <is>
          <t>081386028424</t>
        </is>
      </c>
      <c r="D41" t="inlineStr">
        <is>
          <t>oixiodesignandbuild@gmail.com</t>
        </is>
      </c>
      <c r="E41" t="inlineStr">
        <is>
          <t>https://lpjk.pu.go.id/search-badan-usaha-detail/L3laMVR1REF1UDZ3RzBsSTI3RDQyQT09</t>
        </is>
      </c>
      <c r="F41" t="n">
        <v>1</v>
      </c>
      <c r="G41" t="inlineStr">
        <is>
          <t>BG009</t>
        </is>
      </c>
      <c r="H41" t="inlineStr">
        <is>
          <t>18 Agustus 2023</t>
        </is>
      </c>
      <c r="I41" s="2" t="n">
        <v>46339</v>
      </c>
      <c r="J41" t="inlineStr">
        <is>
          <t>Disetujui</t>
        </is>
      </c>
      <c r="K41" t="n">
        <v>87</v>
      </c>
      <c r="L41" t="inlineStr">
        <is>
          <t>13 November 2026</t>
        </is>
      </c>
      <c r="M41" t="inlineStr">
        <is>
          <t>Konstruksi Gedung Lainnya</t>
        </is>
      </c>
      <c r="N41" t="inlineStr">
        <is>
          <t>K</t>
        </is>
      </c>
      <c r="O41" t="inlineStr">
        <is>
          <t>20231113</t>
        </is>
      </c>
      <c r="P41" t="inlineStr">
        <is>
          <t>Jawa Barat</t>
        </is>
      </c>
      <c r="Q41" s="3">
        <f>HYPERLINK("https://wa.me/6281386028424?text=Selamat siang Bapak/Ibu pimpinan OIXIO RANCANG BANGUN,%0A%0ASemoga Bapak/Ibu dalam keadaan baik.%0ABerdasarkan data LPJK, masa berlaku SBU perusahaan Bapak/Ibu akan berakhir sekitar 3 bulan lagi (pada 13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2">
      <c r="A42" t="inlineStr">
        <is>
          <t>OXALIS SUBUR</t>
        </is>
      </c>
      <c r="B42" t="inlineStr">
        <is>
          <t>Kota Bogor</t>
        </is>
      </c>
      <c r="C42" t="inlineStr">
        <is>
          <t>02518360274</t>
        </is>
      </c>
      <c r="D42" t="inlineStr">
        <is>
          <t>os.subur@gmail.com</t>
        </is>
      </c>
      <c r="E42" t="inlineStr">
        <is>
          <t>https://lpjk.pu.go.id/search-badan-usaha-detail/VTNxcXZ2OGYvUE5HTkdudU1TTlQrUT09</t>
        </is>
      </c>
      <c r="F42" t="n">
        <v>4</v>
      </c>
      <c r="G42" t="inlineStr">
        <is>
          <t>RK001, RK002, RK003, RK005</t>
        </is>
      </c>
      <c r="H42" t="inlineStr">
        <is>
          <t>31 Agustus 1994</t>
        </is>
      </c>
      <c r="I42" s="2" t="n">
        <v>46340</v>
      </c>
      <c r="J42" t="inlineStr">
        <is>
          <t>Disetujui</t>
        </is>
      </c>
      <c r="K42" t="n">
        <v>87</v>
      </c>
      <c r="L42" t="inlineStr">
        <is>
          <t>14 November 2026</t>
        </is>
      </c>
      <c r="M42" t="inlineStr">
        <is>
          <t>Jasa Rekayasa Konstruksi Bangunan Gedung Hunian dan Non Hunian, Jasa Rekayasa Lainnya, Jasa Rekayasa Pekerjaan Teknik Sipil Sumber Daya Air, Jasa Rekayasa Pekerjaan Teknik Sipil Transportasi</t>
        </is>
      </c>
      <c r="N42" t="inlineStr">
        <is>
          <t>K</t>
        </is>
      </c>
      <c r="O42" t="inlineStr">
        <is>
          <t>20231106</t>
        </is>
      </c>
      <c r="P42" t="inlineStr">
        <is>
          <t>Jawa Barat</t>
        </is>
      </c>
      <c r="Q42" s="3">
        <f>HYPERLINK("https://wa.me/622518360274?text=Selamat siang Bapak/Ibu pimpinan OXALIS SUBUR,%0A%0ASemoga Bapak/Ibu dalam keadaan baik.%0ABerdasarkan data LPJK, masa berlaku SBU perusahaan Bapak/Ibu akan berakhir sekitar 3 bulan lagi (pada 14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3">
      <c r="A43" t="inlineStr">
        <is>
          <t>PERUSAHAAN PERSEROAN (PERSERO) PT. WIJAYA KARYA</t>
        </is>
      </c>
      <c r="B43" t="inlineStr">
        <is>
          <t>Kota Adm. Jakarta Timur</t>
        </is>
      </c>
      <c r="C43" t="inlineStr">
        <is>
          <t>81909549222</t>
        </is>
      </c>
      <c r="D43" t="inlineStr">
        <is>
          <t>epc@wika.co.id</t>
        </is>
      </c>
      <c r="E43" t="inlineStr">
        <is>
          <t>https://lpjk.pu.go.id/search-badan-usaha-detail/bzdZcTV0SlVvYThqaTlPV09YSXVDUT09</t>
        </is>
      </c>
      <c r="F43" t="n">
        <v>1</v>
      </c>
      <c r="G43" t="inlineStr">
        <is>
          <t>BG007</t>
        </is>
      </c>
      <c r="H43" t="inlineStr">
        <is>
          <t>20 Desember 1972</t>
        </is>
      </c>
      <c r="I43" s="2" t="n">
        <v>46335</v>
      </c>
      <c r="J43" t="inlineStr">
        <is>
          <t>Disetujui</t>
        </is>
      </c>
      <c r="K43" t="n">
        <v>87</v>
      </c>
      <c r="L43" t="inlineStr">
        <is>
          <t>9 November 2026</t>
        </is>
      </c>
      <c r="M43" t="inlineStr">
        <is>
          <t>Konstruksi Gedung Penginapan</t>
        </is>
      </c>
      <c r="N43" t="inlineStr">
        <is>
          <t>B</t>
        </is>
      </c>
      <c r="O43" t="inlineStr">
        <is>
          <t>20231109</t>
        </is>
      </c>
      <c r="P43" t="inlineStr">
        <is>
          <t>DKI Jakarta</t>
        </is>
      </c>
      <c r="Q43" s="3">
        <f>HYPERLINK("https://wa.me/6281909549222?text=Selamat siang Bapak/Ibu pimpinan PERUSAHAAN PERSEROAN (PERSERO) PT. WIJAYA KARYA,%0A%0ASemoga Bapak/Ibu dalam keadaan baik.%0ABerdasarkan data LPJK, masa berlaku SBU perusahaan Bapak/Ibu akan berakhir sekitar 3 bulan lagi (pada 9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4">
      <c r="A44" t="inlineStr">
        <is>
          <t>PILAR BUANA ABADI</t>
        </is>
      </c>
      <c r="B44" t="inlineStr">
        <is>
          <t>Kab. Bekasi</t>
        </is>
      </c>
      <c r="C44" t="inlineStr">
        <is>
          <t>081288812261</t>
        </is>
      </c>
      <c r="D44" t="inlineStr">
        <is>
          <t>pilarbuanaabadi@gmail.com</t>
        </is>
      </c>
      <c r="E44" t="inlineStr">
        <is>
          <t>https://lpjk.pu.go.id/search-badan-usaha-detail/WnNjMDVUVjAyQXZ0aEk0MHhMRTh1QT09</t>
        </is>
      </c>
      <c r="F44" t="n">
        <v>4</v>
      </c>
      <c r="G44" t="inlineStr">
        <is>
          <t>BG005, BG006, BG009, BS004</t>
        </is>
      </c>
      <c r="H44" t="inlineStr">
        <is>
          <t>17 Januari 2014</t>
        </is>
      </c>
      <c r="I44" s="2" t="n">
        <v>46336</v>
      </c>
      <c r="J44" t="inlineStr">
        <is>
          <t>Disetujui</t>
        </is>
      </c>
      <c r="K44" t="n">
        <v>87</v>
      </c>
      <c r="L44" t="inlineStr">
        <is>
          <t>10 November 2026</t>
        </is>
      </c>
      <c r="M44" t="inlineStr">
        <is>
          <t>Konstruksi Gedung Kesehatan, Konstruksi Gedung Lainnya, Konstruksi Gedung Pendidikan, Konstruksi Jaringan Irigasi dan Drainase</t>
        </is>
      </c>
      <c r="N44" t="inlineStr">
        <is>
          <t>K</t>
        </is>
      </c>
      <c r="O44" t="inlineStr">
        <is>
          <t>20231106</t>
        </is>
      </c>
      <c r="P44" t="inlineStr">
        <is>
          <t>Jawa Barat</t>
        </is>
      </c>
      <c r="Q44" s="3">
        <f>HYPERLINK("https://wa.me/6281288812261?text=Selamat siang Bapak/Ibu pimpinan PILAR BUANA ABADI,%0A%0ASemoga Bapak/Ibu dalam keadaan baik.%0ABerdasarkan data LPJK, masa berlaku SBU perusahaan Bapak/Ibu akan berakhir sekitar 3 bulan lagi (pada 10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5">
      <c r="A45" t="inlineStr">
        <is>
          <t>PRATAMA CITRA KREASI</t>
        </is>
      </c>
      <c r="B45" t="inlineStr">
        <is>
          <t>Kota Adm. Jakarta Timur</t>
        </is>
      </c>
      <c r="C45" t="inlineStr">
        <is>
          <t>0218611576</t>
        </is>
      </c>
      <c r="D45" t="inlineStr">
        <is>
          <t>pratamacitrakreasi@yahoo.co.id</t>
        </is>
      </c>
      <c r="E45" t="inlineStr">
        <is>
          <t>https://lpjk.pu.go.id/search-badan-usaha-detail/S0VJamI2RnB5c1NBU3lFSktyTWtRdz09</t>
        </is>
      </c>
      <c r="F45" t="n">
        <v>6</v>
      </c>
      <c r="G45" t="inlineStr">
        <is>
          <t>BG001, BG002, BG005, BG006, BG009, BS004</t>
        </is>
      </c>
      <c r="H45" t="inlineStr">
        <is>
          <t>19 Maret 2014</t>
        </is>
      </c>
      <c r="I45" s="2" t="n">
        <v>46338</v>
      </c>
      <c r="J45" t="inlineStr">
        <is>
          <t>Disetujui</t>
        </is>
      </c>
      <c r="K45" t="n">
        <v>87</v>
      </c>
      <c r="L45" t="inlineStr">
        <is>
          <t>12 November 2026</t>
        </is>
      </c>
      <c r="M45" t="inlineStr">
        <is>
          <t>Konstruksi Gedung Hunian, Konstruksi Gedung Kesehatan, Konstruksi Gedung Lainnya, Konstruksi Gedung Pendidikan, Konstruksi Gedung Perkantoran, Konstruksi Jaringan Irigasi dan Drainase</t>
        </is>
      </c>
      <c r="N45" t="inlineStr">
        <is>
          <t>K</t>
        </is>
      </c>
      <c r="O45" t="inlineStr">
        <is>
          <t>20231111, 20231112</t>
        </is>
      </c>
      <c r="P45" t="inlineStr">
        <is>
          <t>DKI Jakarta</t>
        </is>
      </c>
      <c r="Q45" t="inlineStr"/>
    </row>
    <row r="46">
      <c r="A46" t="inlineStr">
        <is>
          <t>PUTERA FAHLEVI</t>
        </is>
      </c>
      <c r="B46" t="inlineStr">
        <is>
          <t>Kota Bogor</t>
        </is>
      </c>
      <c r="C46" t="inlineStr">
        <is>
          <t>081399017896</t>
        </is>
      </c>
      <c r="D46" t="inlineStr">
        <is>
          <t>rizkiakbar.legalmp@gmail.com</t>
        </is>
      </c>
      <c r="E46" t="inlineStr">
        <is>
          <t>https://lpjk.pu.go.id/search-badan-usaha-detail/cmdxL0x0NEl4L1NQdUdQeXRXYWRsZz09</t>
        </is>
      </c>
      <c r="F46" t="n">
        <v>2</v>
      </c>
      <c r="G46" t="inlineStr">
        <is>
          <t>BG002, BG009</t>
        </is>
      </c>
      <c r="H46" t="inlineStr">
        <is>
          <t>7 Agustus 2023</t>
        </is>
      </c>
      <c r="I46" s="2" t="n">
        <v>46335</v>
      </c>
      <c r="J46" t="inlineStr">
        <is>
          <t>Disetujui</t>
        </is>
      </c>
      <c r="K46" t="n">
        <v>87</v>
      </c>
      <c r="L46" t="inlineStr">
        <is>
          <t>9 November 2026</t>
        </is>
      </c>
      <c r="M46" t="inlineStr">
        <is>
          <t>Konstruksi Gedung Lainnya, Konstruksi Gedung Perkantoran</t>
        </is>
      </c>
      <c r="N46" t="inlineStr">
        <is>
          <t>K</t>
        </is>
      </c>
      <c r="O46" t="inlineStr">
        <is>
          <t>20231109</t>
        </is>
      </c>
      <c r="P46" t="inlineStr">
        <is>
          <t>Jawa Barat</t>
        </is>
      </c>
      <c r="Q46" s="3">
        <f>HYPERLINK("https://wa.me/6281399017896?text=Selamat siang Bapak/Ibu pimpinan PUTERA FAHLEVI,%0A%0ASemoga Bapak/Ibu dalam keadaan baik.%0ABerdasarkan data LPJK, masa berlaku SBU perusahaan Bapak/Ibu akan berakhir sekitar 3 bulan lagi (pada 9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7">
      <c r="A47" t="inlineStr">
        <is>
          <t>RAJA RIMBUN RAYA</t>
        </is>
      </c>
      <c r="B47" t="inlineStr">
        <is>
          <t>Kota Adm. Jakarta Timur</t>
        </is>
      </c>
      <c r="C47" t="inlineStr">
        <is>
          <t>082211364615</t>
        </is>
      </c>
      <c r="D47" t="inlineStr">
        <is>
          <t>Ryanmogalana@gmail.com</t>
        </is>
      </c>
      <c r="E47" t="inlineStr">
        <is>
          <t>https://lpjk.pu.go.id/search-badan-usaha-detail/S0JnNVJ1MXgxYTNQRmVwMmRVUGk5Zz09</t>
        </is>
      </c>
      <c r="F47" t="n">
        <v>2</v>
      </c>
      <c r="G47" t="inlineStr">
        <is>
          <t>BG001, BS001</t>
        </is>
      </c>
      <c r="H47" t="inlineStr">
        <is>
          <t>5 Oktober 2023</t>
        </is>
      </c>
      <c r="I47" s="2" t="n">
        <v>46338</v>
      </c>
      <c r="J47" t="inlineStr">
        <is>
          <t>Disetujui</t>
        </is>
      </c>
      <c r="K47" t="n">
        <v>87</v>
      </c>
      <c r="L47" t="inlineStr">
        <is>
          <t>12 November 2026</t>
        </is>
      </c>
      <c r="M47" t="inlineStr">
        <is>
          <t>Konstruksi Bangunan Sipil Jalan, Konstruksi Gedung Hunian</t>
        </is>
      </c>
      <c r="N47" t="inlineStr">
        <is>
          <t>K</t>
        </is>
      </c>
      <c r="O47" t="inlineStr">
        <is>
          <t>20231110</t>
        </is>
      </c>
      <c r="P47" t="inlineStr">
        <is>
          <t>DKI Jakarta</t>
        </is>
      </c>
      <c r="Q47" s="3">
        <f>HYPERLINK("https://wa.me/6282211364615?text=Selamat siang Bapak/Ibu pimpinan RAJA RIMBUN RAYA,%0A%0ASemoga Bapak/Ibu dalam keadaan baik.%0ABerdasarkan data LPJK, masa berlaku SBU perusahaan Bapak/Ibu akan berakhir sekitar 3 bulan lagi (pada 12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8">
      <c r="A48" t="inlineStr">
        <is>
          <t>RAMA PERKASA</t>
        </is>
      </c>
      <c r="B48" t="inlineStr">
        <is>
          <t>Kota Depok</t>
        </is>
      </c>
      <c r="C48" t="inlineStr">
        <is>
          <t>02187712763</t>
        </is>
      </c>
      <c r="D48" t="inlineStr">
        <is>
          <t>ramaperkasa@gmail.com</t>
        </is>
      </c>
      <c r="E48" t="inlineStr">
        <is>
          <t>https://lpjk.pu.go.id/search-badan-usaha-detail/SzFNeWtJSk1jVWU0QzlOWHZTanY1UT09</t>
        </is>
      </c>
      <c r="F48" t="n">
        <v>1</v>
      </c>
      <c r="G48" t="inlineStr">
        <is>
          <t>IN011</t>
        </is>
      </c>
      <c r="H48" t="inlineStr">
        <is>
          <t>18 Juni 2008</t>
        </is>
      </c>
      <c r="I48" s="2" t="n">
        <v>46336</v>
      </c>
      <c r="J48" t="inlineStr">
        <is>
          <t>Pembekuan</t>
        </is>
      </c>
      <c r="K48" t="n">
        <v>87</v>
      </c>
      <c r="L48" t="inlineStr">
        <is>
          <t>10 November 2026</t>
        </is>
      </c>
      <c r="M48" t="inlineStr">
        <is>
          <t>Instalasi Sinyal dan Rambu-rambu Jalan Raya</t>
        </is>
      </c>
      <c r="N48" t="inlineStr">
        <is>
          <t>Spesialis</t>
        </is>
      </c>
      <c r="O48" t="inlineStr">
        <is>
          <t>20231109</t>
        </is>
      </c>
      <c r="P48" t="inlineStr">
        <is>
          <t>Jawa Barat</t>
        </is>
      </c>
      <c r="Q48" t="inlineStr"/>
    </row>
    <row r="49">
      <c r="A49" t="inlineStr">
        <is>
          <t>SAIBAN INDO CREATIVE</t>
        </is>
      </c>
      <c r="B49" t="inlineStr">
        <is>
          <t>Kota Bogor</t>
        </is>
      </c>
      <c r="C49" t="inlineStr">
        <is>
          <t>083193522245</t>
        </is>
      </c>
      <c r="D49" t="inlineStr">
        <is>
          <t>saibanindocreative.pt@gmail.com</t>
        </is>
      </c>
      <c r="E49" t="inlineStr">
        <is>
          <t>https://lpjk.pu.go.id/search-badan-usaha-detail/KzQ4N3kreEFyV0J4VzVaUkNYWVJaZz09</t>
        </is>
      </c>
      <c r="F49" t="n">
        <v>1</v>
      </c>
      <c r="G49" t="inlineStr">
        <is>
          <t>BG006</t>
        </is>
      </c>
      <c r="H49" t="inlineStr">
        <is>
          <t>10 Oktober 2023</t>
        </is>
      </c>
      <c r="I49" s="2" t="n">
        <v>46337</v>
      </c>
      <c r="J49" t="inlineStr">
        <is>
          <t>Disetujui</t>
        </is>
      </c>
      <c r="K49" t="n">
        <v>87</v>
      </c>
      <c r="L49" t="inlineStr">
        <is>
          <t>11 November 2026</t>
        </is>
      </c>
      <c r="M49" t="inlineStr">
        <is>
          <t>Konstruksi Gedung Pendidikan</t>
        </is>
      </c>
      <c r="N49" t="inlineStr">
        <is>
          <t>K</t>
        </is>
      </c>
      <c r="O49" t="inlineStr">
        <is>
          <t>20231111</t>
        </is>
      </c>
      <c r="P49" t="inlineStr">
        <is>
          <t>Jawa Barat</t>
        </is>
      </c>
      <c r="Q49" s="3">
        <f>HYPERLINK("https://wa.me/6283193522245?text=Selamat siang Bapak/Ibu pimpinan SAIBAN INDO CREATIVE,%0A%0ASemoga Bapak/Ibu dalam keadaan baik.%0ABerdasarkan data LPJK, masa berlaku SBU perusahaan Bapak/Ibu akan berakhir sekitar 3 bulan lagi (pada 11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0">
      <c r="A50" t="inlineStr">
        <is>
          <t>SANGGUL BARINGIN BERKARYA</t>
        </is>
      </c>
      <c r="B50" t="inlineStr">
        <is>
          <t>Kota Bekasi</t>
        </is>
      </c>
      <c r="C50" t="inlineStr">
        <is>
          <t>087804072018</t>
        </is>
      </c>
      <c r="D50" t="inlineStr">
        <is>
          <t>pt.sanggulbaringinberkarya@gmail.com</t>
        </is>
      </c>
      <c r="E50" t="inlineStr">
        <is>
          <t>https://lpjk.pu.go.id/search-badan-usaha-detail/RDVYcmFTc00vTzliMUxQWExZT2h2QT09</t>
        </is>
      </c>
      <c r="F50" t="n">
        <v>2</v>
      </c>
      <c r="G50" t="inlineStr">
        <is>
          <t>BS001</t>
        </is>
      </c>
      <c r="H50" t="inlineStr">
        <is>
          <t>4 Juli 2022</t>
        </is>
      </c>
      <c r="I50" s="2" t="n">
        <v>46339</v>
      </c>
      <c r="J50" t="inlineStr">
        <is>
          <t>Disetujui</t>
        </is>
      </c>
      <c r="K50" t="n">
        <v>87</v>
      </c>
      <c r="L50" t="inlineStr">
        <is>
          <t>13 November 2026</t>
        </is>
      </c>
      <c r="M50" t="inlineStr">
        <is>
          <t>Konstruksi Bangunan Sipil Jalan</t>
        </is>
      </c>
      <c r="N50" t="inlineStr">
        <is>
          <t>K</t>
        </is>
      </c>
      <c r="O50" t="inlineStr">
        <is>
          <t>20231031</t>
        </is>
      </c>
      <c r="P50" t="inlineStr">
        <is>
          <t>Jawa Barat</t>
        </is>
      </c>
      <c r="Q50" s="3">
        <f>HYPERLINK("https://wa.me/6287804072018?text=Selamat siang Bapak/Ibu pimpinan SANGGUL BARINGIN BERKARYA,%0A%0ASemoga Bapak/Ibu dalam keadaan baik.%0ABerdasarkan data LPJK, masa berlaku SBU perusahaan Bapak/Ibu akan berakhir sekitar 3 bulan lagi (pada 13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1">
      <c r="A51" t="inlineStr">
        <is>
          <t>SIARBAD MANDIRI JAYA</t>
        </is>
      </c>
      <c r="B51" t="inlineStr">
        <is>
          <t>Kota Bekasi</t>
        </is>
      </c>
      <c r="C51" t="inlineStr">
        <is>
          <t>08111786220</t>
        </is>
      </c>
      <c r="D51" t="inlineStr">
        <is>
          <t>siarbadmj@gmail.com</t>
        </is>
      </c>
      <c r="E51" t="inlineStr">
        <is>
          <t>https://lpjk.pu.go.id/search-badan-usaha-detail/dS9keWtoanYybi9HN1VnRWYrZlpKdz09</t>
        </is>
      </c>
      <c r="F51" t="n">
        <v>3</v>
      </c>
      <c r="G51" t="inlineStr">
        <is>
          <t>BS001, BS008, BS009</t>
        </is>
      </c>
      <c r="H51" t="inlineStr">
        <is>
          <t>4 Januari 2019</t>
        </is>
      </c>
      <c r="I51" s="2" t="n">
        <v>46340</v>
      </c>
      <c r="J51" t="inlineStr">
        <is>
          <t>Disetujui</t>
        </is>
      </c>
      <c r="K51" t="n">
        <v>87</v>
      </c>
      <c r="L51" t="inlineStr">
        <is>
          <t>14 November 2026</t>
        </is>
      </c>
      <c r="M51" t="inlineStr">
        <is>
          <t>Konstruksi Bangunan Sipil Jalan, Konstruksi Bangunan Sipil Telekomunikasi untuk Prasarana Transportasi, Konstruksi Sentral Telekomunikasi</t>
        </is>
      </c>
      <c r="N51" t="inlineStr">
        <is>
          <t>K</t>
        </is>
      </c>
      <c r="O51" t="inlineStr">
        <is>
          <t>20231114</t>
        </is>
      </c>
      <c r="P51" t="inlineStr">
        <is>
          <t>Jawa Barat</t>
        </is>
      </c>
      <c r="Q51" s="3">
        <f>HYPERLINK("https://wa.me/628111786220?text=Selamat siang Bapak/Ibu pimpinan SIARBAD MANDIRI JAYA,%0A%0ASemoga Bapak/Ibu dalam keadaan baik.%0ABerdasarkan data LPJK, masa berlaku SBU perusahaan Bapak/Ibu akan berakhir sekitar 3 bulan lagi (pada 14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2">
      <c r="A52" t="inlineStr">
        <is>
          <t>SPECIALISED ACCESS SYSTEM</t>
        </is>
      </c>
      <c r="B52" t="inlineStr">
        <is>
          <t>Kab. Bogor</t>
        </is>
      </c>
      <c r="C52" t="inlineStr">
        <is>
          <t>081284701449</t>
        </is>
      </c>
      <c r="D52" t="inlineStr">
        <is>
          <t>infosas76@gmail.com</t>
        </is>
      </c>
      <c r="E52" t="inlineStr">
        <is>
          <t>https://lpjk.pu.go.id/search-badan-usaha-detail/aEptTk1WTmhaaTd5V3pCM1NBZWVDQT09</t>
        </is>
      </c>
      <c r="F52" t="n">
        <v>1</v>
      </c>
      <c r="G52" t="inlineStr">
        <is>
          <t>BG009</t>
        </is>
      </c>
      <c r="H52" t="inlineStr">
        <is>
          <t>3 Februari 2014</t>
        </is>
      </c>
      <c r="I52" s="2" t="n">
        <v>46335</v>
      </c>
      <c r="J52" t="inlineStr">
        <is>
          <t>Disetujui</t>
        </is>
      </c>
      <c r="K52" t="n">
        <v>87</v>
      </c>
      <c r="L52" t="inlineStr">
        <is>
          <t>9 November 2026</t>
        </is>
      </c>
      <c r="M52" t="inlineStr">
        <is>
          <t>Konstruksi Gedung Lainnya</t>
        </is>
      </c>
      <c r="N52" t="inlineStr">
        <is>
          <t>K</t>
        </is>
      </c>
      <c r="O52" t="inlineStr">
        <is>
          <t>20231107</t>
        </is>
      </c>
      <c r="P52" t="inlineStr">
        <is>
          <t>Jawa Barat</t>
        </is>
      </c>
      <c r="Q52" s="3">
        <f>HYPERLINK("https://wa.me/6281284701449?text=Selamat siang Bapak/Ibu pimpinan SPECIALISED ACCESS SYSTEM,%0A%0ASemoga Bapak/Ibu dalam keadaan baik.%0ABerdasarkan data LPJK, masa berlaku SBU perusahaan Bapak/Ibu akan berakhir sekitar 3 bulan lagi (pada 9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3">
      <c r="A53" t="inlineStr">
        <is>
          <t>TIGA PUTRA ABIKARYA</t>
        </is>
      </c>
      <c r="B53" t="inlineStr">
        <is>
          <t>Kota Bogor</t>
        </is>
      </c>
      <c r="C53" t="inlineStr">
        <is>
          <t>081288228</t>
        </is>
      </c>
      <c r="D53" t="inlineStr">
        <is>
          <t>Cv.putraabikarya@gmail.com</t>
        </is>
      </c>
      <c r="E53" t="inlineStr">
        <is>
          <t>https://lpjk.pu.go.id/search-badan-usaha-detail/NnRQWTNpY2RmamtIQWZ5bFdndXY1QT09</t>
        </is>
      </c>
      <c r="F53" t="n">
        <v>2</v>
      </c>
      <c r="G53" t="inlineStr">
        <is>
          <t>BS001, BS004</t>
        </is>
      </c>
      <c r="H53" t="inlineStr">
        <is>
          <t>16 September 2020</t>
        </is>
      </c>
      <c r="I53" s="2" t="n">
        <v>46337</v>
      </c>
      <c r="J53" t="inlineStr">
        <is>
          <t>Disetujui</t>
        </is>
      </c>
      <c r="K53" t="n">
        <v>87</v>
      </c>
      <c r="L53" t="inlineStr">
        <is>
          <t>11 November 2026</t>
        </is>
      </c>
      <c r="M53" t="inlineStr">
        <is>
          <t>Konstruksi Bangunan Sipil Jalan, Konstruksi Jaringan Irigasi dan Drainase</t>
        </is>
      </c>
      <c r="N53" t="inlineStr">
        <is>
          <t>K</t>
        </is>
      </c>
      <c r="O53" t="inlineStr">
        <is>
          <t>20231111, 20231115</t>
        </is>
      </c>
      <c r="P53" t="inlineStr">
        <is>
          <t>Jawa Barat</t>
        </is>
      </c>
      <c r="Q53" s="3">
        <f>HYPERLINK("https://wa.me/6281288228?text=Selamat siang Bapak/Ibu pimpinan TIGA PUTRA ABIKARYA,%0A%0ASemoga Bapak/Ibu dalam keadaan baik.%0ABerdasarkan data LPJK, masa berlaku SBU perusahaan Bapak/Ibu akan berakhir sekitar 3 bulan lagi (pada 11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4">
      <c r="A54" t="inlineStr">
        <is>
          <t>TIGA SAKA UTAMA</t>
        </is>
      </c>
      <c r="B54" t="inlineStr">
        <is>
          <t>Kota Bekasi</t>
        </is>
      </c>
      <c r="C54" t="inlineStr">
        <is>
          <t>02182612230</t>
        </is>
      </c>
      <c r="D54" t="inlineStr">
        <is>
          <t>tigasakautama@gmail.com</t>
        </is>
      </c>
      <c r="E54" t="inlineStr">
        <is>
          <t>https://lpjk.pu.go.id/search-badan-usaha-detail/bWFIVUd4eVBNN1FuaDFqRXI4aHpsZz09</t>
        </is>
      </c>
      <c r="F54" t="n">
        <v>1</v>
      </c>
      <c r="G54" t="inlineStr">
        <is>
          <t>BG001</t>
        </is>
      </c>
      <c r="H54" t="inlineStr">
        <is>
          <t>12 September 2018</t>
        </is>
      </c>
      <c r="I54" s="2" t="n">
        <v>46340</v>
      </c>
      <c r="J54" t="inlineStr">
        <is>
          <t>Pencabutan</t>
        </is>
      </c>
      <c r="K54" t="n">
        <v>87</v>
      </c>
      <c r="L54" t="inlineStr">
        <is>
          <t>14 November 2026</t>
        </is>
      </c>
      <c r="M54" t="inlineStr">
        <is>
          <t>Konstruksi Gedung Hunian</t>
        </is>
      </c>
      <c r="N54" t="inlineStr">
        <is>
          <t>K</t>
        </is>
      </c>
      <c r="O54" t="inlineStr">
        <is>
          <t>20231110</t>
        </is>
      </c>
      <c r="P54" t="inlineStr">
        <is>
          <t>Jawa Barat</t>
        </is>
      </c>
      <c r="Q54" t="inlineStr"/>
    </row>
    <row r="55">
      <c r="A55" t="inlineStr">
        <is>
          <t>TYVAS PRAST ADHIGANA</t>
        </is>
      </c>
      <c r="B55" t="inlineStr">
        <is>
          <t>Kota Bekasi</t>
        </is>
      </c>
      <c r="C55" t="inlineStr">
        <is>
          <t>081280105719</t>
        </is>
      </c>
      <c r="D55" t="inlineStr">
        <is>
          <t>tyvasprastadhigana@gmail.com</t>
        </is>
      </c>
      <c r="E55" t="inlineStr">
        <is>
          <t>https://lpjk.pu.go.id/search-badan-usaha-detail/Z2J0czhvbE1SaklKN3grNWthWVdKdz09</t>
        </is>
      </c>
      <c r="F55" t="n">
        <v>1</v>
      </c>
      <c r="G55" t="inlineStr">
        <is>
          <t>BS002</t>
        </is>
      </c>
      <c r="H55" t="inlineStr">
        <is>
          <t>14 Juli 2022</t>
        </is>
      </c>
      <c r="I55" s="2" t="n">
        <v>46339</v>
      </c>
      <c r="J55" t="inlineStr">
        <is>
          <t>Pembekuan</t>
        </is>
      </c>
      <c r="K55" t="n">
        <v>87</v>
      </c>
      <c r="L55" t="inlineStr">
        <is>
          <t>13 November 2026</t>
        </is>
      </c>
      <c r="M55" t="inlineStr">
        <is>
          <t>Bangunan Sipil Jembatan, Jalan Layang, Fly Over, dan Underpass</t>
        </is>
      </c>
      <c r="N55" t="inlineStr">
        <is>
          <t>M</t>
        </is>
      </c>
      <c r="O55" t="inlineStr">
        <is>
          <t>20231113</t>
        </is>
      </c>
      <c r="P55" t="inlineStr">
        <is>
          <t>Jawa Barat</t>
        </is>
      </c>
      <c r="Q55" s="3">
        <f>HYPERLINK("https://wa.me/6281280105719?text=Selamat siang Bapak/Ibu pimpinan TYVAS PRAST ADHIGANA,%0A%0ASemoga Bapak/Ibu dalam keadaan baik.%0ABerdasarkan data LPJK, masa berlaku SBU perusahaan Bapak/Ibu akan berakhir sekitar 3 bulan lagi (pada 13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6">
      <c r="A56" t="inlineStr">
        <is>
          <t>ULFA JAYA SUKSES</t>
        </is>
      </c>
      <c r="B56" t="inlineStr">
        <is>
          <t>Kota Bekasi</t>
        </is>
      </c>
      <c r="C56" t="inlineStr">
        <is>
          <t>02182409339</t>
        </is>
      </c>
      <c r="D56" t="inlineStr">
        <is>
          <t>ulfa.jaya.sukses45@gmail.com</t>
        </is>
      </c>
      <c r="E56" t="inlineStr">
        <is>
          <t>https://lpjk.pu.go.id/search-badan-usaha-detail/bWxocCtxNTV1WWpPYXFTblhYK0djQT09</t>
        </is>
      </c>
      <c r="F56" t="n">
        <v>5</v>
      </c>
      <c r="G56" t="inlineStr">
        <is>
          <t>BG001, BG002, BG004, BG007, BG009</t>
        </is>
      </c>
      <c r="H56" t="inlineStr">
        <is>
          <t>26 November 2019</t>
        </is>
      </c>
      <c r="I56" s="2" t="n">
        <v>46335</v>
      </c>
      <c r="J56" t="inlineStr">
        <is>
          <t>Disetujui</t>
        </is>
      </c>
      <c r="K56" t="n">
        <v>87</v>
      </c>
      <c r="L56" t="inlineStr">
        <is>
          <t>9 November 2026</t>
        </is>
      </c>
      <c r="M56" t="inlineStr">
        <is>
          <t>Konstruksi Gedung Hunian, Konstruksi Gedung Lainnya, Konstruksi Gedung Penginapan, Konstruksi Gedung Perbelanjaan, Konstruksi Gedung Perkantoran</t>
        </is>
      </c>
      <c r="N56" t="inlineStr">
        <is>
          <t>K</t>
        </is>
      </c>
      <c r="O56" t="inlineStr">
        <is>
          <t>20231109, 20231110</t>
        </is>
      </c>
      <c r="P56" t="inlineStr">
        <is>
          <t>Jawa Barat</t>
        </is>
      </c>
      <c r="Q56" t="inlineStr"/>
    </row>
    <row r="57">
      <c r="A57" t="inlineStr">
        <is>
          <t>WIDYA BANGUN PRAJA SEJAHTERA</t>
        </is>
      </c>
      <c r="B57" t="inlineStr">
        <is>
          <t>Kota Bogor</t>
        </is>
      </c>
      <c r="C57" t="inlineStr">
        <is>
          <t>08192123403</t>
        </is>
      </c>
      <c r="D57" t="inlineStr">
        <is>
          <t>wbps2021@gmail.com</t>
        </is>
      </c>
      <c r="E57" t="inlineStr">
        <is>
          <t>https://lpjk.pu.go.id/search-badan-usaha-detail/MmgwdkVWZFRiYlBjR2VrUHBUNldCZz09</t>
        </is>
      </c>
      <c r="F57" t="n">
        <v>1</v>
      </c>
      <c r="G57" t="inlineStr">
        <is>
          <t>BS009</t>
        </is>
      </c>
      <c r="H57" t="inlineStr">
        <is>
          <t>24 Februari 2021</t>
        </is>
      </c>
      <c r="I57" s="2" t="n">
        <v>46339</v>
      </c>
      <c r="J57" t="inlineStr">
        <is>
          <t>Disetujui</t>
        </is>
      </c>
      <c r="K57" t="n">
        <v>87</v>
      </c>
      <c r="L57" t="inlineStr">
        <is>
          <t>13 November 2026</t>
        </is>
      </c>
      <c r="M57" t="inlineStr">
        <is>
          <t>Konstruksi Sentral Telekomunikasi</t>
        </is>
      </c>
      <c r="N57" t="inlineStr">
        <is>
          <t>K</t>
        </is>
      </c>
      <c r="O57" t="inlineStr">
        <is>
          <t>20231108</t>
        </is>
      </c>
      <c r="P57" t="inlineStr">
        <is>
          <t>Jawa Barat</t>
        </is>
      </c>
      <c r="Q57" s="3">
        <f>HYPERLINK("https://wa.me/628192123403?text=Selamat siang Bapak/Ibu pimpinan WIDYA BANGUN PRAJA SEJAHTERA,%0A%0ASemoga Bapak/Ibu dalam keadaan baik.%0ABerdasarkan data LPJK, masa berlaku SBU perusahaan Bapak/Ibu akan berakhir sekitar 3 bulan lagi (pada 13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8">
      <c r="A58" t="inlineStr">
        <is>
          <t>WIDYAMITA</t>
        </is>
      </c>
      <c r="B58" t="inlineStr">
        <is>
          <t>Kota Adm. Jakarta Timur</t>
        </is>
      </c>
      <c r="C58" t="inlineStr">
        <is>
          <t>02122875922</t>
        </is>
      </c>
      <c r="D58" t="inlineStr">
        <is>
          <t>widyamita@gmail.com</t>
        </is>
      </c>
      <c r="E58" t="inlineStr">
        <is>
          <t>https://lpjk.pu.go.id/search-badan-usaha-detail/bUFjS3hHalVaVjRzU25ZeWs5Y3IyZz09</t>
        </is>
      </c>
      <c r="F58" t="n">
        <v>2</v>
      </c>
      <c r="G58" t="inlineStr">
        <is>
          <t>PB005, PB009</t>
        </is>
      </c>
      <c r="H58" t="inlineStr">
        <is>
          <t>9 Agustus 2007</t>
        </is>
      </c>
      <c r="I58" s="2" t="n">
        <v>46334</v>
      </c>
      <c r="J58" t="inlineStr">
        <is>
          <t>Disetujui</t>
        </is>
      </c>
      <c r="K58" t="n">
        <v>87</v>
      </c>
      <c r="L58" t="inlineStr">
        <is>
          <t>8 November 2026</t>
        </is>
      </c>
      <c r="M58" t="inlineStr">
        <is>
          <t>Pemasangan Ornamen dan Pekerjaan Seni, Pembersihan dan Perapihan Bangunan Gedung dan/atau Bangunan Sipil</t>
        </is>
      </c>
      <c r="N58" t="inlineStr">
        <is>
          <t>Spesialis</t>
        </is>
      </c>
      <c r="O58" t="inlineStr">
        <is>
          <t>20231018, 20231103</t>
        </is>
      </c>
      <c r="P58" t="inlineStr">
        <is>
          <t>DKI Jakarta</t>
        </is>
      </c>
      <c r="Q58" t="inlineStr"/>
    </row>
    <row r="59">
      <c r="A59" t="inlineStr">
        <is>
          <t>ABADI MITRA KARYA KONSTRUKSI INDONESIA</t>
        </is>
      </c>
      <c r="B59" t="inlineStr">
        <is>
          <t>Kota Adm. Jakarta Utara</t>
        </is>
      </c>
      <c r="C59" t="inlineStr">
        <is>
          <t>08111258151</t>
        </is>
      </c>
      <c r="D59" t="inlineStr">
        <is>
          <t>abadimitrakaryaKI@gmail.com</t>
        </is>
      </c>
      <c r="E59" t="inlineStr">
        <is>
          <t>https://lpjk.pu.go.id/search-badan-usaha-detail/d1ZMM1BvM1RESm5uUVZpL25wMENjZz09</t>
        </is>
      </c>
      <c r="F59" t="n">
        <v>2</v>
      </c>
      <c r="G59" t="inlineStr">
        <is>
          <t>BG003</t>
        </is>
      </c>
      <c r="H59" t="inlineStr">
        <is>
          <t>30 Oktober 2023</t>
        </is>
      </c>
      <c r="I59" s="2" t="n">
        <v>46339</v>
      </c>
      <c r="J59" t="inlineStr">
        <is>
          <t>Disetujui</t>
        </is>
      </c>
      <c r="K59" t="n">
        <v>87</v>
      </c>
      <c r="L59" t="inlineStr">
        <is>
          <t>13 November 2026</t>
        </is>
      </c>
      <c r="M59" t="inlineStr">
        <is>
          <t>Konstruksi Gedung Industri</t>
        </is>
      </c>
      <c r="N59" t="inlineStr">
        <is>
          <t>B</t>
        </is>
      </c>
      <c r="O59" t="inlineStr">
        <is>
          <t>20231110</t>
        </is>
      </c>
      <c r="P59" t="inlineStr">
        <is>
          <t>DKI Jakarta</t>
        </is>
      </c>
      <c r="Q59" t="inlineStr"/>
    </row>
    <row r="60">
      <c r="A60" t="inlineStr">
        <is>
          <t>ABDI BUMI CENDRAWASIH</t>
        </is>
      </c>
      <c r="B60" t="inlineStr">
        <is>
          <t>-</t>
        </is>
      </c>
      <c r="C60" t="inlineStr">
        <is>
          <t>081240299952</t>
        </is>
      </c>
      <c r="D60" t="inlineStr">
        <is>
          <t>pt.abdibumicendrawasih02@gmail.com</t>
        </is>
      </c>
      <c r="E60" t="inlineStr">
        <is>
          <t>https://lpjk.pu.go.id/search-badan-usaha-detail/aEZCMmthazF3ZE5MZjZaRE9YTnBWZz09</t>
        </is>
      </c>
      <c r="F60" t="n">
        <v>1</v>
      </c>
      <c r="G60" t="inlineStr">
        <is>
          <t>BS001</t>
        </is>
      </c>
      <c r="H60" t="inlineStr">
        <is>
          <t>22 Juni 2012</t>
        </is>
      </c>
      <c r="I60" s="2" t="n">
        <v>46335</v>
      </c>
      <c r="J60" t="inlineStr">
        <is>
          <t>Pencabutan</t>
        </is>
      </c>
      <c r="K60" t="n">
        <v>87</v>
      </c>
      <c r="L60" t="inlineStr">
        <is>
          <t>9 November 2026</t>
        </is>
      </c>
      <c r="M60" t="inlineStr">
        <is>
          <t>Konstruksi Bangunan Sipil Jalan</t>
        </is>
      </c>
      <c r="N60" t="inlineStr">
        <is>
          <t>M</t>
        </is>
      </c>
      <c r="O60" t="inlineStr">
        <is>
          <t>20231030</t>
        </is>
      </c>
      <c r="P60" t="inlineStr">
        <is>
          <t>Papua Tengah</t>
        </is>
      </c>
      <c r="Q60" t="inlineStr"/>
    </row>
    <row r="61">
      <c r="A61" t="inlineStr">
        <is>
          <t>ABDI PERDANA JAYA</t>
        </is>
      </c>
      <c r="B61" t="inlineStr">
        <is>
          <t>Kota Ambon</t>
        </is>
      </c>
      <c r="C61" t="inlineStr">
        <is>
          <t>081231647888</t>
        </is>
      </c>
      <c r="D61" t="inlineStr">
        <is>
          <t>abdiperdanajaya@yahoo.com</t>
        </is>
      </c>
      <c r="E61" t="inlineStr">
        <is>
          <t>https://lpjk.pu.go.id/search-badan-usaha-detail/QWRWSzdaRVcyUHNUWFVWSnVQbDl3QT09</t>
        </is>
      </c>
      <c r="F61" t="n">
        <v>1</v>
      </c>
      <c r="G61" t="inlineStr">
        <is>
          <t>BG001</t>
        </is>
      </c>
      <c r="H61" t="inlineStr">
        <is>
          <t>14 November 1997</t>
        </is>
      </c>
      <c r="I61" s="2" t="n">
        <v>46337</v>
      </c>
      <c r="J61" t="inlineStr">
        <is>
          <t>Pembekuan</t>
        </is>
      </c>
      <c r="K61" t="n">
        <v>87</v>
      </c>
      <c r="L61" t="inlineStr">
        <is>
          <t>11 November 2026</t>
        </is>
      </c>
      <c r="M61" t="inlineStr">
        <is>
          <t>Konstruksi Gedung Hunian</t>
        </is>
      </c>
      <c r="N61" t="inlineStr">
        <is>
          <t>M</t>
        </is>
      </c>
      <c r="O61" t="inlineStr">
        <is>
          <t>20231110</t>
        </is>
      </c>
      <c r="P61" t="inlineStr">
        <is>
          <t>Maluku</t>
        </is>
      </c>
      <c r="Q61" t="inlineStr"/>
    </row>
    <row r="62">
      <c r="A62" t="inlineStr">
        <is>
          <t>ABIN PUTRA RAYA</t>
        </is>
      </c>
      <c r="B62" t="inlineStr">
        <is>
          <t>Kab. Cirebon</t>
        </is>
      </c>
      <c r="C62" t="inlineStr">
        <is>
          <t>0231248396</t>
        </is>
      </c>
      <c r="D62" t="inlineStr">
        <is>
          <t>pt.abinputraraya@gmail.com</t>
        </is>
      </c>
      <c r="E62" t="inlineStr">
        <is>
          <t>https://lpjk.pu.go.id/search-badan-usaha-detail/eS9obmpJdm5tMkFkUkJrSmNRSFpWUT09</t>
        </is>
      </c>
      <c r="F62" t="n">
        <v>2</v>
      </c>
      <c r="G62" t="inlineStr">
        <is>
          <t>IN001, IN004</t>
        </is>
      </c>
      <c r="H62" t="inlineStr">
        <is>
          <t>14 Februari 2011</t>
        </is>
      </c>
      <c r="I62" s="2" t="n">
        <v>46339</v>
      </c>
      <c r="J62" t="inlineStr">
        <is>
          <t>Pembekuan</t>
        </is>
      </c>
      <c r="K62" t="n">
        <v>87</v>
      </c>
      <c r="L62" t="inlineStr">
        <is>
          <t>13 November 2026</t>
        </is>
      </c>
      <c r="M62" t="inlineStr">
        <is>
          <t>Instalasi Mekanikal, Instalasi Minyak dan Gas</t>
        </is>
      </c>
      <c r="N62" t="inlineStr">
        <is>
          <t>Spesialis</t>
        </is>
      </c>
      <c r="O62" t="inlineStr">
        <is>
          <t>20231107, 20231113</t>
        </is>
      </c>
      <c r="P62" t="inlineStr">
        <is>
          <t>Jawa Barat</t>
        </is>
      </c>
      <c r="Q62" t="inlineStr"/>
    </row>
    <row r="63">
      <c r="A63" t="inlineStr">
        <is>
          <t>ABYAKTA OPTIMA MANDIRI</t>
        </is>
      </c>
      <c r="B63" t="inlineStr">
        <is>
          <t>Kab. Banjarnegara</t>
        </is>
      </c>
      <c r="C63" t="inlineStr">
        <is>
          <t>081215314224</t>
        </is>
      </c>
      <c r="D63" t="inlineStr">
        <is>
          <t>cvabyaktaoptimamandiri@gmail.com</t>
        </is>
      </c>
      <c r="E63" t="inlineStr">
        <is>
          <t>https://lpjk.pu.go.id/search-badan-usaha-detail/UDlUZDJDVDFja0hJMVhCc3NQREIwZz09</t>
        </is>
      </c>
      <c r="F63" t="n">
        <v>5</v>
      </c>
      <c r="G63" t="inlineStr">
        <is>
          <t>BG001, BG005, BG006, BG009, BS001</t>
        </is>
      </c>
      <c r="H63" t="inlineStr">
        <is>
          <t>5 September 2022</t>
        </is>
      </c>
      <c r="I63" s="2" t="n">
        <v>46335</v>
      </c>
      <c r="J63" t="inlineStr">
        <is>
          <t>Disetujui</t>
        </is>
      </c>
      <c r="K63" t="n">
        <v>87</v>
      </c>
      <c r="L63" t="inlineStr">
        <is>
          <t>9 November 2026</t>
        </is>
      </c>
      <c r="M63" t="inlineStr">
        <is>
          <t>Konstruksi Bangunan Sipil Jalan, Konstruksi Gedung Hunian, Konstruksi Gedung Kesehatan, Konstruksi Gedung Lainnya, Konstruksi Gedung Pendidikan</t>
        </is>
      </c>
      <c r="N63" t="inlineStr">
        <is>
          <t>K</t>
        </is>
      </c>
      <c r="O63" t="inlineStr">
        <is>
          <t>20231105, 20231107</t>
        </is>
      </c>
      <c r="P63" t="inlineStr">
        <is>
          <t>Jawa Tengah</t>
        </is>
      </c>
      <c r="Q63" t="inlineStr"/>
    </row>
    <row r="64">
      <c r="A64" t="inlineStr">
        <is>
          <t>ADI PRATAMA</t>
        </is>
      </c>
      <c r="B64" t="inlineStr">
        <is>
          <t>Kota Surabaya</t>
        </is>
      </c>
      <c r="C64" t="inlineStr">
        <is>
          <t>0317405736</t>
        </is>
      </c>
      <c r="D64" t="inlineStr">
        <is>
          <t>adipratama25@yahoo.co.id</t>
        </is>
      </c>
      <c r="E64" t="inlineStr">
        <is>
          <t>https://lpjk.pu.go.id/search-badan-usaha-detail/N2oybEYvRHM2MWIrVnI5YVE5am0vUT09</t>
        </is>
      </c>
      <c r="F64" t="n">
        <v>1</v>
      </c>
      <c r="G64" t="inlineStr">
        <is>
          <t>BG003</t>
        </is>
      </c>
      <c r="H64" t="inlineStr">
        <is>
          <t>5 Maret 2007</t>
        </is>
      </c>
      <c r="I64" s="2" t="n">
        <v>46335</v>
      </c>
      <c r="J64" t="inlineStr">
        <is>
          <t>Disetujui</t>
        </is>
      </c>
      <c r="K64" t="n">
        <v>87</v>
      </c>
      <c r="L64" t="inlineStr">
        <is>
          <t>9 November 2026</t>
        </is>
      </c>
      <c r="M64" t="inlineStr">
        <is>
          <t>Konstruksi Gedung Industri</t>
        </is>
      </c>
      <c r="N64" t="inlineStr">
        <is>
          <t>K</t>
        </is>
      </c>
      <c r="O64" t="inlineStr">
        <is>
          <t>20231110</t>
        </is>
      </c>
      <c r="P64" t="inlineStr">
        <is>
          <t>Jawa Timur</t>
        </is>
      </c>
      <c r="Q64" t="inlineStr"/>
    </row>
    <row r="65">
      <c r="A65" t="inlineStr">
        <is>
          <t>ADIEN FARM</t>
        </is>
      </c>
      <c r="B65" t="inlineStr">
        <is>
          <t>Kab. Kuningan</t>
        </is>
      </c>
      <c r="C65" t="inlineStr">
        <is>
          <t>082240378144</t>
        </is>
      </c>
      <c r="D65" t="inlineStr">
        <is>
          <t>adienfarmcv@gmail.com</t>
        </is>
      </c>
      <c r="E65" t="inlineStr">
        <is>
          <t>https://lpjk.pu.go.id/search-badan-usaha-detail/K2ZKVWRJMTFkVDQ1NzRwTVpRZVEvdz09</t>
        </is>
      </c>
      <c r="F65" t="n">
        <v>2</v>
      </c>
      <c r="G65" t="inlineStr">
        <is>
          <t>BS001</t>
        </is>
      </c>
      <c r="H65" t="inlineStr">
        <is>
          <t>30 Maret 2004</t>
        </is>
      </c>
      <c r="I65" s="2" t="n">
        <v>46340</v>
      </c>
      <c r="J65" t="inlineStr">
        <is>
          <t>Disetujui</t>
        </is>
      </c>
      <c r="K65" t="n">
        <v>87</v>
      </c>
      <c r="L65" t="inlineStr">
        <is>
          <t>14 November 2026</t>
        </is>
      </c>
      <c r="M65" t="inlineStr">
        <is>
          <t>Konstruksi Bangunan Sipil Jalan</t>
        </is>
      </c>
      <c r="N65" t="inlineStr">
        <is>
          <t>K</t>
        </is>
      </c>
      <c r="O65" t="inlineStr">
        <is>
          <t>20231114</t>
        </is>
      </c>
      <c r="P65" t="inlineStr">
        <is>
          <t>Jawa Barat</t>
        </is>
      </c>
      <c r="Q65" t="inlineStr"/>
    </row>
    <row r="66">
      <c r="A66" t="inlineStr">
        <is>
          <t>ADILOKA KHATULISTIWA</t>
        </is>
      </c>
      <c r="B66" t="inlineStr">
        <is>
          <t>Kab. Indramayu</t>
        </is>
      </c>
      <c r="C66" t="inlineStr">
        <is>
          <t>+6282115808950</t>
        </is>
      </c>
      <c r="D66" t="inlineStr">
        <is>
          <t>adiloka.cv@gmail.com</t>
        </is>
      </c>
      <c r="E66" t="inlineStr">
        <is>
          <t>https://lpjk.pu.go.id/search-badan-usaha-detail/SGFoZ1dacmpkdkxGdzRIaFVqWHUvQT09</t>
        </is>
      </c>
      <c r="F66" t="n">
        <v>2</v>
      </c>
      <c r="G66" t="inlineStr">
        <is>
          <t>BS001</t>
        </is>
      </c>
      <c r="H66" t="inlineStr">
        <is>
          <t>6 September 2023</t>
        </is>
      </c>
      <c r="I66" s="2" t="n">
        <v>46340</v>
      </c>
      <c r="J66" t="inlineStr">
        <is>
          <t>Disetujui</t>
        </is>
      </c>
      <c r="K66" t="n">
        <v>87</v>
      </c>
      <c r="L66" t="inlineStr">
        <is>
          <t>14 November 2026</t>
        </is>
      </c>
      <c r="M66" t="inlineStr">
        <is>
          <t>Konstruksi Bangunan Sipil Jalan</t>
        </is>
      </c>
      <c r="N66" t="inlineStr">
        <is>
          <t>K</t>
        </is>
      </c>
      <c r="O66" t="inlineStr">
        <is>
          <t>20230914</t>
        </is>
      </c>
      <c r="P66" t="inlineStr">
        <is>
          <t>Jawa Barat</t>
        </is>
      </c>
      <c r="Q66" t="inlineStr"/>
    </row>
    <row r="67">
      <c r="A67" t="inlineStr">
        <is>
          <t>ADIPRIMA TEHNIKA</t>
        </is>
      </c>
      <c r="B67" t="inlineStr">
        <is>
          <t>Kab. Bondowoso</t>
        </is>
      </c>
      <c r="C67" t="inlineStr">
        <is>
          <t>085236986859</t>
        </is>
      </c>
      <c r="D67" t="inlineStr">
        <is>
          <t>andyrobbianmeidianto@gmail.com</t>
        </is>
      </c>
      <c r="E67" t="inlineStr">
        <is>
          <t>https://lpjk.pu.go.id/search-badan-usaha-detail/bWw2b3AvUUhNZU9jaGdlRkd2OEdqZz09</t>
        </is>
      </c>
      <c r="F67" t="n">
        <v>4</v>
      </c>
      <c r="G67" t="inlineStr">
        <is>
          <t>BG002, BG005, BG009, BS001</t>
        </is>
      </c>
      <c r="H67" t="inlineStr">
        <is>
          <t>11 Maret 2002</t>
        </is>
      </c>
      <c r="I67" s="2" t="n">
        <v>46335</v>
      </c>
      <c r="J67" t="inlineStr">
        <is>
          <t>Disetujui</t>
        </is>
      </c>
      <c r="K67" t="n">
        <v>87</v>
      </c>
      <c r="L67" t="inlineStr">
        <is>
          <t>9 November 2026</t>
        </is>
      </c>
      <c r="M67" t="inlineStr">
        <is>
          <t>Konstruksi Bangunan Sipil Jalan, Konstruksi Gedung Kesehatan, Konstruksi Gedung Lainnya, Konstruksi Gedung Perkantoran</t>
        </is>
      </c>
      <c r="N67" t="inlineStr">
        <is>
          <t>K</t>
        </is>
      </c>
      <c r="O67" t="inlineStr">
        <is>
          <t>20231103, 20231110</t>
        </is>
      </c>
      <c r="P67" t="inlineStr">
        <is>
          <t>Jawa Timur</t>
        </is>
      </c>
      <c r="Q67" t="inlineStr"/>
    </row>
    <row r="68">
      <c r="A68" t="inlineStr">
        <is>
          <t>ADYAKSA TAMA MANUNGGAL</t>
        </is>
      </c>
      <c r="B68" t="inlineStr">
        <is>
          <t>Kab. Mojokerto</t>
        </is>
      </c>
      <c r="C68" t="inlineStr">
        <is>
          <t>081331730818</t>
        </is>
      </c>
      <c r="D68" t="inlineStr">
        <is>
          <t>adyaksatamamanunggal@gmail.com</t>
        </is>
      </c>
      <c r="E68" t="inlineStr">
        <is>
          <t>https://lpjk.pu.go.id/search-badan-usaha-detail/bnN1WElDK2R1MGd1c2drS00reEgyZz09</t>
        </is>
      </c>
      <c r="F68" t="n">
        <v>1</v>
      </c>
      <c r="G68" t="inlineStr">
        <is>
          <t>BG006</t>
        </is>
      </c>
      <c r="H68" t="inlineStr">
        <is>
          <t>29 September 2015</t>
        </is>
      </c>
      <c r="I68" s="2" t="n">
        <v>46335</v>
      </c>
      <c r="J68" t="inlineStr">
        <is>
          <t>Disetujui</t>
        </is>
      </c>
      <c r="K68" t="n">
        <v>87</v>
      </c>
      <c r="L68" t="inlineStr">
        <is>
          <t>9 November 2026</t>
        </is>
      </c>
      <c r="M68" t="inlineStr">
        <is>
          <t>Konstruksi Gedung Pendidikan</t>
        </is>
      </c>
      <c r="N68" t="inlineStr">
        <is>
          <t>K</t>
        </is>
      </c>
      <c r="O68" t="inlineStr">
        <is>
          <t>20231109</t>
        </is>
      </c>
      <c r="P68" t="inlineStr">
        <is>
          <t>Jawa Timur</t>
        </is>
      </c>
      <c r="Q68" t="inlineStr"/>
    </row>
    <row r="69">
      <c r="A69" t="inlineStr">
        <is>
          <t>AFRAH ASHEELA ATAYA</t>
        </is>
      </c>
      <c r="B69" t="inlineStr">
        <is>
          <t>Kab. Labuhanbatu</t>
        </is>
      </c>
      <c r="C69" t="inlineStr">
        <is>
          <t>082377379054</t>
        </is>
      </c>
      <c r="D69" t="inlineStr">
        <is>
          <t>afrahasheelaathaya@gmail.com</t>
        </is>
      </c>
      <c r="E69" t="inlineStr">
        <is>
          <t>https://lpjk.pu.go.id/search-badan-usaha-detail/NlNJTURyTU1tbFpJNW5ZWHl6MzMrdz09</t>
        </is>
      </c>
      <c r="F69" t="n">
        <v>2</v>
      </c>
      <c r="G69" t="inlineStr">
        <is>
          <t>BS001</t>
        </is>
      </c>
      <c r="H69" t="inlineStr">
        <is>
          <t>15 September 2023</t>
        </is>
      </c>
      <c r="I69" s="2" t="n">
        <v>46337</v>
      </c>
      <c r="J69" t="inlineStr">
        <is>
          <t>Disetujui</t>
        </is>
      </c>
      <c r="K69" t="n">
        <v>87</v>
      </c>
      <c r="L69" t="inlineStr">
        <is>
          <t>11 November 2026</t>
        </is>
      </c>
      <c r="M69" t="inlineStr">
        <is>
          <t>Konstruksi Bangunan Sipil Jalan</t>
        </is>
      </c>
      <c r="N69" t="inlineStr">
        <is>
          <t>K</t>
        </is>
      </c>
      <c r="O69" t="inlineStr">
        <is>
          <t>20231107</t>
        </is>
      </c>
      <c r="P69" t="inlineStr">
        <is>
          <t>Sumatera Utara</t>
        </is>
      </c>
      <c r="Q69" t="inlineStr"/>
    </row>
    <row r="70">
      <c r="A70" t="inlineStr">
        <is>
          <t>AFRIDZA PUTRA</t>
        </is>
      </c>
      <c r="B70" t="inlineStr">
        <is>
          <t>Kab. Garut</t>
        </is>
      </c>
      <c r="C70" t="inlineStr">
        <is>
          <t>0262</t>
        </is>
      </c>
      <c r="D70" t="inlineStr">
        <is>
          <t>afridzaputra@gmail.com</t>
        </is>
      </c>
      <c r="E70" t="inlineStr">
        <is>
          <t>https://lpjk.pu.go.id/search-badan-usaha-detail/aUIxQlJUR1gxWUg3OTUzTWdKaUNQdz09</t>
        </is>
      </c>
      <c r="F70" t="n">
        <v>5</v>
      </c>
      <c r="G70" t="inlineStr">
        <is>
          <t>BG002, BG006, BG009, BS001, BS004</t>
        </is>
      </c>
      <c r="H70" t="inlineStr">
        <is>
          <t>9 Januari 2020</t>
        </is>
      </c>
      <c r="I70" s="2" t="n">
        <v>46336</v>
      </c>
      <c r="J70" t="inlineStr">
        <is>
          <t>Disetujui</t>
        </is>
      </c>
      <c r="K70" t="n">
        <v>87</v>
      </c>
      <c r="L70" t="inlineStr">
        <is>
          <t>10 November 2026</t>
        </is>
      </c>
      <c r="M70" t="inlineStr">
        <is>
          <t>Konstruksi Bangunan Sipil Jalan, Konstruksi Gedung Lainnya, Konstruksi Gedung Pendidikan, Konstruksi Gedung Perkantoran, Konstruksi Jaringan Irigasi dan Drainase</t>
        </is>
      </c>
      <c r="N70" t="inlineStr">
        <is>
          <t>K</t>
        </is>
      </c>
      <c r="O70" t="inlineStr">
        <is>
          <t>20230918, 20231109, 20231113</t>
        </is>
      </c>
      <c r="P70" t="inlineStr">
        <is>
          <t>Jawa Barat</t>
        </is>
      </c>
      <c r="Q70" t="inlineStr"/>
    </row>
    <row r="71">
      <c r="A71" t="inlineStr">
        <is>
          <t>AGUNG KARUNIA UTAMA</t>
        </is>
      </c>
      <c r="B71" t="inlineStr">
        <is>
          <t>Kota Adm. Jakarta Barat</t>
        </is>
      </c>
      <c r="C71" t="inlineStr">
        <is>
          <t>0215857979</t>
        </is>
      </c>
      <c r="D71" t="inlineStr">
        <is>
          <t>feizalmunzir@gmail.com</t>
        </is>
      </c>
      <c r="E71" t="inlineStr">
        <is>
          <t>https://lpjk.pu.go.id/search-badan-usaha-detail/Z09wRit3angwdHdqcXN3cWFLVXpGUT09</t>
        </is>
      </c>
      <c r="F71" t="n">
        <v>2</v>
      </c>
      <c r="G71" t="inlineStr">
        <is>
          <t>BS009</t>
        </is>
      </c>
      <c r="H71" t="inlineStr">
        <is>
          <t>7 Maret 1998</t>
        </is>
      </c>
      <c r="I71" s="2" t="n">
        <v>46335</v>
      </c>
      <c r="J71" t="inlineStr">
        <is>
          <t>Disetujui</t>
        </is>
      </c>
      <c r="K71" t="n">
        <v>87</v>
      </c>
      <c r="L71" t="inlineStr">
        <is>
          <t>9 November 2026</t>
        </is>
      </c>
      <c r="M71" t="inlineStr">
        <is>
          <t>Konstruksi Sentral Telekomunikasi</t>
        </is>
      </c>
      <c r="N71" t="inlineStr">
        <is>
          <t>K</t>
        </is>
      </c>
      <c r="O71" t="inlineStr">
        <is>
          <t>20231107</t>
        </is>
      </c>
      <c r="P71" t="inlineStr">
        <is>
          <t>DKI Jakarta</t>
        </is>
      </c>
      <c r="Q71" t="inlineStr"/>
    </row>
    <row r="72">
      <c r="A72" t="inlineStr">
        <is>
          <t>AGUNG RAYA</t>
        </is>
      </c>
      <c r="B72" t="inlineStr">
        <is>
          <t>Kab. Magetan</t>
        </is>
      </c>
      <c r="C72" t="inlineStr">
        <is>
          <t>08993503442</t>
        </is>
      </c>
      <c r="D72" t="inlineStr">
        <is>
          <t>agungraya.19@yahoo.com</t>
        </is>
      </c>
      <c r="E72" t="inlineStr">
        <is>
          <t>https://lpjk.pu.go.id/search-badan-usaha-detail/d2puNXBLSlFwWVFocnFkMi94TEJoZz09</t>
        </is>
      </c>
      <c r="F72" t="n">
        <v>2</v>
      </c>
      <c r="G72" t="inlineStr">
        <is>
          <t>BG009</t>
        </is>
      </c>
      <c r="H72" t="inlineStr">
        <is>
          <t>7 Februari 2019</t>
        </is>
      </c>
      <c r="I72" s="2" t="n">
        <v>46339</v>
      </c>
      <c r="J72" t="inlineStr">
        <is>
          <t>Disetujui</t>
        </is>
      </c>
      <c r="K72" t="n">
        <v>87</v>
      </c>
      <c r="L72" t="inlineStr">
        <is>
          <t>13 November 2026</t>
        </is>
      </c>
      <c r="M72" t="inlineStr">
        <is>
          <t>Konstruksi Gedung Lainnya</t>
        </is>
      </c>
      <c r="N72" t="inlineStr">
        <is>
          <t>K</t>
        </is>
      </c>
      <c r="O72" t="inlineStr">
        <is>
          <t>20231030</t>
        </is>
      </c>
      <c r="P72" t="inlineStr">
        <is>
          <t>Jawa Timur</t>
        </is>
      </c>
      <c r="Q72" t="inlineStr"/>
    </row>
    <row r="73">
      <c r="A73" t="inlineStr">
        <is>
          <t>AGUNG SADEWA PRATAMA</t>
        </is>
      </c>
      <c r="B73" t="inlineStr">
        <is>
          <t>Kab. Pandeglang</t>
        </is>
      </c>
      <c r="C73" t="inlineStr">
        <is>
          <t>087772755999</t>
        </is>
      </c>
      <c r="D73" t="inlineStr">
        <is>
          <t>ptagungsadewapratama@gmail.com</t>
        </is>
      </c>
      <c r="E73" t="inlineStr">
        <is>
          <t>https://lpjk.pu.go.id/search-badan-usaha-detail/aDBkem5ueTRoOXkwWUt5c2FBWFFLUT09</t>
        </is>
      </c>
      <c r="F73" t="n">
        <v>2</v>
      </c>
      <c r="G73" t="inlineStr">
        <is>
          <t>BS004</t>
        </is>
      </c>
      <c r="H73" t="inlineStr">
        <is>
          <t>9 Oktober 2020</t>
        </is>
      </c>
      <c r="I73" s="2" t="n">
        <v>46334</v>
      </c>
      <c r="J73" t="inlineStr">
        <is>
          <t>Disetujui</t>
        </is>
      </c>
      <c r="K73" t="n">
        <v>87</v>
      </c>
      <c r="L73" t="inlineStr">
        <is>
          <t>8 November 2026</t>
        </is>
      </c>
      <c r="M73" t="inlineStr">
        <is>
          <t>Konstruksi Jaringan Irigasi dan Drainase</t>
        </is>
      </c>
      <c r="N73" t="inlineStr">
        <is>
          <t>M</t>
        </is>
      </c>
      <c r="O73" t="inlineStr">
        <is>
          <t>20231102</t>
        </is>
      </c>
      <c r="P73" t="inlineStr">
        <is>
          <t>Banten</t>
        </is>
      </c>
      <c r="Q73" t="inlineStr"/>
    </row>
    <row r="74">
      <c r="A74" t="inlineStr">
        <is>
          <t>AGUNG SEDAYU PERMAI</t>
        </is>
      </c>
      <c r="B74" t="inlineStr">
        <is>
          <t>Kota Adm. Jakarta Barat</t>
        </is>
      </c>
      <c r="C74" t="inlineStr">
        <is>
          <t>02154351616</t>
        </is>
      </c>
      <c r="D74" t="inlineStr">
        <is>
          <t>agungsedayupermai@worldmailserve.com</t>
        </is>
      </c>
      <c r="E74" t="inlineStr">
        <is>
          <t>https://lpjk.pu.go.id/search-badan-usaha-detail/cVFwQmVYQ2tjazZWeU41SHpQd0lpZz09</t>
        </is>
      </c>
      <c r="F74" t="n">
        <v>4</v>
      </c>
      <c r="G74" t="inlineStr">
        <is>
          <t>BG001, BG002</t>
        </is>
      </c>
      <c r="H74" t="inlineStr">
        <is>
          <t>12 November 1980</t>
        </is>
      </c>
      <c r="I74" s="2" t="n">
        <v>46336</v>
      </c>
      <c r="J74" t="inlineStr">
        <is>
          <t>Disetujui</t>
        </is>
      </c>
      <c r="K74" t="n">
        <v>87</v>
      </c>
      <c r="L74" t="inlineStr">
        <is>
          <t>10 November 2026</t>
        </is>
      </c>
      <c r="M74" t="inlineStr">
        <is>
          <t>Konstruksi Gedung Hunian, Konstruksi Gedung Perkantoran</t>
        </is>
      </c>
      <c r="N74" t="inlineStr">
        <is>
          <t>K</t>
        </is>
      </c>
      <c r="O74" t="inlineStr">
        <is>
          <t>20231018</t>
        </is>
      </c>
      <c r="P74" t="inlineStr">
        <is>
          <t>DKI Jakarta</t>
        </is>
      </c>
      <c r="Q74" t="inlineStr"/>
    </row>
    <row r="75">
      <c r="A75" t="inlineStr">
        <is>
          <t>AKSA INDO MANUFAKTUR</t>
        </is>
      </c>
      <c r="B75" t="inlineStr">
        <is>
          <t>Kota Palu</t>
        </is>
      </c>
      <c r="C75" t="inlineStr">
        <is>
          <t>08114534393</t>
        </is>
      </c>
      <c r="D75" t="inlineStr">
        <is>
          <t>aksaindomanufaktur@gmail.com</t>
        </is>
      </c>
      <c r="E75" t="inlineStr">
        <is>
          <t>https://lpjk.pu.go.id/search-badan-usaha-detail/L1B1WkZTR1dpTUIzVkRXSkpJL01vdz09</t>
        </is>
      </c>
      <c r="F75" t="n">
        <v>2</v>
      </c>
      <c r="G75" t="inlineStr">
        <is>
          <t>BG006, BS001</t>
        </is>
      </c>
      <c r="H75" t="inlineStr">
        <is>
          <t>9 Januari 2023</t>
        </is>
      </c>
      <c r="I75" s="2" t="n">
        <v>46334</v>
      </c>
      <c r="J75" t="inlineStr">
        <is>
          <t>Disetujui</t>
        </is>
      </c>
      <c r="K75" t="n">
        <v>87</v>
      </c>
      <c r="L75" t="inlineStr">
        <is>
          <t>8 November 2026</t>
        </is>
      </c>
      <c r="M75" t="inlineStr">
        <is>
          <t>Konstruksi Bangunan Sipil Jalan, Konstruksi Gedung Pendidikan</t>
        </is>
      </c>
      <c r="N75" t="inlineStr">
        <is>
          <t>K</t>
        </is>
      </c>
      <c r="O75" t="inlineStr">
        <is>
          <t>20231025, 20231107</t>
        </is>
      </c>
      <c r="P75" t="inlineStr">
        <is>
          <t>Sulawesi Tengah</t>
        </is>
      </c>
      <c r="Q75" t="inlineStr"/>
    </row>
    <row r="76">
      <c r="A76" t="inlineStr">
        <is>
          <t>AKUSARA KARYA BESTARI BAROKAH</t>
        </is>
      </c>
      <c r="B76" t="inlineStr">
        <is>
          <t>Kab. Kutai Kartanegara</t>
        </is>
      </c>
      <c r="C76" t="inlineStr">
        <is>
          <t>083127361170</t>
        </is>
      </c>
      <c r="D76" t="inlineStr">
        <is>
          <t>akusarabestari@gmail.com</t>
        </is>
      </c>
      <c r="E76" t="inlineStr">
        <is>
          <t>https://lpjk.pu.go.id/search-badan-usaha-detail/czRtQUhaM1UvdTBveGJUK1lYUHQ0Zz09</t>
        </is>
      </c>
      <c r="F76" t="n">
        <v>1</v>
      </c>
      <c r="G76" t="inlineStr">
        <is>
          <t>BS004</t>
        </is>
      </c>
      <c r="H76" t="inlineStr">
        <is>
          <t>26 September 2022</t>
        </is>
      </c>
      <c r="I76" s="2" t="n">
        <v>46337</v>
      </c>
      <c r="J76" t="inlineStr">
        <is>
          <t>Pencabutan</t>
        </is>
      </c>
      <c r="K76" t="n">
        <v>87</v>
      </c>
      <c r="L76" t="inlineStr">
        <is>
          <t>11 November 2026</t>
        </is>
      </c>
      <c r="M76" t="inlineStr">
        <is>
          <t>Konstruksi Jaringan Irigasi dan Drainase</t>
        </is>
      </c>
      <c r="N76" t="inlineStr">
        <is>
          <t>K</t>
        </is>
      </c>
      <c r="O76" t="inlineStr">
        <is>
          <t>20231108</t>
        </is>
      </c>
      <c r="P76" t="inlineStr">
        <is>
          <t>Kalimantan Timur</t>
        </is>
      </c>
      <c r="Q76" t="inlineStr"/>
    </row>
    <row r="77">
      <c r="A77" t="inlineStr">
        <is>
          <t>ALAM ARTA PERSADA</t>
        </is>
      </c>
      <c r="B77" t="inlineStr">
        <is>
          <t>Kab. Kendal</t>
        </is>
      </c>
      <c r="C77" t="inlineStr">
        <is>
          <t>08112991981</t>
        </is>
      </c>
      <c r="D77" t="inlineStr">
        <is>
          <t>alam.arta.persada@gmail.com</t>
        </is>
      </c>
      <c r="E77" t="inlineStr">
        <is>
          <t>https://lpjk.pu.go.id/search-badan-usaha-detail/VGNyRG1neUR1MFhvb0U4aDZON3NYUT09</t>
        </is>
      </c>
      <c r="F77" t="n">
        <v>2</v>
      </c>
      <c r="G77" t="inlineStr">
        <is>
          <t>BS002, BS010</t>
        </is>
      </c>
      <c r="H77" t="inlineStr">
        <is>
          <t>11 April 2017</t>
        </is>
      </c>
      <c r="I77" s="2" t="n">
        <v>46334</v>
      </c>
      <c r="J77" t="inlineStr">
        <is>
          <t>Disetujui</t>
        </is>
      </c>
      <c r="K77" t="n">
        <v>87</v>
      </c>
      <c r="L77" t="inlineStr">
        <is>
          <t>8 November 2026</t>
        </is>
      </c>
      <c r="M77" t="inlineStr">
        <is>
          <t>Bangunan Sipil Jembatan, Jalan Layang, Fly Over, dan Underpass, Konstruksi Bangunan Prasarana Sumber Daya Air</t>
        </is>
      </c>
      <c r="N77" t="inlineStr">
        <is>
          <t>K</t>
        </is>
      </c>
      <c r="O77" t="inlineStr">
        <is>
          <t>20231030, 20231101</t>
        </is>
      </c>
      <c r="P77" t="inlineStr">
        <is>
          <t>Jawa Tengah</t>
        </is>
      </c>
      <c r="Q77" t="inlineStr"/>
    </row>
    <row r="78">
      <c r="A78" t="inlineStr">
        <is>
          <t>ALAM BLANG LANCANG</t>
        </is>
      </c>
      <c r="B78" t="inlineStr">
        <is>
          <t>Kota Lhokseumawe</t>
        </is>
      </c>
      <c r="C78" t="inlineStr">
        <is>
          <t>06458450258</t>
        </is>
      </c>
      <c r="D78" t="inlineStr">
        <is>
          <t>pt.alamblanglancang@gmail.com</t>
        </is>
      </c>
      <c r="E78" t="inlineStr">
        <is>
          <t>https://lpjk.pu.go.id/search-badan-usaha-detail/MkxhL1ZnVC9JaEhKSnNNQUdaWE16dz09</t>
        </is>
      </c>
      <c r="F78" t="n">
        <v>1</v>
      </c>
      <c r="G78" t="inlineStr">
        <is>
          <t>IN004</t>
        </is>
      </c>
      <c r="H78" t="inlineStr">
        <is>
          <t>4 Maret 2010</t>
        </is>
      </c>
      <c r="I78" s="2" t="n">
        <v>46335</v>
      </c>
      <c r="J78" t="inlineStr">
        <is>
          <t>Disetujui</t>
        </is>
      </c>
      <c r="K78" t="n">
        <v>87</v>
      </c>
      <c r="L78" t="inlineStr">
        <is>
          <t>9 November 2026</t>
        </is>
      </c>
      <c r="M78" t="inlineStr">
        <is>
          <t>Instalasi Minyak dan Gas</t>
        </is>
      </c>
      <c r="N78" t="inlineStr">
        <is>
          <t>Spesialis</t>
        </is>
      </c>
      <c r="O78" t="inlineStr">
        <is>
          <t>20231106</t>
        </is>
      </c>
      <c r="P78" t="inlineStr">
        <is>
          <t>Aceh</t>
        </is>
      </c>
      <c r="Q78" t="inlineStr"/>
    </row>
    <row r="79">
      <c r="A79" t="inlineStr">
        <is>
          <t>ALAM JAYA MANDIRI</t>
        </is>
      </c>
      <c r="B79" t="inlineStr">
        <is>
          <t>Kab. Tuban</t>
        </is>
      </c>
      <c r="C79" t="inlineStr">
        <is>
          <t>08125938197</t>
        </is>
      </c>
      <c r="D79" t="inlineStr">
        <is>
          <t>cvalamjaya.mandiri@yahoo.com</t>
        </is>
      </c>
      <c r="E79" t="inlineStr">
        <is>
          <t>https://lpjk.pu.go.id/search-badan-usaha-detail/TmcwMStrSEppUFYvOFpLdXMrOUhzdz09</t>
        </is>
      </c>
      <c r="F79" t="n">
        <v>2</v>
      </c>
      <c r="G79" t="inlineStr">
        <is>
          <t>BG001, BS001</t>
        </is>
      </c>
      <c r="H79" t="inlineStr">
        <is>
          <t>6 Juli 2017</t>
        </is>
      </c>
      <c r="I79" s="2" t="n">
        <v>46337</v>
      </c>
      <c r="J79" t="inlineStr">
        <is>
          <t>Disetujui</t>
        </is>
      </c>
      <c r="K79" t="n">
        <v>87</v>
      </c>
      <c r="L79" t="inlineStr">
        <is>
          <t>11 November 2026</t>
        </is>
      </c>
      <c r="M79" t="inlineStr">
        <is>
          <t>Konstruksi Bangunan Sipil Jalan, Konstruksi Gedung Hunian</t>
        </is>
      </c>
      <c r="N79" t="inlineStr">
        <is>
          <t>K</t>
        </is>
      </c>
      <c r="O79" t="inlineStr">
        <is>
          <t>20231108</t>
        </is>
      </c>
      <c r="P79" t="inlineStr">
        <is>
          <t>Jawa Timur</t>
        </is>
      </c>
      <c r="Q79" t="inlineStr"/>
    </row>
    <row r="80">
      <c r="A80" t="inlineStr">
        <is>
          <t>ALAM MINANG</t>
        </is>
      </c>
      <c r="B80" t="inlineStr">
        <is>
          <t>Kab. Agam</t>
        </is>
      </c>
      <c r="C80" t="inlineStr">
        <is>
          <t>081363152611</t>
        </is>
      </c>
      <c r="D80" t="inlineStr">
        <is>
          <t>cv.alamminang@gmail.com</t>
        </is>
      </c>
      <c r="E80" t="inlineStr">
        <is>
          <t>https://lpjk.pu.go.id/search-badan-usaha-detail/alVFd2dlQlM4a3V0MFBxd2ZIUHBOdz09</t>
        </is>
      </c>
      <c r="F80" t="n">
        <v>7</v>
      </c>
      <c r="G80" t="inlineStr">
        <is>
          <t>BG002, BG004, BG005, BG006, BS001, BS002, BS004</t>
        </is>
      </c>
      <c r="H80" t="inlineStr">
        <is>
          <t>10 April 2003</t>
        </is>
      </c>
      <c r="I80" s="2" t="n">
        <v>46335</v>
      </c>
      <c r="J80" t="inlineStr">
        <is>
          <t>Disetujui</t>
        </is>
      </c>
      <c r="K80" t="n">
        <v>87</v>
      </c>
      <c r="L80" t="inlineStr">
        <is>
          <t>9 November 2026</t>
        </is>
      </c>
      <c r="M80" t="inlineStr">
        <is>
          <t>Bangunan Sipil Jembatan, Jalan Layang, Fly Over, dan Underpass, Konstruksi Bangunan Sipil Jalan, Konstruksi Gedung Kesehatan, Konstruksi Gedung Pendidikan, Konstruksi Gedung Perbelanjaan, Konstruksi Gedung Perkantoran, Konstruksi Jaringan Irigasi dan Drainase</t>
        </is>
      </c>
      <c r="N80" t="inlineStr">
        <is>
          <t>K</t>
        </is>
      </c>
      <c r="O80" t="inlineStr">
        <is>
          <t>20231110, 20231113</t>
        </is>
      </c>
      <c r="P80" t="inlineStr">
        <is>
          <t>Sumatera Barat</t>
        </is>
      </c>
      <c r="Q80" t="inlineStr"/>
    </row>
    <row r="81">
      <c r="A81" t="inlineStr">
        <is>
          <t>ALAMI INTER MEDIA</t>
        </is>
      </c>
      <c r="B81" t="inlineStr">
        <is>
          <t>Kota Bandung</t>
        </is>
      </c>
      <c r="C81" t="inlineStr">
        <is>
          <t>08112004414</t>
        </is>
      </c>
      <c r="D81" t="inlineStr">
        <is>
          <t>aim.contact@alami-group.com</t>
        </is>
      </c>
      <c r="E81" t="inlineStr">
        <is>
          <t>https://lpjk.pu.go.id/search-badan-usaha-detail/UmhqMmw0UnNMcWsrcWh6UjdrQTA4UT09</t>
        </is>
      </c>
      <c r="F81" t="n">
        <v>6</v>
      </c>
      <c r="G81" t="inlineStr">
        <is>
          <t>AL002, AL004, AR001</t>
        </is>
      </c>
      <c r="H81" t="inlineStr">
        <is>
          <t>22 Agustus 2008</t>
        </is>
      </c>
      <c r="I81" s="2" t="n">
        <v>46335</v>
      </c>
      <c r="J81" t="inlineStr">
        <is>
          <t>Disetujui</t>
        </is>
      </c>
      <c r="K81" t="n">
        <v>87</v>
      </c>
      <c r="L81" t="inlineStr">
        <is>
          <t>9 November 2026</t>
        </is>
      </c>
      <c r="M81" t="inlineStr">
        <is>
          <t>Jasa Arsitektural Bangunan Gedung Hunian dan Non Hunian, Jasa Pengembangan Lingkungan Bangunan dan Lanskap, Jasa Pengembangan Wilayah</t>
        </is>
      </c>
      <c r="N81" t="inlineStr">
        <is>
          <t>K</t>
        </is>
      </c>
      <c r="O81" t="inlineStr">
        <is>
          <t>20231031</t>
        </is>
      </c>
      <c r="P81" t="inlineStr">
        <is>
          <t>Jawa Barat</t>
        </is>
      </c>
      <c r="Q81" t="inlineStr"/>
    </row>
    <row r="82">
      <c r="A82" t="inlineStr">
        <is>
          <t>ALIF BERDIRI</t>
        </is>
      </c>
      <c r="B82" t="inlineStr">
        <is>
          <t>Kab. Kutai Timur</t>
        </is>
      </c>
      <c r="C82" t="inlineStr">
        <is>
          <t>081333406808</t>
        </is>
      </c>
      <c r="D82" t="inlineStr">
        <is>
          <t>alifberdiri5@gmail.com</t>
        </is>
      </c>
      <c r="E82" t="inlineStr">
        <is>
          <t>https://lpjk.pu.go.id/search-badan-usaha-detail/NWxScDBROXZFaXFIMHR5Y1VnNVdCUT09</t>
        </is>
      </c>
      <c r="F82" t="n">
        <v>1</v>
      </c>
      <c r="G82" t="inlineStr">
        <is>
          <t>BS001</t>
        </is>
      </c>
      <c r="H82" t="inlineStr">
        <is>
          <t>17 April 2018</t>
        </is>
      </c>
      <c r="I82" s="2" t="n">
        <v>46339</v>
      </c>
      <c r="J82" t="inlineStr">
        <is>
          <t>Disetujui</t>
        </is>
      </c>
      <c r="K82" t="n">
        <v>87</v>
      </c>
      <c r="L82" t="inlineStr">
        <is>
          <t>13 November 2026</t>
        </is>
      </c>
      <c r="M82" t="inlineStr">
        <is>
          <t>Konstruksi Bangunan Sipil Jalan</t>
        </is>
      </c>
      <c r="N82" t="inlineStr">
        <is>
          <t>K</t>
        </is>
      </c>
      <c r="O82" t="inlineStr">
        <is>
          <t>20231114</t>
        </is>
      </c>
      <c r="P82" t="inlineStr">
        <is>
          <t>Kalimantan Timur</t>
        </is>
      </c>
      <c r="Q82" t="inlineStr"/>
    </row>
    <row r="83">
      <c r="A83" t="inlineStr">
        <is>
          <t>ALKAFILA</t>
        </is>
      </c>
      <c r="B83" t="inlineStr">
        <is>
          <t>Kab. Blitar</t>
        </is>
      </c>
      <c r="C83" t="inlineStr">
        <is>
          <t>0</t>
        </is>
      </c>
      <c r="D83" t="inlineStr">
        <is>
          <t>cvalkafila@gmail.com</t>
        </is>
      </c>
      <c r="E83" t="inlineStr">
        <is>
          <t>https://lpjk.pu.go.id/search-badan-usaha-detail/SlEyQzdHc3pOVWVKSDhTQ09kU21UUT09</t>
        </is>
      </c>
      <c r="F83" t="n">
        <v>2</v>
      </c>
      <c r="G83" t="inlineStr">
        <is>
          <t>BG009</t>
        </is>
      </c>
      <c r="H83" t="inlineStr">
        <is>
          <t>13 Juni 2008</t>
        </is>
      </c>
      <c r="I83" s="2" t="n">
        <v>46340</v>
      </c>
      <c r="J83" t="inlineStr">
        <is>
          <t>Disetujui</t>
        </is>
      </c>
      <c r="K83" t="n">
        <v>87</v>
      </c>
      <c r="L83" t="inlineStr">
        <is>
          <t>14 November 2026</t>
        </is>
      </c>
      <c r="M83" t="inlineStr">
        <is>
          <t>Konstruksi Gedung Lainnya</t>
        </is>
      </c>
      <c r="N83" t="inlineStr">
        <is>
          <t>K</t>
        </is>
      </c>
      <c r="O83" t="inlineStr">
        <is>
          <t>20231113</t>
        </is>
      </c>
      <c r="P83" t="inlineStr">
        <is>
          <t>Jawa Timur</t>
        </is>
      </c>
      <c r="Q83" t="inlineStr"/>
    </row>
    <row r="84">
      <c r="A84" t="inlineStr">
        <is>
          <t>ALZAM FAIZ</t>
        </is>
      </c>
      <c r="B84" t="inlineStr">
        <is>
          <t>Kota Pontianak</t>
        </is>
      </c>
      <c r="C84" t="inlineStr">
        <is>
          <t>089680760805</t>
        </is>
      </c>
      <c r="D84" t="inlineStr">
        <is>
          <t>alzamfaiz823@gmail.com</t>
        </is>
      </c>
      <c r="E84" t="inlineStr">
        <is>
          <t>https://lpjk.pu.go.id/search-badan-usaha-detail/eERrMlBUazBIUVVXZEJWdE00WjFqUT09</t>
        </is>
      </c>
      <c r="F84" t="n">
        <v>1</v>
      </c>
      <c r="G84" t="inlineStr">
        <is>
          <t>BS004</t>
        </is>
      </c>
      <c r="H84" t="inlineStr">
        <is>
          <t>5 Februari 2020</t>
        </is>
      </c>
      <c r="I84" s="2" t="n">
        <v>46338</v>
      </c>
      <c r="J84" t="inlineStr">
        <is>
          <t>Disetujui</t>
        </is>
      </c>
      <c r="K84" t="n">
        <v>87</v>
      </c>
      <c r="L84" t="inlineStr">
        <is>
          <t>12 November 2026</t>
        </is>
      </c>
      <c r="M84" t="inlineStr">
        <is>
          <t>Konstruksi Jaringan Irigasi dan Drainase</t>
        </is>
      </c>
      <c r="N84" t="inlineStr">
        <is>
          <t>K</t>
        </is>
      </c>
      <c r="O84" t="inlineStr">
        <is>
          <t>20231112</t>
        </is>
      </c>
      <c r="P84" t="inlineStr">
        <is>
          <t>Kalimantan Barat</t>
        </is>
      </c>
      <c r="Q84" t="inlineStr"/>
    </row>
    <row r="85">
      <c r="A85" t="inlineStr">
        <is>
          <t>AMANDA PERDANA</t>
        </is>
      </c>
      <c r="B85" t="inlineStr">
        <is>
          <t>Kota Makassar</t>
        </is>
      </c>
      <c r="C85" t="inlineStr">
        <is>
          <t>081355213822</t>
        </is>
      </c>
      <c r="D85" t="inlineStr">
        <is>
          <t>amandaperdana035@gmail.com</t>
        </is>
      </c>
      <c r="E85" t="inlineStr">
        <is>
          <t>https://lpjk.pu.go.id/search-badan-usaha-detail/U0tMVFZUNE1QN3pNWGhDanpycTlkQT09</t>
        </is>
      </c>
      <c r="F85" t="n">
        <v>2</v>
      </c>
      <c r="G85" t="inlineStr">
        <is>
          <t>BS001</t>
        </is>
      </c>
      <c r="H85" t="inlineStr">
        <is>
          <t>15 Juni 2004</t>
        </is>
      </c>
      <c r="I85" s="2" t="n">
        <v>46335</v>
      </c>
      <c r="J85" t="inlineStr">
        <is>
          <t>Disetujui</t>
        </is>
      </c>
      <c r="K85" t="n">
        <v>87</v>
      </c>
      <c r="L85" t="inlineStr">
        <is>
          <t>9 November 2026</t>
        </is>
      </c>
      <c r="M85" t="inlineStr">
        <is>
          <t>Konstruksi Bangunan Sipil Jalan</t>
        </is>
      </c>
      <c r="N85" t="inlineStr">
        <is>
          <t>K</t>
        </is>
      </c>
      <c r="O85" t="inlineStr">
        <is>
          <t>20231012</t>
        </is>
      </c>
      <c r="P85" t="inlineStr">
        <is>
          <t>Sulawesi Selatan</t>
        </is>
      </c>
      <c r="Q85" t="inlineStr"/>
    </row>
    <row r="86">
      <c r="A86" t="inlineStr">
        <is>
          <t>ANDARAYA PERKASA</t>
        </is>
      </c>
      <c r="B86" t="inlineStr">
        <is>
          <t>Kota Pontianak</t>
        </is>
      </c>
      <c r="C86" t="inlineStr">
        <is>
          <t>0812 5722 028_</t>
        </is>
      </c>
      <c r="D86" t="inlineStr">
        <is>
          <t>cv.andarayaperkasa@yahoo.co.id</t>
        </is>
      </c>
      <c r="E86" t="inlineStr">
        <is>
          <t>https://lpjk.pu.go.id/search-badan-usaha-detail/SVVOL0ZKZWVnMVN1OTFobEtmekxyZz09</t>
        </is>
      </c>
      <c r="F86" t="n">
        <v>2</v>
      </c>
      <c r="G86" t="inlineStr">
        <is>
          <t>RK003</t>
        </is>
      </c>
      <c r="H86" t="inlineStr">
        <is>
          <t>29 Mei 2013</t>
        </is>
      </c>
      <c r="I86" s="2" t="n">
        <v>46338</v>
      </c>
      <c r="J86" t="inlineStr">
        <is>
          <t>Disetujui</t>
        </is>
      </c>
      <c r="K86" t="n">
        <v>87</v>
      </c>
      <c r="L86" t="inlineStr">
        <is>
          <t>12 November 2026</t>
        </is>
      </c>
      <c r="M86" t="inlineStr">
        <is>
          <t>Jasa Rekayasa Pekerjaan Teknik Sipil Transportasi</t>
        </is>
      </c>
      <c r="N86" t="inlineStr">
        <is>
          <t>K</t>
        </is>
      </c>
      <c r="O86" t="inlineStr">
        <is>
          <t>20231102</t>
        </is>
      </c>
      <c r="P86" t="inlineStr">
        <is>
          <t>Kalimantan Barat</t>
        </is>
      </c>
      <c r="Q86" t="inlineStr"/>
    </row>
    <row r="87">
      <c r="A87" t="inlineStr">
        <is>
          <t>ANDITAMA PRAKASA</t>
        </is>
      </c>
      <c r="B87" t="inlineStr">
        <is>
          <t>Kab. Banyuwangi</t>
        </is>
      </c>
      <c r="C87" t="inlineStr">
        <is>
          <t>085258816234</t>
        </is>
      </c>
      <c r="D87" t="inlineStr">
        <is>
          <t>anditamaprakasa@gmail.com</t>
        </is>
      </c>
      <c r="E87" t="inlineStr">
        <is>
          <t>https://lpjk.pu.go.id/search-badan-usaha-detail/RHJRWXkreVp3NU5Ua2hKcGZPWDZSUT09</t>
        </is>
      </c>
      <c r="F87" t="n">
        <v>1</v>
      </c>
      <c r="G87" t="inlineStr">
        <is>
          <t>BS010</t>
        </is>
      </c>
      <c r="H87" t="inlineStr">
        <is>
          <t>3 Januari 2020</t>
        </is>
      </c>
      <c r="I87" s="2" t="n">
        <v>46334</v>
      </c>
      <c r="J87" t="inlineStr">
        <is>
          <t>Disetujui</t>
        </is>
      </c>
      <c r="K87" t="n">
        <v>87</v>
      </c>
      <c r="L87" t="inlineStr">
        <is>
          <t>8 November 2026</t>
        </is>
      </c>
      <c r="M87" t="inlineStr">
        <is>
          <t>Konstruksi Bangunan Prasarana Sumber Daya Air</t>
        </is>
      </c>
      <c r="N87" t="inlineStr">
        <is>
          <t>K</t>
        </is>
      </c>
      <c r="O87" t="inlineStr">
        <is>
          <t>20231106</t>
        </is>
      </c>
      <c r="P87" t="inlineStr">
        <is>
          <t>Jawa Timur</t>
        </is>
      </c>
      <c r="Q87" t="inlineStr"/>
    </row>
    <row r="88">
      <c r="A88" t="inlineStr">
        <is>
          <t>ANEKA INVESTA</t>
        </is>
      </c>
      <c r="B88" t="inlineStr">
        <is>
          <t>Kab. Pati</t>
        </is>
      </c>
      <c r="C88" t="inlineStr">
        <is>
          <t>082226603688</t>
        </is>
      </c>
      <c r="D88" t="inlineStr">
        <is>
          <t>cv.anekainvesta@gmail.com</t>
        </is>
      </c>
      <c r="E88" t="inlineStr">
        <is>
          <t>https://lpjk.pu.go.id/search-badan-usaha-detail/TU9McGdLSU1LdkFybmw1WnhSejNZQT09</t>
        </is>
      </c>
      <c r="F88" t="n">
        <v>2</v>
      </c>
      <c r="G88" t="inlineStr">
        <is>
          <t>BS001</t>
        </is>
      </c>
      <c r="H88" t="inlineStr">
        <is>
          <t>15 Maret 2021</t>
        </is>
      </c>
      <c r="I88" s="2" t="n">
        <v>46340</v>
      </c>
      <c r="J88" t="inlineStr">
        <is>
          <t>Disetujui</t>
        </is>
      </c>
      <c r="K88" t="n">
        <v>87</v>
      </c>
      <c r="L88" t="inlineStr">
        <is>
          <t>14 November 2026</t>
        </is>
      </c>
      <c r="M88" t="inlineStr">
        <is>
          <t>Konstruksi Bangunan Sipil Jalan</t>
        </is>
      </c>
      <c r="N88" t="inlineStr">
        <is>
          <t>K</t>
        </is>
      </c>
      <c r="O88" t="inlineStr">
        <is>
          <t>20231005</t>
        </is>
      </c>
      <c r="P88" t="inlineStr">
        <is>
          <t>Jawa Tengah</t>
        </is>
      </c>
      <c r="Q88" t="inlineStr"/>
    </row>
    <row r="89">
      <c r="A89" t="inlineStr">
        <is>
          <t>ANEKA SARANA</t>
        </is>
      </c>
      <c r="B89" t="inlineStr">
        <is>
          <t>Kab. Sanggau</t>
        </is>
      </c>
      <c r="C89" t="inlineStr">
        <is>
          <t>082255909636</t>
        </is>
      </c>
      <c r="D89" t="inlineStr">
        <is>
          <t>anekasarana.pt@gmail.com</t>
        </is>
      </c>
      <c r="E89" t="inlineStr">
        <is>
          <t>https://lpjk.pu.go.id/search-badan-usaha-detail/Y2JQaTFnWE9vbGZZeElJRCtmL25IZz09</t>
        </is>
      </c>
      <c r="F89" t="n">
        <v>2</v>
      </c>
      <c r="G89" t="inlineStr">
        <is>
          <t>BS001</t>
        </is>
      </c>
      <c r="H89" t="inlineStr">
        <is>
          <t>10 Februari 2004</t>
        </is>
      </c>
      <c r="I89" s="2" t="n">
        <v>46336</v>
      </c>
      <c r="J89" t="inlineStr">
        <is>
          <t>Disetujui</t>
        </is>
      </c>
      <c r="K89" t="n">
        <v>87</v>
      </c>
      <c r="L89" t="inlineStr">
        <is>
          <t>10 November 2026</t>
        </is>
      </c>
      <c r="M89" t="inlineStr">
        <is>
          <t>Konstruksi Bangunan Sipil Jalan</t>
        </is>
      </c>
      <c r="N89" t="inlineStr">
        <is>
          <t>M</t>
        </is>
      </c>
      <c r="O89" t="inlineStr">
        <is>
          <t>20231016</t>
        </is>
      </c>
      <c r="P89" t="inlineStr">
        <is>
          <t>Kalimantan Barat</t>
        </is>
      </c>
      <c r="Q89" t="inlineStr"/>
    </row>
    <row r="90">
      <c r="A90" t="inlineStr">
        <is>
          <t>ANGGREK MAS JAYA</t>
        </is>
      </c>
      <c r="B90" t="inlineStr">
        <is>
          <t>Kota Batam</t>
        </is>
      </c>
      <c r="C90" t="inlineStr">
        <is>
          <t>081991095091</t>
        </is>
      </c>
      <c r="D90" t="inlineStr">
        <is>
          <t>cv.amj321@gmail.com</t>
        </is>
      </c>
      <c r="E90" t="inlineStr">
        <is>
          <t>https://lpjk.pu.go.id/search-badan-usaha-detail/dHNvbXRlcExjUVRJZzM5V28vS1pNdz09</t>
        </is>
      </c>
      <c r="F90" t="n">
        <v>3</v>
      </c>
      <c r="G90" t="inlineStr">
        <is>
          <t>BG002, BG005, BG009</t>
        </is>
      </c>
      <c r="H90" t="inlineStr">
        <is>
          <t>13 Oktober 2023</t>
        </is>
      </c>
      <c r="I90" s="2" t="n">
        <v>46340</v>
      </c>
      <c r="J90" t="inlineStr">
        <is>
          <t>Disetujui</t>
        </is>
      </c>
      <c r="K90" t="n">
        <v>87</v>
      </c>
      <c r="L90" t="inlineStr">
        <is>
          <t>14 November 2026</t>
        </is>
      </c>
      <c r="M90" t="inlineStr">
        <is>
          <t>Konstruksi Gedung Kesehatan, Konstruksi Gedung Lainnya, Konstruksi Gedung Perkantoran</t>
        </is>
      </c>
      <c r="N90" t="inlineStr">
        <is>
          <t>K</t>
        </is>
      </c>
      <c r="O90" t="inlineStr">
        <is>
          <t>20231109</t>
        </is>
      </c>
      <c r="P90" t="inlineStr">
        <is>
          <t>Kepulauan Riau</t>
        </is>
      </c>
      <c r="Q90" t="inlineStr"/>
    </row>
    <row r="91">
      <c r="A91" t="inlineStr">
        <is>
          <t>ANGKASA BERSAMA</t>
        </is>
      </c>
      <c r="B91" t="inlineStr">
        <is>
          <t>Kab. Karo</t>
        </is>
      </c>
      <c r="C91" t="inlineStr">
        <is>
          <t>081396869919</t>
        </is>
      </c>
      <c r="D91" t="inlineStr">
        <is>
          <t>angkasabersamacv@gmail.com</t>
        </is>
      </c>
      <c r="E91" t="inlineStr">
        <is>
          <t>https://lpjk.pu.go.id/search-badan-usaha-detail/Y2pDRHFua0tRYlgvaTZpdDE3SGpBdz09</t>
        </is>
      </c>
      <c r="F91" t="n">
        <v>8</v>
      </c>
      <c r="G91" t="inlineStr">
        <is>
          <t>BG006, BG009, BS001, BS004</t>
        </is>
      </c>
      <c r="H91" t="inlineStr">
        <is>
          <t>15 November 1985</t>
        </is>
      </c>
      <c r="I91" s="2" t="n">
        <v>46335</v>
      </c>
      <c r="J91" t="inlineStr">
        <is>
          <t>Disetujui</t>
        </is>
      </c>
      <c r="K91" t="n">
        <v>87</v>
      </c>
      <c r="L91" t="inlineStr">
        <is>
          <t>9 November 2026</t>
        </is>
      </c>
      <c r="M91" t="inlineStr">
        <is>
          <t>Konstruksi Bangunan Sipil Jalan, Konstruksi Gedung Lainnya, Konstruksi Gedung Pendidikan, Konstruksi Jaringan Irigasi dan Drainase</t>
        </is>
      </c>
      <c r="N91" t="inlineStr">
        <is>
          <t>K</t>
        </is>
      </c>
      <c r="O91" t="inlineStr">
        <is>
          <t>20231107</t>
        </is>
      </c>
      <c r="P91" t="inlineStr">
        <is>
          <t>Sumatera Utara</t>
        </is>
      </c>
      <c r="Q91" t="inlineStr"/>
    </row>
    <row r="92">
      <c r="A92" t="inlineStr">
        <is>
          <t>ANIK KARYA</t>
        </is>
      </c>
      <c r="B92" t="inlineStr">
        <is>
          <t>Kab. Cirebon</t>
        </is>
      </c>
      <c r="C92" t="inlineStr">
        <is>
          <t>085224073344</t>
        </is>
      </c>
      <c r="D92" t="inlineStr">
        <is>
          <t>cv.anikkarya_crb@yahoo.co.id</t>
        </is>
      </c>
      <c r="E92" t="inlineStr">
        <is>
          <t>https://lpjk.pu.go.id/search-badan-usaha-detail/bVgzTG45RklFZ1pBQWxSSHd2TEhWQT09</t>
        </is>
      </c>
      <c r="F92" t="n">
        <v>1</v>
      </c>
      <c r="G92" t="inlineStr">
        <is>
          <t>BS005</t>
        </is>
      </c>
      <c r="H92" t="inlineStr">
        <is>
          <t>3 Januari 1983</t>
        </is>
      </c>
      <c r="I92" s="2" t="n">
        <v>46340</v>
      </c>
      <c r="J92" t="inlineStr">
        <is>
          <t>Disetujui</t>
        </is>
      </c>
      <c r="K92" t="n">
        <v>87</v>
      </c>
      <c r="L92" t="inlineStr">
        <is>
          <t>14 November 2026</t>
        </is>
      </c>
      <c r="M92" t="inlineStr">
        <is>
          <t>Konstruksi Bangunan Sipil Pengolahan Air Bersih</t>
        </is>
      </c>
      <c r="N92" t="inlineStr">
        <is>
          <t>K</t>
        </is>
      </c>
      <c r="O92" t="inlineStr">
        <is>
          <t>20231113</t>
        </is>
      </c>
      <c r="P92" t="inlineStr">
        <is>
          <t>Jawa Barat</t>
        </is>
      </c>
      <c r="Q92" t="inlineStr"/>
    </row>
    <row r="93">
      <c r="A93" t="inlineStr">
        <is>
          <t>ANINDYA REKACIPTA UTAMA</t>
        </is>
      </c>
      <c r="B93" t="inlineStr">
        <is>
          <t>Kota Makassar</t>
        </is>
      </c>
      <c r="C93" t="inlineStr">
        <is>
          <t>082350140244</t>
        </is>
      </c>
      <c r="D93" t="inlineStr">
        <is>
          <t>anindyarekaciptautama@gmail.com</t>
        </is>
      </c>
      <c r="E93" t="inlineStr">
        <is>
          <t>https://lpjk.pu.go.id/search-badan-usaha-detail/SGpUcDdENW9uWSs0aCtDVVhqeS9KZz09</t>
        </is>
      </c>
      <c r="F93" t="n">
        <v>2</v>
      </c>
      <c r="G93" t="inlineStr">
        <is>
          <t>AL002</t>
        </is>
      </c>
      <c r="H93" t="inlineStr">
        <is>
          <t>1 Desember 2021</t>
        </is>
      </c>
      <c r="I93" s="2" t="n">
        <v>46338</v>
      </c>
      <c r="J93" t="inlineStr">
        <is>
          <t>Disetujui</t>
        </is>
      </c>
      <c r="K93" t="n">
        <v>87</v>
      </c>
      <c r="L93" t="inlineStr">
        <is>
          <t>12 November 2026</t>
        </is>
      </c>
      <c r="M93" t="inlineStr">
        <is>
          <t>Jasa Pengembangan Wilayah</t>
        </is>
      </c>
      <c r="N93" t="inlineStr">
        <is>
          <t>K</t>
        </is>
      </c>
      <c r="O93" t="inlineStr">
        <is>
          <t>20231106</t>
        </is>
      </c>
      <c r="P93" t="inlineStr">
        <is>
          <t>Sulawesi Selatan</t>
        </is>
      </c>
      <c r="Q93" t="inlineStr"/>
    </row>
    <row r="94">
      <c r="A94" t="inlineStr">
        <is>
          <t>ANTIKA PURNAMA JAYA</t>
        </is>
      </c>
      <c r="B94" t="inlineStr">
        <is>
          <t>Kab. Gresik</t>
        </is>
      </c>
      <c r="C94" t="inlineStr">
        <is>
          <t>081334714500</t>
        </is>
      </c>
      <c r="D94" t="inlineStr">
        <is>
          <t>cv.antikapurnamajaya@gmail.com</t>
        </is>
      </c>
      <c r="E94" t="inlineStr">
        <is>
          <t>https://lpjk.pu.go.id/search-badan-usaha-detail/UUM1T3ZQNXduaTJlMHVESkc0aXZMdz09</t>
        </is>
      </c>
      <c r="F94" t="n">
        <v>1</v>
      </c>
      <c r="G94" t="inlineStr">
        <is>
          <t>BG005</t>
        </is>
      </c>
      <c r="H94" t="inlineStr">
        <is>
          <t>21 Februari 2023</t>
        </is>
      </c>
      <c r="I94" s="2" t="n">
        <v>46339</v>
      </c>
      <c r="J94" t="inlineStr">
        <is>
          <t>Disetujui</t>
        </is>
      </c>
      <c r="K94" t="n">
        <v>87</v>
      </c>
      <c r="L94" t="inlineStr">
        <is>
          <t>13 November 2026</t>
        </is>
      </c>
      <c r="M94" t="inlineStr">
        <is>
          <t>Konstruksi Gedung Kesehatan</t>
        </is>
      </c>
      <c r="N94" t="inlineStr">
        <is>
          <t>K</t>
        </is>
      </c>
      <c r="O94" t="inlineStr">
        <is>
          <t>20231103</t>
        </is>
      </c>
      <c r="P94" t="inlineStr">
        <is>
          <t>Jawa Timur</t>
        </is>
      </c>
      <c r="Q94" t="inlineStr"/>
    </row>
    <row r="95">
      <c r="A95" t="inlineStr">
        <is>
          <t>ANUGERAH ABADI</t>
        </is>
      </c>
      <c r="B95" t="inlineStr">
        <is>
          <t>Kab. Mamuju</t>
        </is>
      </c>
      <c r="C95" t="inlineStr">
        <is>
          <t>082290899992</t>
        </is>
      </c>
      <c r="D95" t="inlineStr">
        <is>
          <t>cvanugrahabadi009@gmail.com</t>
        </is>
      </c>
      <c r="E95" t="inlineStr">
        <is>
          <t>https://lpjk.pu.go.id/search-badan-usaha-detail/cXFSdGF0ZWd5bUx4QmxpNWJ6TStHZz09</t>
        </is>
      </c>
      <c r="F95" t="n">
        <v>1</v>
      </c>
      <c r="G95" t="inlineStr">
        <is>
          <t>BS005</t>
        </is>
      </c>
      <c r="H95" t="inlineStr">
        <is>
          <t>8 Maret 2013</t>
        </is>
      </c>
      <c r="I95" s="2" t="n">
        <v>46338</v>
      </c>
      <c r="J95" t="inlineStr">
        <is>
          <t>Pencabutan</t>
        </is>
      </c>
      <c r="K95" t="n">
        <v>87</v>
      </c>
      <c r="L95" t="inlineStr">
        <is>
          <t>12 November 2026</t>
        </is>
      </c>
      <c r="M95" t="inlineStr">
        <is>
          <t>Konstruksi Bangunan Sipil Pengolahan Air Bersih</t>
        </is>
      </c>
      <c r="N95" t="inlineStr">
        <is>
          <t>K</t>
        </is>
      </c>
      <c r="O95" t="inlineStr">
        <is>
          <t>20231113</t>
        </is>
      </c>
      <c r="P95" t="inlineStr">
        <is>
          <t>Sulawesi Barat</t>
        </is>
      </c>
      <c r="Q95" t="inlineStr"/>
    </row>
    <row r="96">
      <c r="A96" t="inlineStr">
        <is>
          <t>ANUGERAH JAYA</t>
        </is>
      </c>
      <c r="B96" t="inlineStr">
        <is>
          <t>Kab. Gunungkidul</t>
        </is>
      </c>
      <c r="C96" t="inlineStr">
        <is>
          <t>085927463338</t>
        </is>
      </c>
      <c r="D96" t="inlineStr">
        <is>
          <t>kusdiyantoeri@gmail.com</t>
        </is>
      </c>
      <c r="E96" t="inlineStr">
        <is>
          <t>https://lpjk.pu.go.id/search-badan-usaha-detail/NGd3WDhnalNaUXBQcTVSam5QR2Q5Zz09</t>
        </is>
      </c>
      <c r="F96" t="n">
        <v>4</v>
      </c>
      <c r="G96" t="inlineStr">
        <is>
          <t>BG001, BG006, BG009, BS004</t>
        </is>
      </c>
      <c r="H96" t="inlineStr">
        <is>
          <t>19 Oktober 2016</t>
        </is>
      </c>
      <c r="I96" s="2" t="n">
        <v>46334</v>
      </c>
      <c r="J96" t="inlineStr">
        <is>
          <t>Disetujui</t>
        </is>
      </c>
      <c r="K96" t="n">
        <v>87</v>
      </c>
      <c r="L96" t="inlineStr">
        <is>
          <t>8 November 2026</t>
        </is>
      </c>
      <c r="M96" t="inlineStr">
        <is>
          <t>Konstruksi Gedung Hunian, Konstruksi Gedung Lainnya, Konstruksi Gedung Pendidikan, Konstruksi Jaringan Irigasi dan Drainase</t>
        </is>
      </c>
      <c r="N96" t="inlineStr">
        <is>
          <t>K</t>
        </is>
      </c>
      <c r="O96" t="inlineStr">
        <is>
          <t>20231031, 20231107</t>
        </is>
      </c>
      <c r="P96" t="inlineStr">
        <is>
          <t>DI Yogyakarta</t>
        </is>
      </c>
      <c r="Q96" t="inlineStr"/>
    </row>
    <row r="97">
      <c r="A97" t="inlineStr">
        <is>
          <t>ANUGERAH KEMILAU ABADI</t>
        </is>
      </c>
      <c r="B97" t="inlineStr">
        <is>
          <t>Kota Tangerang</t>
        </is>
      </c>
      <c r="C97" t="inlineStr">
        <is>
          <t>02155722499</t>
        </is>
      </c>
      <c r="D97" t="inlineStr">
        <is>
          <t>info.anugerahkemilauabadi@gmail.com</t>
        </is>
      </c>
      <c r="E97" t="inlineStr">
        <is>
          <t>https://lpjk.pu.go.id/search-badan-usaha-detail/SGNkaTFZeS9uSUJzUkhHdGh2SmhEUT09</t>
        </is>
      </c>
      <c r="F97" t="n">
        <v>2</v>
      </c>
      <c r="G97" t="inlineStr">
        <is>
          <t>BS001, BS010</t>
        </is>
      </c>
      <c r="H97" t="inlineStr">
        <is>
          <t>19 September 2019</t>
        </is>
      </c>
      <c r="I97" s="2" t="n">
        <v>46335</v>
      </c>
      <c r="J97" t="inlineStr">
        <is>
          <t>Disetujui</t>
        </is>
      </c>
      <c r="K97" t="n">
        <v>87</v>
      </c>
      <c r="L97" t="inlineStr">
        <is>
          <t>9 November 2026</t>
        </is>
      </c>
      <c r="M97" t="inlineStr">
        <is>
          <t>Konstruksi Bangunan Prasarana Sumber Daya Air, Konstruksi Bangunan Sipil Jalan</t>
        </is>
      </c>
      <c r="N97" t="inlineStr">
        <is>
          <t>K</t>
        </is>
      </c>
      <c r="O97" t="inlineStr">
        <is>
          <t>20231109</t>
        </is>
      </c>
      <c r="P97" t="inlineStr">
        <is>
          <t>Banten</t>
        </is>
      </c>
      <c r="Q97" t="inlineStr"/>
    </row>
    <row r="98">
      <c r="A98" t="inlineStr">
        <is>
          <t>ANUGRAH KARYA RIZQI</t>
        </is>
      </c>
      <c r="B98" t="inlineStr">
        <is>
          <t>Kab. Lombok Tengah</t>
        </is>
      </c>
      <c r="C98" t="inlineStr">
        <is>
          <t>087893300366</t>
        </is>
      </c>
      <c r="D98" t="inlineStr">
        <is>
          <t>anugrahkaryarizqi1@gmail.com</t>
        </is>
      </c>
      <c r="E98" t="inlineStr">
        <is>
          <t>https://lpjk.pu.go.id/search-badan-usaha-detail/SEZ5RkdQdTlrMVVYMFVUQmxZYmgvUT09</t>
        </is>
      </c>
      <c r="F98" t="n">
        <v>8</v>
      </c>
      <c r="G98" t="inlineStr">
        <is>
          <t>BG002, BG006, BG009, BS001</t>
        </is>
      </c>
      <c r="H98" t="inlineStr">
        <is>
          <t>10 Desember 2007</t>
        </is>
      </c>
      <c r="I98" s="2" t="n">
        <v>46340</v>
      </c>
      <c r="J98" t="inlineStr">
        <is>
          <t>Disetujui</t>
        </is>
      </c>
      <c r="K98" t="n">
        <v>87</v>
      </c>
      <c r="L98" t="inlineStr">
        <is>
          <t>14 November 2026</t>
        </is>
      </c>
      <c r="M98" t="inlineStr">
        <is>
          <t>Konstruksi Bangunan Sipil Jalan, Konstruksi Gedung Lainnya, Konstruksi Gedung Pendidikan, Konstruksi Gedung Perkantoran</t>
        </is>
      </c>
      <c r="N98" t="inlineStr">
        <is>
          <t>K</t>
        </is>
      </c>
      <c r="O98" t="inlineStr">
        <is>
          <t>20231111</t>
        </is>
      </c>
      <c r="P98" t="inlineStr">
        <is>
          <t>Nusa Tenggara Barat</t>
        </is>
      </c>
      <c r="Q98" t="inlineStr"/>
    </row>
    <row r="99">
      <c r="A99" t="inlineStr">
        <is>
          <t>ANUGRAH KARYA UTAMA</t>
        </is>
      </c>
      <c r="B99" t="inlineStr">
        <is>
          <t>Kab. Kulon Progo</t>
        </is>
      </c>
      <c r="C99" t="inlineStr">
        <is>
          <t>081227027099</t>
        </is>
      </c>
      <c r="D99" t="inlineStr">
        <is>
          <t>cv.akutama@gmail.com</t>
        </is>
      </c>
      <c r="E99" t="inlineStr">
        <is>
          <t>https://lpjk.pu.go.id/search-badan-usaha-detail/OGNmUm0rR1Yzc1RObnh0T1lBamx3dz09</t>
        </is>
      </c>
      <c r="F99" t="n">
        <v>2</v>
      </c>
      <c r="G99" t="inlineStr">
        <is>
          <t>BG001</t>
        </is>
      </c>
      <c r="H99" t="inlineStr">
        <is>
          <t>12 November 2013</t>
        </is>
      </c>
      <c r="I99" s="2" t="n">
        <v>46334</v>
      </c>
      <c r="J99" t="inlineStr">
        <is>
          <t>Disetujui</t>
        </is>
      </c>
      <c r="K99" t="n">
        <v>87</v>
      </c>
      <c r="L99" t="inlineStr">
        <is>
          <t>8 November 2026</t>
        </is>
      </c>
      <c r="M99" t="inlineStr">
        <is>
          <t>Konstruksi Gedung Hunian</t>
        </is>
      </c>
      <c r="N99" t="inlineStr">
        <is>
          <t>K</t>
        </is>
      </c>
      <c r="O99" t="inlineStr">
        <is>
          <t>20231103</t>
        </is>
      </c>
      <c r="P99" t="inlineStr">
        <is>
          <t>DI Yogyakarta</t>
        </is>
      </c>
      <c r="Q99" t="inlineStr"/>
    </row>
    <row r="100">
      <c r="A100" t="inlineStr">
        <is>
          <t>ANUGRAH TOMATA</t>
        </is>
      </c>
      <c r="B100" t="inlineStr">
        <is>
          <t>Kab. Morowali Utara</t>
        </is>
      </c>
      <c r="C100" t="inlineStr">
        <is>
          <t>082247425334</t>
        </is>
      </c>
      <c r="D100" t="inlineStr">
        <is>
          <t>victorsudamara@gmail.com</t>
        </is>
      </c>
      <c r="E100" t="inlineStr">
        <is>
          <t>https://lpjk.pu.go.id/search-badan-usaha-detail/TWVqNnl0R2gyT3dtbjdoM3A2OW91dz09</t>
        </is>
      </c>
      <c r="F100" t="n">
        <v>2</v>
      </c>
      <c r="G100" t="inlineStr">
        <is>
          <t>BS002</t>
        </is>
      </c>
      <c r="H100" t="inlineStr">
        <is>
          <t>10 Februari 2020</t>
        </is>
      </c>
      <c r="I100" s="2" t="n">
        <v>46340</v>
      </c>
      <c r="J100" t="inlineStr">
        <is>
          <t>Pencabutan</t>
        </is>
      </c>
      <c r="K100" t="n">
        <v>87</v>
      </c>
      <c r="L100" t="inlineStr">
        <is>
          <t>14 November 2026</t>
        </is>
      </c>
      <c r="M100" t="inlineStr">
        <is>
          <t>Bangunan Sipil Jembatan, Jalan Layang, Fly Over, dan Underpass</t>
        </is>
      </c>
      <c r="N100" t="inlineStr">
        <is>
          <t>K</t>
        </is>
      </c>
      <c r="O100" t="inlineStr">
        <is>
          <t>20231114</t>
        </is>
      </c>
      <c r="P100" t="inlineStr">
        <is>
          <t>Sulawesi Tengah</t>
        </is>
      </c>
      <c r="Q100" t="inlineStr"/>
    </row>
    <row r="101">
      <c r="A101" t="inlineStr">
        <is>
          <t>ANUR HAISMA</t>
        </is>
      </c>
      <c r="B101" t="inlineStr">
        <is>
          <t>Kab. Tangerang</t>
        </is>
      </c>
      <c r="C101" t="inlineStr">
        <is>
          <t>081398252648</t>
        </is>
      </c>
      <c r="D101" t="inlineStr">
        <is>
          <t>cvanurhaisma21@gmail.com</t>
        </is>
      </c>
      <c r="E101" t="inlineStr">
        <is>
          <t>https://lpjk.pu.go.id/search-badan-usaha-detail/SVB5SGY1OEdPM2d5WjluTXZnNlBsZz09</t>
        </is>
      </c>
      <c r="F101" t="n">
        <v>4</v>
      </c>
      <c r="G101" t="inlineStr">
        <is>
          <t>BG009, BS001, BS004, BS010</t>
        </is>
      </c>
      <c r="H101" t="inlineStr">
        <is>
          <t>7 Januari 2013</t>
        </is>
      </c>
      <c r="I101" s="2" t="n">
        <v>46340</v>
      </c>
      <c r="J101" t="inlineStr">
        <is>
          <t>Disetujui</t>
        </is>
      </c>
      <c r="K101" t="n">
        <v>87</v>
      </c>
      <c r="L101" t="inlineStr">
        <is>
          <t>14 November 2026</t>
        </is>
      </c>
      <c r="M101" t="inlineStr">
        <is>
          <t>Konstruksi Bangunan Prasarana Sumber Daya Air, Konstruksi Bangunan Sipil Jalan, Konstruksi Gedung Lainnya, Konstruksi Jaringan Irigasi dan Drainase</t>
        </is>
      </c>
      <c r="N101" t="inlineStr">
        <is>
          <t>K</t>
        </is>
      </c>
      <c r="O101" t="inlineStr">
        <is>
          <t>20231111, 20231113</t>
        </is>
      </c>
      <c r="P101" t="inlineStr">
        <is>
          <t>Banten</t>
        </is>
      </c>
      <c r="Q101" t="inlineStr"/>
    </row>
    <row r="102">
      <c r="A102" t="inlineStr">
        <is>
          <t>AQUATEC REKATAMA KONSTRUKSI</t>
        </is>
      </c>
      <c r="B102" t="inlineStr">
        <is>
          <t>Kota Adm. Jakarta Utara</t>
        </is>
      </c>
      <c r="C102" t="inlineStr">
        <is>
          <t>0214523536</t>
        </is>
      </c>
      <c r="D102" t="inlineStr">
        <is>
          <t>aquatec.indo@yahoo.com</t>
        </is>
      </c>
      <c r="E102" t="inlineStr">
        <is>
          <t>https://lpjk.pu.go.id/search-badan-usaha-detail/RXFhOFlNZ1A1Z1Fpa0JKcFpOaXZSUT09</t>
        </is>
      </c>
      <c r="F102" t="n">
        <v>2</v>
      </c>
      <c r="G102" t="inlineStr">
        <is>
          <t>BG001, BG002</t>
        </is>
      </c>
      <c r="H102" t="inlineStr">
        <is>
          <t>4 Februari 2013</t>
        </is>
      </c>
      <c r="I102" s="2" t="n">
        <v>46336</v>
      </c>
      <c r="J102" t="inlineStr">
        <is>
          <t>Disetujui</t>
        </is>
      </c>
      <c r="K102" t="n">
        <v>87</v>
      </c>
      <c r="L102" t="inlineStr">
        <is>
          <t>10 November 2026</t>
        </is>
      </c>
      <c r="M102" t="inlineStr">
        <is>
          <t>Konstruksi Gedung Hunian, Konstruksi Gedung Perkantoran</t>
        </is>
      </c>
      <c r="N102" t="inlineStr">
        <is>
          <t>M</t>
        </is>
      </c>
      <c r="O102" t="inlineStr">
        <is>
          <t>20231109, 20231113</t>
        </is>
      </c>
      <c r="P102" t="inlineStr">
        <is>
          <t>DKI Jakarta</t>
        </is>
      </c>
      <c r="Q102" t="inlineStr"/>
    </row>
    <row r="103">
      <c r="A103" t="inlineStr">
        <is>
          <t>ARBARA</t>
        </is>
      </c>
      <c r="B103" t="inlineStr">
        <is>
          <t>Kab. Bangkalan</t>
        </is>
      </c>
      <c r="C103" t="inlineStr">
        <is>
          <t>082264439998</t>
        </is>
      </c>
      <c r="D103" t="inlineStr">
        <is>
          <t>arbara100@gmail.com</t>
        </is>
      </c>
      <c r="E103" t="inlineStr">
        <is>
          <t>https://lpjk.pu.go.id/search-badan-usaha-detail/WFF1SGtTOHF5QmYxaHhpb0NPMGoxQT09</t>
        </is>
      </c>
      <c r="F103" t="n">
        <v>2</v>
      </c>
      <c r="G103" t="inlineStr">
        <is>
          <t>RK001, RK003</t>
        </is>
      </c>
      <c r="H103" t="inlineStr">
        <is>
          <t>6 Maret 2020</t>
        </is>
      </c>
      <c r="I103" s="2" t="n">
        <v>46334</v>
      </c>
      <c r="J103" t="inlineStr">
        <is>
          <t>Disetujui</t>
        </is>
      </c>
      <c r="K103" t="n">
        <v>87</v>
      </c>
      <c r="L103" t="inlineStr">
        <is>
          <t>8 November 2026</t>
        </is>
      </c>
      <c r="M103" t="inlineStr">
        <is>
          <t>Jasa Rekayasa Konstruksi Bangunan Gedung Hunian dan Non Hunian, Jasa Rekayasa Pekerjaan Teknik Sipil Transportasi</t>
        </is>
      </c>
      <c r="N103" t="inlineStr">
        <is>
          <t>K</t>
        </is>
      </c>
      <c r="O103" t="inlineStr">
        <is>
          <t>20231031</t>
        </is>
      </c>
      <c r="P103" t="inlineStr">
        <is>
          <t>Jawa Timur</t>
        </is>
      </c>
      <c r="Q103" t="inlineStr"/>
    </row>
    <row r="104">
      <c r="A104" t="inlineStr">
        <is>
          <t>ARFA RIZKI BERSAUDARA</t>
        </is>
      </c>
      <c r="B104" t="inlineStr">
        <is>
          <t>Kota Medan</t>
        </is>
      </c>
      <c r="C104" t="inlineStr">
        <is>
          <t>081232164950</t>
        </is>
      </c>
      <c r="D104" t="inlineStr">
        <is>
          <t>pt.arfarb@gmail.com</t>
        </is>
      </c>
      <c r="E104" t="inlineStr">
        <is>
          <t>https://lpjk.pu.go.id/search-badan-usaha-detail/VWg3MnAxdjVSMElvZkFheWhHWlJWZz09</t>
        </is>
      </c>
      <c r="F104" t="n">
        <v>1</v>
      </c>
      <c r="G104" t="inlineStr">
        <is>
          <t>BG005</t>
        </is>
      </c>
      <c r="H104" t="inlineStr">
        <is>
          <t>14 Desember 2017</t>
        </is>
      </c>
      <c r="I104" s="2" t="n">
        <v>46334</v>
      </c>
      <c r="J104" t="inlineStr">
        <is>
          <t>Pembekuan</t>
        </is>
      </c>
      <c r="K104" t="n">
        <v>87</v>
      </c>
      <c r="L104" t="inlineStr">
        <is>
          <t>8 November 2026</t>
        </is>
      </c>
      <c r="M104" t="inlineStr">
        <is>
          <t>Konstruksi Gedung Kesehatan</t>
        </is>
      </c>
      <c r="N104" t="inlineStr">
        <is>
          <t>M</t>
        </is>
      </c>
      <c r="O104" t="inlineStr">
        <is>
          <t>20231025</t>
        </is>
      </c>
      <c r="P104" t="inlineStr">
        <is>
          <t>Sumatera Utara</t>
        </is>
      </c>
      <c r="Q104" t="inlineStr"/>
    </row>
    <row r="105">
      <c r="A105" t="inlineStr">
        <is>
          <t>ARGA CATUR MAHKOTA</t>
        </is>
      </c>
      <c r="B105" t="inlineStr">
        <is>
          <t>Kota Bandung</t>
        </is>
      </c>
      <c r="C105" t="inlineStr">
        <is>
          <t>08112285386</t>
        </is>
      </c>
      <c r="D105" t="inlineStr">
        <is>
          <t>argacaturmahkota@gmail.com</t>
        </is>
      </c>
      <c r="E105" t="inlineStr">
        <is>
          <t>https://lpjk.pu.go.id/search-badan-usaha-detail/UzhWNUlMZmJ3QmFORkNuOENEV2xwZz09</t>
        </is>
      </c>
      <c r="F105" t="n">
        <v>2</v>
      </c>
      <c r="G105" t="inlineStr">
        <is>
          <t>BG006, BG009</t>
        </is>
      </c>
      <c r="H105" t="inlineStr">
        <is>
          <t>7 Agustus 2023</t>
        </is>
      </c>
      <c r="I105" s="2" t="n">
        <v>46337</v>
      </c>
      <c r="J105" t="inlineStr">
        <is>
          <t>Disetujui</t>
        </is>
      </c>
      <c r="K105" t="n">
        <v>87</v>
      </c>
      <c r="L105" t="inlineStr">
        <is>
          <t>11 November 2026</t>
        </is>
      </c>
      <c r="M105" t="inlineStr">
        <is>
          <t>Konstruksi Gedung Lainnya, Konstruksi Gedung Pendidikan</t>
        </is>
      </c>
      <c r="N105" t="inlineStr">
        <is>
          <t>K</t>
        </is>
      </c>
      <c r="O105" t="inlineStr">
        <is>
          <t>20231110</t>
        </is>
      </c>
      <c r="P105" t="inlineStr">
        <is>
          <t>Jawa Barat</t>
        </is>
      </c>
      <c r="Q105" t="inlineStr"/>
    </row>
    <row r="106">
      <c r="A106" t="inlineStr">
        <is>
          <t>ARGANTA PRATAMA</t>
        </is>
      </c>
      <c r="B106" t="inlineStr">
        <is>
          <t>Kota Medan</t>
        </is>
      </c>
      <c r="C106" t="inlineStr">
        <is>
          <t>082163942207</t>
        </is>
      </c>
      <c r="D106" t="inlineStr">
        <is>
          <t>cvargantapratama@gmail.com</t>
        </is>
      </c>
      <c r="E106" t="inlineStr">
        <is>
          <t>https://lpjk.pu.go.id/search-badan-usaha-detail/SkxBWmJtV0lEOGF6UTBHUVpvd1Vtdz09</t>
        </is>
      </c>
      <c r="F106" t="n">
        <v>1</v>
      </c>
      <c r="G106" t="inlineStr">
        <is>
          <t>BS006</t>
        </is>
      </c>
      <c r="H106" t="inlineStr">
        <is>
          <t>23 Desember 2022</t>
        </is>
      </c>
      <c r="I106" s="2" t="n">
        <v>46334</v>
      </c>
      <c r="J106" t="inlineStr">
        <is>
          <t>Disetujui</t>
        </is>
      </c>
      <c r="K106" t="n">
        <v>87</v>
      </c>
      <c r="L106" t="inlineStr">
        <is>
          <t>8 November 2026</t>
        </is>
      </c>
      <c r="M106" t="inlineStr">
        <is>
          <t>Konstruksi Bangunan Sipil Prasarana dan Sarana Sistem Pengolahan Limbah Padat, Cair, dan Gas</t>
        </is>
      </c>
      <c r="N106" t="inlineStr">
        <is>
          <t>K</t>
        </is>
      </c>
      <c r="O106" t="inlineStr">
        <is>
          <t>20231107</t>
        </is>
      </c>
      <c r="P106" t="inlineStr">
        <is>
          <t>Sumatera Utara</t>
        </is>
      </c>
      <c r="Q106" t="inlineStr"/>
    </row>
    <row r="107">
      <c r="A107" t="inlineStr">
        <is>
          <t>ARIAPUTRA DWI PRIMA</t>
        </is>
      </c>
      <c r="B107" t="inlineStr">
        <is>
          <t>Kota Pontianak</t>
        </is>
      </c>
      <c r="C107" t="inlineStr">
        <is>
          <t>081345985550</t>
        </is>
      </c>
      <c r="D107" t="inlineStr">
        <is>
          <t>ariaputradwip@gmail.com</t>
        </is>
      </c>
      <c r="E107" t="inlineStr">
        <is>
          <t>https://lpjk.pu.go.id/search-badan-usaha-detail/R1R6MlA0aTZRTmxjWEtGMHpHWU83QT09</t>
        </is>
      </c>
      <c r="F107" t="n">
        <v>1</v>
      </c>
      <c r="G107" t="inlineStr">
        <is>
          <t>BS002</t>
        </is>
      </c>
      <c r="H107" t="inlineStr">
        <is>
          <t>11 Januari 2012</t>
        </is>
      </c>
      <c r="I107" s="2" t="n">
        <v>46340</v>
      </c>
      <c r="J107" t="inlineStr">
        <is>
          <t>Disetujui</t>
        </is>
      </c>
      <c r="K107" t="n">
        <v>87</v>
      </c>
      <c r="L107" t="inlineStr">
        <is>
          <t>14 November 2026</t>
        </is>
      </c>
      <c r="M107" t="inlineStr">
        <is>
          <t>Bangunan Sipil Jembatan, Jalan Layang, Fly Over, dan Underpass</t>
        </is>
      </c>
      <c r="N107" t="inlineStr">
        <is>
          <t>M</t>
        </is>
      </c>
      <c r="O107" t="inlineStr">
        <is>
          <t>20231104</t>
        </is>
      </c>
      <c r="P107" t="inlineStr">
        <is>
          <t>Kalimantan Barat</t>
        </is>
      </c>
      <c r="Q107" t="inlineStr"/>
    </row>
    <row r="108">
      <c r="A108" t="inlineStr">
        <is>
          <t>ARIES MUDA HUTAMA</t>
        </is>
      </c>
      <c r="B108" t="inlineStr">
        <is>
          <t>Kab. Sijunjung</t>
        </is>
      </c>
      <c r="C108" t="inlineStr">
        <is>
          <t>081266599852</t>
        </is>
      </c>
      <c r="D108" t="inlineStr">
        <is>
          <t>ariesmudahutama@gmail.com</t>
        </is>
      </c>
      <c r="E108" t="inlineStr">
        <is>
          <t>https://lpjk.pu.go.id/search-badan-usaha-detail/NlBiYTZ0VnNIUmo0REc0cVpHK0tXdz09</t>
        </is>
      </c>
      <c r="F108" t="n">
        <v>2</v>
      </c>
      <c r="G108" t="inlineStr">
        <is>
          <t>BS004</t>
        </is>
      </c>
      <c r="H108" t="inlineStr">
        <is>
          <t>5 Juni 2023</t>
        </is>
      </c>
      <c r="I108" s="2" t="n">
        <v>46337</v>
      </c>
      <c r="J108" t="inlineStr">
        <is>
          <t>Pencabutan</t>
        </is>
      </c>
      <c r="K108" t="n">
        <v>87</v>
      </c>
      <c r="L108" t="inlineStr">
        <is>
          <t>11 November 2026</t>
        </is>
      </c>
      <c r="M108" t="inlineStr">
        <is>
          <t>Konstruksi Jaringan Irigasi dan Drainase</t>
        </is>
      </c>
      <c r="N108" t="inlineStr">
        <is>
          <t>K</t>
        </is>
      </c>
      <c r="O108" t="inlineStr">
        <is>
          <t>20231106</t>
        </is>
      </c>
      <c r="P108" t="inlineStr">
        <is>
          <t>Sumatera Barat</t>
        </is>
      </c>
      <c r="Q108" t="inlineStr"/>
    </row>
    <row r="109">
      <c r="A109" t="inlineStr">
        <is>
          <t>ARIESCONT PERDANA</t>
        </is>
      </c>
      <c r="B109" t="inlineStr">
        <is>
          <t>Kota Palu</t>
        </is>
      </c>
      <c r="C109" t="inlineStr">
        <is>
          <t>085343575657</t>
        </is>
      </c>
      <c r="D109" t="inlineStr">
        <is>
          <t>pt.ariescont_perdana@yahoo.co.id</t>
        </is>
      </c>
      <c r="E109" t="inlineStr">
        <is>
          <t>https://lpjk.pu.go.id/search-badan-usaha-detail/R1Rxam54eUNEdkI1UFI4RjYvczhIZz09</t>
        </is>
      </c>
      <c r="F109" t="n">
        <v>2</v>
      </c>
      <c r="G109" t="inlineStr">
        <is>
          <t>BS001</t>
        </is>
      </c>
      <c r="H109" t="inlineStr">
        <is>
          <t>28 Juli 1992</t>
        </is>
      </c>
      <c r="I109" s="2" t="n">
        <v>46336</v>
      </c>
      <c r="J109" t="inlineStr">
        <is>
          <t>Pembekuan</t>
        </is>
      </c>
      <c r="K109" t="n">
        <v>87</v>
      </c>
      <c r="L109" t="inlineStr">
        <is>
          <t>10 November 2026</t>
        </is>
      </c>
      <c r="M109" t="inlineStr">
        <is>
          <t>Konstruksi Bangunan Sipil Jalan</t>
        </is>
      </c>
      <c r="N109" t="inlineStr">
        <is>
          <t>M</t>
        </is>
      </c>
      <c r="O109" t="inlineStr">
        <is>
          <t>20231016</t>
        </is>
      </c>
      <c r="P109" t="inlineStr">
        <is>
          <t>Sulawesi Tengah</t>
        </is>
      </c>
      <c r="Q109" t="inlineStr"/>
    </row>
    <row r="110">
      <c r="A110" t="inlineStr">
        <is>
          <t>ARJUNA PANCA PERKASA</t>
        </is>
      </c>
      <c r="B110" t="inlineStr">
        <is>
          <t>Kab. Indramayu</t>
        </is>
      </c>
      <c r="C110" t="inlineStr">
        <is>
          <t>083148727019</t>
        </is>
      </c>
      <c r="D110" t="inlineStr">
        <is>
          <t>CVARJUNAPANCAPERKASAIMY@gmail.com</t>
        </is>
      </c>
      <c r="E110" t="inlineStr">
        <is>
          <t>https://lpjk.pu.go.id/search-badan-usaha-detail/emJveEFBcGF4Q2hpUDEwU0xZRVAxYndYdnp1Zjl0MGpNdzNOWEl5cUpPdz0</t>
        </is>
      </c>
      <c r="F110" t="n">
        <v>4</v>
      </c>
      <c r="G110" t="inlineStr">
        <is>
          <t>BG002, BG003, BS001, BS004</t>
        </is>
      </c>
      <c r="H110" t="inlineStr">
        <is>
          <t>25 Oktober 2023</t>
        </is>
      </c>
      <c r="I110" s="2" t="n">
        <v>46334</v>
      </c>
      <c r="J110" t="inlineStr">
        <is>
          <t>Disetujui</t>
        </is>
      </c>
      <c r="K110" t="n">
        <v>87</v>
      </c>
      <c r="L110" t="inlineStr">
        <is>
          <t>8 November 2026</t>
        </is>
      </c>
      <c r="M110" t="inlineStr">
        <is>
          <t>Konstruksi Bangunan Sipil Jalan, Konstruksi Gedung Industri, Konstruksi Gedung Perkantoran, Konstruksi Jaringan Irigasi dan Drainase</t>
        </is>
      </c>
      <c r="N110" t="inlineStr">
        <is>
          <t>K</t>
        </is>
      </c>
      <c r="O110" t="inlineStr">
        <is>
          <t>20231107, 20231109</t>
        </is>
      </c>
      <c r="P110" t="inlineStr">
        <is>
          <t>Jawa Barat</t>
        </is>
      </c>
      <c r="Q110" t="inlineStr"/>
    </row>
    <row r="111">
      <c r="A111" t="inlineStr">
        <is>
          <t>ARKINDO</t>
        </is>
      </c>
      <c r="B111" t="inlineStr">
        <is>
          <t>Kota Bandung</t>
        </is>
      </c>
      <c r="C111" t="inlineStr">
        <is>
          <t>02287304460</t>
        </is>
      </c>
      <c r="D111" t="inlineStr">
        <is>
          <t>pt.arkindo@gmail.com</t>
        </is>
      </c>
      <c r="E111" t="inlineStr">
        <is>
          <t>https://lpjk.pu.go.id/search-badan-usaha-detail/RGwvZFkvQzdGT2Y4elZmS1NUOGpydz09</t>
        </is>
      </c>
      <c r="F111" t="n">
        <v>1</v>
      </c>
      <c r="G111" t="inlineStr">
        <is>
          <t>BS001</t>
        </is>
      </c>
      <c r="H111" t="inlineStr">
        <is>
          <t>29 Mei 1980</t>
        </is>
      </c>
      <c r="I111" s="2" t="n">
        <v>46335</v>
      </c>
      <c r="J111" t="inlineStr">
        <is>
          <t>Pencabutan</t>
        </is>
      </c>
      <c r="K111" t="n">
        <v>87</v>
      </c>
      <c r="L111" t="inlineStr">
        <is>
          <t>9 November 2026</t>
        </is>
      </c>
      <c r="M111" t="inlineStr">
        <is>
          <t>Konstruksi Bangunan Sipil Jalan</t>
        </is>
      </c>
      <c r="N111" t="inlineStr">
        <is>
          <t>B</t>
        </is>
      </c>
      <c r="O111" t="inlineStr">
        <is>
          <t>20231109</t>
        </is>
      </c>
      <c r="P111" t="inlineStr">
        <is>
          <t>Jawa Barat</t>
        </is>
      </c>
      <c r="Q111" t="inlineStr"/>
    </row>
    <row r="112">
      <c r="A112" t="inlineStr">
        <is>
          <t>ARMAK SUMBER BAHAGIA</t>
        </is>
      </c>
      <c r="B112" t="inlineStr">
        <is>
          <t>Kota Bandar Lampung</t>
        </is>
      </c>
      <c r="C112" t="inlineStr">
        <is>
          <t>0721240379</t>
        </is>
      </c>
      <c r="D112" t="inlineStr">
        <is>
          <t>armakgroup_asb@yahoo.com</t>
        </is>
      </c>
      <c r="E112" t="inlineStr">
        <is>
          <t>https://lpjk.pu.go.id/search-badan-usaha-detail/V0RVVXNEWjFYZjVhTG1QdUdaRDZ5dz09</t>
        </is>
      </c>
      <c r="F112" t="n">
        <v>1</v>
      </c>
      <c r="G112" t="inlineStr">
        <is>
          <t>BS003</t>
        </is>
      </c>
      <c r="H112" t="inlineStr">
        <is>
          <t>15 Januari 2003</t>
        </is>
      </c>
      <c r="I112" s="2" t="n">
        <v>46338</v>
      </c>
      <c r="J112" t="inlineStr">
        <is>
          <t>Disetujui</t>
        </is>
      </c>
      <c r="K112" t="n">
        <v>87</v>
      </c>
      <c r="L112" t="inlineStr">
        <is>
          <t>12 November 2026</t>
        </is>
      </c>
      <c r="M112" t="inlineStr">
        <is>
          <t>Konstruksi Jalan Rel</t>
        </is>
      </c>
      <c r="N112" t="inlineStr">
        <is>
          <t>M</t>
        </is>
      </c>
      <c r="O112" t="inlineStr">
        <is>
          <t>20231025</t>
        </is>
      </c>
      <c r="P112" t="inlineStr">
        <is>
          <t>Lampung</t>
        </is>
      </c>
      <c r="Q112" t="inlineStr"/>
    </row>
    <row r="113">
      <c r="A113" t="inlineStr">
        <is>
          <t>ARSITAMA GRAHA PRATAMA</t>
        </is>
      </c>
      <c r="B113" t="inlineStr">
        <is>
          <t>Kota Bandung</t>
        </is>
      </c>
      <c r="C113" t="inlineStr">
        <is>
          <t>081332712147</t>
        </is>
      </c>
      <c r="D113" t="inlineStr">
        <is>
          <t>arsitama.id@gmail.com</t>
        </is>
      </c>
      <c r="E113" t="inlineStr">
        <is>
          <t>https://lpjk.pu.go.id/search-badan-usaha-detail/azBtc2R4MmdCNWkxdjFyc1I4ZTA2QT09</t>
        </is>
      </c>
      <c r="F113" t="n">
        <v>2</v>
      </c>
      <c r="G113" t="inlineStr">
        <is>
          <t>BG006</t>
        </is>
      </c>
      <c r="H113" t="inlineStr">
        <is>
          <t>18 April 2022</t>
        </is>
      </c>
      <c r="I113" s="2" t="n">
        <v>46334</v>
      </c>
      <c r="J113" t="inlineStr">
        <is>
          <t>Disetujui</t>
        </is>
      </c>
      <c r="K113" t="n">
        <v>87</v>
      </c>
      <c r="L113" t="inlineStr">
        <is>
          <t>8 November 2026</t>
        </is>
      </c>
      <c r="M113" t="inlineStr">
        <is>
          <t>Konstruksi Gedung Pendidikan</t>
        </is>
      </c>
      <c r="N113" t="inlineStr">
        <is>
          <t>K</t>
        </is>
      </c>
      <c r="O113" t="inlineStr">
        <is>
          <t>20231109</t>
        </is>
      </c>
      <c r="P113" t="inlineStr">
        <is>
          <t>Jawa Barat</t>
        </is>
      </c>
      <c r="Q113" t="inlineStr"/>
    </row>
    <row r="114">
      <c r="A114" t="inlineStr">
        <is>
          <t>ARTAREKA CONSULTANT</t>
        </is>
      </c>
      <c r="B114" t="inlineStr">
        <is>
          <t>Kab. Balangan</t>
        </is>
      </c>
      <c r="C114" t="inlineStr">
        <is>
          <t>082255133776</t>
        </is>
      </c>
      <c r="D114" t="inlineStr">
        <is>
          <t>cv.artarekaconsultant@gmail.com</t>
        </is>
      </c>
      <c r="E114" t="inlineStr">
        <is>
          <t>https://lpjk.pu.go.id/search-badan-usaha-detail/a05sUGFGTm84TWFFQ1IxRnJwbXhZQT09</t>
        </is>
      </c>
      <c r="F114" t="n">
        <v>3</v>
      </c>
      <c r="G114" t="inlineStr">
        <is>
          <t>RK001, RK002, RK003</t>
        </is>
      </c>
      <c r="H114" t="inlineStr">
        <is>
          <t>27 Juni 2016</t>
        </is>
      </c>
      <c r="I114" s="2" t="n">
        <v>46340</v>
      </c>
      <c r="J114" t="inlineStr">
        <is>
          <t>Disetujui</t>
        </is>
      </c>
      <c r="K114" t="n">
        <v>87</v>
      </c>
      <c r="L114" t="inlineStr">
        <is>
          <t>14 November 2026</t>
        </is>
      </c>
      <c r="M114" t="inlineStr">
        <is>
          <t>Jasa Rekayasa Konstruksi Bangunan Gedung Hunian dan Non Hunian, Jasa Rekayasa Pekerjaan Teknik Sipil Sumber Daya Air, Jasa Rekayasa Pekerjaan Teknik Sipil Transportasi</t>
        </is>
      </c>
      <c r="N114" t="inlineStr">
        <is>
          <t>K</t>
        </is>
      </c>
      <c r="O114" t="inlineStr">
        <is>
          <t>20231023, 20231024</t>
        </is>
      </c>
      <c r="P114" t="inlineStr">
        <is>
          <t>Kalimantan Selatan</t>
        </is>
      </c>
      <c r="Q114" t="inlineStr"/>
    </row>
    <row r="115">
      <c r="A115" t="inlineStr">
        <is>
          <t>ARTHA GA</t>
        </is>
      </c>
      <c r="B115" t="inlineStr">
        <is>
          <t>Kab. Bener Meriah</t>
        </is>
      </c>
      <c r="C115" t="inlineStr">
        <is>
          <t>08126919039</t>
        </is>
      </c>
      <c r="D115" t="inlineStr">
        <is>
          <t>arthaga.cv@gmail.com</t>
        </is>
      </c>
      <c r="E115" t="inlineStr">
        <is>
          <t>https://lpjk.pu.go.id/search-badan-usaha-detail/Tm5YbGRqa1JiQ2xTUXJMcUxNQURsdz09</t>
        </is>
      </c>
      <c r="F115" t="n">
        <v>1</v>
      </c>
      <c r="G115" t="inlineStr">
        <is>
          <t>BS005</t>
        </is>
      </c>
      <c r="H115" t="inlineStr">
        <is>
          <t>12 Desember 2006</t>
        </is>
      </c>
      <c r="I115" s="2" t="n">
        <v>46339</v>
      </c>
      <c r="J115" t="inlineStr">
        <is>
          <t>Disetujui</t>
        </is>
      </c>
      <c r="K115" t="n">
        <v>87</v>
      </c>
      <c r="L115" t="inlineStr">
        <is>
          <t>13 November 2026</t>
        </is>
      </c>
      <c r="M115" t="inlineStr">
        <is>
          <t>Konstruksi Bangunan Sipil Pengolahan Air Bersih</t>
        </is>
      </c>
      <c r="N115" t="inlineStr">
        <is>
          <t>K</t>
        </is>
      </c>
      <c r="O115" t="inlineStr">
        <is>
          <t>20231113</t>
        </is>
      </c>
      <c r="P115" t="inlineStr">
        <is>
          <t>Aceh</t>
        </is>
      </c>
      <c r="Q115" t="inlineStr"/>
    </row>
    <row r="116">
      <c r="A116" t="inlineStr">
        <is>
          <t>ASA NOOR AROFAH</t>
        </is>
      </c>
      <c r="B116" t="inlineStr">
        <is>
          <t>Kota Semarang</t>
        </is>
      </c>
      <c r="C116" t="inlineStr">
        <is>
          <t>0247624993</t>
        </is>
      </c>
      <c r="D116" t="inlineStr">
        <is>
          <t>asanoorarofah69@gmail.com</t>
        </is>
      </c>
      <c r="E116" t="inlineStr">
        <is>
          <t>https://lpjk.pu.go.id/search-badan-usaha-detail/MHowTlBmU2lIMzJvZUZPK1YwUENFUT09</t>
        </is>
      </c>
      <c r="F116" t="n">
        <v>1</v>
      </c>
      <c r="G116" t="inlineStr">
        <is>
          <t>PL005</t>
        </is>
      </c>
      <c r="H116" t="inlineStr">
        <is>
          <t>21 Februari 1990</t>
        </is>
      </c>
      <c r="I116" s="2" t="n">
        <v>46334</v>
      </c>
      <c r="J116" t="inlineStr">
        <is>
          <t>Pembekuan</t>
        </is>
      </c>
      <c r="K116" t="n">
        <v>87</v>
      </c>
      <c r="L116" t="inlineStr">
        <is>
          <t>8 November 2026</t>
        </is>
      </c>
      <c r="M116" t="inlineStr">
        <is>
          <t>Pembuatan/Pengeboran Sumur Air Tanah</t>
        </is>
      </c>
      <c r="N116" t="inlineStr">
        <is>
          <t>Spesialis</t>
        </is>
      </c>
      <c r="O116" t="inlineStr">
        <is>
          <t>20231109</t>
        </is>
      </c>
      <c r="P116" t="inlineStr">
        <is>
          <t>Jawa Tengah</t>
        </is>
      </c>
      <c r="Q116" t="inlineStr"/>
    </row>
    <row r="117">
      <c r="A117" t="inlineStr">
        <is>
          <t>ASIA NUSA GRAHA</t>
        </is>
      </c>
      <c r="B117" t="inlineStr">
        <is>
          <t>Kab. Tangerang</t>
        </is>
      </c>
      <c r="C117" t="inlineStr">
        <is>
          <t>02154217633</t>
        </is>
      </c>
      <c r="D117" t="inlineStr">
        <is>
          <t>anugrah.umum@gmail.com</t>
        </is>
      </c>
      <c r="E117" t="inlineStr">
        <is>
          <t>https://lpjk.pu.go.id/search-badan-usaha-detail/cEdvOW4wdndtNEZDbk5KTHVBRllQdz09</t>
        </is>
      </c>
      <c r="F117" t="n">
        <v>3</v>
      </c>
      <c r="G117" t="inlineStr">
        <is>
          <t>BG001, BG003, BG007</t>
        </is>
      </c>
      <c r="H117" t="inlineStr">
        <is>
          <t>14 Maret 2012</t>
        </is>
      </c>
      <c r="I117" s="2" t="n">
        <v>46339</v>
      </c>
      <c r="J117" t="inlineStr">
        <is>
          <t>Disetujui</t>
        </is>
      </c>
      <c r="K117" t="n">
        <v>87</v>
      </c>
      <c r="L117" t="inlineStr">
        <is>
          <t>13 November 2026</t>
        </is>
      </c>
      <c r="M117" t="inlineStr">
        <is>
          <t>Konstruksi Gedung Hunian, Konstruksi Gedung Industri, Konstruksi Gedung Penginapan</t>
        </is>
      </c>
      <c r="N117" t="inlineStr">
        <is>
          <t>K</t>
        </is>
      </c>
      <c r="O117" t="inlineStr">
        <is>
          <t>20231114</t>
        </is>
      </c>
      <c r="P117" t="inlineStr">
        <is>
          <t>Banten</t>
        </is>
      </c>
      <c r="Q117" t="inlineStr"/>
    </row>
    <row r="118">
      <c r="A118" t="inlineStr">
        <is>
          <t>ASRI GRAHA MAKMUR</t>
        </is>
      </c>
      <c r="B118" t="inlineStr">
        <is>
          <t>Kota Tangerang</t>
        </is>
      </c>
      <c r="C118" t="inlineStr">
        <is>
          <t>082110191959</t>
        </is>
      </c>
      <c r="D118" t="inlineStr">
        <is>
          <t>ptasrigrahamakmur@gmail.com</t>
        </is>
      </c>
      <c r="E118" t="inlineStr">
        <is>
          <t>https://lpjk.pu.go.id/search-badan-usaha-detail/RVVJUTVQdHgxeEJLc2xOSlFHdVlHUT09</t>
        </is>
      </c>
      <c r="F118" t="n">
        <v>2</v>
      </c>
      <c r="G118" t="inlineStr">
        <is>
          <t>BG001, BG004</t>
        </is>
      </c>
      <c r="H118" t="inlineStr">
        <is>
          <t>14 November 2001</t>
        </is>
      </c>
      <c r="I118" s="2" t="n">
        <v>46336</v>
      </c>
      <c r="J118" t="inlineStr">
        <is>
          <t>Disetujui</t>
        </is>
      </c>
      <c r="K118" t="n">
        <v>87</v>
      </c>
      <c r="L118" t="inlineStr">
        <is>
          <t>10 November 2026</t>
        </is>
      </c>
      <c r="M118" t="inlineStr">
        <is>
          <t>Konstruksi Gedung Hunian, Konstruksi Gedung Perbelanjaan</t>
        </is>
      </c>
      <c r="N118" t="inlineStr">
        <is>
          <t>M</t>
        </is>
      </c>
      <c r="O118" t="inlineStr">
        <is>
          <t>20231101</t>
        </is>
      </c>
      <c r="P118" t="inlineStr">
        <is>
          <t>Banten</t>
        </is>
      </c>
      <c r="Q118" t="inlineStr"/>
    </row>
    <row r="119">
      <c r="A119" t="inlineStr">
        <is>
          <t>ATHARA</t>
        </is>
      </c>
      <c r="B119" t="inlineStr">
        <is>
          <t>Kab. Bondowoso</t>
        </is>
      </c>
      <c r="C119" t="inlineStr">
        <is>
          <t>082264157779</t>
        </is>
      </c>
      <c r="D119" t="inlineStr">
        <is>
          <t>atharacv0@gmail.com</t>
        </is>
      </c>
      <c r="E119" t="inlineStr">
        <is>
          <t>https://lpjk.pu.go.id/search-badan-usaha-detail/L3lSWTBLR0dhQ2RUSVJtNG1uSXJOQT09</t>
        </is>
      </c>
      <c r="F119" t="n">
        <v>2</v>
      </c>
      <c r="G119" t="inlineStr">
        <is>
          <t>BG005, BG009</t>
        </is>
      </c>
      <c r="H119" t="inlineStr">
        <is>
          <t>13 Desember 2017</t>
        </is>
      </c>
      <c r="I119" s="2" t="n">
        <v>46339</v>
      </c>
      <c r="J119" t="inlineStr">
        <is>
          <t>Disetujui</t>
        </is>
      </c>
      <c r="K119" t="n">
        <v>87</v>
      </c>
      <c r="L119" t="inlineStr">
        <is>
          <t>13 November 2026</t>
        </is>
      </c>
      <c r="M119" t="inlineStr">
        <is>
          <t>Konstruksi Gedung Kesehatan, Konstruksi Gedung Lainnya</t>
        </is>
      </c>
      <c r="N119" t="inlineStr">
        <is>
          <t>K</t>
        </is>
      </c>
      <c r="O119" t="inlineStr">
        <is>
          <t>20231110</t>
        </is>
      </c>
      <c r="P119" t="inlineStr">
        <is>
          <t>Jawa Timur</t>
        </is>
      </c>
      <c r="Q119" t="inlineStr"/>
    </row>
    <row r="120">
      <c r="A120" t="inlineStr">
        <is>
          <t>ATLAS BINTANG SARANA</t>
        </is>
      </c>
      <c r="B120" t="inlineStr">
        <is>
          <t>Kota Semarang</t>
        </is>
      </c>
      <c r="C120" t="inlineStr">
        <is>
          <t>0247617017</t>
        </is>
      </c>
      <c r="D120" t="inlineStr">
        <is>
          <t>atlasbts@yahoo.com</t>
        </is>
      </c>
      <c r="E120" t="inlineStr">
        <is>
          <t>https://lpjk.pu.go.id/search-badan-usaha-detail/V3lqQ2VXT0QybGQ1TTBOZmxuUi85dz09</t>
        </is>
      </c>
      <c r="F120" t="n">
        <v>1</v>
      </c>
      <c r="G120" t="inlineStr">
        <is>
          <t>BG002</t>
        </is>
      </c>
      <c r="H120" t="inlineStr">
        <is>
          <t>21 Juni 1999</t>
        </is>
      </c>
      <c r="I120" s="2" t="n">
        <v>46338</v>
      </c>
      <c r="J120" t="inlineStr">
        <is>
          <t>Disetujui</t>
        </is>
      </c>
      <c r="K120" t="n">
        <v>87</v>
      </c>
      <c r="L120" t="inlineStr">
        <is>
          <t>12 November 2026</t>
        </is>
      </c>
      <c r="M120" t="inlineStr">
        <is>
          <t>Konstruksi Gedung Perkantoran</t>
        </is>
      </c>
      <c r="N120" t="inlineStr">
        <is>
          <t>K</t>
        </is>
      </c>
      <c r="O120" t="inlineStr">
        <is>
          <t>20231110</t>
        </is>
      </c>
      <c r="P120" t="inlineStr">
        <is>
          <t>Jawa Tengah</t>
        </is>
      </c>
      <c r="Q120" t="inlineStr"/>
    </row>
    <row r="121">
      <c r="A121" t="inlineStr">
        <is>
          <t>AULIYAH SASMITA</t>
        </is>
      </c>
      <c r="B121" t="inlineStr">
        <is>
          <t>Kota Pasuruan</t>
        </is>
      </c>
      <c r="C121" t="inlineStr">
        <is>
          <t>+6282311109687</t>
        </is>
      </c>
      <c r="D121" t="inlineStr">
        <is>
          <t>auliyahsasmita@gmail.com</t>
        </is>
      </c>
      <c r="E121" t="inlineStr">
        <is>
          <t>https://lpjk.pu.go.id/search-badan-usaha-detail/b3B2NUNPbW96ZExKbFBHS29rbWVVUT09</t>
        </is>
      </c>
      <c r="F121" t="n">
        <v>2</v>
      </c>
      <c r="G121" t="inlineStr">
        <is>
          <t>BG006, BS005</t>
        </is>
      </c>
      <c r="H121" t="inlineStr">
        <is>
          <t>12 April 2022</t>
        </is>
      </c>
      <c r="I121" s="2" t="n">
        <v>46335</v>
      </c>
      <c r="J121" t="inlineStr">
        <is>
          <t>Pencabutan</t>
        </is>
      </c>
      <c r="K121" t="n">
        <v>87</v>
      </c>
      <c r="L121" t="inlineStr">
        <is>
          <t>9 November 2026</t>
        </is>
      </c>
      <c r="M121" t="inlineStr">
        <is>
          <t>Konstruksi Bangunan Sipil Pengolahan Air Bersih, Konstruksi Gedung Pendidikan</t>
        </is>
      </c>
      <c r="N121" t="inlineStr">
        <is>
          <t>K</t>
        </is>
      </c>
      <c r="O121" t="inlineStr">
        <is>
          <t>20231103, 20231110</t>
        </is>
      </c>
      <c r="P121" t="inlineStr">
        <is>
          <t>Jawa Timur</t>
        </is>
      </c>
      <c r="Q121" t="inlineStr"/>
    </row>
    <row r="122">
      <c r="A122" t="inlineStr">
        <is>
          <t>AURA JAYA ABADI</t>
        </is>
      </c>
      <c r="B122" t="inlineStr">
        <is>
          <t>Kab. Sukabumi</t>
        </is>
      </c>
      <c r="C122" t="inlineStr">
        <is>
          <t>081382434786</t>
        </is>
      </c>
      <c r="D122" t="inlineStr">
        <is>
          <t>cv.aurajayaabadi08@gmail.com</t>
        </is>
      </c>
      <c r="E122" t="inlineStr">
        <is>
          <t>https://lpjk.pu.go.id/search-badan-usaha-detail/N1hkS2hWQWVDM3dhNEpLcWNERFI0UT09</t>
        </is>
      </c>
      <c r="F122" t="n">
        <v>3</v>
      </c>
      <c r="G122" t="inlineStr">
        <is>
          <t>BG003, BS001, BS004</t>
        </is>
      </c>
      <c r="H122" t="inlineStr">
        <is>
          <t>30 Juli 2010</t>
        </is>
      </c>
      <c r="I122" s="2" t="n">
        <v>46340</v>
      </c>
      <c r="J122" t="inlineStr">
        <is>
          <t>Disetujui</t>
        </is>
      </c>
      <c r="K122" t="n">
        <v>87</v>
      </c>
      <c r="L122" t="inlineStr">
        <is>
          <t>14 November 2026</t>
        </is>
      </c>
      <c r="M122" t="inlineStr">
        <is>
          <t>Konstruksi Bangunan Sipil Jalan, Konstruksi Gedung Industri, Konstruksi Jaringan Irigasi dan Drainase</t>
        </is>
      </c>
      <c r="N122" t="inlineStr">
        <is>
          <t>K</t>
        </is>
      </c>
      <c r="O122" t="inlineStr">
        <is>
          <t>20231113, 20231114</t>
        </is>
      </c>
      <c r="P122" t="inlineStr">
        <is>
          <t>Jawa Barat</t>
        </is>
      </c>
      <c r="Q122" t="inlineStr"/>
    </row>
    <row r="123">
      <c r="A123" t="inlineStr">
        <is>
          <t>AURA MAJU CONSTRUCTION</t>
        </is>
      </c>
      <c r="B123" t="inlineStr">
        <is>
          <t>Kab. Asahan</t>
        </is>
      </c>
      <c r="C123" t="inlineStr">
        <is>
          <t>082280707477</t>
        </is>
      </c>
      <c r="D123" t="inlineStr">
        <is>
          <t>cv.auramajuconstruction@gmail.com</t>
        </is>
      </c>
      <c r="E123" t="inlineStr">
        <is>
          <t>https://lpjk.pu.go.id/search-badan-usaha-detail/eUE5N0x3SmJPS0x6ZUhBZGNCc0trdz09</t>
        </is>
      </c>
      <c r="F123" t="n">
        <v>1</v>
      </c>
      <c r="G123" t="inlineStr">
        <is>
          <t>BG005</t>
        </is>
      </c>
      <c r="H123" t="inlineStr">
        <is>
          <t>7 Agustus 2023</t>
        </is>
      </c>
      <c r="I123" s="2" t="n">
        <v>46337</v>
      </c>
      <c r="J123" t="inlineStr">
        <is>
          <t>Disetujui</t>
        </is>
      </c>
      <c r="K123" t="n">
        <v>87</v>
      </c>
      <c r="L123" t="inlineStr">
        <is>
          <t>11 November 2026</t>
        </is>
      </c>
      <c r="M123" t="inlineStr">
        <is>
          <t>Konstruksi Gedung Kesehatan</t>
        </is>
      </c>
      <c r="N123" t="inlineStr">
        <is>
          <t>K</t>
        </is>
      </c>
      <c r="O123" t="inlineStr">
        <is>
          <t>20231110</t>
        </is>
      </c>
      <c r="P123" t="inlineStr">
        <is>
          <t>Sumatera Utara</t>
        </is>
      </c>
      <c r="Q123" t="inlineStr"/>
    </row>
    <row r="124">
      <c r="A124" t="inlineStr">
        <is>
          <t>AYA KARYA MANDIRI</t>
        </is>
      </c>
      <c r="B124" t="inlineStr">
        <is>
          <t>Kab. Bandung</t>
        </is>
      </c>
      <c r="C124" t="inlineStr">
        <is>
          <t>081222208588</t>
        </is>
      </c>
      <c r="D124" t="inlineStr">
        <is>
          <t>cv.ayakaryamandiri@gmail.com</t>
        </is>
      </c>
      <c r="E124" t="inlineStr">
        <is>
          <t>https://lpjk.pu.go.id/search-badan-usaha-detail/clZTTUo4bjJ4cGF2WjJhL0V3RUhQUT09</t>
        </is>
      </c>
      <c r="F124" t="n">
        <v>2</v>
      </c>
      <c r="G124" t="inlineStr">
        <is>
          <t>BG009, BS004</t>
        </is>
      </c>
      <c r="H124" t="inlineStr">
        <is>
          <t>10 Agustus 2021</t>
        </is>
      </c>
      <c r="I124" s="2" t="n">
        <v>46338</v>
      </c>
      <c r="J124" t="inlineStr">
        <is>
          <t>Disetujui</t>
        </is>
      </c>
      <c r="K124" t="n">
        <v>87</v>
      </c>
      <c r="L124" t="inlineStr">
        <is>
          <t>12 November 2026</t>
        </is>
      </c>
      <c r="M124" t="inlineStr">
        <is>
          <t>Konstruksi Gedung Lainnya, Konstruksi Jaringan Irigasi dan Drainase</t>
        </is>
      </c>
      <c r="N124" t="inlineStr">
        <is>
          <t>K</t>
        </is>
      </c>
      <c r="O124" t="inlineStr">
        <is>
          <t>20231103, 20231111</t>
        </is>
      </c>
      <c r="P124" t="inlineStr">
        <is>
          <t>Jawa Barat</t>
        </is>
      </c>
      <c r="Q124" t="inlineStr"/>
    </row>
    <row r="125">
      <c r="A125" t="inlineStr">
        <is>
          <t>AZI BANDUNG BANDAWASA</t>
        </is>
      </c>
      <c r="B125" t="inlineStr">
        <is>
          <t>Kota Cimahi</t>
        </is>
      </c>
      <c r="C125" t="inlineStr">
        <is>
          <t>0222003491</t>
        </is>
      </c>
      <c r="D125" t="inlineStr">
        <is>
          <t>ptazibandungbandawasa@gmail.com</t>
        </is>
      </c>
      <c r="E125" t="inlineStr">
        <is>
          <t>https://lpjk.pu.go.id/search-badan-usaha-detail/ckRub3lnZ2E5S1RrM01DblpkN2Q2UT09</t>
        </is>
      </c>
      <c r="F125" t="n">
        <v>1</v>
      </c>
      <c r="G125" t="inlineStr">
        <is>
          <t>BS001</t>
        </is>
      </c>
      <c r="H125" t="inlineStr">
        <is>
          <t>2 Maret 2023</t>
        </is>
      </c>
      <c r="I125" s="2" t="n">
        <v>46340</v>
      </c>
      <c r="J125" t="inlineStr">
        <is>
          <t>Disetujui</t>
        </is>
      </c>
      <c r="K125" t="n">
        <v>87</v>
      </c>
      <c r="L125" t="inlineStr">
        <is>
          <t>14 November 2026</t>
        </is>
      </c>
      <c r="M125" t="inlineStr">
        <is>
          <t>Konstruksi Bangunan Sipil Jalan</t>
        </is>
      </c>
      <c r="N125" t="inlineStr">
        <is>
          <t>K</t>
        </is>
      </c>
      <c r="O125" t="inlineStr">
        <is>
          <t>20231103</t>
        </is>
      </c>
      <c r="P125" t="inlineStr">
        <is>
          <t>Jawa Barat</t>
        </is>
      </c>
      <c r="Q125" t="inlineStr"/>
    </row>
    <row r="126">
      <c r="A126" t="inlineStr">
        <is>
          <t>AZWA WIRDA KARYA</t>
        </is>
      </c>
      <c r="B126" t="inlineStr">
        <is>
          <t>Kota Pekanbaru</t>
        </is>
      </c>
      <c r="C126" t="inlineStr">
        <is>
          <t>082287218013</t>
        </is>
      </c>
      <c r="D126" t="inlineStr">
        <is>
          <t>cv.azwawirdakarya@gmail.com</t>
        </is>
      </c>
      <c r="E126" t="inlineStr">
        <is>
          <t>https://lpjk.pu.go.id/search-badan-usaha-detail/VGVDRVk1Y0U1ekd5RTE2VG1Zc1JtUT09</t>
        </is>
      </c>
      <c r="F126" t="n">
        <v>1</v>
      </c>
      <c r="G126" t="inlineStr">
        <is>
          <t>BG005</t>
        </is>
      </c>
      <c r="H126" t="inlineStr">
        <is>
          <t>2 November 2016</t>
        </is>
      </c>
      <c r="I126" s="2" t="n">
        <v>46334</v>
      </c>
      <c r="J126" t="inlineStr">
        <is>
          <t>Disetujui</t>
        </is>
      </c>
      <c r="K126" t="n">
        <v>87</v>
      </c>
      <c r="L126" t="inlineStr">
        <is>
          <t>8 November 2026</t>
        </is>
      </c>
      <c r="M126" t="inlineStr">
        <is>
          <t>Konstruksi Gedung Kesehatan</t>
        </is>
      </c>
      <c r="N126" t="inlineStr">
        <is>
          <t>K</t>
        </is>
      </c>
      <c r="O126" t="inlineStr">
        <is>
          <t>20231107</t>
        </is>
      </c>
      <c r="P126" t="inlineStr">
        <is>
          <t>Riau</t>
        </is>
      </c>
      <c r="Q126" t="inlineStr"/>
    </row>
    <row r="127">
      <c r="A127" t="inlineStr">
        <is>
          <t>AZZAHRA</t>
        </is>
      </c>
      <c r="B127" t="inlineStr">
        <is>
          <t>Kab. Lombok Tengah</t>
        </is>
      </c>
      <c r="C127" t="inlineStr">
        <is>
          <t>87854370517</t>
        </is>
      </c>
      <c r="D127" t="inlineStr">
        <is>
          <t>cvazzahra111@gmail.com</t>
        </is>
      </c>
      <c r="E127" t="inlineStr">
        <is>
          <t>https://lpjk.pu.go.id/search-badan-usaha-detail/MmRIUkdISFdJd2hIRlBWemd3TGdLQT09</t>
        </is>
      </c>
      <c r="F127" t="n">
        <v>1</v>
      </c>
      <c r="G127" t="inlineStr">
        <is>
          <t>BS001</t>
        </is>
      </c>
      <c r="H127" t="inlineStr">
        <is>
          <t>23 Mei 2016</t>
        </is>
      </c>
      <c r="I127" s="2" t="n">
        <v>46339</v>
      </c>
      <c r="J127" t="inlineStr">
        <is>
          <t>Disetujui</t>
        </is>
      </c>
      <c r="K127" t="n">
        <v>87</v>
      </c>
      <c r="L127" t="inlineStr">
        <is>
          <t>13 November 2026</t>
        </is>
      </c>
      <c r="M127" t="inlineStr">
        <is>
          <t>Konstruksi Bangunan Sipil Jalan</t>
        </is>
      </c>
      <c r="N127" t="inlineStr">
        <is>
          <t>K</t>
        </is>
      </c>
      <c r="O127" t="inlineStr">
        <is>
          <t>20231113</t>
        </is>
      </c>
      <c r="P127" t="inlineStr">
        <is>
          <t>Nusa Tenggara Barat</t>
        </is>
      </c>
      <c r="Q127" t="inlineStr"/>
    </row>
    <row r="128">
      <c r="A128" t="inlineStr">
        <is>
          <t>BALADEWA SUKSES PROPERTINDO</t>
        </is>
      </c>
      <c r="B128" t="inlineStr">
        <is>
          <t>Kota Cirebon</t>
        </is>
      </c>
      <c r="C128" t="inlineStr">
        <is>
          <t>082214050064</t>
        </is>
      </c>
      <c r="D128" t="inlineStr">
        <is>
          <t>cvbaladewasp22@gmail.com</t>
        </is>
      </c>
      <c r="E128" t="inlineStr">
        <is>
          <t>https://lpjk.pu.go.id/search-badan-usaha-detail/WktTdUJqNjA1TFhvNjNWdjJYQkc0dz09</t>
        </is>
      </c>
      <c r="F128" t="n">
        <v>2</v>
      </c>
      <c r="G128" t="inlineStr">
        <is>
          <t>BG009</t>
        </is>
      </c>
      <c r="H128" t="inlineStr">
        <is>
          <t>22 Juli 2019</t>
        </is>
      </c>
      <c r="I128" s="2" t="n">
        <v>46340</v>
      </c>
      <c r="J128" t="inlineStr">
        <is>
          <t>Pencabutan</t>
        </is>
      </c>
      <c r="K128" t="n">
        <v>87</v>
      </c>
      <c r="L128" t="inlineStr">
        <is>
          <t>14 November 2026</t>
        </is>
      </c>
      <c r="M128" t="inlineStr">
        <is>
          <t>Konstruksi Gedung Lainnya</t>
        </is>
      </c>
      <c r="N128" t="inlineStr">
        <is>
          <t>K</t>
        </is>
      </c>
      <c r="O128" t="inlineStr">
        <is>
          <t>20231107</t>
        </is>
      </c>
      <c r="P128" t="inlineStr">
        <is>
          <t>Jawa Barat</t>
        </is>
      </c>
      <c r="Q128" t="inlineStr"/>
    </row>
    <row r="129">
      <c r="A129" t="inlineStr">
        <is>
          <t>BANAR MEGA RAYA</t>
        </is>
      </c>
      <c r="B129" t="inlineStr">
        <is>
          <t>Kab. Nganjuk</t>
        </is>
      </c>
      <c r="C129" t="inlineStr">
        <is>
          <t>081235232979</t>
        </is>
      </c>
      <c r="D129" t="inlineStr">
        <is>
          <t>banarmegaraya@gmail.com</t>
        </is>
      </c>
      <c r="E129" t="inlineStr">
        <is>
          <t>https://lpjk.pu.go.id/search-badan-usaha-detail/cHVycGRGdUJBUnBEVFNUUHV1NTJCUT09</t>
        </is>
      </c>
      <c r="F129" t="n">
        <v>2</v>
      </c>
      <c r="G129" t="inlineStr">
        <is>
          <t>BS001, BS002</t>
        </is>
      </c>
      <c r="H129" t="inlineStr">
        <is>
          <t>16 September 2023</t>
        </is>
      </c>
      <c r="I129" s="2" t="n">
        <v>46334</v>
      </c>
      <c r="J129" t="inlineStr">
        <is>
          <t>Disetujui</t>
        </is>
      </c>
      <c r="K129" t="n">
        <v>87</v>
      </c>
      <c r="L129" t="inlineStr">
        <is>
          <t>8 November 2026</t>
        </is>
      </c>
      <c r="M129" t="inlineStr">
        <is>
          <t>Bangunan Sipil Jembatan, Jalan Layang, Fly Over, dan Underpass, Konstruksi Bangunan Sipil Jalan</t>
        </is>
      </c>
      <c r="N129" t="inlineStr">
        <is>
          <t>K</t>
        </is>
      </c>
      <c r="O129" t="inlineStr">
        <is>
          <t>20231107</t>
        </is>
      </c>
      <c r="P129" t="inlineStr">
        <is>
          <t>Jawa Timur</t>
        </is>
      </c>
      <c r="Q129" t="inlineStr"/>
    </row>
    <row r="130">
      <c r="A130" t="inlineStr">
        <is>
          <t>BANGUN JAYA KHATULISTIWA</t>
        </is>
      </c>
      <c r="B130" t="inlineStr">
        <is>
          <t>Kota Pontianak</t>
        </is>
      </c>
      <c r="C130" t="inlineStr">
        <is>
          <t>08115757997</t>
        </is>
      </c>
      <c r="D130" t="inlineStr">
        <is>
          <t>bjs.bersaudara@gmail.com</t>
        </is>
      </c>
      <c r="E130" t="inlineStr">
        <is>
          <t>https://lpjk.pu.go.id/search-badan-usaha-detail/Vk1TSTN4RkMxNEpKNVB0QW1IakxpZz09</t>
        </is>
      </c>
      <c r="F130" t="n">
        <v>2</v>
      </c>
      <c r="G130" t="inlineStr">
        <is>
          <t>RK001, RK003</t>
        </is>
      </c>
      <c r="H130" t="inlineStr">
        <is>
          <t>9 Juli 2020</t>
        </is>
      </c>
      <c r="I130" s="2" t="n">
        <v>46340</v>
      </c>
      <c r="J130" t="inlineStr">
        <is>
          <t>Disetujui</t>
        </is>
      </c>
      <c r="K130" t="n">
        <v>87</v>
      </c>
      <c r="L130" t="inlineStr">
        <is>
          <t>14 November 2026</t>
        </is>
      </c>
      <c r="M130" t="inlineStr">
        <is>
          <t>Jasa Rekayasa Konstruksi Bangunan Gedung Hunian dan Non Hunian, Jasa Rekayasa Pekerjaan Teknik Sipil Transportasi</t>
        </is>
      </c>
      <c r="N130" t="inlineStr">
        <is>
          <t>K</t>
        </is>
      </c>
      <c r="O130" t="inlineStr">
        <is>
          <t>20231106, 20231108</t>
        </is>
      </c>
      <c r="P130" t="inlineStr">
        <is>
          <t>Kalimantan Barat</t>
        </is>
      </c>
      <c r="Q130" t="inlineStr"/>
    </row>
    <row r="131">
      <c r="A131" t="inlineStr">
        <is>
          <t>BANGUN PAPUA RAYA</t>
        </is>
      </c>
      <c r="B131" t="inlineStr">
        <is>
          <t>Kota Sorong</t>
        </is>
      </c>
      <c r="C131" t="inlineStr">
        <is>
          <t>085315555388</t>
        </is>
      </c>
      <c r="D131" t="inlineStr">
        <is>
          <t>cv.bangunpapuaraya@gmail.com</t>
        </is>
      </c>
      <c r="E131" t="inlineStr">
        <is>
          <t>https://lpjk.pu.go.id/search-badan-usaha-detail/dDdzbFVqU09TRE5oWmZMVE5rcWRsdTFUZDRjcHd1VG9zbzNnaVVGdzB5bz0</t>
        </is>
      </c>
      <c r="F131" t="n">
        <v>2</v>
      </c>
      <c r="G131" t="inlineStr">
        <is>
          <t>BS005, BS010</t>
        </is>
      </c>
      <c r="H131" t="inlineStr">
        <is>
          <t>8 Juli 2025</t>
        </is>
      </c>
      <c r="I131" s="2" t="n">
        <v>46338</v>
      </c>
      <c r="J131" t="inlineStr">
        <is>
          <t>Disetujui</t>
        </is>
      </c>
      <c r="K131" t="n">
        <v>87</v>
      </c>
      <c r="L131" t="inlineStr">
        <is>
          <t>12 November 2026</t>
        </is>
      </c>
      <c r="M131" t="inlineStr">
        <is>
          <t>Konstruksi Bangunan Prasarana Sumber Daya Air, Konstruksi Bangunan Sipil Pengolahan Air Bersih</t>
        </is>
      </c>
      <c r="N131" t="inlineStr">
        <is>
          <t>K</t>
        </is>
      </c>
      <c r="O131" t="inlineStr">
        <is>
          <t>20231113</t>
        </is>
      </c>
      <c r="P131" t="inlineStr">
        <is>
          <t>Papua Barat Daya</t>
        </is>
      </c>
      <c r="Q131" t="inlineStr"/>
    </row>
    <row r="132">
      <c r="A132" t="inlineStr">
        <is>
          <t>BARA ABADI GROUP</t>
        </is>
      </c>
      <c r="B132" t="inlineStr">
        <is>
          <t>Kota Pekanbaru</t>
        </is>
      </c>
      <c r="C132" t="inlineStr">
        <is>
          <t>087837479400</t>
        </is>
      </c>
      <c r="D132" t="inlineStr">
        <is>
          <t>groupbaraabadi@gmail.com</t>
        </is>
      </c>
      <c r="E132" t="inlineStr">
        <is>
          <t>https://lpjk.pu.go.id/search-badan-usaha-detail/c3hsLzgzY2pmUGpRZDhLYldJYWNQdz09</t>
        </is>
      </c>
      <c r="F132" t="n">
        <v>4</v>
      </c>
      <c r="G132" t="inlineStr">
        <is>
          <t>BS001, BS004</t>
        </is>
      </c>
      <c r="H132" t="inlineStr">
        <is>
          <t>18 April 2023</t>
        </is>
      </c>
      <c r="I132" s="2" t="n">
        <v>46339</v>
      </c>
      <c r="J132" t="inlineStr">
        <is>
          <t>Pencabutan</t>
        </is>
      </c>
      <c r="K132" t="n">
        <v>87</v>
      </c>
      <c r="L132" t="inlineStr">
        <is>
          <t>13 November 2026</t>
        </is>
      </c>
      <c r="M132" t="inlineStr">
        <is>
          <t>Konstruksi Bangunan Sipil Jalan, Konstruksi Jaringan Irigasi dan Drainase</t>
        </is>
      </c>
      <c r="N132" t="inlineStr">
        <is>
          <t>K</t>
        </is>
      </c>
      <c r="O132" t="inlineStr">
        <is>
          <t>20231113, 20231114</t>
        </is>
      </c>
      <c r="P132" t="inlineStr">
        <is>
          <t>Riau</t>
        </is>
      </c>
      <c r="Q132" t="inlineStr"/>
    </row>
    <row r="133">
      <c r="A133" t="inlineStr">
        <is>
          <t>BARA JAYA MUDA</t>
        </is>
      </c>
      <c r="B133" t="inlineStr">
        <is>
          <t>Kab. Kampar</t>
        </is>
      </c>
      <c r="C133" t="inlineStr">
        <is>
          <t>0</t>
        </is>
      </c>
      <c r="D133" t="inlineStr">
        <is>
          <t>barajayamuda92@gmail.com</t>
        </is>
      </c>
      <c r="E133" t="inlineStr">
        <is>
          <t>https://lpjk.pu.go.id/search-badan-usaha-detail/bURyN01WclQrN0MrV1hSbDB5YVdPdz09</t>
        </is>
      </c>
      <c r="F133" t="n">
        <v>2</v>
      </c>
      <c r="G133" t="inlineStr">
        <is>
          <t>BS001</t>
        </is>
      </c>
      <c r="H133" t="inlineStr">
        <is>
          <t>11 Januari 2023</t>
        </is>
      </c>
      <c r="I133" s="2" t="n">
        <v>46339</v>
      </c>
      <c r="J133" t="inlineStr">
        <is>
          <t>Disetujui</t>
        </is>
      </c>
      <c r="K133" t="n">
        <v>87</v>
      </c>
      <c r="L133" t="inlineStr">
        <is>
          <t>13 November 2026</t>
        </is>
      </c>
      <c r="M133" t="inlineStr">
        <is>
          <t>Konstruksi Bangunan Sipil Jalan</t>
        </is>
      </c>
      <c r="N133" t="inlineStr">
        <is>
          <t>K</t>
        </is>
      </c>
      <c r="O133" t="inlineStr">
        <is>
          <t>20231114</t>
        </is>
      </c>
      <c r="P133" t="inlineStr">
        <is>
          <t>Riau</t>
        </is>
      </c>
      <c r="Q133" t="inlineStr"/>
    </row>
    <row r="134">
      <c r="A134" t="inlineStr">
        <is>
          <t>BARATAMA</t>
        </is>
      </c>
      <c r="B134" t="inlineStr">
        <is>
          <t>Kab. Sukoharjo</t>
        </is>
      </c>
      <c r="C134" t="inlineStr">
        <is>
          <t>081393282277</t>
        </is>
      </c>
      <c r="D134" t="inlineStr">
        <is>
          <t>baratamaskh@gmail.com</t>
        </is>
      </c>
      <c r="E134" t="inlineStr">
        <is>
          <t>https://lpjk.pu.go.id/search-badan-usaha-detail/NkdwRkVqWWNSUXh4Z1k5SU9kVFBxdz09</t>
        </is>
      </c>
      <c r="F134" t="n">
        <v>5</v>
      </c>
      <c r="G134" t="inlineStr">
        <is>
          <t>PL005</t>
        </is>
      </c>
      <c r="H134" t="inlineStr">
        <is>
          <t>25 Juni 2020</t>
        </is>
      </c>
      <c r="I134" s="2" t="n">
        <v>46339</v>
      </c>
      <c r="J134" t="inlineStr">
        <is>
          <t>Pembekuan</t>
        </is>
      </c>
      <c r="K134" t="n">
        <v>87</v>
      </c>
      <c r="L134" t="inlineStr">
        <is>
          <t>13 November 2026</t>
        </is>
      </c>
      <c r="M134" t="inlineStr">
        <is>
          <t>Pembuatan/Pengeboran Sumur Air Tanah</t>
        </is>
      </c>
      <c r="N134" t="inlineStr">
        <is>
          <t>Spesialis</t>
        </is>
      </c>
      <c r="O134" t="inlineStr">
        <is>
          <t>20231114</t>
        </is>
      </c>
      <c r="P134" t="inlineStr">
        <is>
          <t>Jawa Tengah</t>
        </is>
      </c>
      <c r="Q134" t="inlineStr"/>
    </row>
    <row r="135">
      <c r="A135" t="inlineStr">
        <is>
          <t>BAROKAH BANGKIT PERSADA</t>
        </is>
      </c>
      <c r="B135" t="inlineStr">
        <is>
          <t>Kab. Sukabumi</t>
        </is>
      </c>
      <c r="C135" t="inlineStr">
        <is>
          <t>087842974003</t>
        </is>
      </c>
      <c r="D135" t="inlineStr">
        <is>
          <t>barokahbangkitpersada@gmail.com</t>
        </is>
      </c>
      <c r="E135" t="inlineStr">
        <is>
          <t>https://lpjk.pu.go.id/search-badan-usaha-detail/cHovVnBGT1BkWGlnaTZESE1qbWoyUT09</t>
        </is>
      </c>
      <c r="F135" t="n">
        <v>10</v>
      </c>
      <c r="G135" t="inlineStr">
        <is>
          <t>BG001, BG002, BG003, BG004, BG009</t>
        </is>
      </c>
      <c r="H135" t="inlineStr">
        <is>
          <t>30 Oktober 2023</t>
        </is>
      </c>
      <c r="I135" s="2" t="n">
        <v>46336</v>
      </c>
      <c r="J135" t="inlineStr">
        <is>
          <t>Disetujui</t>
        </is>
      </c>
      <c r="K135" t="n">
        <v>87</v>
      </c>
      <c r="L135" t="inlineStr">
        <is>
          <t>10 November 2026</t>
        </is>
      </c>
      <c r="M135" t="inlineStr">
        <is>
          <t>Konstruksi Gedung Hunian, Konstruksi Gedung Industri, Konstruksi Gedung Lainnya, Konstruksi Gedung Perbelanjaan, Konstruksi Gedung Perkantoran</t>
        </is>
      </c>
      <c r="N135" t="inlineStr">
        <is>
          <t>K</t>
        </is>
      </c>
      <c r="O135" t="inlineStr">
        <is>
          <t>20231108, 20231110</t>
        </is>
      </c>
      <c r="P135" t="inlineStr">
        <is>
          <t>Jawa Barat</t>
        </is>
      </c>
      <c r="Q135" t="inlineStr"/>
    </row>
    <row r="136">
      <c r="A136" t="inlineStr">
        <is>
          <t>BAROKAH JAYA</t>
        </is>
      </c>
      <c r="B136" t="inlineStr">
        <is>
          <t>Kab. Demak</t>
        </is>
      </c>
      <c r="C136" t="inlineStr">
        <is>
          <t>082327729605</t>
        </is>
      </c>
      <c r="D136" t="inlineStr">
        <is>
          <t>cvbarokahjaya49@gmail.com</t>
        </is>
      </c>
      <c r="E136" t="inlineStr">
        <is>
          <t>https://lpjk.pu.go.id/search-badan-usaha-detail/L3R3Q2RISy9mczU1OWFkaXNXUFlOQT09</t>
        </is>
      </c>
      <c r="F136" t="n">
        <v>2</v>
      </c>
      <c r="G136" t="inlineStr">
        <is>
          <t>PL005</t>
        </is>
      </c>
      <c r="H136" t="inlineStr">
        <is>
          <t>11 Juni 2013</t>
        </is>
      </c>
      <c r="I136" s="2" t="n">
        <v>46338</v>
      </c>
      <c r="J136" t="inlineStr">
        <is>
          <t>Pembekuan</t>
        </is>
      </c>
      <c r="K136" t="n">
        <v>87</v>
      </c>
      <c r="L136" t="inlineStr">
        <is>
          <t>12 November 2026</t>
        </is>
      </c>
      <c r="M136" t="inlineStr">
        <is>
          <t>Pembuatan/Pengeboran Sumur Air Tanah</t>
        </is>
      </c>
      <c r="N136" t="inlineStr">
        <is>
          <t>Spesialis</t>
        </is>
      </c>
      <c r="O136" t="inlineStr">
        <is>
          <t>20231110</t>
        </is>
      </c>
      <c r="P136" t="inlineStr">
        <is>
          <t>Jawa Tengah</t>
        </is>
      </c>
      <c r="Q136" t="inlineStr"/>
    </row>
    <row r="137">
      <c r="A137" t="inlineStr">
        <is>
          <t>BARUNA KANAKA MARGA</t>
        </is>
      </c>
      <c r="B137" t="inlineStr">
        <is>
          <t>Kab. Karawang</t>
        </is>
      </c>
      <c r="C137" t="inlineStr">
        <is>
          <t>081210004019</t>
        </is>
      </c>
      <c r="D137" t="inlineStr">
        <is>
          <t>pt.barunakanakamarga@gmail.com</t>
        </is>
      </c>
      <c r="E137" t="inlineStr">
        <is>
          <t>https://lpjk.pu.go.id/search-badan-usaha-detail/VFZwUmhRV0xHWjhnbThNZ0ZFWStSQT09</t>
        </is>
      </c>
      <c r="F137" t="n">
        <v>1</v>
      </c>
      <c r="G137" t="inlineStr">
        <is>
          <t>BG001</t>
        </is>
      </c>
      <c r="H137" t="inlineStr">
        <is>
          <t>20 September 2021</t>
        </is>
      </c>
      <c r="I137" s="2" t="n">
        <v>46340</v>
      </c>
      <c r="J137" t="inlineStr">
        <is>
          <t>Disetujui</t>
        </is>
      </c>
      <c r="K137" t="n">
        <v>87</v>
      </c>
      <c r="L137" t="inlineStr">
        <is>
          <t>14 November 2026</t>
        </is>
      </c>
      <c r="M137" t="inlineStr">
        <is>
          <t>Konstruksi Gedung Hunian</t>
        </is>
      </c>
      <c r="N137" t="inlineStr">
        <is>
          <t>K</t>
        </is>
      </c>
      <c r="O137" t="inlineStr">
        <is>
          <t>20231031</t>
        </is>
      </c>
      <c r="P137" t="inlineStr">
        <is>
          <t>Jawa Barat</t>
        </is>
      </c>
      <c r="Q137" t="inlineStr"/>
    </row>
    <row r="138">
      <c r="A138" t="inlineStr">
        <is>
          <t>BARUNA PRASETYA JAYA</t>
        </is>
      </c>
      <c r="B138" t="inlineStr">
        <is>
          <t>Kab. Tuban</t>
        </is>
      </c>
      <c r="C138" t="inlineStr">
        <is>
          <t>081331059689</t>
        </is>
      </c>
      <c r="D138" t="inlineStr">
        <is>
          <t>barunaprasetyajaya@gmail.com</t>
        </is>
      </c>
      <c r="E138" t="inlineStr">
        <is>
          <t>https://lpjk.pu.go.id/search-badan-usaha-detail/cThVNEZCR0hxc2hzZGN6WXpQTks0QT09</t>
        </is>
      </c>
      <c r="F138" t="n">
        <v>1</v>
      </c>
      <c r="G138" t="inlineStr">
        <is>
          <t>BG009</t>
        </is>
      </c>
      <c r="H138" t="inlineStr">
        <is>
          <t>1 November 2023</t>
        </is>
      </c>
      <c r="I138" s="2" t="n">
        <v>46335</v>
      </c>
      <c r="J138" t="inlineStr">
        <is>
          <t>Pencabutan</t>
        </is>
      </c>
      <c r="K138" t="n">
        <v>87</v>
      </c>
      <c r="L138" t="inlineStr">
        <is>
          <t>9 November 2026</t>
        </is>
      </c>
      <c r="M138" t="inlineStr">
        <is>
          <t>Konstruksi Gedung Lainnya</t>
        </is>
      </c>
      <c r="N138" t="inlineStr">
        <is>
          <t>K</t>
        </is>
      </c>
      <c r="O138" t="inlineStr">
        <is>
          <t>20231109</t>
        </is>
      </c>
      <c r="P138" t="inlineStr">
        <is>
          <t>Jawa Timur</t>
        </is>
      </c>
      <c r="Q138" t="inlineStr"/>
    </row>
    <row r="139">
      <c r="A139" t="inlineStr">
        <is>
          <t>BAYU TUNGGAL RAYA</t>
        </is>
      </c>
      <c r="B139" t="inlineStr">
        <is>
          <t>Kab. Wonosobo</t>
        </is>
      </c>
      <c r="C139" t="inlineStr">
        <is>
          <t>081215964333</t>
        </is>
      </c>
      <c r="D139" t="inlineStr">
        <is>
          <t>bayutunggalraya@gmail.com</t>
        </is>
      </c>
      <c r="E139" t="inlineStr">
        <is>
          <t>https://lpjk.pu.go.id/search-badan-usaha-detail/cDFoUDNtaFkvd3FVNUk4Rkhqb3l2dz09</t>
        </is>
      </c>
      <c r="F139" t="n">
        <v>2</v>
      </c>
      <c r="G139" t="inlineStr">
        <is>
          <t>BS004, IN001</t>
        </is>
      </c>
      <c r="H139" t="inlineStr">
        <is>
          <t>10 Juli 2020</t>
        </is>
      </c>
      <c r="I139" s="2" t="n">
        <v>46334</v>
      </c>
      <c r="J139" t="inlineStr">
        <is>
          <t>Disetujui</t>
        </is>
      </c>
      <c r="K139" t="n">
        <v>87</v>
      </c>
      <c r="L139" t="inlineStr">
        <is>
          <t>8 November 2026</t>
        </is>
      </c>
      <c r="M139" t="inlineStr">
        <is>
          <t>Instalasi Mekanikal, Konstruksi Jaringan Irigasi dan Drainase</t>
        </is>
      </c>
      <c r="N139" t="inlineStr">
        <is>
          <t>K, Spesialis</t>
        </is>
      </c>
      <c r="O139" t="inlineStr">
        <is>
          <t>20230912, 20231107</t>
        </is>
      </c>
      <c r="P139" t="inlineStr">
        <is>
          <t>Jawa Tengah</t>
        </is>
      </c>
      <c r="Q139" t="inlineStr"/>
    </row>
    <row r="140">
      <c r="A140" t="inlineStr">
        <is>
          <t>BENTENG BANGUN SEJAHTERA</t>
        </is>
      </c>
      <c r="B140" t="inlineStr">
        <is>
          <t>Kab. Tangerang</t>
        </is>
      </c>
      <c r="C140" t="inlineStr">
        <is>
          <t>02155933531</t>
        </is>
      </c>
      <c r="D140" t="inlineStr">
        <is>
          <t>pt_benteng_bangun_sejahtera@yahoo.co.id</t>
        </is>
      </c>
      <c r="E140" t="inlineStr">
        <is>
          <t>https://lpjk.pu.go.id/search-badan-usaha-detail/WDNYWGV5b3MrUHBrR1Q4dm40LzZ0UT09</t>
        </is>
      </c>
      <c r="F140" t="n">
        <v>1</v>
      </c>
      <c r="G140" t="inlineStr">
        <is>
          <t>BS004</t>
        </is>
      </c>
      <c r="H140" t="inlineStr">
        <is>
          <t>12 Desember 1982</t>
        </is>
      </c>
      <c r="I140" s="2" t="n">
        <v>46340</v>
      </c>
      <c r="J140" t="inlineStr">
        <is>
          <t>Disetujui</t>
        </is>
      </c>
      <c r="K140" t="n">
        <v>87</v>
      </c>
      <c r="L140" t="inlineStr">
        <is>
          <t>14 November 2026</t>
        </is>
      </c>
      <c r="M140" t="inlineStr">
        <is>
          <t>Konstruksi Jaringan Irigasi dan Drainase</t>
        </is>
      </c>
      <c r="N140" t="inlineStr">
        <is>
          <t>M</t>
        </is>
      </c>
      <c r="O140" t="inlineStr">
        <is>
          <t>20231018</t>
        </is>
      </c>
      <c r="P140" t="inlineStr">
        <is>
          <t>Banten</t>
        </is>
      </c>
      <c r="Q140" t="inlineStr"/>
    </row>
    <row r="141">
      <c r="A141" t="inlineStr">
        <is>
          <t>BENTENG KUALA TUHA MANDIRI</t>
        </is>
      </c>
      <c r="B141" t="inlineStr">
        <is>
          <t>Kota Banda Aceh</t>
        </is>
      </c>
      <c r="C141" t="inlineStr">
        <is>
          <t>081378036767</t>
        </is>
      </c>
      <c r="D141" t="inlineStr">
        <is>
          <t>pt_bkt@yahoo.com</t>
        </is>
      </c>
      <c r="E141" t="inlineStr">
        <is>
          <t>https://lpjk.pu.go.id/search-badan-usaha-detail/ME8vMGMxYTl6WE5ObVZpRWU3UkZEUT09</t>
        </is>
      </c>
      <c r="F141" t="n">
        <v>2</v>
      </c>
      <c r="G141" t="inlineStr">
        <is>
          <t>BG005, BS010</t>
        </is>
      </c>
      <c r="H141" t="inlineStr">
        <is>
          <t>2 Juni 2009</t>
        </is>
      </c>
      <c r="I141" s="2" t="n">
        <v>46336</v>
      </c>
      <c r="J141" t="inlineStr">
        <is>
          <t>Disetujui</t>
        </is>
      </c>
      <c r="K141" t="n">
        <v>87</v>
      </c>
      <c r="L141" t="inlineStr">
        <is>
          <t>10 November 2026</t>
        </is>
      </c>
      <c r="M141" t="inlineStr">
        <is>
          <t>Konstruksi Bangunan Prasarana Sumber Daya Air, Konstruksi Gedung Kesehatan</t>
        </is>
      </c>
      <c r="N141" t="inlineStr">
        <is>
          <t>M</t>
        </is>
      </c>
      <c r="O141" t="inlineStr">
        <is>
          <t>20231109, 20231113</t>
        </is>
      </c>
      <c r="P141" t="inlineStr">
        <is>
          <t>Aceh</t>
        </is>
      </c>
      <c r="Q141" t="inlineStr"/>
    </row>
    <row r="142">
      <c r="A142" t="inlineStr">
        <is>
          <t>BERKAH ALAM</t>
        </is>
      </c>
      <c r="B142" t="inlineStr">
        <is>
          <t>Kab. Pesawaran</t>
        </is>
      </c>
      <c r="C142" t="inlineStr">
        <is>
          <t>085368111298</t>
        </is>
      </c>
      <c r="D142" t="inlineStr">
        <is>
          <t>cvberkahalam9@gmail.com</t>
        </is>
      </c>
      <c r="E142" t="inlineStr">
        <is>
          <t>https://lpjk.pu.go.id/search-badan-usaha-detail/c0F6bGgzcXpaMjdNYTdwaTdpYWhWUT09</t>
        </is>
      </c>
      <c r="F142" t="n">
        <v>2</v>
      </c>
      <c r="G142" t="inlineStr">
        <is>
          <t>BS001</t>
        </is>
      </c>
      <c r="H142" t="inlineStr">
        <is>
          <t>10 Januari 2018</t>
        </is>
      </c>
      <c r="I142" s="2" t="n">
        <v>46334</v>
      </c>
      <c r="J142" t="inlineStr">
        <is>
          <t>Disetujui</t>
        </is>
      </c>
      <c r="K142" t="n">
        <v>87</v>
      </c>
      <c r="L142" t="inlineStr">
        <is>
          <t>8 November 2026</t>
        </is>
      </c>
      <c r="M142" t="inlineStr">
        <is>
          <t>Konstruksi Bangunan Sipil Jalan</t>
        </is>
      </c>
      <c r="N142" t="inlineStr">
        <is>
          <t>K</t>
        </is>
      </c>
      <c r="O142" t="inlineStr">
        <is>
          <t>20231107</t>
        </is>
      </c>
      <c r="P142" t="inlineStr">
        <is>
          <t>Lampung</t>
        </is>
      </c>
      <c r="Q142" t="inlineStr"/>
    </row>
    <row r="143">
      <c r="A143" t="inlineStr">
        <is>
          <t>BERKAH CAHAYA NIRWANA</t>
        </is>
      </c>
      <c r="B143" t="inlineStr">
        <is>
          <t>Kab. Tebo</t>
        </is>
      </c>
      <c r="C143" t="inlineStr">
        <is>
          <t>085188860909</t>
        </is>
      </c>
      <c r="D143" t="inlineStr">
        <is>
          <t>cvberkahcahayanirwana@gmail.com</t>
        </is>
      </c>
      <c r="E143" t="inlineStr">
        <is>
          <t>https://lpjk.pu.go.id/search-badan-usaha-detail/Nmo4SXJseFdock5FU2pvWmRJcXhxdz09</t>
        </is>
      </c>
      <c r="F143" t="n">
        <v>2</v>
      </c>
      <c r="G143" t="inlineStr">
        <is>
          <t>BG006</t>
        </is>
      </c>
      <c r="H143" t="inlineStr">
        <is>
          <t>15 Februari 2022</t>
        </is>
      </c>
      <c r="I143" s="2" t="n">
        <v>46338</v>
      </c>
      <c r="J143" t="inlineStr">
        <is>
          <t>Disetujui</t>
        </is>
      </c>
      <c r="K143" t="n">
        <v>87</v>
      </c>
      <c r="L143" t="inlineStr">
        <is>
          <t>12 November 2026</t>
        </is>
      </c>
      <c r="M143" t="inlineStr">
        <is>
          <t>Konstruksi Gedung Pendidikan</t>
        </is>
      </c>
      <c r="N143" t="inlineStr">
        <is>
          <t>K</t>
        </is>
      </c>
      <c r="O143" t="inlineStr">
        <is>
          <t>20231113</t>
        </is>
      </c>
      <c r="P143" t="inlineStr">
        <is>
          <t>Jambi</t>
        </is>
      </c>
      <c r="Q143" t="inlineStr"/>
    </row>
    <row r="144">
      <c r="A144" t="inlineStr">
        <is>
          <t>BERKAH INDUSTRI MESIN ANGKAT</t>
        </is>
      </c>
      <c r="B144" t="inlineStr">
        <is>
          <t>Kota Surabaya</t>
        </is>
      </c>
      <c r="C144" t="inlineStr">
        <is>
          <t>03132991598</t>
        </is>
      </c>
      <c r="D144" t="inlineStr">
        <is>
          <t>legal@ptbima.id</t>
        </is>
      </c>
      <c r="E144" t="inlineStr">
        <is>
          <t>https://lpjk.pu.go.id/search-badan-usaha-detail/N0dyV3hLZ0daSml5ejlhUXAxSWduUT09</t>
        </is>
      </c>
      <c r="F144" t="n">
        <v>2</v>
      </c>
      <c r="G144" t="inlineStr">
        <is>
          <t>BG009</t>
        </is>
      </c>
      <c r="H144" t="inlineStr">
        <is>
          <t>10 November 2015</t>
        </is>
      </c>
      <c r="I144" s="2" t="n">
        <v>46340</v>
      </c>
      <c r="J144" t="inlineStr">
        <is>
          <t>Disetujui</t>
        </is>
      </c>
      <c r="K144" t="n">
        <v>87</v>
      </c>
      <c r="L144" t="inlineStr">
        <is>
          <t>14 November 2026</t>
        </is>
      </c>
      <c r="M144" t="inlineStr">
        <is>
          <t>Konstruksi Gedung Lainnya</t>
        </is>
      </c>
      <c r="N144" t="inlineStr">
        <is>
          <t>K</t>
        </is>
      </c>
      <c r="O144" t="inlineStr">
        <is>
          <t>20231115</t>
        </is>
      </c>
      <c r="P144" t="inlineStr">
        <is>
          <t>Jawa Timur</t>
        </is>
      </c>
      <c r="Q144" t="inlineStr"/>
    </row>
    <row r="145">
      <c r="A145" t="inlineStr">
        <is>
          <t>BERKAH JAYA AGUNG</t>
        </is>
      </c>
      <c r="B145" t="inlineStr">
        <is>
          <t>Kab. Banyuwangi</t>
        </is>
      </c>
      <c r="C145" t="inlineStr">
        <is>
          <t>081357021274</t>
        </is>
      </c>
      <c r="D145" t="inlineStr">
        <is>
          <t>cvberkahjayaagung1@gmail.com</t>
        </is>
      </c>
      <c r="E145" t="inlineStr">
        <is>
          <t>https://lpjk.pu.go.id/search-badan-usaha-detail/ZDR3V3A4YTV5SkErSS9nN09RWWNyUT09</t>
        </is>
      </c>
      <c r="F145" t="n">
        <v>8</v>
      </c>
      <c r="G145" t="inlineStr">
        <is>
          <t>BG005, BG006, BS001, BS004</t>
        </is>
      </c>
      <c r="H145" t="inlineStr">
        <is>
          <t>15 Oktober 2022</t>
        </is>
      </c>
      <c r="I145" s="2" t="n">
        <v>46335</v>
      </c>
      <c r="J145" t="inlineStr">
        <is>
          <t>Disetujui</t>
        </is>
      </c>
      <c r="K145" t="n">
        <v>87</v>
      </c>
      <c r="L145" t="inlineStr">
        <is>
          <t>9 November 2026</t>
        </is>
      </c>
      <c r="M145" t="inlineStr">
        <is>
          <t>Konstruksi Bangunan Sipil Jalan, Konstruksi Gedung Kesehatan, Konstruksi Gedung Pendidikan, Konstruksi Jaringan Irigasi dan Drainase</t>
        </is>
      </c>
      <c r="N145" t="inlineStr">
        <is>
          <t>K</t>
        </is>
      </c>
      <c r="O145" t="inlineStr">
        <is>
          <t>20231103</t>
        </is>
      </c>
      <c r="P145" t="inlineStr">
        <is>
          <t>Jawa Timur</t>
        </is>
      </c>
      <c r="Q145" t="inlineStr"/>
    </row>
    <row r="146">
      <c r="A146" t="inlineStr">
        <is>
          <t>BERKAH KARYA NUSANTARA</t>
        </is>
      </c>
      <c r="B146" t="inlineStr">
        <is>
          <t>Kab. Aceh Barat</t>
        </is>
      </c>
      <c r="C146" t="inlineStr">
        <is>
          <t>085296091616</t>
        </is>
      </c>
      <c r="D146" t="inlineStr">
        <is>
          <t>berkahkaryanusantara.cv@gmail.com</t>
        </is>
      </c>
      <c r="E146" t="inlineStr">
        <is>
          <t>https://lpjk.pu.go.id/search-badan-usaha-detail/b2ZSL1h1bS9OT0hUbXFKUW1TcFdVQT09</t>
        </is>
      </c>
      <c r="F146" t="n">
        <v>2</v>
      </c>
      <c r="G146" t="inlineStr">
        <is>
          <t>BS004</t>
        </is>
      </c>
      <c r="H146" t="inlineStr">
        <is>
          <t>10 Mei 2019</t>
        </is>
      </c>
      <c r="I146" s="2" t="n">
        <v>46336</v>
      </c>
      <c r="J146" t="inlineStr">
        <is>
          <t>Disetujui</t>
        </is>
      </c>
      <c r="K146" t="n">
        <v>87</v>
      </c>
      <c r="L146" t="inlineStr">
        <is>
          <t>10 November 2026</t>
        </is>
      </c>
      <c r="M146" t="inlineStr">
        <is>
          <t>Konstruksi Jaringan Irigasi dan Drainase</t>
        </is>
      </c>
      <c r="N146" t="inlineStr">
        <is>
          <t>K</t>
        </is>
      </c>
      <c r="O146" t="inlineStr">
        <is>
          <t>20231026</t>
        </is>
      </c>
      <c r="P146" t="inlineStr">
        <is>
          <t>Aceh</t>
        </is>
      </c>
      <c r="Q146" t="inlineStr"/>
    </row>
    <row r="147">
      <c r="A147" t="inlineStr">
        <is>
          <t>BERKAH LATISHA MANDIRI</t>
        </is>
      </c>
      <c r="B147" t="inlineStr">
        <is>
          <t>Kab. Konawe</t>
        </is>
      </c>
      <c r="C147" t="inlineStr">
        <is>
          <t>082395300723</t>
        </is>
      </c>
      <c r="D147" t="inlineStr">
        <is>
          <t>berkahlatishamandiricv@gmail.com</t>
        </is>
      </c>
      <c r="E147" t="inlineStr">
        <is>
          <t>https://lpjk.pu.go.id/search-badan-usaha-detail/N1I5RjR0aTFndThXeldZdFZVSUVaUT09</t>
        </is>
      </c>
      <c r="F147" t="n">
        <v>6</v>
      </c>
      <c r="G147" t="inlineStr">
        <is>
          <t>BG005, BG006, BG009</t>
        </is>
      </c>
      <c r="H147" t="inlineStr">
        <is>
          <t>8 Agustus 2015</t>
        </is>
      </c>
      <c r="I147" s="2" t="n">
        <v>46340</v>
      </c>
      <c r="J147" t="inlineStr">
        <is>
          <t>Disetujui</t>
        </is>
      </c>
      <c r="K147" t="n">
        <v>87</v>
      </c>
      <c r="L147" t="inlineStr">
        <is>
          <t>14 November 2026</t>
        </is>
      </c>
      <c r="M147" t="inlineStr">
        <is>
          <t>Konstruksi Gedung Kesehatan, Konstruksi Gedung Lainnya, Konstruksi Gedung Pendidikan</t>
        </is>
      </c>
      <c r="N147" t="inlineStr">
        <is>
          <t>K</t>
        </is>
      </c>
      <c r="O147" t="inlineStr">
        <is>
          <t>20231113</t>
        </is>
      </c>
      <c r="P147" t="inlineStr">
        <is>
          <t>Sulawesi Tenggara</t>
        </is>
      </c>
      <c r="Q147" t="inlineStr"/>
    </row>
    <row r="148">
      <c r="A148" t="inlineStr">
        <is>
          <t>BERKAT JUNJUNGAN JAYA</t>
        </is>
      </c>
      <c r="B148" t="inlineStr">
        <is>
          <t>Kab. Toba Samosir</t>
        </is>
      </c>
      <c r="C148" t="inlineStr">
        <is>
          <t>081396232500</t>
        </is>
      </c>
      <c r="D148" t="inlineStr">
        <is>
          <t>cvberkatjunjungan@gmail.com</t>
        </is>
      </c>
      <c r="E148" t="inlineStr">
        <is>
          <t>https://lpjk.pu.go.id/search-badan-usaha-detail/RkoydWJQd2NnL0h1ZFkxOGgwOEF3UT09</t>
        </is>
      </c>
      <c r="F148" t="n">
        <v>6</v>
      </c>
      <c r="G148" t="inlineStr">
        <is>
          <t>BG006, BS001, BS004</t>
        </is>
      </c>
      <c r="H148" t="inlineStr">
        <is>
          <t>18 Oktober 2023</t>
        </is>
      </c>
      <c r="I148" s="2" t="n">
        <v>46340</v>
      </c>
      <c r="J148" t="inlineStr">
        <is>
          <t>Disetujui</t>
        </is>
      </c>
      <c r="K148" t="n">
        <v>87</v>
      </c>
      <c r="L148" t="inlineStr">
        <is>
          <t>14 November 2026</t>
        </is>
      </c>
      <c r="M148" t="inlineStr">
        <is>
          <t>Konstruksi Bangunan Sipil Jalan, Konstruksi Gedung Pendidikan, Konstruksi Jaringan Irigasi dan Drainase</t>
        </is>
      </c>
      <c r="N148" t="inlineStr">
        <is>
          <t>K</t>
        </is>
      </c>
      <c r="O148" t="inlineStr">
        <is>
          <t>20231114, 20231115</t>
        </is>
      </c>
      <c r="P148" t="inlineStr">
        <is>
          <t>Sumatera Utara</t>
        </is>
      </c>
      <c r="Q148" t="inlineStr"/>
    </row>
    <row r="149">
      <c r="A149" t="inlineStr">
        <is>
          <t>BERKAT KESABARAN</t>
        </is>
      </c>
      <c r="B149" t="inlineStr">
        <is>
          <t>Kab. Aceh Utara</t>
        </is>
      </c>
      <c r="C149" t="inlineStr">
        <is>
          <t>085366606065</t>
        </is>
      </c>
      <c r="D149" t="inlineStr">
        <is>
          <t>berkatkesabaran56@gmail.com</t>
        </is>
      </c>
      <c r="E149" t="inlineStr">
        <is>
          <t>https://lpjk.pu.go.id/search-badan-usaha-detail/b1RPMHE0YXI4ZjVySWJ3T3BoMFA4UT09</t>
        </is>
      </c>
      <c r="F149" t="n">
        <v>2</v>
      </c>
      <c r="G149" t="inlineStr">
        <is>
          <t>BG001</t>
        </is>
      </c>
      <c r="H149" t="inlineStr">
        <is>
          <t>21 September 2023</t>
        </is>
      </c>
      <c r="I149" s="2" t="n">
        <v>46334</v>
      </c>
      <c r="J149" t="inlineStr">
        <is>
          <t>Pencabutan</t>
        </is>
      </c>
      <c r="K149" t="n">
        <v>87</v>
      </c>
      <c r="L149" t="inlineStr">
        <is>
          <t>8 November 2026</t>
        </is>
      </c>
      <c r="M149" t="inlineStr">
        <is>
          <t>Konstruksi Gedung Hunian</t>
        </is>
      </c>
      <c r="N149" t="inlineStr">
        <is>
          <t>K</t>
        </is>
      </c>
      <c r="O149" t="inlineStr">
        <is>
          <t>20231106</t>
        </is>
      </c>
      <c r="P149" t="inlineStr">
        <is>
          <t>Aceh</t>
        </is>
      </c>
      <c r="Q149" t="inlineStr"/>
    </row>
    <row r="150">
      <c r="A150" t="inlineStr">
        <is>
          <t>BERLIAN DUNIA ABADI</t>
        </is>
      </c>
      <c r="B150" t="inlineStr">
        <is>
          <t>Kota Cilegon</t>
        </is>
      </c>
      <c r="C150" t="inlineStr">
        <is>
          <t>081906445322</t>
        </is>
      </c>
      <c r="D150" t="inlineStr">
        <is>
          <t>berlianduniaabadi.pt@gmail.com</t>
        </is>
      </c>
      <c r="E150" t="inlineStr">
        <is>
          <t>https://lpjk.pu.go.id/search-badan-usaha-detail/Z05BdFNzZ20rQVZZcDZGQUF4WGdwZz09</t>
        </is>
      </c>
      <c r="F150" t="n">
        <v>4</v>
      </c>
      <c r="G150" t="inlineStr">
        <is>
          <t>BG005, BG009, BS001, BS004</t>
        </is>
      </c>
      <c r="H150" t="inlineStr">
        <is>
          <t>13 November 2020</t>
        </is>
      </c>
      <c r="I150" s="2" t="n">
        <v>46340</v>
      </c>
      <c r="J150" t="inlineStr">
        <is>
          <t>Disetujui</t>
        </is>
      </c>
      <c r="K150" t="n">
        <v>87</v>
      </c>
      <c r="L150" t="inlineStr">
        <is>
          <t>14 November 2026</t>
        </is>
      </c>
      <c r="M150" t="inlineStr">
        <is>
          <t>Konstruksi Bangunan Sipil Jalan, Konstruksi Gedung Kesehatan, Konstruksi Gedung Lainnya, Konstruksi Jaringan Irigasi dan Drainase</t>
        </is>
      </c>
      <c r="N150" t="inlineStr">
        <is>
          <t>K</t>
        </is>
      </c>
      <c r="O150" t="inlineStr">
        <is>
          <t>20231110</t>
        </is>
      </c>
      <c r="P150" t="inlineStr">
        <is>
          <t>Banten</t>
        </is>
      </c>
      <c r="Q150" t="inlineStr"/>
    </row>
    <row r="151">
      <c r="A151" t="inlineStr">
        <is>
          <t>BERSAMA TUJUH SAUDARA</t>
        </is>
      </c>
      <c r="B151" t="inlineStr">
        <is>
          <t>Kab. Langkat</t>
        </is>
      </c>
      <c r="C151" t="inlineStr">
        <is>
          <t>081269822574</t>
        </is>
      </c>
      <c r="D151" t="inlineStr">
        <is>
          <t>cv.bersamatujuhsaudara@umkmgo.online</t>
        </is>
      </c>
      <c r="E151" t="inlineStr">
        <is>
          <t>https://lpjk.pu.go.id/search-badan-usaha-detail/Uld5L0NUWVJHZjRVZ3kyVkRjYzI4Zz09</t>
        </is>
      </c>
      <c r="F151" t="n">
        <v>2</v>
      </c>
      <c r="G151" t="inlineStr">
        <is>
          <t>BG002, BG005</t>
        </is>
      </c>
      <c r="H151" t="inlineStr">
        <is>
          <t>8 Maret 2023</t>
        </is>
      </c>
      <c r="I151" s="2" t="n">
        <v>46340</v>
      </c>
      <c r="J151" t="inlineStr">
        <is>
          <t>Disetujui</t>
        </is>
      </c>
      <c r="K151" t="n">
        <v>87</v>
      </c>
      <c r="L151" t="inlineStr">
        <is>
          <t>14 November 2026</t>
        </is>
      </c>
      <c r="M151" t="inlineStr">
        <is>
          <t>Konstruksi Gedung Kesehatan, Konstruksi Gedung Perkantoran</t>
        </is>
      </c>
      <c r="N151" t="inlineStr">
        <is>
          <t>K</t>
        </is>
      </c>
      <c r="O151" t="inlineStr">
        <is>
          <t>20231115</t>
        </is>
      </c>
      <c r="P151" t="inlineStr">
        <is>
          <t>Sumatera Utara</t>
        </is>
      </c>
      <c r="Q151" t="inlineStr"/>
    </row>
    <row r="152">
      <c r="A152" t="inlineStr">
        <is>
          <t>BETANIA PRIMA</t>
        </is>
      </c>
      <c r="B152" t="inlineStr">
        <is>
          <t>Kota Tangerang</t>
        </is>
      </c>
      <c r="C152" t="inlineStr">
        <is>
          <t>081290019906</t>
        </is>
      </c>
      <c r="D152" t="inlineStr">
        <is>
          <t>pt.betaniaprima1@gmail.com</t>
        </is>
      </c>
      <c r="E152" t="inlineStr">
        <is>
          <t>https://lpjk.pu.go.id/search-badan-usaha-detail/cjlnSkxidkcrejBiV3UyR2RpZUNYdz09</t>
        </is>
      </c>
      <c r="F152" t="n">
        <v>2</v>
      </c>
      <c r="G152" t="inlineStr">
        <is>
          <t>BG002, BG006</t>
        </is>
      </c>
      <c r="H152" t="inlineStr">
        <is>
          <t>19 Desember 1985</t>
        </is>
      </c>
      <c r="I152" s="2" t="n">
        <v>46334</v>
      </c>
      <c r="J152" t="inlineStr">
        <is>
          <t>Disetujui, Pencabutan</t>
        </is>
      </c>
      <c r="K152" t="n">
        <v>87</v>
      </c>
      <c r="L152" t="inlineStr">
        <is>
          <t>8 November 2026</t>
        </is>
      </c>
      <c r="M152" t="inlineStr">
        <is>
          <t>Konstruksi Gedung Pendidikan, Konstruksi Gedung Perkantoran</t>
        </is>
      </c>
      <c r="N152" t="inlineStr">
        <is>
          <t>B, M</t>
        </is>
      </c>
      <c r="O152" t="inlineStr">
        <is>
          <t>20230625, 20231106</t>
        </is>
      </c>
      <c r="P152" t="inlineStr">
        <is>
          <t>Banten</t>
        </is>
      </c>
      <c r="Q152" t="inlineStr"/>
    </row>
    <row r="153">
      <c r="A153" t="inlineStr">
        <is>
          <t>BIMA SURYA MANDIRI</t>
        </is>
      </c>
      <c r="B153" t="inlineStr">
        <is>
          <t>Kota Tangerang Selatan</t>
        </is>
      </c>
      <c r="C153" t="inlineStr">
        <is>
          <t>02153122918</t>
        </is>
      </c>
      <c r="D153" t="inlineStr">
        <is>
          <t>bimasuryamandiri67@gmail.com</t>
        </is>
      </c>
      <c r="E153" t="inlineStr">
        <is>
          <t>https://lpjk.pu.go.id/search-badan-usaha-detail/M1BIa1FndTZqY1BNa01KMWVxZ004Zz09</t>
        </is>
      </c>
      <c r="F153" t="n">
        <v>1</v>
      </c>
      <c r="G153" t="inlineStr">
        <is>
          <t>BG009</t>
        </is>
      </c>
      <c r="H153" t="inlineStr">
        <is>
          <t>24 Juni 2019</t>
        </is>
      </c>
      <c r="I153" s="2" t="n">
        <v>46339</v>
      </c>
      <c r="J153" t="inlineStr">
        <is>
          <t>Disetujui</t>
        </is>
      </c>
      <c r="K153" t="n">
        <v>87</v>
      </c>
      <c r="L153" t="inlineStr">
        <is>
          <t>13 November 2026</t>
        </is>
      </c>
      <c r="M153" t="inlineStr">
        <is>
          <t>Konstruksi Gedung Lainnya</t>
        </is>
      </c>
      <c r="N153" t="inlineStr">
        <is>
          <t>K</t>
        </is>
      </c>
      <c r="O153" t="inlineStr">
        <is>
          <t>20231113</t>
        </is>
      </c>
      <c r="P153" t="inlineStr">
        <is>
          <t>Banten</t>
        </is>
      </c>
      <c r="Q153" t="inlineStr"/>
    </row>
    <row r="154">
      <c r="A154" t="inlineStr">
        <is>
          <t>BIMASAKTI SELULAR INDONESIA</t>
        </is>
      </c>
      <c r="B154" t="inlineStr">
        <is>
          <t>Kota Bandung</t>
        </is>
      </c>
      <c r="C154" t="inlineStr">
        <is>
          <t>085319916356</t>
        </is>
      </c>
      <c r="D154" t="inlineStr">
        <is>
          <t>adi.budiman@bimaselindo.com</t>
        </is>
      </c>
      <c r="E154" t="inlineStr">
        <is>
          <t>https://lpjk.pu.go.id/search-badan-usaha-detail/K043M09HR2pGTU5Xb2dSdmxqR0NpUT09</t>
        </is>
      </c>
      <c r="F154" t="n">
        <v>4</v>
      </c>
      <c r="G154" t="inlineStr">
        <is>
          <t>BS008, BS009</t>
        </is>
      </c>
      <c r="H154" t="inlineStr">
        <is>
          <t>14 Oktober 2023</t>
        </is>
      </c>
      <c r="I154" s="2" t="n">
        <v>46336</v>
      </c>
      <c r="J154" t="inlineStr">
        <is>
          <t>Disetujui</t>
        </is>
      </c>
      <c r="K154" t="n">
        <v>87</v>
      </c>
      <c r="L154" t="inlineStr">
        <is>
          <t>10 November 2026</t>
        </is>
      </c>
      <c r="M154" t="inlineStr">
        <is>
          <t>Konstruksi Bangunan Sipil Telekomunikasi untuk Prasarana Transportasi, Konstruksi Sentral Telekomunikasi</t>
        </is>
      </c>
      <c r="N154" t="inlineStr">
        <is>
          <t>K</t>
        </is>
      </c>
      <c r="O154" t="inlineStr">
        <is>
          <t>20231109</t>
        </is>
      </c>
      <c r="P154" t="inlineStr">
        <is>
          <t>Jawa Barat</t>
        </is>
      </c>
      <c r="Q154" t="inlineStr"/>
    </row>
    <row r="155">
      <c r="A155" t="inlineStr">
        <is>
          <t>BINA ARSIR</t>
        </is>
      </c>
      <c r="B155" t="inlineStr">
        <is>
          <t>Kota Sorong</t>
        </is>
      </c>
      <c r="C155" t="inlineStr">
        <is>
          <t>081344065138</t>
        </is>
      </c>
      <c r="D155" t="inlineStr">
        <is>
          <t>pt.binaarsir@yahoo.co.id</t>
        </is>
      </c>
      <c r="E155" t="inlineStr">
        <is>
          <t>https://lpjk.pu.go.id/search-badan-usaha-detail/TUpKaEVnOXp5NnFXSk5Lc3pWajJBZz09</t>
        </is>
      </c>
      <c r="F155" t="n">
        <v>1</v>
      </c>
      <c r="G155" t="inlineStr">
        <is>
          <t>RK003</t>
        </is>
      </c>
      <c r="H155" t="inlineStr">
        <is>
          <t>20 November 1985</t>
        </is>
      </c>
      <c r="I155" s="2" t="n">
        <v>46334</v>
      </c>
      <c r="J155" t="inlineStr">
        <is>
          <t>Disetujui</t>
        </is>
      </c>
      <c r="K155" t="n">
        <v>87</v>
      </c>
      <c r="L155" t="inlineStr">
        <is>
          <t>8 November 2026</t>
        </is>
      </c>
      <c r="M155" t="inlineStr">
        <is>
          <t>Jasa Rekayasa Pekerjaan Teknik Sipil Transportasi</t>
        </is>
      </c>
      <c r="N155" t="inlineStr">
        <is>
          <t>K</t>
        </is>
      </c>
      <c r="O155" t="inlineStr">
        <is>
          <t>20231017</t>
        </is>
      </c>
      <c r="P155" t="inlineStr">
        <is>
          <t>Papua Barat</t>
        </is>
      </c>
      <c r="Q155" t="inlineStr"/>
    </row>
    <row r="156">
      <c r="A156" t="inlineStr">
        <is>
          <t>BINA ASTRI</t>
        </is>
      </c>
      <c r="B156" t="inlineStr">
        <is>
          <t>Kota Serang</t>
        </is>
      </c>
      <c r="C156" t="inlineStr">
        <is>
          <t>087775557127</t>
        </is>
      </c>
      <c r="D156" t="inlineStr">
        <is>
          <t>binaastri@yahoo.com</t>
        </is>
      </c>
      <c r="E156" t="inlineStr">
        <is>
          <t>https://lpjk.pu.go.id/search-badan-usaha-detail/TW54Vm84K1UwUm9SQ0NrUklhcTNpdz09</t>
        </is>
      </c>
      <c r="F156" t="n">
        <v>3</v>
      </c>
      <c r="G156" t="inlineStr">
        <is>
          <t>BG009, BS001, BS004</t>
        </is>
      </c>
      <c r="H156" t="inlineStr">
        <is>
          <t>11 Mei 1992</t>
        </is>
      </c>
      <c r="I156" s="2" t="n">
        <v>46335</v>
      </c>
      <c r="J156" t="inlineStr">
        <is>
          <t>Disetujui</t>
        </is>
      </c>
      <c r="K156" t="n">
        <v>87</v>
      </c>
      <c r="L156" t="inlineStr">
        <is>
          <t>9 November 2026</t>
        </is>
      </c>
      <c r="M156" t="inlineStr">
        <is>
          <t>Konstruksi Bangunan Sipil Jalan, Konstruksi Gedung Lainnya, Konstruksi Jaringan Irigasi dan Drainase</t>
        </is>
      </c>
      <c r="N156" t="inlineStr">
        <is>
          <t>K</t>
        </is>
      </c>
      <c r="O156" t="inlineStr">
        <is>
          <t>20231026, 20231103</t>
        </is>
      </c>
      <c r="P156" t="inlineStr">
        <is>
          <t>Banten</t>
        </is>
      </c>
      <c r="Q156" t="inlineStr"/>
    </row>
    <row r="157">
      <c r="A157" t="inlineStr">
        <is>
          <t>BINA KARYA</t>
        </is>
      </c>
      <c r="B157" t="inlineStr">
        <is>
          <t>Kab. Boyolali</t>
        </is>
      </c>
      <c r="C157" t="inlineStr">
        <is>
          <t>08122624263</t>
        </is>
      </c>
      <c r="D157" t="inlineStr">
        <is>
          <t>cv.binakarya123@gmail.com</t>
        </is>
      </c>
      <c r="E157" t="inlineStr">
        <is>
          <t>https://lpjk.pu.go.id/search-badan-usaha-detail/bEZoOUhybWZhR0ZzTitBVGNRRFdEZz09</t>
        </is>
      </c>
      <c r="F157" t="n">
        <v>1</v>
      </c>
      <c r="G157" t="inlineStr">
        <is>
          <t>BS004</t>
        </is>
      </c>
      <c r="H157" t="inlineStr">
        <is>
          <t>8 Agustus 1994</t>
        </is>
      </c>
      <c r="I157" s="2" t="n">
        <v>46334</v>
      </c>
      <c r="J157" t="inlineStr">
        <is>
          <t>Disetujui</t>
        </is>
      </c>
      <c r="K157" t="n">
        <v>87</v>
      </c>
      <c r="L157" t="inlineStr">
        <is>
          <t>8 November 2026</t>
        </is>
      </c>
      <c r="M157" t="inlineStr">
        <is>
          <t>Konstruksi Jaringan Irigasi dan Drainase</t>
        </is>
      </c>
      <c r="N157" t="inlineStr">
        <is>
          <t>K</t>
        </is>
      </c>
      <c r="O157" t="inlineStr">
        <is>
          <t>20231031</t>
        </is>
      </c>
      <c r="P157" t="inlineStr">
        <is>
          <t>Jawa Tengah</t>
        </is>
      </c>
      <c r="Q157" t="inlineStr"/>
    </row>
    <row r="158">
      <c r="A158" t="inlineStr">
        <is>
          <t>BINA MANDIRI</t>
        </is>
      </c>
      <c r="B158" t="inlineStr">
        <is>
          <t>Kota Langsa</t>
        </is>
      </c>
      <c r="C158" t="inlineStr">
        <is>
          <t>0813 6164 3666</t>
        </is>
      </c>
      <c r="D158" t="inlineStr">
        <is>
          <t>binamandiri801@gmail.com</t>
        </is>
      </c>
      <c r="E158" t="inlineStr">
        <is>
          <t>https://lpjk.pu.go.id/search-badan-usaha-detail/bVdURlZQbHJnVkMwVXJsdVJWV28zUT09</t>
        </is>
      </c>
      <c r="F158" t="n">
        <v>3</v>
      </c>
      <c r="G158" t="inlineStr">
        <is>
          <t>BG001, BG002, BS001</t>
        </is>
      </c>
      <c r="H158" t="inlineStr">
        <is>
          <t>4 November 2000</t>
        </is>
      </c>
      <c r="I158" s="2" t="n">
        <v>46339</v>
      </c>
      <c r="J158" t="inlineStr">
        <is>
          <t>Disetujui</t>
        </is>
      </c>
      <c r="K158" t="n">
        <v>87</v>
      </c>
      <c r="L158" t="inlineStr">
        <is>
          <t>13 November 2026</t>
        </is>
      </c>
      <c r="M158" t="inlineStr">
        <is>
          <t>Konstruksi Bangunan Sipil Jalan, Konstruksi Gedung Hunian, Konstruksi Gedung Perkantoran</t>
        </is>
      </c>
      <c r="N158" t="inlineStr">
        <is>
          <t>K</t>
        </is>
      </c>
      <c r="O158" t="inlineStr">
        <is>
          <t>20231108, 20231113</t>
        </is>
      </c>
      <c r="P158" t="inlineStr">
        <is>
          <t>Aceh</t>
        </is>
      </c>
      <c r="Q158" t="inlineStr"/>
    </row>
    <row r="159">
      <c r="A159" t="inlineStr">
        <is>
          <t>BINTANG GAMER KONSTRUKSI</t>
        </is>
      </c>
      <c r="B159" t="inlineStr">
        <is>
          <t>Kab. Padang Pariaman</t>
        </is>
      </c>
      <c r="C159" t="inlineStr">
        <is>
          <t>0751480440</t>
        </is>
      </c>
      <c r="D159" t="inlineStr">
        <is>
          <t>cvbintanggamerkonstruksi@gmail.com</t>
        </is>
      </c>
      <c r="E159" t="inlineStr">
        <is>
          <t>https://lpjk.pu.go.id/search-badan-usaha-detail/bmZlUTUrSDBXNEpuMWdhNGJUZklmQT09</t>
        </is>
      </c>
      <c r="F159" t="n">
        <v>4</v>
      </c>
      <c r="G159" t="inlineStr">
        <is>
          <t>BG005, BG009</t>
        </is>
      </c>
      <c r="H159" t="inlineStr">
        <is>
          <t>18 Juli 2019</t>
        </is>
      </c>
      <c r="I159" s="2" t="n">
        <v>46340</v>
      </c>
      <c r="J159" t="inlineStr">
        <is>
          <t>Disetujui</t>
        </is>
      </c>
      <c r="K159" t="n">
        <v>87</v>
      </c>
      <c r="L159" t="inlineStr">
        <is>
          <t>14 November 2026</t>
        </is>
      </c>
      <c r="M159" t="inlineStr">
        <is>
          <t>Konstruksi Gedung Kesehatan, Konstruksi Gedung Lainnya</t>
        </is>
      </c>
      <c r="N159" t="inlineStr">
        <is>
          <t>K</t>
        </is>
      </c>
      <c r="O159" t="inlineStr">
        <is>
          <t>20231112</t>
        </is>
      </c>
      <c r="P159" t="inlineStr">
        <is>
          <t>Sumatera Barat</t>
        </is>
      </c>
      <c r="Q159" t="inlineStr"/>
    </row>
    <row r="160">
      <c r="A160" t="inlineStr">
        <is>
          <t>BINTANG KARYA SEJAHTERA</t>
        </is>
      </c>
      <c r="B160" t="inlineStr">
        <is>
          <t>Kab. Tanah Bumbu</t>
        </is>
      </c>
      <c r="C160" t="inlineStr">
        <is>
          <t>085251338777</t>
        </is>
      </c>
      <c r="D160" t="inlineStr">
        <is>
          <t>cv.bintangkaryasejahtera123@gmail.com</t>
        </is>
      </c>
      <c r="E160" t="inlineStr">
        <is>
          <t>https://lpjk.pu.go.id/search-badan-usaha-detail/Ri90bk9Mb1N4cGt2M2RDcnVNZTFRUT09</t>
        </is>
      </c>
      <c r="F160" t="n">
        <v>8</v>
      </c>
      <c r="G160" t="inlineStr">
        <is>
          <t>BG005, BG006, BS001, BS004</t>
        </is>
      </c>
      <c r="H160" t="inlineStr">
        <is>
          <t>22 April 2019</t>
        </is>
      </c>
      <c r="I160" s="2" t="n">
        <v>46334</v>
      </c>
      <c r="J160" t="inlineStr">
        <is>
          <t>Disetujui</t>
        </is>
      </c>
      <c r="K160" t="n">
        <v>87</v>
      </c>
      <c r="L160" t="inlineStr">
        <is>
          <t>8 November 2026</t>
        </is>
      </c>
      <c r="M160" t="inlineStr">
        <is>
          <t>Konstruksi Bangunan Sipil Jalan, Konstruksi Gedung Kesehatan, Konstruksi Gedung Pendidikan, Konstruksi Jaringan Irigasi dan Drainase</t>
        </is>
      </c>
      <c r="N160" t="inlineStr">
        <is>
          <t>K</t>
        </is>
      </c>
      <c r="O160" t="inlineStr">
        <is>
          <t>20231107</t>
        </is>
      </c>
      <c r="P160" t="inlineStr">
        <is>
          <t>Kalimantan Selatan</t>
        </is>
      </c>
      <c r="Q160" t="inlineStr"/>
    </row>
    <row r="161">
      <c r="A161" t="inlineStr">
        <is>
          <t>BINTANG MAS</t>
        </is>
      </c>
      <c r="B161" t="inlineStr">
        <is>
          <t>Kab. Majene</t>
        </is>
      </c>
      <c r="C161" t="inlineStr">
        <is>
          <t>0</t>
        </is>
      </c>
      <c r="D161" t="inlineStr">
        <is>
          <t>cvbintangmasmajene@yahoo.com</t>
        </is>
      </c>
      <c r="E161" t="inlineStr">
        <is>
          <t>https://lpjk.pu.go.id/search-badan-usaha-detail/a29zRG9WRlRDck5TeXl4U1gxa3kzQT09</t>
        </is>
      </c>
      <c r="F161" t="n">
        <v>2</v>
      </c>
      <c r="G161" t="inlineStr">
        <is>
          <t>BG006</t>
        </is>
      </c>
      <c r="H161" t="inlineStr">
        <is>
          <t>18 September 2000</t>
        </is>
      </c>
      <c r="I161" s="2" t="n">
        <v>46335</v>
      </c>
      <c r="J161" t="inlineStr">
        <is>
          <t>Disetujui</t>
        </is>
      </c>
      <c r="K161" t="n">
        <v>87</v>
      </c>
      <c r="L161" t="inlineStr">
        <is>
          <t>9 November 2026</t>
        </is>
      </c>
      <c r="M161" t="inlineStr">
        <is>
          <t>Konstruksi Gedung Pendidikan</t>
        </is>
      </c>
      <c r="N161" t="inlineStr">
        <is>
          <t>K</t>
        </is>
      </c>
      <c r="O161" t="inlineStr">
        <is>
          <t>20231109</t>
        </is>
      </c>
      <c r="P161" t="inlineStr">
        <is>
          <t>Sulawesi Barat</t>
        </is>
      </c>
      <c r="Q161" t="inlineStr"/>
    </row>
    <row r="162">
      <c r="A162" t="inlineStr">
        <is>
          <t>BINTANG PERMAI</t>
        </is>
      </c>
      <c r="B162" t="inlineStr">
        <is>
          <t>Kota Pontianak</t>
        </is>
      </c>
      <c r="C162" t="inlineStr">
        <is>
          <t>083143876144</t>
        </is>
      </c>
      <c r="D162" t="inlineStr">
        <is>
          <t>cvbintangpermai2021@gmail.com</t>
        </is>
      </c>
      <c r="E162" t="inlineStr">
        <is>
          <t>https://lpjk.pu.go.id/search-badan-usaha-detail/V1QzQ2Z4bUl1RnBZQ3lPbjZERmVxQT09</t>
        </is>
      </c>
      <c r="F162" t="n">
        <v>4</v>
      </c>
      <c r="G162" t="inlineStr">
        <is>
          <t>BS001, BS004</t>
        </is>
      </c>
      <c r="H162" t="inlineStr">
        <is>
          <t>16 April 2021</t>
        </is>
      </c>
      <c r="I162" s="2" t="n">
        <v>46335</v>
      </c>
      <c r="J162" t="inlineStr">
        <is>
          <t>Disetujui</t>
        </is>
      </c>
      <c r="K162" t="n">
        <v>87</v>
      </c>
      <c r="L162" t="inlineStr">
        <is>
          <t>9 November 2026</t>
        </is>
      </c>
      <c r="M162" t="inlineStr">
        <is>
          <t>Konstruksi Bangunan Sipil Jalan, Konstruksi Jaringan Irigasi dan Drainase</t>
        </is>
      </c>
      <c r="N162" t="inlineStr">
        <is>
          <t>K</t>
        </is>
      </c>
      <c r="O162" t="inlineStr">
        <is>
          <t>20231013</t>
        </is>
      </c>
      <c r="P162" t="inlineStr">
        <is>
          <t>Kalimantan Barat</t>
        </is>
      </c>
      <c r="Q162" t="inlineStr"/>
    </row>
    <row r="163">
      <c r="A163" t="inlineStr">
        <is>
          <t>BINTANG PUMA JAYA</t>
        </is>
      </c>
      <c r="B163" t="inlineStr">
        <is>
          <t>Kab. Tulang Bawang Barat</t>
        </is>
      </c>
      <c r="C163" t="inlineStr">
        <is>
          <t>081271763683</t>
        </is>
      </c>
      <c r="D163" t="inlineStr">
        <is>
          <t>cvbintangpumajaya@gmail.com</t>
        </is>
      </c>
      <c r="E163" t="inlineStr">
        <is>
          <t>https://lpjk.pu.go.id/search-badan-usaha-detail/RG5VQ0RpNFdlVHkzanNuTjhrY01qdz09</t>
        </is>
      </c>
      <c r="F163" t="n">
        <v>4</v>
      </c>
      <c r="G163" t="inlineStr">
        <is>
          <t>BG002, BS004</t>
        </is>
      </c>
      <c r="H163" t="inlineStr">
        <is>
          <t>15 September 2023</t>
        </is>
      </c>
      <c r="I163" s="2" t="n">
        <v>46335</v>
      </c>
      <c r="J163" t="inlineStr">
        <is>
          <t>Disetujui</t>
        </is>
      </c>
      <c r="K163" t="n">
        <v>87</v>
      </c>
      <c r="L163" t="inlineStr">
        <is>
          <t>9 November 2026</t>
        </is>
      </c>
      <c r="M163" t="inlineStr">
        <is>
          <t>Konstruksi Gedung Perkantoran, Konstruksi Jaringan Irigasi dan Drainase</t>
        </is>
      </c>
      <c r="N163" t="inlineStr">
        <is>
          <t>K</t>
        </is>
      </c>
      <c r="O163" t="inlineStr">
        <is>
          <t>20231107</t>
        </is>
      </c>
      <c r="P163" t="inlineStr">
        <is>
          <t>Lampung</t>
        </is>
      </c>
      <c r="Q163" t="inlineStr"/>
    </row>
    <row r="164">
      <c r="A164" t="inlineStr">
        <is>
          <t>BINTANG SAHABAT</t>
        </is>
      </c>
      <c r="B164" t="inlineStr">
        <is>
          <t>Kab. Tegal</t>
        </is>
      </c>
      <c r="C164" t="inlineStr">
        <is>
          <t>0858 6627 9119</t>
        </is>
      </c>
      <c r="D164" t="inlineStr">
        <is>
          <t>bintangsahabat25@yahoo.com</t>
        </is>
      </c>
      <c r="E164" t="inlineStr">
        <is>
          <t>https://lpjk.pu.go.id/search-badan-usaha-detail/Q1ZtUVJ4TklPTEJ1V2xVbmw4U2RYZz09</t>
        </is>
      </c>
      <c r="F164" t="n">
        <v>6</v>
      </c>
      <c r="G164" t="inlineStr">
        <is>
          <t>BG006, BG009, BS001</t>
        </is>
      </c>
      <c r="H164" t="inlineStr">
        <is>
          <t>24 Juli 2008</t>
        </is>
      </c>
      <c r="I164" s="2" t="n">
        <v>46339</v>
      </c>
      <c r="J164" t="inlineStr">
        <is>
          <t>Disetujui</t>
        </is>
      </c>
      <c r="K164" t="n">
        <v>87</v>
      </c>
      <c r="L164" t="inlineStr">
        <is>
          <t>13 November 2026</t>
        </is>
      </c>
      <c r="M164" t="inlineStr">
        <is>
          <t>Konstruksi Bangunan Sipil Jalan, Konstruksi Gedung Lainnya, Konstruksi Gedung Pendidikan</t>
        </is>
      </c>
      <c r="N164" t="inlineStr">
        <is>
          <t>K</t>
        </is>
      </c>
      <c r="O164" t="inlineStr">
        <is>
          <t>20231110, 20231113</t>
        </is>
      </c>
      <c r="P164" t="inlineStr">
        <is>
          <t>Jawa Tengah</t>
        </is>
      </c>
      <c r="Q164" t="inlineStr"/>
    </row>
    <row r="165">
      <c r="A165" t="inlineStr">
        <is>
          <t>BINTANG SAMUDERA</t>
        </is>
      </c>
      <c r="B165" t="inlineStr">
        <is>
          <t>Kab. Blitar</t>
        </is>
      </c>
      <c r="C165" t="inlineStr">
        <is>
          <t>08134114302</t>
        </is>
      </c>
      <c r="D165" t="inlineStr">
        <is>
          <t>samudrabintang20@ymail.com</t>
        </is>
      </c>
      <c r="E165" t="inlineStr">
        <is>
          <t>https://lpjk.pu.go.id/search-badan-usaha-detail/dkNyOFNCckVEZExuWWxOKzVYQUZuQT09</t>
        </is>
      </c>
      <c r="F165" t="n">
        <v>4</v>
      </c>
      <c r="G165" t="inlineStr">
        <is>
          <t>BG009, BS004</t>
        </is>
      </c>
      <c r="H165" t="inlineStr">
        <is>
          <t>22 Desember 2006</t>
        </is>
      </c>
      <c r="I165" s="2" t="n">
        <v>46340</v>
      </c>
      <c r="J165" t="inlineStr">
        <is>
          <t>Disetujui</t>
        </is>
      </c>
      <c r="K165" t="n">
        <v>87</v>
      </c>
      <c r="L165" t="inlineStr">
        <is>
          <t>14 November 2026</t>
        </is>
      </c>
      <c r="M165" t="inlineStr">
        <is>
          <t>Konstruksi Gedung Lainnya, Konstruksi Jaringan Irigasi dan Drainase</t>
        </is>
      </c>
      <c r="N165" t="inlineStr">
        <is>
          <t>K</t>
        </is>
      </c>
      <c r="O165" t="inlineStr">
        <is>
          <t>20231109</t>
        </is>
      </c>
      <c r="P165" t="inlineStr">
        <is>
          <t>Jawa Timur</t>
        </is>
      </c>
      <c r="Q165" t="inlineStr"/>
    </row>
    <row r="166">
      <c r="A166" t="inlineStr">
        <is>
          <t>BORNEO KEMBAR PUTRI</t>
        </is>
      </c>
      <c r="B166" t="inlineStr">
        <is>
          <t>Kab. Kapuas Hulu</t>
        </is>
      </c>
      <c r="C166" t="inlineStr">
        <is>
          <t>0895340179199</t>
        </is>
      </c>
      <c r="D166" t="inlineStr">
        <is>
          <t>cv.borneokembarputri@gmail.com</t>
        </is>
      </c>
      <c r="E166" t="inlineStr">
        <is>
          <t>https://lpjk.pu.go.id/search-badan-usaha-detail/R1NmRnhCd2Z1NENQbmhEdG5zSGdjZz09</t>
        </is>
      </c>
      <c r="F166" t="n">
        <v>2</v>
      </c>
      <c r="G166" t="inlineStr">
        <is>
          <t>BG006, BS002</t>
        </is>
      </c>
      <c r="H166" t="inlineStr">
        <is>
          <t>6 Januari 2017</t>
        </is>
      </c>
      <c r="I166" s="2" t="n">
        <v>46337</v>
      </c>
      <c r="J166" t="inlineStr">
        <is>
          <t>Disetujui</t>
        </is>
      </c>
      <c r="K166" t="n">
        <v>87</v>
      </c>
      <c r="L166" t="inlineStr">
        <is>
          <t>11 November 2026</t>
        </is>
      </c>
      <c r="M166" t="inlineStr">
        <is>
          <t>Bangunan Sipil Jembatan, Jalan Layang, Fly Over, dan Underpass, Konstruksi Gedung Pendidikan</t>
        </is>
      </c>
      <c r="N166" t="inlineStr">
        <is>
          <t>K</t>
        </is>
      </c>
      <c r="O166" t="inlineStr">
        <is>
          <t>20231110, 20231114</t>
        </is>
      </c>
      <c r="P166" t="inlineStr">
        <is>
          <t>Kalimantan Barat</t>
        </is>
      </c>
      <c r="Q166" t="inlineStr"/>
    </row>
    <row r="167">
      <c r="A167" t="inlineStr">
        <is>
          <t>BORNEO UTAMA NUSANTARA</t>
        </is>
      </c>
      <c r="B167" t="inlineStr">
        <is>
          <t>Kota Pontianak</t>
        </is>
      </c>
      <c r="C167" t="inlineStr">
        <is>
          <t>082358774589</t>
        </is>
      </c>
      <c r="D167" t="inlineStr">
        <is>
          <t>-</t>
        </is>
      </c>
      <c r="E167" t="inlineStr">
        <is>
          <t>https://lpjk.pu.go.id/search-badan-usaha-detail/OFpsTlVvUmRHR2x4aEphVFZWT2J5Zz09</t>
        </is>
      </c>
      <c r="F167" t="n">
        <v>1</v>
      </c>
      <c r="G167" t="inlineStr">
        <is>
          <t>BS001</t>
        </is>
      </c>
      <c r="H167" t="inlineStr">
        <is>
          <t>4 Oktober 2021</t>
        </is>
      </c>
      <c r="I167" s="2" t="n">
        <v>46339</v>
      </c>
      <c r="J167" t="inlineStr">
        <is>
          <t>Disetujui</t>
        </is>
      </c>
      <c r="K167" t="n">
        <v>87</v>
      </c>
      <c r="L167" t="inlineStr">
        <is>
          <t>13 November 2026</t>
        </is>
      </c>
      <c r="M167" t="inlineStr">
        <is>
          <t>Konstruksi Bangunan Sipil Jalan</t>
        </is>
      </c>
      <c r="N167" t="inlineStr">
        <is>
          <t>K</t>
        </is>
      </c>
      <c r="O167" t="inlineStr">
        <is>
          <t>20231114</t>
        </is>
      </c>
      <c r="P167" t="inlineStr">
        <is>
          <t>Kalimantan Barat</t>
        </is>
      </c>
      <c r="Q167" t="inlineStr"/>
    </row>
    <row r="168">
      <c r="A168" t="inlineStr">
        <is>
          <t>BRAHMA BJN</t>
        </is>
      </c>
      <c r="B168" t="inlineStr">
        <is>
          <t>Kab. Bojonegoro</t>
        </is>
      </c>
      <c r="C168" t="inlineStr">
        <is>
          <t>081331100456</t>
        </is>
      </c>
      <c r="D168" t="inlineStr">
        <is>
          <t>cvbrahmabjn@gmail.com</t>
        </is>
      </c>
      <c r="E168" t="inlineStr">
        <is>
          <t>https://lpjk.pu.go.id/search-badan-usaha-detail/TTJ6M2pSYnVPQ3NjejFyS0pneDJ2Zz09</t>
        </is>
      </c>
      <c r="F168" t="n">
        <v>2</v>
      </c>
      <c r="G168" t="inlineStr">
        <is>
          <t>BS001, BS004</t>
        </is>
      </c>
      <c r="H168" t="inlineStr">
        <is>
          <t>6 November 2023</t>
        </is>
      </c>
      <c r="I168" s="2" t="n">
        <v>46335</v>
      </c>
      <c r="J168" t="inlineStr">
        <is>
          <t>Disetujui</t>
        </is>
      </c>
      <c r="K168" t="n">
        <v>87</v>
      </c>
      <c r="L168" t="inlineStr">
        <is>
          <t>9 November 2026</t>
        </is>
      </c>
      <c r="M168" t="inlineStr">
        <is>
          <t>Konstruksi Bangunan Sipil Jalan, Konstruksi Jaringan Irigasi dan Drainase</t>
        </is>
      </c>
      <c r="N168" t="inlineStr">
        <is>
          <t>K</t>
        </is>
      </c>
      <c r="O168" t="inlineStr">
        <is>
          <t>20231109</t>
        </is>
      </c>
      <c r="P168" t="inlineStr">
        <is>
          <t>Jawa Timur</t>
        </is>
      </c>
      <c r="Q168" t="inlineStr"/>
    </row>
    <row r="169">
      <c r="A169" t="inlineStr">
        <is>
          <t>BUANA CAHAYATAMA</t>
        </is>
      </c>
      <c r="B169" t="inlineStr">
        <is>
          <t>Kota Surabaya</t>
        </is>
      </c>
      <c r="C169" t="inlineStr">
        <is>
          <t>0315631530</t>
        </is>
      </c>
      <c r="D169" t="inlineStr">
        <is>
          <t>info@buana-ct.co.id</t>
        </is>
      </c>
      <c r="E169" t="inlineStr">
        <is>
          <t>https://lpjk.pu.go.id/search-badan-usaha-detail/QXoyNUJUWGl2UXZCZWVwb2IvTlNzQT09</t>
        </is>
      </c>
      <c r="F169" t="n">
        <v>1</v>
      </c>
      <c r="G169" t="inlineStr">
        <is>
          <t>IN004</t>
        </is>
      </c>
      <c r="H169" t="inlineStr">
        <is>
          <t>21 Oktober 2004</t>
        </is>
      </c>
      <c r="I169" s="2" t="n">
        <v>46340</v>
      </c>
      <c r="J169" t="inlineStr">
        <is>
          <t>Disetujui</t>
        </is>
      </c>
      <c r="K169" t="n">
        <v>87</v>
      </c>
      <c r="L169" t="inlineStr">
        <is>
          <t>14 November 2026</t>
        </is>
      </c>
      <c r="M169" t="inlineStr">
        <is>
          <t>Instalasi Minyak dan Gas</t>
        </is>
      </c>
      <c r="N169" t="inlineStr">
        <is>
          <t>Spesialis</t>
        </is>
      </c>
      <c r="O169" t="inlineStr">
        <is>
          <t>20230711</t>
        </is>
      </c>
      <c r="P169" t="inlineStr">
        <is>
          <t>Jawa Timur</t>
        </is>
      </c>
      <c r="Q169" t="inlineStr"/>
    </row>
    <row r="170">
      <c r="A170" t="inlineStr">
        <is>
          <t>BUDI AGUNG</t>
        </is>
      </c>
      <c r="B170" t="inlineStr">
        <is>
          <t>Kab. Blitar</t>
        </is>
      </c>
      <c r="C170" t="inlineStr">
        <is>
          <t>082211122132</t>
        </is>
      </c>
      <c r="D170" t="inlineStr">
        <is>
          <t>budisantoso.be14@yahoo.co.id</t>
        </is>
      </c>
      <c r="E170" t="inlineStr">
        <is>
          <t>https://lpjk.pu.go.id/search-badan-usaha-detail/Rm9HYVcwRlM3NmJaTm5Db2o2UER6UT09</t>
        </is>
      </c>
      <c r="F170" t="n">
        <v>1</v>
      </c>
      <c r="G170" t="inlineStr">
        <is>
          <t>BS016</t>
        </is>
      </c>
      <c r="H170" t="inlineStr">
        <is>
          <t>20 Desember 1985</t>
        </is>
      </c>
      <c r="I170" s="2" t="n">
        <v>46340</v>
      </c>
      <c r="J170" t="inlineStr">
        <is>
          <t>Disetujui</t>
        </is>
      </c>
      <c r="K170" t="n">
        <v>87</v>
      </c>
      <c r="L170" t="inlineStr">
        <is>
          <t>14 November 2026</t>
        </is>
      </c>
      <c r="M170" t="inlineStr">
        <is>
          <t>Konstruksi Bangunan Sipil Fasilitas Olah Raga</t>
        </is>
      </c>
      <c r="N170" t="inlineStr">
        <is>
          <t>K</t>
        </is>
      </c>
      <c r="O170" t="inlineStr">
        <is>
          <t>20231111</t>
        </is>
      </c>
      <c r="P170" t="inlineStr">
        <is>
          <t>Jawa Timur</t>
        </is>
      </c>
      <c r="Q170" t="inlineStr"/>
    </row>
    <row r="171">
      <c r="A171" t="inlineStr">
        <is>
          <t>BUMI BANGUNAN</t>
        </is>
      </c>
      <c r="B171" t="inlineStr">
        <is>
          <t>Kab. Lingga</t>
        </is>
      </c>
      <c r="C171" t="inlineStr">
        <is>
          <t>08127739288</t>
        </is>
      </c>
      <c r="D171" t="inlineStr">
        <is>
          <t>bb_aan165@ymail.com</t>
        </is>
      </c>
      <c r="E171" t="inlineStr">
        <is>
          <t>https://lpjk.pu.go.id/search-badan-usaha-detail/QmN4R2xKMFBUdSsrK2ZmSlpsUFlOdz09</t>
        </is>
      </c>
      <c r="F171" t="n">
        <v>3</v>
      </c>
      <c r="G171" t="inlineStr">
        <is>
          <t>BG005, BG006, BS001</t>
        </is>
      </c>
      <c r="H171" t="inlineStr">
        <is>
          <t>14 Februari 2014</t>
        </is>
      </c>
      <c r="I171" s="2" t="n">
        <v>46339</v>
      </c>
      <c r="J171" t="inlineStr">
        <is>
          <t>Disetujui</t>
        </is>
      </c>
      <c r="K171" t="n">
        <v>87</v>
      </c>
      <c r="L171" t="inlineStr">
        <is>
          <t>13 November 2026</t>
        </is>
      </c>
      <c r="M171" t="inlineStr">
        <is>
          <t>Konstruksi Bangunan Sipil Jalan, Konstruksi Gedung Kesehatan, Konstruksi Gedung Pendidikan</t>
        </is>
      </c>
      <c r="N171" t="inlineStr">
        <is>
          <t>K</t>
        </is>
      </c>
      <c r="O171" t="inlineStr">
        <is>
          <t>20221219, 20231102</t>
        </is>
      </c>
      <c r="P171" t="inlineStr">
        <is>
          <t>Kepulauan Riau</t>
        </is>
      </c>
      <c r="Q171" t="inlineStr"/>
    </row>
    <row r="172">
      <c r="A172" t="inlineStr">
        <is>
          <t>BUMI BERKAT</t>
        </is>
      </c>
      <c r="B172" t="inlineStr">
        <is>
          <t>Kab. Morowali Utara</t>
        </is>
      </c>
      <c r="C172" t="inlineStr">
        <is>
          <t>081354259990</t>
        </is>
      </c>
      <c r="D172" t="inlineStr">
        <is>
          <t>bumiberkat.7@gmail.com</t>
        </is>
      </c>
      <c r="E172" t="inlineStr">
        <is>
          <t>https://lpjk.pu.go.id/search-badan-usaha-detail/QlZLZ1lTV1JOWUx0WU5ZT2JRYm95Zz09</t>
        </is>
      </c>
      <c r="F172" t="n">
        <v>1</v>
      </c>
      <c r="G172" t="inlineStr">
        <is>
          <t>BS002</t>
        </is>
      </c>
      <c r="H172" t="inlineStr">
        <is>
          <t>16 Oktober 2015</t>
        </is>
      </c>
      <c r="I172" s="2" t="n">
        <v>46335</v>
      </c>
      <c r="J172" t="inlineStr">
        <is>
          <t>Pencabutan</t>
        </is>
      </c>
      <c r="K172" t="n">
        <v>87</v>
      </c>
      <c r="L172" t="inlineStr">
        <is>
          <t>9 November 2026</t>
        </is>
      </c>
      <c r="M172" t="inlineStr">
        <is>
          <t>Bangunan Sipil Jembatan, Jalan Layang, Fly Over, dan Underpass</t>
        </is>
      </c>
      <c r="N172" t="inlineStr">
        <is>
          <t>K</t>
        </is>
      </c>
      <c r="O172" t="inlineStr">
        <is>
          <t>20231110</t>
        </is>
      </c>
      <c r="P172" t="inlineStr">
        <is>
          <t>Sulawesi Tengah</t>
        </is>
      </c>
      <c r="Q172" t="inlineStr"/>
    </row>
    <row r="173">
      <c r="A173" t="inlineStr">
        <is>
          <t>BUMI BRILIAN</t>
        </is>
      </c>
      <c r="B173" t="inlineStr">
        <is>
          <t>Kota Probolinggo</t>
        </is>
      </c>
      <c r="C173" t="inlineStr">
        <is>
          <t>085258999553</t>
        </is>
      </c>
      <c r="D173" t="inlineStr">
        <is>
          <t>cvbumibrilian@gmail.com</t>
        </is>
      </c>
      <c r="E173" t="inlineStr">
        <is>
          <t>https://lpjk.pu.go.id/search-badan-usaha-detail/cWduaytwTkVLeFhIWklWZngrcEx5K281TGJXdm9id29PUVM0ek5zaWdwTT0</t>
        </is>
      </c>
      <c r="F173" t="n">
        <v>3</v>
      </c>
      <c r="G173" t="inlineStr">
        <is>
          <t>BG002, BG005, BG006</t>
        </is>
      </c>
      <c r="H173" t="inlineStr">
        <is>
          <t>19 Agustus 2025</t>
        </is>
      </c>
      <c r="I173" s="2" t="n">
        <v>46338</v>
      </c>
      <c r="J173" t="inlineStr">
        <is>
          <t>Disetujui</t>
        </is>
      </c>
      <c r="K173" t="n">
        <v>87</v>
      </c>
      <c r="L173" t="inlineStr">
        <is>
          <t>12 November 2026</t>
        </is>
      </c>
      <c r="M173" t="inlineStr">
        <is>
          <t>Konstruksi Gedung Kesehatan, Konstruksi Gedung Pendidikan, Konstruksi Gedung Perkantoran</t>
        </is>
      </c>
      <c r="N173" t="inlineStr">
        <is>
          <t>K</t>
        </is>
      </c>
      <c r="O173" t="inlineStr">
        <is>
          <t>20231110</t>
        </is>
      </c>
      <c r="P173" t="inlineStr">
        <is>
          <t>Jawa Timur</t>
        </is>
      </c>
      <c r="Q173" t="inlineStr"/>
    </row>
    <row r="174">
      <c r="A174" t="inlineStr">
        <is>
          <t>BUMI JAYA WIJAYANTI</t>
        </is>
      </c>
      <c r="B174" t="inlineStr">
        <is>
          <t>Kota Surabaya</t>
        </is>
      </c>
      <c r="C174" t="inlineStr">
        <is>
          <t>081703217382</t>
        </is>
      </c>
      <c r="D174" t="inlineStr">
        <is>
          <t>bumijayawijayanti@gmail.com</t>
        </is>
      </c>
      <c r="E174" t="inlineStr">
        <is>
          <t>https://lpjk.pu.go.id/search-badan-usaha-detail/Z1ZRbHYrRkhyVHJBdWxvSjJwNTU4QT09</t>
        </is>
      </c>
      <c r="F174" t="n">
        <v>1</v>
      </c>
      <c r="G174" t="inlineStr">
        <is>
          <t>BS007</t>
        </is>
      </c>
      <c r="H174" t="inlineStr">
        <is>
          <t>3 Desember 2019</t>
        </is>
      </c>
      <c r="I174" s="2" t="n">
        <v>46336</v>
      </c>
      <c r="J174" t="inlineStr">
        <is>
          <t>Pencabutan</t>
        </is>
      </c>
      <c r="K174" t="n">
        <v>87</v>
      </c>
      <c r="L174" t="inlineStr">
        <is>
          <t>10 November 2026</t>
        </is>
      </c>
      <c r="M174" t="inlineStr">
        <is>
          <t>Konstruksi Bangunan Sipil Elektrikal</t>
        </is>
      </c>
      <c r="N174" t="inlineStr">
        <is>
          <t>K</t>
        </is>
      </c>
      <c r="O174" t="inlineStr">
        <is>
          <t>20231110</t>
        </is>
      </c>
      <c r="P174" t="inlineStr">
        <is>
          <t>Jawa Timur</t>
        </is>
      </c>
      <c r="Q174" t="inlineStr"/>
    </row>
    <row r="175">
      <c r="A175" t="inlineStr">
        <is>
          <t>BUMI LESTARI</t>
        </is>
      </c>
      <c r="B175" t="inlineStr">
        <is>
          <t>Kab. Purwakarta</t>
        </is>
      </c>
      <c r="C175" t="inlineStr">
        <is>
          <t>08129472080</t>
        </is>
      </c>
      <c r="D175" t="inlineStr">
        <is>
          <t>cv.bumilestaripwk@gmail.com</t>
        </is>
      </c>
      <c r="E175" t="inlineStr">
        <is>
          <t>https://lpjk.pu.go.id/search-badan-usaha-detail/RVpSTnpWWGVLd2xyV09UazdaYkFFQT09</t>
        </is>
      </c>
      <c r="F175" t="n">
        <v>1</v>
      </c>
      <c r="G175" t="inlineStr">
        <is>
          <t>BG009</t>
        </is>
      </c>
      <c r="H175" t="inlineStr">
        <is>
          <t>1 Januari 2018</t>
        </is>
      </c>
      <c r="I175" s="2" t="n">
        <v>46334</v>
      </c>
      <c r="J175" t="inlineStr">
        <is>
          <t>Disetujui</t>
        </is>
      </c>
      <c r="K175" t="n">
        <v>87</v>
      </c>
      <c r="L175" t="inlineStr">
        <is>
          <t>8 November 2026</t>
        </is>
      </c>
      <c r="M175" t="inlineStr">
        <is>
          <t>Konstruksi Gedung Lainnya</t>
        </is>
      </c>
      <c r="N175" t="inlineStr">
        <is>
          <t>K</t>
        </is>
      </c>
      <c r="O175" t="inlineStr">
        <is>
          <t>20231103</t>
        </is>
      </c>
      <c r="P175" t="inlineStr">
        <is>
          <t>Jawa Barat</t>
        </is>
      </c>
      <c r="Q175" t="inlineStr"/>
    </row>
    <row r="176">
      <c r="A176" t="inlineStr">
        <is>
          <t>BUMI MATARAM</t>
        </is>
      </c>
      <c r="B176" t="inlineStr">
        <is>
          <t>Kota Mataram</t>
        </is>
      </c>
      <c r="C176" t="inlineStr">
        <is>
          <t>081913415323</t>
        </is>
      </c>
      <c r="D176" t="inlineStr">
        <is>
          <t>bumimataram9@gmail.com</t>
        </is>
      </c>
      <c r="E176" t="inlineStr">
        <is>
          <t>https://lpjk.pu.go.id/search-badan-usaha-detail/UFBsdW0rWUFVdkNkM211SUxyWDlMUT09</t>
        </is>
      </c>
      <c r="F176" t="n">
        <v>1</v>
      </c>
      <c r="G176" t="inlineStr">
        <is>
          <t>BS001</t>
        </is>
      </c>
      <c r="H176" t="inlineStr">
        <is>
          <t>27 September 2023</t>
        </is>
      </c>
      <c r="I176" s="2" t="n">
        <v>46338</v>
      </c>
      <c r="J176" t="inlineStr">
        <is>
          <t>Disetujui</t>
        </is>
      </c>
      <c r="K176" t="n">
        <v>87</v>
      </c>
      <c r="L176" t="inlineStr">
        <is>
          <t>12 November 2026</t>
        </is>
      </c>
      <c r="M176" t="inlineStr">
        <is>
          <t>Konstruksi Bangunan Sipil Jalan</t>
        </is>
      </c>
      <c r="N176" t="inlineStr">
        <is>
          <t>K</t>
        </is>
      </c>
      <c r="O176" t="inlineStr">
        <is>
          <t>20231113</t>
        </is>
      </c>
      <c r="P176" t="inlineStr">
        <is>
          <t>Nusa Tenggara Barat</t>
        </is>
      </c>
      <c r="Q176" t="inlineStr"/>
    </row>
    <row r="177">
      <c r="A177" t="inlineStr">
        <is>
          <t>BUMI NUSANTARA HIJAU</t>
        </is>
      </c>
      <c r="B177" t="inlineStr">
        <is>
          <t>Kota Medan</t>
        </is>
      </c>
      <c r="C177" t="inlineStr">
        <is>
          <t>081361573845</t>
        </is>
      </c>
      <c r="D177" t="inlineStr">
        <is>
          <t>buminusantarahijaupt@gmail.com</t>
        </is>
      </c>
      <c r="E177" t="inlineStr">
        <is>
          <t>https://lpjk.pu.go.id/search-badan-usaha-detail/czZFTnF5QldqWHJXWS9rVEhYdlpHUT09</t>
        </is>
      </c>
      <c r="F177" t="n">
        <v>1</v>
      </c>
      <c r="G177" t="inlineStr">
        <is>
          <t>RK005</t>
        </is>
      </c>
      <c r="H177" t="inlineStr">
        <is>
          <t>23 Desember 2019</t>
        </is>
      </c>
      <c r="I177" s="2" t="n">
        <v>46340</v>
      </c>
      <c r="J177" t="inlineStr">
        <is>
          <t>Disetujui</t>
        </is>
      </c>
      <c r="K177" t="n">
        <v>87</v>
      </c>
      <c r="L177" t="inlineStr">
        <is>
          <t>14 November 2026</t>
        </is>
      </c>
      <c r="M177" t="inlineStr">
        <is>
          <t>Jasa Rekayasa Lainnya</t>
        </is>
      </c>
      <c r="N177" t="inlineStr">
        <is>
          <t>K</t>
        </is>
      </c>
      <c r="O177" t="inlineStr">
        <is>
          <t>20231102</t>
        </is>
      </c>
      <c r="P177" t="inlineStr">
        <is>
          <t>Sumatera Utara</t>
        </is>
      </c>
      <c r="Q177" t="inlineStr"/>
    </row>
    <row r="178">
      <c r="A178" t="inlineStr">
        <is>
          <t>BUMI NUSANTARA INDAH</t>
        </is>
      </c>
      <c r="B178" t="inlineStr">
        <is>
          <t>Kota Mataram</t>
        </is>
      </c>
      <c r="C178" t="inlineStr">
        <is>
          <t>08175763429</t>
        </is>
      </c>
      <c r="D178" t="inlineStr">
        <is>
          <t>buminusantaraindah18@gmail.com</t>
        </is>
      </c>
      <c r="E178" t="inlineStr">
        <is>
          <t>https://lpjk.pu.go.id/search-badan-usaha-detail/cFFMNXRNT1NONXlNSkFkLzNUS285QT09</t>
        </is>
      </c>
      <c r="F178" t="n">
        <v>2</v>
      </c>
      <c r="G178" t="inlineStr">
        <is>
          <t>BG002, BG009</t>
        </is>
      </c>
      <c r="H178" t="inlineStr">
        <is>
          <t>23 September 2002</t>
        </is>
      </c>
      <c r="I178" s="2" t="n">
        <v>46334</v>
      </c>
      <c r="J178" t="inlineStr">
        <is>
          <t>Disetujui</t>
        </is>
      </c>
      <c r="K178" t="n">
        <v>87</v>
      </c>
      <c r="L178" t="inlineStr">
        <is>
          <t>8 November 2026</t>
        </is>
      </c>
      <c r="M178" t="inlineStr">
        <is>
          <t>Konstruksi Gedung Lainnya, Konstruksi Gedung Perkantoran</t>
        </is>
      </c>
      <c r="N178" t="inlineStr">
        <is>
          <t>K</t>
        </is>
      </c>
      <c r="O178" t="inlineStr">
        <is>
          <t>20231106</t>
        </is>
      </c>
      <c r="P178" t="inlineStr">
        <is>
          <t>Nusa Tenggara Barat</t>
        </is>
      </c>
      <c r="Q178" t="inlineStr"/>
    </row>
    <row r="179">
      <c r="A179" t="inlineStr">
        <is>
          <t>BUMI PRATAMA</t>
        </is>
      </c>
      <c r="B179" t="inlineStr">
        <is>
          <t>Kota Bandar Lampung</t>
        </is>
      </c>
      <c r="C179" t="inlineStr">
        <is>
          <t>081379608833</t>
        </is>
      </c>
      <c r="D179" t="inlineStr">
        <is>
          <t>bumipratama0@gmail.com</t>
        </is>
      </c>
      <c r="E179" t="inlineStr">
        <is>
          <t>https://lpjk.pu.go.id/search-badan-usaha-detail/Y0JEUkN6WUs4TzRweWFmb2U0RHRGZz09</t>
        </is>
      </c>
      <c r="F179" t="n">
        <v>1</v>
      </c>
      <c r="G179" t="inlineStr">
        <is>
          <t>BS001</t>
        </is>
      </c>
      <c r="H179" t="inlineStr">
        <is>
          <t>9 September 1999</t>
        </is>
      </c>
      <c r="I179" s="2" t="n">
        <v>46334</v>
      </c>
      <c r="J179" t="inlineStr">
        <is>
          <t>Disetujui</t>
        </is>
      </c>
      <c r="K179" t="n">
        <v>87</v>
      </c>
      <c r="L179" t="inlineStr">
        <is>
          <t>8 November 2026</t>
        </is>
      </c>
      <c r="M179" t="inlineStr">
        <is>
          <t>Konstruksi Bangunan Sipil Jalan</t>
        </is>
      </c>
      <c r="N179" t="inlineStr">
        <is>
          <t>K</t>
        </is>
      </c>
      <c r="O179" t="inlineStr">
        <is>
          <t>20231107</t>
        </is>
      </c>
      <c r="P179" t="inlineStr">
        <is>
          <t>Lampung</t>
        </is>
      </c>
      <c r="Q179" t="inlineStr"/>
    </row>
    <row r="180">
      <c r="A180" t="inlineStr">
        <is>
          <t>BUMI PUTRI SILAMPARI</t>
        </is>
      </c>
      <c r="B180" t="inlineStr">
        <is>
          <t>Kota Bandung</t>
        </is>
      </c>
      <c r="C180" t="inlineStr">
        <is>
          <t>081932688378</t>
        </is>
      </c>
      <c r="D180" t="inlineStr">
        <is>
          <t>silamparibumiputri@gmail.com</t>
        </is>
      </c>
      <c r="E180" t="inlineStr">
        <is>
          <t>https://lpjk.pu.go.id/search-badan-usaha-detail/L3p2aURjMkNWNEdubThpRm8vR09XZz09</t>
        </is>
      </c>
      <c r="F180" t="n">
        <v>1</v>
      </c>
      <c r="G180" t="inlineStr">
        <is>
          <t>BG002</t>
        </is>
      </c>
      <c r="H180" t="inlineStr">
        <is>
          <t>22 Agustus 1992</t>
        </is>
      </c>
      <c r="I180" s="2" t="n">
        <v>46338</v>
      </c>
      <c r="J180" t="inlineStr">
        <is>
          <t>Pencabutan</t>
        </is>
      </c>
      <c r="K180" t="n">
        <v>87</v>
      </c>
      <c r="L180" t="inlineStr">
        <is>
          <t>12 November 2026</t>
        </is>
      </c>
      <c r="M180" t="inlineStr">
        <is>
          <t>Konstruksi Gedung Perkantoran</t>
        </is>
      </c>
      <c r="N180" t="inlineStr">
        <is>
          <t>M</t>
        </is>
      </c>
      <c r="O180" t="inlineStr">
        <is>
          <t>20231109</t>
        </is>
      </c>
      <c r="P180" t="inlineStr">
        <is>
          <t>Jawa Barat</t>
        </is>
      </c>
      <c r="Q180" t="inlineStr"/>
    </row>
    <row r="181">
      <c r="A181" t="inlineStr">
        <is>
          <t>CAHAYA BERLIAN ARBAS</t>
        </is>
      </c>
      <c r="B181" t="inlineStr">
        <is>
          <t>Kota Pekanbaru</t>
        </is>
      </c>
      <c r="C181" t="inlineStr">
        <is>
          <t>0761587791</t>
        </is>
      </c>
      <c r="D181" t="inlineStr">
        <is>
          <t>cahayaberlianarbas@yahoo.com</t>
        </is>
      </c>
      <c r="E181" t="inlineStr">
        <is>
          <t>https://lpjk.pu.go.id/search-badan-usaha-detail/KzdFOUo0bS81WloyWURVQzZLbkdmdz09</t>
        </is>
      </c>
      <c r="F181" t="n">
        <v>1</v>
      </c>
      <c r="G181" t="inlineStr">
        <is>
          <t>BG009</t>
        </is>
      </c>
      <c r="H181" t="inlineStr">
        <is>
          <t>20 Juni 2011</t>
        </is>
      </c>
      <c r="I181" s="2" t="n">
        <v>46339</v>
      </c>
      <c r="J181" t="inlineStr">
        <is>
          <t>Disetujui</t>
        </is>
      </c>
      <c r="K181" t="n">
        <v>87</v>
      </c>
      <c r="L181" t="inlineStr">
        <is>
          <t>13 November 2026</t>
        </is>
      </c>
      <c r="M181" t="inlineStr">
        <is>
          <t>Konstruksi Gedung Lainnya</t>
        </is>
      </c>
      <c r="N181" t="inlineStr">
        <is>
          <t>K</t>
        </is>
      </c>
      <c r="O181" t="inlineStr">
        <is>
          <t>20231112</t>
        </is>
      </c>
      <c r="P181" t="inlineStr">
        <is>
          <t>Riau</t>
        </is>
      </c>
      <c r="Q181" t="inlineStr"/>
    </row>
    <row r="182">
      <c r="A182" t="inlineStr">
        <is>
          <t>CAHAYA BINTANG TEKNINDO</t>
        </is>
      </c>
      <c r="B182" t="inlineStr">
        <is>
          <t>Kota Adm. Jakarta Barat</t>
        </is>
      </c>
      <c r="C182" t="inlineStr">
        <is>
          <t>08111080446</t>
        </is>
      </c>
      <c r="D182" t="inlineStr">
        <is>
          <t>ptcahayabintangteknindo@gmail.com</t>
        </is>
      </c>
      <c r="E182" t="inlineStr">
        <is>
          <t>https://lpjk.pu.go.id/search-badan-usaha-detail/MmVDdW56MkRLUmprV1RYeHYxczZMZz09</t>
        </is>
      </c>
      <c r="F182" t="n">
        <v>2</v>
      </c>
      <c r="G182" t="inlineStr">
        <is>
          <t>BS007, BS009</t>
        </is>
      </c>
      <c r="H182" t="inlineStr">
        <is>
          <t>14 April 2021</t>
        </is>
      </c>
      <c r="I182" s="2" t="n">
        <v>46339</v>
      </c>
      <c r="J182" t="inlineStr">
        <is>
          <t>Disetujui</t>
        </is>
      </c>
      <c r="K182" t="n">
        <v>87</v>
      </c>
      <c r="L182" t="inlineStr">
        <is>
          <t>13 November 2026</t>
        </is>
      </c>
      <c r="M182" t="inlineStr">
        <is>
          <t>Konstruksi Bangunan Sipil Elektrikal, Konstruksi Sentral Telekomunikasi</t>
        </is>
      </c>
      <c r="N182" t="inlineStr">
        <is>
          <t>K</t>
        </is>
      </c>
      <c r="O182" t="inlineStr">
        <is>
          <t>20231114</t>
        </is>
      </c>
      <c r="P182" t="inlineStr">
        <is>
          <t>DKI Jakarta</t>
        </is>
      </c>
      <c r="Q182" t="inlineStr"/>
    </row>
    <row r="183">
      <c r="A183" t="inlineStr">
        <is>
          <t>CAHAYA BUMI JAYA</t>
        </is>
      </c>
      <c r="B183" t="inlineStr">
        <is>
          <t>Kota Tangerang Selatan</t>
        </is>
      </c>
      <c r="C183" t="inlineStr">
        <is>
          <t>081211688787</t>
        </is>
      </c>
      <c r="D183" t="inlineStr">
        <is>
          <t>cahayabumijaya@yahoo.com</t>
        </is>
      </c>
      <c r="E183" t="inlineStr">
        <is>
          <t>https://lpjk.pu.go.id/search-badan-usaha-detail/am0zeWdwaWRKRldDeWYvekVPZjNpUT09</t>
        </is>
      </c>
      <c r="F183" t="n">
        <v>2</v>
      </c>
      <c r="G183" t="inlineStr">
        <is>
          <t>BG005, BG009</t>
        </is>
      </c>
      <c r="H183" t="inlineStr">
        <is>
          <t>22 Juni 2012</t>
        </is>
      </c>
      <c r="I183" s="2" t="n">
        <v>46336</v>
      </c>
      <c r="J183" t="inlineStr">
        <is>
          <t>Disetujui</t>
        </is>
      </c>
      <c r="K183" t="n">
        <v>87</v>
      </c>
      <c r="L183" t="inlineStr">
        <is>
          <t>10 November 2026</t>
        </is>
      </c>
      <c r="M183" t="inlineStr">
        <is>
          <t>Konstruksi Gedung Kesehatan, Konstruksi Gedung Lainnya</t>
        </is>
      </c>
      <c r="N183" t="inlineStr">
        <is>
          <t>K</t>
        </is>
      </c>
      <c r="O183" t="inlineStr">
        <is>
          <t>20231110, 20231114</t>
        </is>
      </c>
      <c r="P183" t="inlineStr">
        <is>
          <t>Banten</t>
        </is>
      </c>
      <c r="Q183" t="inlineStr"/>
    </row>
    <row r="184">
      <c r="A184" t="inlineStr">
        <is>
          <t>CAHAYA KANNU PUTRA</t>
        </is>
      </c>
      <c r="B184" t="inlineStr">
        <is>
          <t>Kab. Jayawijaya</t>
        </is>
      </c>
      <c r="C184" t="inlineStr">
        <is>
          <t>082199115406</t>
        </is>
      </c>
      <c r="D184" t="inlineStr">
        <is>
          <t>cv.cahayakannuputra23@gmail.com</t>
        </is>
      </c>
      <c r="E184" t="inlineStr">
        <is>
          <t>https://lpjk.pu.go.id/search-badan-usaha-detail/eklKbUtGYTRHOFZFL2hYMUVHMGIyZz09</t>
        </is>
      </c>
      <c r="F184" t="n">
        <v>2</v>
      </c>
      <c r="G184" t="inlineStr">
        <is>
          <t>BG001, BS001</t>
        </is>
      </c>
      <c r="H184" t="inlineStr">
        <is>
          <t>5 Oktober 2023</t>
        </is>
      </c>
      <c r="I184" s="2" t="n">
        <v>46338</v>
      </c>
      <c r="J184" t="inlineStr">
        <is>
          <t>Disetujui</t>
        </is>
      </c>
      <c r="K184" t="n">
        <v>87</v>
      </c>
      <c r="L184" t="inlineStr">
        <is>
          <t>12 November 2026</t>
        </is>
      </c>
      <c r="M184" t="inlineStr">
        <is>
          <t>Konstruksi Bangunan Sipil Jalan, Konstruksi Gedung Hunian</t>
        </is>
      </c>
      <c r="N184" t="inlineStr">
        <is>
          <t>K</t>
        </is>
      </c>
      <c r="O184" t="inlineStr">
        <is>
          <t>20231111, 20231114</t>
        </is>
      </c>
      <c r="P184" t="inlineStr">
        <is>
          <t>Papua Pegunungan</t>
        </is>
      </c>
      <c r="Q184" t="inlineStr"/>
    </row>
    <row r="185">
      <c r="A185" t="inlineStr">
        <is>
          <t>CAHAYA KASIH BUNDA</t>
        </is>
      </c>
      <c r="B185" t="inlineStr">
        <is>
          <t>Kab. Banyuwangi</t>
        </is>
      </c>
      <c r="C185" t="inlineStr">
        <is>
          <t>0895411079391</t>
        </is>
      </c>
      <c r="D185" t="inlineStr">
        <is>
          <t>cahayakasihbunga@yahoo.com</t>
        </is>
      </c>
      <c r="E185" t="inlineStr">
        <is>
          <t>https://lpjk.pu.go.id/search-badan-usaha-detail/UDl0QTF1OUxOaDJGWTIydHUvTUcrZz09</t>
        </is>
      </c>
      <c r="F185" t="n">
        <v>2</v>
      </c>
      <c r="G185" t="inlineStr">
        <is>
          <t>BS001, BS004</t>
        </is>
      </c>
      <c r="H185" t="inlineStr">
        <is>
          <t>15 April 2021</t>
        </is>
      </c>
      <c r="I185" s="2" t="n">
        <v>46339</v>
      </c>
      <c r="J185" t="inlineStr">
        <is>
          <t>Disetujui</t>
        </is>
      </c>
      <c r="K185" t="n">
        <v>87</v>
      </c>
      <c r="L185" t="inlineStr">
        <is>
          <t>13 November 2026</t>
        </is>
      </c>
      <c r="M185" t="inlineStr">
        <is>
          <t>Konstruksi Bangunan Sipil Jalan, Konstruksi Jaringan Irigasi dan Drainase</t>
        </is>
      </c>
      <c r="N185" t="inlineStr">
        <is>
          <t>K</t>
        </is>
      </c>
      <c r="O185" t="inlineStr">
        <is>
          <t>20231113</t>
        </is>
      </c>
      <c r="P185" t="inlineStr">
        <is>
          <t>Jawa Timur</t>
        </is>
      </c>
      <c r="Q185" t="inlineStr"/>
    </row>
    <row r="186">
      <c r="A186" t="inlineStr">
        <is>
          <t>CAHAYA TARIM</t>
        </is>
      </c>
      <c r="B186" t="inlineStr">
        <is>
          <t>Kab. Balangan</t>
        </is>
      </c>
      <c r="C186" t="inlineStr">
        <is>
          <t>081255589094</t>
        </is>
      </c>
      <c r="D186" t="inlineStr">
        <is>
          <t>cahayatarim88@gmail.com</t>
        </is>
      </c>
      <c r="E186" t="inlineStr">
        <is>
          <t>https://lpjk.pu.go.id/search-badan-usaha-detail/M2V6dUxCZmo1NmVnN1M4WmIxTElkQT09</t>
        </is>
      </c>
      <c r="F186" t="n">
        <v>4</v>
      </c>
      <c r="G186" t="inlineStr">
        <is>
          <t>BS001, BS002, BS004, BS010</t>
        </is>
      </c>
      <c r="H186" t="inlineStr">
        <is>
          <t>6 Mei 2010</t>
        </is>
      </c>
      <c r="I186" s="2" t="n">
        <v>46335</v>
      </c>
      <c r="J186" t="inlineStr">
        <is>
          <t>Disetujui, Pencabutan</t>
        </is>
      </c>
      <c r="K186" t="n">
        <v>87</v>
      </c>
      <c r="L186" t="inlineStr">
        <is>
          <t>9 November 2026</t>
        </is>
      </c>
      <c r="M186" t="inlineStr">
        <is>
          <t>Bangunan Sipil Jembatan, Jalan Layang, Fly Over, dan Underpass, Konstruksi Bangunan Prasarana Sumber Daya Air, Konstruksi Bangunan Sipil Jalan, Konstruksi Jaringan Irigasi dan Drainase</t>
        </is>
      </c>
      <c r="N186" t="inlineStr">
        <is>
          <t>K</t>
        </is>
      </c>
      <c r="O186" t="inlineStr">
        <is>
          <t>20231026, 20231107</t>
        </is>
      </c>
      <c r="P186" t="inlineStr">
        <is>
          <t>Kalimantan Selatan</t>
        </is>
      </c>
      <c r="Q186" t="inlineStr"/>
    </row>
    <row r="187">
      <c r="A187" t="inlineStr">
        <is>
          <t>CAHAYA TEKNIK PUTRA NUSANTARA</t>
        </is>
      </c>
      <c r="B187" t="inlineStr">
        <is>
          <t>Kab. Garut</t>
        </is>
      </c>
      <c r="C187" t="inlineStr">
        <is>
          <t>081214295653</t>
        </is>
      </c>
      <c r="D187" t="inlineStr">
        <is>
          <t>sales@ctpn.co.id</t>
        </is>
      </c>
      <c r="E187" t="inlineStr">
        <is>
          <t>https://lpjk.pu.go.id/search-badan-usaha-detail/bHA3RDh1ODZDZktpMTEyNXJ0N0RzUT09</t>
        </is>
      </c>
      <c r="F187" t="n">
        <v>1</v>
      </c>
      <c r="G187" t="inlineStr">
        <is>
          <t>BG009</t>
        </is>
      </c>
      <c r="H187" t="inlineStr">
        <is>
          <t>23 November 2016</t>
        </is>
      </c>
      <c r="I187" s="2" t="n">
        <v>46335</v>
      </c>
      <c r="J187" t="inlineStr">
        <is>
          <t>Pencabutan</t>
        </is>
      </c>
      <c r="K187" t="n">
        <v>87</v>
      </c>
      <c r="L187" t="inlineStr">
        <is>
          <t>9 November 2026</t>
        </is>
      </c>
      <c r="M187" t="inlineStr">
        <is>
          <t>Konstruksi Gedung Lainnya</t>
        </is>
      </c>
      <c r="N187" t="inlineStr">
        <is>
          <t>M</t>
        </is>
      </c>
      <c r="O187" t="inlineStr">
        <is>
          <t>20231107</t>
        </is>
      </c>
      <c r="P187" t="inlineStr">
        <is>
          <t>Jawa Barat</t>
        </is>
      </c>
      <c r="Q187" t="inlineStr"/>
    </row>
    <row r="188">
      <c r="A188" t="inlineStr">
        <is>
          <t>CAHAYA TELAGA NUSA</t>
        </is>
      </c>
      <c r="B188" t="inlineStr">
        <is>
          <t>Kab. Tangerang</t>
        </is>
      </c>
      <c r="C188" t="inlineStr">
        <is>
          <t>081385661999</t>
        </is>
      </c>
      <c r="D188" t="inlineStr">
        <is>
          <t>cahayatelaganusa@gmail.com</t>
        </is>
      </c>
      <c r="E188" t="inlineStr">
        <is>
          <t>https://lpjk.pu.go.id/search-badan-usaha-detail/NUliTjZVdnB5U21mTlNDQ1FiQnpxdz09</t>
        </is>
      </c>
      <c r="F188" t="n">
        <v>5</v>
      </c>
      <c r="G188" t="inlineStr">
        <is>
          <t>BG001, BG002, BG003, BG008, BG009</t>
        </is>
      </c>
      <c r="H188" t="inlineStr">
        <is>
          <t>4 Agustus 2023</t>
        </is>
      </c>
      <c r="I188" s="2" t="n">
        <v>46338</v>
      </c>
      <c r="J188" t="inlineStr">
        <is>
          <t>Pencabutan</t>
        </is>
      </c>
      <c r="K188" t="n">
        <v>87</v>
      </c>
      <c r="L188" t="inlineStr">
        <is>
          <t>12 November 2026</t>
        </is>
      </c>
      <c r="M188" t="inlineStr">
        <is>
          <t>Konstruksi Gedung Hunian, Konstruksi Gedung Industri, Konstruksi Gedung Lainnya, Konstruksi Gedung Perkantoran, Konstruksi Gedung Tempat Hiburan dan Olahraga</t>
        </is>
      </c>
      <c r="N188" t="inlineStr">
        <is>
          <t>K</t>
        </is>
      </c>
      <c r="O188" t="inlineStr">
        <is>
          <t>20231110, 20231113</t>
        </is>
      </c>
      <c r="P188" t="inlineStr">
        <is>
          <t>Banten</t>
        </is>
      </c>
      <c r="Q188" t="inlineStr"/>
    </row>
    <row r="189">
      <c r="A189" t="inlineStr">
        <is>
          <t>CAHYADI GEMILANG SUKSES</t>
        </is>
      </c>
      <c r="B189" t="inlineStr">
        <is>
          <t>Kab. Tangerang</t>
        </is>
      </c>
      <c r="C189" t="inlineStr">
        <is>
          <t>0219505970</t>
        </is>
      </c>
      <c r="D189" t="inlineStr">
        <is>
          <t>cahyadigemilangsukses@gmail.com</t>
        </is>
      </c>
      <c r="E189" t="inlineStr">
        <is>
          <t>https://lpjk.pu.go.id/search-badan-usaha-detail/YkR0aE5oVTVBT2VNR0lMMWhtVE1ydz09</t>
        </is>
      </c>
      <c r="F189" t="n">
        <v>2</v>
      </c>
      <c r="G189" t="inlineStr">
        <is>
          <t>IN001, IN004</t>
        </is>
      </c>
      <c r="H189" t="inlineStr">
        <is>
          <t>17 November 2017</t>
        </is>
      </c>
      <c r="I189" s="2" t="n">
        <v>46334</v>
      </c>
      <c r="J189" t="inlineStr">
        <is>
          <t>Disetujui</t>
        </is>
      </c>
      <c r="K189" t="n">
        <v>87</v>
      </c>
      <c r="L189" t="inlineStr">
        <is>
          <t>8 November 2026</t>
        </is>
      </c>
      <c r="M189" t="inlineStr">
        <is>
          <t>Instalasi Mekanikal, Instalasi Minyak dan Gas</t>
        </is>
      </c>
      <c r="N189" t="inlineStr">
        <is>
          <t>Spesialis</t>
        </is>
      </c>
      <c r="O189" t="inlineStr">
        <is>
          <t>20231017</t>
        </is>
      </c>
      <c r="P189" t="inlineStr">
        <is>
          <t>Banten</t>
        </is>
      </c>
      <c r="Q189" t="inlineStr"/>
    </row>
    <row r="190">
      <c r="A190" t="inlineStr">
        <is>
          <t>CAKRAWALA SURYA RAYA</t>
        </is>
      </c>
      <c r="B190" t="inlineStr">
        <is>
          <t>Kab. Kubu Raya</t>
        </is>
      </c>
      <c r="C190" t="inlineStr">
        <is>
          <t>N/A</t>
        </is>
      </c>
      <c r="D190" t="inlineStr">
        <is>
          <t>N/A</t>
        </is>
      </c>
      <c r="E190" t="inlineStr">
        <is>
          <t>https://lpjk.pu.go.id/search-badan-usaha-detail/ekZnRzJ4d0Eva3hpL2xCL2g1Wmo0Zz09</t>
        </is>
      </c>
      <c r="F190" t="n">
        <v>2</v>
      </c>
      <c r="G190" t="inlineStr">
        <is>
          <t>BG006, BS001</t>
        </is>
      </c>
      <c r="H190" t="inlineStr"/>
      <c r="I190" s="2" t="n">
        <v>46336</v>
      </c>
      <c r="J190" t="inlineStr">
        <is>
          <t>Disetujui</t>
        </is>
      </c>
      <c r="K190" t="n">
        <v>87</v>
      </c>
      <c r="L190" t="inlineStr">
        <is>
          <t>10 November 2026</t>
        </is>
      </c>
      <c r="M190" t="inlineStr">
        <is>
          <t>Konstruksi Bangunan Sipil Jalan, Konstruksi Gedung Pendidikan</t>
        </is>
      </c>
      <c r="N190" t="inlineStr">
        <is>
          <t>M</t>
        </is>
      </c>
      <c r="O190" t="inlineStr">
        <is>
          <t>20231020, 20231107</t>
        </is>
      </c>
      <c r="P190" t="inlineStr">
        <is>
          <t>Kalimantan Barat</t>
        </is>
      </c>
      <c r="Q190" t="inlineStr"/>
    </row>
    <row r="191">
      <c r="A191" t="inlineStr">
        <is>
          <t>CAMPERNIK</t>
        </is>
      </c>
      <c r="B191" t="inlineStr">
        <is>
          <t>Kab. Sumedang</t>
        </is>
      </c>
      <c r="C191" t="inlineStr">
        <is>
          <t>0853 1474 6444</t>
        </is>
      </c>
      <c r="D191" t="inlineStr">
        <is>
          <t>campernik.cv@gmail.com</t>
        </is>
      </c>
      <c r="E191" t="inlineStr">
        <is>
          <t>https://lpjk.pu.go.id/search-badan-usaha-detail/aFZtSG9WUGZBN0JmWGE1b08yOTBKUT09</t>
        </is>
      </c>
      <c r="F191" t="n">
        <v>2</v>
      </c>
      <c r="G191" t="inlineStr">
        <is>
          <t>BS001, BS002</t>
        </is>
      </c>
      <c r="H191" t="inlineStr">
        <is>
          <t>29 Januari 2015</t>
        </is>
      </c>
      <c r="I191" s="2" t="n">
        <v>46334</v>
      </c>
      <c r="J191" t="inlineStr">
        <is>
          <t>Disetujui</t>
        </is>
      </c>
      <c r="K191" t="n">
        <v>87</v>
      </c>
      <c r="L191" t="inlineStr">
        <is>
          <t>8 November 2026</t>
        </is>
      </c>
      <c r="M191" t="inlineStr">
        <is>
          <t>Bangunan Sipil Jembatan, Jalan Layang, Fly Over, dan Underpass, Konstruksi Bangunan Sipil Jalan</t>
        </is>
      </c>
      <c r="N191" t="inlineStr">
        <is>
          <t>K</t>
        </is>
      </c>
      <c r="O191" t="inlineStr">
        <is>
          <t>20231109</t>
        </is>
      </c>
      <c r="P191" t="inlineStr">
        <is>
          <t>Jawa Barat</t>
        </is>
      </c>
      <c r="Q191" t="inlineStr"/>
    </row>
    <row r="192">
      <c r="A192" t="inlineStr">
        <is>
          <t>CATUR BANGKITJAYA MITRA</t>
        </is>
      </c>
      <c r="B192" t="inlineStr">
        <is>
          <t>Kota Adm. Jakarta Utara</t>
        </is>
      </c>
      <c r="C192" t="inlineStr">
        <is>
          <t>02145855520</t>
        </is>
      </c>
      <c r="D192" t="inlineStr">
        <is>
          <t>caturbangkitjayamitra@gmail.com</t>
        </is>
      </c>
      <c r="E192" t="inlineStr">
        <is>
          <t>https://lpjk.pu.go.id/search-badan-usaha-detail/R0VHaEljTm9wZEt4VzFRZW5IaWt2UT09</t>
        </is>
      </c>
      <c r="F192" t="n">
        <v>1</v>
      </c>
      <c r="G192" t="inlineStr">
        <is>
          <t>PL003</t>
        </is>
      </c>
      <c r="H192" t="inlineStr">
        <is>
          <t>31 Oktober 2023</t>
        </is>
      </c>
      <c r="I192" s="2" t="n">
        <v>46334</v>
      </c>
      <c r="J192" t="inlineStr">
        <is>
          <t>Disetujui</t>
        </is>
      </c>
      <c r="K192" t="n">
        <v>87</v>
      </c>
      <c r="L192" t="inlineStr">
        <is>
          <t>8 November 2026</t>
        </is>
      </c>
      <c r="M192" t="inlineStr">
        <is>
          <t>Penyiapan Lahan Konstruksi</t>
        </is>
      </c>
      <c r="N192" t="inlineStr">
        <is>
          <t>Spesialis</t>
        </is>
      </c>
      <c r="O192" t="inlineStr">
        <is>
          <t>20231102</t>
        </is>
      </c>
      <c r="P192" t="inlineStr">
        <is>
          <t>DKI Jakarta</t>
        </is>
      </c>
      <c r="Q192" t="inlineStr"/>
    </row>
    <row r="193">
      <c r="A193" t="inlineStr">
        <is>
          <t>CEMPAKA JAYANINDO</t>
        </is>
      </c>
      <c r="B193" t="inlineStr">
        <is>
          <t>Kota Adm. Jakarta Selatan</t>
        </is>
      </c>
      <c r="C193" t="inlineStr">
        <is>
          <t>02183786076</t>
        </is>
      </c>
      <c r="D193" t="inlineStr">
        <is>
          <t>cempaka_jayanindo@hotmail.com</t>
        </is>
      </c>
      <c r="E193" t="inlineStr">
        <is>
          <t>https://lpjk.pu.go.id/search-badan-usaha-detail/SjQ5WnphRzdhM1VBSGJXL3pYMjBOQT09</t>
        </is>
      </c>
      <c r="F193" t="n">
        <v>1</v>
      </c>
      <c r="G193" t="inlineStr">
        <is>
          <t>BS001</t>
        </is>
      </c>
      <c r="H193" t="inlineStr">
        <is>
          <t>23 Januari 2006</t>
        </is>
      </c>
      <c r="I193" s="2" t="n">
        <v>46335</v>
      </c>
      <c r="J193" t="inlineStr">
        <is>
          <t>Disetujui</t>
        </is>
      </c>
      <c r="K193" t="n">
        <v>87</v>
      </c>
      <c r="L193" t="inlineStr">
        <is>
          <t>9 November 2026</t>
        </is>
      </c>
      <c r="M193" t="inlineStr">
        <is>
          <t>Konstruksi Bangunan Sipil Jalan</t>
        </is>
      </c>
      <c r="N193" t="inlineStr">
        <is>
          <t>K</t>
        </is>
      </c>
      <c r="O193" t="inlineStr">
        <is>
          <t>20231025</t>
        </is>
      </c>
      <c r="P193" t="inlineStr">
        <is>
          <t>DKI Jakarta</t>
        </is>
      </c>
      <c r="Q193" t="inlineStr"/>
    </row>
    <row r="194">
      <c r="A194" t="inlineStr">
        <is>
          <t>CEMPAKA MAS SEJATI</t>
        </is>
      </c>
      <c r="B194" t="inlineStr">
        <is>
          <t>Kota Bandar Lampung</t>
        </is>
      </c>
      <c r="C194" t="inlineStr">
        <is>
          <t>82281153879</t>
        </is>
      </c>
      <c r="D194" t="inlineStr">
        <is>
          <t>ptcempakamassejati@yahoo.com</t>
        </is>
      </c>
      <c r="E194" t="inlineStr">
        <is>
          <t>https://lpjk.pu.go.id/search-badan-usaha-detail/UVgvcVhLS3pQcHF4bFBXWTJrbCttUT09</t>
        </is>
      </c>
      <c r="F194" t="n">
        <v>1</v>
      </c>
      <c r="G194" t="inlineStr">
        <is>
          <t>BS004</t>
        </is>
      </c>
      <c r="H194" t="inlineStr">
        <is>
          <t>21 November 2005</t>
        </is>
      </c>
      <c r="I194" s="2" t="n">
        <v>46336</v>
      </c>
      <c r="J194" t="inlineStr">
        <is>
          <t>Disetujui</t>
        </is>
      </c>
      <c r="K194" t="n">
        <v>87</v>
      </c>
      <c r="L194" t="inlineStr">
        <is>
          <t>10 November 2026</t>
        </is>
      </c>
      <c r="M194" t="inlineStr">
        <is>
          <t>Konstruksi Jaringan Irigasi dan Drainase</t>
        </is>
      </c>
      <c r="N194" t="inlineStr">
        <is>
          <t>K</t>
        </is>
      </c>
      <c r="O194" t="inlineStr">
        <is>
          <t>20231027</t>
        </is>
      </c>
      <c r="P194" t="inlineStr">
        <is>
          <t>Lampung</t>
        </is>
      </c>
      <c r="Q194" t="inlineStr"/>
    </row>
    <row r="195">
      <c r="A195" t="inlineStr">
        <is>
          <t>CHANDRA MITRA STRUKTURINDO</t>
        </is>
      </c>
      <c r="B195" t="inlineStr">
        <is>
          <t>Kota Adm. Jakarta Utara</t>
        </is>
      </c>
      <c r="C195" t="inlineStr">
        <is>
          <t>08158788859</t>
        </is>
      </c>
      <c r="D195" t="inlineStr">
        <is>
          <t>chandra.mitra.strukturindo@gmail.com</t>
        </is>
      </c>
      <c r="E195" t="inlineStr">
        <is>
          <t>https://lpjk.pu.go.id/search-badan-usaha-detail/T0JaUU1ENHVjQVpudjluRXhYd3dvQT09</t>
        </is>
      </c>
      <c r="F195" t="n">
        <v>1</v>
      </c>
      <c r="G195" t="inlineStr">
        <is>
          <t>BG008</t>
        </is>
      </c>
      <c r="H195" t="inlineStr">
        <is>
          <t>23 Februari 2022</t>
        </is>
      </c>
      <c r="I195" s="2" t="n">
        <v>46335</v>
      </c>
      <c r="J195" t="inlineStr">
        <is>
          <t>Disetujui</t>
        </is>
      </c>
      <c r="K195" t="n">
        <v>87</v>
      </c>
      <c r="L195" t="inlineStr">
        <is>
          <t>9 November 2026</t>
        </is>
      </c>
      <c r="M195" t="inlineStr">
        <is>
          <t>Konstruksi Gedung Tempat Hiburan dan Olahraga</t>
        </is>
      </c>
      <c r="N195" t="inlineStr">
        <is>
          <t>K</t>
        </is>
      </c>
      <c r="O195" t="inlineStr">
        <is>
          <t>20231107</t>
        </is>
      </c>
      <c r="P195" t="inlineStr">
        <is>
          <t>DKI Jakarta</t>
        </is>
      </c>
      <c r="Q195" t="inlineStr"/>
    </row>
    <row r="196">
      <c r="A196" t="inlineStr">
        <is>
          <t>CHELSI PERDANA</t>
        </is>
      </c>
      <c r="B196" t="inlineStr">
        <is>
          <t>Kab. Morowali Utara</t>
        </is>
      </c>
      <c r="C196" t="inlineStr">
        <is>
          <t>082188356867</t>
        </is>
      </c>
      <c r="D196" t="inlineStr">
        <is>
          <t>cvchelsiperdana26@gmail.com</t>
        </is>
      </c>
      <c r="E196" t="inlineStr">
        <is>
          <t>https://lpjk.pu.go.id/search-badan-usaha-detail/WXdXWk8zUWE1TjdNNHlZajNzQ1U2Zz09</t>
        </is>
      </c>
      <c r="F196" t="n">
        <v>4</v>
      </c>
      <c r="G196" t="inlineStr">
        <is>
          <t>BG001, BG005, BG006, BS001</t>
        </is>
      </c>
      <c r="H196" t="inlineStr">
        <is>
          <t>9 Mei 2019</t>
        </is>
      </c>
      <c r="I196" s="2" t="n">
        <v>46338</v>
      </c>
      <c r="J196" t="inlineStr">
        <is>
          <t>Disetujui</t>
        </is>
      </c>
      <c r="K196" t="n">
        <v>87</v>
      </c>
      <c r="L196" t="inlineStr">
        <is>
          <t>12 November 2026</t>
        </is>
      </c>
      <c r="M196" t="inlineStr">
        <is>
          <t>Konstruksi Bangunan Sipil Jalan, Konstruksi Gedung Hunian, Konstruksi Gedung Kesehatan, Konstruksi Gedung Pendidikan</t>
        </is>
      </c>
      <c r="N196" t="inlineStr">
        <is>
          <t>K</t>
        </is>
      </c>
      <c r="O196" t="inlineStr">
        <is>
          <t>20231110</t>
        </is>
      </c>
      <c r="P196" t="inlineStr">
        <is>
          <t>Sulawesi Tengah</t>
        </is>
      </c>
      <c r="Q196" t="inlineStr"/>
    </row>
    <row r="197">
      <c r="A197" t="inlineStr">
        <is>
          <t>CIPTA ADI GRAHA</t>
        </is>
      </c>
      <c r="B197" t="inlineStr">
        <is>
          <t>Kota Pekanbaru</t>
        </is>
      </c>
      <c r="C197" t="inlineStr">
        <is>
          <t>081378754298</t>
        </is>
      </c>
      <c r="D197" t="inlineStr">
        <is>
          <t>ciptadigrha@yahoo.co.id</t>
        </is>
      </c>
      <c r="E197" t="inlineStr">
        <is>
          <t>https://lpjk.pu.go.id/search-badan-usaha-detail/WnI1ejJqTnBlNFhvbXZ4aE9pOXZHdz09</t>
        </is>
      </c>
      <c r="F197" t="n">
        <v>2</v>
      </c>
      <c r="G197" t="inlineStr">
        <is>
          <t>BS001</t>
        </is>
      </c>
      <c r="H197" t="inlineStr">
        <is>
          <t>24 Juni 2013</t>
        </is>
      </c>
      <c r="I197" s="2" t="n">
        <v>46335</v>
      </c>
      <c r="J197" t="inlineStr">
        <is>
          <t>Pencabutan</t>
        </is>
      </c>
      <c r="K197" t="n">
        <v>87</v>
      </c>
      <c r="L197" t="inlineStr">
        <is>
          <t>9 November 2026</t>
        </is>
      </c>
      <c r="M197" t="inlineStr">
        <is>
          <t>Konstruksi Bangunan Sipil Jalan</t>
        </is>
      </c>
      <c r="N197" t="inlineStr">
        <is>
          <t>K</t>
        </is>
      </c>
      <c r="O197" t="inlineStr">
        <is>
          <t>20231110</t>
        </is>
      </c>
      <c r="P197" t="inlineStr">
        <is>
          <t>Riau</t>
        </is>
      </c>
      <c r="Q197" t="inlineStr"/>
    </row>
    <row r="198">
      <c r="A198" t="inlineStr">
        <is>
          <t>CIPTA BAJATAMA JAYA</t>
        </is>
      </c>
      <c r="B198" t="inlineStr">
        <is>
          <t>Kota Adm. Jakarta Barat</t>
        </is>
      </c>
      <c r="C198" t="inlineStr">
        <is>
          <t>02154333701</t>
        </is>
      </c>
      <c r="D198" t="inlineStr">
        <is>
          <t>ciptabaja@yahoo.com</t>
        </is>
      </c>
      <c r="E198" t="inlineStr">
        <is>
          <t>https://lpjk.pu.go.id/search-badan-usaha-detail/VC9rR3VQcXMwQ2FrWDZNRzlRZTE3QT09</t>
        </is>
      </c>
      <c r="F198" t="n">
        <v>6</v>
      </c>
      <c r="G198" t="inlineStr">
        <is>
          <t>BG001, BG002, BG003</t>
        </is>
      </c>
      <c r="H198" t="inlineStr">
        <is>
          <t>29 September 2014</t>
        </is>
      </c>
      <c r="I198" s="2" t="n">
        <v>46338</v>
      </c>
      <c r="J198" t="inlineStr">
        <is>
          <t>Disetujui</t>
        </is>
      </c>
      <c r="K198" t="n">
        <v>87</v>
      </c>
      <c r="L198" t="inlineStr">
        <is>
          <t>12 November 2026</t>
        </is>
      </c>
      <c r="M198" t="inlineStr">
        <is>
          <t>Konstruksi Gedung Hunian, Konstruksi Gedung Industri, Konstruksi Gedung Perkantoran</t>
        </is>
      </c>
      <c r="N198" t="inlineStr">
        <is>
          <t>K</t>
        </is>
      </c>
      <c r="O198" t="inlineStr">
        <is>
          <t>20231112</t>
        </is>
      </c>
      <c r="P198" t="inlineStr">
        <is>
          <t>DKI Jakarta</t>
        </is>
      </c>
      <c r="Q198" t="inlineStr"/>
    </row>
    <row r="199">
      <c r="A199" t="inlineStr">
        <is>
          <t>CIPTA BANGUN NUSANTARA</t>
        </is>
      </c>
      <c r="B199" t="inlineStr">
        <is>
          <t>Kota Sukabumi</t>
        </is>
      </c>
      <c r="C199" t="inlineStr">
        <is>
          <t>02666247273</t>
        </is>
      </c>
      <c r="D199" t="inlineStr">
        <is>
          <t>information@cbn-epcm.com</t>
        </is>
      </c>
      <c r="E199" t="inlineStr">
        <is>
          <t>https://lpjk.pu.go.id/search-badan-usaha-detail/eWUwSjhrVVFGaytzYWd6aFFJVThIWnVMM1cramVEcno5bzh6WlQ4NzdBND0</t>
        </is>
      </c>
      <c r="F199" t="n">
        <v>2</v>
      </c>
      <c r="G199" t="inlineStr">
        <is>
          <t>ST008</t>
        </is>
      </c>
      <c r="H199" t="inlineStr">
        <is>
          <t>24 Februari 2023</t>
        </is>
      </c>
      <c r="I199" s="2" t="n">
        <v>46339</v>
      </c>
      <c r="J199" t="inlineStr">
        <is>
          <t>Disetujui</t>
        </is>
      </c>
      <c r="K199" t="n">
        <v>87</v>
      </c>
      <c r="L199" t="inlineStr">
        <is>
          <t>13 November 2026</t>
        </is>
      </c>
      <c r="M199" t="inlineStr">
        <is>
          <t>Konstruksi Bangunan Sipil Panas Bumi</t>
        </is>
      </c>
      <c r="N199" t="inlineStr">
        <is>
          <t>B</t>
        </is>
      </c>
      <c r="O199" t="inlineStr">
        <is>
          <t>20220127</t>
        </is>
      </c>
      <c r="P199" t="inlineStr">
        <is>
          <t>Jawa Barat</t>
        </is>
      </c>
      <c r="Q199" t="inlineStr"/>
    </row>
    <row r="200">
      <c r="A200" t="inlineStr">
        <is>
          <t>CIPTA DYTAMA</t>
        </is>
      </c>
      <c r="B200" t="inlineStr">
        <is>
          <t>Kota Surabaya</t>
        </is>
      </c>
      <c r="C200" t="inlineStr">
        <is>
          <t>08133639417</t>
        </is>
      </c>
      <c r="D200" t="inlineStr">
        <is>
          <t>cvciptadytama2@outlook.com</t>
        </is>
      </c>
      <c r="E200" t="inlineStr">
        <is>
          <t>https://lpjk.pu.go.id/search-badan-usaha-detail/R2J2ckFGS0FodjJPQ3RVU3QrcVRyZz09</t>
        </is>
      </c>
      <c r="F200" t="n">
        <v>4</v>
      </c>
      <c r="G200" t="inlineStr">
        <is>
          <t>BG003, BG009</t>
        </is>
      </c>
      <c r="H200" t="inlineStr">
        <is>
          <t>28 September 1995</t>
        </is>
      </c>
      <c r="I200" s="2" t="n">
        <v>46339</v>
      </c>
      <c r="J200" t="inlineStr">
        <is>
          <t>Disetujui</t>
        </is>
      </c>
      <c r="K200" t="n">
        <v>87</v>
      </c>
      <c r="L200" t="inlineStr">
        <is>
          <t>13 November 2026</t>
        </is>
      </c>
      <c r="M200" t="inlineStr">
        <is>
          <t>Konstruksi Gedung Industri, Konstruksi Gedung Lainnya</t>
        </is>
      </c>
      <c r="N200" t="inlineStr">
        <is>
          <t>K</t>
        </is>
      </c>
      <c r="O200" t="inlineStr">
        <is>
          <t>20231110</t>
        </is>
      </c>
      <c r="P200" t="inlineStr">
        <is>
          <t>Jawa Timur</t>
        </is>
      </c>
      <c r="Q200" t="inlineStr"/>
    </row>
    <row r="201">
      <c r="A201" t="inlineStr">
        <is>
          <t>CIPTA KARSA BUMI LESTARI</t>
        </is>
      </c>
      <c r="B201" t="inlineStr">
        <is>
          <t>Kota Surabaya</t>
        </is>
      </c>
      <c r="C201" t="inlineStr">
        <is>
          <t>0318280593</t>
        </is>
      </c>
      <c r="D201" t="inlineStr">
        <is>
          <t>ptcipta2006_sing@yahoo.com</t>
        </is>
      </c>
      <c r="E201" t="inlineStr">
        <is>
          <t>https://lpjk.pu.go.id/search-badan-usaha-detail/azNJNzJ5K3JaSGNWcjA3Zi9kYXNhdz09</t>
        </is>
      </c>
      <c r="F201" t="n">
        <v>2</v>
      </c>
      <c r="G201" t="inlineStr">
        <is>
          <t>BS001</t>
        </is>
      </c>
      <c r="H201" t="inlineStr">
        <is>
          <t>4 Oktober 1999</t>
        </is>
      </c>
      <c r="I201" s="2" t="n">
        <v>46339</v>
      </c>
      <c r="J201" t="inlineStr">
        <is>
          <t>Disetujui</t>
        </is>
      </c>
      <c r="K201" t="n">
        <v>87</v>
      </c>
      <c r="L201" t="inlineStr">
        <is>
          <t>13 November 2026</t>
        </is>
      </c>
      <c r="M201" t="inlineStr">
        <is>
          <t>Konstruksi Bangunan Sipil Jalan</t>
        </is>
      </c>
      <c r="N201" t="inlineStr">
        <is>
          <t>M</t>
        </is>
      </c>
      <c r="O201" t="inlineStr">
        <is>
          <t>20231109</t>
        </is>
      </c>
      <c r="P201" t="inlineStr">
        <is>
          <t>Jawa Timur</t>
        </is>
      </c>
      <c r="Q201" t="inlineStr"/>
    </row>
    <row r="202">
      <c r="A202" t="inlineStr">
        <is>
          <t>CIPTA KARYA EMAS</t>
        </is>
      </c>
      <c r="B202" t="inlineStr">
        <is>
          <t>Kota Adm. Jakarta Utara</t>
        </is>
      </c>
      <c r="C202" t="inlineStr">
        <is>
          <t>02129376178</t>
        </is>
      </c>
      <c r="D202" t="inlineStr">
        <is>
          <t>ciptakaryaemas01@gmail.com</t>
        </is>
      </c>
      <c r="E202" t="inlineStr">
        <is>
          <t>https://lpjk.pu.go.id/search-badan-usaha-detail/VEp0Y2VEdVdCVmVKSi90cnplWXp6UT09</t>
        </is>
      </c>
      <c r="F202" t="n">
        <v>2</v>
      </c>
      <c r="G202" t="inlineStr">
        <is>
          <t>BG005</t>
        </is>
      </c>
      <c r="H202" t="inlineStr">
        <is>
          <t>1 Februari 2023</t>
        </is>
      </c>
      <c r="I202" s="2" t="n">
        <v>46334</v>
      </c>
      <c r="J202" t="inlineStr">
        <is>
          <t>Disetujui</t>
        </is>
      </c>
      <c r="K202" t="n">
        <v>87</v>
      </c>
      <c r="L202" t="inlineStr">
        <is>
          <t>8 November 2026</t>
        </is>
      </c>
      <c r="M202" t="inlineStr">
        <is>
          <t>Konstruksi Gedung Kesehatan</t>
        </is>
      </c>
      <c r="N202" t="inlineStr">
        <is>
          <t>K</t>
        </is>
      </c>
      <c r="O202" t="inlineStr">
        <is>
          <t>20231109</t>
        </is>
      </c>
      <c r="P202" t="inlineStr">
        <is>
          <t>DKI Jakarta</t>
        </is>
      </c>
      <c r="Q202" t="inlineStr"/>
    </row>
    <row r="203">
      <c r="A203" t="inlineStr">
        <is>
          <t>CIPTA KIYAT ADIJAYA</t>
        </is>
      </c>
      <c r="B203" t="inlineStr">
        <is>
          <t>Kota Adm. Jakarta Selatan</t>
        </is>
      </c>
      <c r="C203" t="inlineStr">
        <is>
          <t>0218706656</t>
        </is>
      </c>
      <c r="D203" t="inlineStr">
        <is>
          <t>ciptakiyat.adijaya@gmail.com</t>
        </is>
      </c>
      <c r="E203" t="inlineStr">
        <is>
          <t>https://lpjk.pu.go.id/search-badan-usaha-detail/UHR1cFVKSWwyaFNnQWkyaXRZL3FOUT09</t>
        </is>
      </c>
      <c r="F203" t="n">
        <v>8</v>
      </c>
      <c r="G203" t="inlineStr">
        <is>
          <t>BG001, BG004, BG005, BG006</t>
        </is>
      </c>
      <c r="H203" t="inlineStr">
        <is>
          <t>20 Maret 2023</t>
        </is>
      </c>
      <c r="I203" s="2" t="n">
        <v>46336</v>
      </c>
      <c r="J203" t="inlineStr">
        <is>
          <t>Pembekuan, Pencabutan</t>
        </is>
      </c>
      <c r="K203" t="n">
        <v>87</v>
      </c>
      <c r="L203" t="inlineStr">
        <is>
          <t>10 November 2026</t>
        </is>
      </c>
      <c r="M203" t="inlineStr">
        <is>
          <t>Konstruksi Gedung Hunian, Konstruksi Gedung Kesehatan, Konstruksi Gedung Pendidikan, Konstruksi Gedung Perbelanjaan</t>
        </is>
      </c>
      <c r="N203" t="inlineStr">
        <is>
          <t>K, M</t>
        </is>
      </c>
      <c r="O203" t="inlineStr">
        <is>
          <t>20231111</t>
        </is>
      </c>
      <c r="P203" t="inlineStr">
        <is>
          <t>DKI Jakarta</t>
        </is>
      </c>
      <c r="Q203" t="inlineStr"/>
    </row>
    <row r="204">
      <c r="A204" t="inlineStr">
        <is>
          <t>CIPTA MAKMUR BLAMBANGAN</t>
        </is>
      </c>
      <c r="B204" t="inlineStr">
        <is>
          <t>Kab. Banyuwangi</t>
        </is>
      </c>
      <c r="C204" t="inlineStr">
        <is>
          <t>082302091008</t>
        </is>
      </c>
      <c r="D204" t="inlineStr">
        <is>
          <t>ciptamakmurblambangan.2020@gmail.com</t>
        </is>
      </c>
      <c r="E204" t="inlineStr">
        <is>
          <t>https://lpjk.pu.go.id/search-badan-usaha-detail/VzduSmwvNjdpak9wcVBrVEluZTBxUT09</t>
        </is>
      </c>
      <c r="F204" t="n">
        <v>4</v>
      </c>
      <c r="G204" t="inlineStr">
        <is>
          <t>RK001, RK002</t>
        </is>
      </c>
      <c r="H204" t="inlineStr">
        <is>
          <t>7 Februari 2020</t>
        </is>
      </c>
      <c r="I204" s="2" t="n">
        <v>46338</v>
      </c>
      <c r="J204" t="inlineStr">
        <is>
          <t>Disetujui, Pencabutan</t>
        </is>
      </c>
      <c r="K204" t="n">
        <v>87</v>
      </c>
      <c r="L204" t="inlineStr">
        <is>
          <t>12 November 2026</t>
        </is>
      </c>
      <c r="M204" t="inlineStr">
        <is>
          <t>Jasa Rekayasa Konstruksi Bangunan Gedung Hunian dan Non Hunian, Jasa Rekayasa Pekerjaan Teknik Sipil Sumber Daya Air</t>
        </is>
      </c>
      <c r="N204" t="inlineStr">
        <is>
          <t>K</t>
        </is>
      </c>
      <c r="O204" t="inlineStr">
        <is>
          <t>20231103, 20231107</t>
        </is>
      </c>
      <c r="P204" t="inlineStr">
        <is>
          <t>Jawa Timur</t>
        </is>
      </c>
      <c r="Q204" t="inlineStr"/>
    </row>
    <row r="205">
      <c r="A205" t="inlineStr">
        <is>
          <t>CIPTA MULTI KONSTRUKSINDO</t>
        </is>
      </c>
      <c r="B205" t="inlineStr">
        <is>
          <t>Kab. Malang</t>
        </is>
      </c>
      <c r="C205" t="inlineStr">
        <is>
          <t>03413021118</t>
        </is>
      </c>
      <c r="D205" t="inlineStr">
        <is>
          <t>ciptamultikonstruksindo@gmail.com</t>
        </is>
      </c>
      <c r="E205" t="inlineStr">
        <is>
          <t>https://lpjk.pu.go.id/search-badan-usaha-detail/RmhrdWVjYnlMVVZDbEUvaUh5RjNXUT09</t>
        </is>
      </c>
      <c r="F205" t="n">
        <v>4</v>
      </c>
      <c r="G205" t="inlineStr">
        <is>
          <t>BG001, BG002, BG005, BG009</t>
        </is>
      </c>
      <c r="H205" t="inlineStr">
        <is>
          <t>22 Juni 2012</t>
        </is>
      </c>
      <c r="I205" s="2" t="n">
        <v>46339</v>
      </c>
      <c r="J205" t="inlineStr">
        <is>
          <t>Disetujui</t>
        </is>
      </c>
      <c r="K205" t="n">
        <v>87</v>
      </c>
      <c r="L205" t="inlineStr">
        <is>
          <t>13 November 2026</t>
        </is>
      </c>
      <c r="M205" t="inlineStr">
        <is>
          <t>Konstruksi Gedung Hunian, Konstruksi Gedung Kesehatan, Konstruksi Gedung Lainnya, Konstruksi Gedung Perkantoran</t>
        </is>
      </c>
      <c r="N205" t="inlineStr">
        <is>
          <t>K</t>
        </is>
      </c>
      <c r="O205" t="inlineStr">
        <is>
          <t>20231111</t>
        </is>
      </c>
      <c r="P205" t="inlineStr">
        <is>
          <t>Jawa Timur</t>
        </is>
      </c>
      <c r="Q205" t="inlineStr"/>
    </row>
    <row r="206">
      <c r="A206" t="inlineStr">
        <is>
          <t>CIPTA PERSADA DEVELOPMENT</t>
        </is>
      </c>
      <c r="B206" t="inlineStr">
        <is>
          <t>Kota Tangerang Selatan</t>
        </is>
      </c>
      <c r="C206" t="inlineStr">
        <is>
          <t>0215854154</t>
        </is>
      </c>
      <c r="D206" t="inlineStr">
        <is>
          <t>pt.ciptadevelopment@gmail.com</t>
        </is>
      </c>
      <c r="E206" t="inlineStr">
        <is>
          <t>https://lpjk.pu.go.id/search-badan-usaha-detail/NjhkSUlSK2RUK3J2T0ZRV09HcytTdz09</t>
        </is>
      </c>
      <c r="F206" t="n">
        <v>6</v>
      </c>
      <c r="G206" t="inlineStr">
        <is>
          <t>BG002, BG009, PB004</t>
        </is>
      </c>
      <c r="H206" t="inlineStr">
        <is>
          <t>24 Desember 2009</t>
        </is>
      </c>
      <c r="I206" s="2" t="n">
        <v>46340</v>
      </c>
      <c r="J206" t="inlineStr">
        <is>
          <t>Disetujui</t>
        </is>
      </c>
      <c r="K206" t="n">
        <v>87</v>
      </c>
      <c r="L206" t="inlineStr">
        <is>
          <t>14 November 2026</t>
        </is>
      </c>
      <c r="M206" t="inlineStr">
        <is>
          <t>Dekorasi Interior, Konstruksi Gedung Lainnya, Konstruksi Gedung Perkantoran</t>
        </is>
      </c>
      <c r="N206" t="inlineStr">
        <is>
          <t>K, Spesialis</t>
        </is>
      </c>
      <c r="O206" t="inlineStr">
        <is>
          <t>20231109</t>
        </is>
      </c>
      <c r="P206" t="inlineStr">
        <is>
          <t>Banten</t>
        </is>
      </c>
      <c r="Q206" t="inlineStr"/>
    </row>
    <row r="207">
      <c r="A207" t="inlineStr">
        <is>
          <t>CITRA</t>
        </is>
      </c>
      <c r="B207" t="inlineStr">
        <is>
          <t>Kab. Banyuwangi</t>
        </is>
      </c>
      <c r="C207" t="inlineStr">
        <is>
          <t>081231523509</t>
        </is>
      </c>
      <c r="D207" t="inlineStr">
        <is>
          <t>citrasejahtera525@gmail.com</t>
        </is>
      </c>
      <c r="E207" t="inlineStr">
        <is>
          <t>https://lpjk.pu.go.id/search-badan-usaha-detail/SnFGN0JNVTZuUXllSWdQUzBsOVB0QT09</t>
        </is>
      </c>
      <c r="F207" t="n">
        <v>1</v>
      </c>
      <c r="G207" t="inlineStr">
        <is>
          <t>BS005</t>
        </is>
      </c>
      <c r="H207" t="inlineStr">
        <is>
          <t>2 Oktober 1987</t>
        </is>
      </c>
      <c r="I207" s="2" t="n">
        <v>46338</v>
      </c>
      <c r="J207" t="inlineStr">
        <is>
          <t>Disetujui</t>
        </is>
      </c>
      <c r="K207" t="n">
        <v>87</v>
      </c>
      <c r="L207" t="inlineStr">
        <is>
          <t>12 November 2026</t>
        </is>
      </c>
      <c r="M207" t="inlineStr">
        <is>
          <t>Konstruksi Bangunan Sipil Pengolahan Air Bersih</t>
        </is>
      </c>
      <c r="N207" t="inlineStr">
        <is>
          <t>K</t>
        </is>
      </c>
      <c r="O207" t="inlineStr">
        <is>
          <t>20231111</t>
        </is>
      </c>
      <c r="P207" t="inlineStr">
        <is>
          <t>Jawa Timur</t>
        </is>
      </c>
      <c r="Q207" t="inlineStr"/>
    </row>
    <row r="208">
      <c r="A208" t="inlineStr">
        <is>
          <t>CITRA INDAH PERDANA</t>
        </is>
      </c>
      <c r="B208" t="inlineStr">
        <is>
          <t>Kota Adm. Jakarta Barat</t>
        </is>
      </c>
      <c r="C208" t="inlineStr">
        <is>
          <t>02129030893</t>
        </is>
      </c>
      <c r="D208" t="inlineStr">
        <is>
          <t>citraindah.p@gmail.com</t>
        </is>
      </c>
      <c r="E208" t="inlineStr">
        <is>
          <t>https://lpjk.pu.go.id/search-badan-usaha-detail/YkZ6dFNpWUYrL2N4dDFZM0pFRll2dz09</t>
        </is>
      </c>
      <c r="F208" t="n">
        <v>2</v>
      </c>
      <c r="G208" t="inlineStr">
        <is>
          <t>BG002, BG009</t>
        </is>
      </c>
      <c r="H208" t="inlineStr">
        <is>
          <t>1 Maret 2002</t>
        </is>
      </c>
      <c r="I208" s="2" t="n">
        <v>46340</v>
      </c>
      <c r="J208" t="inlineStr">
        <is>
          <t>Pencabutan</t>
        </is>
      </c>
      <c r="K208" t="n">
        <v>87</v>
      </c>
      <c r="L208" t="inlineStr">
        <is>
          <t>14 November 2026</t>
        </is>
      </c>
      <c r="M208" t="inlineStr">
        <is>
          <t>Konstruksi Gedung Lainnya, Konstruksi Gedung Perkantoran</t>
        </is>
      </c>
      <c r="N208" t="inlineStr">
        <is>
          <t>K</t>
        </is>
      </c>
      <c r="O208" t="inlineStr">
        <is>
          <t>20231101</t>
        </is>
      </c>
      <c r="P208" t="inlineStr">
        <is>
          <t>DKI Jakarta</t>
        </is>
      </c>
      <c r="Q208" t="inlineStr"/>
    </row>
    <row r="209">
      <c r="A209" t="inlineStr">
        <is>
          <t>CITRA PUTERA LATERANG</t>
        </is>
      </c>
      <c r="B209" t="inlineStr">
        <is>
          <t>Kota Makassar</t>
        </is>
      </c>
      <c r="C209" t="inlineStr">
        <is>
          <t>0811419156</t>
        </is>
      </c>
      <c r="D209" t="inlineStr">
        <is>
          <t>laterang@yahoo.co.id</t>
        </is>
      </c>
      <c r="E209" t="inlineStr">
        <is>
          <t>https://lpjk.pu.go.id/search-badan-usaha-detail/VHlQR3hpbUR5c2Y3V2RNMUtXQXFFUT09</t>
        </is>
      </c>
      <c r="F209" t="n">
        <v>2</v>
      </c>
      <c r="G209" t="inlineStr">
        <is>
          <t>BG004, BS004</t>
        </is>
      </c>
      <c r="H209" t="inlineStr">
        <is>
          <t>22 Mei 1999</t>
        </is>
      </c>
      <c r="I209" s="2" t="n">
        <v>46335</v>
      </c>
      <c r="J209" t="inlineStr">
        <is>
          <t>Pembekuan, Pencabutan</t>
        </is>
      </c>
      <c r="K209" t="n">
        <v>87</v>
      </c>
      <c r="L209" t="inlineStr">
        <is>
          <t>9 November 2026</t>
        </is>
      </c>
      <c r="M209" t="inlineStr">
        <is>
          <t>Konstruksi Gedung Perbelanjaan, Konstruksi Jaringan Irigasi dan Drainase</t>
        </is>
      </c>
      <c r="N209" t="inlineStr">
        <is>
          <t>M</t>
        </is>
      </c>
      <c r="O209" t="inlineStr">
        <is>
          <t>20231018</t>
        </is>
      </c>
      <c r="P209" t="inlineStr">
        <is>
          <t>Sulawesi Selatan</t>
        </is>
      </c>
      <c r="Q209" t="inlineStr"/>
    </row>
    <row r="210">
      <c r="A210" t="inlineStr">
        <is>
          <t>CITRA SURYA BHANGUN PERKASHA</t>
        </is>
      </c>
      <c r="B210" t="inlineStr">
        <is>
          <t>Kota Surabaya</t>
        </is>
      </c>
      <c r="C210" t="inlineStr">
        <is>
          <t>0317661909</t>
        </is>
      </c>
      <c r="D210" t="inlineStr">
        <is>
          <t>suryabhangun@gmail.com</t>
        </is>
      </c>
      <c r="E210" t="inlineStr">
        <is>
          <t>https://lpjk.pu.go.id/search-badan-usaha-detail/ck1rUWQ4S3dHa2E4QmJPU2krMGM5UT09</t>
        </is>
      </c>
      <c r="F210" t="n">
        <v>2</v>
      </c>
      <c r="G210" t="inlineStr">
        <is>
          <t>BG003, BG009</t>
        </is>
      </c>
      <c r="H210" t="inlineStr">
        <is>
          <t>23 Juli 2001</t>
        </is>
      </c>
      <c r="I210" s="2" t="n">
        <v>46338</v>
      </c>
      <c r="J210" t="inlineStr">
        <is>
          <t>Disetujui</t>
        </is>
      </c>
      <c r="K210" t="n">
        <v>87</v>
      </c>
      <c r="L210" t="inlineStr">
        <is>
          <t>12 November 2026</t>
        </is>
      </c>
      <c r="M210" t="inlineStr">
        <is>
          <t>Konstruksi Gedung Industri, Konstruksi Gedung Lainnya</t>
        </is>
      </c>
      <c r="N210" t="inlineStr">
        <is>
          <t>K</t>
        </is>
      </c>
      <c r="O210" t="inlineStr">
        <is>
          <t>20231109</t>
        </is>
      </c>
      <c r="P210" t="inlineStr">
        <is>
          <t>Jawa Timur</t>
        </is>
      </c>
      <c r="Q210" t="inlineStr"/>
    </row>
    <row r="211">
      <c r="A211" t="inlineStr">
        <is>
          <t>DAFFA MERANGIN KONSTRUKSI</t>
        </is>
      </c>
      <c r="B211" t="inlineStr">
        <is>
          <t>Kab. Merangin</t>
        </is>
      </c>
      <c r="C211" t="inlineStr">
        <is>
          <t>085216637476</t>
        </is>
      </c>
      <c r="D211" t="inlineStr">
        <is>
          <t>dewimariaF@gmail.com</t>
        </is>
      </c>
      <c r="E211" t="inlineStr">
        <is>
          <t>https://lpjk.pu.go.id/search-badan-usaha-detail/dEFvSHVZQ1duMWV2QzhSUklaTHVZdz09</t>
        </is>
      </c>
      <c r="F211" t="n">
        <v>2</v>
      </c>
      <c r="G211" t="inlineStr">
        <is>
          <t>BG002</t>
        </is>
      </c>
      <c r="H211" t="inlineStr">
        <is>
          <t>19 Agustus 2022</t>
        </is>
      </c>
      <c r="I211" s="2" t="n">
        <v>46337</v>
      </c>
      <c r="J211" t="inlineStr">
        <is>
          <t>Disetujui</t>
        </is>
      </c>
      <c r="K211" t="n">
        <v>87</v>
      </c>
      <c r="L211" t="inlineStr">
        <is>
          <t>11 November 2026</t>
        </is>
      </c>
      <c r="M211" t="inlineStr">
        <is>
          <t>Konstruksi Gedung Perkantoran</t>
        </is>
      </c>
      <c r="N211" t="inlineStr">
        <is>
          <t>K</t>
        </is>
      </c>
      <c r="O211" t="inlineStr">
        <is>
          <t>20231111</t>
        </is>
      </c>
      <c r="P211" t="inlineStr">
        <is>
          <t>Jambi</t>
        </is>
      </c>
      <c r="Q211" t="inlineStr"/>
    </row>
    <row r="212">
      <c r="A212" t="inlineStr">
        <is>
          <t>DAS KONSTRUKSI NUSANTARA</t>
        </is>
      </c>
      <c r="B212" t="inlineStr">
        <is>
          <t>Kota Makassar</t>
        </is>
      </c>
      <c r="C212" t="inlineStr">
        <is>
          <t>085242259296</t>
        </is>
      </c>
      <c r="D212" t="inlineStr">
        <is>
          <t>pt.dask@yahoo.com</t>
        </is>
      </c>
      <c r="E212" t="inlineStr">
        <is>
          <t>https://lpjk.pu.go.id/search-badan-usaha-detail/cHQ0TXpHMVMxZC9SZC9xM2hOY3NGdz09</t>
        </is>
      </c>
      <c r="F212" t="n">
        <v>1</v>
      </c>
      <c r="G212" t="inlineStr">
        <is>
          <t>BS004</t>
        </is>
      </c>
      <c r="H212" t="inlineStr">
        <is>
          <t>24 April 2012</t>
        </is>
      </c>
      <c r="I212" s="2" t="n">
        <v>46339</v>
      </c>
      <c r="J212" t="inlineStr">
        <is>
          <t>Pencabutan</t>
        </is>
      </c>
      <c r="K212" t="n">
        <v>87</v>
      </c>
      <c r="L212" t="inlineStr">
        <is>
          <t>13 November 2026</t>
        </is>
      </c>
      <c r="M212" t="inlineStr">
        <is>
          <t>Konstruksi Jaringan Irigasi dan Drainase</t>
        </is>
      </c>
      <c r="N212" t="inlineStr">
        <is>
          <t>M</t>
        </is>
      </c>
      <c r="O212" t="inlineStr">
        <is>
          <t>20231113</t>
        </is>
      </c>
      <c r="P212" t="inlineStr">
        <is>
          <t>Sulawesi Selatan</t>
        </is>
      </c>
      <c r="Q212" t="inlineStr"/>
    </row>
    <row r="213">
      <c r="A213" t="inlineStr">
        <is>
          <t>DEBI SEMOGA JAYA</t>
        </is>
      </c>
      <c r="B213" t="inlineStr">
        <is>
          <t>Kota Padang</t>
        </is>
      </c>
      <c r="C213" t="inlineStr">
        <is>
          <t>085271637819</t>
        </is>
      </c>
      <c r="D213" t="inlineStr">
        <is>
          <t>debisemogajaya@gmail.com</t>
        </is>
      </c>
      <c r="E213" t="inlineStr">
        <is>
          <t>https://lpjk.pu.go.id/search-badan-usaha-detail/TFAzckR3WnJ3ZGNsbXhwdlRneE5EQT09</t>
        </is>
      </c>
      <c r="F213" t="n">
        <v>3</v>
      </c>
      <c r="G213" t="inlineStr">
        <is>
          <t>BG006, BS004, BS006</t>
        </is>
      </c>
      <c r="H213" t="inlineStr">
        <is>
          <t>22 Juni 2011</t>
        </is>
      </c>
      <c r="I213" s="2" t="n">
        <v>46334</v>
      </c>
      <c r="J213" t="inlineStr">
        <is>
          <t>Disetujui</t>
        </is>
      </c>
      <c r="K213" t="n">
        <v>87</v>
      </c>
      <c r="L213" t="inlineStr">
        <is>
          <t>8 November 2026</t>
        </is>
      </c>
      <c r="M213" t="inlineStr">
        <is>
          <t>Konstruksi Bangunan Sipil Prasarana dan Sarana Sistem Pengolahan Limbah Padat, Cair, dan Gas, Konstruksi Gedung Pendidikan, Konstruksi Jaringan Irigasi dan Drainase</t>
        </is>
      </c>
      <c r="N213" t="inlineStr">
        <is>
          <t>K</t>
        </is>
      </c>
      <c r="O213" t="inlineStr">
        <is>
          <t>20231107</t>
        </is>
      </c>
      <c r="P213" t="inlineStr">
        <is>
          <t>Sumatera Barat</t>
        </is>
      </c>
      <c r="Q213" t="inlineStr"/>
    </row>
    <row r="214">
      <c r="A214" t="inlineStr">
        <is>
          <t>DEMIX JAYA UTAMA</t>
        </is>
      </c>
      <c r="B214" t="inlineStr">
        <is>
          <t>Kab. Sukabumi</t>
        </is>
      </c>
      <c r="C214" t="inlineStr">
        <is>
          <t>085659404222</t>
        </is>
      </c>
      <c r="D214" t="inlineStr">
        <is>
          <t>pt_demix@yahoo.co.id</t>
        </is>
      </c>
      <c r="E214" t="inlineStr">
        <is>
          <t>https://lpjk.pu.go.id/search-badan-usaha-detail/L0NBR2lCeFprK1JCQ0kvakhSNGorZz09</t>
        </is>
      </c>
      <c r="F214" t="n">
        <v>2</v>
      </c>
      <c r="G214" t="inlineStr">
        <is>
          <t>BS010</t>
        </is>
      </c>
      <c r="H214" t="inlineStr">
        <is>
          <t>3 Februari 2003</t>
        </is>
      </c>
      <c r="I214" s="2" t="n">
        <v>46339</v>
      </c>
      <c r="J214" t="inlineStr">
        <is>
          <t>Pencabutan</t>
        </is>
      </c>
      <c r="K214" t="n">
        <v>87</v>
      </c>
      <c r="L214" t="inlineStr">
        <is>
          <t>13 November 2026</t>
        </is>
      </c>
      <c r="M214" t="inlineStr">
        <is>
          <t>Konstruksi Bangunan Prasarana Sumber Daya Air</t>
        </is>
      </c>
      <c r="N214" t="inlineStr">
        <is>
          <t>M</t>
        </is>
      </c>
      <c r="O214" t="inlineStr">
        <is>
          <t>20230224</t>
        </is>
      </c>
      <c r="P214" t="inlineStr">
        <is>
          <t>Jawa Barat</t>
        </is>
      </c>
      <c r="Q214" t="inlineStr"/>
    </row>
    <row r="215">
      <c r="A215" t="inlineStr">
        <is>
          <t>DEWA ELANG PERKASA</t>
        </is>
      </c>
      <c r="B215" t="inlineStr">
        <is>
          <t>Kab. Empat Lawang</t>
        </is>
      </c>
      <c r="C215" t="inlineStr">
        <is>
          <t>082183763603</t>
        </is>
      </c>
      <c r="D215" t="inlineStr">
        <is>
          <t>elangperkasadewa@gmail.com</t>
        </is>
      </c>
      <c r="E215" t="inlineStr">
        <is>
          <t>https://lpjk.pu.go.id/search-badan-usaha-detail/N3NaeEhyYjFTK1pGNm1VVkFKOWpMZz09</t>
        </is>
      </c>
      <c r="F215" t="n">
        <v>1</v>
      </c>
      <c r="G215" t="inlineStr">
        <is>
          <t>BS002</t>
        </is>
      </c>
      <c r="H215" t="inlineStr">
        <is>
          <t>4 Oktober 2023</t>
        </is>
      </c>
      <c r="I215" s="2" t="n">
        <v>46338</v>
      </c>
      <c r="J215" t="inlineStr">
        <is>
          <t>Disetujui</t>
        </is>
      </c>
      <c r="K215" t="n">
        <v>87</v>
      </c>
      <c r="L215" t="inlineStr">
        <is>
          <t>12 November 2026</t>
        </is>
      </c>
      <c r="M215" t="inlineStr">
        <is>
          <t>Bangunan Sipil Jembatan, Jalan Layang, Fly Over, dan Underpass</t>
        </is>
      </c>
      <c r="N215" t="inlineStr">
        <is>
          <t>K</t>
        </is>
      </c>
      <c r="O215" t="inlineStr">
        <is>
          <t>20231111</t>
        </is>
      </c>
      <c r="P215" t="inlineStr">
        <is>
          <t>Sumatera Selatan</t>
        </is>
      </c>
      <c r="Q215" t="inlineStr"/>
    </row>
    <row r="216">
      <c r="A216" t="inlineStr">
        <is>
          <t>DIANA ANDALAS MANDIRI</t>
        </is>
      </c>
      <c r="B216" t="inlineStr">
        <is>
          <t>Kota Palembang</t>
        </is>
      </c>
      <c r="C216" t="inlineStr">
        <is>
          <t>08117887520</t>
        </is>
      </c>
      <c r="D216" t="inlineStr">
        <is>
          <t>cv.dianandalasmandiri@gmail.com</t>
        </is>
      </c>
      <c r="E216" t="inlineStr">
        <is>
          <t>https://lpjk.pu.go.id/search-badan-usaha-detail/Z3pWZjVPUWxvTlFmT0tDL3hRdWVGQT09</t>
        </is>
      </c>
      <c r="F216" t="n">
        <v>1</v>
      </c>
      <c r="G216" t="inlineStr">
        <is>
          <t>BS001</t>
        </is>
      </c>
      <c r="H216" t="inlineStr">
        <is>
          <t>19 Februari 2016</t>
        </is>
      </c>
      <c r="I216" s="2" t="n">
        <v>46334</v>
      </c>
      <c r="J216" t="inlineStr">
        <is>
          <t>Disetujui</t>
        </is>
      </c>
      <c r="K216" t="n">
        <v>87</v>
      </c>
      <c r="L216" t="inlineStr">
        <is>
          <t>8 November 2026</t>
        </is>
      </c>
      <c r="M216" t="inlineStr">
        <is>
          <t>Konstruksi Bangunan Sipil Jalan</t>
        </is>
      </c>
      <c r="N216" t="inlineStr">
        <is>
          <t>K</t>
        </is>
      </c>
      <c r="O216" t="inlineStr">
        <is>
          <t>20231106</t>
        </is>
      </c>
      <c r="P216" t="inlineStr">
        <is>
          <t>Sumatera Selatan</t>
        </is>
      </c>
      <c r="Q216" t="inlineStr"/>
    </row>
    <row r="217">
      <c r="A217" t="inlineStr">
        <is>
          <t>DIRGANTARA</t>
        </is>
      </c>
      <c r="B217" t="inlineStr">
        <is>
          <t>Kab. Sintang</t>
        </is>
      </c>
      <c r="C217" t="inlineStr">
        <is>
          <t>081249301993</t>
        </is>
      </c>
      <c r="D217" t="inlineStr">
        <is>
          <t>tiupilus29@gmail.com</t>
        </is>
      </c>
      <c r="E217" t="inlineStr">
        <is>
          <t>https://lpjk.pu.go.id/search-badan-usaha-detail/NFZQYXdIczlOT0lVelJoM00vcVU3QT09</t>
        </is>
      </c>
      <c r="F217" t="n">
        <v>2</v>
      </c>
      <c r="G217" t="inlineStr">
        <is>
          <t>BS001</t>
        </is>
      </c>
      <c r="H217" t="inlineStr">
        <is>
          <t>11 April 2018</t>
        </is>
      </c>
      <c r="I217" s="2" t="n">
        <v>46336</v>
      </c>
      <c r="J217" t="inlineStr">
        <is>
          <t>Disetujui</t>
        </is>
      </c>
      <c r="K217" t="n">
        <v>87</v>
      </c>
      <c r="L217" t="inlineStr">
        <is>
          <t>10 November 2026</t>
        </is>
      </c>
      <c r="M217" t="inlineStr">
        <is>
          <t>Konstruksi Bangunan Sipil Jalan</t>
        </is>
      </c>
      <c r="N217" t="inlineStr">
        <is>
          <t>K</t>
        </is>
      </c>
      <c r="O217" t="inlineStr">
        <is>
          <t>20230708</t>
        </is>
      </c>
      <c r="P217" t="inlineStr">
        <is>
          <t>Kalimantan Barat</t>
        </is>
      </c>
      <c r="Q217" t="inlineStr"/>
    </row>
    <row r="218">
      <c r="A218" t="inlineStr">
        <is>
          <t>DIRKA JAYA MANDIRI</t>
        </is>
      </c>
      <c r="B218" t="inlineStr">
        <is>
          <t>Kab. Tasikmalaya</t>
        </is>
      </c>
      <c r="C218" t="inlineStr">
        <is>
          <t>085220800648</t>
        </is>
      </c>
      <c r="D218" t="inlineStr">
        <is>
          <t>dirkajaya2000@gmail.com</t>
        </is>
      </c>
      <c r="E218" t="inlineStr">
        <is>
          <t>https://lpjk.pu.go.id/search-badan-usaha-detail/YVlCdkI4YWE0M2lMQmZQV1h4eDlYZz09</t>
        </is>
      </c>
      <c r="F218" t="n">
        <v>1</v>
      </c>
      <c r="G218" t="inlineStr">
        <is>
          <t>BS001</t>
        </is>
      </c>
      <c r="H218" t="inlineStr">
        <is>
          <t>13 September 2019</t>
        </is>
      </c>
      <c r="I218" s="2" t="n">
        <v>46339</v>
      </c>
      <c r="J218" t="inlineStr">
        <is>
          <t>Disetujui</t>
        </is>
      </c>
      <c r="K218" t="n">
        <v>87</v>
      </c>
      <c r="L218" t="inlineStr">
        <is>
          <t>13 November 2026</t>
        </is>
      </c>
      <c r="M218" t="inlineStr">
        <is>
          <t>Konstruksi Bangunan Sipil Jalan</t>
        </is>
      </c>
      <c r="N218" t="inlineStr">
        <is>
          <t>K</t>
        </is>
      </c>
      <c r="O218" t="inlineStr">
        <is>
          <t>20231113</t>
        </is>
      </c>
      <c r="P218" t="inlineStr">
        <is>
          <t>Jawa Barat</t>
        </is>
      </c>
      <c r="Q218" t="inlineStr"/>
    </row>
    <row r="219">
      <c r="A219" t="inlineStr">
        <is>
          <t>DOA IBU CONSTRUKSI</t>
        </is>
      </c>
      <c r="B219" t="inlineStr">
        <is>
          <t>Kab. Aceh Timur</t>
        </is>
      </c>
      <c r="C219" t="inlineStr">
        <is>
          <t>081258400242</t>
        </is>
      </c>
      <c r="D219" t="inlineStr">
        <is>
          <t>doaibuconstruksi@gmail.com</t>
        </is>
      </c>
      <c r="E219" t="inlineStr">
        <is>
          <t>https://lpjk.pu.go.id/search-badan-usaha-detail/ZTN6dDM0ZGNHTWRvVExWMUpsRldoUT09</t>
        </is>
      </c>
      <c r="F219" t="n">
        <v>1</v>
      </c>
      <c r="G219" t="inlineStr">
        <is>
          <t>BS001</t>
        </is>
      </c>
      <c r="H219" t="inlineStr">
        <is>
          <t>8 Januari 2021</t>
        </is>
      </c>
      <c r="I219" s="2" t="n">
        <v>46334</v>
      </c>
      <c r="J219" t="inlineStr">
        <is>
          <t>Disetujui</t>
        </is>
      </c>
      <c r="K219" t="n">
        <v>87</v>
      </c>
      <c r="L219" t="inlineStr">
        <is>
          <t>8 November 2026</t>
        </is>
      </c>
      <c r="M219" t="inlineStr">
        <is>
          <t>Konstruksi Bangunan Sipil Jalan</t>
        </is>
      </c>
      <c r="N219" t="inlineStr">
        <is>
          <t>K</t>
        </is>
      </c>
      <c r="O219" t="inlineStr">
        <is>
          <t>20231017</t>
        </is>
      </c>
      <c r="P219" t="inlineStr">
        <is>
          <t>Aceh</t>
        </is>
      </c>
      <c r="Q219" t="inlineStr"/>
    </row>
    <row r="220">
      <c r="A220" t="inlineStr">
        <is>
          <t>DUA DUA</t>
        </is>
      </c>
      <c r="B220" t="inlineStr">
        <is>
          <t>Kab. Majalengka</t>
        </is>
      </c>
      <c r="C220" t="inlineStr">
        <is>
          <t>08122431962</t>
        </is>
      </c>
      <c r="D220" t="inlineStr">
        <is>
          <t>cvduaduajaya2@gmail.com</t>
        </is>
      </c>
      <c r="E220" t="inlineStr">
        <is>
          <t>https://lpjk.pu.go.id/search-badan-usaha-detail/c3lNL2NVQ0NLZWN0SG9SVEszUzFTUT09</t>
        </is>
      </c>
      <c r="F220" t="n">
        <v>1</v>
      </c>
      <c r="G220" t="inlineStr">
        <is>
          <t>BS001</t>
        </is>
      </c>
      <c r="H220" t="inlineStr">
        <is>
          <t>19 Juni 2020</t>
        </is>
      </c>
      <c r="I220" s="2" t="n">
        <v>46340</v>
      </c>
      <c r="J220" t="inlineStr">
        <is>
          <t>Disetujui</t>
        </is>
      </c>
      <c r="K220" t="n">
        <v>87</v>
      </c>
      <c r="L220" t="inlineStr">
        <is>
          <t>14 November 2026</t>
        </is>
      </c>
      <c r="M220" t="inlineStr">
        <is>
          <t>Konstruksi Bangunan Sipil Jalan</t>
        </is>
      </c>
      <c r="N220" t="inlineStr">
        <is>
          <t>K</t>
        </is>
      </c>
      <c r="O220" t="inlineStr">
        <is>
          <t>20231115</t>
        </is>
      </c>
      <c r="P220" t="inlineStr">
        <is>
          <t>Jawa Barat</t>
        </is>
      </c>
      <c r="Q220" t="inlineStr"/>
    </row>
    <row r="221">
      <c r="A221" t="inlineStr">
        <is>
          <t>DUA PUTRI SALSABILA</t>
        </is>
      </c>
      <c r="B221" t="inlineStr">
        <is>
          <t>Kab. Bandung</t>
        </is>
      </c>
      <c r="C221" t="inlineStr">
        <is>
          <t>082214004260</t>
        </is>
      </c>
      <c r="D221" t="inlineStr">
        <is>
          <t>cvduaputrisalsabila@gmail.com</t>
        </is>
      </c>
      <c r="E221" t="inlineStr">
        <is>
          <t>https://lpjk.pu.go.id/search-badan-usaha-detail/QnBrZ3o2TzVoZGFTTkxiMTZla2tndz09</t>
        </is>
      </c>
      <c r="F221" t="n">
        <v>3</v>
      </c>
      <c r="G221" t="inlineStr">
        <is>
          <t>BG004, BG009, BS010</t>
        </is>
      </c>
      <c r="H221" t="inlineStr">
        <is>
          <t>3 Oktober 2023</t>
        </is>
      </c>
      <c r="I221" s="2" t="n">
        <v>46335</v>
      </c>
      <c r="J221" t="inlineStr">
        <is>
          <t>Disetujui</t>
        </is>
      </c>
      <c r="K221" t="n">
        <v>87</v>
      </c>
      <c r="L221" t="inlineStr">
        <is>
          <t>9 November 2026</t>
        </is>
      </c>
      <c r="M221" t="inlineStr">
        <is>
          <t>Konstruksi Bangunan Prasarana Sumber Daya Air, Konstruksi Gedung Lainnya, Konstruksi Gedung Perbelanjaan</t>
        </is>
      </c>
      <c r="N221" t="inlineStr">
        <is>
          <t>K</t>
        </is>
      </c>
      <c r="O221" t="inlineStr">
        <is>
          <t>20231107, 20231109, 20231111</t>
        </is>
      </c>
      <c r="P221" t="inlineStr">
        <is>
          <t>Jawa Barat</t>
        </is>
      </c>
      <c r="Q221" t="inlineStr"/>
    </row>
    <row r="222">
      <c r="A222" t="inlineStr">
        <is>
          <t>DUTA CAHAYA DESIGN</t>
        </is>
      </c>
      <c r="B222" t="inlineStr">
        <is>
          <t>Kab. Blora</t>
        </is>
      </c>
      <c r="C222" t="inlineStr">
        <is>
          <t>085145718253</t>
        </is>
      </c>
      <c r="D222" t="inlineStr">
        <is>
          <t>dutacahayadesign117@gmail.com</t>
        </is>
      </c>
      <c r="E222" t="inlineStr">
        <is>
          <t>https://lpjk.pu.go.id/search-badan-usaha-detail/RXJZRTdmV2UzS0RLVFR4UXdKTlNLZz09</t>
        </is>
      </c>
      <c r="F222" t="n">
        <v>1</v>
      </c>
      <c r="G222" t="inlineStr">
        <is>
          <t>RK002</t>
        </is>
      </c>
      <c r="H222" t="inlineStr">
        <is>
          <t>30 Maret 2020</t>
        </is>
      </c>
      <c r="I222" s="2" t="n">
        <v>46335</v>
      </c>
      <c r="J222" t="inlineStr">
        <is>
          <t>Disetujui</t>
        </is>
      </c>
      <c r="K222" t="n">
        <v>87</v>
      </c>
      <c r="L222" t="inlineStr">
        <is>
          <t>9 November 2026</t>
        </is>
      </c>
      <c r="M222" t="inlineStr">
        <is>
          <t>Jasa Rekayasa Pekerjaan Teknik Sipil Sumber Daya Air</t>
        </is>
      </c>
      <c r="N222" t="inlineStr">
        <is>
          <t>K</t>
        </is>
      </c>
      <c r="O222" t="inlineStr">
        <is>
          <t>20231102</t>
        </is>
      </c>
      <c r="P222" t="inlineStr">
        <is>
          <t>Jawa Tengah</t>
        </is>
      </c>
      <c r="Q222" t="inlineStr"/>
    </row>
    <row r="223">
      <c r="A223" t="inlineStr">
        <is>
          <t>DUTA KELUD</t>
        </is>
      </c>
      <c r="B223" t="inlineStr">
        <is>
          <t>Kab. Kediri</t>
        </is>
      </c>
      <c r="C223" t="inlineStr">
        <is>
          <t>081335442161</t>
        </is>
      </c>
      <c r="D223" t="inlineStr">
        <is>
          <t>dutakelud78@gmail.com</t>
        </is>
      </c>
      <c r="E223" t="inlineStr">
        <is>
          <t>https://lpjk.pu.go.id/search-badan-usaha-detail/WW5uZlNGNkdYdXpNOXB5aEE4VmRmQT09</t>
        </is>
      </c>
      <c r="F223" t="n">
        <v>1</v>
      </c>
      <c r="G223" t="inlineStr">
        <is>
          <t>BG009</t>
        </is>
      </c>
      <c r="H223" t="inlineStr">
        <is>
          <t>3 Maret 2001</t>
        </is>
      </c>
      <c r="I223" s="2" t="n">
        <v>46338</v>
      </c>
      <c r="J223" t="inlineStr">
        <is>
          <t>Disetujui</t>
        </is>
      </c>
      <c r="K223" t="n">
        <v>87</v>
      </c>
      <c r="L223" t="inlineStr">
        <is>
          <t>12 November 2026</t>
        </is>
      </c>
      <c r="M223" t="inlineStr">
        <is>
          <t>Konstruksi Gedung Lainnya</t>
        </is>
      </c>
      <c r="N223" t="inlineStr">
        <is>
          <t>K</t>
        </is>
      </c>
      <c r="O223" t="inlineStr">
        <is>
          <t>20231030</t>
        </is>
      </c>
      <c r="P223" t="inlineStr">
        <is>
          <t>Jawa Timur</t>
        </is>
      </c>
      <c r="Q223" t="inlineStr"/>
    </row>
    <row r="224">
      <c r="A224" t="inlineStr">
        <is>
          <t>DUTA PERSADA INDOTAMA</t>
        </is>
      </c>
      <c r="B224" t="inlineStr">
        <is>
          <t>Kota Pekanbaru</t>
        </is>
      </c>
      <c r="C224" t="inlineStr">
        <is>
          <t>0761561488</t>
        </is>
      </c>
      <c r="D224" t="inlineStr">
        <is>
          <t>dutapersada@rocketmail.com</t>
        </is>
      </c>
      <c r="E224" t="inlineStr">
        <is>
          <t>https://lpjk.pu.go.id/search-badan-usaha-detail/NUdKYWp1MzhuVWM4b3RMTUI5Mm1VQT09</t>
        </is>
      </c>
      <c r="F224" t="n">
        <v>1</v>
      </c>
      <c r="G224" t="inlineStr">
        <is>
          <t>RK003</t>
        </is>
      </c>
      <c r="H224" t="inlineStr">
        <is>
          <t>23 Agustus 2011</t>
        </is>
      </c>
      <c r="I224" s="2" t="n">
        <v>46340</v>
      </c>
      <c r="J224" t="inlineStr">
        <is>
          <t>Disetujui</t>
        </is>
      </c>
      <c r="K224" t="n">
        <v>87</v>
      </c>
      <c r="L224" t="inlineStr">
        <is>
          <t>14 November 2026</t>
        </is>
      </c>
      <c r="M224" t="inlineStr">
        <is>
          <t>Jasa Rekayasa Pekerjaan Teknik Sipil Transportasi</t>
        </is>
      </c>
      <c r="N224" t="inlineStr">
        <is>
          <t>M</t>
        </is>
      </c>
      <c r="O224" t="inlineStr">
        <is>
          <t>20231030</t>
        </is>
      </c>
      <c r="P224" t="inlineStr">
        <is>
          <t>Riau</t>
        </is>
      </c>
      <c r="Q224" t="inlineStr"/>
    </row>
    <row r="225">
      <c r="A225" t="inlineStr">
        <is>
          <t>DWIBARAT TANGGUH SETIA</t>
        </is>
      </c>
      <c r="B225" t="inlineStr">
        <is>
          <t>Kota Bandung</t>
        </is>
      </c>
      <c r="C225" t="inlineStr">
        <is>
          <t>0225208080</t>
        </is>
      </c>
      <c r="D225" t="inlineStr">
        <is>
          <t>dwibarat@gmail.com</t>
        </is>
      </c>
      <c r="E225" t="inlineStr">
        <is>
          <t>https://lpjk.pu.go.id/search-badan-usaha-detail/VTM3UHI5cFd0THlwQlRGcmZPb0N5dz09</t>
        </is>
      </c>
      <c r="F225" t="n">
        <v>2</v>
      </c>
      <c r="G225" t="inlineStr">
        <is>
          <t>BS009</t>
        </is>
      </c>
      <c r="H225" t="inlineStr">
        <is>
          <t>31 Mei 2023</t>
        </is>
      </c>
      <c r="I225" s="2" t="n">
        <v>46340</v>
      </c>
      <c r="J225" t="inlineStr">
        <is>
          <t>Disetujui</t>
        </is>
      </c>
      <c r="K225" t="n">
        <v>87</v>
      </c>
      <c r="L225" t="inlineStr">
        <is>
          <t>14 November 2026</t>
        </is>
      </c>
      <c r="M225" t="inlineStr">
        <is>
          <t>Konstruksi Sentral Telekomunikasi</t>
        </is>
      </c>
      <c r="N225" t="inlineStr">
        <is>
          <t>K</t>
        </is>
      </c>
      <c r="O225" t="inlineStr">
        <is>
          <t>20231102</t>
        </is>
      </c>
      <c r="P225" t="inlineStr">
        <is>
          <t>Jawa Barat</t>
        </is>
      </c>
      <c r="Q225" t="inlineStr"/>
    </row>
    <row r="226">
      <c r="A226" t="inlineStr">
        <is>
          <t>DWIFA MULYA</t>
        </is>
      </c>
      <c r="B226" t="inlineStr">
        <is>
          <t>Kab. Kuningan</t>
        </is>
      </c>
      <c r="C226" t="inlineStr">
        <is>
          <t>085324437015</t>
        </is>
      </c>
      <c r="D226" t="inlineStr">
        <is>
          <t>dwifamulyadiding@yahoo.com</t>
        </is>
      </c>
      <c r="E226" t="inlineStr">
        <is>
          <t>https://lpjk.pu.go.id/search-badan-usaha-detail/c05lNFh1RnJ1TUx1dno0NFFCS1VQdz09</t>
        </is>
      </c>
      <c r="F226" t="n">
        <v>1</v>
      </c>
      <c r="G226" t="inlineStr">
        <is>
          <t>BG005</t>
        </is>
      </c>
      <c r="H226" t="inlineStr">
        <is>
          <t>13 Januari 2004</t>
        </is>
      </c>
      <c r="I226" s="2" t="n">
        <v>46339</v>
      </c>
      <c r="J226" t="inlineStr">
        <is>
          <t>Disetujui</t>
        </is>
      </c>
      <c r="K226" t="n">
        <v>87</v>
      </c>
      <c r="L226" t="inlineStr">
        <is>
          <t>13 November 2026</t>
        </is>
      </c>
      <c r="M226" t="inlineStr">
        <is>
          <t>Konstruksi Gedung Kesehatan</t>
        </is>
      </c>
      <c r="N226" t="inlineStr">
        <is>
          <t>K</t>
        </is>
      </c>
      <c r="O226" t="inlineStr">
        <is>
          <t>20231110</t>
        </is>
      </c>
      <c r="P226" t="inlineStr">
        <is>
          <t>Jawa Barat</t>
        </is>
      </c>
      <c r="Q226" t="inlineStr"/>
    </row>
    <row r="227">
      <c r="A227" t="inlineStr">
        <is>
          <t>DYAH AYU</t>
        </is>
      </c>
      <c r="B227" t="inlineStr">
        <is>
          <t>Kota Bontang</t>
        </is>
      </c>
      <c r="C227" t="inlineStr">
        <is>
          <t>0811586668</t>
        </is>
      </c>
      <c r="D227" t="inlineStr">
        <is>
          <t>cv_dyahayu@yahoo.co.id</t>
        </is>
      </c>
      <c r="E227" t="inlineStr">
        <is>
          <t>https://lpjk.pu.go.id/search-badan-usaha-detail/TkN5a1hvM3dWV0ZTOVNMcTlJdWxtQT09</t>
        </is>
      </c>
      <c r="F227" t="n">
        <v>1</v>
      </c>
      <c r="G227" t="inlineStr">
        <is>
          <t>BS004</t>
        </is>
      </c>
      <c r="H227" t="inlineStr">
        <is>
          <t>11 April 2013</t>
        </is>
      </c>
      <c r="I227" s="2" t="n">
        <v>46335</v>
      </c>
      <c r="J227" t="inlineStr">
        <is>
          <t>Disetujui</t>
        </is>
      </c>
      <c r="K227" t="n">
        <v>87</v>
      </c>
      <c r="L227" t="inlineStr">
        <is>
          <t>9 November 2026</t>
        </is>
      </c>
      <c r="M227" t="inlineStr">
        <is>
          <t>Konstruksi Jaringan Irigasi dan Drainase</t>
        </is>
      </c>
      <c r="N227" t="inlineStr">
        <is>
          <t>K</t>
        </is>
      </c>
      <c r="O227" t="inlineStr">
        <is>
          <t>20231110</t>
        </is>
      </c>
      <c r="P227" t="inlineStr">
        <is>
          <t>Kalimantan Timur</t>
        </is>
      </c>
      <c r="Q227" t="inlineStr"/>
    </row>
    <row r="228">
      <c r="A228" t="inlineStr">
        <is>
          <t>EKA DWI</t>
        </is>
      </c>
      <c r="B228" t="inlineStr">
        <is>
          <t>Kab. Tangerang</t>
        </is>
      </c>
      <c r="C228" t="inlineStr">
        <is>
          <t>087776650298</t>
        </is>
      </c>
      <c r="D228" t="inlineStr">
        <is>
          <t>cv.ekadwi@gmail.com</t>
        </is>
      </c>
      <c r="E228" t="inlineStr">
        <is>
          <t>https://lpjk.pu.go.id/search-badan-usaha-detail/TDB2Qi9KQThkdWxmRGJlQUVoN1J2UT09</t>
        </is>
      </c>
      <c r="F228" t="n">
        <v>3</v>
      </c>
      <c r="G228" t="inlineStr">
        <is>
          <t>BG009, BS001, BS004</t>
        </is>
      </c>
      <c r="H228" t="inlineStr">
        <is>
          <t>27 Agustus 2015</t>
        </is>
      </c>
      <c r="I228" s="2" t="n">
        <v>46340</v>
      </c>
      <c r="J228" t="inlineStr">
        <is>
          <t>Disetujui</t>
        </is>
      </c>
      <c r="K228" t="n">
        <v>87</v>
      </c>
      <c r="L228" t="inlineStr">
        <is>
          <t>14 November 2026</t>
        </is>
      </c>
      <c r="M228" t="inlineStr">
        <is>
          <t>Konstruksi Bangunan Sipil Jalan, Konstruksi Gedung Lainnya, Konstruksi Jaringan Irigasi dan Drainase</t>
        </is>
      </c>
      <c r="N228" t="inlineStr">
        <is>
          <t>K</t>
        </is>
      </c>
      <c r="O228" t="inlineStr">
        <is>
          <t>20231113</t>
        </is>
      </c>
      <c r="P228" t="inlineStr">
        <is>
          <t>Banten</t>
        </is>
      </c>
      <c r="Q228" t="inlineStr"/>
    </row>
    <row r="229">
      <c r="A229" t="inlineStr">
        <is>
          <t>EMPAT PILAR UTAMA</t>
        </is>
      </c>
      <c r="B229" t="inlineStr">
        <is>
          <t>Kab. Bone</t>
        </is>
      </c>
      <c r="C229" t="inlineStr">
        <is>
          <t>082292633636</t>
        </is>
      </c>
      <c r="D229" t="inlineStr">
        <is>
          <t>4pilarutama.cv@gmail.com</t>
        </is>
      </c>
      <c r="E229" t="inlineStr">
        <is>
          <t>https://lpjk.pu.go.id/search-badan-usaha-detail/V2I4OUMrZ0UrUEIvd29CTkE5Ui9IZz09</t>
        </is>
      </c>
      <c r="F229" t="n">
        <v>1</v>
      </c>
      <c r="G229" t="inlineStr">
        <is>
          <t>BS005</t>
        </is>
      </c>
      <c r="H229" t="inlineStr">
        <is>
          <t>16 April 2018</t>
        </is>
      </c>
      <c r="I229" s="2" t="n">
        <v>46334</v>
      </c>
      <c r="J229" t="inlineStr">
        <is>
          <t>Disetujui</t>
        </is>
      </c>
      <c r="K229" t="n">
        <v>87</v>
      </c>
      <c r="L229" t="inlineStr">
        <is>
          <t>8 November 2026</t>
        </is>
      </c>
      <c r="M229" t="inlineStr">
        <is>
          <t>Konstruksi Bangunan Sipil Pengolahan Air Bersih</t>
        </is>
      </c>
      <c r="N229" t="inlineStr">
        <is>
          <t>K</t>
        </is>
      </c>
      <c r="O229" t="inlineStr">
        <is>
          <t>20231107</t>
        </is>
      </c>
      <c r="P229" t="inlineStr">
        <is>
          <t>Sulawesi Selatan</t>
        </is>
      </c>
      <c r="Q229" t="inlineStr"/>
    </row>
    <row r="230">
      <c r="A230" t="inlineStr">
        <is>
          <t>EMPAT SAUDARA</t>
        </is>
      </c>
      <c r="B230" t="inlineStr">
        <is>
          <t>Kab. Indramayu</t>
        </is>
      </c>
      <c r="C230" t="inlineStr">
        <is>
          <t>081312364443</t>
        </is>
      </c>
      <c r="D230" t="inlineStr">
        <is>
          <t>cvempatsaudara413@gmail.com</t>
        </is>
      </c>
      <c r="E230" t="inlineStr">
        <is>
          <t>https://lpjk.pu.go.id/search-badan-usaha-detail/dHNlZ2t2MmlVd0hKRGt0N3Z5bTZRZz09</t>
        </is>
      </c>
      <c r="F230" t="n">
        <v>3</v>
      </c>
      <c r="G230" t="inlineStr">
        <is>
          <t>BG005, BG006, BG009</t>
        </is>
      </c>
      <c r="H230" t="inlineStr">
        <is>
          <t>6 Desember 2001</t>
        </is>
      </c>
      <c r="I230" s="2" t="n">
        <v>46335</v>
      </c>
      <c r="J230" t="inlineStr">
        <is>
          <t>Disetujui</t>
        </is>
      </c>
      <c r="K230" t="n">
        <v>87</v>
      </c>
      <c r="L230" t="inlineStr">
        <is>
          <t>9 November 2026</t>
        </is>
      </c>
      <c r="M230" t="inlineStr">
        <is>
          <t>Konstruksi Gedung Kesehatan, Konstruksi Gedung Lainnya, Konstruksi Gedung Pendidikan</t>
        </is>
      </c>
      <c r="N230" t="inlineStr">
        <is>
          <t>K</t>
        </is>
      </c>
      <c r="O230" t="inlineStr">
        <is>
          <t>20231106</t>
        </is>
      </c>
      <c r="P230" t="inlineStr">
        <is>
          <t>Jawa Barat</t>
        </is>
      </c>
      <c r="Q230" t="inlineStr"/>
    </row>
    <row r="231">
      <c r="A231" t="inlineStr">
        <is>
          <t>ENAM SATU ENAM GEMILANG</t>
        </is>
      </c>
      <c r="B231" t="inlineStr">
        <is>
          <t>Kab. Tanah Bumbu</t>
        </is>
      </c>
      <c r="C231" t="inlineStr">
        <is>
          <t>082251863867</t>
        </is>
      </c>
      <c r="D231" t="inlineStr">
        <is>
          <t>cv616gemilang.btl@gmail.com</t>
        </is>
      </c>
      <c r="E231" t="inlineStr">
        <is>
          <t>https://lpjk.pu.go.id/search-badan-usaha-detail/OWJGc2lXZzZVR3hFaHRrOTc2L1NXUT09</t>
        </is>
      </c>
      <c r="F231" t="n">
        <v>1</v>
      </c>
      <c r="G231" t="inlineStr">
        <is>
          <t>BS001</t>
        </is>
      </c>
      <c r="H231" t="inlineStr">
        <is>
          <t>29 Oktober 2021</t>
        </is>
      </c>
      <c r="I231" s="2" t="n">
        <v>46335</v>
      </c>
      <c r="J231" t="inlineStr">
        <is>
          <t>Disetujui</t>
        </is>
      </c>
      <c r="K231" t="n">
        <v>87</v>
      </c>
      <c r="L231" t="inlineStr">
        <is>
          <t>9 November 2026</t>
        </is>
      </c>
      <c r="M231" t="inlineStr">
        <is>
          <t>Konstruksi Bangunan Sipil Jalan</t>
        </is>
      </c>
      <c r="N231" t="inlineStr">
        <is>
          <t>K</t>
        </is>
      </c>
      <c r="O231" t="inlineStr">
        <is>
          <t>20231110</t>
        </is>
      </c>
      <c r="P231" t="inlineStr">
        <is>
          <t>Kalimantan Selatan</t>
        </is>
      </c>
      <c r="Q231" t="inlineStr"/>
    </row>
    <row r="232">
      <c r="A232" t="inlineStr">
        <is>
          <t>ENDAH BANGUN NAGARA CONSULTANT</t>
        </is>
      </c>
      <c r="B232" t="inlineStr">
        <is>
          <t>Kota Jambi</t>
        </is>
      </c>
      <c r="C232" t="inlineStr">
        <is>
          <t>081288657796</t>
        </is>
      </c>
      <c r="D232" t="inlineStr">
        <is>
          <t>ebnconsultant@gmail.com</t>
        </is>
      </c>
      <c r="E232" t="inlineStr">
        <is>
          <t>https://lpjk.pu.go.id/search-badan-usaha-detail/N0VIckVoWEZwZUdGY3lqSFVKYmdGZz09</t>
        </is>
      </c>
      <c r="F232" t="n">
        <v>2</v>
      </c>
      <c r="G232" t="inlineStr">
        <is>
          <t>RK001</t>
        </is>
      </c>
      <c r="H232" t="inlineStr">
        <is>
          <t>27 Februari 2009</t>
        </is>
      </c>
      <c r="I232" s="2" t="n">
        <v>46340</v>
      </c>
      <c r="J232" t="inlineStr">
        <is>
          <t>Disetujui</t>
        </is>
      </c>
      <c r="K232" t="n">
        <v>87</v>
      </c>
      <c r="L232" t="inlineStr">
        <is>
          <t>14 November 2026</t>
        </is>
      </c>
      <c r="M232" t="inlineStr">
        <is>
          <t>Jasa Rekayasa Konstruksi Bangunan Gedung Hunian dan Non Hunian</t>
        </is>
      </c>
      <c r="N232" t="inlineStr">
        <is>
          <t>M</t>
        </is>
      </c>
      <c r="O232" t="inlineStr">
        <is>
          <t>20231102</t>
        </is>
      </c>
      <c r="P232" t="inlineStr">
        <is>
          <t>Jambi</t>
        </is>
      </c>
      <c r="Q232" t="inlineStr"/>
    </row>
    <row r="233">
      <c r="A233" t="inlineStr">
        <is>
          <t>ENERGI PERKASA CAKRAWALA</t>
        </is>
      </c>
      <c r="B233" t="inlineStr">
        <is>
          <t>Kota Adm. Jakarta Selatan</t>
        </is>
      </c>
      <c r="C233" t="inlineStr">
        <is>
          <t>0217655858</t>
        </is>
      </c>
      <c r="D233" t="inlineStr">
        <is>
          <t>energiperkasacakrawala999@gmail.com</t>
        </is>
      </c>
      <c r="E233" t="inlineStr">
        <is>
          <t>https://lpjk.pu.go.id/search-badan-usaha-detail/N3Q3c2lYNnExZm1IREluQ3l0cEhCUT09</t>
        </is>
      </c>
      <c r="F233" t="n">
        <v>1</v>
      </c>
      <c r="G233" t="inlineStr">
        <is>
          <t>BS007</t>
        </is>
      </c>
      <c r="H233" t="inlineStr">
        <is>
          <t>15 Juni 2017</t>
        </is>
      </c>
      <c r="I233" s="2" t="n">
        <v>46339</v>
      </c>
      <c r="J233" t="inlineStr">
        <is>
          <t>Disetujui</t>
        </is>
      </c>
      <c r="K233" t="n">
        <v>87</v>
      </c>
      <c r="L233" t="inlineStr">
        <is>
          <t>13 November 2026</t>
        </is>
      </c>
      <c r="M233" t="inlineStr">
        <is>
          <t>Konstruksi Bangunan Sipil Elektrikal</t>
        </is>
      </c>
      <c r="N233" t="inlineStr">
        <is>
          <t>K</t>
        </is>
      </c>
      <c r="O233" t="inlineStr">
        <is>
          <t>20231107</t>
        </is>
      </c>
      <c r="P233" t="inlineStr">
        <is>
          <t>DKI Jakarta</t>
        </is>
      </c>
      <c r="Q233" t="inlineStr"/>
    </row>
    <row r="234">
      <c r="A234" t="inlineStr">
        <is>
          <t>ERA GLOBAL MAKMUR</t>
        </is>
      </c>
      <c r="B234" t="inlineStr">
        <is>
          <t>Kota Tangerang</t>
        </is>
      </c>
      <c r="C234" t="inlineStr">
        <is>
          <t>085656098683</t>
        </is>
      </c>
      <c r="D234" t="inlineStr">
        <is>
          <t>egm2012@yahoo.co.id</t>
        </is>
      </c>
      <c r="E234" t="inlineStr">
        <is>
          <t>https://lpjk.pu.go.id/search-badan-usaha-detail/RmdSUWhaWk1vZWtTamJkU2Vmb0Mxdz09</t>
        </is>
      </c>
      <c r="F234" t="n">
        <v>1</v>
      </c>
      <c r="G234" t="inlineStr">
        <is>
          <t>BS004</t>
        </is>
      </c>
      <c r="H234" t="inlineStr">
        <is>
          <t>2 Maret 2004</t>
        </is>
      </c>
      <c r="I234" s="2" t="n">
        <v>46334</v>
      </c>
      <c r="J234" t="inlineStr">
        <is>
          <t>Disetujui</t>
        </is>
      </c>
      <c r="K234" t="n">
        <v>87</v>
      </c>
      <c r="L234" t="inlineStr">
        <is>
          <t>8 November 2026</t>
        </is>
      </c>
      <c r="M234" t="inlineStr">
        <is>
          <t>Konstruksi Jaringan Irigasi dan Drainase</t>
        </is>
      </c>
      <c r="N234" t="inlineStr">
        <is>
          <t>K</t>
        </is>
      </c>
      <c r="O234" t="inlineStr">
        <is>
          <t>20231102</t>
        </is>
      </c>
      <c r="P234" t="inlineStr">
        <is>
          <t>Banten</t>
        </is>
      </c>
      <c r="Q234" t="inlineStr"/>
    </row>
    <row r="235">
      <c r="A235" t="inlineStr">
        <is>
          <t>FADHILLAH</t>
        </is>
      </c>
      <c r="B235" t="inlineStr">
        <is>
          <t>Kab. Sukabumi</t>
        </is>
      </c>
      <c r="C235" t="inlineStr">
        <is>
          <t>085885736897</t>
        </is>
      </c>
      <c r="D235" t="inlineStr">
        <is>
          <t>fadhillah123@gmail.com</t>
        </is>
      </c>
      <c r="E235" t="inlineStr">
        <is>
          <t>https://lpjk.pu.go.id/search-badan-usaha-detail/Zk9vQ3FwSEJ3V1BmZUp5a1V1MUJvZz09</t>
        </is>
      </c>
      <c r="F235" t="n">
        <v>3</v>
      </c>
      <c r="G235" t="inlineStr">
        <is>
          <t>BG009</t>
        </is>
      </c>
      <c r="H235" t="inlineStr">
        <is>
          <t>3 Juni 2010</t>
        </is>
      </c>
      <c r="I235" s="2" t="n">
        <v>46335</v>
      </c>
      <c r="J235" t="inlineStr">
        <is>
          <t>Disetujui</t>
        </is>
      </c>
      <c r="K235" t="n">
        <v>87</v>
      </c>
      <c r="L235" t="inlineStr">
        <is>
          <t>9 November 2026</t>
        </is>
      </c>
      <c r="M235" t="inlineStr">
        <is>
          <t>Konstruksi Gedung Lainnya</t>
        </is>
      </c>
      <c r="N235" t="inlineStr">
        <is>
          <t>K</t>
        </is>
      </c>
      <c r="O235" t="inlineStr">
        <is>
          <t>20231110</t>
        </is>
      </c>
      <c r="P235" t="inlineStr">
        <is>
          <t>Jawa Barat</t>
        </is>
      </c>
      <c r="Q235" t="inlineStr"/>
    </row>
    <row r="236">
      <c r="A236" t="inlineStr">
        <is>
          <t>FAJAR</t>
        </is>
      </c>
      <c r="B236" t="inlineStr">
        <is>
          <t>Kab. Semarang</t>
        </is>
      </c>
      <c r="C236" t="inlineStr">
        <is>
          <t>081329662524</t>
        </is>
      </c>
      <c r="D236" t="inlineStr">
        <is>
          <t>komedifj@yahoo.co.id</t>
        </is>
      </c>
      <c r="E236" t="inlineStr">
        <is>
          <t>https://lpjk.pu.go.id/search-badan-usaha-detail/cWhLUlBHL1pCdXNoMGtNMmpHc2I1QT09</t>
        </is>
      </c>
      <c r="F236" t="n">
        <v>4</v>
      </c>
      <c r="G236" t="inlineStr">
        <is>
          <t>BG009, BS001, BS004, BS005</t>
        </is>
      </c>
      <c r="H236" t="inlineStr">
        <is>
          <t>13 Agustus 1999</t>
        </is>
      </c>
      <c r="I236" s="2" t="n">
        <v>46335</v>
      </c>
      <c r="J236" t="inlineStr">
        <is>
          <t>Disetujui</t>
        </is>
      </c>
      <c r="K236" t="n">
        <v>87</v>
      </c>
      <c r="L236" t="inlineStr">
        <is>
          <t>9 November 2026</t>
        </is>
      </c>
      <c r="M236" t="inlineStr">
        <is>
          <t>Konstruksi Bangunan Sipil Jalan, Konstruksi Bangunan Sipil Pengolahan Air Bersih, Konstruksi Gedung Lainnya, Konstruksi Jaringan Irigasi dan Drainase</t>
        </is>
      </c>
      <c r="N236" t="inlineStr">
        <is>
          <t>K</t>
        </is>
      </c>
      <c r="O236" t="inlineStr">
        <is>
          <t>20231107</t>
        </is>
      </c>
      <c r="P236" t="inlineStr">
        <is>
          <t>Jawa Tengah</t>
        </is>
      </c>
      <c r="Q236" t="inlineStr"/>
    </row>
    <row r="237">
      <c r="A237" t="inlineStr">
        <is>
          <t>FAJAR MULIA</t>
        </is>
      </c>
      <c r="B237" t="inlineStr">
        <is>
          <t>Kab. Jombang</t>
        </is>
      </c>
      <c r="C237" t="inlineStr">
        <is>
          <t>085706800952</t>
        </is>
      </c>
      <c r="D237" t="inlineStr">
        <is>
          <t>cvfajarmulia007@gmail.com</t>
        </is>
      </c>
      <c r="E237" t="inlineStr">
        <is>
          <t>https://lpjk.pu.go.id/search-badan-usaha-detail/eTVOZ2dCVTJDUGR3YWxxSHNJbkduQT09</t>
        </is>
      </c>
      <c r="F237" t="n">
        <v>4</v>
      </c>
      <c r="G237" t="inlineStr">
        <is>
          <t>BG001, BG002, BG005, BG009</t>
        </is>
      </c>
      <c r="H237" t="inlineStr">
        <is>
          <t>19 April 2011</t>
        </is>
      </c>
      <c r="I237" s="2" t="n">
        <v>46335</v>
      </c>
      <c r="J237" t="inlineStr">
        <is>
          <t>Disetujui</t>
        </is>
      </c>
      <c r="K237" t="n">
        <v>87</v>
      </c>
      <c r="L237" t="inlineStr">
        <is>
          <t>9 November 2026</t>
        </is>
      </c>
      <c r="M237" t="inlineStr">
        <is>
          <t>Konstruksi Gedung Hunian, Konstruksi Gedung Kesehatan, Konstruksi Gedung Lainnya, Konstruksi Gedung Perkantoran</t>
        </is>
      </c>
      <c r="N237" t="inlineStr">
        <is>
          <t>K</t>
        </is>
      </c>
      <c r="O237" t="inlineStr">
        <is>
          <t>20231024, 20231027</t>
        </is>
      </c>
      <c r="P237" t="inlineStr">
        <is>
          <t>Jawa Timur</t>
        </is>
      </c>
      <c r="Q237" t="inlineStr"/>
    </row>
    <row r="238">
      <c r="A238" t="inlineStr">
        <is>
          <t>FAMILY KONTRAKTOR</t>
        </is>
      </c>
      <c r="B238" t="inlineStr">
        <is>
          <t>Kota Payakumbuh</t>
        </is>
      </c>
      <c r="C238" t="inlineStr">
        <is>
          <t>085263522300</t>
        </is>
      </c>
      <c r="D238" t="inlineStr">
        <is>
          <t>cv.familykontraktor@yahoo.com</t>
        </is>
      </c>
      <c r="E238" t="inlineStr">
        <is>
          <t>https://lpjk.pu.go.id/search-badan-usaha-detail/cTUxT3NpdEgzbmhkZnQwUU9BWFAzUT09</t>
        </is>
      </c>
      <c r="F238" t="n">
        <v>5</v>
      </c>
      <c r="G238" t="inlineStr">
        <is>
          <t>BG005, BG006, BG009, BS001, BS004</t>
        </is>
      </c>
      <c r="H238" t="inlineStr">
        <is>
          <t>18 April 2017</t>
        </is>
      </c>
      <c r="I238" s="2" t="n">
        <v>46335</v>
      </c>
      <c r="J238" t="inlineStr">
        <is>
          <t>Disetujui, Pencabutan</t>
        </is>
      </c>
      <c r="K238" t="n">
        <v>87</v>
      </c>
      <c r="L238" t="inlineStr">
        <is>
          <t>9 November 2026</t>
        </is>
      </c>
      <c r="M238" t="inlineStr">
        <is>
          <t>Konstruksi Bangunan Sipil Jalan, Konstruksi Gedung Kesehatan, Konstruksi Gedung Lainnya, Konstruksi Gedung Pendidikan, Konstruksi Jaringan Irigasi dan Drainase</t>
        </is>
      </c>
      <c r="N238" t="inlineStr">
        <is>
          <t>K</t>
        </is>
      </c>
      <c r="O238" t="inlineStr">
        <is>
          <t>20231110, 20231111</t>
        </is>
      </c>
      <c r="P238" t="inlineStr">
        <is>
          <t>Sumatera Barat</t>
        </is>
      </c>
      <c r="Q238" t="inlineStr"/>
    </row>
    <row r="239">
      <c r="A239" t="inlineStr">
        <is>
          <t>FARABI</t>
        </is>
      </c>
      <c r="B239" t="inlineStr">
        <is>
          <t>Kota Sibolga</t>
        </is>
      </c>
      <c r="C239" t="inlineStr">
        <is>
          <t>081269985868</t>
        </is>
      </c>
      <c r="D239" t="inlineStr">
        <is>
          <t>cvfarabi6@gmail.com</t>
        </is>
      </c>
      <c r="E239" t="inlineStr">
        <is>
          <t>https://lpjk.pu.go.id/search-badan-usaha-detail/MTdmVzFWRjBOVTZDUUVvdHNydGpEZz09</t>
        </is>
      </c>
      <c r="F239" t="n">
        <v>3</v>
      </c>
      <c r="G239" t="inlineStr">
        <is>
          <t>BG006, BG009, BS004</t>
        </is>
      </c>
      <c r="H239" t="inlineStr">
        <is>
          <t>10 Oktober 2023</t>
        </is>
      </c>
      <c r="I239" s="2" t="n">
        <v>46334</v>
      </c>
      <c r="J239" t="inlineStr">
        <is>
          <t>Disetujui</t>
        </is>
      </c>
      <c r="K239" t="n">
        <v>87</v>
      </c>
      <c r="L239" t="inlineStr">
        <is>
          <t>8 November 2026</t>
        </is>
      </c>
      <c r="M239" t="inlineStr">
        <is>
          <t>Konstruksi Gedung Lainnya, Konstruksi Gedung Pendidikan, Konstruksi Jaringan Irigasi dan Drainase</t>
        </is>
      </c>
      <c r="N239" t="inlineStr">
        <is>
          <t>K</t>
        </is>
      </c>
      <c r="O239" t="inlineStr">
        <is>
          <t>20231106, 20231115</t>
        </is>
      </c>
      <c r="P239" t="inlineStr">
        <is>
          <t>Sumatera Utara</t>
        </is>
      </c>
      <c r="Q239" t="inlineStr"/>
    </row>
    <row r="240">
      <c r="A240" t="inlineStr">
        <is>
          <t>FAUZAN GROUP</t>
        </is>
      </c>
      <c r="B240" t="inlineStr">
        <is>
          <t>Kota Medan</t>
        </is>
      </c>
      <c r="C240" t="inlineStr">
        <is>
          <t>085276655740</t>
        </is>
      </c>
      <c r="D240" t="inlineStr">
        <is>
          <t>cvfauzang@gmail.com</t>
        </is>
      </c>
      <c r="E240" t="inlineStr">
        <is>
          <t>https://lpjk.pu.go.id/search-badan-usaha-detail/SDN6UXI2OEYzaTRia1ZTUkQwdmxBUT09</t>
        </is>
      </c>
      <c r="F240" t="n">
        <v>6</v>
      </c>
      <c r="G240" t="inlineStr">
        <is>
          <t>BG001, BG009, BS004</t>
        </is>
      </c>
      <c r="H240" t="inlineStr">
        <is>
          <t>24 Mei 2012</t>
        </is>
      </c>
      <c r="I240" s="2" t="n">
        <v>46334</v>
      </c>
      <c r="J240" t="inlineStr">
        <is>
          <t>Disetujui</t>
        </is>
      </c>
      <c r="K240" t="n">
        <v>87</v>
      </c>
      <c r="L240" t="inlineStr">
        <is>
          <t>8 November 2026</t>
        </is>
      </c>
      <c r="M240" t="inlineStr">
        <is>
          <t>Konstruksi Gedung Hunian, Konstruksi Gedung Lainnya, Konstruksi Jaringan Irigasi dan Drainase</t>
        </is>
      </c>
      <c r="N240" t="inlineStr">
        <is>
          <t>K</t>
        </is>
      </c>
      <c r="O240" t="inlineStr">
        <is>
          <t>20231109</t>
        </is>
      </c>
      <c r="P240" t="inlineStr">
        <is>
          <t>Sumatera Utara</t>
        </is>
      </c>
      <c r="Q240" t="inlineStr"/>
    </row>
    <row r="241">
      <c r="A241" t="inlineStr">
        <is>
          <t>FELLICE JAYA MANDIRI</t>
        </is>
      </c>
      <c r="B241" t="inlineStr">
        <is>
          <t>Kab. Karawang</t>
        </is>
      </c>
      <c r="C241" t="inlineStr">
        <is>
          <t>082111083955</t>
        </is>
      </c>
      <c r="D241" t="inlineStr">
        <is>
          <t>fellicejayamandiript@gmail.com</t>
        </is>
      </c>
      <c r="E241" t="inlineStr">
        <is>
          <t>https://lpjk.pu.go.id/search-badan-usaha-detail/OXo3dFRYMmxhaUlsak5RZ21uMGtjUT09</t>
        </is>
      </c>
      <c r="F241" t="n">
        <v>1</v>
      </c>
      <c r="G241" t="inlineStr">
        <is>
          <t>BG009</t>
        </is>
      </c>
      <c r="H241" t="inlineStr">
        <is>
          <t>12 Juli 2022</t>
        </is>
      </c>
      <c r="I241" s="2" t="n">
        <v>46337</v>
      </c>
      <c r="J241" t="inlineStr">
        <is>
          <t>Pencabutan</t>
        </is>
      </c>
      <c r="K241" t="n">
        <v>87</v>
      </c>
      <c r="L241" t="inlineStr">
        <is>
          <t>11 November 2026</t>
        </is>
      </c>
      <c r="M241" t="inlineStr">
        <is>
          <t>Konstruksi Gedung Lainnya</t>
        </is>
      </c>
      <c r="N241" t="inlineStr">
        <is>
          <t>K</t>
        </is>
      </c>
      <c r="O241" t="inlineStr">
        <is>
          <t>20231109</t>
        </is>
      </c>
      <c r="P241" t="inlineStr">
        <is>
          <t>Jawa Barat</t>
        </is>
      </c>
      <c r="Q241" t="inlineStr"/>
    </row>
    <row r="242">
      <c r="A242" t="inlineStr">
        <is>
          <t>FIRDAUS JAYA ABADI</t>
        </is>
      </c>
      <c r="B242" t="inlineStr">
        <is>
          <t>Kab. Lampung Tengah</t>
        </is>
      </c>
      <c r="C242" t="inlineStr">
        <is>
          <t>082183976299</t>
        </is>
      </c>
      <c r="D242" t="inlineStr">
        <is>
          <t>firdausjayaabadi74@gmail.com</t>
        </is>
      </c>
      <c r="E242" t="inlineStr">
        <is>
          <t>https://lpjk.pu.go.id/search-badan-usaha-detail/QTV6OFlzcStGZGhLYnlBTjRvaVNEUT09</t>
        </is>
      </c>
      <c r="F242" t="n">
        <v>2</v>
      </c>
      <c r="G242" t="inlineStr">
        <is>
          <t>BG009</t>
        </is>
      </c>
      <c r="H242" t="inlineStr">
        <is>
          <t>13 Februari 2008</t>
        </is>
      </c>
      <c r="I242" s="2" t="n">
        <v>46339</v>
      </c>
      <c r="J242" t="inlineStr">
        <is>
          <t>Disetujui</t>
        </is>
      </c>
      <c r="K242" t="n">
        <v>87</v>
      </c>
      <c r="L242" t="inlineStr">
        <is>
          <t>13 November 2026</t>
        </is>
      </c>
      <c r="M242" t="inlineStr">
        <is>
          <t>Konstruksi Gedung Lainnya</t>
        </is>
      </c>
      <c r="N242" t="inlineStr">
        <is>
          <t>K</t>
        </is>
      </c>
      <c r="O242" t="inlineStr">
        <is>
          <t>20231112</t>
        </is>
      </c>
      <c r="P242" t="inlineStr">
        <is>
          <t>Lampung</t>
        </is>
      </c>
      <c r="Q242" t="inlineStr"/>
    </row>
    <row r="243">
      <c r="A243" t="inlineStr">
        <is>
          <t>FREYA JAYA MANDIRI</t>
        </is>
      </c>
      <c r="B243" t="inlineStr">
        <is>
          <t>Kota Kendari</t>
        </is>
      </c>
      <c r="C243" t="inlineStr">
        <is>
          <t>085241612951</t>
        </is>
      </c>
      <c r="D243" t="inlineStr">
        <is>
          <t>freyajayamandiri@gmail.com</t>
        </is>
      </c>
      <c r="E243" t="inlineStr">
        <is>
          <t>https://lpjk.pu.go.id/search-badan-usaha-detail/NWVOSDFuQ0UrdVlCdnhGV0s5MGlwQT09</t>
        </is>
      </c>
      <c r="F243" t="n">
        <v>1</v>
      </c>
      <c r="G243" t="inlineStr">
        <is>
          <t>BS005</t>
        </is>
      </c>
      <c r="H243" t="inlineStr">
        <is>
          <t>15 Juni 2017</t>
        </is>
      </c>
      <c r="I243" s="2" t="n">
        <v>46339</v>
      </c>
      <c r="J243" t="inlineStr">
        <is>
          <t>Disetujui</t>
        </is>
      </c>
      <c r="K243" t="n">
        <v>87</v>
      </c>
      <c r="L243" t="inlineStr">
        <is>
          <t>13 November 2026</t>
        </is>
      </c>
      <c r="M243" t="inlineStr">
        <is>
          <t>Konstruksi Bangunan Sipil Pengolahan Air Bersih</t>
        </is>
      </c>
      <c r="N243" t="inlineStr">
        <is>
          <t>K</t>
        </is>
      </c>
      <c r="O243" t="inlineStr">
        <is>
          <t>20231112</t>
        </is>
      </c>
      <c r="P243" t="inlineStr">
        <is>
          <t>Sulawesi Tenggara</t>
        </is>
      </c>
      <c r="Q243" t="inlineStr"/>
    </row>
    <row r="244">
      <c r="A244" t="inlineStr">
        <is>
          <t>GAJAH BERSAUDARA</t>
        </is>
      </c>
      <c r="B244" t="inlineStr">
        <is>
          <t>Kab. Banyuwangi</t>
        </is>
      </c>
      <c r="C244" t="inlineStr">
        <is>
          <t>081913914998</t>
        </is>
      </c>
      <c r="D244" t="inlineStr">
        <is>
          <t>gajahbersama@gmail.com</t>
        </is>
      </c>
      <c r="E244" t="inlineStr">
        <is>
          <t>https://lpjk.pu.go.id/search-badan-usaha-detail/NXN4TUVrSEpHQUxvMlM2M1dWVlVqUT09</t>
        </is>
      </c>
      <c r="F244" t="n">
        <v>1</v>
      </c>
      <c r="G244" t="inlineStr">
        <is>
          <t>BG005</t>
        </is>
      </c>
      <c r="H244" t="inlineStr">
        <is>
          <t>4 Februari 2012</t>
        </is>
      </c>
      <c r="I244" s="2" t="n">
        <v>46335</v>
      </c>
      <c r="J244" t="inlineStr">
        <is>
          <t>Disetujui</t>
        </is>
      </c>
      <c r="K244" t="n">
        <v>87</v>
      </c>
      <c r="L244" t="inlineStr">
        <is>
          <t>9 November 2026</t>
        </is>
      </c>
      <c r="M244" t="inlineStr">
        <is>
          <t>Konstruksi Gedung Kesehatan</t>
        </is>
      </c>
      <c r="N244" t="inlineStr">
        <is>
          <t>K</t>
        </is>
      </c>
      <c r="O244" t="inlineStr">
        <is>
          <t>20231106</t>
        </is>
      </c>
      <c r="P244" t="inlineStr">
        <is>
          <t>Jawa Timur</t>
        </is>
      </c>
      <c r="Q244" t="inlineStr"/>
    </row>
    <row r="245">
      <c r="A245" t="inlineStr">
        <is>
          <t>GAJAH TUNGGAL PERKASA</t>
        </is>
      </c>
      <c r="B245" t="inlineStr">
        <is>
          <t>Kab. Bondowoso</t>
        </is>
      </c>
      <c r="C245" t="inlineStr">
        <is>
          <t>085230760441</t>
        </is>
      </c>
      <c r="D245" t="inlineStr">
        <is>
          <t>gajahtunggalperkasa_cv@yahoo.com</t>
        </is>
      </c>
      <c r="E245" t="inlineStr">
        <is>
          <t>https://lpjk.pu.go.id/search-badan-usaha-detail/NkppWEZpSTVWSzRCSW8veHllS01QUT09</t>
        </is>
      </c>
      <c r="F245" t="n">
        <v>1</v>
      </c>
      <c r="G245" t="inlineStr">
        <is>
          <t>BG001</t>
        </is>
      </c>
      <c r="H245" t="inlineStr">
        <is>
          <t>23 Desember 2003</t>
        </is>
      </c>
      <c r="I245" s="2" t="n">
        <v>46340</v>
      </c>
      <c r="J245" t="inlineStr">
        <is>
          <t>Disetujui</t>
        </is>
      </c>
      <c r="K245" t="n">
        <v>87</v>
      </c>
      <c r="L245" t="inlineStr">
        <is>
          <t>14 November 2026</t>
        </is>
      </c>
      <c r="M245" t="inlineStr">
        <is>
          <t>Konstruksi Gedung Hunian</t>
        </is>
      </c>
      <c r="N245" t="inlineStr">
        <is>
          <t>K</t>
        </is>
      </c>
      <c r="O245" t="inlineStr">
        <is>
          <t>20231105</t>
        </is>
      </c>
      <c r="P245" t="inlineStr">
        <is>
          <t>Jawa Timur</t>
        </is>
      </c>
      <c r="Q245" t="inlineStr"/>
    </row>
    <row r="246">
      <c r="A246" t="inlineStr">
        <is>
          <t>GAMBAR KONSULTAN</t>
        </is>
      </c>
      <c r="B246" t="inlineStr">
        <is>
          <t>Kota Banjarmasin</t>
        </is>
      </c>
      <c r="C246" t="inlineStr">
        <is>
          <t>085251644555</t>
        </is>
      </c>
      <c r="D246" t="inlineStr">
        <is>
          <t>cvgambarkonsultan@gmail.com</t>
        </is>
      </c>
      <c r="E246" t="inlineStr">
        <is>
          <t>https://lpjk.pu.go.id/search-badan-usaha-detail/NWRZLzRvRTlBbWdqZW1sTUZuUWJWUT09</t>
        </is>
      </c>
      <c r="F246" t="n">
        <v>1</v>
      </c>
      <c r="G246" t="inlineStr">
        <is>
          <t>RK002</t>
        </is>
      </c>
      <c r="H246" t="inlineStr">
        <is>
          <t>6 Desember 2000</t>
        </is>
      </c>
      <c r="I246" s="2" t="n">
        <v>46338</v>
      </c>
      <c r="J246" t="inlineStr">
        <is>
          <t>Disetujui</t>
        </is>
      </c>
      <c r="K246" t="n">
        <v>87</v>
      </c>
      <c r="L246" t="inlineStr">
        <is>
          <t>12 November 2026</t>
        </is>
      </c>
      <c r="M246" t="inlineStr">
        <is>
          <t>Jasa Rekayasa Pekerjaan Teknik Sipil Sumber Daya Air</t>
        </is>
      </c>
      <c r="N246" t="inlineStr">
        <is>
          <t>K</t>
        </is>
      </c>
      <c r="O246" t="inlineStr">
        <is>
          <t>20231026</t>
        </is>
      </c>
      <c r="P246" t="inlineStr">
        <is>
          <t>Kalimantan Selatan</t>
        </is>
      </c>
      <c r="Q246" t="inlineStr"/>
    </row>
    <row r="247">
      <c r="A247" t="inlineStr">
        <is>
          <t>GANIMAH SAKTI</t>
        </is>
      </c>
      <c r="B247" t="inlineStr">
        <is>
          <t>Kota Padang Sidempuan</t>
        </is>
      </c>
      <c r="C247" t="inlineStr">
        <is>
          <t>081377320500</t>
        </is>
      </c>
      <c r="D247" t="inlineStr">
        <is>
          <t>ganimahsakticv@ymail.com</t>
        </is>
      </c>
      <c r="E247" t="inlineStr">
        <is>
          <t>https://lpjk.pu.go.id/search-badan-usaha-detail/ZE5vS1U3TDE0eExtaGRZdTBtQjJCUT09</t>
        </is>
      </c>
      <c r="F247" t="n">
        <v>1</v>
      </c>
      <c r="G247" t="inlineStr">
        <is>
          <t>BG009</t>
        </is>
      </c>
      <c r="H247" t="inlineStr">
        <is>
          <t>15 Oktober 1994</t>
        </is>
      </c>
      <c r="I247" s="2" t="n">
        <v>46340</v>
      </c>
      <c r="J247" t="inlineStr">
        <is>
          <t>Disetujui</t>
        </is>
      </c>
      <c r="K247" t="n">
        <v>87</v>
      </c>
      <c r="L247" t="inlineStr">
        <is>
          <t>14 November 2026</t>
        </is>
      </c>
      <c r="M247" t="inlineStr">
        <is>
          <t>Konstruksi Gedung Lainnya</t>
        </is>
      </c>
      <c r="N247" t="inlineStr">
        <is>
          <t>K</t>
        </is>
      </c>
      <c r="O247" t="inlineStr">
        <is>
          <t>20231115</t>
        </is>
      </c>
      <c r="P247" t="inlineStr">
        <is>
          <t>Sumatera Utara</t>
        </is>
      </c>
      <c r="Q247" t="inlineStr"/>
    </row>
    <row r="248">
      <c r="A248" t="inlineStr">
        <is>
          <t>GARUDA CAHAYA CONSULTANT</t>
        </is>
      </c>
      <c r="B248" t="inlineStr">
        <is>
          <t>Kab. Pemalang</t>
        </is>
      </c>
      <c r="C248" t="inlineStr">
        <is>
          <t>085225843004</t>
        </is>
      </c>
      <c r="D248" t="inlineStr">
        <is>
          <t>garudacahayaconsultant@gmail.com</t>
        </is>
      </c>
      <c r="E248" t="inlineStr">
        <is>
          <t>https://lpjk.pu.go.id/search-badan-usaha-detail/SlRrWXhIN3JrTE9lVkNJZkJsV2dBdz09</t>
        </is>
      </c>
      <c r="F248" t="n">
        <v>2</v>
      </c>
      <c r="G248" t="inlineStr">
        <is>
          <t>RK001, RK003</t>
        </is>
      </c>
      <c r="H248" t="inlineStr">
        <is>
          <t>19 Juni 2023</t>
        </is>
      </c>
      <c r="I248" s="2" t="n">
        <v>46340</v>
      </c>
      <c r="J248" t="inlineStr">
        <is>
          <t>Disetujui</t>
        </is>
      </c>
      <c r="K248" t="n">
        <v>87</v>
      </c>
      <c r="L248" t="inlineStr">
        <is>
          <t>14 November 2026</t>
        </is>
      </c>
      <c r="M248" t="inlineStr">
        <is>
          <t>Jasa Rekayasa Konstruksi Bangunan Gedung Hunian dan Non Hunian, Jasa Rekayasa Pekerjaan Teknik Sipil Transportasi</t>
        </is>
      </c>
      <c r="N248" t="inlineStr">
        <is>
          <t>K</t>
        </is>
      </c>
      <c r="O248" t="inlineStr">
        <is>
          <t>20231113</t>
        </is>
      </c>
      <c r="P248" t="inlineStr">
        <is>
          <t>Jawa Tengah</t>
        </is>
      </c>
      <c r="Q248" t="inlineStr"/>
    </row>
    <row r="249">
      <c r="A249" t="inlineStr">
        <is>
          <t>GARUDA LINTAS NUSA</t>
        </is>
      </c>
      <c r="B249" t="inlineStr">
        <is>
          <t>Kab. Sidoarjo</t>
        </is>
      </c>
      <c r="C249" t="inlineStr">
        <is>
          <t>03185595981</t>
        </is>
      </c>
      <c r="D249" t="inlineStr">
        <is>
          <t>garudalintasnusa@gmail.com</t>
        </is>
      </c>
      <c r="E249" t="inlineStr">
        <is>
          <t>https://lpjk.pu.go.id/search-badan-usaha-detail/NE1uZXZRS2RoM2Y0bENmZXFnUEFhUT09</t>
        </is>
      </c>
      <c r="F249" t="n">
        <v>2</v>
      </c>
      <c r="G249" t="inlineStr">
        <is>
          <t>BG002, BG009</t>
        </is>
      </c>
      <c r="H249" t="inlineStr">
        <is>
          <t>6 Agustus 2019</t>
        </is>
      </c>
      <c r="I249" s="2" t="n">
        <v>46337</v>
      </c>
      <c r="J249" t="inlineStr">
        <is>
          <t>Disetujui</t>
        </is>
      </c>
      <c r="K249" t="n">
        <v>87</v>
      </c>
      <c r="L249" t="inlineStr">
        <is>
          <t>11 November 2026</t>
        </is>
      </c>
      <c r="M249" t="inlineStr">
        <is>
          <t>Konstruksi Gedung Lainnya, Konstruksi Gedung Perkantoran</t>
        </is>
      </c>
      <c r="N249" t="inlineStr">
        <is>
          <t>K</t>
        </is>
      </c>
      <c r="O249" t="inlineStr">
        <is>
          <t>20231110</t>
        </is>
      </c>
      <c r="P249" t="inlineStr">
        <is>
          <t>Jawa Timur</t>
        </is>
      </c>
      <c r="Q249" t="inlineStr"/>
    </row>
    <row r="250">
      <c r="A250" t="inlineStr">
        <is>
          <t>GAY MELANDIS DEVELOPMENT</t>
        </is>
      </c>
      <c r="B250" t="inlineStr">
        <is>
          <t>Kab. Cianjur</t>
        </is>
      </c>
      <c r="C250" t="inlineStr">
        <is>
          <t>085863520900</t>
        </is>
      </c>
      <c r="D250" t="inlineStr">
        <is>
          <t>gmd.cianjur@gmail.com</t>
        </is>
      </c>
      <c r="E250" t="inlineStr">
        <is>
          <t>https://lpjk.pu.go.id/search-badan-usaha-detail/QjJtTE81ZEFlVEVZa1NNcW9ZRlpHdz09</t>
        </is>
      </c>
      <c r="F250" t="n">
        <v>1</v>
      </c>
      <c r="G250" t="inlineStr">
        <is>
          <t>BG009</t>
        </is>
      </c>
      <c r="H250" t="inlineStr">
        <is>
          <t>23 Oktober 1986</t>
        </is>
      </c>
      <c r="I250" s="2" t="n">
        <v>46339</v>
      </c>
      <c r="J250" t="inlineStr">
        <is>
          <t>Disetujui</t>
        </is>
      </c>
      <c r="K250" t="n">
        <v>87</v>
      </c>
      <c r="L250" t="inlineStr">
        <is>
          <t>13 November 2026</t>
        </is>
      </c>
      <c r="M250" t="inlineStr">
        <is>
          <t>Konstruksi Gedung Lainnya</t>
        </is>
      </c>
      <c r="N250" t="inlineStr">
        <is>
          <t>K</t>
        </is>
      </c>
      <c r="O250" t="inlineStr">
        <is>
          <t>20231113</t>
        </is>
      </c>
      <c r="P250" t="inlineStr">
        <is>
          <t>Jawa Barat</t>
        </is>
      </c>
      <c r="Q250" t="inlineStr"/>
    </row>
    <row r="251">
      <c r="A251" t="inlineStr">
        <is>
          <t>GEMILANG</t>
        </is>
      </c>
      <c r="B251" t="inlineStr">
        <is>
          <t>Kab. Ponorogo</t>
        </is>
      </c>
      <c r="C251" t="inlineStr">
        <is>
          <t>085702819117</t>
        </is>
      </c>
      <c r="D251" t="inlineStr">
        <is>
          <t>gemilang.cv8@gmail.com</t>
        </is>
      </c>
      <c r="E251" t="inlineStr">
        <is>
          <t>https://lpjk.pu.go.id/search-badan-usaha-detail/V2FKSUhJMmRRZnh2WXFVQWpuSUZxUT09</t>
        </is>
      </c>
      <c r="F251" t="n">
        <v>1</v>
      </c>
      <c r="G251" t="inlineStr">
        <is>
          <t>BG005</t>
        </is>
      </c>
      <c r="H251" t="inlineStr">
        <is>
          <t>21 Agustus 1995</t>
        </is>
      </c>
      <c r="I251" s="2" t="n">
        <v>46336</v>
      </c>
      <c r="J251" t="inlineStr">
        <is>
          <t>Disetujui</t>
        </is>
      </c>
      <c r="K251" t="n">
        <v>87</v>
      </c>
      <c r="L251" t="inlineStr">
        <is>
          <t>10 November 2026</t>
        </is>
      </c>
      <c r="M251" t="inlineStr">
        <is>
          <t>Konstruksi Gedung Kesehatan</t>
        </is>
      </c>
      <c r="N251" t="inlineStr">
        <is>
          <t>K</t>
        </is>
      </c>
      <c r="O251" t="inlineStr">
        <is>
          <t>20231110</t>
        </is>
      </c>
      <c r="P251" t="inlineStr">
        <is>
          <t>Jawa Timur</t>
        </is>
      </c>
      <c r="Q251" t="inlineStr"/>
    </row>
    <row r="252">
      <c r="A252" t="inlineStr">
        <is>
          <t>GENTA MULTI JAYYA</t>
        </is>
      </c>
      <c r="B252" t="inlineStr">
        <is>
          <t>Kota Semarang</t>
        </is>
      </c>
      <c r="C252" t="inlineStr">
        <is>
          <t>0243588766</t>
        </is>
      </c>
      <c r="D252" t="inlineStr">
        <is>
          <t>pt.gentamultijaya@gmail.com</t>
        </is>
      </c>
      <c r="E252" t="inlineStr">
        <is>
          <t>https://lpjk.pu.go.id/search-badan-usaha-detail/S2lrR1FtMk9qZEYxcWxEYnhBcXh6QT09</t>
        </is>
      </c>
      <c r="F252" t="n">
        <v>2</v>
      </c>
      <c r="G252" t="inlineStr">
        <is>
          <t>BS001, BS004</t>
        </is>
      </c>
      <c r="H252" t="inlineStr">
        <is>
          <t>5 November 2018</t>
        </is>
      </c>
      <c r="I252" s="2" t="n">
        <v>46339</v>
      </c>
      <c r="J252" t="inlineStr">
        <is>
          <t>Disetujui, Pencabutan</t>
        </is>
      </c>
      <c r="K252" t="n">
        <v>87</v>
      </c>
      <c r="L252" t="inlineStr">
        <is>
          <t>13 November 2026</t>
        </is>
      </c>
      <c r="M252" t="inlineStr">
        <is>
          <t>Konstruksi Bangunan Sipil Jalan, Konstruksi Jaringan Irigasi dan Drainase</t>
        </is>
      </c>
      <c r="N252" t="inlineStr">
        <is>
          <t>K</t>
        </is>
      </c>
      <c r="O252" t="inlineStr">
        <is>
          <t>20231111</t>
        </is>
      </c>
      <c r="P252" t="inlineStr">
        <is>
          <t>Jawa Tengah</t>
        </is>
      </c>
      <c r="Q252" t="inlineStr"/>
    </row>
    <row r="253">
      <c r="A253" t="inlineStr">
        <is>
          <t>GEO ART SCIENCE</t>
        </is>
      </c>
      <c r="B253" t="inlineStr">
        <is>
          <t>Kab. Sleman</t>
        </is>
      </c>
      <c r="C253" t="inlineStr">
        <is>
          <t>085231596174</t>
        </is>
      </c>
      <c r="D253" t="inlineStr">
        <is>
          <t>geoartscience@gmail.com</t>
        </is>
      </c>
      <c r="E253" t="inlineStr">
        <is>
          <t>https://lpjk.pu.go.id/search-badan-usaha-detail/clpvelhFV2g3aWhBbWhqbytlQ3o3UT09</t>
        </is>
      </c>
      <c r="F253" t="n">
        <v>2</v>
      </c>
      <c r="G253" t="inlineStr">
        <is>
          <t>AL002, AL003</t>
        </is>
      </c>
      <c r="H253" t="inlineStr">
        <is>
          <t>8 September 2015</t>
        </is>
      </c>
      <c r="I253" s="2" t="n">
        <v>46334</v>
      </c>
      <c r="J253" t="inlineStr">
        <is>
          <t>Disetujui</t>
        </is>
      </c>
      <c r="K253" t="n">
        <v>87</v>
      </c>
      <c r="L253" t="inlineStr">
        <is>
          <t>8 November 2026</t>
        </is>
      </c>
      <c r="M253" t="inlineStr">
        <is>
          <t>Jasa Pengembangan Perkotaan, Jasa Pengembangan Wilayah</t>
        </is>
      </c>
      <c r="N253" t="inlineStr">
        <is>
          <t>K</t>
        </is>
      </c>
      <c r="O253" t="inlineStr">
        <is>
          <t>20231026, 20231106</t>
        </is>
      </c>
      <c r="P253" t="inlineStr">
        <is>
          <t>DI Yogyakarta</t>
        </is>
      </c>
      <c r="Q253" t="inlineStr"/>
    </row>
    <row r="254">
      <c r="A254" t="inlineStr">
        <is>
          <t>GIAN GIO GEMILANG</t>
        </is>
      </c>
      <c r="B254" t="inlineStr">
        <is>
          <t>Kab. Kutai Timur</t>
        </is>
      </c>
      <c r="C254" t="inlineStr">
        <is>
          <t>082150089172</t>
        </is>
      </c>
      <c r="D254" t="inlineStr">
        <is>
          <t>cv.giangiogemilang@gmail.com</t>
        </is>
      </c>
      <c r="E254" t="inlineStr">
        <is>
          <t>https://lpjk.pu.go.id/search-badan-usaha-detail/SEFpd1B2WEkweDh4WGpmaEpjeDY5Zz09</t>
        </is>
      </c>
      <c r="F254" t="n">
        <v>1</v>
      </c>
      <c r="G254" t="inlineStr">
        <is>
          <t>BG006</t>
        </is>
      </c>
      <c r="H254" t="inlineStr">
        <is>
          <t>4 Mei 2023</t>
        </is>
      </c>
      <c r="I254" s="2" t="n">
        <v>46340</v>
      </c>
      <c r="J254" t="inlineStr">
        <is>
          <t>Disetujui</t>
        </is>
      </c>
      <c r="K254" t="n">
        <v>87</v>
      </c>
      <c r="L254" t="inlineStr">
        <is>
          <t>14 November 2026</t>
        </is>
      </c>
      <c r="M254" t="inlineStr">
        <is>
          <t>Konstruksi Gedung Pendidikan</t>
        </is>
      </c>
      <c r="N254" t="inlineStr">
        <is>
          <t>K</t>
        </is>
      </c>
      <c r="O254" t="inlineStr">
        <is>
          <t>20231107</t>
        </is>
      </c>
      <c r="P254" t="inlineStr">
        <is>
          <t>Kalimantan Timur</t>
        </is>
      </c>
      <c r="Q254" t="inlineStr"/>
    </row>
    <row r="255">
      <c r="A255" t="inlineStr">
        <is>
          <t>GIENDA PUTRA</t>
        </is>
      </c>
      <c r="B255" t="inlineStr">
        <is>
          <t>Kab. Bandung</t>
        </is>
      </c>
      <c r="C255" t="inlineStr">
        <is>
          <t>02287823075</t>
        </is>
      </c>
      <c r="D255" t="inlineStr">
        <is>
          <t>pt.giendaputra@gmail.com</t>
        </is>
      </c>
      <c r="E255" t="inlineStr">
        <is>
          <t>https://lpjk.pu.go.id/search-badan-usaha-detail/UXQwRkNIQW9mYzVKcHVUUnpEWTRRZz09</t>
        </is>
      </c>
      <c r="F255" t="n">
        <v>1</v>
      </c>
      <c r="G255" t="inlineStr">
        <is>
          <t>BS001</t>
        </is>
      </c>
      <c r="H255" t="inlineStr">
        <is>
          <t>22 Mei 2010</t>
        </is>
      </c>
      <c r="I255" s="2" t="n">
        <v>46335</v>
      </c>
      <c r="J255" t="inlineStr">
        <is>
          <t>Pencabutan</t>
        </is>
      </c>
      <c r="K255" t="n">
        <v>87</v>
      </c>
      <c r="L255" t="inlineStr">
        <is>
          <t>9 November 2026</t>
        </is>
      </c>
      <c r="M255" t="inlineStr">
        <is>
          <t>Konstruksi Bangunan Sipil Jalan</t>
        </is>
      </c>
      <c r="N255" t="inlineStr">
        <is>
          <t>B</t>
        </is>
      </c>
      <c r="O255" t="inlineStr">
        <is>
          <t>20231102</t>
        </is>
      </c>
      <c r="P255" t="inlineStr">
        <is>
          <t>Jawa Barat</t>
        </is>
      </c>
      <c r="Q255" t="inlineStr"/>
    </row>
    <row r="256">
      <c r="A256" t="inlineStr">
        <is>
          <t>GILANG BANGUN KARYA</t>
        </is>
      </c>
      <c r="B256" t="inlineStr">
        <is>
          <t>Kab. Banjarnegara</t>
        </is>
      </c>
      <c r="C256" t="inlineStr">
        <is>
          <t>081226844220</t>
        </is>
      </c>
      <c r="D256" t="inlineStr">
        <is>
          <t>gilangbangunk@yahoo.com</t>
        </is>
      </c>
      <c r="E256" t="inlineStr">
        <is>
          <t>https://lpjk.pu.go.id/search-badan-usaha-detail/VWFPVCtyeGlPR0xJOVlESVlHOTZHUT09</t>
        </is>
      </c>
      <c r="F256" t="n">
        <v>1</v>
      </c>
      <c r="G256" t="inlineStr">
        <is>
          <t>BG009</t>
        </is>
      </c>
      <c r="H256" t="inlineStr">
        <is>
          <t>24 September 2002</t>
        </is>
      </c>
      <c r="I256" s="2" t="n">
        <v>46339</v>
      </c>
      <c r="J256" t="inlineStr">
        <is>
          <t>Pencabutan</t>
        </is>
      </c>
      <c r="K256" t="n">
        <v>87</v>
      </c>
      <c r="L256" t="inlineStr">
        <is>
          <t>13 November 2026</t>
        </is>
      </c>
      <c r="M256" t="inlineStr">
        <is>
          <t>Konstruksi Gedung Lainnya</t>
        </is>
      </c>
      <c r="N256" t="inlineStr">
        <is>
          <t>K</t>
        </is>
      </c>
      <c r="O256" t="inlineStr">
        <is>
          <t>20231103</t>
        </is>
      </c>
      <c r="P256" t="inlineStr">
        <is>
          <t>Jawa Tengah</t>
        </is>
      </c>
      <c r="Q256" t="inlineStr"/>
    </row>
    <row r="257">
      <c r="A257" t="inlineStr">
        <is>
          <t>GILANG SAKTI KANAKA</t>
        </is>
      </c>
      <c r="B257" t="inlineStr">
        <is>
          <t>Kab. Gresik</t>
        </is>
      </c>
      <c r="C257" t="inlineStr">
        <is>
          <t>081375756905</t>
        </is>
      </c>
      <c r="D257" t="inlineStr">
        <is>
          <t>ptgisaka@gmail.com</t>
        </is>
      </c>
      <c r="E257" t="inlineStr">
        <is>
          <t>https://lpjk.pu.go.id/search-badan-usaha-detail/S3owQTM1ZFNQbjRRY3A2eXF6SDUrQT09</t>
        </is>
      </c>
      <c r="F257" t="n">
        <v>1</v>
      </c>
      <c r="G257" t="inlineStr">
        <is>
          <t>BG001</t>
        </is>
      </c>
      <c r="H257" t="inlineStr">
        <is>
          <t>7 Agustus 2021</t>
        </is>
      </c>
      <c r="I257" s="2" t="n">
        <v>46340</v>
      </c>
      <c r="J257" t="inlineStr">
        <is>
          <t>Pencabutan</t>
        </is>
      </c>
      <c r="K257" t="n">
        <v>87</v>
      </c>
      <c r="L257" t="inlineStr">
        <is>
          <t>14 November 2026</t>
        </is>
      </c>
      <c r="M257" t="inlineStr">
        <is>
          <t>Konstruksi Gedung Hunian</t>
        </is>
      </c>
      <c r="N257" t="inlineStr">
        <is>
          <t>K</t>
        </is>
      </c>
      <c r="O257" t="inlineStr">
        <is>
          <t>20231025</t>
        </is>
      </c>
      <c r="P257" t="inlineStr">
        <is>
          <t>Jawa Timur</t>
        </is>
      </c>
      <c r="Q257" t="inlineStr"/>
    </row>
    <row r="258">
      <c r="A258" t="inlineStr">
        <is>
          <t>GITA PRATAMA LESTARI</t>
        </is>
      </c>
      <c r="B258" t="inlineStr">
        <is>
          <t>Kab. Ciamis</t>
        </is>
      </c>
      <c r="C258" t="inlineStr">
        <is>
          <t>082218652158</t>
        </is>
      </c>
      <c r="D258" t="inlineStr">
        <is>
          <t>pt.gplestari@gmail.com</t>
        </is>
      </c>
      <c r="E258" t="inlineStr">
        <is>
          <t>https://lpjk.pu.go.id/search-badan-usaha-detail/MWk5eTZyekhBZmlRSHNrTUs3M3pOUT09</t>
        </is>
      </c>
      <c r="F258" t="n">
        <v>2</v>
      </c>
      <c r="G258" t="inlineStr">
        <is>
          <t>BG006, BG009</t>
        </is>
      </c>
      <c r="H258" t="inlineStr">
        <is>
          <t>27 Juli 2023</t>
        </is>
      </c>
      <c r="I258" s="2" t="n">
        <v>46340</v>
      </c>
      <c r="J258" t="inlineStr">
        <is>
          <t>Disetujui</t>
        </is>
      </c>
      <c r="K258" t="n">
        <v>87</v>
      </c>
      <c r="L258" t="inlineStr">
        <is>
          <t>14 November 2026</t>
        </is>
      </c>
      <c r="M258" t="inlineStr">
        <is>
          <t>Konstruksi Gedung Lainnya, Konstruksi Gedung Pendidikan</t>
        </is>
      </c>
      <c r="N258" t="inlineStr">
        <is>
          <t>K</t>
        </is>
      </c>
      <c r="O258" t="inlineStr">
        <is>
          <t>20231110</t>
        </is>
      </c>
      <c r="P258" t="inlineStr">
        <is>
          <t>Jawa Barat</t>
        </is>
      </c>
      <c r="Q258" t="inlineStr"/>
    </row>
    <row r="259">
      <c r="A259" t="inlineStr">
        <is>
          <t>GITO BANGUN MANDIRI</t>
        </is>
      </c>
      <c r="B259" t="inlineStr">
        <is>
          <t>Kab. Karawang</t>
        </is>
      </c>
      <c r="C259" t="inlineStr">
        <is>
          <t>08211441864</t>
        </is>
      </c>
      <c r="D259" t="inlineStr">
        <is>
          <t>Gitobangunmandiri@gmail.com</t>
        </is>
      </c>
      <c r="E259" t="inlineStr">
        <is>
          <t>https://lpjk.pu.go.id/search-badan-usaha-detail/THBhcVVwL3Zac0Rpc00wWDBGUDIzdz09</t>
        </is>
      </c>
      <c r="F259" t="n">
        <v>1</v>
      </c>
      <c r="G259" t="inlineStr">
        <is>
          <t>BG003</t>
        </is>
      </c>
      <c r="H259" t="inlineStr">
        <is>
          <t>18 Agustus 2015</t>
        </is>
      </c>
      <c r="I259" s="2" t="n">
        <v>46335</v>
      </c>
      <c r="J259" t="inlineStr">
        <is>
          <t>Pencabutan</t>
        </is>
      </c>
      <c r="K259" t="n">
        <v>87</v>
      </c>
      <c r="L259" t="inlineStr">
        <is>
          <t>9 November 2026</t>
        </is>
      </c>
      <c r="M259" t="inlineStr">
        <is>
          <t>Konstruksi Gedung Industri</t>
        </is>
      </c>
      <c r="N259" t="inlineStr">
        <is>
          <t>K</t>
        </is>
      </c>
      <c r="O259" t="inlineStr">
        <is>
          <t>20231031</t>
        </is>
      </c>
      <c r="P259" t="inlineStr">
        <is>
          <t>Jawa Barat</t>
        </is>
      </c>
      <c r="Q259" t="inlineStr"/>
    </row>
    <row r="260">
      <c r="A260" t="inlineStr">
        <is>
          <t>GLOBAL MADANINDO KONSULTAN</t>
        </is>
      </c>
      <c r="B260" t="inlineStr">
        <is>
          <t>Kota Makassar</t>
        </is>
      </c>
      <c r="C260" t="inlineStr">
        <is>
          <t>081355857755</t>
        </is>
      </c>
      <c r="D260" t="inlineStr">
        <is>
          <t>global98.consultant.cv@gmail.com</t>
        </is>
      </c>
      <c r="E260" t="inlineStr">
        <is>
          <t>https://lpjk.pu.go.id/search-badan-usaha-detail/aGJZbStwRlBoWkNNWE9EeitQYWlQZz09</t>
        </is>
      </c>
      <c r="F260" t="n">
        <v>3</v>
      </c>
      <c r="G260" t="inlineStr">
        <is>
          <t>AR001, AR002, AR003</t>
        </is>
      </c>
      <c r="H260" t="inlineStr">
        <is>
          <t>13 November 2008</t>
        </is>
      </c>
      <c r="I260" s="2" t="n">
        <v>46338</v>
      </c>
      <c r="J260" t="inlineStr">
        <is>
          <t>Pencabutan</t>
        </is>
      </c>
      <c r="K260" t="n">
        <v>87</v>
      </c>
      <c r="L260" t="inlineStr">
        <is>
          <t>12 November 2026</t>
        </is>
      </c>
      <c r="M260" t="inlineStr">
        <is>
          <t>Jasa Arsitektural Bangunan Gedung Hunian dan Non Hunian, Jasa Arsitektural Lainnya, Jasa Desain Interior pada Bangunan Gedung dan Bangunan Sipil</t>
        </is>
      </c>
      <c r="N260" t="inlineStr">
        <is>
          <t>K</t>
        </is>
      </c>
      <c r="O260" t="inlineStr">
        <is>
          <t>20231030</t>
        </is>
      </c>
      <c r="P260" t="inlineStr">
        <is>
          <t>Sulawesi Selatan</t>
        </is>
      </c>
      <c r="Q260" t="inlineStr"/>
    </row>
    <row r="261">
      <c r="A261" t="inlineStr">
        <is>
          <t>GLOBAL MITRA SUKSES UTAMA</t>
        </is>
      </c>
      <c r="B261" t="inlineStr">
        <is>
          <t>Kab. Bintan</t>
        </is>
      </c>
      <c r="C261" t="inlineStr">
        <is>
          <t>08127060747</t>
        </is>
      </c>
      <c r="D261" t="inlineStr">
        <is>
          <t>globalmitrasukses_utama@yahoo.com</t>
        </is>
      </c>
      <c r="E261" t="inlineStr">
        <is>
          <t>https://lpjk.pu.go.id/search-badan-usaha-detail/dmxUR0o5WGZ6OW50cUxpd1FnRXREUT09</t>
        </is>
      </c>
      <c r="F261" t="n">
        <v>1</v>
      </c>
      <c r="G261" t="inlineStr">
        <is>
          <t>BG007</t>
        </is>
      </c>
      <c r="H261" t="inlineStr">
        <is>
          <t>19 Januari 2022</t>
        </is>
      </c>
      <c r="I261" s="2" t="n">
        <v>46338</v>
      </c>
      <c r="J261" t="inlineStr">
        <is>
          <t>Disetujui</t>
        </is>
      </c>
      <c r="K261" t="n">
        <v>87</v>
      </c>
      <c r="L261" t="inlineStr">
        <is>
          <t>12 November 2026</t>
        </is>
      </c>
      <c r="M261" t="inlineStr">
        <is>
          <t>Konstruksi Gedung Penginapan</t>
        </is>
      </c>
      <c r="N261" t="inlineStr">
        <is>
          <t>K</t>
        </is>
      </c>
      <c r="O261" t="inlineStr">
        <is>
          <t>20231111</t>
        </is>
      </c>
      <c r="P261" t="inlineStr">
        <is>
          <t>Kepulauan Riau</t>
        </is>
      </c>
      <c r="Q261" t="inlineStr"/>
    </row>
    <row r="262">
      <c r="A262" t="inlineStr">
        <is>
          <t>GLORY INDAH NUSAJAYA</t>
        </is>
      </c>
      <c r="B262" t="inlineStr">
        <is>
          <t>Kota Tangerang Selatan</t>
        </is>
      </c>
      <c r="C262" t="inlineStr">
        <is>
          <t>081213556237</t>
        </is>
      </c>
      <c r="D262" t="inlineStr">
        <is>
          <t>gloryindahnusajaya@gmail.com</t>
        </is>
      </c>
      <c r="E262" t="inlineStr">
        <is>
          <t>https://lpjk.pu.go.id/search-badan-usaha-detail/SmZIN2lRSDVVdE83ZU5sRTBqcUMvUT09</t>
        </is>
      </c>
      <c r="F262" t="n">
        <v>1</v>
      </c>
      <c r="G262" t="inlineStr">
        <is>
          <t>BG003</t>
        </is>
      </c>
      <c r="H262" t="inlineStr">
        <is>
          <t>5 Oktober 2023</t>
        </is>
      </c>
      <c r="I262" s="2" t="n">
        <v>46340</v>
      </c>
      <c r="J262" t="inlineStr">
        <is>
          <t>Disetujui</t>
        </is>
      </c>
      <c r="K262" t="n">
        <v>87</v>
      </c>
      <c r="L262" t="inlineStr">
        <is>
          <t>14 November 2026</t>
        </is>
      </c>
      <c r="M262" t="inlineStr">
        <is>
          <t>Konstruksi Gedung Industri</t>
        </is>
      </c>
      <c r="N262" t="inlineStr">
        <is>
          <t>K</t>
        </is>
      </c>
      <c r="O262" t="inlineStr">
        <is>
          <t>20231115</t>
        </is>
      </c>
      <c r="P262" t="inlineStr">
        <is>
          <t>Banten</t>
        </is>
      </c>
      <c r="Q262" t="inlineStr"/>
    </row>
    <row r="263">
      <c r="A263" t="inlineStr">
        <is>
          <t>GOLD SERIES CONSTRUCTION</t>
        </is>
      </c>
      <c r="B263" t="inlineStr">
        <is>
          <t>Kab. Gowa</t>
        </is>
      </c>
      <c r="C263" t="inlineStr">
        <is>
          <t>08114448340</t>
        </is>
      </c>
      <c r="D263" t="inlineStr">
        <is>
          <t>goldseriesconstructionn@gmail.com</t>
        </is>
      </c>
      <c r="E263" t="inlineStr">
        <is>
          <t>https://lpjk.pu.go.id/search-badan-usaha-detail/RUhrWnN3bndGMFRCV005QUdnMUM2Zz09</t>
        </is>
      </c>
      <c r="F263" t="n">
        <v>2</v>
      </c>
      <c r="G263" t="inlineStr">
        <is>
          <t>BG002, BS001</t>
        </is>
      </c>
      <c r="H263" t="inlineStr">
        <is>
          <t>25 Oktober 2023</t>
        </is>
      </c>
      <c r="I263" s="2" t="n">
        <v>46338</v>
      </c>
      <c r="J263" t="inlineStr">
        <is>
          <t>Disetujui</t>
        </is>
      </c>
      <c r="K263" t="n">
        <v>87</v>
      </c>
      <c r="L263" t="inlineStr">
        <is>
          <t>12 November 2026</t>
        </is>
      </c>
      <c r="M263" t="inlineStr">
        <is>
          <t>Konstruksi Bangunan Sipil Jalan, Konstruksi Gedung Perkantoran</t>
        </is>
      </c>
      <c r="N263" t="inlineStr">
        <is>
          <t>K</t>
        </is>
      </c>
      <c r="O263" t="inlineStr">
        <is>
          <t>20231110</t>
        </is>
      </c>
      <c r="P263" t="inlineStr">
        <is>
          <t>Sulawesi Selatan</t>
        </is>
      </c>
      <c r="Q263" t="inlineStr"/>
    </row>
    <row r="264">
      <c r="A264" t="inlineStr">
        <is>
          <t>GOLDMONK ARCHITECTS</t>
        </is>
      </c>
      <c r="B264" t="inlineStr">
        <is>
          <t>Kab. Gianyar</t>
        </is>
      </c>
      <c r="C264" t="inlineStr">
        <is>
          <t>082247109758</t>
        </is>
      </c>
      <c r="D264" t="inlineStr">
        <is>
          <t>goldmonk.arch@gmail.com</t>
        </is>
      </c>
      <c r="E264" t="inlineStr">
        <is>
          <t>https://lpjk.pu.go.id/search-badan-usaha-detail/OE5FblEzS0orRTRXblA5T1BmYldXUT09</t>
        </is>
      </c>
      <c r="F264" t="n">
        <v>1</v>
      </c>
      <c r="G264" t="inlineStr">
        <is>
          <t>AR002</t>
        </is>
      </c>
      <c r="H264" t="inlineStr">
        <is>
          <t>29 November 2018</t>
        </is>
      </c>
      <c r="I264" s="2" t="n">
        <v>46340</v>
      </c>
      <c r="J264" t="inlineStr">
        <is>
          <t>Disetujui</t>
        </is>
      </c>
      <c r="K264" t="n">
        <v>87</v>
      </c>
      <c r="L264" t="inlineStr">
        <is>
          <t>14 November 2026</t>
        </is>
      </c>
      <c r="M264" t="inlineStr">
        <is>
          <t>Jasa Arsitektural Lainnya</t>
        </is>
      </c>
      <c r="N264" t="inlineStr">
        <is>
          <t>K</t>
        </is>
      </c>
      <c r="O264" t="inlineStr">
        <is>
          <t>20230921</t>
        </is>
      </c>
      <c r="P264" t="inlineStr">
        <is>
          <t>Bali</t>
        </is>
      </c>
      <c r="Q264" t="inlineStr"/>
    </row>
    <row r="265">
      <c r="A265" t="inlineStr">
        <is>
          <t>GRAHA KENCANA</t>
        </is>
      </c>
      <c r="B265" t="inlineStr">
        <is>
          <t>Kota Jambi</t>
        </is>
      </c>
      <c r="C265" t="inlineStr">
        <is>
          <t>08117469809</t>
        </is>
      </c>
      <c r="D265" t="inlineStr">
        <is>
          <t>grahakencana123@gmail.com</t>
        </is>
      </c>
      <c r="E265" t="inlineStr">
        <is>
          <t>https://lpjk.pu.go.id/search-badan-usaha-detail/OWlnN3QvanFiVWdMempyQTZWTWxtZz09</t>
        </is>
      </c>
      <c r="F265" t="n">
        <v>1</v>
      </c>
      <c r="G265" t="inlineStr">
        <is>
          <t>BS004</t>
        </is>
      </c>
      <c r="H265" t="inlineStr">
        <is>
          <t>1 Oktober 2014</t>
        </is>
      </c>
      <c r="I265" s="2" t="n">
        <v>46340</v>
      </c>
      <c r="J265" t="inlineStr">
        <is>
          <t>Disetujui</t>
        </is>
      </c>
      <c r="K265" t="n">
        <v>87</v>
      </c>
      <c r="L265" t="inlineStr">
        <is>
          <t>14 November 2026</t>
        </is>
      </c>
      <c r="M265" t="inlineStr">
        <is>
          <t>Konstruksi Jaringan Irigasi dan Drainase</t>
        </is>
      </c>
      <c r="N265" t="inlineStr">
        <is>
          <t>K</t>
        </is>
      </c>
      <c r="O265" t="inlineStr">
        <is>
          <t>20231106</t>
        </is>
      </c>
      <c r="P265" t="inlineStr">
        <is>
          <t>Jambi</t>
        </is>
      </c>
      <c r="Q265" t="inlineStr"/>
    </row>
    <row r="266">
      <c r="A266" t="inlineStr">
        <is>
          <t>GRAHA PRIMA ADIDAYA</t>
        </is>
      </c>
      <c r="B266" t="inlineStr">
        <is>
          <t>Kab. Gowa</t>
        </is>
      </c>
      <c r="C266" t="inlineStr">
        <is>
          <t>081254560369</t>
        </is>
      </c>
      <c r="D266" t="inlineStr">
        <is>
          <t>grahaprimaadidaya@yahoo.co.id</t>
        </is>
      </c>
      <c r="E266" t="inlineStr">
        <is>
          <t>https://lpjk.pu.go.id/search-badan-usaha-detail/d08zTHo3cnBVV0hGb0pUMnhFcUErUT09</t>
        </is>
      </c>
      <c r="F266" t="n">
        <v>1</v>
      </c>
      <c r="G266" t="inlineStr">
        <is>
          <t>BS010</t>
        </is>
      </c>
      <c r="H266" t="inlineStr">
        <is>
          <t>21 Mei 2010</t>
        </is>
      </c>
      <c r="I266" s="2" t="n">
        <v>46335</v>
      </c>
      <c r="J266" t="inlineStr">
        <is>
          <t>Pembekuan</t>
        </is>
      </c>
      <c r="K266" t="n">
        <v>87</v>
      </c>
      <c r="L266" t="inlineStr">
        <is>
          <t>9 November 2026</t>
        </is>
      </c>
      <c r="M266" t="inlineStr">
        <is>
          <t>Konstruksi Bangunan Prasarana Sumber Daya Air</t>
        </is>
      </c>
      <c r="N266" t="inlineStr">
        <is>
          <t>M</t>
        </is>
      </c>
      <c r="O266" t="inlineStr">
        <is>
          <t>20231103</t>
        </is>
      </c>
      <c r="P266" t="inlineStr">
        <is>
          <t>Sulawesi Selatan</t>
        </is>
      </c>
      <c r="Q266" t="inlineStr"/>
    </row>
    <row r="267">
      <c r="A267" t="inlineStr">
        <is>
          <t>GRAHA TERUSAN JASA</t>
        </is>
      </c>
      <c r="B267" t="inlineStr">
        <is>
          <t>Kab. Indramayu</t>
        </is>
      </c>
      <c r="C267" t="inlineStr">
        <is>
          <t>082221290819</t>
        </is>
      </c>
      <c r="D267" t="inlineStr">
        <is>
          <t>terusanjasa99@gmail.com</t>
        </is>
      </c>
      <c r="E267" t="inlineStr">
        <is>
          <t>https://lpjk.pu.go.id/search-badan-usaha-detail/RlRmOVB2Q00ySjJVS0NPZFBRdmtiQT09</t>
        </is>
      </c>
      <c r="F267" t="n">
        <v>1</v>
      </c>
      <c r="G267" t="inlineStr">
        <is>
          <t>BS004</t>
        </is>
      </c>
      <c r="H267" t="inlineStr">
        <is>
          <t>18 Juli 2023</t>
        </is>
      </c>
      <c r="I267" s="2" t="n">
        <v>46340</v>
      </c>
      <c r="J267" t="inlineStr">
        <is>
          <t>Disetujui</t>
        </is>
      </c>
      <c r="K267" t="n">
        <v>87</v>
      </c>
      <c r="L267" t="inlineStr">
        <is>
          <t>14 November 2026</t>
        </is>
      </c>
      <c r="M267" t="inlineStr">
        <is>
          <t>Konstruksi Jaringan Irigasi dan Drainase</t>
        </is>
      </c>
      <c r="N267" t="inlineStr">
        <is>
          <t>K</t>
        </is>
      </c>
      <c r="O267" t="inlineStr">
        <is>
          <t>20231109</t>
        </is>
      </c>
      <c r="P267" t="inlineStr">
        <is>
          <t>Jawa Barat</t>
        </is>
      </c>
      <c r="Q267" t="inlineStr"/>
    </row>
    <row r="268">
      <c r="A268" t="inlineStr">
        <is>
          <t>GRIYA PERSADA ENGINEERING</t>
        </is>
      </c>
      <c r="B268" t="inlineStr">
        <is>
          <t>Kota Surabaya</t>
        </is>
      </c>
      <c r="C268" t="inlineStr">
        <is>
          <t>081331390957</t>
        </is>
      </c>
      <c r="D268" t="inlineStr">
        <is>
          <t>griyapersada.sby@gmail.com</t>
        </is>
      </c>
      <c r="E268" t="inlineStr">
        <is>
          <t>https://lpjk.pu.go.id/search-badan-usaha-detail/K1FuT3Z4aDZFdmN1djJsV0lObnFMZz09</t>
        </is>
      </c>
      <c r="F268" t="n">
        <v>2</v>
      </c>
      <c r="G268" t="inlineStr">
        <is>
          <t>RK001, RK002</t>
        </is>
      </c>
      <c r="H268" t="inlineStr">
        <is>
          <t>4 April 2018</t>
        </is>
      </c>
      <c r="I268" s="2" t="n">
        <v>46339</v>
      </c>
      <c r="J268" t="inlineStr">
        <is>
          <t>Disetujui</t>
        </is>
      </c>
      <c r="K268" t="n">
        <v>87</v>
      </c>
      <c r="L268" t="inlineStr">
        <is>
          <t>13 November 2026</t>
        </is>
      </c>
      <c r="M268" t="inlineStr">
        <is>
          <t>Jasa Rekayasa Konstruksi Bangunan Gedung Hunian dan Non Hunian, Jasa Rekayasa Pekerjaan Teknik Sipil Sumber Daya Air</t>
        </is>
      </c>
      <c r="N268" t="inlineStr">
        <is>
          <t>K</t>
        </is>
      </c>
      <c r="O268" t="inlineStr">
        <is>
          <t>20231103</t>
        </is>
      </c>
      <c r="P268" t="inlineStr">
        <is>
          <t>Jawa Timur</t>
        </is>
      </c>
      <c r="Q268" t="inlineStr"/>
    </row>
    <row r="269">
      <c r="A269" t="inlineStr">
        <is>
          <t>GUMARANG</t>
        </is>
      </c>
      <c r="B269" t="inlineStr">
        <is>
          <t>Kab. Cilacap</t>
        </is>
      </c>
      <c r="C269" t="inlineStr">
        <is>
          <t>0282541677</t>
        </is>
      </c>
      <c r="D269" t="inlineStr">
        <is>
          <t>cvgumarang_clp@yahoo.co.id</t>
        </is>
      </c>
      <c r="E269" t="inlineStr">
        <is>
          <t>https://lpjk.pu.go.id/search-badan-usaha-detail/a3RocDVkTysybFV3WWxmRkpPbUdNQT09</t>
        </is>
      </c>
      <c r="F269" t="n">
        <v>1</v>
      </c>
      <c r="G269" t="inlineStr">
        <is>
          <t>IN004</t>
        </is>
      </c>
      <c r="H269" t="inlineStr">
        <is>
          <t>11 Januari 1994</t>
        </is>
      </c>
      <c r="I269" s="2" t="n">
        <v>46340</v>
      </c>
      <c r="J269" t="inlineStr">
        <is>
          <t>Pembekuan</t>
        </is>
      </c>
      <c r="K269" t="n">
        <v>87</v>
      </c>
      <c r="L269" t="inlineStr">
        <is>
          <t>14 November 2026</t>
        </is>
      </c>
      <c r="M269" t="inlineStr">
        <is>
          <t>Instalasi Minyak dan Gas</t>
        </is>
      </c>
      <c r="N269" t="inlineStr">
        <is>
          <t>Spesialis</t>
        </is>
      </c>
      <c r="O269" t="inlineStr">
        <is>
          <t>20231113</t>
        </is>
      </c>
      <c r="P269" t="inlineStr">
        <is>
          <t>Jawa Tengah</t>
        </is>
      </c>
      <c r="Q269" t="inlineStr"/>
    </row>
    <row r="270">
      <c r="A270" t="inlineStr">
        <is>
          <t>GUNUNG BELAH</t>
        </is>
      </c>
      <c r="B270" t="inlineStr">
        <is>
          <t>Kab. Kutai Kartanegara</t>
        </is>
      </c>
      <c r="C270" t="inlineStr">
        <is>
          <t>082350429297</t>
        </is>
      </c>
      <c r="D270" t="inlineStr">
        <is>
          <t>cv.gunungbelahtrg@gmail.com</t>
        </is>
      </c>
      <c r="E270" t="inlineStr">
        <is>
          <t>https://lpjk.pu.go.id/search-badan-usaha-detail/b1FTdHVvc1JTMW0vRGh4blJMV0RHZz09</t>
        </is>
      </c>
      <c r="F270" t="n">
        <v>2</v>
      </c>
      <c r="G270" t="inlineStr">
        <is>
          <t>BS001, BS004</t>
        </is>
      </c>
      <c r="H270" t="inlineStr">
        <is>
          <t>29 Desember 2003</t>
        </is>
      </c>
      <c r="I270" s="2" t="n">
        <v>46338</v>
      </c>
      <c r="J270" t="inlineStr">
        <is>
          <t>Disetujui</t>
        </is>
      </c>
      <c r="K270" t="n">
        <v>87</v>
      </c>
      <c r="L270" t="inlineStr">
        <is>
          <t>12 November 2026</t>
        </is>
      </c>
      <c r="M270" t="inlineStr">
        <is>
          <t>Konstruksi Bangunan Sipil Jalan, Konstruksi Jaringan Irigasi dan Drainase</t>
        </is>
      </c>
      <c r="N270" t="inlineStr">
        <is>
          <t>K</t>
        </is>
      </c>
      <c r="O270" t="inlineStr">
        <is>
          <t>20231107</t>
        </is>
      </c>
      <c r="P270" t="inlineStr">
        <is>
          <t>Kalimantan Timur</t>
        </is>
      </c>
      <c r="Q270" t="inlineStr"/>
    </row>
    <row r="271">
      <c r="A271" t="inlineStr">
        <is>
          <t>GUNUNG RAYA BULUKUMBA</t>
        </is>
      </c>
      <c r="B271" t="inlineStr">
        <is>
          <t>Kab. Bulukumba</t>
        </is>
      </c>
      <c r="C271" t="inlineStr">
        <is>
          <t>082311663346</t>
        </is>
      </c>
      <c r="D271" t="inlineStr">
        <is>
          <t>gunungraya.pt@gmail.com</t>
        </is>
      </c>
      <c r="E271" t="inlineStr">
        <is>
          <t>https://lpjk.pu.go.id/search-badan-usaha-detail/eUp0NmVXcmNCVm5WWm4vYTBxU3Zwdz09</t>
        </is>
      </c>
      <c r="F271" t="n">
        <v>1</v>
      </c>
      <c r="G271" t="inlineStr">
        <is>
          <t>BS010</t>
        </is>
      </c>
      <c r="H271" t="inlineStr">
        <is>
          <t>31 Agustus 2004</t>
        </is>
      </c>
      <c r="I271" s="2" t="n">
        <v>46334</v>
      </c>
      <c r="J271" t="inlineStr">
        <is>
          <t>Pembekuan</t>
        </is>
      </c>
      <c r="K271" t="n">
        <v>87</v>
      </c>
      <c r="L271" t="inlineStr">
        <is>
          <t>8 November 2026</t>
        </is>
      </c>
      <c r="M271" t="inlineStr">
        <is>
          <t>Konstruksi Bangunan Prasarana Sumber Daya Air</t>
        </is>
      </c>
      <c r="N271" t="inlineStr">
        <is>
          <t>M</t>
        </is>
      </c>
      <c r="O271" t="inlineStr">
        <is>
          <t>20231103</t>
        </is>
      </c>
      <c r="P271" t="inlineStr">
        <is>
          <t>Sulawesi Selatan</t>
        </is>
      </c>
      <c r="Q271" t="inlineStr"/>
    </row>
    <row r="272">
      <c r="A272" t="inlineStr">
        <is>
          <t>GUNUNG SAHID</t>
        </is>
      </c>
      <c r="B272" t="inlineStr">
        <is>
          <t>Kota Adm. Jakarta Pusat</t>
        </is>
      </c>
      <c r="C272" t="inlineStr">
        <is>
          <t>02142882459</t>
        </is>
      </c>
      <c r="D272" t="inlineStr">
        <is>
          <t>gunungsahid@yahoo.co.id</t>
        </is>
      </c>
      <c r="E272" t="inlineStr">
        <is>
          <t>https://lpjk.pu.go.id/search-badan-usaha-detail/UjF6SUEyZHlDYUY1bUViajY2RHM3Zz09</t>
        </is>
      </c>
      <c r="F272" t="n">
        <v>1</v>
      </c>
      <c r="G272" t="inlineStr">
        <is>
          <t>BG001</t>
        </is>
      </c>
      <c r="H272" t="inlineStr">
        <is>
          <t>30 Januari 2003</t>
        </is>
      </c>
      <c r="I272" s="2" t="n">
        <v>46335</v>
      </c>
      <c r="J272" t="inlineStr">
        <is>
          <t>Disetujui</t>
        </is>
      </c>
      <c r="K272" t="n">
        <v>87</v>
      </c>
      <c r="L272" t="inlineStr">
        <is>
          <t>9 November 2026</t>
        </is>
      </c>
      <c r="M272" t="inlineStr">
        <is>
          <t>Konstruksi Gedung Hunian</t>
        </is>
      </c>
      <c r="N272" t="inlineStr">
        <is>
          <t>K</t>
        </is>
      </c>
      <c r="O272" t="inlineStr">
        <is>
          <t>20231106</t>
        </is>
      </c>
      <c r="P272" t="inlineStr">
        <is>
          <t>DKI Jakarta</t>
        </is>
      </c>
      <c r="Q272" t="inlineStr"/>
    </row>
    <row r="273">
      <c r="A273" t="inlineStr">
        <is>
          <t>HALIMAH BERKAH AMANAH</t>
        </is>
      </c>
      <c r="B273" t="inlineStr">
        <is>
          <t>Kota Pekanbaru</t>
        </is>
      </c>
      <c r="C273" t="inlineStr">
        <is>
          <t>085271244838</t>
        </is>
      </c>
      <c r="D273" t="inlineStr">
        <is>
          <t>halimahba23@gmail.com</t>
        </is>
      </c>
      <c r="E273" t="inlineStr">
        <is>
          <t>https://lpjk.pu.go.id/search-badan-usaha-detail/WW0yN3VRRVFhWGVObjBYdGR0RlAvQT09</t>
        </is>
      </c>
      <c r="F273" t="n">
        <v>3</v>
      </c>
      <c r="G273" t="inlineStr">
        <is>
          <t>BG006, BG009, BS001</t>
        </is>
      </c>
      <c r="H273" t="inlineStr">
        <is>
          <t>7 November 2023</t>
        </is>
      </c>
      <c r="I273" s="2" t="n">
        <v>46335</v>
      </c>
      <c r="J273" t="inlineStr">
        <is>
          <t>Disetujui</t>
        </is>
      </c>
      <c r="K273" t="n">
        <v>87</v>
      </c>
      <c r="L273" t="inlineStr">
        <is>
          <t>9 November 2026</t>
        </is>
      </c>
      <c r="M273" t="inlineStr">
        <is>
          <t>Konstruksi Bangunan Sipil Jalan, Konstruksi Gedung Lainnya, Konstruksi Gedung Pendidikan</t>
        </is>
      </c>
      <c r="N273" t="inlineStr">
        <is>
          <t>K</t>
        </is>
      </c>
      <c r="O273" t="inlineStr">
        <is>
          <t>20231103, 20231106</t>
        </is>
      </c>
      <c r="P273" t="inlineStr">
        <is>
          <t>Riau</t>
        </is>
      </c>
      <c r="Q273" t="inlineStr"/>
    </row>
    <row r="274">
      <c r="A274" t="inlineStr">
        <is>
          <t>HAN JIN KONSTRUKSI INDONESIA</t>
        </is>
      </c>
      <c r="B274" t="inlineStr">
        <is>
          <t>Kab. Serang</t>
        </is>
      </c>
      <c r="C274" t="inlineStr">
        <is>
          <t>0254402323</t>
        </is>
      </c>
      <c r="D274" t="inlineStr">
        <is>
          <t>konstruksihanjin@gmail.com</t>
        </is>
      </c>
      <c r="E274" t="inlineStr">
        <is>
          <t>https://lpjk.pu.go.id/search-badan-usaha-detail/b0wrSFVGdE81VTJCbml6cTRDRkh5Zz09</t>
        </is>
      </c>
      <c r="F274" t="n">
        <v>1</v>
      </c>
      <c r="G274" t="inlineStr">
        <is>
          <t>BG003</t>
        </is>
      </c>
      <c r="H274" t="inlineStr">
        <is>
          <t>3 Januari 2012</t>
        </is>
      </c>
      <c r="I274" s="2" t="n">
        <v>46334</v>
      </c>
      <c r="J274" t="inlineStr">
        <is>
          <t>Disetujui</t>
        </is>
      </c>
      <c r="K274" t="n">
        <v>87</v>
      </c>
      <c r="L274" t="inlineStr">
        <is>
          <t>8 November 2026</t>
        </is>
      </c>
      <c r="M274" t="inlineStr">
        <is>
          <t>Konstruksi Gedung Industri</t>
        </is>
      </c>
      <c r="N274" t="inlineStr">
        <is>
          <t>B</t>
        </is>
      </c>
      <c r="O274" t="inlineStr">
        <is>
          <t>20231028</t>
        </is>
      </c>
      <c r="P274" t="inlineStr">
        <is>
          <t>Banten</t>
        </is>
      </c>
      <c r="Q274" t="inlineStr"/>
    </row>
    <row r="275">
      <c r="A275" t="inlineStr">
        <is>
          <t>HANIF</t>
        </is>
      </c>
      <c r="B275" t="inlineStr">
        <is>
          <t>Kota Sawahlunto</t>
        </is>
      </c>
      <c r="C275" t="inlineStr">
        <is>
          <t>081363377199</t>
        </is>
      </c>
      <c r="D275" t="inlineStr">
        <is>
          <t>hanif.konstruksi@gmail.com</t>
        </is>
      </c>
      <c r="E275" t="inlineStr">
        <is>
          <t>https://lpjk.pu.go.id/search-badan-usaha-detail/dUQrb2NYeVNXTzVCSWx4WWZJeVFmdz09</t>
        </is>
      </c>
      <c r="F275" t="n">
        <v>2</v>
      </c>
      <c r="G275" t="inlineStr">
        <is>
          <t>BG002</t>
        </is>
      </c>
      <c r="H275" t="inlineStr">
        <is>
          <t>18 Oktober 2011</t>
        </is>
      </c>
      <c r="I275" s="2" t="n">
        <v>46336</v>
      </c>
      <c r="J275" t="inlineStr">
        <is>
          <t>Disetujui</t>
        </is>
      </c>
      <c r="K275" t="n">
        <v>87</v>
      </c>
      <c r="L275" t="inlineStr">
        <is>
          <t>10 November 2026</t>
        </is>
      </c>
      <c r="M275" t="inlineStr">
        <is>
          <t>Konstruksi Gedung Perkantoran</t>
        </is>
      </c>
      <c r="N275" t="inlineStr">
        <is>
          <t>K</t>
        </is>
      </c>
      <c r="O275" t="inlineStr">
        <is>
          <t>20230916</t>
        </is>
      </c>
      <c r="P275" t="inlineStr">
        <is>
          <t>Sumatera Barat</t>
        </is>
      </c>
      <c r="Q275" t="inlineStr"/>
    </row>
    <row r="276">
      <c r="A276" t="inlineStr">
        <is>
          <t>HARAPAN JAYA KONSTRUKSI</t>
        </is>
      </c>
      <c r="B276" t="inlineStr">
        <is>
          <t>Kota Semarang</t>
        </is>
      </c>
      <c r="C276" t="inlineStr">
        <is>
          <t>81234234757</t>
        </is>
      </c>
      <c r="D276" t="inlineStr">
        <is>
          <t>hjkgroup@yahoo.com</t>
        </is>
      </c>
      <c r="E276" t="inlineStr">
        <is>
          <t>https://lpjk.pu.go.id/search-badan-usaha-detail/eHhidEhsR0R6ZCtIWjVSMStRY2t6dz09</t>
        </is>
      </c>
      <c r="F276" t="n">
        <v>4</v>
      </c>
      <c r="G276" t="inlineStr">
        <is>
          <t>BG004, BG006, BG009, BS016</t>
        </is>
      </c>
      <c r="H276" t="inlineStr">
        <is>
          <t>20 Januari 2010</t>
        </is>
      </c>
      <c r="I276" s="2" t="n">
        <v>46338</v>
      </c>
      <c r="J276" t="inlineStr">
        <is>
          <t>Disetujui</t>
        </is>
      </c>
      <c r="K276" t="n">
        <v>87</v>
      </c>
      <c r="L276" t="inlineStr">
        <is>
          <t>12 November 2026</t>
        </is>
      </c>
      <c r="M276" t="inlineStr">
        <is>
          <t>Konstruksi Bangunan Sipil Fasilitas Olah Raga, Konstruksi Gedung Lainnya, Konstruksi Gedung Pendidikan, Konstruksi Gedung Perbelanjaan</t>
        </is>
      </c>
      <c r="N276" t="inlineStr">
        <is>
          <t>K</t>
        </is>
      </c>
      <c r="O276" t="inlineStr">
        <is>
          <t>20231110, 20231114, 20231115</t>
        </is>
      </c>
      <c r="P276" t="inlineStr">
        <is>
          <t>Jawa Tengah</t>
        </is>
      </c>
      <c r="Q276" t="inlineStr"/>
    </row>
    <row r="277">
      <c r="A277" t="inlineStr">
        <is>
          <t>HARLENA PERSADA</t>
        </is>
      </c>
      <c r="B277" t="inlineStr">
        <is>
          <t>Kota Banjar</t>
        </is>
      </c>
      <c r="C277" t="inlineStr">
        <is>
          <t>085222222431</t>
        </is>
      </c>
      <c r="D277" t="inlineStr">
        <is>
          <t>harlenapersada@gmail.com</t>
        </is>
      </c>
      <c r="E277" t="inlineStr">
        <is>
          <t>https://lpjk.pu.go.id/search-badan-usaha-detail/THN0b09jWTJBQW5pd3FXQ0twMk9yQT09</t>
        </is>
      </c>
      <c r="F277" t="n">
        <v>1</v>
      </c>
      <c r="G277" t="inlineStr">
        <is>
          <t>BG009</t>
        </is>
      </c>
      <c r="H277" t="inlineStr">
        <is>
          <t>13 November 2014</t>
        </is>
      </c>
      <c r="I277" s="2" t="n">
        <v>46336</v>
      </c>
      <c r="J277" t="inlineStr">
        <is>
          <t>Disetujui</t>
        </is>
      </c>
      <c r="K277" t="n">
        <v>87</v>
      </c>
      <c r="L277" t="inlineStr">
        <is>
          <t>10 November 2026</t>
        </is>
      </c>
      <c r="M277" t="inlineStr">
        <is>
          <t>Konstruksi Gedung Lainnya</t>
        </is>
      </c>
      <c r="N277" t="inlineStr">
        <is>
          <t>K</t>
        </is>
      </c>
      <c r="O277" t="inlineStr">
        <is>
          <t>20231108</t>
        </is>
      </c>
      <c r="P277" t="inlineStr">
        <is>
          <t>Jawa Barat</t>
        </is>
      </c>
      <c r="Q277" t="inlineStr"/>
    </row>
    <row r="278">
      <c r="A278" t="inlineStr">
        <is>
          <t>HARTA RAYA</t>
        </is>
      </c>
      <c r="B278" t="inlineStr">
        <is>
          <t>Kab. Bandung</t>
        </is>
      </c>
      <c r="C278" t="inlineStr">
        <is>
          <t>081312040415</t>
        </is>
      </c>
      <c r="D278" t="inlineStr">
        <is>
          <t>hartarayacv@gmail.com</t>
        </is>
      </c>
      <c r="E278" t="inlineStr">
        <is>
          <t>https://lpjk.pu.go.id/search-badan-usaha-detail/aUwxOE5IcTZxQTh4R3BFWjg3cS9EUT09</t>
        </is>
      </c>
      <c r="F278" t="n">
        <v>1</v>
      </c>
      <c r="G278" t="inlineStr">
        <is>
          <t>BS005</t>
        </is>
      </c>
      <c r="H278" t="inlineStr">
        <is>
          <t>18 Januari 2018</t>
        </is>
      </c>
      <c r="I278" s="2" t="n">
        <v>46340</v>
      </c>
      <c r="J278" t="inlineStr">
        <is>
          <t>Disetujui</t>
        </is>
      </c>
      <c r="K278" t="n">
        <v>87</v>
      </c>
      <c r="L278" t="inlineStr">
        <is>
          <t>14 November 2026</t>
        </is>
      </c>
      <c r="M278" t="inlineStr">
        <is>
          <t>Konstruksi Bangunan Sipil Pengolahan Air Bersih</t>
        </is>
      </c>
      <c r="N278" t="inlineStr">
        <is>
          <t>K</t>
        </is>
      </c>
      <c r="O278" t="inlineStr">
        <is>
          <t>20231114</t>
        </is>
      </c>
      <c r="P278" t="inlineStr">
        <is>
          <t>Jawa Barat</t>
        </is>
      </c>
      <c r="Q278" t="inlineStr"/>
    </row>
    <row r="279">
      <c r="A279" t="inlineStr">
        <is>
          <t>HASBI KARYA</t>
        </is>
      </c>
      <c r="B279" t="inlineStr">
        <is>
          <t>Kab. Majalengka</t>
        </is>
      </c>
      <c r="C279" t="inlineStr">
        <is>
          <t>081322876547</t>
        </is>
      </c>
      <c r="D279" t="inlineStr">
        <is>
          <t>cvhasbikarya@gmail.com</t>
        </is>
      </c>
      <c r="E279" t="inlineStr">
        <is>
          <t>https://lpjk.pu.go.id/search-badan-usaha-detail/VHpydFpMaDNWNjRzaDFJYjdiVTlFQT09</t>
        </is>
      </c>
      <c r="F279" t="n">
        <v>1</v>
      </c>
      <c r="G279" t="inlineStr">
        <is>
          <t>BS002</t>
        </is>
      </c>
      <c r="H279" t="inlineStr">
        <is>
          <t>18 Agustus 2020</t>
        </is>
      </c>
      <c r="I279" s="2" t="n">
        <v>46338</v>
      </c>
      <c r="J279" t="inlineStr">
        <is>
          <t>Disetujui</t>
        </is>
      </c>
      <c r="K279" t="n">
        <v>87</v>
      </c>
      <c r="L279" t="inlineStr">
        <is>
          <t>12 November 2026</t>
        </is>
      </c>
      <c r="M279" t="inlineStr">
        <is>
          <t>Bangunan Sipil Jembatan, Jalan Layang, Fly Over, dan Underpass</t>
        </is>
      </c>
      <c r="N279" t="inlineStr">
        <is>
          <t>K</t>
        </is>
      </c>
      <c r="O279" t="inlineStr">
        <is>
          <t>20231113</t>
        </is>
      </c>
      <c r="P279" t="inlineStr">
        <is>
          <t>Jawa Barat</t>
        </is>
      </c>
      <c r="Q279" t="inlineStr"/>
    </row>
    <row r="280">
      <c r="A280" t="inlineStr">
        <is>
          <t>HASTARINDO</t>
        </is>
      </c>
      <c r="B280" t="inlineStr">
        <is>
          <t>Kota Adm. Jakarta Barat</t>
        </is>
      </c>
      <c r="C280" t="inlineStr">
        <is>
          <t>0215682420</t>
        </is>
      </c>
      <c r="D280" t="inlineStr">
        <is>
          <t>admin@hastarindo.com</t>
        </is>
      </c>
      <c r="E280" t="inlineStr">
        <is>
          <t>https://lpjk.pu.go.id/search-badan-usaha-detail/WUVaaGRVQTdCdkR3VUxIeE9PdEtQZz09</t>
        </is>
      </c>
      <c r="F280" t="n">
        <v>1</v>
      </c>
      <c r="G280" t="inlineStr">
        <is>
          <t>BG002</t>
        </is>
      </c>
      <c r="H280" t="inlineStr">
        <is>
          <t>25 Maret 2011</t>
        </is>
      </c>
      <c r="I280" s="2" t="n">
        <v>46339</v>
      </c>
      <c r="J280" t="inlineStr">
        <is>
          <t>Disetujui</t>
        </is>
      </c>
      <c r="K280" t="n">
        <v>87</v>
      </c>
      <c r="L280" t="inlineStr">
        <is>
          <t>13 November 2026</t>
        </is>
      </c>
      <c r="M280" t="inlineStr">
        <is>
          <t>Konstruksi Gedung Perkantoran</t>
        </is>
      </c>
      <c r="N280" t="inlineStr">
        <is>
          <t>K</t>
        </is>
      </c>
      <c r="O280" t="inlineStr">
        <is>
          <t>20231114</t>
        </is>
      </c>
      <c r="P280" t="inlineStr">
        <is>
          <t>DKI Jakarta</t>
        </is>
      </c>
      <c r="Q280" t="inlineStr"/>
    </row>
    <row r="281">
      <c r="A281" t="inlineStr">
        <is>
          <t>HERA MANDIRI</t>
        </is>
      </c>
      <c r="B281" t="inlineStr">
        <is>
          <t>Kab. Pacitan</t>
        </is>
      </c>
      <c r="C281" t="inlineStr">
        <is>
          <t>085335459887</t>
        </is>
      </c>
      <c r="D281" t="inlineStr">
        <is>
          <t>heramandiricv68@gmail.com</t>
        </is>
      </c>
      <c r="E281" t="inlineStr">
        <is>
          <t>https://lpjk.pu.go.id/search-badan-usaha-detail/TVZMTmovcDg3S2xBaCs1bFowZDdtUT09</t>
        </is>
      </c>
      <c r="F281" t="n">
        <v>4</v>
      </c>
      <c r="G281" t="inlineStr">
        <is>
          <t>RK002, RK003</t>
        </is>
      </c>
      <c r="H281" t="inlineStr">
        <is>
          <t>28 September 2011</t>
        </is>
      </c>
      <c r="I281" s="2" t="n">
        <v>46338</v>
      </c>
      <c r="J281" t="inlineStr">
        <is>
          <t>Disetujui</t>
        </is>
      </c>
      <c r="K281" t="n">
        <v>87</v>
      </c>
      <c r="L281" t="inlineStr">
        <is>
          <t>12 November 2026</t>
        </is>
      </c>
      <c r="M281" t="inlineStr">
        <is>
          <t>Jasa Rekayasa Pekerjaan Teknik Sipil Sumber Daya Air, Jasa Rekayasa Pekerjaan Teknik Sipil Transportasi</t>
        </is>
      </c>
      <c r="N281" t="inlineStr">
        <is>
          <t>K</t>
        </is>
      </c>
      <c r="O281" t="inlineStr">
        <is>
          <t>20231107</t>
        </is>
      </c>
      <c r="P281" t="inlineStr">
        <is>
          <t>Jawa Timur</t>
        </is>
      </c>
      <c r="Q281" t="inlineStr"/>
    </row>
    <row r="282">
      <c r="A282" t="inlineStr">
        <is>
          <t>HIDAYAH</t>
        </is>
      </c>
      <c r="B282" t="inlineStr">
        <is>
          <t>Kab. Hulu Sungai Tengah</t>
        </is>
      </c>
      <c r="C282" t="inlineStr">
        <is>
          <t>081333499370</t>
        </is>
      </c>
      <c r="D282" t="inlineStr">
        <is>
          <t>dayahcv7@gmail.com</t>
        </is>
      </c>
      <c r="E282" t="inlineStr">
        <is>
          <t>https://lpjk.pu.go.id/search-badan-usaha-detail/UUNaME0zbUdSR09uSWRjSFN0a0ZBZz09</t>
        </is>
      </c>
      <c r="F282" t="n">
        <v>2</v>
      </c>
      <c r="G282" t="inlineStr">
        <is>
          <t>RK002, RK003</t>
        </is>
      </c>
      <c r="H282" t="inlineStr">
        <is>
          <t>20 Januari 2014</t>
        </is>
      </c>
      <c r="I282" s="2" t="n">
        <v>46340</v>
      </c>
      <c r="J282" t="inlineStr">
        <is>
          <t>Disetujui</t>
        </is>
      </c>
      <c r="K282" t="n">
        <v>87</v>
      </c>
      <c r="L282" t="inlineStr">
        <is>
          <t>14 November 2026</t>
        </is>
      </c>
      <c r="M282" t="inlineStr">
        <is>
          <t>Jasa Rekayasa Pekerjaan Teknik Sipil Sumber Daya Air, Jasa Rekayasa Pekerjaan Teknik Sipil Transportasi</t>
        </is>
      </c>
      <c r="N282" t="inlineStr">
        <is>
          <t>K</t>
        </is>
      </c>
      <c r="O282" t="inlineStr">
        <is>
          <t>20230107, 20231102</t>
        </is>
      </c>
      <c r="P282" t="inlineStr">
        <is>
          <t>Kalimantan Selatan</t>
        </is>
      </c>
      <c r="Q282" t="inlineStr"/>
    </row>
    <row r="283">
      <c r="A283" t="inlineStr">
        <is>
          <t>HIKMAH ESHAN</t>
        </is>
      </c>
      <c r="B283" t="inlineStr">
        <is>
          <t>Kab. Subang</t>
        </is>
      </c>
      <c r="C283" t="inlineStr">
        <is>
          <t>081310102135</t>
        </is>
      </c>
      <c r="D283" t="inlineStr">
        <is>
          <t>hikmaheshan.cv@gmail.com</t>
        </is>
      </c>
      <c r="E283" t="inlineStr">
        <is>
          <t>https://lpjk.pu.go.id/search-badan-usaha-detail/NlpZR3FYRzQzTzVzUnRxS3JtU0dYQT09</t>
        </is>
      </c>
      <c r="F283" t="n">
        <v>1</v>
      </c>
      <c r="G283" t="inlineStr">
        <is>
          <t>BS004</t>
        </is>
      </c>
      <c r="H283" t="inlineStr">
        <is>
          <t>15 Oktober 2019</t>
        </is>
      </c>
      <c r="I283" s="2" t="n">
        <v>46335</v>
      </c>
      <c r="J283" t="inlineStr">
        <is>
          <t>Disetujui</t>
        </is>
      </c>
      <c r="K283" t="n">
        <v>87</v>
      </c>
      <c r="L283" t="inlineStr">
        <is>
          <t>9 November 2026</t>
        </is>
      </c>
      <c r="M283" t="inlineStr">
        <is>
          <t>Konstruksi Jaringan Irigasi dan Drainase</t>
        </is>
      </c>
      <c r="N283" t="inlineStr">
        <is>
          <t>K</t>
        </is>
      </c>
      <c r="O283" t="inlineStr">
        <is>
          <t>20231110</t>
        </is>
      </c>
      <c r="P283" t="inlineStr">
        <is>
          <t>Jawa Barat</t>
        </is>
      </c>
      <c r="Q283" t="inlineStr"/>
    </row>
    <row r="284">
      <c r="A284" t="inlineStr">
        <is>
          <t>HIRAFI TUNAS MANDIRI</t>
        </is>
      </c>
      <c r="B284" t="inlineStr">
        <is>
          <t>Kab. Bandung Barat</t>
        </is>
      </c>
      <c r="C284" t="inlineStr">
        <is>
          <t>08122341503</t>
        </is>
      </c>
      <c r="D284" t="inlineStr">
        <is>
          <t>tunasmandirihirafi@gmail.com</t>
        </is>
      </c>
      <c r="E284" t="inlineStr">
        <is>
          <t>https://lpjk.pu.go.id/search-badan-usaha-detail/ZzliL2Q4RUtYY1ZpL3BnSjdFb1VXZz09</t>
        </is>
      </c>
      <c r="F284" t="n">
        <v>1</v>
      </c>
      <c r="G284" t="inlineStr">
        <is>
          <t>BG006</t>
        </is>
      </c>
      <c r="H284" t="inlineStr">
        <is>
          <t>26 Februari 2021</t>
        </is>
      </c>
      <c r="I284" s="2" t="n">
        <v>46334</v>
      </c>
      <c r="J284" t="inlineStr">
        <is>
          <t>Disetujui</t>
        </is>
      </c>
      <c r="K284" t="n">
        <v>87</v>
      </c>
      <c r="L284" t="inlineStr">
        <is>
          <t>8 November 2026</t>
        </is>
      </c>
      <c r="M284" t="inlineStr">
        <is>
          <t>Konstruksi Gedung Pendidikan</t>
        </is>
      </c>
      <c r="N284" t="inlineStr">
        <is>
          <t>K</t>
        </is>
      </c>
      <c r="O284" t="inlineStr">
        <is>
          <t>20231107</t>
        </is>
      </c>
      <c r="P284" t="inlineStr">
        <is>
          <t>Jawa Barat</t>
        </is>
      </c>
      <c r="Q284" t="inlineStr"/>
    </row>
    <row r="285">
      <c r="A285" t="inlineStr">
        <is>
          <t>HYDRO TEKNO BESTARI</t>
        </is>
      </c>
      <c r="B285" t="inlineStr">
        <is>
          <t>Kota Adm. Jakarta Selatan</t>
        </is>
      </c>
      <c r="C285" t="inlineStr">
        <is>
          <t>02150812001</t>
        </is>
      </c>
      <c r="D285" t="inlineStr">
        <is>
          <t>hydroteknobestari@gmail.coom</t>
        </is>
      </c>
      <c r="E285" t="inlineStr">
        <is>
          <t>https://lpjk.pu.go.id/search-badan-usaha-detail/bnBSdk1DcS8rYjV6TkFhWEZsZTVzdz09</t>
        </is>
      </c>
      <c r="F285" t="n">
        <v>1</v>
      </c>
      <c r="G285" t="inlineStr">
        <is>
          <t>BS005</t>
        </is>
      </c>
      <c r="H285" t="inlineStr">
        <is>
          <t>30 April 2021</t>
        </is>
      </c>
      <c r="I285" s="2" t="n">
        <v>46339</v>
      </c>
      <c r="J285" t="inlineStr">
        <is>
          <t>Disetujui</t>
        </is>
      </c>
      <c r="K285" t="n">
        <v>87</v>
      </c>
      <c r="L285" t="inlineStr">
        <is>
          <t>13 November 2026</t>
        </is>
      </c>
      <c r="M285" t="inlineStr">
        <is>
          <t>Konstruksi Bangunan Sipil Pengolahan Air Bersih</t>
        </is>
      </c>
      <c r="N285" t="inlineStr">
        <is>
          <t>K</t>
        </is>
      </c>
      <c r="O285" t="inlineStr">
        <is>
          <t>20231111</t>
        </is>
      </c>
      <c r="P285" t="inlineStr">
        <is>
          <t>DKI Jakarta</t>
        </is>
      </c>
      <c r="Q285" t="inlineStr"/>
    </row>
    <row r="286">
      <c r="A286" t="inlineStr">
        <is>
          <t>IBNU MUNSYIR DWI GUNA</t>
        </is>
      </c>
      <c r="B286" t="inlineStr">
        <is>
          <t>Kab. Gowa</t>
        </is>
      </c>
      <c r="C286" t="inlineStr">
        <is>
          <t>081341752007</t>
        </is>
      </c>
      <c r="D286" t="inlineStr">
        <is>
          <t>ibnumuunsyir@gmail.com</t>
        </is>
      </c>
      <c r="E286" t="inlineStr">
        <is>
          <t>https://lpjk.pu.go.id/search-badan-usaha-detail/RlBmcFh4cEVWdzVLeXBFSWRGVFBpdz09</t>
        </is>
      </c>
      <c r="F286" t="n">
        <v>1</v>
      </c>
      <c r="G286" t="inlineStr">
        <is>
          <t>BS004</t>
        </is>
      </c>
      <c r="H286" t="inlineStr">
        <is>
          <t>27 Juli 2005</t>
        </is>
      </c>
      <c r="I286" s="2" t="n">
        <v>46340</v>
      </c>
      <c r="J286" t="inlineStr">
        <is>
          <t>Disetujui</t>
        </is>
      </c>
      <c r="K286" t="n">
        <v>87</v>
      </c>
      <c r="L286" t="inlineStr">
        <is>
          <t>14 November 2026</t>
        </is>
      </c>
      <c r="M286" t="inlineStr">
        <is>
          <t>Konstruksi Jaringan Irigasi dan Drainase</t>
        </is>
      </c>
      <c r="N286" t="inlineStr">
        <is>
          <t>M</t>
        </is>
      </c>
      <c r="O286" t="inlineStr">
        <is>
          <t>20231114</t>
        </is>
      </c>
      <c r="P286" t="inlineStr">
        <is>
          <t>Sulawesi Selatan</t>
        </is>
      </c>
      <c r="Q286" t="inlineStr"/>
    </row>
    <row r="287">
      <c r="A287" t="inlineStr">
        <is>
          <t>IDE'S</t>
        </is>
      </c>
      <c r="B287" t="inlineStr">
        <is>
          <t>Kota Bandung</t>
        </is>
      </c>
      <c r="C287" t="inlineStr">
        <is>
          <t>0227504515</t>
        </is>
      </c>
      <c r="D287" t="inlineStr">
        <is>
          <t>ides_bdg@yahoo.co.id</t>
        </is>
      </c>
      <c r="E287" t="inlineStr">
        <is>
          <t>https://lpjk.pu.go.id/search-badan-usaha-detail/MHJRZzFhRWNzckJwbXFNclNYdzdFdz09</t>
        </is>
      </c>
      <c r="F287" t="n">
        <v>2</v>
      </c>
      <c r="G287" t="inlineStr">
        <is>
          <t>BS005, BS006</t>
        </is>
      </c>
      <c r="H287" t="inlineStr">
        <is>
          <t>28 Januari 2010</t>
        </is>
      </c>
      <c r="I287" s="2" t="n">
        <v>46334</v>
      </c>
      <c r="J287" t="inlineStr">
        <is>
          <t>Disetujui</t>
        </is>
      </c>
      <c r="K287" t="n">
        <v>87</v>
      </c>
      <c r="L287" t="inlineStr">
        <is>
          <t>8 November 2026</t>
        </is>
      </c>
      <c r="M287" t="inlineStr">
        <is>
          <t>Konstruksi Bangunan Sipil Pengolahan Air Bersih, Konstruksi Bangunan Sipil Prasarana dan Sarana Sistem Pengolahan Limbah Padat, Cair, dan Gas</t>
        </is>
      </c>
      <c r="N287" t="inlineStr">
        <is>
          <t>K</t>
        </is>
      </c>
      <c r="O287" t="inlineStr">
        <is>
          <t>20231027</t>
        </is>
      </c>
      <c r="P287" t="inlineStr">
        <is>
          <t>Jawa Barat</t>
        </is>
      </c>
      <c r="Q287" t="inlineStr"/>
    </row>
    <row r="288">
      <c r="A288" t="inlineStr">
        <is>
          <t>IDEAL DESAIN ENGINEERING</t>
        </is>
      </c>
      <c r="B288" t="inlineStr">
        <is>
          <t>Kota Bengkulu</t>
        </is>
      </c>
      <c r="C288" t="inlineStr">
        <is>
          <t>081271474647</t>
        </is>
      </c>
      <c r="D288" t="inlineStr">
        <is>
          <t>pt.idealdesainengineering@gmail.com</t>
        </is>
      </c>
      <c r="E288" t="inlineStr">
        <is>
          <t>https://lpjk.pu.go.id/search-badan-usaha-detail/RCtKbkFEUGJyS3hjaGtFcGJ6U3doZz09</t>
        </is>
      </c>
      <c r="F288" t="n">
        <v>4</v>
      </c>
      <c r="G288" t="inlineStr">
        <is>
          <t>RK002, RK003</t>
        </is>
      </c>
      <c r="H288" t="inlineStr">
        <is>
          <t>19 November 1984</t>
        </is>
      </c>
      <c r="I288" s="2" t="n">
        <v>46334</v>
      </c>
      <c r="J288" t="inlineStr">
        <is>
          <t>Disetujui</t>
        </is>
      </c>
      <c r="K288" t="n">
        <v>87</v>
      </c>
      <c r="L288" t="inlineStr">
        <is>
          <t>8 November 2026</t>
        </is>
      </c>
      <c r="M288" t="inlineStr">
        <is>
          <t>Jasa Rekayasa Pekerjaan Teknik Sipil Sumber Daya Air, Jasa Rekayasa Pekerjaan Teknik Sipil Transportasi</t>
        </is>
      </c>
      <c r="N288" t="inlineStr">
        <is>
          <t>K</t>
        </is>
      </c>
      <c r="O288" t="inlineStr">
        <is>
          <t>20231026</t>
        </is>
      </c>
      <c r="P288" t="inlineStr">
        <is>
          <t>Bengkulu</t>
        </is>
      </c>
      <c r="Q288" t="inlineStr"/>
    </row>
    <row r="289">
      <c r="A289" t="inlineStr">
        <is>
          <t>INAYA RASYA</t>
        </is>
      </c>
      <c r="B289" t="inlineStr">
        <is>
          <t>Kota Palangkaraya</t>
        </is>
      </c>
      <c r="C289" t="inlineStr">
        <is>
          <t>082125236364</t>
        </is>
      </c>
      <c r="D289" t="inlineStr">
        <is>
          <t>inayarasya.cv@gmail.com</t>
        </is>
      </c>
      <c r="E289" t="inlineStr">
        <is>
          <t>https://lpjk.pu.go.id/search-badan-usaha-detail/Z0VmWGw5bjMydGdSSjhna1A1WUtOQT09</t>
        </is>
      </c>
      <c r="F289" t="n">
        <v>6</v>
      </c>
      <c r="G289" t="inlineStr">
        <is>
          <t>BG001, BG002, BG005, BG006, BG009, BS001</t>
        </is>
      </c>
      <c r="H289" t="inlineStr">
        <is>
          <t>5 September 2014</t>
        </is>
      </c>
      <c r="I289" s="2" t="n">
        <v>46339</v>
      </c>
      <c r="J289" t="inlineStr">
        <is>
          <t>Disetujui</t>
        </is>
      </c>
      <c r="K289" t="n">
        <v>87</v>
      </c>
      <c r="L289" t="inlineStr">
        <is>
          <t>13 November 2026</t>
        </is>
      </c>
      <c r="M289" t="inlineStr">
        <is>
          <t>Konstruksi Bangunan Sipil Jalan, Konstruksi Gedung Hunian, Konstruksi Gedung Kesehatan, Konstruksi Gedung Lainnya, Konstruksi Gedung Pendidikan, Konstruksi Gedung Perkantoran</t>
        </is>
      </c>
      <c r="N289" t="inlineStr">
        <is>
          <t>K</t>
        </is>
      </c>
      <c r="O289" t="inlineStr">
        <is>
          <t>20231110, 20231113</t>
        </is>
      </c>
      <c r="P289" t="inlineStr">
        <is>
          <t>Kalimantan Tengah</t>
        </is>
      </c>
      <c r="Q289" t="inlineStr"/>
    </row>
    <row r="290">
      <c r="A290" t="inlineStr">
        <is>
          <t>INDAH LESTARI</t>
        </is>
      </c>
      <c r="B290" t="inlineStr">
        <is>
          <t>Kab. Langkat</t>
        </is>
      </c>
      <c r="C290" t="inlineStr">
        <is>
          <t>08126363624</t>
        </is>
      </c>
      <c r="D290" t="inlineStr">
        <is>
          <t>CV.INDAHLESTARI@GMAIL.COM</t>
        </is>
      </c>
      <c r="E290" t="inlineStr">
        <is>
          <t>https://lpjk.pu.go.id/search-badan-usaha-detail/Y2NpenRMOWdMblZ1bWxkMmtVOGFvZz09</t>
        </is>
      </c>
      <c r="F290" t="n">
        <v>1</v>
      </c>
      <c r="G290" t="inlineStr">
        <is>
          <t>BS010</t>
        </is>
      </c>
      <c r="H290" t="inlineStr">
        <is>
          <t>19 Januari 2016</t>
        </is>
      </c>
      <c r="I290" s="2" t="n">
        <v>46340</v>
      </c>
      <c r="J290" t="inlineStr">
        <is>
          <t>Disetujui</t>
        </is>
      </c>
      <c r="K290" t="n">
        <v>87</v>
      </c>
      <c r="L290" t="inlineStr">
        <is>
          <t>14 November 2026</t>
        </is>
      </c>
      <c r="M290" t="inlineStr">
        <is>
          <t>Konstruksi Bangunan Prasarana Sumber Daya Air</t>
        </is>
      </c>
      <c r="N290" t="inlineStr">
        <is>
          <t>K</t>
        </is>
      </c>
      <c r="O290" t="inlineStr">
        <is>
          <t>20231114</t>
        </is>
      </c>
      <c r="P290" t="inlineStr">
        <is>
          <t>Sumatera Utara</t>
        </is>
      </c>
      <c r="Q290" t="inlineStr"/>
    </row>
    <row r="291">
      <c r="A291" t="inlineStr">
        <is>
          <t>INDIRAH</t>
        </is>
      </c>
      <c r="B291" t="inlineStr">
        <is>
          <t>Kab. Wajo</t>
        </is>
      </c>
      <c r="C291" t="inlineStr">
        <is>
          <t>085256212117</t>
        </is>
      </c>
      <c r="D291" t="inlineStr">
        <is>
          <t>cv.indirah@gmail.com</t>
        </is>
      </c>
      <c r="E291" t="inlineStr">
        <is>
          <t>https://lpjk.pu.go.id/search-badan-usaha-detail/R2ZFbzJVNjJtalNaK01veURiMFhOUT09</t>
        </is>
      </c>
      <c r="F291" t="n">
        <v>1</v>
      </c>
      <c r="G291" t="inlineStr">
        <is>
          <t>BG002</t>
        </is>
      </c>
      <c r="H291" t="inlineStr">
        <is>
          <t>12 April 2023</t>
        </is>
      </c>
      <c r="I291" s="2" t="n">
        <v>46339</v>
      </c>
      <c r="J291" t="inlineStr">
        <is>
          <t>Disetujui</t>
        </is>
      </c>
      <c r="K291" t="n">
        <v>87</v>
      </c>
      <c r="L291" t="inlineStr">
        <is>
          <t>13 November 2026</t>
        </is>
      </c>
      <c r="M291" t="inlineStr">
        <is>
          <t>Konstruksi Gedung Perkantoran</t>
        </is>
      </c>
      <c r="N291" t="inlineStr">
        <is>
          <t>K</t>
        </is>
      </c>
      <c r="O291" t="inlineStr">
        <is>
          <t>20231111</t>
        </is>
      </c>
      <c r="P291" t="inlineStr">
        <is>
          <t>Sulawesi Selatan</t>
        </is>
      </c>
      <c r="Q291" t="inlineStr"/>
    </row>
    <row r="292">
      <c r="A292" t="inlineStr">
        <is>
          <t>INDONESIA TRADING AND INDUSTRI</t>
        </is>
      </c>
      <c r="B292" t="inlineStr">
        <is>
          <t>Kota Bandar Lampung</t>
        </is>
      </c>
      <c r="C292" t="inlineStr">
        <is>
          <t>081273151316</t>
        </is>
      </c>
      <c r="D292" t="inlineStr">
        <is>
          <t>indonesia.tradingandindustri@gmail.com</t>
        </is>
      </c>
      <c r="E292" t="inlineStr">
        <is>
          <t>https://lpjk.pu.go.id/search-badan-usaha-detail/eEtNSEVwTFp6dVBoeFF1L0IybVdjUT09</t>
        </is>
      </c>
      <c r="F292" t="n">
        <v>4</v>
      </c>
      <c r="G292" t="inlineStr">
        <is>
          <t>BG001, BS004</t>
        </is>
      </c>
      <c r="H292" t="inlineStr">
        <is>
          <t>13 Oktober 2016</t>
        </is>
      </c>
      <c r="I292" s="2" t="n">
        <v>46340</v>
      </c>
      <c r="J292" t="inlineStr">
        <is>
          <t>Disetujui</t>
        </is>
      </c>
      <c r="K292" t="n">
        <v>87</v>
      </c>
      <c r="L292" t="inlineStr">
        <is>
          <t>14 November 2026</t>
        </is>
      </c>
      <c r="M292" t="inlineStr">
        <is>
          <t>Konstruksi Gedung Hunian, Konstruksi Jaringan Irigasi dan Drainase</t>
        </is>
      </c>
      <c r="N292" t="inlineStr">
        <is>
          <t>K</t>
        </is>
      </c>
      <c r="O292" t="inlineStr">
        <is>
          <t>20231113</t>
        </is>
      </c>
      <c r="P292" t="inlineStr">
        <is>
          <t>Lampung</t>
        </is>
      </c>
      <c r="Q292" t="inlineStr"/>
    </row>
    <row r="293">
      <c r="A293" t="inlineStr">
        <is>
          <t>INDORAYA UTAMA KARYA</t>
        </is>
      </c>
      <c r="B293" t="inlineStr">
        <is>
          <t>Kab. Luwu Timur</t>
        </is>
      </c>
      <c r="C293" t="inlineStr">
        <is>
          <t>081241113649</t>
        </is>
      </c>
      <c r="D293" t="inlineStr">
        <is>
          <t>indor6896@gmail.com</t>
        </is>
      </c>
      <c r="E293" t="inlineStr">
        <is>
          <t>https://lpjk.pu.go.id/search-badan-usaha-detail/VFhpTVpQT05WZ0w4RU9DS2MvWHkyUT09</t>
        </is>
      </c>
      <c r="F293" t="n">
        <v>4</v>
      </c>
      <c r="G293" t="inlineStr">
        <is>
          <t>BS010, BS016</t>
        </is>
      </c>
      <c r="H293" t="inlineStr">
        <is>
          <t>27 Oktober 2023</t>
        </is>
      </c>
      <c r="I293" s="2" t="n">
        <v>46339</v>
      </c>
      <c r="J293" t="inlineStr">
        <is>
          <t>Disetujui</t>
        </is>
      </c>
      <c r="K293" t="n">
        <v>87</v>
      </c>
      <c r="L293" t="inlineStr">
        <is>
          <t>13 November 2026</t>
        </is>
      </c>
      <c r="M293" t="inlineStr">
        <is>
          <t>Konstruksi Bangunan Prasarana Sumber Daya Air, Konstruksi Bangunan Sipil Fasilitas Olah Raga</t>
        </is>
      </c>
      <c r="N293" t="inlineStr">
        <is>
          <t>K</t>
        </is>
      </c>
      <c r="O293" t="inlineStr">
        <is>
          <t>20231114</t>
        </is>
      </c>
      <c r="P293" t="inlineStr">
        <is>
          <t>Sulawesi Selatan</t>
        </is>
      </c>
      <c r="Q293" t="inlineStr"/>
    </row>
    <row r="294">
      <c r="A294" t="inlineStr">
        <is>
          <t>INDRA MULYA KONSULTAN</t>
        </is>
      </c>
      <c r="B294" t="inlineStr">
        <is>
          <t>Kota Madiun</t>
        </is>
      </c>
      <c r="C294" t="inlineStr">
        <is>
          <t>082334296287</t>
        </is>
      </c>
      <c r="D294" t="inlineStr">
        <is>
          <t>indramulya.konsultan@gmail.com</t>
        </is>
      </c>
      <c r="E294" t="inlineStr">
        <is>
          <t>https://lpjk.pu.go.id/search-badan-usaha-detail/c0UxbzBSWDlaQU5xZzJwZ2FYellkUT09</t>
        </is>
      </c>
      <c r="F294" t="n">
        <v>3</v>
      </c>
      <c r="G294" t="inlineStr">
        <is>
          <t>RK001, RK002, RK003</t>
        </is>
      </c>
      <c r="H294" t="inlineStr">
        <is>
          <t>12 Mei 2023</t>
        </is>
      </c>
      <c r="I294" s="2" t="n">
        <v>46334</v>
      </c>
      <c r="J294" t="inlineStr">
        <is>
          <t>Disetujui</t>
        </is>
      </c>
      <c r="K294" t="n">
        <v>87</v>
      </c>
      <c r="L294" t="inlineStr">
        <is>
          <t>8 November 2026</t>
        </is>
      </c>
      <c r="M294" t="inlineStr">
        <is>
          <t>Jasa Rekayasa Konstruksi Bangunan Gedung Hunian dan Non Hunian, Jasa Rekayasa Pekerjaan Teknik Sipil Sumber Daya Air, Jasa Rekayasa Pekerjaan Teknik Sipil Transportasi</t>
        </is>
      </c>
      <c r="N294" t="inlineStr">
        <is>
          <t>K</t>
        </is>
      </c>
      <c r="O294" t="inlineStr">
        <is>
          <t>20231031, 20231103</t>
        </is>
      </c>
      <c r="P294" t="inlineStr">
        <is>
          <t>Jawa Timur</t>
        </is>
      </c>
      <c r="Q294" t="inlineStr"/>
    </row>
    <row r="295">
      <c r="A295" t="inlineStr">
        <is>
          <t>INFINITY BANGUN NEGERI</t>
        </is>
      </c>
      <c r="B295" t="inlineStr">
        <is>
          <t>Kab. Banyumas</t>
        </is>
      </c>
      <c r="C295" t="inlineStr">
        <is>
          <t>02816572198</t>
        </is>
      </c>
      <c r="D295" t="inlineStr">
        <is>
          <t>infinitybangunnegeri@gmail.com</t>
        </is>
      </c>
      <c r="E295" t="inlineStr">
        <is>
          <t>https://lpjk.pu.go.id/search-badan-usaha-detail/NGVVWkdEUWVjbW9mTXdOcEV2YWU2dz09</t>
        </is>
      </c>
      <c r="F295" t="n">
        <v>4</v>
      </c>
      <c r="G295" t="inlineStr">
        <is>
          <t>BG001, BG002, BG004, BG007</t>
        </is>
      </c>
      <c r="H295" t="inlineStr">
        <is>
          <t>10 Mei 2022</t>
        </is>
      </c>
      <c r="I295" s="2" t="n">
        <v>46334</v>
      </c>
      <c r="J295" t="inlineStr">
        <is>
          <t>Disetujui</t>
        </is>
      </c>
      <c r="K295" t="n">
        <v>87</v>
      </c>
      <c r="L295" t="inlineStr">
        <is>
          <t>8 November 2026</t>
        </is>
      </c>
      <c r="M295" t="inlineStr">
        <is>
          <t>Konstruksi Gedung Hunian, Konstruksi Gedung Penginapan, Konstruksi Gedung Perbelanjaan, Konstruksi Gedung Perkantoran</t>
        </is>
      </c>
      <c r="N295" t="inlineStr">
        <is>
          <t>K</t>
        </is>
      </c>
      <c r="O295" t="inlineStr">
        <is>
          <t>20231106</t>
        </is>
      </c>
      <c r="P295" t="inlineStr">
        <is>
          <t>Jawa Tengah</t>
        </is>
      </c>
      <c r="Q295" t="inlineStr"/>
    </row>
    <row r="296">
      <c r="A296" t="inlineStr">
        <is>
          <t>INTANTAMA</t>
        </is>
      </c>
      <c r="B296" t="inlineStr">
        <is>
          <t>Kota Pare Pare</t>
        </is>
      </c>
      <c r="C296" t="inlineStr">
        <is>
          <t>085255749621</t>
        </is>
      </c>
      <c r="D296" t="inlineStr">
        <is>
          <t>cvintantama9@gmail.com</t>
        </is>
      </c>
      <c r="E296" t="inlineStr">
        <is>
          <t>https://lpjk.pu.go.id/search-badan-usaha-detail/THF5SnNUZ0xGWmpCZTRhRFQ1Tmlidz09</t>
        </is>
      </c>
      <c r="F296" t="n">
        <v>1</v>
      </c>
      <c r="G296" t="inlineStr">
        <is>
          <t>BS001</t>
        </is>
      </c>
      <c r="H296" t="inlineStr">
        <is>
          <t>21 November 2005</t>
        </is>
      </c>
      <c r="I296" s="2" t="n">
        <v>46338</v>
      </c>
      <c r="J296" t="inlineStr">
        <is>
          <t>Pencabutan</t>
        </is>
      </c>
      <c r="K296" t="n">
        <v>87</v>
      </c>
      <c r="L296" t="inlineStr">
        <is>
          <t>12 November 2026</t>
        </is>
      </c>
      <c r="M296" t="inlineStr">
        <is>
          <t>Konstruksi Bangunan Sipil Jalan</t>
        </is>
      </c>
      <c r="N296" t="inlineStr">
        <is>
          <t>K</t>
        </is>
      </c>
      <c r="O296" t="inlineStr">
        <is>
          <t>20231111</t>
        </is>
      </c>
      <c r="P296" t="inlineStr">
        <is>
          <t>Sulawesi Selatan</t>
        </is>
      </c>
      <c r="Q296" t="inlineStr"/>
    </row>
    <row r="297">
      <c r="A297" t="inlineStr">
        <is>
          <t>INTEGRAL KONSULTAN</t>
        </is>
      </c>
      <c r="B297" t="inlineStr">
        <is>
          <t>Kota Probolinggo</t>
        </is>
      </c>
      <c r="C297" t="inlineStr">
        <is>
          <t>081336763058</t>
        </is>
      </c>
      <c r="D297" t="inlineStr">
        <is>
          <t>integral.konsultan@gmail.com</t>
        </is>
      </c>
      <c r="E297" t="inlineStr">
        <is>
          <t>https://lpjk.pu.go.id/search-badan-usaha-detail/V0JwTkRVbkhRMm92aUtoYnRPUlIzQT09</t>
        </is>
      </c>
      <c r="F297" t="n">
        <v>3</v>
      </c>
      <c r="G297" t="inlineStr">
        <is>
          <t>RK001, RK002, RK003</t>
        </is>
      </c>
      <c r="H297" t="inlineStr">
        <is>
          <t>8 Agustus 2005</t>
        </is>
      </c>
      <c r="I297" s="2" t="n">
        <v>46339</v>
      </c>
      <c r="J297" t="inlineStr">
        <is>
          <t>Disetujui</t>
        </is>
      </c>
      <c r="K297" t="n">
        <v>87</v>
      </c>
      <c r="L297" t="inlineStr">
        <is>
          <t>13 November 2026</t>
        </is>
      </c>
      <c r="M297" t="inlineStr">
        <is>
          <t>Jasa Rekayasa Konstruksi Bangunan Gedung Hunian dan Non Hunian, Jasa Rekayasa Pekerjaan Teknik Sipil Sumber Daya Air, Jasa Rekayasa Pekerjaan Teknik Sipil Transportasi</t>
        </is>
      </c>
      <c r="N297" t="inlineStr">
        <is>
          <t>K</t>
        </is>
      </c>
      <c r="O297" t="inlineStr">
        <is>
          <t>20231019, 20231020</t>
        </is>
      </c>
      <c r="P297" t="inlineStr">
        <is>
          <t>Jawa Timur</t>
        </is>
      </c>
      <c r="Q297" t="inlineStr"/>
    </row>
    <row r="298">
      <c r="A298" t="inlineStr">
        <is>
          <t>INTI POWER ABADI</t>
        </is>
      </c>
      <c r="B298" t="inlineStr">
        <is>
          <t>Kota Adm. Jakarta Selatan</t>
        </is>
      </c>
      <c r="C298" t="inlineStr">
        <is>
          <t>08118305014</t>
        </is>
      </c>
      <c r="D298" t="inlineStr">
        <is>
          <t>ptintipowerabadi@gmail.com</t>
        </is>
      </c>
      <c r="E298" t="inlineStr">
        <is>
          <t>https://lpjk.pu.go.id/search-badan-usaha-detail/aHdyWnE5aTRpbVhSdTZwN2xiTzRMUT09</t>
        </is>
      </c>
      <c r="F298" t="n">
        <v>1</v>
      </c>
      <c r="G298" t="inlineStr">
        <is>
          <t>BS007</t>
        </is>
      </c>
      <c r="H298" t="inlineStr">
        <is>
          <t>28 Juli 2023</t>
        </is>
      </c>
      <c r="I298" s="2" t="n">
        <v>46338</v>
      </c>
      <c r="J298" t="inlineStr">
        <is>
          <t>Disetujui</t>
        </is>
      </c>
      <c r="K298" t="n">
        <v>87</v>
      </c>
      <c r="L298" t="inlineStr">
        <is>
          <t>12 November 2026</t>
        </is>
      </c>
      <c r="M298" t="inlineStr">
        <is>
          <t>Konstruksi Bangunan Sipil Elektrikal</t>
        </is>
      </c>
      <c r="N298" t="inlineStr">
        <is>
          <t>M</t>
        </is>
      </c>
      <c r="O298" t="inlineStr">
        <is>
          <t>20231109</t>
        </is>
      </c>
      <c r="P298" t="inlineStr">
        <is>
          <t>DKI Jakarta</t>
        </is>
      </c>
      <c r="Q298" t="inlineStr"/>
    </row>
    <row r="299">
      <c r="A299" t="inlineStr">
        <is>
          <t>INTIM BANGUNAN</t>
        </is>
      </c>
      <c r="B299" t="inlineStr">
        <is>
          <t>Kab. Maluku Tengah</t>
        </is>
      </c>
      <c r="C299" t="inlineStr">
        <is>
          <t>081343100960</t>
        </is>
      </c>
      <c r="D299" t="inlineStr">
        <is>
          <t>intimbangun@yahoo.co.id</t>
        </is>
      </c>
      <c r="E299" t="inlineStr">
        <is>
          <t>https://lpjk.pu.go.id/search-badan-usaha-detail/clFKRno3MGgvNnNadllOeVFUeVU5UT09</t>
        </is>
      </c>
      <c r="F299" t="n">
        <v>2</v>
      </c>
      <c r="G299" t="inlineStr">
        <is>
          <t>BG002, BG006</t>
        </is>
      </c>
      <c r="H299" t="inlineStr">
        <is>
          <t>6 Juni 2001</t>
        </is>
      </c>
      <c r="I299" s="2" t="n">
        <v>46335</v>
      </c>
      <c r="J299" t="inlineStr">
        <is>
          <t>Disetujui</t>
        </is>
      </c>
      <c r="K299" t="n">
        <v>87</v>
      </c>
      <c r="L299" t="inlineStr">
        <is>
          <t>9 November 2026</t>
        </is>
      </c>
      <c r="M299" t="inlineStr">
        <is>
          <t>Konstruksi Gedung Pendidikan, Konstruksi Gedung Perkantoran</t>
        </is>
      </c>
      <c r="N299" t="inlineStr">
        <is>
          <t>K</t>
        </is>
      </c>
      <c r="O299" t="inlineStr">
        <is>
          <t>20231110</t>
        </is>
      </c>
      <c r="P299" t="inlineStr">
        <is>
          <t>Maluku</t>
        </is>
      </c>
      <c r="Q299" t="inlineStr"/>
    </row>
    <row r="300">
      <c r="A300" t="inlineStr">
        <is>
          <t>IRMA YUNIKA</t>
        </is>
      </c>
      <c r="B300" t="inlineStr">
        <is>
          <t>Kab. Pahuwato</t>
        </is>
      </c>
      <c r="C300" t="inlineStr">
        <is>
          <t>085395999722</t>
        </is>
      </c>
      <c r="D300" t="inlineStr">
        <is>
          <t>irmayunika6@gmail.com</t>
        </is>
      </c>
      <c r="E300" t="inlineStr">
        <is>
          <t>https://lpjk.pu.go.id/search-badan-usaha-detail/M0lkR1UxUGJjQkVJblZWSm04WU9OQT09</t>
        </is>
      </c>
      <c r="F300" t="n">
        <v>2</v>
      </c>
      <c r="G300" t="inlineStr">
        <is>
          <t>BG006</t>
        </is>
      </c>
      <c r="H300" t="inlineStr">
        <is>
          <t>9 Agustus 2006</t>
        </is>
      </c>
      <c r="I300" s="2" t="n">
        <v>46335</v>
      </c>
      <c r="J300" t="inlineStr">
        <is>
          <t>Disetujui</t>
        </is>
      </c>
      <c r="K300" t="n">
        <v>87</v>
      </c>
      <c r="L300" t="inlineStr">
        <is>
          <t>9 November 2026</t>
        </is>
      </c>
      <c r="M300" t="inlineStr">
        <is>
          <t>Konstruksi Gedung Pendidikan</t>
        </is>
      </c>
      <c r="N300" t="inlineStr">
        <is>
          <t>K</t>
        </is>
      </c>
      <c r="O300" t="inlineStr">
        <is>
          <t>20231024</t>
        </is>
      </c>
      <c r="P300" t="inlineStr">
        <is>
          <t>Gorontalo</t>
        </is>
      </c>
      <c r="Q300" t="inlineStr"/>
    </row>
    <row r="301">
      <c r="A301" t="inlineStr">
        <is>
          <t>JAGAD WIRAKARYA LAKSANA</t>
        </is>
      </c>
      <c r="B301" t="inlineStr">
        <is>
          <t>Kota Tebing Tinggi</t>
        </is>
      </c>
      <c r="C301" t="inlineStr">
        <is>
          <t>081361028002</t>
        </is>
      </c>
      <c r="D301" t="inlineStr">
        <is>
          <t>wirakaryalaksana23@gmail.com</t>
        </is>
      </c>
      <c r="E301" t="inlineStr">
        <is>
          <t>https://lpjk.pu.go.id/search-badan-usaha-detail/bG80R0dKMWVwN1QrVzFteGZOWHlidz09</t>
        </is>
      </c>
      <c r="F301" t="n">
        <v>3</v>
      </c>
      <c r="G301" t="inlineStr">
        <is>
          <t>BG001, BG002, BS001</t>
        </is>
      </c>
      <c r="H301" t="inlineStr">
        <is>
          <t>19 Mei 2023</t>
        </is>
      </c>
      <c r="I301" s="2" t="n">
        <v>46338</v>
      </c>
      <c r="J301" t="inlineStr">
        <is>
          <t>Pencabutan</t>
        </is>
      </c>
      <c r="K301" t="n">
        <v>87</v>
      </c>
      <c r="L301" t="inlineStr">
        <is>
          <t>12 November 2026</t>
        </is>
      </c>
      <c r="M301" t="inlineStr">
        <is>
          <t>Konstruksi Bangunan Sipil Jalan, Konstruksi Gedung Hunian, Konstruksi Gedung Perkantoran</t>
        </is>
      </c>
      <c r="N301" t="inlineStr">
        <is>
          <t>K</t>
        </is>
      </c>
      <c r="O301" t="inlineStr">
        <is>
          <t>20231024</t>
        </is>
      </c>
      <c r="P301" t="inlineStr">
        <is>
          <t>Sumatera Utara</t>
        </is>
      </c>
      <c r="Q301" t="inlineStr"/>
    </row>
    <row r="302">
      <c r="A302" t="inlineStr">
        <is>
          <t>JAGARNATAMA PUTRA MANDIRI</t>
        </is>
      </c>
      <c r="B302" t="inlineStr">
        <is>
          <t>Kota Padang</t>
        </is>
      </c>
      <c r="C302" t="inlineStr">
        <is>
          <t>085358618825</t>
        </is>
      </c>
      <c r="D302" t="inlineStr">
        <is>
          <t>jagarnatamaputram@gmail.com</t>
        </is>
      </c>
      <c r="E302" t="inlineStr">
        <is>
          <t>https://lpjk.pu.go.id/search-badan-usaha-detail/VkVqZllCSHVIUThRRkY3NkpBYmxMdz09</t>
        </is>
      </c>
      <c r="F302" t="n">
        <v>1</v>
      </c>
      <c r="G302" t="inlineStr">
        <is>
          <t>BG009</t>
        </is>
      </c>
      <c r="H302" t="inlineStr">
        <is>
          <t>14 Februari 2023</t>
        </is>
      </c>
      <c r="I302" s="2" t="n">
        <v>46339</v>
      </c>
      <c r="J302" t="inlineStr">
        <is>
          <t>Disetujui</t>
        </is>
      </c>
      <c r="K302" t="n">
        <v>87</v>
      </c>
      <c r="L302" t="inlineStr">
        <is>
          <t>13 November 2026</t>
        </is>
      </c>
      <c r="M302" t="inlineStr">
        <is>
          <t>Konstruksi Gedung Lainnya</t>
        </is>
      </c>
      <c r="N302" t="inlineStr">
        <is>
          <t>K</t>
        </is>
      </c>
      <c r="O302" t="inlineStr">
        <is>
          <t>20231113</t>
        </is>
      </c>
      <c r="P302" t="inlineStr">
        <is>
          <t>Sumatera Barat</t>
        </is>
      </c>
      <c r="Q302" t="inlineStr"/>
    </row>
    <row r="303">
      <c r="A303" t="inlineStr">
        <is>
          <t>JASA KONSTRUKSI BANJARNEGARA</t>
        </is>
      </c>
      <c r="B303" t="inlineStr">
        <is>
          <t>Kab. Banjarnegara</t>
        </is>
      </c>
      <c r="C303" t="inlineStr">
        <is>
          <t>082236684114</t>
        </is>
      </c>
      <c r="D303" t="inlineStr">
        <is>
          <t>pt.jasa.konstruksi.banjarnegara@gmail.com</t>
        </is>
      </c>
      <c r="E303" t="inlineStr">
        <is>
          <t>https://lpjk.pu.go.id/search-badan-usaha-detail/R2ZQTVNaZW5FOUQvVCttamZ3REh4Zz09</t>
        </is>
      </c>
      <c r="F303" t="n">
        <v>5</v>
      </c>
      <c r="G303" t="inlineStr">
        <is>
          <t>BG001, BG003, BG008, BG009, BS001</t>
        </is>
      </c>
      <c r="H303" t="inlineStr">
        <is>
          <t>7 Maret 2020</t>
        </is>
      </c>
      <c r="I303" s="2" t="n">
        <v>46340</v>
      </c>
      <c r="J303" t="inlineStr">
        <is>
          <t>Disetujui, Pencabutan</t>
        </is>
      </c>
      <c r="K303" t="n">
        <v>87</v>
      </c>
      <c r="L303" t="inlineStr">
        <is>
          <t>14 November 2026</t>
        </is>
      </c>
      <c r="M303" t="inlineStr">
        <is>
          <t>Konstruksi Bangunan Sipil Jalan, Konstruksi Gedung Hunian, Konstruksi Gedung Industri, Konstruksi Gedung Lainnya, Konstruksi Gedung Tempat Hiburan dan Olahraga</t>
        </is>
      </c>
      <c r="N303" t="inlineStr">
        <is>
          <t>K</t>
        </is>
      </c>
      <c r="O303" t="inlineStr">
        <is>
          <t>20231109, 20231113</t>
        </is>
      </c>
      <c r="P303" t="inlineStr">
        <is>
          <t>Jawa Tengah</t>
        </is>
      </c>
      <c r="Q303" t="inlineStr"/>
    </row>
    <row r="304">
      <c r="A304" t="inlineStr">
        <is>
          <t>JASA PENSIUNAN PELTIM SEJAHTERA</t>
        </is>
      </c>
      <c r="B304" t="inlineStr">
        <is>
          <t>Kab. Bangka Selatan</t>
        </is>
      </c>
      <c r="C304" t="inlineStr">
        <is>
          <t>081367790193</t>
        </is>
      </c>
      <c r="D304" t="inlineStr">
        <is>
          <t>koperasi.jpps@gmail.com</t>
        </is>
      </c>
      <c r="E304" t="inlineStr">
        <is>
          <t>https://lpjk.pu.go.id/search-badan-usaha-detail/NENldEN2VG0wRC9jZFBpU3IzVlYxUT09</t>
        </is>
      </c>
      <c r="F304" t="n">
        <v>3</v>
      </c>
      <c r="G304" t="inlineStr">
        <is>
          <t>BG001, BG003, BG009</t>
        </is>
      </c>
      <c r="H304" t="inlineStr">
        <is>
          <t>27 September 2019</t>
        </is>
      </c>
      <c r="I304" s="2" t="n">
        <v>46334</v>
      </c>
      <c r="J304" t="inlineStr">
        <is>
          <t>Disetujui, Pencabutan</t>
        </is>
      </c>
      <c r="K304" t="n">
        <v>87</v>
      </c>
      <c r="L304" t="inlineStr">
        <is>
          <t>8 November 2026</t>
        </is>
      </c>
      <c r="M304" t="inlineStr">
        <is>
          <t>Konstruksi Gedung Hunian, Konstruksi Gedung Industri, Konstruksi Gedung Lainnya</t>
        </is>
      </c>
      <c r="N304" t="inlineStr">
        <is>
          <t>K</t>
        </is>
      </c>
      <c r="O304" t="inlineStr">
        <is>
          <t>20231109</t>
        </is>
      </c>
      <c r="P304" t="inlineStr">
        <is>
          <t>Kepulauan Bangka Belitung</t>
        </is>
      </c>
      <c r="Q304" t="inlineStr"/>
    </row>
    <row r="305">
      <c r="A305" t="inlineStr">
        <is>
          <t>JASA SALWA PERDANA</t>
        </is>
      </c>
      <c r="B305" t="inlineStr">
        <is>
          <t>Kota Palu</t>
        </is>
      </c>
      <c r="C305" t="inlineStr">
        <is>
          <t>081218360090</t>
        </is>
      </c>
      <c r="D305" t="inlineStr">
        <is>
          <t>pt.jasasalwaperdana@gmail.com</t>
        </is>
      </c>
      <c r="E305" t="inlineStr">
        <is>
          <t>https://lpjk.pu.go.id/search-badan-usaha-detail/MWpFTWhidnhnb1dZV1NnL2hGdFlzdz09</t>
        </is>
      </c>
      <c r="F305" t="n">
        <v>1</v>
      </c>
      <c r="G305" t="inlineStr">
        <is>
          <t>BS001</t>
        </is>
      </c>
      <c r="H305" t="inlineStr">
        <is>
          <t>21 Januari 2021</t>
        </is>
      </c>
      <c r="I305" s="2" t="n">
        <v>46334</v>
      </c>
      <c r="J305" t="inlineStr">
        <is>
          <t>Pencabutan</t>
        </is>
      </c>
      <c r="K305" t="n">
        <v>87</v>
      </c>
      <c r="L305" t="inlineStr">
        <is>
          <t>8 November 2026</t>
        </is>
      </c>
      <c r="M305" t="inlineStr">
        <is>
          <t>Konstruksi Bangunan Sipil Jalan</t>
        </is>
      </c>
      <c r="N305" t="inlineStr">
        <is>
          <t>K</t>
        </is>
      </c>
      <c r="O305" t="inlineStr">
        <is>
          <t>20231101</t>
        </is>
      </c>
      <c r="P305" t="inlineStr">
        <is>
          <t>Sulawesi Tengah</t>
        </is>
      </c>
      <c r="Q305" t="inlineStr"/>
    </row>
    <row r="306">
      <c r="A306" t="inlineStr">
        <is>
          <t>JASA TEHNIK MANDIRI</t>
        </is>
      </c>
      <c r="B306" t="inlineStr">
        <is>
          <t>Kota Samarinda</t>
        </is>
      </c>
      <c r="C306" t="inlineStr">
        <is>
          <t>05417273786</t>
        </is>
      </c>
      <c r="D306" t="inlineStr">
        <is>
          <t>jastek_mandiri@yahoo.com</t>
        </is>
      </c>
      <c r="E306" t="inlineStr">
        <is>
          <t>https://lpjk.pu.go.id/search-badan-usaha-detail/Wkt2dm91Q2VwUjQ4WVhLcDVIb29xZz09</t>
        </is>
      </c>
      <c r="F306" t="n">
        <v>1</v>
      </c>
      <c r="G306" t="inlineStr">
        <is>
          <t>RK003</t>
        </is>
      </c>
      <c r="H306" t="inlineStr">
        <is>
          <t>23 Mei 2008</t>
        </is>
      </c>
      <c r="I306" s="2" t="n">
        <v>46339</v>
      </c>
      <c r="J306" t="inlineStr">
        <is>
          <t>Disetujui</t>
        </is>
      </c>
      <c r="K306" t="n">
        <v>87</v>
      </c>
      <c r="L306" t="inlineStr">
        <is>
          <t>13 November 2026</t>
        </is>
      </c>
      <c r="M306" t="inlineStr">
        <is>
          <t>Jasa Rekayasa Pekerjaan Teknik Sipil Transportasi</t>
        </is>
      </c>
      <c r="N306" t="inlineStr">
        <is>
          <t>M</t>
        </is>
      </c>
      <c r="O306" t="inlineStr">
        <is>
          <t>20231110</t>
        </is>
      </c>
      <c r="P306" t="inlineStr">
        <is>
          <t>Kalimantan Timur</t>
        </is>
      </c>
      <c r="Q306" t="inlineStr"/>
    </row>
    <row r="307">
      <c r="A307" t="inlineStr">
        <is>
          <t>JASACIPTA KARUNIA</t>
        </is>
      </c>
      <c r="B307" t="inlineStr">
        <is>
          <t>Kab. Sumbawa</t>
        </is>
      </c>
      <c r="C307" t="inlineStr">
        <is>
          <t>081935984447</t>
        </is>
      </c>
      <c r="D307" t="inlineStr">
        <is>
          <t>jasacipta@gmail.com</t>
        </is>
      </c>
      <c r="E307" t="inlineStr">
        <is>
          <t>https://lpjk.pu.go.id/search-badan-usaha-detail/SEx6Y0dlMUhuQ3NtLzFhVy9zMzdUdz09</t>
        </is>
      </c>
      <c r="F307" t="n">
        <v>1</v>
      </c>
      <c r="G307" t="inlineStr">
        <is>
          <t>BG006</t>
        </is>
      </c>
      <c r="H307" t="inlineStr">
        <is>
          <t>31 Oktober 2005</t>
        </is>
      </c>
      <c r="I307" s="2" t="n">
        <v>46340</v>
      </c>
      <c r="J307" t="inlineStr">
        <is>
          <t>Disetujui</t>
        </is>
      </c>
      <c r="K307" t="n">
        <v>87</v>
      </c>
      <c r="L307" t="inlineStr">
        <is>
          <t>14 November 2026</t>
        </is>
      </c>
      <c r="M307" t="inlineStr">
        <is>
          <t>Konstruksi Gedung Pendidikan</t>
        </is>
      </c>
      <c r="N307" t="inlineStr">
        <is>
          <t>K</t>
        </is>
      </c>
      <c r="O307" t="inlineStr">
        <is>
          <t>20231114</t>
        </is>
      </c>
      <c r="P307" t="inlineStr">
        <is>
          <t>Nusa Tenggara Barat</t>
        </is>
      </c>
      <c r="Q307" t="inlineStr"/>
    </row>
    <row r="308">
      <c r="A308" t="inlineStr">
        <is>
          <t>JAVA OF BUILDING</t>
        </is>
      </c>
      <c r="B308" t="inlineStr">
        <is>
          <t>Kab. Tulungagung</t>
        </is>
      </c>
      <c r="C308" t="inlineStr">
        <is>
          <t>081336801268</t>
        </is>
      </c>
      <c r="D308" t="inlineStr">
        <is>
          <t>cv.javaofbuilding@gmail.com</t>
        </is>
      </c>
      <c r="E308" t="inlineStr">
        <is>
          <t>https://lpjk.pu.go.id/search-badan-usaha-detail/d2RqdEZWWU4vd0N3bXdGYXo0R0pvUT09</t>
        </is>
      </c>
      <c r="F308" t="n">
        <v>1</v>
      </c>
      <c r="G308" t="inlineStr">
        <is>
          <t>RK003</t>
        </is>
      </c>
      <c r="H308" t="inlineStr">
        <is>
          <t>30 Mei 2022</t>
        </is>
      </c>
      <c r="I308" s="2" t="n">
        <v>46335</v>
      </c>
      <c r="J308" t="inlineStr">
        <is>
          <t>Disetujui</t>
        </is>
      </c>
      <c r="K308" t="n">
        <v>87</v>
      </c>
      <c r="L308" t="inlineStr">
        <is>
          <t>9 November 2026</t>
        </is>
      </c>
      <c r="M308" t="inlineStr">
        <is>
          <t>Jasa Rekayasa Pekerjaan Teknik Sipil Transportasi</t>
        </is>
      </c>
      <c r="N308" t="inlineStr">
        <is>
          <t>K</t>
        </is>
      </c>
      <c r="O308" t="inlineStr">
        <is>
          <t>20231102</t>
        </is>
      </c>
      <c r="P308" t="inlineStr">
        <is>
          <t>Jawa Timur</t>
        </is>
      </c>
      <c r="Q308" t="inlineStr"/>
    </row>
    <row r="309">
      <c r="A309" t="inlineStr">
        <is>
          <t>JAWALAND REALTY</t>
        </is>
      </c>
      <c r="B309" t="inlineStr">
        <is>
          <t>Kota Semarang</t>
        </is>
      </c>
      <c r="C309" t="inlineStr">
        <is>
          <t>08122836923</t>
        </is>
      </c>
      <c r="D309" t="inlineStr">
        <is>
          <t>jawalandrealty@gmail.com</t>
        </is>
      </c>
      <c r="E309" t="inlineStr">
        <is>
          <t>https://lpjk.pu.go.id/search-badan-usaha-detail/WFkxWVN5bnhNYk12VEI4aDdGaGo0dz09</t>
        </is>
      </c>
      <c r="F309" t="n">
        <v>3</v>
      </c>
      <c r="G309" t="inlineStr">
        <is>
          <t>AR001, AR002, AR003</t>
        </is>
      </c>
      <c r="H309" t="inlineStr">
        <is>
          <t>1 Agustus 2009</t>
        </is>
      </c>
      <c r="I309" s="2" t="n">
        <v>46335</v>
      </c>
      <c r="J309" t="inlineStr">
        <is>
          <t>Disetujui</t>
        </is>
      </c>
      <c r="K309" t="n">
        <v>87</v>
      </c>
      <c r="L309" t="inlineStr">
        <is>
          <t>9 November 2026</t>
        </is>
      </c>
      <c r="M309" t="inlineStr">
        <is>
          <t>Jasa Arsitektural Bangunan Gedung Hunian dan Non Hunian, Jasa Arsitektural Lainnya, Jasa Desain Interior pada Bangunan Gedung dan Bangunan Sipil</t>
        </is>
      </c>
      <c r="N309" t="inlineStr">
        <is>
          <t>K</t>
        </is>
      </c>
      <c r="O309" t="inlineStr">
        <is>
          <t>20231025</t>
        </is>
      </c>
      <c r="P309" t="inlineStr">
        <is>
          <t>Jawa Tengah</t>
        </is>
      </c>
      <c r="Q309" t="inlineStr"/>
    </row>
    <row r="310">
      <c r="A310" t="inlineStr">
        <is>
          <t>JAYA INDO TAMA</t>
        </is>
      </c>
      <c r="B310" t="inlineStr">
        <is>
          <t>Kota Surabaya</t>
        </is>
      </c>
      <c r="C310" t="inlineStr">
        <is>
          <t>0318070536</t>
        </is>
      </c>
      <c r="D310" t="inlineStr">
        <is>
          <t>cvjayaindotama@gmail.com</t>
        </is>
      </c>
      <c r="E310" t="inlineStr">
        <is>
          <t>https://lpjk.pu.go.id/search-badan-usaha-detail/UFRZQnpmd0dQc3RRc3VzUnJoZDZFQT09</t>
        </is>
      </c>
      <c r="F310" t="n">
        <v>2</v>
      </c>
      <c r="G310" t="inlineStr">
        <is>
          <t>BG002, BG003</t>
        </is>
      </c>
      <c r="H310" t="inlineStr">
        <is>
          <t>5 Oktober 2016</t>
        </is>
      </c>
      <c r="I310" s="2" t="n">
        <v>46339</v>
      </c>
      <c r="J310" t="inlineStr">
        <is>
          <t>Disetujui</t>
        </is>
      </c>
      <c r="K310" t="n">
        <v>87</v>
      </c>
      <c r="L310" t="inlineStr">
        <is>
          <t>13 November 2026</t>
        </is>
      </c>
      <c r="M310" t="inlineStr">
        <is>
          <t>Konstruksi Gedung Industri, Konstruksi Gedung Perkantoran</t>
        </is>
      </c>
      <c r="N310" t="inlineStr">
        <is>
          <t>K</t>
        </is>
      </c>
      <c r="O310" t="inlineStr">
        <is>
          <t>20231109</t>
        </is>
      </c>
      <c r="P310" t="inlineStr">
        <is>
          <t>Jawa Timur</t>
        </is>
      </c>
      <c r="Q310" t="inlineStr"/>
    </row>
    <row r="311">
      <c r="A311" t="inlineStr">
        <is>
          <t>JAYA MANDIRI BERSAMA</t>
        </is>
      </c>
      <c r="B311" t="inlineStr">
        <is>
          <t>Kab. Penukal Abab Lematang</t>
        </is>
      </c>
      <c r="C311" t="inlineStr">
        <is>
          <t>082186114072</t>
        </is>
      </c>
      <c r="D311" t="inlineStr">
        <is>
          <t>cv.jayamandiribersama@gmail.com</t>
        </is>
      </c>
      <c r="E311" t="inlineStr">
        <is>
          <t>https://lpjk.pu.go.id/search-badan-usaha-detail/TEEraGJmSkpzUXpvRGFOVHRURXFSdz09</t>
        </is>
      </c>
      <c r="F311" t="n">
        <v>3</v>
      </c>
      <c r="G311" t="inlineStr">
        <is>
          <t>BG006, BS001, BS004</t>
        </is>
      </c>
      <c r="H311" t="inlineStr">
        <is>
          <t>26 April 2019</t>
        </is>
      </c>
      <c r="I311" s="2" t="n">
        <v>46339</v>
      </c>
      <c r="J311" t="inlineStr">
        <is>
          <t>Disetujui</t>
        </is>
      </c>
      <c r="K311" t="n">
        <v>87</v>
      </c>
      <c r="L311" t="inlineStr">
        <is>
          <t>13 November 2026</t>
        </is>
      </c>
      <c r="M311" t="inlineStr">
        <is>
          <t>Konstruksi Bangunan Sipil Jalan, Konstruksi Gedung Pendidikan, Konstruksi Jaringan Irigasi dan Drainase</t>
        </is>
      </c>
      <c r="N311" t="inlineStr">
        <is>
          <t>K</t>
        </is>
      </c>
      <c r="O311" t="inlineStr">
        <is>
          <t>20231110</t>
        </is>
      </c>
      <c r="P311" t="inlineStr">
        <is>
          <t>Sumatera Selatan</t>
        </is>
      </c>
      <c r="Q311" t="inlineStr"/>
    </row>
    <row r="312">
      <c r="A312" t="inlineStr">
        <is>
          <t>JAYA SARANA MANDIRI</t>
        </is>
      </c>
      <c r="B312" t="inlineStr">
        <is>
          <t>Kab. Tangerang</t>
        </is>
      </c>
      <c r="C312" t="inlineStr">
        <is>
          <t>087888298663</t>
        </is>
      </c>
      <c r="D312" t="inlineStr">
        <is>
          <t>jayasaranamandiri@yahoo.com</t>
        </is>
      </c>
      <c r="E312" t="inlineStr">
        <is>
          <t>https://lpjk.pu.go.id/search-badan-usaha-detail/d0xEbStZVHFiNEhvRUpVOHVaOW1nZz09</t>
        </is>
      </c>
      <c r="F312" t="n">
        <v>1</v>
      </c>
      <c r="G312" t="inlineStr">
        <is>
          <t>BS001</t>
        </is>
      </c>
      <c r="H312" t="inlineStr">
        <is>
          <t>24 April 2018</t>
        </is>
      </c>
      <c r="I312" s="2" t="n">
        <v>46334</v>
      </c>
      <c r="J312" t="inlineStr">
        <is>
          <t>Disetujui</t>
        </is>
      </c>
      <c r="K312" t="n">
        <v>87</v>
      </c>
      <c r="L312" t="inlineStr">
        <is>
          <t>8 November 2026</t>
        </is>
      </c>
      <c r="M312" t="inlineStr">
        <is>
          <t>Konstruksi Bangunan Sipil Jalan</t>
        </is>
      </c>
      <c r="N312" t="inlineStr">
        <is>
          <t>K</t>
        </is>
      </c>
      <c r="O312" t="inlineStr">
        <is>
          <t>20230314</t>
        </is>
      </c>
      <c r="P312" t="inlineStr">
        <is>
          <t>Banten</t>
        </is>
      </c>
      <c r="Q312" t="inlineStr"/>
    </row>
    <row r="313">
      <c r="A313" t="inlineStr">
        <is>
          <t>JIHAN ANUGERAH JAYA</t>
        </is>
      </c>
      <c r="B313" t="inlineStr">
        <is>
          <t>Kota Balikpapan</t>
        </is>
      </c>
      <c r="C313" t="inlineStr">
        <is>
          <t>081347859707</t>
        </is>
      </c>
      <c r="D313" t="inlineStr">
        <is>
          <t>jihananugerahjaya@gmail.com</t>
        </is>
      </c>
      <c r="E313" t="inlineStr">
        <is>
          <t>https://lpjk.pu.go.id/search-badan-usaha-detail/RTJPTkxUa2NmWG1WS3pqNVcyWE00Zz09</t>
        </is>
      </c>
      <c r="F313" t="n">
        <v>4</v>
      </c>
      <c r="G313" t="inlineStr">
        <is>
          <t>BG002, BG009, BS001, BS004</t>
        </is>
      </c>
      <c r="H313" t="inlineStr">
        <is>
          <t>22 Juli 2019</t>
        </is>
      </c>
      <c r="I313" s="2" t="n">
        <v>46335</v>
      </c>
      <c r="J313" t="inlineStr">
        <is>
          <t>Disetujui</t>
        </is>
      </c>
      <c r="K313" t="n">
        <v>87</v>
      </c>
      <c r="L313" t="inlineStr">
        <is>
          <t>9 November 2026</t>
        </is>
      </c>
      <c r="M313" t="inlineStr">
        <is>
          <t>Konstruksi Bangunan Sipil Jalan, Konstruksi Gedung Lainnya, Konstruksi Gedung Perkantoran, Konstruksi Jaringan Irigasi dan Drainase</t>
        </is>
      </c>
      <c r="N313" t="inlineStr">
        <is>
          <t>K</t>
        </is>
      </c>
      <c r="O313" t="inlineStr">
        <is>
          <t>20231110</t>
        </is>
      </c>
      <c r="P313" t="inlineStr">
        <is>
          <t>Kalimantan Timur</t>
        </is>
      </c>
      <c r="Q313" t="inlineStr"/>
    </row>
    <row r="314">
      <c r="A314" t="inlineStr">
        <is>
          <t>KAENTIKA KONSULTAN</t>
        </is>
      </c>
      <c r="B314" t="inlineStr">
        <is>
          <t>Kota Tarakan</t>
        </is>
      </c>
      <c r="C314" t="inlineStr">
        <is>
          <t>085245243277</t>
        </is>
      </c>
      <c r="D314" t="inlineStr">
        <is>
          <t>kaentika.yudi@yahoo.com</t>
        </is>
      </c>
      <c r="E314" t="inlineStr">
        <is>
          <t>https://lpjk.pu.go.id/search-badan-usaha-detail/a3FMRWF2K1dKVkFWSVQvbXl1QlpFZz09</t>
        </is>
      </c>
      <c r="F314" t="n">
        <v>1</v>
      </c>
      <c r="G314" t="inlineStr">
        <is>
          <t>RK003</t>
        </is>
      </c>
      <c r="H314" t="inlineStr">
        <is>
          <t>22 Juni 2012</t>
        </is>
      </c>
      <c r="I314" s="2" t="n">
        <v>46338</v>
      </c>
      <c r="J314" t="inlineStr">
        <is>
          <t>Disetujui</t>
        </is>
      </c>
      <c r="K314" t="n">
        <v>87</v>
      </c>
      <c r="L314" t="inlineStr">
        <is>
          <t>12 November 2026</t>
        </is>
      </c>
      <c r="M314" t="inlineStr">
        <is>
          <t>Jasa Rekayasa Pekerjaan Teknik Sipil Transportasi</t>
        </is>
      </c>
      <c r="N314" t="inlineStr">
        <is>
          <t>K</t>
        </is>
      </c>
      <c r="O314" t="inlineStr">
        <is>
          <t>20231102</t>
        </is>
      </c>
      <c r="P314" t="inlineStr">
        <is>
          <t>Kalimantan Utara</t>
        </is>
      </c>
      <c r="Q314" t="inlineStr"/>
    </row>
    <row r="315">
      <c r="A315" t="inlineStr">
        <is>
          <t>KALINA SUMBER BERKAT</t>
        </is>
      </c>
      <c r="B315" t="inlineStr">
        <is>
          <t>Kota Surabaya</t>
        </is>
      </c>
      <c r="C315" t="inlineStr">
        <is>
          <t>08111509107</t>
        </is>
      </c>
      <c r="D315" t="inlineStr">
        <is>
          <t>kalinasumberberkat@gmail.com</t>
        </is>
      </c>
      <c r="E315" t="inlineStr">
        <is>
          <t>https://lpjk.pu.go.id/search-badan-usaha-detail/Y01jOWVveG1pVEZWQWszaFlSS01jUT09</t>
        </is>
      </c>
      <c r="F315" t="n">
        <v>4</v>
      </c>
      <c r="G315" t="inlineStr">
        <is>
          <t>BG005, BG009</t>
        </is>
      </c>
      <c r="H315" t="inlineStr">
        <is>
          <t>2 Mei 2023</t>
        </is>
      </c>
      <c r="I315" s="2" t="n">
        <v>46337</v>
      </c>
      <c r="J315" t="inlineStr">
        <is>
          <t>Disetujui</t>
        </is>
      </c>
      <c r="K315" t="n">
        <v>87</v>
      </c>
      <c r="L315" t="inlineStr">
        <is>
          <t>11 November 2026</t>
        </is>
      </c>
      <c r="M315" t="inlineStr">
        <is>
          <t>Konstruksi Gedung Kesehatan, Konstruksi Gedung Lainnya</t>
        </is>
      </c>
      <c r="N315" t="inlineStr">
        <is>
          <t>K</t>
        </is>
      </c>
      <c r="O315" t="inlineStr">
        <is>
          <t>20231111, 20231114</t>
        </is>
      </c>
      <c r="P315" t="inlineStr">
        <is>
          <t>Jawa Timur</t>
        </is>
      </c>
      <c r="Q315" t="inlineStr"/>
    </row>
    <row r="316">
      <c r="A316" t="inlineStr">
        <is>
          <t>KAMAJAYA INDO SUMATRA</t>
        </is>
      </c>
      <c r="B316" t="inlineStr">
        <is>
          <t>Kab. Deli Serdang</t>
        </is>
      </c>
      <c r="C316" t="inlineStr">
        <is>
          <t>N/A</t>
        </is>
      </c>
      <c r="D316" t="inlineStr">
        <is>
          <t>N/A</t>
        </is>
      </c>
      <c r="E316" t="inlineStr">
        <is>
          <t>https://lpjk.pu.go.id/search-badan-usaha-detail/TE1sdGFvWlpURkdSc2NvWmQ2eitwdz09</t>
        </is>
      </c>
      <c r="F316" t="n">
        <v>5</v>
      </c>
      <c r="G316" t="inlineStr">
        <is>
          <t>BG001, BG002, BG003, BG006, BG007</t>
        </is>
      </c>
      <c r="H316" t="inlineStr">
        <is>
          <t>1 September 2023</t>
        </is>
      </c>
      <c r="I316" s="2" t="n">
        <v>46334</v>
      </c>
      <c r="J316" t="inlineStr">
        <is>
          <t>Disetujui</t>
        </is>
      </c>
      <c r="K316" t="n">
        <v>87</v>
      </c>
      <c r="L316" t="inlineStr">
        <is>
          <t>8 November 2026</t>
        </is>
      </c>
      <c r="M316" t="inlineStr">
        <is>
          <t>Konstruksi Gedung Hunian, Konstruksi Gedung Industri, Konstruksi Gedung Pendidikan, Konstruksi Gedung Penginapan, Konstruksi Gedung Perkantoran</t>
        </is>
      </c>
      <c r="N316" t="inlineStr">
        <is>
          <t>K</t>
        </is>
      </c>
      <c r="O316" t="inlineStr">
        <is>
          <t>20231106, 20231107, 20231110</t>
        </is>
      </c>
      <c r="P316" t="inlineStr">
        <is>
          <t>Sumatera Utara</t>
        </is>
      </c>
      <c r="Q316" t="inlineStr"/>
    </row>
    <row r="317">
      <c r="A317" t="inlineStr">
        <is>
          <t>KARISMA SINAR BANTEN</t>
        </is>
      </c>
      <c r="B317" t="inlineStr">
        <is>
          <t>Kota Serang</t>
        </is>
      </c>
      <c r="C317" t="inlineStr">
        <is>
          <t>089616321982</t>
        </is>
      </c>
      <c r="D317" t="inlineStr">
        <is>
          <t>karismasinarbanten@gmail.com</t>
        </is>
      </c>
      <c r="E317" t="inlineStr">
        <is>
          <t>https://lpjk.pu.go.id/search-badan-usaha-detail/d1BYVTZRazZBcTdndWZabUxzUUpPdz09</t>
        </is>
      </c>
      <c r="F317" t="n">
        <v>1</v>
      </c>
      <c r="G317" t="inlineStr">
        <is>
          <t>BS001</t>
        </is>
      </c>
      <c r="H317" t="inlineStr">
        <is>
          <t>11 April 2023</t>
        </is>
      </c>
      <c r="I317" s="2" t="n">
        <v>46334</v>
      </c>
      <c r="J317" t="inlineStr">
        <is>
          <t>Disetujui</t>
        </is>
      </c>
      <c r="K317" t="n">
        <v>87</v>
      </c>
      <c r="L317" t="inlineStr">
        <is>
          <t>8 November 2026</t>
        </is>
      </c>
      <c r="M317" t="inlineStr">
        <is>
          <t>Konstruksi Bangunan Sipil Jalan</t>
        </is>
      </c>
      <c r="N317" t="inlineStr">
        <is>
          <t>K</t>
        </is>
      </c>
      <c r="O317" t="inlineStr">
        <is>
          <t>20231106</t>
        </is>
      </c>
      <c r="P317" t="inlineStr">
        <is>
          <t>Banten</t>
        </is>
      </c>
      <c r="Q317" t="inlineStr"/>
    </row>
    <row r="318">
      <c r="A318" t="inlineStr">
        <is>
          <t>KARSA INSAN MANDIRI</t>
        </is>
      </c>
      <c r="B318" t="inlineStr">
        <is>
          <t>Kota Tarakan</t>
        </is>
      </c>
      <c r="C318" t="inlineStr">
        <is>
          <t>085234068888</t>
        </is>
      </c>
      <c r="D318" t="inlineStr">
        <is>
          <t>karsainsanmandiri@yahoo.co.id</t>
        </is>
      </c>
      <c r="E318" t="inlineStr">
        <is>
          <t>https://lpjk.pu.go.id/search-badan-usaha-detail/MS9BVGhDenNxeStUTTFBMFVIT0tHUT09</t>
        </is>
      </c>
      <c r="F318" t="n">
        <v>4</v>
      </c>
      <c r="G318" t="inlineStr">
        <is>
          <t>BG001, BG002, BG006, BG009</t>
        </is>
      </c>
      <c r="H318" t="inlineStr">
        <is>
          <t>31 Maret 2006</t>
        </is>
      </c>
      <c r="I318" s="2" t="n">
        <v>46335</v>
      </c>
      <c r="J318" t="inlineStr">
        <is>
          <t>Disetujui</t>
        </is>
      </c>
      <c r="K318" t="n">
        <v>87</v>
      </c>
      <c r="L318" t="inlineStr">
        <is>
          <t>9 November 2026</t>
        </is>
      </c>
      <c r="M318" t="inlineStr">
        <is>
          <t>Konstruksi Gedung Hunian, Konstruksi Gedung Lainnya, Konstruksi Gedung Pendidikan, Konstruksi Gedung Perkantoran</t>
        </is>
      </c>
      <c r="N318" t="inlineStr">
        <is>
          <t>K</t>
        </is>
      </c>
      <c r="O318" t="inlineStr">
        <is>
          <t>20231028, 20231103, 20231106, 20231108</t>
        </is>
      </c>
      <c r="P318" t="inlineStr">
        <is>
          <t>Kalimantan Utara</t>
        </is>
      </c>
      <c r="Q318" t="inlineStr"/>
    </row>
    <row r="319">
      <c r="A319" t="inlineStr">
        <is>
          <t>KARTA UTAMA KARYAMARGA</t>
        </is>
      </c>
      <c r="B319" t="inlineStr">
        <is>
          <t>Kota Palangkaraya</t>
        </is>
      </c>
      <c r="C319" t="inlineStr">
        <is>
          <t>081254080030</t>
        </is>
      </c>
      <c r="D319" t="inlineStr">
        <is>
          <t>sugiarto_21@yahoo.com</t>
        </is>
      </c>
      <c r="E319" t="inlineStr">
        <is>
          <t>https://lpjk.pu.go.id/search-badan-usaha-detail/d3gzMTVJMEhJWXYzMFpXd1VDaFRvZz09</t>
        </is>
      </c>
      <c r="F319" t="n">
        <v>1</v>
      </c>
      <c r="G319" t="inlineStr">
        <is>
          <t>BS001</t>
        </is>
      </c>
      <c r="H319" t="inlineStr">
        <is>
          <t>7 November 2006</t>
        </is>
      </c>
      <c r="I319" s="2" t="n">
        <v>46339</v>
      </c>
      <c r="J319" t="inlineStr">
        <is>
          <t>Pembekuan</t>
        </is>
      </c>
      <c r="K319" t="n">
        <v>87</v>
      </c>
      <c r="L319" t="inlineStr">
        <is>
          <t>13 November 2026</t>
        </is>
      </c>
      <c r="M319" t="inlineStr">
        <is>
          <t>Konstruksi Bangunan Sipil Jalan</t>
        </is>
      </c>
      <c r="N319" t="inlineStr">
        <is>
          <t>M</t>
        </is>
      </c>
      <c r="O319" t="inlineStr">
        <is>
          <t>20231020</t>
        </is>
      </c>
      <c r="P319" t="inlineStr">
        <is>
          <t>Kalimantan Tengah</t>
        </is>
      </c>
      <c r="Q319" t="inlineStr"/>
    </row>
    <row r="320">
      <c r="A320" t="inlineStr">
        <is>
          <t>KARUNIA ABADI KONSULTAN</t>
        </is>
      </c>
      <c r="B320" t="inlineStr">
        <is>
          <t>Kota Sukabumi</t>
        </is>
      </c>
      <c r="C320" t="inlineStr">
        <is>
          <t>085721115867</t>
        </is>
      </c>
      <c r="D320" t="inlineStr">
        <is>
          <t>karuniaabadikonsultan@gmail.com</t>
        </is>
      </c>
      <c r="E320" t="inlineStr">
        <is>
          <t>https://lpjk.pu.go.id/search-badan-usaha-detail/K0ZqL1F6NFhqZ2pWZWxrU25LQ3haQT09</t>
        </is>
      </c>
      <c r="F320" t="n">
        <v>3</v>
      </c>
      <c r="G320" t="inlineStr">
        <is>
          <t>RK001, RK002, RK003</t>
        </is>
      </c>
      <c r="H320" t="inlineStr">
        <is>
          <t>16 Januari 2020</t>
        </is>
      </c>
      <c r="I320" s="2" t="n">
        <v>46338</v>
      </c>
      <c r="J320" t="inlineStr">
        <is>
          <t>Disetujui</t>
        </is>
      </c>
      <c r="K320" t="n">
        <v>87</v>
      </c>
      <c r="L320" t="inlineStr">
        <is>
          <t>12 November 2026</t>
        </is>
      </c>
      <c r="M320" t="inlineStr">
        <is>
          <t>Jasa Rekayasa Konstruksi Bangunan Gedung Hunian dan Non Hunian, Jasa Rekayasa Pekerjaan Teknik Sipil Sumber Daya Air, Jasa Rekayasa Pekerjaan Teknik Sipil Transportasi</t>
        </is>
      </c>
      <c r="N320" t="inlineStr">
        <is>
          <t>K</t>
        </is>
      </c>
      <c r="O320" t="inlineStr">
        <is>
          <t>20231024</t>
        </is>
      </c>
      <c r="P320" t="inlineStr">
        <is>
          <t>Jawa Barat</t>
        </is>
      </c>
      <c r="Q320" t="inlineStr"/>
    </row>
    <row r="321">
      <c r="A321" t="inlineStr">
        <is>
          <t>KARUNIA BANGUN PERSADA</t>
        </is>
      </c>
      <c r="B321" t="inlineStr">
        <is>
          <t>Kota Medan</t>
        </is>
      </c>
      <c r="C321" t="inlineStr">
        <is>
          <t>0614559965</t>
        </is>
      </c>
      <c r="D321" t="inlineStr">
        <is>
          <t>karbanda.cv@gmail.com</t>
        </is>
      </c>
      <c r="E321" t="inlineStr">
        <is>
          <t>https://lpjk.pu.go.id/search-badan-usaha-detail/MDV2TU1GOUtPRzZsN0xkLzR2MTlsQT09</t>
        </is>
      </c>
      <c r="F321" t="n">
        <v>2</v>
      </c>
      <c r="G321" t="inlineStr">
        <is>
          <t>BG001, BG005</t>
        </is>
      </c>
      <c r="H321" t="inlineStr">
        <is>
          <t>23 Juli 1996</t>
        </is>
      </c>
      <c r="I321" s="2" t="n">
        <v>46334</v>
      </c>
      <c r="J321" t="inlineStr">
        <is>
          <t>Disetujui</t>
        </is>
      </c>
      <c r="K321" t="n">
        <v>87</v>
      </c>
      <c r="L321" t="inlineStr">
        <is>
          <t>8 November 2026</t>
        </is>
      </c>
      <c r="M321" t="inlineStr">
        <is>
          <t>Konstruksi Gedung Hunian, Konstruksi Gedung Kesehatan</t>
        </is>
      </c>
      <c r="N321" t="inlineStr">
        <is>
          <t>K</t>
        </is>
      </c>
      <c r="O321" t="inlineStr">
        <is>
          <t>20231027, 20231103</t>
        </is>
      </c>
      <c r="P321" t="inlineStr">
        <is>
          <t>Sumatera Utara</t>
        </is>
      </c>
      <c r="Q321" t="inlineStr"/>
    </row>
    <row r="322">
      <c r="A322" t="inlineStr">
        <is>
          <t>KARUNIA PRATAMA RIZKI</t>
        </is>
      </c>
      <c r="B322" t="inlineStr">
        <is>
          <t>Kab. Sidoarjo</t>
        </is>
      </c>
      <c r="C322" t="inlineStr">
        <is>
          <t>081233338554</t>
        </is>
      </c>
      <c r="D322" t="inlineStr">
        <is>
          <t>karunia_pratamarizki@yahoo.com</t>
        </is>
      </c>
      <c r="E322" t="inlineStr">
        <is>
          <t>https://lpjk.pu.go.id/search-badan-usaha-detail/clllNHBTRjQyR3lTTmdoNW9kaHZ0QT09</t>
        </is>
      </c>
      <c r="F322" t="n">
        <v>1</v>
      </c>
      <c r="G322" t="inlineStr">
        <is>
          <t>KK016</t>
        </is>
      </c>
      <c r="H322" t="inlineStr">
        <is>
          <t>25 Maret 2022</t>
        </is>
      </c>
      <c r="I322" s="2" t="n">
        <v>46336</v>
      </c>
      <c r="J322" t="inlineStr">
        <is>
          <t>Disetujui</t>
        </is>
      </c>
      <c r="K322" t="n">
        <v>87</v>
      </c>
      <c r="L322" t="inlineStr">
        <is>
          <t>10 November 2026</t>
        </is>
      </c>
      <c r="M322" t="inlineStr">
        <is>
          <t>Pemasangan Kerangka Baja</t>
        </is>
      </c>
      <c r="N322" t="inlineStr">
        <is>
          <t>Spesialis</t>
        </is>
      </c>
      <c r="O322" t="inlineStr">
        <is>
          <t>20231106</t>
        </is>
      </c>
      <c r="P322" t="inlineStr">
        <is>
          <t>Jawa Timur</t>
        </is>
      </c>
      <c r="Q322" t="inlineStr"/>
    </row>
    <row r="323">
      <c r="A323" t="inlineStr">
        <is>
          <t>KARYA ARTHA BAROKAH</t>
        </is>
      </c>
      <c r="B323" t="inlineStr">
        <is>
          <t>Kota Surabaya</t>
        </is>
      </c>
      <c r="C323" t="inlineStr">
        <is>
          <t>082147222682</t>
        </is>
      </c>
      <c r="D323" t="inlineStr">
        <is>
          <t>karthabarokah@gmail.com</t>
        </is>
      </c>
      <c r="E323" t="inlineStr">
        <is>
          <t>https://lpjk.pu.go.id/search-badan-usaha-detail/NW5NdlhqbUJEU253NW9XOUxCelI0dz09</t>
        </is>
      </c>
      <c r="F323" t="n">
        <v>1</v>
      </c>
      <c r="G323" t="inlineStr">
        <is>
          <t>BS001</t>
        </is>
      </c>
      <c r="H323" t="inlineStr">
        <is>
          <t>23 November 2006</t>
        </is>
      </c>
      <c r="I323" s="2" t="n">
        <v>46335</v>
      </c>
      <c r="J323" t="inlineStr">
        <is>
          <t>Pembekuan</t>
        </is>
      </c>
      <c r="K323" t="n">
        <v>87</v>
      </c>
      <c r="L323" t="inlineStr">
        <is>
          <t>9 November 2026</t>
        </is>
      </c>
      <c r="M323" t="inlineStr">
        <is>
          <t>Konstruksi Bangunan Sipil Jalan</t>
        </is>
      </c>
      <c r="N323" t="inlineStr">
        <is>
          <t>M</t>
        </is>
      </c>
      <c r="O323" t="inlineStr">
        <is>
          <t>20231110</t>
        </is>
      </c>
      <c r="P323" t="inlineStr">
        <is>
          <t>Jawa Timur</t>
        </is>
      </c>
      <c r="Q323" t="inlineStr"/>
    </row>
    <row r="324">
      <c r="A324" t="inlineStr">
        <is>
          <t>KARYA BANGUN PRATAMA</t>
        </is>
      </c>
      <c r="B324" t="inlineStr">
        <is>
          <t>Kota Semarang</t>
        </is>
      </c>
      <c r="C324" t="inlineStr">
        <is>
          <t>087832328900</t>
        </is>
      </c>
      <c r="D324" t="inlineStr">
        <is>
          <t>karyabangunpratama@gmail.com</t>
        </is>
      </c>
      <c r="E324" t="inlineStr">
        <is>
          <t>https://lpjk.pu.go.id/search-badan-usaha-detail/NmQ5MlRUZGk0UmhwOXJFZWtrenlDQT09</t>
        </is>
      </c>
      <c r="F324" t="n">
        <v>6</v>
      </c>
      <c r="G324" t="inlineStr">
        <is>
          <t>BG002, BG003, BG004, BG005, BS001, BS004</t>
        </is>
      </c>
      <c r="H324" t="inlineStr">
        <is>
          <t>30 Januari 2015</t>
        </is>
      </c>
      <c r="I324" s="2" t="n">
        <v>46340</v>
      </c>
      <c r="J324" t="inlineStr">
        <is>
          <t>Disetujui</t>
        </is>
      </c>
      <c r="K324" t="n">
        <v>87</v>
      </c>
      <c r="L324" t="inlineStr">
        <is>
          <t>14 November 2026</t>
        </is>
      </c>
      <c r="M324" t="inlineStr">
        <is>
          <t>Konstruksi Bangunan Sipil Jalan, Konstruksi Gedung Industri, Konstruksi Gedung Kesehatan, Konstruksi Gedung Perbelanjaan, Konstruksi Gedung Perkantoran, Konstruksi Jaringan Irigasi dan Drainase</t>
        </is>
      </c>
      <c r="N324" t="inlineStr">
        <is>
          <t>K</t>
        </is>
      </c>
      <c r="O324" t="inlineStr">
        <is>
          <t>20230921, 20231109, 20231110</t>
        </is>
      </c>
      <c r="P324" t="inlineStr">
        <is>
          <t>Jawa Tengah</t>
        </is>
      </c>
      <c r="Q324" t="inlineStr"/>
    </row>
    <row r="325">
      <c r="A325" t="inlineStr">
        <is>
          <t>KARYA BERSAUDARA</t>
        </is>
      </c>
      <c r="B325" t="inlineStr">
        <is>
          <t>Kab. Tabalong</t>
        </is>
      </c>
      <c r="C325" t="inlineStr">
        <is>
          <t>081347344241</t>
        </is>
      </c>
      <c r="D325" t="inlineStr">
        <is>
          <t>cvkaryabersaudara1@gmail.com</t>
        </is>
      </c>
      <c r="E325" t="inlineStr">
        <is>
          <t>https://lpjk.pu.go.id/search-badan-usaha-detail/QU1rd0hvU2ViYjBYRHJNMENZTndlUT09</t>
        </is>
      </c>
      <c r="F325" t="n">
        <v>1</v>
      </c>
      <c r="G325" t="inlineStr">
        <is>
          <t>BG006</t>
        </is>
      </c>
      <c r="H325" t="inlineStr">
        <is>
          <t>25 Januari 2017</t>
        </is>
      </c>
      <c r="I325" s="2" t="n">
        <v>46335</v>
      </c>
      <c r="J325" t="inlineStr">
        <is>
          <t>Pencabutan</t>
        </is>
      </c>
      <c r="K325" t="n">
        <v>87</v>
      </c>
      <c r="L325" t="inlineStr">
        <is>
          <t>9 November 2026</t>
        </is>
      </c>
      <c r="M325" t="inlineStr">
        <is>
          <t>Konstruksi Gedung Pendidikan</t>
        </is>
      </c>
      <c r="N325" t="inlineStr">
        <is>
          <t>K</t>
        </is>
      </c>
      <c r="O325" t="inlineStr">
        <is>
          <t>20231110</t>
        </is>
      </c>
      <c r="P325" t="inlineStr">
        <is>
          <t>Kalimantan Selatan</t>
        </is>
      </c>
      <c r="Q325" t="inlineStr"/>
    </row>
    <row r="326">
      <c r="A326" t="inlineStr">
        <is>
          <t>KARYA DESY JAYA</t>
        </is>
      </c>
      <c r="B326" t="inlineStr">
        <is>
          <t>Kota Kendari</t>
        </is>
      </c>
      <c r="C326" t="inlineStr">
        <is>
          <t>085241922220</t>
        </is>
      </c>
      <c r="D326" t="inlineStr">
        <is>
          <t>karyadesyjaya@gmail.com</t>
        </is>
      </c>
      <c r="E326" t="inlineStr">
        <is>
          <t>https://lpjk.pu.go.id/search-badan-usaha-detail/Q0srY1NySXRxVWVzTXFKaWdmc3hIZz09</t>
        </is>
      </c>
      <c r="F326" t="n">
        <v>4</v>
      </c>
      <c r="G326" t="inlineStr">
        <is>
          <t>BG002, BG005, BG006, BG009</t>
        </is>
      </c>
      <c r="H326" t="inlineStr">
        <is>
          <t>1 Januari 2006</t>
        </is>
      </c>
      <c r="I326" s="2" t="n">
        <v>46339</v>
      </c>
      <c r="J326" t="inlineStr">
        <is>
          <t>Disetujui</t>
        </is>
      </c>
      <c r="K326" t="n">
        <v>87</v>
      </c>
      <c r="L326" t="inlineStr">
        <is>
          <t>13 November 2026</t>
        </is>
      </c>
      <c r="M326" t="inlineStr">
        <is>
          <t>Konstruksi Gedung Kesehatan, Konstruksi Gedung Lainnya, Konstruksi Gedung Pendidikan, Konstruksi Gedung Perkantoran</t>
        </is>
      </c>
      <c r="N326" t="inlineStr">
        <is>
          <t>K</t>
        </is>
      </c>
      <c r="O326" t="inlineStr">
        <is>
          <t>20231110</t>
        </is>
      </c>
      <c r="P326" t="inlineStr">
        <is>
          <t>Sulawesi Tenggara</t>
        </is>
      </c>
      <c r="Q326" t="inlineStr"/>
    </row>
    <row r="327">
      <c r="A327" t="inlineStr">
        <is>
          <t>KARYA GEOSIA CONSULTANT</t>
        </is>
      </c>
      <c r="B327" t="inlineStr">
        <is>
          <t>Kota Medan</t>
        </is>
      </c>
      <c r="C327" t="inlineStr">
        <is>
          <t>081260180512</t>
        </is>
      </c>
      <c r="D327" t="inlineStr">
        <is>
          <t>karyageosiaconsultantcv@gmail.com</t>
        </is>
      </c>
      <c r="E327" t="inlineStr">
        <is>
          <t>https://lpjk.pu.go.id/search-badan-usaha-detail/WjU5cUVlVHkyR1lUNlF4aS95WTJXQT09</t>
        </is>
      </c>
      <c r="F327" t="n">
        <v>1</v>
      </c>
      <c r="G327" t="inlineStr">
        <is>
          <t>RK001</t>
        </is>
      </c>
      <c r="H327" t="inlineStr">
        <is>
          <t>8 April 2019</t>
        </is>
      </c>
      <c r="I327" s="2" t="n">
        <v>46339</v>
      </c>
      <c r="J327" t="inlineStr">
        <is>
          <t>Disetujui</t>
        </is>
      </c>
      <c r="K327" t="n">
        <v>87</v>
      </c>
      <c r="L327" t="inlineStr">
        <is>
          <t>13 November 2026</t>
        </is>
      </c>
      <c r="M327" t="inlineStr">
        <is>
          <t>Jasa Rekayasa Konstruksi Bangunan Gedung Hunian dan Non Hunian</t>
        </is>
      </c>
      <c r="N327" t="inlineStr">
        <is>
          <t>K</t>
        </is>
      </c>
      <c r="O327" t="inlineStr">
        <is>
          <t>20230808</t>
        </is>
      </c>
      <c r="P327" t="inlineStr">
        <is>
          <t>Sumatera Utara</t>
        </is>
      </c>
      <c r="Q327" t="inlineStr"/>
    </row>
    <row r="328">
      <c r="A328" t="inlineStr">
        <is>
          <t>KARYA INDAH INDONESIA</t>
        </is>
      </c>
      <c r="B328" t="inlineStr">
        <is>
          <t>Kota Palembang</t>
        </is>
      </c>
      <c r="C328" t="inlineStr">
        <is>
          <t>081367683002</t>
        </is>
      </c>
      <c r="D328" t="inlineStr">
        <is>
          <t>cv.karyaindah.ind@gmail.com</t>
        </is>
      </c>
      <c r="E328" t="inlineStr">
        <is>
          <t>https://lpjk.pu.go.id/search-badan-usaha-detail/OEt3ck9uWk5sTEZkcVlsMm5ORHZFQT09</t>
        </is>
      </c>
      <c r="F328" t="n">
        <v>1</v>
      </c>
      <c r="G328" t="inlineStr">
        <is>
          <t>BG009</t>
        </is>
      </c>
      <c r="H328" t="inlineStr">
        <is>
          <t>4 November 1981</t>
        </is>
      </c>
      <c r="I328" s="2" t="n">
        <v>46336</v>
      </c>
      <c r="J328" t="inlineStr">
        <is>
          <t>Disetujui</t>
        </is>
      </c>
      <c r="K328" t="n">
        <v>87</v>
      </c>
      <c r="L328" t="inlineStr">
        <is>
          <t>10 November 2026</t>
        </is>
      </c>
      <c r="M328" t="inlineStr">
        <is>
          <t>Konstruksi Gedung Lainnya</t>
        </is>
      </c>
      <c r="N328" t="inlineStr">
        <is>
          <t>K</t>
        </is>
      </c>
      <c r="O328" t="inlineStr">
        <is>
          <t>20230914</t>
        </is>
      </c>
      <c r="P328" t="inlineStr">
        <is>
          <t>Sumatera Selatan</t>
        </is>
      </c>
      <c r="Q328" t="inlineStr"/>
    </row>
    <row r="329">
      <c r="A329" t="inlineStr">
        <is>
          <t>KARYA JAYA</t>
        </is>
      </c>
      <c r="B329" t="inlineStr">
        <is>
          <t>Kota Pematangsiantar</t>
        </is>
      </c>
      <c r="C329" t="inlineStr">
        <is>
          <t>081361588617</t>
        </is>
      </c>
      <c r="D329" t="inlineStr">
        <is>
          <t>karyajaya_cv@yahoo.com</t>
        </is>
      </c>
      <c r="E329" t="inlineStr">
        <is>
          <t>https://lpjk.pu.go.id/search-badan-usaha-detail/T0hSV1VhUGs2SHpsemoyN0NDUytvdz09</t>
        </is>
      </c>
      <c r="F329" t="n">
        <v>2</v>
      </c>
      <c r="G329" t="inlineStr">
        <is>
          <t>BG006, BG009</t>
        </is>
      </c>
      <c r="H329" t="inlineStr">
        <is>
          <t>16 November 1985</t>
        </is>
      </c>
      <c r="I329" s="2" t="n">
        <v>46338</v>
      </c>
      <c r="J329" t="inlineStr">
        <is>
          <t>Disetujui</t>
        </is>
      </c>
      <c r="K329" t="n">
        <v>87</v>
      </c>
      <c r="L329" t="inlineStr">
        <is>
          <t>12 November 2026</t>
        </is>
      </c>
      <c r="M329" t="inlineStr">
        <is>
          <t>Konstruksi Gedung Lainnya, Konstruksi Gedung Pendidikan</t>
        </is>
      </c>
      <c r="N329" t="inlineStr">
        <is>
          <t>K</t>
        </is>
      </c>
      <c r="O329" t="inlineStr">
        <is>
          <t>20231107</t>
        </is>
      </c>
      <c r="P329" t="inlineStr">
        <is>
          <t>Sumatera Utara</t>
        </is>
      </c>
      <c r="Q329" t="inlineStr"/>
    </row>
    <row r="330">
      <c r="A330" t="inlineStr">
        <is>
          <t>KARYA KAMEFADA WIJAYA INDONESIA</t>
        </is>
      </c>
      <c r="B330" t="inlineStr">
        <is>
          <t>Kota Bandar Lampung</t>
        </is>
      </c>
      <c r="C330" t="inlineStr">
        <is>
          <t>081367743843</t>
        </is>
      </c>
      <c r="D330" t="inlineStr">
        <is>
          <t>pt.karyakamefada2007@gmail.com</t>
        </is>
      </c>
      <c r="E330" t="inlineStr">
        <is>
          <t>https://lpjk.pu.go.id/search-badan-usaha-detail/YTJEVTJ1RHh5T2lPWVhHUjdGbDFtdz09</t>
        </is>
      </c>
      <c r="F330" t="n">
        <v>1</v>
      </c>
      <c r="G330" t="inlineStr">
        <is>
          <t>BG009</t>
        </is>
      </c>
      <c r="H330" t="inlineStr">
        <is>
          <t>22 Januari 2007</t>
        </is>
      </c>
      <c r="I330" s="2" t="n">
        <v>46339</v>
      </c>
      <c r="J330" t="inlineStr">
        <is>
          <t>Disetujui</t>
        </is>
      </c>
      <c r="K330" t="n">
        <v>87</v>
      </c>
      <c r="L330" t="inlineStr">
        <is>
          <t>13 November 2026</t>
        </is>
      </c>
      <c r="M330" t="inlineStr">
        <is>
          <t>Konstruksi Gedung Lainnya</t>
        </is>
      </c>
      <c r="N330" t="inlineStr">
        <is>
          <t>M</t>
        </is>
      </c>
      <c r="O330" t="inlineStr">
        <is>
          <t>20231109</t>
        </is>
      </c>
      <c r="P330" t="inlineStr">
        <is>
          <t>Lampung</t>
        </is>
      </c>
      <c r="Q330" t="inlineStr"/>
    </row>
    <row r="331">
      <c r="A331" t="inlineStr">
        <is>
          <t>KARYA KITA JAYA ABADI</t>
        </is>
      </c>
      <c r="B331" t="inlineStr">
        <is>
          <t>Kab. Bojonegoro</t>
        </is>
      </c>
      <c r="C331" t="inlineStr">
        <is>
          <t>081226825157</t>
        </is>
      </c>
      <c r="D331" t="inlineStr">
        <is>
          <t>cvkaryakitajayaabadi@gmail.com</t>
        </is>
      </c>
      <c r="E331" t="inlineStr">
        <is>
          <t>https://lpjk.pu.go.id/search-badan-usaha-detail/YXArMFBGRUlacTRob3VXditSNFVIdz09</t>
        </is>
      </c>
      <c r="F331" t="n">
        <v>3</v>
      </c>
      <c r="G331" t="inlineStr">
        <is>
          <t>BG009, BS001, BS004</t>
        </is>
      </c>
      <c r="H331" t="inlineStr">
        <is>
          <t>30 Oktober 2023</t>
        </is>
      </c>
      <c r="I331" s="2" t="n">
        <v>46334</v>
      </c>
      <c r="J331" t="inlineStr">
        <is>
          <t>Disetujui</t>
        </is>
      </c>
      <c r="K331" t="n">
        <v>87</v>
      </c>
      <c r="L331" t="inlineStr">
        <is>
          <t>8 November 2026</t>
        </is>
      </c>
      <c r="M331" t="inlineStr">
        <is>
          <t>Konstruksi Bangunan Sipil Jalan, Konstruksi Gedung Lainnya, Konstruksi Jaringan Irigasi dan Drainase</t>
        </is>
      </c>
      <c r="N331" t="inlineStr">
        <is>
          <t>K</t>
        </is>
      </c>
      <c r="O331" t="inlineStr">
        <is>
          <t>20231106</t>
        </is>
      </c>
      <c r="P331" t="inlineStr">
        <is>
          <t>Jawa Timur</t>
        </is>
      </c>
      <c r="Q331" t="inlineStr"/>
    </row>
    <row r="332">
      <c r="A332" t="inlineStr">
        <is>
          <t>KARYA LESTARI</t>
        </is>
      </c>
      <c r="B332" t="inlineStr">
        <is>
          <t>Kab. Blora</t>
        </is>
      </c>
      <c r="C332" t="inlineStr">
        <is>
          <t>081328862548</t>
        </is>
      </c>
      <c r="D332" t="inlineStr">
        <is>
          <t>karyalestari9@gmail.com</t>
        </is>
      </c>
      <c r="E332" t="inlineStr">
        <is>
          <t>https://lpjk.pu.go.id/search-badan-usaha-detail/alN5VVc4RmVhaDV3VHBHcmRuQ2NGQT09</t>
        </is>
      </c>
      <c r="F332" t="n">
        <v>2</v>
      </c>
      <c r="G332" t="inlineStr">
        <is>
          <t>BG009, BS002</t>
        </is>
      </c>
      <c r="H332" t="inlineStr">
        <is>
          <t>7 Januari 2017</t>
        </is>
      </c>
      <c r="I332" s="2" t="n">
        <v>46334</v>
      </c>
      <c r="J332" t="inlineStr">
        <is>
          <t>Disetujui</t>
        </is>
      </c>
      <c r="K332" t="n">
        <v>87</v>
      </c>
      <c r="L332" t="inlineStr">
        <is>
          <t>8 November 2026</t>
        </is>
      </c>
      <c r="M332" t="inlineStr">
        <is>
          <t>Bangunan Sipil Jembatan, Jalan Layang, Fly Over, dan Underpass, Konstruksi Gedung Lainnya</t>
        </is>
      </c>
      <c r="N332" t="inlineStr">
        <is>
          <t>K</t>
        </is>
      </c>
      <c r="O332" t="inlineStr">
        <is>
          <t>20231103</t>
        </is>
      </c>
      <c r="P332" t="inlineStr">
        <is>
          <t>Jawa Tengah</t>
        </is>
      </c>
      <c r="Q332" t="inlineStr"/>
    </row>
    <row r="333">
      <c r="A333" t="inlineStr">
        <is>
          <t>KARYA MANDIRI</t>
        </is>
      </c>
      <c r="B333" t="inlineStr">
        <is>
          <t>Kab. Buleleng</t>
        </is>
      </c>
      <c r="C333" t="inlineStr">
        <is>
          <t>083117521777</t>
        </is>
      </c>
      <c r="D333" t="inlineStr">
        <is>
          <t>cv.karyamandiri_1013@yahoo.co.id</t>
        </is>
      </c>
      <c r="E333" t="inlineStr">
        <is>
          <t>https://lpjk.pu.go.id/search-badan-usaha-detail/cXlCd0Z5Q1psQno1YVg3K1lKc0dpQT09</t>
        </is>
      </c>
      <c r="F333" t="n">
        <v>1</v>
      </c>
      <c r="G333" t="inlineStr">
        <is>
          <t>BG002</t>
        </is>
      </c>
      <c r="H333" t="inlineStr">
        <is>
          <t>22 April 2022</t>
        </is>
      </c>
      <c r="I333" s="2" t="n">
        <v>46335</v>
      </c>
      <c r="J333" t="inlineStr">
        <is>
          <t>Disetujui</t>
        </is>
      </c>
      <c r="K333" t="n">
        <v>87</v>
      </c>
      <c r="L333" t="inlineStr">
        <is>
          <t>9 November 2026</t>
        </is>
      </c>
      <c r="M333" t="inlineStr">
        <is>
          <t>Konstruksi Gedung Perkantoran</t>
        </is>
      </c>
      <c r="N333" t="inlineStr">
        <is>
          <t>K</t>
        </is>
      </c>
      <c r="O333" t="inlineStr">
        <is>
          <t>20231102</t>
        </is>
      </c>
      <c r="P333" t="inlineStr">
        <is>
          <t>Bali</t>
        </is>
      </c>
      <c r="Q333" t="inlineStr"/>
    </row>
    <row r="334">
      <c r="A334" t="inlineStr">
        <is>
          <t>KARYA MANDIRI MARMER</t>
        </is>
      </c>
      <c r="B334" t="inlineStr">
        <is>
          <t>Kab. Tangerang</t>
        </is>
      </c>
      <c r="C334" t="inlineStr">
        <is>
          <t>02155965834</t>
        </is>
      </c>
      <c r="D334" t="inlineStr">
        <is>
          <t>karyamandirimarmer@gmail.com</t>
        </is>
      </c>
      <c r="E334" t="inlineStr">
        <is>
          <t>https://lpjk.pu.go.id/search-badan-usaha-detail/UkZpWEZ3Y1pKek5aKzY3MzJRRmNsUT09</t>
        </is>
      </c>
      <c r="F334" t="n">
        <v>3</v>
      </c>
      <c r="G334" t="inlineStr">
        <is>
          <t>BG001, BG002, BG009</t>
        </is>
      </c>
      <c r="H334" t="inlineStr">
        <is>
          <t>22 Februari 2023</t>
        </is>
      </c>
      <c r="I334" s="2" t="n">
        <v>46336</v>
      </c>
      <c r="J334" t="inlineStr">
        <is>
          <t>Disetujui</t>
        </is>
      </c>
      <c r="K334" t="n">
        <v>87</v>
      </c>
      <c r="L334" t="inlineStr">
        <is>
          <t>10 November 2026</t>
        </is>
      </c>
      <c r="M334" t="inlineStr">
        <is>
          <t>Konstruksi Gedung Hunian, Konstruksi Gedung Lainnya, Konstruksi Gedung Perkantoran</t>
        </is>
      </c>
      <c r="N334" t="inlineStr">
        <is>
          <t>K</t>
        </is>
      </c>
      <c r="O334" t="inlineStr">
        <is>
          <t>20231111</t>
        </is>
      </c>
      <c r="P334" t="inlineStr">
        <is>
          <t>Banten</t>
        </is>
      </c>
      <c r="Q334" t="inlineStr"/>
    </row>
    <row r="335">
      <c r="A335" t="inlineStr">
        <is>
          <t>KARYA MULTI USAHA</t>
        </is>
      </c>
      <c r="B335" t="inlineStr">
        <is>
          <t>Kota Bandung</t>
        </is>
      </c>
      <c r="C335" t="inlineStr">
        <is>
          <t>081287556774</t>
        </is>
      </c>
      <c r="D335" t="inlineStr">
        <is>
          <t>karyamultiusaha24@gmail.com</t>
        </is>
      </c>
      <c r="E335" t="inlineStr">
        <is>
          <t>https://lpjk.pu.go.id/search-badan-usaha-detail/UEZhRzNBRXRSRTIrS0tvZWwya2FYdz09</t>
        </is>
      </c>
      <c r="F335" t="n">
        <v>4</v>
      </c>
      <c r="G335" t="inlineStr">
        <is>
          <t>BG002, BG005, BG006, BG009</t>
        </is>
      </c>
      <c r="H335" t="inlineStr">
        <is>
          <t>11 Maret 1992</t>
        </is>
      </c>
      <c r="I335" s="2" t="n">
        <v>46336</v>
      </c>
      <c r="J335" t="inlineStr">
        <is>
          <t>Disetujui</t>
        </is>
      </c>
      <c r="K335" t="n">
        <v>87</v>
      </c>
      <c r="L335" t="inlineStr">
        <is>
          <t>10 November 2026</t>
        </is>
      </c>
      <c r="M335" t="inlineStr">
        <is>
          <t>Konstruksi Gedung Kesehatan, Konstruksi Gedung Lainnya, Konstruksi Gedung Pendidikan, Konstruksi Gedung Perkantoran</t>
        </is>
      </c>
      <c r="N335" t="inlineStr">
        <is>
          <t>K</t>
        </is>
      </c>
      <c r="O335" t="inlineStr">
        <is>
          <t>20231111, 20231113</t>
        </is>
      </c>
      <c r="P335" t="inlineStr">
        <is>
          <t>Jawa Barat</t>
        </is>
      </c>
      <c r="Q335" t="inlineStr"/>
    </row>
    <row r="336">
      <c r="A336" t="inlineStr">
        <is>
          <t>KARYA PROPERTINDO</t>
        </is>
      </c>
      <c r="B336" t="inlineStr">
        <is>
          <t>Kota Medan</t>
        </is>
      </c>
      <c r="C336" t="inlineStr">
        <is>
          <t>085373558288</t>
        </is>
      </c>
      <c r="D336" t="inlineStr">
        <is>
          <t>cvkaryapropertindo@gmail.com</t>
        </is>
      </c>
      <c r="E336" t="inlineStr">
        <is>
          <t>https://lpjk.pu.go.id/search-badan-usaha-detail/ZVdycXhaYmsrRzcyNDBONVJoeHFkUT09</t>
        </is>
      </c>
      <c r="F336" t="n">
        <v>1</v>
      </c>
      <c r="G336" t="inlineStr">
        <is>
          <t>BG001</t>
        </is>
      </c>
      <c r="H336" t="inlineStr">
        <is>
          <t>17 Maret 2022</t>
        </is>
      </c>
      <c r="I336" s="2" t="n">
        <v>46334</v>
      </c>
      <c r="J336" t="inlineStr">
        <is>
          <t>Pencabutan</t>
        </is>
      </c>
      <c r="K336" t="n">
        <v>87</v>
      </c>
      <c r="L336" t="inlineStr">
        <is>
          <t>8 November 2026</t>
        </is>
      </c>
      <c r="M336" t="inlineStr">
        <is>
          <t>Konstruksi Gedung Hunian</t>
        </is>
      </c>
      <c r="N336" t="inlineStr">
        <is>
          <t>K</t>
        </is>
      </c>
      <c r="O336" t="inlineStr">
        <is>
          <t>20230916</t>
        </is>
      </c>
      <c r="P336" t="inlineStr">
        <is>
          <t>Sumatera Utara</t>
        </is>
      </c>
      <c r="Q336" t="inlineStr"/>
    </row>
    <row r="337">
      <c r="A337" t="inlineStr">
        <is>
          <t>KARYA SUMAMPAN</t>
        </is>
      </c>
      <c r="B337" t="inlineStr">
        <is>
          <t>Kab. Klungkung</t>
        </is>
      </c>
      <c r="C337" t="inlineStr">
        <is>
          <t>081938104975</t>
        </is>
      </c>
      <c r="D337" t="inlineStr">
        <is>
          <t>karyasumampan@gmail.com</t>
        </is>
      </c>
      <c r="E337" t="inlineStr">
        <is>
          <t>https://lpjk.pu.go.id/search-badan-usaha-detail/RFFJNFRVNTdCOExQd0ljQ3d0Tk9Ndz09</t>
        </is>
      </c>
      <c r="F337" t="n">
        <v>3</v>
      </c>
      <c r="G337" t="inlineStr">
        <is>
          <t>BG002, BG005, BG006</t>
        </is>
      </c>
      <c r="H337" t="inlineStr">
        <is>
          <t>27 Januari 2004</t>
        </is>
      </c>
      <c r="I337" s="2" t="n">
        <v>46340</v>
      </c>
      <c r="J337" t="inlineStr">
        <is>
          <t>Disetujui</t>
        </is>
      </c>
      <c r="K337" t="n">
        <v>87</v>
      </c>
      <c r="L337" t="inlineStr">
        <is>
          <t>14 November 2026</t>
        </is>
      </c>
      <c r="M337" t="inlineStr">
        <is>
          <t>Konstruksi Gedung Kesehatan, Konstruksi Gedung Pendidikan, Konstruksi Gedung Perkantoran</t>
        </is>
      </c>
      <c r="N337" t="inlineStr">
        <is>
          <t>K</t>
        </is>
      </c>
      <c r="O337" t="inlineStr">
        <is>
          <t>20231102, 20231109</t>
        </is>
      </c>
      <c r="P337" t="inlineStr">
        <is>
          <t>Bali</t>
        </is>
      </c>
      <c r="Q337" t="inlineStr"/>
    </row>
    <row r="338">
      <c r="A338" t="inlineStr">
        <is>
          <t>KARYA SURYA PRADIPTA</t>
        </is>
      </c>
      <c r="B338" t="inlineStr">
        <is>
          <t>Kab. Banyuwangi</t>
        </is>
      </c>
      <c r="C338" t="inlineStr">
        <is>
          <t>081233106985</t>
        </is>
      </c>
      <c r="D338" t="inlineStr">
        <is>
          <t>kspbwi16@gmail.com</t>
        </is>
      </c>
      <c r="E338" t="inlineStr">
        <is>
          <t>https://lpjk.pu.go.id/search-badan-usaha-detail/YzZUN2JFcVhsU0ZLZ3YzeTVrS0lKdz09</t>
        </is>
      </c>
      <c r="F338" t="n">
        <v>1</v>
      </c>
      <c r="G338" t="inlineStr">
        <is>
          <t>BS004</t>
        </is>
      </c>
      <c r="H338" t="inlineStr">
        <is>
          <t>8 Agustus 2016</t>
        </is>
      </c>
      <c r="I338" s="2" t="n">
        <v>46339</v>
      </c>
      <c r="J338" t="inlineStr">
        <is>
          <t>Disetujui</t>
        </is>
      </c>
      <c r="K338" t="n">
        <v>87</v>
      </c>
      <c r="L338" t="inlineStr">
        <is>
          <t>13 November 2026</t>
        </is>
      </c>
      <c r="M338" t="inlineStr">
        <is>
          <t>Konstruksi Jaringan Irigasi dan Drainase</t>
        </is>
      </c>
      <c r="N338" t="inlineStr">
        <is>
          <t>K</t>
        </is>
      </c>
      <c r="O338" t="inlineStr">
        <is>
          <t>20231109</t>
        </is>
      </c>
      <c r="P338" t="inlineStr">
        <is>
          <t>Jawa Timur</t>
        </is>
      </c>
      <c r="Q338" t="inlineStr"/>
    </row>
    <row r="339">
      <c r="A339" t="inlineStr">
        <is>
          <t>KARYA TIRTA UTAMA</t>
        </is>
      </c>
      <c r="B339" t="inlineStr">
        <is>
          <t>Kota Bandung</t>
        </is>
      </c>
      <c r="C339" t="inlineStr">
        <is>
          <t>02220527066</t>
        </is>
      </c>
      <c r="D339" t="inlineStr">
        <is>
          <t>k.tirtautama@gmail.com</t>
        </is>
      </c>
      <c r="E339" t="inlineStr">
        <is>
          <t>https://lpjk.pu.go.id/search-badan-usaha-detail/V0lYb2JYQUg2YVNTRllDLzBvUzg3Zz09</t>
        </is>
      </c>
      <c r="F339" t="n">
        <v>1</v>
      </c>
      <c r="G339" t="inlineStr">
        <is>
          <t>PL005</t>
        </is>
      </c>
      <c r="H339" t="inlineStr">
        <is>
          <t>9 Januari 2017</t>
        </is>
      </c>
      <c r="I339" s="2" t="n">
        <v>46339</v>
      </c>
      <c r="J339" t="inlineStr">
        <is>
          <t>Pembekuan</t>
        </is>
      </c>
      <c r="K339" t="n">
        <v>87</v>
      </c>
      <c r="L339" t="inlineStr">
        <is>
          <t>13 November 2026</t>
        </is>
      </c>
      <c r="M339" t="inlineStr">
        <is>
          <t>Pembuatan/Pengeboran Sumur Air Tanah</t>
        </is>
      </c>
      <c r="N339" t="inlineStr">
        <is>
          <t>Spesialis</t>
        </is>
      </c>
      <c r="O339" t="inlineStr">
        <is>
          <t>20231030</t>
        </is>
      </c>
      <c r="P339" t="inlineStr">
        <is>
          <t>Jawa Barat</t>
        </is>
      </c>
      <c r="Q339" t="inlineStr"/>
    </row>
    <row r="340">
      <c r="A340" t="inlineStr">
        <is>
          <t>KARYAKREASI NYAHUTAMA</t>
        </is>
      </c>
      <c r="B340" t="inlineStr">
        <is>
          <t>Kota Adm. Jakarta Pusat</t>
        </is>
      </c>
      <c r="C340" t="inlineStr">
        <is>
          <t>0213908650</t>
        </is>
      </c>
      <c r="D340" t="inlineStr">
        <is>
          <t>karyakreasinyahutama@gmail.com</t>
        </is>
      </c>
      <c r="E340" t="inlineStr">
        <is>
          <t>https://lpjk.pu.go.id/search-badan-usaha-detail/M1VhcU81anFpcW5tWisvT2E1MkZBZz09</t>
        </is>
      </c>
      <c r="F340" t="n">
        <v>1</v>
      </c>
      <c r="G340" t="inlineStr">
        <is>
          <t>BG001</t>
        </is>
      </c>
      <c r="H340" t="inlineStr">
        <is>
          <t>18 Desember 2019</t>
        </is>
      </c>
      <c r="I340" s="2" t="n">
        <v>46340</v>
      </c>
      <c r="J340" t="inlineStr">
        <is>
          <t>Disetujui</t>
        </is>
      </c>
      <c r="K340" t="n">
        <v>87</v>
      </c>
      <c r="L340" t="inlineStr">
        <is>
          <t>14 November 2026</t>
        </is>
      </c>
      <c r="M340" t="inlineStr">
        <is>
          <t>Konstruksi Gedung Hunian</t>
        </is>
      </c>
      <c r="N340" t="inlineStr">
        <is>
          <t>K</t>
        </is>
      </c>
      <c r="O340" t="inlineStr">
        <is>
          <t>20230508</t>
        </is>
      </c>
      <c r="P340" t="inlineStr">
        <is>
          <t>DKI Jakarta</t>
        </is>
      </c>
      <c r="Q340" t="inlineStr"/>
    </row>
    <row r="341">
      <c r="A341" t="inlineStr">
        <is>
          <t>KARYATAMA ADIGUNA MANDIRI</t>
        </is>
      </c>
      <c r="B341" t="inlineStr">
        <is>
          <t>Kota Pekanbaru</t>
        </is>
      </c>
      <c r="C341" t="inlineStr">
        <is>
          <t>082171849476</t>
        </is>
      </c>
      <c r="D341" t="inlineStr">
        <is>
          <t>karyatamaadigunamandiri@gmail.com</t>
        </is>
      </c>
      <c r="E341" t="inlineStr">
        <is>
          <t>https://lpjk.pu.go.id/search-badan-usaha-detail/SS9oaWQ1aGFGazhzallJaW16emxMUT09</t>
        </is>
      </c>
      <c r="F341" t="n">
        <v>2</v>
      </c>
      <c r="G341" t="inlineStr">
        <is>
          <t>BG001</t>
        </is>
      </c>
      <c r="H341" t="inlineStr">
        <is>
          <t>15 September 2023</t>
        </is>
      </c>
      <c r="I341" s="2" t="n">
        <v>46340</v>
      </c>
      <c r="J341" t="inlineStr">
        <is>
          <t>Disetujui</t>
        </is>
      </c>
      <c r="K341" t="n">
        <v>87</v>
      </c>
      <c r="L341" t="inlineStr">
        <is>
          <t>14 November 2026</t>
        </is>
      </c>
      <c r="M341" t="inlineStr">
        <is>
          <t>Konstruksi Gedung Hunian</t>
        </is>
      </c>
      <c r="N341" t="inlineStr">
        <is>
          <t>K</t>
        </is>
      </c>
      <c r="O341" t="inlineStr">
        <is>
          <t>20231110</t>
        </is>
      </c>
      <c r="P341" t="inlineStr">
        <is>
          <t>Riau</t>
        </is>
      </c>
      <c r="Q341" t="inlineStr"/>
    </row>
    <row r="342">
      <c r="A342" t="inlineStr">
        <is>
          <t>KASIH BUDI MULIA</t>
        </is>
      </c>
      <c r="B342" t="inlineStr">
        <is>
          <t>Kota Kupang</t>
        </is>
      </c>
      <c r="C342" t="inlineStr">
        <is>
          <t>081353011888</t>
        </is>
      </c>
      <c r="D342" t="inlineStr">
        <is>
          <t>cv_kasihbudimulya@yahoo.co.id</t>
        </is>
      </c>
      <c r="E342" t="inlineStr">
        <is>
          <t>https://lpjk.pu.go.id/search-badan-usaha-detail/YlRGVHljUHVITUN6SzZVeUV1RmFQUT09</t>
        </is>
      </c>
      <c r="F342" t="n">
        <v>1</v>
      </c>
      <c r="G342" t="inlineStr">
        <is>
          <t>PL005</t>
        </is>
      </c>
      <c r="H342" t="inlineStr">
        <is>
          <t>18 September 2014</t>
        </is>
      </c>
      <c r="I342" s="2" t="n">
        <v>46335</v>
      </c>
      <c r="J342" t="inlineStr">
        <is>
          <t>Pencabutan</t>
        </is>
      </c>
      <c r="K342" t="n">
        <v>87</v>
      </c>
      <c r="L342" t="inlineStr">
        <is>
          <t>9 November 2026</t>
        </is>
      </c>
      <c r="M342" t="inlineStr">
        <is>
          <t>Pembuatan/Pengeboran Sumur Air Tanah</t>
        </is>
      </c>
      <c r="N342" t="inlineStr">
        <is>
          <t>Spesialis</t>
        </is>
      </c>
      <c r="O342" t="inlineStr">
        <is>
          <t>20230417</t>
        </is>
      </c>
      <c r="P342" t="inlineStr">
        <is>
          <t>Nusa Tenggara Timur</t>
        </is>
      </c>
      <c r="Q342" t="inlineStr"/>
    </row>
    <row r="343">
      <c r="A343" t="inlineStr">
        <is>
          <t>KAWASAN INDUSTRI BONTANG</t>
        </is>
      </c>
      <c r="B343" t="inlineStr">
        <is>
          <t>Kota Bontang</t>
        </is>
      </c>
      <c r="C343" t="inlineStr">
        <is>
          <t>08125552723</t>
        </is>
      </c>
      <c r="D343" t="inlineStr">
        <is>
          <t>bontangkawasanindustri@gmail.com</t>
        </is>
      </c>
      <c r="E343" t="inlineStr">
        <is>
          <t>https://lpjk.pu.go.id/search-badan-usaha-detail/R0Ruallvb3I5NGx2Q3c5dDJXQTdSZz09</t>
        </is>
      </c>
      <c r="F343" t="n">
        <v>1</v>
      </c>
      <c r="G343" t="inlineStr">
        <is>
          <t>BS001</t>
        </is>
      </c>
      <c r="H343" t="inlineStr">
        <is>
          <t>1 Februari 2023</t>
        </is>
      </c>
      <c r="I343" s="2" t="n">
        <v>46334</v>
      </c>
      <c r="J343" t="inlineStr">
        <is>
          <t>Disetujui</t>
        </is>
      </c>
      <c r="K343" t="n">
        <v>87</v>
      </c>
      <c r="L343" t="inlineStr">
        <is>
          <t>8 November 2026</t>
        </is>
      </c>
      <c r="M343" t="inlineStr">
        <is>
          <t>Konstruksi Bangunan Sipil Jalan</t>
        </is>
      </c>
      <c r="N343" t="inlineStr">
        <is>
          <t>K</t>
        </is>
      </c>
      <c r="O343" t="inlineStr">
        <is>
          <t>20231002</t>
        </is>
      </c>
      <c r="P343" t="inlineStr">
        <is>
          <t>Kalimantan Timur</t>
        </is>
      </c>
      <c r="Q343" t="inlineStr"/>
    </row>
    <row r="344">
      <c r="A344" t="inlineStr">
        <is>
          <t>KAYANA WESA ABADI</t>
        </is>
      </c>
      <c r="B344" t="inlineStr">
        <is>
          <t>Kota Surabaya</t>
        </is>
      </c>
      <c r="C344" t="inlineStr">
        <is>
          <t>08113303607</t>
        </is>
      </c>
      <c r="D344" t="inlineStr">
        <is>
          <t>kayana.wesa@yahoo.co.id</t>
        </is>
      </c>
      <c r="E344" t="inlineStr">
        <is>
          <t>https://lpjk.pu.go.id/search-badan-usaha-detail/Nk5HNzhWYVN3SXJuQlNRZVZtajdXQT09</t>
        </is>
      </c>
      <c r="F344" t="n">
        <v>1</v>
      </c>
      <c r="G344" t="inlineStr">
        <is>
          <t>BG003</t>
        </is>
      </c>
      <c r="H344" t="inlineStr">
        <is>
          <t>21 Oktober 2023</t>
        </is>
      </c>
      <c r="I344" s="2" t="n">
        <v>46339</v>
      </c>
      <c r="J344" t="inlineStr">
        <is>
          <t>Disetujui</t>
        </is>
      </c>
      <c r="K344" t="n">
        <v>87</v>
      </c>
      <c r="L344" t="inlineStr">
        <is>
          <t>13 November 2026</t>
        </is>
      </c>
      <c r="M344" t="inlineStr">
        <is>
          <t>Konstruksi Gedung Industri</t>
        </is>
      </c>
      <c r="N344" t="inlineStr">
        <is>
          <t>K</t>
        </is>
      </c>
      <c r="O344" t="inlineStr">
        <is>
          <t>20231114</t>
        </is>
      </c>
      <c r="P344" t="inlineStr">
        <is>
          <t>Jawa Timur</t>
        </is>
      </c>
      <c r="Q344" t="inlineStr"/>
    </row>
    <row r="345">
      <c r="A345" t="inlineStr">
        <is>
          <t>KEDUNG TIRTA SARANA</t>
        </is>
      </c>
      <c r="B345" t="inlineStr">
        <is>
          <t>Kota Semarang</t>
        </is>
      </c>
      <c r="C345" t="inlineStr">
        <is>
          <t>0248444044</t>
        </is>
      </c>
      <c r="D345" t="inlineStr">
        <is>
          <t>kedungtirtasarana@yahoo.co.id</t>
        </is>
      </c>
      <c r="E345" t="inlineStr">
        <is>
          <t>https://lpjk.pu.go.id/search-badan-usaha-detail/aGFNNDdhdWppWnFyaGp5NlBZbUxvQT09</t>
        </is>
      </c>
      <c r="F345" t="n">
        <v>1</v>
      </c>
      <c r="G345" t="inlineStr">
        <is>
          <t>BS005</t>
        </is>
      </c>
      <c r="H345" t="inlineStr">
        <is>
          <t>4 April 2011</t>
        </is>
      </c>
      <c r="I345" s="2" t="n">
        <v>46340</v>
      </c>
      <c r="J345" t="inlineStr">
        <is>
          <t>Disetujui</t>
        </is>
      </c>
      <c r="K345" t="n">
        <v>87</v>
      </c>
      <c r="L345" t="inlineStr">
        <is>
          <t>14 November 2026</t>
        </is>
      </c>
      <c r="M345" t="inlineStr">
        <is>
          <t>Konstruksi Bangunan Sipil Pengolahan Air Bersih</t>
        </is>
      </c>
      <c r="N345" t="inlineStr">
        <is>
          <t>K</t>
        </is>
      </c>
      <c r="O345" t="inlineStr">
        <is>
          <t>20231012</t>
        </is>
      </c>
      <c r="P345" t="inlineStr">
        <is>
          <t>Jawa Tengah</t>
        </is>
      </c>
      <c r="Q345" t="inlineStr"/>
    </row>
    <row r="346">
      <c r="A346" t="inlineStr">
        <is>
          <t>KELUARGA</t>
        </is>
      </c>
      <c r="B346" t="inlineStr">
        <is>
          <t>Kab. Bima</t>
        </is>
      </c>
      <c r="C346" t="inlineStr">
        <is>
          <t>085338905527</t>
        </is>
      </c>
      <c r="D346" t="inlineStr">
        <is>
          <t>rusdinbontokape@gmail.com</t>
        </is>
      </c>
      <c r="E346" t="inlineStr">
        <is>
          <t>https://lpjk.pu.go.id/search-badan-usaha-detail/OGNMcmUxWncyVGJtS3dZSFJMR0kzZz09</t>
        </is>
      </c>
      <c r="F346" t="n">
        <v>1</v>
      </c>
      <c r="G346" t="inlineStr">
        <is>
          <t>BG006</t>
        </is>
      </c>
      <c r="H346" t="inlineStr">
        <is>
          <t>1 September 2005</t>
        </is>
      </c>
      <c r="I346" s="2" t="n">
        <v>46334</v>
      </c>
      <c r="J346" t="inlineStr">
        <is>
          <t>Disetujui</t>
        </is>
      </c>
      <c r="K346" t="n">
        <v>87</v>
      </c>
      <c r="L346" t="inlineStr">
        <is>
          <t>8 November 2026</t>
        </is>
      </c>
      <c r="M346" t="inlineStr">
        <is>
          <t>Konstruksi Gedung Pendidikan</t>
        </is>
      </c>
      <c r="N346" t="inlineStr">
        <is>
          <t>K</t>
        </is>
      </c>
      <c r="O346" t="inlineStr">
        <is>
          <t>20231102</t>
        </is>
      </c>
      <c r="P346" t="inlineStr">
        <is>
          <t>Nusa Tenggara Barat</t>
        </is>
      </c>
      <c r="Q346" t="inlineStr"/>
    </row>
    <row r="347">
      <c r="A347" t="inlineStr">
        <is>
          <t>KEMBAR GROUP</t>
        </is>
      </c>
      <c r="B347" t="inlineStr">
        <is>
          <t>Kab. Brebes</t>
        </is>
      </c>
      <c r="C347" t="inlineStr">
        <is>
          <t>085700007638</t>
        </is>
      </c>
      <c r="D347" t="inlineStr">
        <is>
          <t>cv.kembargroup27@gmail.com</t>
        </is>
      </c>
      <c r="E347" t="inlineStr">
        <is>
          <t>https://lpjk.pu.go.id/search-badan-usaha-detail/bENCSk40bFp3d1FHbk9KZlZyeFpFdz09</t>
        </is>
      </c>
      <c r="F347" t="n">
        <v>4</v>
      </c>
      <c r="G347" t="inlineStr">
        <is>
          <t>BG006, BS001, BS004, BS005</t>
        </is>
      </c>
      <c r="H347" t="inlineStr">
        <is>
          <t>8 Mei 2015</t>
        </is>
      </c>
      <c r="I347" s="2" t="n">
        <v>46335</v>
      </c>
      <c r="J347" t="inlineStr">
        <is>
          <t>Disetujui</t>
        </is>
      </c>
      <c r="K347" t="n">
        <v>87</v>
      </c>
      <c r="L347" t="inlineStr">
        <is>
          <t>9 November 2026</t>
        </is>
      </c>
      <c r="M347" t="inlineStr">
        <is>
          <t>Konstruksi Bangunan Sipil Jalan, Konstruksi Bangunan Sipil Pengolahan Air Bersih, Konstruksi Gedung Pendidikan, Konstruksi Jaringan Irigasi dan Drainase</t>
        </is>
      </c>
      <c r="N347" t="inlineStr">
        <is>
          <t>K</t>
        </is>
      </c>
      <c r="O347" t="inlineStr">
        <is>
          <t>20231110, 20231115</t>
        </is>
      </c>
      <c r="P347" t="inlineStr">
        <is>
          <t>Jawa Tengah</t>
        </is>
      </c>
      <c r="Q347" t="inlineStr"/>
    </row>
    <row r="348">
      <c r="A348" t="inlineStr">
        <is>
          <t>KEMILAU</t>
        </is>
      </c>
      <c r="B348" t="inlineStr">
        <is>
          <t>Kota Pagar Alam</t>
        </is>
      </c>
      <c r="C348" t="inlineStr">
        <is>
          <t>082165044618</t>
        </is>
      </c>
      <c r="D348" t="inlineStr">
        <is>
          <t>cvkemilau4@gmail.com</t>
        </is>
      </c>
      <c r="E348" t="inlineStr">
        <is>
          <t>https://lpjk.pu.go.id/search-badan-usaha-detail/ekhEVVBDUHNnL25Hb0hlNWRzdDhzUT09</t>
        </is>
      </c>
      <c r="F348" t="n">
        <v>2</v>
      </c>
      <c r="G348" t="inlineStr">
        <is>
          <t>BG009, BS001</t>
        </is>
      </c>
      <c r="H348" t="inlineStr">
        <is>
          <t>19 Januari 2004</t>
        </is>
      </c>
      <c r="I348" s="2" t="n">
        <v>46339</v>
      </c>
      <c r="J348" t="inlineStr">
        <is>
          <t>Disetujui</t>
        </is>
      </c>
      <c r="K348" t="n">
        <v>87</v>
      </c>
      <c r="L348" t="inlineStr">
        <is>
          <t>13 November 2026</t>
        </is>
      </c>
      <c r="M348" t="inlineStr">
        <is>
          <t>Konstruksi Bangunan Sipil Jalan, Konstruksi Gedung Lainnya</t>
        </is>
      </c>
      <c r="N348" t="inlineStr">
        <is>
          <t>K</t>
        </is>
      </c>
      <c r="O348" t="inlineStr">
        <is>
          <t>20231110</t>
        </is>
      </c>
      <c r="P348" t="inlineStr">
        <is>
          <t>Sumatera Selatan</t>
        </is>
      </c>
      <c r="Q348" t="inlineStr"/>
    </row>
    <row r="349">
      <c r="A349" t="inlineStr">
        <is>
          <t>KEN DANDAKA ENERGY</t>
        </is>
      </c>
      <c r="B349" t="inlineStr">
        <is>
          <t>Kab. Barito Utara</t>
        </is>
      </c>
      <c r="C349" t="inlineStr">
        <is>
          <t>082352220202</t>
        </is>
      </c>
      <c r="D349" t="inlineStr">
        <is>
          <t>ken.da.energy@gmail.com</t>
        </is>
      </c>
      <c r="E349" t="inlineStr">
        <is>
          <t>https://lpjk.pu.go.id/search-badan-usaha-detail/VVgzalVlRmxyMkI5MUxETkFiZ21Ldz09</t>
        </is>
      </c>
      <c r="F349" t="n">
        <v>3</v>
      </c>
      <c r="G349" t="inlineStr">
        <is>
          <t>BG002, BG009, BS005</t>
        </is>
      </c>
      <c r="H349" t="inlineStr">
        <is>
          <t>8 November 2023</t>
        </is>
      </c>
      <c r="I349" s="2" t="n">
        <v>46337</v>
      </c>
      <c r="J349" t="inlineStr">
        <is>
          <t>Disetujui</t>
        </is>
      </c>
      <c r="K349" t="n">
        <v>87</v>
      </c>
      <c r="L349" t="inlineStr">
        <is>
          <t>11 November 2026</t>
        </is>
      </c>
      <c r="M349" t="inlineStr">
        <is>
          <t>Konstruksi Bangunan Sipil Pengolahan Air Bersih, Konstruksi Gedung Lainnya, Konstruksi Gedung Perkantoran</t>
        </is>
      </c>
      <c r="N349" t="inlineStr">
        <is>
          <t>K</t>
        </is>
      </c>
      <c r="O349" t="inlineStr">
        <is>
          <t>20231109</t>
        </is>
      </c>
      <c r="P349" t="inlineStr">
        <is>
          <t>Kalimantan Tengah</t>
        </is>
      </c>
      <c r="Q349" t="inlineStr"/>
    </row>
    <row r="350">
      <c r="A350" t="inlineStr">
        <is>
          <t>KIARA TUNGGAL</t>
        </is>
      </c>
      <c r="B350" t="inlineStr">
        <is>
          <t>Kab. Tangerang</t>
        </is>
      </c>
      <c r="C350" t="inlineStr">
        <is>
          <t>08567477573</t>
        </is>
      </c>
      <c r="D350" t="inlineStr">
        <is>
          <t>kiaratunggalcv@gmail.com</t>
        </is>
      </c>
      <c r="E350" t="inlineStr">
        <is>
          <t>https://lpjk.pu.go.id/search-badan-usaha-detail/dXVSOHhtV0RWV1lkTFJzdVU5UnhPZz09</t>
        </is>
      </c>
      <c r="F350" t="n">
        <v>4</v>
      </c>
      <c r="G350" t="inlineStr">
        <is>
          <t>BG006, BG009, BS001, BS004</t>
        </is>
      </c>
      <c r="H350" t="inlineStr">
        <is>
          <t>15 Januari 2013</t>
        </is>
      </c>
      <c r="I350" s="2" t="n">
        <v>46340</v>
      </c>
      <c r="J350" t="inlineStr">
        <is>
          <t>Pencabutan</t>
        </is>
      </c>
      <c r="K350" t="n">
        <v>87</v>
      </c>
      <c r="L350" t="inlineStr">
        <is>
          <t>14 November 2026</t>
        </is>
      </c>
      <c r="M350" t="inlineStr">
        <is>
          <t>Konstruksi Bangunan Sipil Jalan, Konstruksi Gedung Lainnya, Konstruksi Gedung Pendidikan, Konstruksi Jaringan Irigasi dan Drainase</t>
        </is>
      </c>
      <c r="N350" t="inlineStr">
        <is>
          <t>K</t>
        </is>
      </c>
      <c r="O350" t="inlineStr">
        <is>
          <t>20231109</t>
        </is>
      </c>
      <c r="P350" t="inlineStr">
        <is>
          <t>Banten</t>
        </is>
      </c>
      <c r="Q350" t="inlineStr"/>
    </row>
    <row r="351">
      <c r="A351" t="inlineStr">
        <is>
          <t>KINARA</t>
        </is>
      </c>
      <c r="B351" t="inlineStr">
        <is>
          <t>Kab. Lombok Timur</t>
        </is>
      </c>
      <c r="C351" t="inlineStr">
        <is>
          <t>087763309090</t>
        </is>
      </c>
      <c r="D351" t="inlineStr">
        <is>
          <t>kinaracv30@gmail.com</t>
        </is>
      </c>
      <c r="E351" t="inlineStr">
        <is>
          <t>https://lpjk.pu.go.id/search-badan-usaha-detail/aGZsUzR6d3NXWnhwU1RWVm1nZXgxQT09</t>
        </is>
      </c>
      <c r="F351" t="n">
        <v>2</v>
      </c>
      <c r="G351" t="inlineStr">
        <is>
          <t>BS001</t>
        </is>
      </c>
      <c r="H351" t="inlineStr">
        <is>
          <t>10 Juli 2020</t>
        </is>
      </c>
      <c r="I351" s="2" t="n">
        <v>46340</v>
      </c>
      <c r="J351" t="inlineStr">
        <is>
          <t>Pencabutan</t>
        </is>
      </c>
      <c r="K351" t="n">
        <v>87</v>
      </c>
      <c r="L351" t="inlineStr">
        <is>
          <t>14 November 2026</t>
        </is>
      </c>
      <c r="M351" t="inlineStr">
        <is>
          <t>Konstruksi Bangunan Sipil Jalan</t>
        </is>
      </c>
      <c r="N351" t="inlineStr">
        <is>
          <t>K</t>
        </is>
      </c>
      <c r="O351" t="inlineStr">
        <is>
          <t>20231110</t>
        </is>
      </c>
      <c r="P351" t="inlineStr">
        <is>
          <t>Nusa Tenggara Barat</t>
        </is>
      </c>
      <c r="Q351" t="inlineStr"/>
    </row>
    <row r="352">
      <c r="A352" t="inlineStr">
        <is>
          <t>KOLEGA EKSTERIOR INTERIOR</t>
        </is>
      </c>
      <c r="B352" t="inlineStr">
        <is>
          <t>Kab. Paser</t>
        </is>
      </c>
      <c r="C352" t="inlineStr">
        <is>
          <t>085248841018</t>
        </is>
      </c>
      <c r="D352" t="inlineStr">
        <is>
          <t>kolegaeksteriorinterior@gmail.com</t>
        </is>
      </c>
      <c r="E352" t="inlineStr">
        <is>
          <t>https://lpjk.pu.go.id/search-badan-usaha-detail/NFI5UHNERjdwUDg2ZG1oQzNOc1RxUT09</t>
        </is>
      </c>
      <c r="F352" t="n">
        <v>1</v>
      </c>
      <c r="G352" t="inlineStr">
        <is>
          <t>BG002</t>
        </is>
      </c>
      <c r="H352" t="inlineStr">
        <is>
          <t>15 September 2023</t>
        </is>
      </c>
      <c r="I352" s="2" t="n">
        <v>46338</v>
      </c>
      <c r="J352" t="inlineStr">
        <is>
          <t>Disetujui</t>
        </is>
      </c>
      <c r="K352" t="n">
        <v>87</v>
      </c>
      <c r="L352" t="inlineStr">
        <is>
          <t>12 November 2026</t>
        </is>
      </c>
      <c r="M352" t="inlineStr">
        <is>
          <t>Konstruksi Gedung Perkantoran</t>
        </is>
      </c>
      <c r="N352" t="inlineStr">
        <is>
          <t>K</t>
        </is>
      </c>
      <c r="O352" t="inlineStr">
        <is>
          <t>20231109</t>
        </is>
      </c>
      <c r="P352" t="inlineStr">
        <is>
          <t>Kalimantan Timur</t>
        </is>
      </c>
      <c r="Q352" t="inlineStr"/>
    </row>
    <row r="353">
      <c r="A353" t="inlineStr">
        <is>
          <t>KREASI KHATULISTIWA</t>
        </is>
      </c>
      <c r="B353" t="inlineStr">
        <is>
          <t>Kota Pontianak</t>
        </is>
      </c>
      <c r="C353" t="inlineStr">
        <is>
          <t>085345258483</t>
        </is>
      </c>
      <c r="D353" t="inlineStr">
        <is>
          <t>kreasikhatulistiwa7@gmail.com</t>
        </is>
      </c>
      <c r="E353" t="inlineStr">
        <is>
          <t>https://lpjk.pu.go.id/search-badan-usaha-detail/VlBXY0tqTXUzbVNMbW84OCtZdERNQT09</t>
        </is>
      </c>
      <c r="F353" t="n">
        <v>1</v>
      </c>
      <c r="G353" t="inlineStr">
        <is>
          <t>BG001</t>
        </is>
      </c>
      <c r="H353" t="inlineStr">
        <is>
          <t>27 Agustus 2005</t>
        </is>
      </c>
      <c r="I353" s="2" t="n">
        <v>46340</v>
      </c>
      <c r="J353" t="inlineStr">
        <is>
          <t>Disetujui</t>
        </is>
      </c>
      <c r="K353" t="n">
        <v>87</v>
      </c>
      <c r="L353" t="inlineStr">
        <is>
          <t>14 November 2026</t>
        </is>
      </c>
      <c r="M353" t="inlineStr">
        <is>
          <t>Konstruksi Gedung Hunian</t>
        </is>
      </c>
      <c r="N353" t="inlineStr">
        <is>
          <t>K</t>
        </is>
      </c>
      <c r="O353" t="inlineStr">
        <is>
          <t>20231107</t>
        </is>
      </c>
      <c r="P353" t="inlineStr">
        <is>
          <t>Kalimantan Barat</t>
        </is>
      </c>
      <c r="Q353" t="inlineStr"/>
    </row>
    <row r="354">
      <c r="A354" t="inlineStr">
        <is>
          <t>KREASI SEMBILAN MANDIRI</t>
        </is>
      </c>
      <c r="B354" t="inlineStr">
        <is>
          <t>Kota Adm. Jakarta Selatan</t>
        </is>
      </c>
      <c r="C354" t="inlineStr">
        <is>
          <t>081809996536</t>
        </is>
      </c>
      <c r="D354" t="inlineStr">
        <is>
          <t>kreasisembilanmandiri@gmail.com</t>
        </is>
      </c>
      <c r="E354" t="inlineStr">
        <is>
          <t>https://lpjk.pu.go.id/search-badan-usaha-detail/eERENHE5NlFRL29Hb3Z5WEVNMUZjZz09</t>
        </is>
      </c>
      <c r="F354" t="n">
        <v>2</v>
      </c>
      <c r="G354" t="inlineStr">
        <is>
          <t>BG006, BS004</t>
        </is>
      </c>
      <c r="H354" t="inlineStr">
        <is>
          <t>6 Agustus 2022</t>
        </is>
      </c>
      <c r="I354" s="2" t="n">
        <v>46338</v>
      </c>
      <c r="J354" t="inlineStr">
        <is>
          <t>Disetujui</t>
        </is>
      </c>
      <c r="K354" t="n">
        <v>87</v>
      </c>
      <c r="L354" t="inlineStr">
        <is>
          <t>12 November 2026</t>
        </is>
      </c>
      <c r="M354" t="inlineStr">
        <is>
          <t>Konstruksi Gedung Pendidikan, Konstruksi Jaringan Irigasi dan Drainase</t>
        </is>
      </c>
      <c r="N354" t="inlineStr">
        <is>
          <t>K</t>
        </is>
      </c>
      <c r="O354" t="inlineStr">
        <is>
          <t>20231031, 20231110</t>
        </is>
      </c>
      <c r="P354" t="inlineStr">
        <is>
          <t>DKI Jakarta</t>
        </is>
      </c>
      <c r="Q354" t="inlineStr"/>
    </row>
    <row r="355">
      <c r="A355" t="inlineStr">
        <is>
          <t>LAMPOH SAYANG</t>
        </is>
      </c>
      <c r="B355" t="inlineStr">
        <is>
          <t>Kab. Aceh Besar</t>
        </is>
      </c>
      <c r="C355" t="inlineStr">
        <is>
          <t>085260093361</t>
        </is>
      </c>
      <c r="D355" t="inlineStr">
        <is>
          <t>lampohsyg@yahoo.com</t>
        </is>
      </c>
      <c r="E355" t="inlineStr">
        <is>
          <t>https://lpjk.pu.go.id/search-badan-usaha-detail/UHBsQ3dUcVRqNkpqV1pyKzJueXJCZz09</t>
        </is>
      </c>
      <c r="F355" t="n">
        <v>2</v>
      </c>
      <c r="G355" t="inlineStr">
        <is>
          <t>BG006, BG009</t>
        </is>
      </c>
      <c r="H355" t="inlineStr">
        <is>
          <t>13 September 2013</t>
        </is>
      </c>
      <c r="I355" s="2" t="n">
        <v>46336</v>
      </c>
      <c r="J355" t="inlineStr">
        <is>
          <t>Disetujui</t>
        </is>
      </c>
      <c r="K355" t="n">
        <v>87</v>
      </c>
      <c r="L355" t="inlineStr">
        <is>
          <t>10 November 2026</t>
        </is>
      </c>
      <c r="M355" t="inlineStr">
        <is>
          <t>Konstruksi Gedung Lainnya, Konstruksi Gedung Pendidikan</t>
        </is>
      </c>
      <c r="N355" t="inlineStr">
        <is>
          <t>K</t>
        </is>
      </c>
      <c r="O355" t="inlineStr">
        <is>
          <t>20231111</t>
        </is>
      </c>
      <c r="P355" t="inlineStr">
        <is>
          <t>Aceh</t>
        </is>
      </c>
      <c r="Q355" t="inlineStr"/>
    </row>
    <row r="356">
      <c r="A356" t="inlineStr">
        <is>
          <t>LANCAR ABADI KONSTRUKSI</t>
        </is>
      </c>
      <c r="B356" t="inlineStr">
        <is>
          <t>Kota Yogyakarta</t>
        </is>
      </c>
      <c r="C356" t="inlineStr">
        <is>
          <t>089614492060</t>
        </is>
      </c>
      <c r="D356" t="inlineStr">
        <is>
          <t>marketing.lakonstruksi@gmail.com</t>
        </is>
      </c>
      <c r="E356" t="inlineStr">
        <is>
          <t>https://lpjk.pu.go.id/search-badan-usaha-detail/Mkp0SCtkYVFDbCtvTFV4b0hSenB5QT09</t>
        </is>
      </c>
      <c r="F356" t="n">
        <v>5</v>
      </c>
      <c r="G356" t="inlineStr">
        <is>
          <t>BG001, BG002, BG004, BG006, BG007</t>
        </is>
      </c>
      <c r="H356" t="inlineStr">
        <is>
          <t>10 Oktober 2023</t>
        </is>
      </c>
      <c r="I356" s="2" t="n">
        <v>46339</v>
      </c>
      <c r="J356" t="inlineStr">
        <is>
          <t>Disetujui</t>
        </is>
      </c>
      <c r="K356" t="n">
        <v>87</v>
      </c>
      <c r="L356" t="inlineStr">
        <is>
          <t>13 November 2026</t>
        </is>
      </c>
      <c r="M356" t="inlineStr">
        <is>
          <t>Konstruksi Gedung Hunian, Konstruksi Gedung Pendidikan, Konstruksi Gedung Penginapan, Konstruksi Gedung Perbelanjaan, Konstruksi Gedung Perkantoran</t>
        </is>
      </c>
      <c r="N356" t="inlineStr">
        <is>
          <t>K</t>
        </is>
      </c>
      <c r="O356" t="inlineStr">
        <is>
          <t>20231110, 20231111</t>
        </is>
      </c>
      <c r="P356" t="inlineStr">
        <is>
          <t>DI Yogyakarta</t>
        </is>
      </c>
      <c r="Q356" t="inlineStr"/>
    </row>
    <row r="357">
      <c r="A357" t="inlineStr">
        <is>
          <t>LANGIT BIRU SENTOSA</t>
        </is>
      </c>
      <c r="B357" t="inlineStr">
        <is>
          <t>Kota Surabaya</t>
        </is>
      </c>
      <c r="C357" t="inlineStr">
        <is>
          <t>0317667385</t>
        </is>
      </c>
      <c r="D357" t="inlineStr">
        <is>
          <t>pt.lbsentosa@gmail.com</t>
        </is>
      </c>
      <c r="E357" t="inlineStr">
        <is>
          <t>https://lpjk.pu.go.id/search-badan-usaha-detail/azB4U1MzZFlpd2R0Ujc1QjFQdUZGUT09</t>
        </is>
      </c>
      <c r="F357" t="n">
        <v>1</v>
      </c>
      <c r="G357" t="inlineStr">
        <is>
          <t>IN004</t>
        </is>
      </c>
      <c r="H357" t="inlineStr">
        <is>
          <t>5 Juli 2000</t>
        </is>
      </c>
      <c r="I357" s="2" t="n">
        <v>46338</v>
      </c>
      <c r="J357" t="inlineStr">
        <is>
          <t>Disetujui</t>
        </is>
      </c>
      <c r="K357" t="n">
        <v>87</v>
      </c>
      <c r="L357" t="inlineStr">
        <is>
          <t>12 November 2026</t>
        </is>
      </c>
      <c r="M357" t="inlineStr">
        <is>
          <t>Instalasi Minyak dan Gas</t>
        </is>
      </c>
      <c r="N357" t="inlineStr">
        <is>
          <t>Spesialis</t>
        </is>
      </c>
      <c r="O357" t="inlineStr">
        <is>
          <t>20231109</t>
        </is>
      </c>
      <c r="P357" t="inlineStr">
        <is>
          <t>Jawa Timur</t>
        </is>
      </c>
      <c r="Q357" t="inlineStr"/>
    </row>
    <row r="358">
      <c r="A358" t="inlineStr">
        <is>
          <t>LENTERA ASROFA PERSADA</t>
        </is>
      </c>
      <c r="B358" t="inlineStr">
        <is>
          <t>Kota Semarang</t>
        </is>
      </c>
      <c r="C358" t="inlineStr">
        <is>
          <t>081391348791</t>
        </is>
      </c>
      <c r="D358" t="inlineStr">
        <is>
          <t>lenteraasrofapersada@gmail.com</t>
        </is>
      </c>
      <c r="E358" t="inlineStr">
        <is>
          <t>https://lpjk.pu.go.id/search-badan-usaha-detail/d1Z4OXBhUDcrbUdXbSt3b3gzVktwUT09</t>
        </is>
      </c>
      <c r="F358" t="n">
        <v>2</v>
      </c>
      <c r="G358" t="inlineStr">
        <is>
          <t>AR001, AR002</t>
        </is>
      </c>
      <c r="H358" t="inlineStr">
        <is>
          <t>17 Februari 2023</t>
        </is>
      </c>
      <c r="I358" s="2" t="n">
        <v>46340</v>
      </c>
      <c r="J358" t="inlineStr">
        <is>
          <t>Disetujui</t>
        </is>
      </c>
      <c r="K358" t="n">
        <v>87</v>
      </c>
      <c r="L358" t="inlineStr">
        <is>
          <t>14 November 2026</t>
        </is>
      </c>
      <c r="M358" t="inlineStr">
        <is>
          <t>Jasa Arsitektural Bangunan Gedung Hunian dan Non Hunian, Jasa Arsitektural Lainnya</t>
        </is>
      </c>
      <c r="N358" t="inlineStr">
        <is>
          <t>K</t>
        </is>
      </c>
      <c r="O358" t="inlineStr">
        <is>
          <t>20231016</t>
        </is>
      </c>
      <c r="P358" t="inlineStr">
        <is>
          <t>Jawa Tengah</t>
        </is>
      </c>
      <c r="Q358" t="inlineStr"/>
    </row>
    <row r="359">
      <c r="A359" t="inlineStr">
        <is>
          <t>LEO PATRA MANDIRI</t>
        </is>
      </c>
      <c r="B359" t="inlineStr">
        <is>
          <t>Kab. Kutai Kartanegara</t>
        </is>
      </c>
      <c r="C359" t="inlineStr">
        <is>
          <t>08125369141</t>
        </is>
      </c>
      <c r="D359" t="inlineStr">
        <is>
          <t>cv.leopatra@yahoo.co.id</t>
        </is>
      </c>
      <c r="E359" t="inlineStr">
        <is>
          <t>https://lpjk.pu.go.id/search-badan-usaha-detail/RTg0S2dISmJSM3JKWlB1YmI2M3lpdz09</t>
        </is>
      </c>
      <c r="F359" t="n">
        <v>1</v>
      </c>
      <c r="G359" t="inlineStr">
        <is>
          <t>BG003</t>
        </is>
      </c>
      <c r="H359" t="inlineStr">
        <is>
          <t>30 November 1999</t>
        </is>
      </c>
      <c r="I359" s="2" t="n">
        <v>46337</v>
      </c>
      <c r="J359" t="inlineStr">
        <is>
          <t>Disetujui</t>
        </is>
      </c>
      <c r="K359" t="n">
        <v>87</v>
      </c>
      <c r="L359" t="inlineStr">
        <is>
          <t>11 November 2026</t>
        </is>
      </c>
      <c r="M359" t="inlineStr">
        <is>
          <t>Konstruksi Gedung Industri</t>
        </is>
      </c>
      <c r="N359" t="inlineStr">
        <is>
          <t>K</t>
        </is>
      </c>
      <c r="O359" t="inlineStr">
        <is>
          <t>20231025</t>
        </is>
      </c>
      <c r="P359" t="inlineStr">
        <is>
          <t>Kalimantan Timur</t>
        </is>
      </c>
      <c r="Q359" t="inlineStr"/>
    </row>
    <row r="360">
      <c r="A360" t="inlineStr">
        <is>
          <t>LESTARI</t>
        </is>
      </c>
      <c r="B360" t="inlineStr">
        <is>
          <t>Kab. Grobogan</t>
        </is>
      </c>
      <c r="C360" t="inlineStr">
        <is>
          <t>081326533325</t>
        </is>
      </c>
      <c r="D360" t="inlineStr">
        <is>
          <t>lestari_cv01@yahoo.co.id</t>
        </is>
      </c>
      <c r="E360" t="inlineStr">
        <is>
          <t>https://lpjk.pu.go.id/search-badan-usaha-detail/NjJ0TUtlVTd6NVF2dWJocHhpKzhidz09</t>
        </is>
      </c>
      <c r="F360" t="n">
        <v>5</v>
      </c>
      <c r="G360" t="inlineStr">
        <is>
          <t>BG006, BG008, BS001, BS002, BS004</t>
        </is>
      </c>
      <c r="H360" t="inlineStr">
        <is>
          <t>21 Agustus 2001</t>
        </is>
      </c>
      <c r="I360" s="2" t="n">
        <v>46340</v>
      </c>
      <c r="J360" t="inlineStr">
        <is>
          <t>Disetujui</t>
        </is>
      </c>
      <c r="K360" t="n">
        <v>87</v>
      </c>
      <c r="L360" t="inlineStr">
        <is>
          <t>14 November 2026</t>
        </is>
      </c>
      <c r="M360" t="inlineStr">
        <is>
          <t>Bangunan Sipil Jembatan, Jalan Layang, Fly Over, dan Underpass, Konstruksi Bangunan Sipil Jalan, Konstruksi Gedung Pendidikan, Konstruksi Gedung Tempat Hiburan dan Olahraga, Konstruksi Jaringan Irigasi dan Drainase</t>
        </is>
      </c>
      <c r="N360" t="inlineStr">
        <is>
          <t>K</t>
        </is>
      </c>
      <c r="O360" t="inlineStr">
        <is>
          <t>20231110</t>
        </is>
      </c>
      <c r="P360" t="inlineStr">
        <is>
          <t>Jawa Tengah</t>
        </is>
      </c>
      <c r="Q360" t="inlineStr"/>
    </row>
    <row r="361">
      <c r="A361" t="inlineStr">
        <is>
          <t>LESTARI KARYA UTAMA</t>
        </is>
      </c>
      <c r="B361" t="inlineStr">
        <is>
          <t>Kab. Lombok Barat</t>
        </is>
      </c>
      <c r="C361" t="inlineStr">
        <is>
          <t>082237892788</t>
        </is>
      </c>
      <c r="D361" t="inlineStr">
        <is>
          <t>cvlestarikaryautama@gmail.com</t>
        </is>
      </c>
      <c r="E361" t="inlineStr">
        <is>
          <t>https://lpjk.pu.go.id/search-badan-usaha-detail/b3NLV2lVQzd5WnVWMWJvYm15Z2tVdz09</t>
        </is>
      </c>
      <c r="F361" t="n">
        <v>1</v>
      </c>
      <c r="G361" t="inlineStr">
        <is>
          <t>BG006</t>
        </is>
      </c>
      <c r="H361" t="inlineStr">
        <is>
          <t>10 Oktober 2023</t>
        </is>
      </c>
      <c r="I361" s="2" t="n">
        <v>46337</v>
      </c>
      <c r="J361" t="inlineStr">
        <is>
          <t>Disetujui</t>
        </is>
      </c>
      <c r="K361" t="n">
        <v>87</v>
      </c>
      <c r="L361" t="inlineStr">
        <is>
          <t>11 November 2026</t>
        </is>
      </c>
      <c r="M361" t="inlineStr">
        <is>
          <t>Konstruksi Gedung Pendidikan</t>
        </is>
      </c>
      <c r="N361" t="inlineStr">
        <is>
          <t>K</t>
        </is>
      </c>
      <c r="O361" t="inlineStr">
        <is>
          <t>20231111</t>
        </is>
      </c>
      <c r="P361" t="inlineStr">
        <is>
          <t>Nusa Tenggara Barat</t>
        </is>
      </c>
      <c r="Q361" t="inlineStr"/>
    </row>
    <row r="362">
      <c r="A362" t="inlineStr">
        <is>
          <t>LIMA PUTRA</t>
        </is>
      </c>
      <c r="B362" t="inlineStr">
        <is>
          <t>Kab. Sukoharjo</t>
        </is>
      </c>
      <c r="C362" t="inlineStr">
        <is>
          <t>0271646780</t>
        </is>
      </c>
      <c r="D362" t="inlineStr">
        <is>
          <t>limaputra@rocketmail.com</t>
        </is>
      </c>
      <c r="E362" t="inlineStr">
        <is>
          <t>https://lpjk.pu.go.id/search-badan-usaha-detail/cDhvMEZxTzlTRUpCQUVMNlFhUmxxZz09</t>
        </is>
      </c>
      <c r="F362" t="n">
        <v>2</v>
      </c>
      <c r="G362" t="inlineStr">
        <is>
          <t>BS001, BS004</t>
        </is>
      </c>
      <c r="H362" t="inlineStr">
        <is>
          <t>5 November 1984</t>
        </is>
      </c>
      <c r="I362" s="2" t="n">
        <v>46334</v>
      </c>
      <c r="J362" t="inlineStr">
        <is>
          <t>Disetujui</t>
        </is>
      </c>
      <c r="K362" t="n">
        <v>87</v>
      </c>
      <c r="L362" t="inlineStr">
        <is>
          <t>8 November 2026</t>
        </is>
      </c>
      <c r="M362" t="inlineStr">
        <is>
          <t>Konstruksi Bangunan Sipil Jalan, Konstruksi Jaringan Irigasi dan Drainase</t>
        </is>
      </c>
      <c r="N362" t="inlineStr">
        <is>
          <t>K</t>
        </is>
      </c>
      <c r="O362" t="inlineStr">
        <is>
          <t>20231107</t>
        </is>
      </c>
      <c r="P362" t="inlineStr">
        <is>
          <t>Jawa Tengah</t>
        </is>
      </c>
      <c r="Q362" t="inlineStr"/>
    </row>
    <row r="363">
      <c r="A363" t="inlineStr">
        <is>
          <t>LINGGA INDAH WOOD</t>
        </is>
      </c>
      <c r="B363" t="inlineStr">
        <is>
          <t>Kota Batam</t>
        </is>
      </c>
      <c r="C363" t="inlineStr">
        <is>
          <t>082172596560</t>
        </is>
      </c>
      <c r="D363" t="inlineStr">
        <is>
          <t>lingga_indahwood@yahoo.com</t>
        </is>
      </c>
      <c r="E363" t="inlineStr">
        <is>
          <t>https://lpjk.pu.go.id/search-badan-usaha-detail/L1RvWW5xc01xQ0lycytycVUrZ1c3QT09</t>
        </is>
      </c>
      <c r="F363" t="n">
        <v>1</v>
      </c>
      <c r="G363" t="inlineStr">
        <is>
          <t>BG009</t>
        </is>
      </c>
      <c r="H363" t="inlineStr">
        <is>
          <t>18 April 2011</t>
        </is>
      </c>
      <c r="I363" s="2" t="n">
        <v>46336</v>
      </c>
      <c r="J363" t="inlineStr">
        <is>
          <t>Disetujui</t>
        </is>
      </c>
      <c r="K363" t="n">
        <v>87</v>
      </c>
      <c r="L363" t="inlineStr">
        <is>
          <t>10 November 2026</t>
        </is>
      </c>
      <c r="M363" t="inlineStr">
        <is>
          <t>Konstruksi Gedung Lainnya</t>
        </is>
      </c>
      <c r="N363" t="inlineStr">
        <is>
          <t>K</t>
        </is>
      </c>
      <c r="O363" t="inlineStr">
        <is>
          <t>20231109</t>
        </is>
      </c>
      <c r="P363" t="inlineStr">
        <is>
          <t>Kepulauan Riau</t>
        </is>
      </c>
      <c r="Q363" t="inlineStr"/>
    </row>
    <row r="364">
      <c r="A364" t="inlineStr">
        <is>
          <t>LUTFI BANGUN PERSADA</t>
        </is>
      </c>
      <c r="B364" t="inlineStr">
        <is>
          <t>Kab. Sidoarjo</t>
        </is>
      </c>
      <c r="C364" t="inlineStr">
        <is>
          <t>082139838992</t>
        </is>
      </c>
      <c r="D364" t="inlineStr">
        <is>
          <t>lb.persada@gmail.com</t>
        </is>
      </c>
      <c r="E364" t="inlineStr">
        <is>
          <t>https://lpjk.pu.go.id/search-badan-usaha-detail/WVc2Y3VaQytOMUFMWXpxemttQzNJQT09</t>
        </is>
      </c>
      <c r="F364" t="n">
        <v>1</v>
      </c>
      <c r="G364" t="inlineStr">
        <is>
          <t>BS001</t>
        </is>
      </c>
      <c r="H364" t="inlineStr">
        <is>
          <t>2 September 2006</t>
        </is>
      </c>
      <c r="I364" s="2" t="n">
        <v>46338</v>
      </c>
      <c r="J364" t="inlineStr">
        <is>
          <t>Disetujui</t>
        </is>
      </c>
      <c r="K364" t="n">
        <v>87</v>
      </c>
      <c r="L364" t="inlineStr">
        <is>
          <t>12 November 2026</t>
        </is>
      </c>
      <c r="M364" t="inlineStr">
        <is>
          <t>Konstruksi Bangunan Sipil Jalan</t>
        </is>
      </c>
      <c r="N364" t="inlineStr">
        <is>
          <t>K</t>
        </is>
      </c>
      <c r="O364" t="inlineStr">
        <is>
          <t>20231110</t>
        </is>
      </c>
      <c r="P364" t="inlineStr">
        <is>
          <t>Jawa Timur</t>
        </is>
      </c>
      <c r="Q364" t="inlineStr"/>
    </row>
    <row r="365">
      <c r="A365" t="inlineStr">
        <is>
          <t>MAHA DESIGN</t>
        </is>
      </c>
      <c r="B365" t="inlineStr">
        <is>
          <t>Kab. Tabanan</t>
        </is>
      </c>
      <c r="C365" t="inlineStr">
        <is>
          <t>082144928987</t>
        </is>
      </c>
      <c r="D365" t="inlineStr">
        <is>
          <t>maha05design@gmail.com</t>
        </is>
      </c>
      <c r="E365" t="inlineStr">
        <is>
          <t>https://lpjk.pu.go.id/search-badan-usaha-detail/Q3hjTmlhYzdVYXVNQ3JmQUtmTmNzdz09</t>
        </is>
      </c>
      <c r="F365" t="n">
        <v>2</v>
      </c>
      <c r="G365" t="inlineStr">
        <is>
          <t>RK002, RK003</t>
        </is>
      </c>
      <c r="H365" t="inlineStr">
        <is>
          <t>7 Januari 2017</t>
        </is>
      </c>
      <c r="I365" s="2" t="n">
        <v>46340</v>
      </c>
      <c r="J365" t="inlineStr">
        <is>
          <t>Disetujui</t>
        </is>
      </c>
      <c r="K365" t="n">
        <v>87</v>
      </c>
      <c r="L365" t="inlineStr">
        <is>
          <t>14 November 2026</t>
        </is>
      </c>
      <c r="M365" t="inlineStr">
        <is>
          <t>Jasa Rekayasa Pekerjaan Teknik Sipil Sumber Daya Air, Jasa Rekayasa Pekerjaan Teknik Sipil Transportasi</t>
        </is>
      </c>
      <c r="N365" t="inlineStr">
        <is>
          <t>K</t>
        </is>
      </c>
      <c r="O365" t="inlineStr">
        <is>
          <t>20231106</t>
        </is>
      </c>
      <c r="P365" t="inlineStr">
        <is>
          <t>Bali</t>
        </is>
      </c>
      <c r="Q365" t="inlineStr"/>
    </row>
    <row r="366">
      <c r="A366" t="inlineStr">
        <is>
          <t>MAHAJANA DIKARA AMERTA</t>
        </is>
      </c>
      <c r="B366" t="inlineStr">
        <is>
          <t>Kota Pagar Alam</t>
        </is>
      </c>
      <c r="C366" t="inlineStr">
        <is>
          <t>081279012057</t>
        </is>
      </c>
      <c r="D366" t="inlineStr">
        <is>
          <t>mahajanadikaraamerta23@gmail.com</t>
        </is>
      </c>
      <c r="E366" t="inlineStr">
        <is>
          <t>https://lpjk.pu.go.id/search-badan-usaha-detail/YVhWcForNFEyVUxoNGJOb1JBM2VyZz09</t>
        </is>
      </c>
      <c r="F366" t="n">
        <v>1</v>
      </c>
      <c r="G366" t="inlineStr">
        <is>
          <t>BS001</t>
        </is>
      </c>
      <c r="H366" t="inlineStr">
        <is>
          <t>24 Januari 2022</t>
        </is>
      </c>
      <c r="I366" s="2" t="n">
        <v>46340</v>
      </c>
      <c r="J366" t="inlineStr">
        <is>
          <t>Disetujui</t>
        </is>
      </c>
      <c r="K366" t="n">
        <v>87</v>
      </c>
      <c r="L366" t="inlineStr">
        <is>
          <t>14 November 2026</t>
        </is>
      </c>
      <c r="M366" t="inlineStr">
        <is>
          <t>Konstruksi Bangunan Sipil Jalan</t>
        </is>
      </c>
      <c r="N366" t="inlineStr">
        <is>
          <t>K</t>
        </is>
      </c>
      <c r="O366" t="inlineStr">
        <is>
          <t>20231114</t>
        </is>
      </c>
      <c r="P366" t="inlineStr">
        <is>
          <t>Sumatera Selatan</t>
        </is>
      </c>
      <c r="Q366" t="inlineStr"/>
    </row>
    <row r="367">
      <c r="A367" t="inlineStr">
        <is>
          <t>MAHAKARYA MULIA INDONESIA</t>
        </is>
      </c>
      <c r="B367" t="inlineStr">
        <is>
          <t>Kota Adm. Jakarta Barat</t>
        </is>
      </c>
      <c r="C367" t="inlineStr">
        <is>
          <t>082219289666</t>
        </is>
      </c>
      <c r="D367" t="inlineStr">
        <is>
          <t>mahakaryamuliaindonesia@gmail.com</t>
        </is>
      </c>
      <c r="E367" t="inlineStr">
        <is>
          <t>https://lpjk.pu.go.id/search-badan-usaha-detail/Qm9yTzFCU0dIMEY3S2lLeTBRUE5RZz09</t>
        </is>
      </c>
      <c r="F367" t="n">
        <v>3</v>
      </c>
      <c r="G367" t="inlineStr">
        <is>
          <t>BS017</t>
        </is>
      </c>
      <c r="H367" t="inlineStr">
        <is>
          <t>27 September 2023</t>
        </is>
      </c>
      <c r="I367" s="2" t="n">
        <v>46340</v>
      </c>
      <c r="J367" t="inlineStr">
        <is>
          <t>Disetujui</t>
        </is>
      </c>
      <c r="K367" t="n">
        <v>87</v>
      </c>
      <c r="L367" t="inlineStr">
        <is>
          <t>14 November 2026</t>
        </is>
      </c>
      <c r="M367" t="inlineStr">
        <is>
          <t>Konstruksi Bangunan Sipil Lainnya Ytdl</t>
        </is>
      </c>
      <c r="N367" t="inlineStr">
        <is>
          <t>K</t>
        </is>
      </c>
      <c r="O367" t="inlineStr">
        <is>
          <t>20231115</t>
        </is>
      </c>
      <c r="P367" t="inlineStr">
        <is>
          <t>DKI Jakarta</t>
        </is>
      </c>
      <c r="Q367" t="inlineStr"/>
    </row>
    <row r="368">
      <c r="A368" t="inlineStr">
        <is>
          <t>MAHANTA JAYA</t>
        </is>
      </c>
      <c r="B368" t="inlineStr">
        <is>
          <t>Kab. Bojonegoro</t>
        </is>
      </c>
      <c r="C368" t="inlineStr">
        <is>
          <t>082257702448</t>
        </is>
      </c>
      <c r="D368" t="inlineStr">
        <is>
          <t>CV.MAHANTAJAYA@GMAIL.COM</t>
        </is>
      </c>
      <c r="E368" t="inlineStr">
        <is>
          <t>https://lpjk.pu.go.id/search-badan-usaha-detail/cDM4QkVYWUQ4NkNwakEyY1AzWFRJUT09</t>
        </is>
      </c>
      <c r="F368" t="n">
        <v>2</v>
      </c>
      <c r="G368" t="inlineStr">
        <is>
          <t>BG006, BS004</t>
        </is>
      </c>
      <c r="H368" t="inlineStr">
        <is>
          <t>17 Juni 2020</t>
        </is>
      </c>
      <c r="I368" s="2" t="n">
        <v>46340</v>
      </c>
      <c r="J368" t="inlineStr">
        <is>
          <t>Disetujui</t>
        </is>
      </c>
      <c r="K368" t="n">
        <v>87</v>
      </c>
      <c r="L368" t="inlineStr">
        <is>
          <t>14 November 2026</t>
        </is>
      </c>
      <c r="M368" t="inlineStr">
        <is>
          <t>Konstruksi Gedung Pendidikan, Konstruksi Jaringan Irigasi dan Drainase</t>
        </is>
      </c>
      <c r="N368" t="inlineStr">
        <is>
          <t>K</t>
        </is>
      </c>
      <c r="O368" t="inlineStr">
        <is>
          <t>20231102, 20231113</t>
        </is>
      </c>
      <c r="P368" t="inlineStr">
        <is>
          <t>Jawa Timur</t>
        </is>
      </c>
      <c r="Q368" t="inlineStr"/>
    </row>
    <row r="369">
      <c r="A369" t="inlineStr">
        <is>
          <t>MAHKOTA ALAM</t>
        </is>
      </c>
      <c r="B369" t="inlineStr">
        <is>
          <t>Kab. Sumedang</t>
        </is>
      </c>
      <c r="C369" t="inlineStr">
        <is>
          <t>082316661675</t>
        </is>
      </c>
      <c r="D369" t="inlineStr">
        <is>
          <t>cvmahkotaalam.smd@gmail.com</t>
        </is>
      </c>
      <c r="E369" t="inlineStr">
        <is>
          <t>https://lpjk.pu.go.id/search-badan-usaha-detail/bWQ4ejVNamdWRFBuZVFEcC9rc2ovQT09</t>
        </is>
      </c>
      <c r="F369" t="n">
        <v>1</v>
      </c>
      <c r="G369" t="inlineStr">
        <is>
          <t>BS001</t>
        </is>
      </c>
      <c r="H369" t="inlineStr">
        <is>
          <t>28 Februari 2011</t>
        </is>
      </c>
      <c r="I369" s="2" t="n">
        <v>46339</v>
      </c>
      <c r="J369" t="inlineStr">
        <is>
          <t>Disetujui</t>
        </is>
      </c>
      <c r="K369" t="n">
        <v>87</v>
      </c>
      <c r="L369" t="inlineStr">
        <is>
          <t>13 November 2026</t>
        </is>
      </c>
      <c r="M369" t="inlineStr">
        <is>
          <t>Konstruksi Bangunan Sipil Jalan</t>
        </is>
      </c>
      <c r="N369" t="inlineStr">
        <is>
          <t>K</t>
        </is>
      </c>
      <c r="O369" t="inlineStr">
        <is>
          <t>20231019</t>
        </is>
      </c>
      <c r="P369" t="inlineStr">
        <is>
          <t>Jawa Barat</t>
        </is>
      </c>
      <c r="Q369" t="inlineStr"/>
    </row>
    <row r="370">
      <c r="A370" t="inlineStr">
        <is>
          <t>MAJA KARYA INDO</t>
        </is>
      </c>
      <c r="B370" t="inlineStr">
        <is>
          <t>Kab. Cirebon</t>
        </is>
      </c>
      <c r="C370" t="inlineStr">
        <is>
          <t>081294820552</t>
        </is>
      </c>
      <c r="D370" t="inlineStr">
        <is>
          <t>majakarya.id@gmail.com</t>
        </is>
      </c>
      <c r="E370" t="inlineStr">
        <is>
          <t>https://lpjk.pu.go.id/search-badan-usaha-detail/aGZGbnFBeFpvVVl6VER4dDBtODkrUT09</t>
        </is>
      </c>
      <c r="F370" t="n">
        <v>1</v>
      </c>
      <c r="G370" t="inlineStr">
        <is>
          <t>BG003</t>
        </is>
      </c>
      <c r="H370" t="inlineStr">
        <is>
          <t>23 Oktober 2023</t>
        </is>
      </c>
      <c r="I370" s="2" t="n">
        <v>46334</v>
      </c>
      <c r="J370" t="inlineStr">
        <is>
          <t>Disetujui</t>
        </is>
      </c>
      <c r="K370" t="n">
        <v>87</v>
      </c>
      <c r="L370" t="inlineStr">
        <is>
          <t>8 November 2026</t>
        </is>
      </c>
      <c r="M370" t="inlineStr">
        <is>
          <t>Konstruksi Gedung Industri</t>
        </is>
      </c>
      <c r="N370" t="inlineStr">
        <is>
          <t>K</t>
        </is>
      </c>
      <c r="O370" t="inlineStr">
        <is>
          <t>20231024</t>
        </is>
      </c>
      <c r="P370" t="inlineStr">
        <is>
          <t>Jawa Barat</t>
        </is>
      </c>
      <c r="Q370" t="inlineStr"/>
    </row>
    <row r="371">
      <c r="A371" t="inlineStr">
        <is>
          <t>MAJU JAYA</t>
        </is>
      </c>
      <c r="B371" t="inlineStr">
        <is>
          <t>Kota Medan</t>
        </is>
      </c>
      <c r="C371" t="inlineStr">
        <is>
          <t>081264787782</t>
        </is>
      </c>
      <c r="D371" t="inlineStr">
        <is>
          <t>cv.majujaya56@gmail.com</t>
        </is>
      </c>
      <c r="E371" t="inlineStr">
        <is>
          <t>https://lpjk.pu.go.id/search-badan-usaha-detail/bWJDdHpxbTZpa0p3bVJweWltbTNOQT09</t>
        </is>
      </c>
      <c r="F371" t="n">
        <v>1</v>
      </c>
      <c r="G371" t="inlineStr">
        <is>
          <t>IN004</t>
        </is>
      </c>
      <c r="H371" t="inlineStr">
        <is>
          <t>25 November 2009</t>
        </is>
      </c>
      <c r="I371" s="2" t="n">
        <v>46335</v>
      </c>
      <c r="J371" t="inlineStr">
        <is>
          <t>Disetujui</t>
        </is>
      </c>
      <c r="K371" t="n">
        <v>87</v>
      </c>
      <c r="L371" t="inlineStr">
        <is>
          <t>9 November 2026</t>
        </is>
      </c>
      <c r="M371" t="inlineStr">
        <is>
          <t>Instalasi Minyak dan Gas</t>
        </is>
      </c>
      <c r="N371" t="inlineStr">
        <is>
          <t>Spesialis</t>
        </is>
      </c>
      <c r="O371" t="inlineStr">
        <is>
          <t>20231025</t>
        </is>
      </c>
      <c r="P371" t="inlineStr">
        <is>
          <t>Sumatera Utara</t>
        </is>
      </c>
      <c r="Q371" t="inlineStr"/>
    </row>
    <row r="372">
      <c r="A372" t="inlineStr">
        <is>
          <t>MAKMUR JAYA</t>
        </is>
      </c>
      <c r="B372" t="inlineStr">
        <is>
          <t>Kota Surabaya</t>
        </is>
      </c>
      <c r="C372" t="inlineStr">
        <is>
          <t>0315687289</t>
        </is>
      </c>
      <c r="D372" t="inlineStr">
        <is>
          <t>officept.makmurjaya@gmail.com</t>
        </is>
      </c>
      <c r="E372" t="inlineStr">
        <is>
          <t>https://lpjk.pu.go.id/search-badan-usaha-detail/U0Z0dXhNZWpaU2JXSlVtWm1oNVJqUT09</t>
        </is>
      </c>
      <c r="F372" t="n">
        <v>1</v>
      </c>
      <c r="G372" t="inlineStr">
        <is>
          <t>BS009</t>
        </is>
      </c>
      <c r="H372" t="inlineStr">
        <is>
          <t>14 November 2022</t>
        </is>
      </c>
      <c r="I372" s="2" t="n">
        <v>46334</v>
      </c>
      <c r="J372" t="inlineStr">
        <is>
          <t>Pencabutan</t>
        </is>
      </c>
      <c r="K372" t="n">
        <v>87</v>
      </c>
      <c r="L372" t="inlineStr">
        <is>
          <t>8 November 2026</t>
        </is>
      </c>
      <c r="M372" t="inlineStr">
        <is>
          <t>Konstruksi Sentral Telekomunikasi</t>
        </is>
      </c>
      <c r="N372" t="inlineStr">
        <is>
          <t>M</t>
        </is>
      </c>
      <c r="O372" t="inlineStr">
        <is>
          <t>20231106</t>
        </is>
      </c>
      <c r="P372" t="inlineStr">
        <is>
          <t>Jawa Timur</t>
        </is>
      </c>
      <c r="Q372" t="inlineStr"/>
    </row>
    <row r="373">
      <c r="A373" t="inlineStr">
        <is>
          <t>MAKMUR JAYA BERKAT KONTRAKTOR</t>
        </is>
      </c>
      <c r="B373" t="inlineStr">
        <is>
          <t>Kota Adm. Jakarta Utara</t>
        </is>
      </c>
      <c r="C373" t="inlineStr">
        <is>
          <t>02129745083</t>
        </is>
      </c>
      <c r="D373" t="inlineStr">
        <is>
          <t>ptmjbk.comp@yahoo.co.id</t>
        </is>
      </c>
      <c r="E373" t="inlineStr">
        <is>
          <t>https://lpjk.pu.go.id/search-badan-usaha-detail/M0J5TXRCdk5XbW5ya2pDK2ZXU2lUZz09</t>
        </is>
      </c>
      <c r="F373" t="n">
        <v>1</v>
      </c>
      <c r="G373" t="inlineStr">
        <is>
          <t>BS001</t>
        </is>
      </c>
      <c r="H373" t="inlineStr">
        <is>
          <t>20 September 2023</t>
        </is>
      </c>
      <c r="I373" s="2" t="n">
        <v>46339</v>
      </c>
      <c r="J373" t="inlineStr">
        <is>
          <t>Pencabutan</t>
        </is>
      </c>
      <c r="K373" t="n">
        <v>87</v>
      </c>
      <c r="L373" t="inlineStr">
        <is>
          <t>13 November 2026</t>
        </is>
      </c>
      <c r="M373" t="inlineStr">
        <is>
          <t>Konstruksi Bangunan Sipil Jalan</t>
        </is>
      </c>
      <c r="N373" t="inlineStr">
        <is>
          <t>B</t>
        </is>
      </c>
      <c r="O373" t="inlineStr">
        <is>
          <t>20231031</t>
        </is>
      </c>
      <c r="P373" t="inlineStr">
        <is>
          <t>DKI Jakarta</t>
        </is>
      </c>
      <c r="Q373" t="inlineStr"/>
    </row>
    <row r="374">
      <c r="A374" t="inlineStr">
        <is>
          <t>MAKNA KARYA SEJAHTERA</t>
        </is>
      </c>
      <c r="B374" t="inlineStr">
        <is>
          <t>Kab. Deli Serdang</t>
        </is>
      </c>
      <c r="C374" t="inlineStr">
        <is>
          <t>081360263008</t>
        </is>
      </c>
      <c r="D374" t="inlineStr">
        <is>
          <t>pt.maknakaryasejahtera@gmail.com</t>
        </is>
      </c>
      <c r="E374" t="inlineStr">
        <is>
          <t>https://lpjk.pu.go.id/search-badan-usaha-detail/MG5qYXpBb2F3aW5xSzFlTVZaeXZnZz09</t>
        </is>
      </c>
      <c r="F374" t="n">
        <v>1</v>
      </c>
      <c r="G374" t="inlineStr">
        <is>
          <t>BS004</t>
        </is>
      </c>
      <c r="H374" t="inlineStr">
        <is>
          <t>23 Agustus 2023</t>
        </is>
      </c>
      <c r="I374" s="2" t="n">
        <v>46339</v>
      </c>
      <c r="J374" t="inlineStr">
        <is>
          <t>Disetujui</t>
        </is>
      </c>
      <c r="K374" t="n">
        <v>87</v>
      </c>
      <c r="L374" t="inlineStr">
        <is>
          <t>13 November 2026</t>
        </is>
      </c>
      <c r="M374" t="inlineStr">
        <is>
          <t>Konstruksi Jaringan Irigasi dan Drainase</t>
        </is>
      </c>
      <c r="N374" t="inlineStr">
        <is>
          <t>K</t>
        </is>
      </c>
      <c r="O374" t="inlineStr">
        <is>
          <t>20231114</t>
        </is>
      </c>
      <c r="P374" t="inlineStr">
        <is>
          <t>Sumatera Utara</t>
        </is>
      </c>
      <c r="Q374" t="inlineStr"/>
    </row>
    <row r="375">
      <c r="A375" t="inlineStr">
        <is>
          <t>MAKNA WISAYA KARKASA</t>
        </is>
      </c>
      <c r="B375" t="inlineStr">
        <is>
          <t>Kota Semarang</t>
        </is>
      </c>
      <c r="C375" t="inlineStr">
        <is>
          <t>02486400786</t>
        </is>
      </c>
      <c r="D375" t="inlineStr">
        <is>
          <t>maknawisayakarkasa@gmail.com</t>
        </is>
      </c>
      <c r="E375" t="inlineStr">
        <is>
          <t>https://lpjk.pu.go.id/search-badan-usaha-detail/ZG16SG1wSUhaNVpveGVZODg1RzRrUT09</t>
        </is>
      </c>
      <c r="F375" t="n">
        <v>5</v>
      </c>
      <c r="G375" t="inlineStr">
        <is>
          <t>BG001, BG003, BG005, BG006, BG009</t>
        </is>
      </c>
      <c r="H375" t="inlineStr">
        <is>
          <t>26 Januari 2022</t>
        </is>
      </c>
      <c r="I375" s="2" t="n">
        <v>46338</v>
      </c>
      <c r="J375" t="inlineStr">
        <is>
          <t>Disetujui</t>
        </is>
      </c>
      <c r="K375" t="n">
        <v>87</v>
      </c>
      <c r="L375" t="inlineStr">
        <is>
          <t>12 November 2026</t>
        </is>
      </c>
      <c r="M375" t="inlineStr">
        <is>
          <t>Konstruksi Gedung Hunian, Konstruksi Gedung Industri, Konstruksi Gedung Kesehatan, Konstruksi Gedung Lainnya, Konstruksi Gedung Pendidikan</t>
        </is>
      </c>
      <c r="N375" t="inlineStr">
        <is>
          <t>K</t>
        </is>
      </c>
      <c r="O375" t="inlineStr">
        <is>
          <t>20230901, 20230904</t>
        </is>
      </c>
      <c r="P375" t="inlineStr">
        <is>
          <t>Jawa Tengah</t>
        </is>
      </c>
      <c r="Q375" t="inlineStr"/>
    </row>
    <row r="376">
      <c r="A376" t="inlineStr">
        <is>
          <t>MALABAR JAYA</t>
        </is>
      </c>
      <c r="B376" t="inlineStr">
        <is>
          <t>Kab. Banyuwangi</t>
        </is>
      </c>
      <c r="C376" t="inlineStr">
        <is>
          <t>081231013333</t>
        </is>
      </c>
      <c r="D376" t="inlineStr">
        <is>
          <t>malabarjaya.cv@gmail.com</t>
        </is>
      </c>
      <c r="E376" t="inlineStr">
        <is>
          <t>https://lpjk.pu.go.id/search-badan-usaha-detail/ZWZLWDBPMGF3bHJMa2RaRmVxUktwQT09</t>
        </is>
      </c>
      <c r="F376" t="n">
        <v>2</v>
      </c>
      <c r="G376" t="inlineStr">
        <is>
          <t>BS001, BS004</t>
        </is>
      </c>
      <c r="H376" t="inlineStr">
        <is>
          <t>5 Desember 2019</t>
        </is>
      </c>
      <c r="I376" s="2" t="n">
        <v>46336</v>
      </c>
      <c r="J376" t="inlineStr">
        <is>
          <t>Disetujui</t>
        </is>
      </c>
      <c r="K376" t="n">
        <v>87</v>
      </c>
      <c r="L376" t="inlineStr">
        <is>
          <t>10 November 2026</t>
        </is>
      </c>
      <c r="M376" t="inlineStr">
        <is>
          <t>Konstruksi Bangunan Sipil Jalan, Konstruksi Jaringan Irigasi dan Drainase</t>
        </is>
      </c>
      <c r="N376" t="inlineStr">
        <is>
          <t>K</t>
        </is>
      </c>
      <c r="O376" t="inlineStr">
        <is>
          <t>20231108</t>
        </is>
      </c>
      <c r="P376" t="inlineStr">
        <is>
          <t>Jawa Timur</t>
        </is>
      </c>
      <c r="Q376" t="inlineStr"/>
    </row>
    <row r="377">
      <c r="A377" t="inlineStr">
        <is>
          <t>MANDIRI BETON UTAMA</t>
        </is>
      </c>
      <c r="B377" t="inlineStr">
        <is>
          <t>Kota Tasikmalaya</t>
        </is>
      </c>
      <c r="C377" t="inlineStr">
        <is>
          <t>082127920222</t>
        </is>
      </c>
      <c r="D377" t="inlineStr">
        <is>
          <t>mandiribeton15@gmail.com</t>
        </is>
      </c>
      <c r="E377" t="inlineStr">
        <is>
          <t>https://lpjk.pu.go.id/search-badan-usaha-detail/RHhhaE1jVnhzYlpYeWFId2JhTktWQT09</t>
        </is>
      </c>
      <c r="F377" t="n">
        <v>1</v>
      </c>
      <c r="G377" t="inlineStr">
        <is>
          <t>BS001</t>
        </is>
      </c>
      <c r="H377" t="inlineStr">
        <is>
          <t>19 Mei 2023</t>
        </is>
      </c>
      <c r="I377" s="2" t="n">
        <v>46340</v>
      </c>
      <c r="J377" t="inlineStr">
        <is>
          <t>Disetujui</t>
        </is>
      </c>
      <c r="K377" t="n">
        <v>87</v>
      </c>
      <c r="L377" t="inlineStr">
        <is>
          <t>14 November 2026</t>
        </is>
      </c>
      <c r="M377" t="inlineStr">
        <is>
          <t>Konstruksi Bangunan Sipil Jalan</t>
        </is>
      </c>
      <c r="N377" t="inlineStr">
        <is>
          <t>K</t>
        </is>
      </c>
      <c r="O377" t="inlineStr">
        <is>
          <t>20231113</t>
        </is>
      </c>
      <c r="P377" t="inlineStr">
        <is>
          <t>Jawa Barat</t>
        </is>
      </c>
      <c r="Q377" t="inlineStr"/>
    </row>
    <row r="378">
      <c r="A378" t="inlineStr">
        <is>
          <t>MANDIRI LANGGENG GEMILANG</t>
        </is>
      </c>
      <c r="B378" t="inlineStr">
        <is>
          <t>Kota Batu</t>
        </is>
      </c>
      <c r="C378" t="inlineStr">
        <is>
          <t>082143167880</t>
        </is>
      </c>
      <c r="D378" t="inlineStr">
        <is>
          <t>mandirilan88enggemilang@gmail.com</t>
        </is>
      </c>
      <c r="E378" t="inlineStr">
        <is>
          <t>https://lpjk.pu.go.id/search-badan-usaha-detail/Mm5lU2RQSkd6WS83TWhRSWNEeXQ4QT09</t>
        </is>
      </c>
      <c r="F378" t="n">
        <v>1</v>
      </c>
      <c r="G378" t="inlineStr">
        <is>
          <t>BG002</t>
        </is>
      </c>
      <c r="H378" t="inlineStr">
        <is>
          <t>13 Desember 2016</t>
        </is>
      </c>
      <c r="I378" s="2" t="n">
        <v>46338</v>
      </c>
      <c r="J378" t="inlineStr">
        <is>
          <t>Disetujui</t>
        </is>
      </c>
      <c r="K378" t="n">
        <v>87</v>
      </c>
      <c r="L378" t="inlineStr">
        <is>
          <t>12 November 2026</t>
        </is>
      </c>
      <c r="M378" t="inlineStr">
        <is>
          <t>Konstruksi Gedung Perkantoran</t>
        </is>
      </c>
      <c r="N378" t="inlineStr">
        <is>
          <t>K</t>
        </is>
      </c>
      <c r="O378" t="inlineStr">
        <is>
          <t>20230718</t>
        </is>
      </c>
      <c r="P378" t="inlineStr">
        <is>
          <t>Jawa Timur</t>
        </is>
      </c>
      <c r="Q378" t="inlineStr"/>
    </row>
    <row r="379">
      <c r="A379" t="inlineStr">
        <is>
          <t>MANDIRI PERSADA</t>
        </is>
      </c>
      <c r="B379" t="inlineStr">
        <is>
          <t>Kab. Kulon Progo</t>
        </is>
      </c>
      <c r="C379" t="inlineStr">
        <is>
          <t>0812280776691</t>
        </is>
      </c>
      <c r="D379" t="inlineStr">
        <is>
          <t>mandiri2110_cv@yahoo.com</t>
        </is>
      </c>
      <c r="E379" t="inlineStr">
        <is>
          <t>https://lpjk.pu.go.id/search-badan-usaha-detail/eGkyTTR6dGpzSjZIckc3MnMwS1Q2dz09</t>
        </is>
      </c>
      <c r="F379" t="n">
        <v>1</v>
      </c>
      <c r="G379" t="inlineStr">
        <is>
          <t>BS001</t>
        </is>
      </c>
      <c r="H379" t="inlineStr">
        <is>
          <t>16 April 2015</t>
        </is>
      </c>
      <c r="I379" s="2" t="n">
        <v>46339</v>
      </c>
      <c r="J379" t="inlineStr">
        <is>
          <t>Disetujui</t>
        </is>
      </c>
      <c r="K379" t="n">
        <v>87</v>
      </c>
      <c r="L379" t="inlineStr">
        <is>
          <t>13 November 2026</t>
        </is>
      </c>
      <c r="M379" t="inlineStr">
        <is>
          <t>Konstruksi Bangunan Sipil Jalan</t>
        </is>
      </c>
      <c r="N379" t="inlineStr">
        <is>
          <t>K</t>
        </is>
      </c>
      <c r="O379" t="inlineStr">
        <is>
          <t>20231109</t>
        </is>
      </c>
      <c r="P379" t="inlineStr">
        <is>
          <t>DI Yogyakarta</t>
        </is>
      </c>
      <c r="Q379" t="inlineStr"/>
    </row>
    <row r="380">
      <c r="A380" t="inlineStr">
        <is>
          <t>MANDIRI UTAMA BANDAR TENGAH</t>
        </is>
      </c>
      <c r="B380" t="inlineStr">
        <is>
          <t>Kab. Serdang Bedagai</t>
        </is>
      </c>
      <c r="C380" t="inlineStr">
        <is>
          <t>08126957399</t>
        </is>
      </c>
      <c r="D380" t="inlineStr">
        <is>
          <t>cvmandiriutamabandartengah@gmail.com</t>
        </is>
      </c>
      <c r="E380" t="inlineStr">
        <is>
          <t>https://lpjk.pu.go.id/search-badan-usaha-detail/N3FXWkR0U29vZDRRM1paVjR2WWJNQT09</t>
        </is>
      </c>
      <c r="F380" t="n">
        <v>2</v>
      </c>
      <c r="G380" t="inlineStr">
        <is>
          <t>BG009, BS002</t>
        </is>
      </c>
      <c r="H380" t="inlineStr">
        <is>
          <t>7 September 2012</t>
        </is>
      </c>
      <c r="I380" s="2" t="n">
        <v>46335</v>
      </c>
      <c r="J380" t="inlineStr">
        <is>
          <t>Disetujui</t>
        </is>
      </c>
      <c r="K380" t="n">
        <v>87</v>
      </c>
      <c r="L380" t="inlineStr">
        <is>
          <t>9 November 2026</t>
        </is>
      </c>
      <c r="M380" t="inlineStr">
        <is>
          <t>Bangunan Sipil Jembatan, Jalan Layang, Fly Over, dan Underpass, Konstruksi Gedung Lainnya</t>
        </is>
      </c>
      <c r="N380" t="inlineStr">
        <is>
          <t>K</t>
        </is>
      </c>
      <c r="O380" t="inlineStr">
        <is>
          <t>20231110, 20231113</t>
        </is>
      </c>
      <c r="P380" t="inlineStr">
        <is>
          <t>Sumatera Utara</t>
        </is>
      </c>
      <c r="Q380" t="inlineStr"/>
    </row>
    <row r="381">
      <c r="A381" t="inlineStr">
        <is>
          <t>MARINA CIPTA PRATAMA</t>
        </is>
      </c>
      <c r="B381" t="inlineStr">
        <is>
          <t>Kota Adm. Jakarta Selatan</t>
        </is>
      </c>
      <c r="C381" t="inlineStr">
        <is>
          <t>081291873332</t>
        </is>
      </c>
      <c r="D381" t="inlineStr">
        <is>
          <t>marinaciptapratama2019@gmail.com</t>
        </is>
      </c>
      <c r="E381" t="inlineStr">
        <is>
          <t>https://lpjk.pu.go.id/search-badan-usaha-detail/YXUxMEt1SExOdU5CRE5xeS9hRE40QT09</t>
        </is>
      </c>
      <c r="F381" t="n">
        <v>3</v>
      </c>
      <c r="G381" t="inlineStr">
        <is>
          <t>RK001, RK002, RK003</t>
        </is>
      </c>
      <c r="H381" t="inlineStr">
        <is>
          <t>21 Januari 2002</t>
        </is>
      </c>
      <c r="I381" s="2" t="n">
        <v>46339</v>
      </c>
      <c r="J381" t="inlineStr">
        <is>
          <t>Pencabutan</t>
        </is>
      </c>
      <c r="K381" t="n">
        <v>87</v>
      </c>
      <c r="L381" t="inlineStr">
        <is>
          <t>13 November 2026</t>
        </is>
      </c>
      <c r="M381" t="inlineStr">
        <is>
          <t>Jasa Rekayasa Konstruksi Bangunan Gedung Hunian dan Non Hunian, Jasa Rekayasa Pekerjaan Teknik Sipil Sumber Daya Air, Jasa Rekayasa Pekerjaan Teknik Sipil Transportasi</t>
        </is>
      </c>
      <c r="N381" t="inlineStr">
        <is>
          <t>K</t>
        </is>
      </c>
      <c r="O381" t="inlineStr">
        <is>
          <t>20231107</t>
        </is>
      </c>
      <c r="P381" t="inlineStr">
        <is>
          <t>DKI Jakarta</t>
        </is>
      </c>
      <c r="Q381" t="inlineStr"/>
    </row>
    <row r="382">
      <c r="A382" t="inlineStr">
        <is>
          <t>MARTHA</t>
        </is>
      </c>
      <c r="B382" t="inlineStr">
        <is>
          <t>Kab. Tanjung Jabung Barat</t>
        </is>
      </c>
      <c r="C382" t="inlineStr">
        <is>
          <t>085272601976</t>
        </is>
      </c>
      <c r="D382" t="inlineStr">
        <is>
          <t>tendarawit@gmail.com</t>
        </is>
      </c>
      <c r="E382" t="inlineStr">
        <is>
          <t>https://lpjk.pu.go.id/search-badan-usaha-detail/WkFWdENKMFc5ZE9KNU1xUy9yNmFEdz09</t>
        </is>
      </c>
      <c r="F382" t="n">
        <v>1</v>
      </c>
      <c r="G382" t="inlineStr">
        <is>
          <t>BS004</t>
        </is>
      </c>
      <c r="H382" t="inlineStr">
        <is>
          <t>21 Februari 1984</t>
        </is>
      </c>
      <c r="I382" s="2" t="n">
        <v>46336</v>
      </c>
      <c r="J382" t="inlineStr">
        <is>
          <t>Pencabutan</t>
        </is>
      </c>
      <c r="K382" t="n">
        <v>87</v>
      </c>
      <c r="L382" t="inlineStr">
        <is>
          <t>10 November 2026</t>
        </is>
      </c>
      <c r="M382" t="inlineStr">
        <is>
          <t>Konstruksi Jaringan Irigasi dan Drainase</t>
        </is>
      </c>
      <c r="N382" t="inlineStr">
        <is>
          <t>K</t>
        </is>
      </c>
      <c r="O382" t="inlineStr">
        <is>
          <t>20231107</t>
        </is>
      </c>
      <c r="P382" t="inlineStr">
        <is>
          <t>Jambi</t>
        </is>
      </c>
      <c r="Q382" t="inlineStr"/>
    </row>
    <row r="383">
      <c r="A383" t="inlineStr">
        <is>
          <t>MASA JAYA ABADI</t>
        </is>
      </c>
      <c r="B383" t="inlineStr">
        <is>
          <t>Kab. Karawang</t>
        </is>
      </c>
      <c r="C383" t="inlineStr">
        <is>
          <t>081327119866</t>
        </is>
      </c>
      <c r="D383" t="inlineStr">
        <is>
          <t>cv.masajayaabadi@gmail.com</t>
        </is>
      </c>
      <c r="E383" t="inlineStr">
        <is>
          <t>https://lpjk.pu.go.id/search-badan-usaha-detail/TEY0RXBjSXBRYW4vYkNia1M3QkUvQT09</t>
        </is>
      </c>
      <c r="F383" t="n">
        <v>1</v>
      </c>
      <c r="G383" t="inlineStr">
        <is>
          <t>BS001</t>
        </is>
      </c>
      <c r="H383" t="inlineStr">
        <is>
          <t>22 Oktober 2010</t>
        </is>
      </c>
      <c r="I383" s="2" t="n">
        <v>46340</v>
      </c>
      <c r="J383" t="inlineStr">
        <is>
          <t>Disetujui</t>
        </is>
      </c>
      <c r="K383" t="n">
        <v>87</v>
      </c>
      <c r="L383" t="inlineStr">
        <is>
          <t>14 November 2026</t>
        </is>
      </c>
      <c r="M383" t="inlineStr">
        <is>
          <t>Konstruksi Bangunan Sipil Jalan</t>
        </is>
      </c>
      <c r="N383" t="inlineStr">
        <is>
          <t>K</t>
        </is>
      </c>
      <c r="O383" t="inlineStr">
        <is>
          <t>20231110</t>
        </is>
      </c>
      <c r="P383" t="inlineStr">
        <is>
          <t>Jawa Barat</t>
        </is>
      </c>
      <c r="Q383" t="inlineStr"/>
    </row>
    <row r="384">
      <c r="A384" t="inlineStr">
        <is>
          <t>MATA ELANG KONSTRUKSI</t>
        </is>
      </c>
      <c r="B384" t="inlineStr">
        <is>
          <t>Kota Palembang</t>
        </is>
      </c>
      <c r="C384" t="inlineStr">
        <is>
          <t>081278844381</t>
        </is>
      </c>
      <c r="D384" t="inlineStr">
        <is>
          <t>cv.mataelangkonstruksi@gmail.com</t>
        </is>
      </c>
      <c r="E384" t="inlineStr">
        <is>
          <t>https://lpjk.pu.go.id/search-badan-usaha-detail/RUdBc3RaaGFFbGViMHBwQ0l3QjFnQT09</t>
        </is>
      </c>
      <c r="F384" t="n">
        <v>4</v>
      </c>
      <c r="G384" t="inlineStr">
        <is>
          <t>BG006, BG009, BS001, BS004</t>
        </is>
      </c>
      <c r="H384" t="inlineStr">
        <is>
          <t>23 Juni 2023</t>
        </is>
      </c>
      <c r="I384" s="2" t="n">
        <v>46338</v>
      </c>
      <c r="J384" t="inlineStr">
        <is>
          <t>Disetujui</t>
        </is>
      </c>
      <c r="K384" t="n">
        <v>87</v>
      </c>
      <c r="L384" t="inlineStr">
        <is>
          <t>12 November 2026</t>
        </is>
      </c>
      <c r="M384" t="inlineStr">
        <is>
          <t>Konstruksi Bangunan Sipil Jalan, Konstruksi Gedung Lainnya, Konstruksi Gedung Pendidikan, Konstruksi Jaringan Irigasi dan Drainase</t>
        </is>
      </c>
      <c r="N384" t="inlineStr">
        <is>
          <t>K</t>
        </is>
      </c>
      <c r="O384" t="inlineStr">
        <is>
          <t>20231111</t>
        </is>
      </c>
      <c r="P384" t="inlineStr">
        <is>
          <t>Sumatera Selatan</t>
        </is>
      </c>
      <c r="Q384" t="inlineStr"/>
    </row>
    <row r="385">
      <c r="A385" t="inlineStr">
        <is>
          <t>MAVENDRA</t>
        </is>
      </c>
      <c r="B385" t="inlineStr">
        <is>
          <t>Kota Pontianak</t>
        </is>
      </c>
      <c r="C385" t="inlineStr">
        <is>
          <t>081649300300</t>
        </is>
      </c>
      <c r="D385" t="inlineStr">
        <is>
          <t>mavendra.pnk@gmail.com</t>
        </is>
      </c>
      <c r="E385" t="inlineStr">
        <is>
          <t>https://lpjk.pu.go.id/search-badan-usaha-detail/YmxJV2ZOTG4xc1ZVWmtUd2FOYndjQT09</t>
        </is>
      </c>
      <c r="F385" t="n">
        <v>1</v>
      </c>
      <c r="G385" t="inlineStr">
        <is>
          <t>BG006</t>
        </is>
      </c>
      <c r="H385" t="inlineStr">
        <is>
          <t>11 April 2017</t>
        </is>
      </c>
      <c r="I385" s="2" t="n">
        <v>46334</v>
      </c>
      <c r="J385" t="inlineStr">
        <is>
          <t>Disetujui</t>
        </is>
      </c>
      <c r="K385" t="n">
        <v>87</v>
      </c>
      <c r="L385" t="inlineStr">
        <is>
          <t>8 November 2026</t>
        </is>
      </c>
      <c r="M385" t="inlineStr">
        <is>
          <t>Konstruksi Gedung Pendidikan</t>
        </is>
      </c>
      <c r="N385" t="inlineStr">
        <is>
          <t>K</t>
        </is>
      </c>
      <c r="O385" t="inlineStr">
        <is>
          <t>20231106</t>
        </is>
      </c>
      <c r="P385" t="inlineStr">
        <is>
          <t>Kalimantan Barat</t>
        </is>
      </c>
      <c r="Q385" t="inlineStr"/>
    </row>
    <row r="386">
      <c r="A386" t="inlineStr">
        <is>
          <t>MAVENDRA MITRA ABADI</t>
        </is>
      </c>
      <c r="B386" t="inlineStr">
        <is>
          <t>Kota Tangerang Selatan</t>
        </is>
      </c>
      <c r="C386" t="inlineStr">
        <is>
          <t>081383880212</t>
        </is>
      </c>
      <c r="D386" t="inlineStr">
        <is>
          <t>mavendra4@gmail.com</t>
        </is>
      </c>
      <c r="E386" t="inlineStr">
        <is>
          <t>https://lpjk.pu.go.id/search-badan-usaha-detail/ZFB1UUIydm1hcm04R2QvTDVycTk2Zz09</t>
        </is>
      </c>
      <c r="F386" t="n">
        <v>5</v>
      </c>
      <c r="G386" t="inlineStr">
        <is>
          <t>BG001, BG002, BG005, BG006, BG009</t>
        </is>
      </c>
      <c r="H386" t="inlineStr">
        <is>
          <t>7 September 2023</t>
        </is>
      </c>
      <c r="I386" s="2" t="n">
        <v>46340</v>
      </c>
      <c r="J386" t="inlineStr">
        <is>
          <t>Disetujui</t>
        </is>
      </c>
      <c r="K386" t="n">
        <v>87</v>
      </c>
      <c r="L386" t="inlineStr">
        <is>
          <t>14 November 2026</t>
        </is>
      </c>
      <c r="M386" t="inlineStr">
        <is>
          <t>Konstruksi Gedung Hunian, Konstruksi Gedung Kesehatan, Konstruksi Gedung Lainnya, Konstruksi Gedung Pendidikan, Konstruksi Gedung Perkantoran</t>
        </is>
      </c>
      <c r="N386" t="inlineStr">
        <is>
          <t>K</t>
        </is>
      </c>
      <c r="O386" t="inlineStr">
        <is>
          <t>20231009, 20231113</t>
        </is>
      </c>
      <c r="P386" t="inlineStr">
        <is>
          <t>Banten</t>
        </is>
      </c>
      <c r="Q386" t="inlineStr"/>
    </row>
    <row r="387">
      <c r="A387" t="inlineStr">
        <is>
          <t>MAYA ROSE</t>
        </is>
      </c>
      <c r="B387" t="inlineStr">
        <is>
          <t>Kab. Bondowoso</t>
        </is>
      </c>
      <c r="C387" t="inlineStr">
        <is>
          <t>085230426534</t>
        </is>
      </c>
      <c r="D387" t="inlineStr">
        <is>
          <t>mayarose2088@gmail.com</t>
        </is>
      </c>
      <c r="E387" t="inlineStr">
        <is>
          <t>https://lpjk.pu.go.id/search-badan-usaha-detail/ekNLTXRGbUxrRC9VdDVINGdjVHJkUT09</t>
        </is>
      </c>
      <c r="F387" t="n">
        <v>1</v>
      </c>
      <c r="G387" t="inlineStr">
        <is>
          <t>BS004</t>
        </is>
      </c>
      <c r="H387" t="inlineStr">
        <is>
          <t>14 Mei 2010</t>
        </is>
      </c>
      <c r="I387" s="2" t="n">
        <v>46334</v>
      </c>
      <c r="J387" t="inlineStr">
        <is>
          <t>Disetujui</t>
        </is>
      </c>
      <c r="K387" t="n">
        <v>87</v>
      </c>
      <c r="L387" t="inlineStr">
        <is>
          <t>8 November 2026</t>
        </is>
      </c>
      <c r="M387" t="inlineStr">
        <is>
          <t>Konstruksi Jaringan Irigasi dan Drainase</t>
        </is>
      </c>
      <c r="N387" t="inlineStr">
        <is>
          <t>K</t>
        </is>
      </c>
      <c r="O387" t="inlineStr">
        <is>
          <t>20231021</t>
        </is>
      </c>
      <c r="P387" t="inlineStr">
        <is>
          <t>Jawa Timur</t>
        </is>
      </c>
      <c r="Q387" t="inlineStr"/>
    </row>
    <row r="388">
      <c r="A388" t="inlineStr">
        <is>
          <t>MEDALE KONSULTAN</t>
        </is>
      </c>
      <c r="B388" t="inlineStr">
        <is>
          <t>Kota Kendari</t>
        </is>
      </c>
      <c r="C388" t="inlineStr">
        <is>
          <t>082266040091</t>
        </is>
      </c>
      <c r="D388" t="inlineStr">
        <is>
          <t>konsultanmedale@gmail.com</t>
        </is>
      </c>
      <c r="E388" t="inlineStr">
        <is>
          <t>https://lpjk.pu.go.id/search-badan-usaha-detail/UmZ5eEFSdi9aUDA0NkNXQk4vbm4rZz09</t>
        </is>
      </c>
      <c r="F388" t="n">
        <v>3</v>
      </c>
      <c r="G388" t="inlineStr">
        <is>
          <t>RK001, RK003, RK005</t>
        </is>
      </c>
      <c r="H388" t="inlineStr">
        <is>
          <t>27 Februari 2012</t>
        </is>
      </c>
      <c r="I388" s="2" t="n">
        <v>46335</v>
      </c>
      <c r="J388" t="inlineStr">
        <is>
          <t>Disetujui</t>
        </is>
      </c>
      <c r="K388" t="n">
        <v>87</v>
      </c>
      <c r="L388" t="inlineStr">
        <is>
          <t>9 November 2026</t>
        </is>
      </c>
      <c r="M388" t="inlineStr">
        <is>
          <t>Jasa Rekayasa Konstruksi Bangunan Gedung Hunian dan Non Hunian, Jasa Rekayasa Lainnya, Jasa Rekayasa Pekerjaan Teknik Sipil Transportasi</t>
        </is>
      </c>
      <c r="N388" t="inlineStr">
        <is>
          <t>K</t>
        </is>
      </c>
      <c r="O388" t="inlineStr">
        <is>
          <t>20230911, 20231106</t>
        </is>
      </c>
      <c r="P388" t="inlineStr">
        <is>
          <t>Sulawesi Tenggara</t>
        </is>
      </c>
      <c r="Q388" t="inlineStr"/>
    </row>
    <row r="389">
      <c r="A389" t="inlineStr">
        <is>
          <t>MEGA KREASI KONSTRUKSI</t>
        </is>
      </c>
      <c r="B389" t="inlineStr">
        <is>
          <t>Kota Batam</t>
        </is>
      </c>
      <c r="C389" t="inlineStr">
        <is>
          <t>081276666200</t>
        </is>
      </c>
      <c r="D389" t="inlineStr">
        <is>
          <t>ptmegakreasikonstruksi@gmail.com</t>
        </is>
      </c>
      <c r="E389" t="inlineStr">
        <is>
          <t>https://lpjk.pu.go.id/search-badan-usaha-detail/b1JjVURQR0lJdXFGZ1oyRHZoVVVodz09</t>
        </is>
      </c>
      <c r="F389" t="n">
        <v>2</v>
      </c>
      <c r="G389" t="inlineStr">
        <is>
          <t>BG003, BG009</t>
        </is>
      </c>
      <c r="H389" t="inlineStr">
        <is>
          <t>2 November 2023</t>
        </is>
      </c>
      <c r="I389" s="2" t="n">
        <v>46335</v>
      </c>
      <c r="J389" t="inlineStr">
        <is>
          <t>Disetujui</t>
        </is>
      </c>
      <c r="K389" t="n">
        <v>87</v>
      </c>
      <c r="L389" t="inlineStr">
        <is>
          <t>9 November 2026</t>
        </is>
      </c>
      <c r="M389" t="inlineStr">
        <is>
          <t>Konstruksi Gedung Industri, Konstruksi Gedung Lainnya</t>
        </is>
      </c>
      <c r="N389" t="inlineStr">
        <is>
          <t>K</t>
        </is>
      </c>
      <c r="O389" t="inlineStr">
        <is>
          <t>20231109</t>
        </is>
      </c>
      <c r="P389" t="inlineStr">
        <is>
          <t>Kepulauan Riau</t>
        </is>
      </c>
      <c r="Q389" t="inlineStr"/>
    </row>
    <row r="390">
      <c r="A390" t="inlineStr">
        <is>
          <t>MEGA SEMPURNA HANDAL KONSTRUKSI</t>
        </is>
      </c>
      <c r="B390" t="inlineStr">
        <is>
          <t>Kota Tangerang Selatan</t>
        </is>
      </c>
      <c r="C390" t="inlineStr">
        <is>
          <t>0542760533</t>
        </is>
      </c>
      <c r="D390" t="inlineStr">
        <is>
          <t>pt.mshk@gmail.com</t>
        </is>
      </c>
      <c r="E390" t="inlineStr">
        <is>
          <t>https://lpjk.pu.go.id/search-badan-usaha-detail/OUpuN2J1QUZFUnJJcXBKYXpTR0dSdz09</t>
        </is>
      </c>
      <c r="F390" t="n">
        <v>1</v>
      </c>
      <c r="G390" t="inlineStr">
        <is>
          <t>BG003</t>
        </is>
      </c>
      <c r="H390" t="inlineStr">
        <is>
          <t>11 Maret 2009</t>
        </is>
      </c>
      <c r="I390" s="2" t="n">
        <v>46335</v>
      </c>
      <c r="J390" t="inlineStr">
        <is>
          <t>Disetujui</t>
        </is>
      </c>
      <c r="K390" t="n">
        <v>87</v>
      </c>
      <c r="L390" t="inlineStr">
        <is>
          <t>9 November 2026</t>
        </is>
      </c>
      <c r="M390" t="inlineStr">
        <is>
          <t>Konstruksi Gedung Industri</t>
        </is>
      </c>
      <c r="N390" t="inlineStr">
        <is>
          <t>B</t>
        </is>
      </c>
      <c r="O390" t="inlineStr">
        <is>
          <t>20231109</t>
        </is>
      </c>
      <c r="P390" t="inlineStr">
        <is>
          <t>Banten</t>
        </is>
      </c>
      <c r="Q390" t="inlineStr"/>
    </row>
    <row r="391">
      <c r="A391" t="inlineStr">
        <is>
          <t>MEGAH TAMA PERKASA</t>
        </is>
      </c>
      <c r="B391" t="inlineStr">
        <is>
          <t>Kab. Badung</t>
        </is>
      </c>
      <c r="C391" t="inlineStr">
        <is>
          <t>0361466076</t>
        </is>
      </c>
      <c r="D391" t="inlineStr">
        <is>
          <t>pt.megahtamaperkasa@yahoo.com</t>
        </is>
      </c>
      <c r="E391" t="inlineStr">
        <is>
          <t>https://lpjk.pu.go.id/search-badan-usaha-detail/azQwaVN6NGh2cGxkVmtITW10eEhudz09</t>
        </is>
      </c>
      <c r="F391" t="n">
        <v>2</v>
      </c>
      <c r="G391" t="inlineStr">
        <is>
          <t>BS001</t>
        </is>
      </c>
      <c r="H391" t="inlineStr">
        <is>
          <t>4 November 2015</t>
        </is>
      </c>
      <c r="I391" s="2" t="n">
        <v>46339</v>
      </c>
      <c r="J391" t="inlineStr">
        <is>
          <t>Disetujui</t>
        </is>
      </c>
      <c r="K391" t="n">
        <v>87</v>
      </c>
      <c r="L391" t="inlineStr">
        <is>
          <t>13 November 2026</t>
        </is>
      </c>
      <c r="M391" t="inlineStr">
        <is>
          <t>Konstruksi Bangunan Sipil Jalan</t>
        </is>
      </c>
      <c r="N391" t="inlineStr">
        <is>
          <t>K</t>
        </is>
      </c>
      <c r="O391" t="inlineStr">
        <is>
          <t>20231111</t>
        </is>
      </c>
      <c r="P391" t="inlineStr">
        <is>
          <t>Bali</t>
        </is>
      </c>
      <c r="Q391" t="inlineStr"/>
    </row>
    <row r="392">
      <c r="A392" t="inlineStr">
        <is>
          <t>MEKAR SARI</t>
        </is>
      </c>
      <c r="B392" t="inlineStr">
        <is>
          <t>Kab. Sidoarjo</t>
        </is>
      </c>
      <c r="C392" t="inlineStr">
        <is>
          <t>0318950345</t>
        </is>
      </c>
      <c r="D392" t="inlineStr">
        <is>
          <t>ms_grup@yahoo.com</t>
        </is>
      </c>
      <c r="E392" t="inlineStr">
        <is>
          <t>https://lpjk.pu.go.id/search-badan-usaha-detail/S3Y1VmpqbDBob2IrM2J0MlI1a0V1QT09</t>
        </is>
      </c>
      <c r="F392" t="n">
        <v>2</v>
      </c>
      <c r="G392" t="inlineStr">
        <is>
          <t>BG009</t>
        </is>
      </c>
      <c r="H392" t="inlineStr">
        <is>
          <t>28 Oktober 1987</t>
        </is>
      </c>
      <c r="I392" s="2" t="n">
        <v>46334</v>
      </c>
      <c r="J392" t="inlineStr">
        <is>
          <t>Disetujui</t>
        </is>
      </c>
      <c r="K392" t="n">
        <v>87</v>
      </c>
      <c r="L392" t="inlineStr">
        <is>
          <t>8 November 2026</t>
        </is>
      </c>
      <c r="M392" t="inlineStr">
        <is>
          <t>Konstruksi Gedung Lainnya</t>
        </is>
      </c>
      <c r="N392" t="inlineStr">
        <is>
          <t>K</t>
        </is>
      </c>
      <c r="O392" t="inlineStr">
        <is>
          <t>20231109</t>
        </is>
      </c>
      <c r="P392" t="inlineStr">
        <is>
          <t>Jawa Timur</t>
        </is>
      </c>
      <c r="Q392" t="inlineStr"/>
    </row>
    <row r="393">
      <c r="A393" t="inlineStr">
        <is>
          <t>MERLINDA</t>
        </is>
      </c>
      <c r="B393" t="inlineStr">
        <is>
          <t>Kab. Majalengka</t>
        </is>
      </c>
      <c r="C393" t="inlineStr">
        <is>
          <t>082119587004</t>
        </is>
      </c>
      <c r="D393" t="inlineStr">
        <is>
          <t>cv.merlinda@yahoo.com</t>
        </is>
      </c>
      <c r="E393" t="inlineStr">
        <is>
          <t>https://lpjk.pu.go.id/search-badan-usaha-detail/cTVwRTArSThwWVRGb3pWYzl2SDFDQT09</t>
        </is>
      </c>
      <c r="F393" t="n">
        <v>3</v>
      </c>
      <c r="G393" t="inlineStr">
        <is>
          <t>BS001, BS004, BS010</t>
        </is>
      </c>
      <c r="H393" t="inlineStr">
        <is>
          <t>19 November 2002</t>
        </is>
      </c>
      <c r="I393" s="2" t="n">
        <v>46336</v>
      </c>
      <c r="J393" t="inlineStr">
        <is>
          <t>Disetujui</t>
        </is>
      </c>
      <c r="K393" t="n">
        <v>87</v>
      </c>
      <c r="L393" t="inlineStr">
        <is>
          <t>10 November 2026</t>
        </is>
      </c>
      <c r="M393" t="inlineStr">
        <is>
          <t>Konstruksi Bangunan Prasarana Sumber Daya Air, Konstruksi Bangunan Sipil Jalan, Konstruksi Jaringan Irigasi dan Drainase</t>
        </is>
      </c>
      <c r="N393" t="inlineStr">
        <is>
          <t>K</t>
        </is>
      </c>
      <c r="O393" t="inlineStr">
        <is>
          <t>20231106</t>
        </is>
      </c>
      <c r="P393" t="inlineStr">
        <is>
          <t>Jawa Barat</t>
        </is>
      </c>
      <c r="Q393" t="inlineStr"/>
    </row>
    <row r="394">
      <c r="A394" t="inlineStr">
        <is>
          <t>MERLYNA AGUNG</t>
        </is>
      </c>
      <c r="B394" t="inlineStr">
        <is>
          <t>Kota Bandung</t>
        </is>
      </c>
      <c r="C394" t="inlineStr">
        <is>
          <t>087821007364</t>
        </is>
      </c>
      <c r="D394" t="inlineStr">
        <is>
          <t>cvmerlynaagungizin@yahoo.com</t>
        </is>
      </c>
      <c r="E394" t="inlineStr">
        <is>
          <t>https://lpjk.pu.go.id/search-badan-usaha-detail/VEhiWjk4eWNhZGtlaUM1MExSZ1lKUT09</t>
        </is>
      </c>
      <c r="F394" t="n">
        <v>4</v>
      </c>
      <c r="G394" t="inlineStr">
        <is>
          <t>BG009, BS001, BS004, PL005</t>
        </is>
      </c>
      <c r="H394" t="inlineStr">
        <is>
          <t>22 September 1989</t>
        </is>
      </c>
      <c r="I394" s="2" t="n">
        <v>46339</v>
      </c>
      <c r="J394" t="inlineStr">
        <is>
          <t>Disetujui</t>
        </is>
      </c>
      <c r="K394" t="n">
        <v>87</v>
      </c>
      <c r="L394" t="inlineStr">
        <is>
          <t>13 November 2026</t>
        </is>
      </c>
      <c r="M394" t="inlineStr">
        <is>
          <t>Konstruksi Bangunan Sipil Jalan, Konstruksi Gedung Lainnya, Konstruksi Jaringan Irigasi dan Drainase, Pembuatan/Pengeboran Sumur Air Tanah</t>
        </is>
      </c>
      <c r="N394" t="inlineStr">
        <is>
          <t>K, Spesialis</t>
        </is>
      </c>
      <c r="O394" t="inlineStr">
        <is>
          <t>20231110</t>
        </is>
      </c>
      <c r="P394" t="inlineStr">
        <is>
          <t>Jawa Barat</t>
        </is>
      </c>
      <c r="Q394" t="inlineStr"/>
    </row>
    <row r="395">
      <c r="A395" t="inlineStr">
        <is>
          <t>MILAN INTER JASA</t>
        </is>
      </c>
      <c r="B395" t="inlineStr">
        <is>
          <t>Kota Palembang</t>
        </is>
      </c>
      <c r="C395" t="inlineStr">
        <is>
          <t>089524617740</t>
        </is>
      </c>
      <c r="D395" t="inlineStr">
        <is>
          <t>milan.interjasa@gmail.com</t>
        </is>
      </c>
      <c r="E395" t="inlineStr">
        <is>
          <t>https://lpjk.pu.go.id/search-badan-usaha-detail/THQxc3NiOENOT3pzM1hWTlMwVVMvZz09</t>
        </is>
      </c>
      <c r="F395" t="n">
        <v>4</v>
      </c>
      <c r="G395" t="inlineStr">
        <is>
          <t>BG002, BG009</t>
        </is>
      </c>
      <c r="H395" t="inlineStr">
        <is>
          <t>3 Desember 2016</t>
        </is>
      </c>
      <c r="I395" s="2" t="n">
        <v>46338</v>
      </c>
      <c r="J395" t="inlineStr">
        <is>
          <t>Disetujui</t>
        </is>
      </c>
      <c r="K395" t="n">
        <v>87</v>
      </c>
      <c r="L395" t="inlineStr">
        <is>
          <t>12 November 2026</t>
        </is>
      </c>
      <c r="M395" t="inlineStr">
        <is>
          <t>Konstruksi Gedung Lainnya, Konstruksi Gedung Perkantoran</t>
        </is>
      </c>
      <c r="N395" t="inlineStr">
        <is>
          <t>K</t>
        </is>
      </c>
      <c r="O395" t="inlineStr">
        <is>
          <t>20231113</t>
        </is>
      </c>
      <c r="P395" t="inlineStr">
        <is>
          <t>Sumatera Selatan</t>
        </is>
      </c>
      <c r="Q395" t="inlineStr"/>
    </row>
    <row r="396">
      <c r="A396" t="inlineStr">
        <is>
          <t>MILIAN MUTIARA</t>
        </is>
      </c>
      <c r="B396" t="inlineStr">
        <is>
          <t>Kab. Garut</t>
        </is>
      </c>
      <c r="C396" t="inlineStr">
        <is>
          <t>081320961177</t>
        </is>
      </c>
      <c r="D396" t="inlineStr">
        <is>
          <t>sitianggiutari@gmail.com</t>
        </is>
      </c>
      <c r="E396" t="inlineStr">
        <is>
          <t>https://lpjk.pu.go.id/search-badan-usaha-detail/azIrVTlEcUlDUFlmMnRDUW11aEQrZz09</t>
        </is>
      </c>
      <c r="F396" t="n">
        <v>2</v>
      </c>
      <c r="G396" t="inlineStr">
        <is>
          <t>BS004</t>
        </is>
      </c>
      <c r="H396" t="inlineStr">
        <is>
          <t>11 Maret 2016</t>
        </is>
      </c>
      <c r="I396" s="2" t="n">
        <v>46339</v>
      </c>
      <c r="J396" t="inlineStr">
        <is>
          <t>Disetujui</t>
        </is>
      </c>
      <c r="K396" t="n">
        <v>87</v>
      </c>
      <c r="L396" t="inlineStr">
        <is>
          <t>13 November 2026</t>
        </is>
      </c>
      <c r="M396" t="inlineStr">
        <is>
          <t>Konstruksi Jaringan Irigasi dan Drainase</t>
        </is>
      </c>
      <c r="N396" t="inlineStr">
        <is>
          <t>K</t>
        </is>
      </c>
      <c r="O396" t="inlineStr">
        <is>
          <t>20231109</t>
        </is>
      </c>
      <c r="P396" t="inlineStr">
        <is>
          <t>Jawa Barat</t>
        </is>
      </c>
      <c r="Q396" t="inlineStr"/>
    </row>
    <row r="397">
      <c r="A397" t="inlineStr">
        <is>
          <t>MIRAI KAZOKU</t>
        </is>
      </c>
      <c r="B397" t="inlineStr">
        <is>
          <t>Kota Bontang</t>
        </is>
      </c>
      <c r="C397" t="inlineStr">
        <is>
          <t>081315634174</t>
        </is>
      </c>
      <c r="D397" t="inlineStr">
        <is>
          <t>miraikazoku.pt@gmail.com</t>
        </is>
      </c>
      <c r="E397" t="inlineStr">
        <is>
          <t>https://lpjk.pu.go.id/search-badan-usaha-detail/QUdlSjN3MGhtS1ptb1NOZlVwdnArQT09</t>
        </is>
      </c>
      <c r="F397" t="n">
        <v>2</v>
      </c>
      <c r="G397" t="inlineStr">
        <is>
          <t>IN004</t>
        </is>
      </c>
      <c r="H397" t="inlineStr">
        <is>
          <t>22 Februari 2012</t>
        </is>
      </c>
      <c r="I397" s="2" t="n">
        <v>46340</v>
      </c>
      <c r="J397" t="inlineStr">
        <is>
          <t>Pembekuan</t>
        </is>
      </c>
      <c r="K397" t="n">
        <v>87</v>
      </c>
      <c r="L397" t="inlineStr">
        <is>
          <t>14 November 2026</t>
        </is>
      </c>
      <c r="M397" t="inlineStr">
        <is>
          <t>Instalasi Minyak dan Gas</t>
        </is>
      </c>
      <c r="N397" t="inlineStr">
        <is>
          <t>Spesialis</t>
        </is>
      </c>
      <c r="O397" t="inlineStr">
        <is>
          <t>20231109</t>
        </is>
      </c>
      <c r="P397" t="inlineStr">
        <is>
          <t>Kalimantan Timur</t>
        </is>
      </c>
      <c r="Q397" t="inlineStr"/>
    </row>
    <row r="398">
      <c r="A398" t="inlineStr">
        <is>
          <t>MIRAI NO DEZIGN</t>
        </is>
      </c>
      <c r="B398" t="inlineStr">
        <is>
          <t>Kota Palu</t>
        </is>
      </c>
      <c r="C398" t="inlineStr">
        <is>
          <t>082296760160</t>
        </is>
      </c>
      <c r="D398" t="inlineStr">
        <is>
          <t>mirainodezign07@gmail.com</t>
        </is>
      </c>
      <c r="E398" t="inlineStr">
        <is>
          <t>https://lpjk.pu.go.id/search-badan-usaha-detail/eE9MZERKY3VWYW96TGV4UDhnS3Bidz09</t>
        </is>
      </c>
      <c r="F398" t="n">
        <v>4</v>
      </c>
      <c r="G398" t="inlineStr">
        <is>
          <t>AR001, AR002</t>
        </is>
      </c>
      <c r="H398" t="inlineStr">
        <is>
          <t>26 September 2023</t>
        </is>
      </c>
      <c r="I398" s="2" t="n">
        <v>46335</v>
      </c>
      <c r="J398" t="inlineStr">
        <is>
          <t>Disetujui</t>
        </is>
      </c>
      <c r="K398" t="n">
        <v>87</v>
      </c>
      <c r="L398" t="inlineStr">
        <is>
          <t>9 November 2026</t>
        </is>
      </c>
      <c r="M398" t="inlineStr">
        <is>
          <t>Jasa Arsitektural Bangunan Gedung Hunian dan Non Hunian, Jasa Arsitektural Lainnya</t>
        </is>
      </c>
      <c r="N398" t="inlineStr">
        <is>
          <t>K</t>
        </is>
      </c>
      <c r="O398" t="inlineStr">
        <is>
          <t>20231101</t>
        </is>
      </c>
      <c r="P398" t="inlineStr">
        <is>
          <t>Sulawesi Tengah</t>
        </is>
      </c>
      <c r="Q398" t="inlineStr"/>
    </row>
    <row r="399">
      <c r="A399" t="inlineStr">
        <is>
          <t>MITA MITA MANDIRI</t>
        </is>
      </c>
      <c r="B399" t="inlineStr">
        <is>
          <t>Kab. Kulon Progo</t>
        </is>
      </c>
      <c r="C399" t="inlineStr">
        <is>
          <t>082136786858</t>
        </is>
      </c>
      <c r="D399" t="inlineStr">
        <is>
          <t>mita2.mandiri@gmail.com</t>
        </is>
      </c>
      <c r="E399" t="inlineStr">
        <is>
          <t>https://lpjk.pu.go.id/search-badan-usaha-detail/L0FKNkdMczJ2alNxL0xySGIxZWdiUT09</t>
        </is>
      </c>
      <c r="F399" t="n">
        <v>4</v>
      </c>
      <c r="G399" t="inlineStr">
        <is>
          <t>BG006, BG009, BS001, BS004</t>
        </is>
      </c>
      <c r="H399" t="inlineStr">
        <is>
          <t>24 Mei 2011</t>
        </is>
      </c>
      <c r="I399" s="2" t="n">
        <v>46338</v>
      </c>
      <c r="J399" t="inlineStr">
        <is>
          <t>Disetujui</t>
        </is>
      </c>
      <c r="K399" t="n">
        <v>87</v>
      </c>
      <c r="L399" t="inlineStr">
        <is>
          <t>12 November 2026</t>
        </is>
      </c>
      <c r="M399" t="inlineStr">
        <is>
          <t>Konstruksi Bangunan Sipil Jalan, Konstruksi Gedung Lainnya, Konstruksi Gedung Pendidikan, Konstruksi Jaringan Irigasi dan Drainase</t>
        </is>
      </c>
      <c r="N399" t="inlineStr">
        <is>
          <t>K</t>
        </is>
      </c>
      <c r="O399" t="inlineStr">
        <is>
          <t>20231110, 20231114</t>
        </is>
      </c>
      <c r="P399" t="inlineStr">
        <is>
          <t>DI Yogyakarta</t>
        </is>
      </c>
      <c r="Q399" t="inlineStr"/>
    </row>
    <row r="400">
      <c r="A400" t="inlineStr">
        <is>
          <t>MITRA ARSINDO CONSULTANT</t>
        </is>
      </c>
      <c r="B400" t="inlineStr">
        <is>
          <t>Kota Banjarbaru</t>
        </is>
      </c>
      <c r="C400" t="inlineStr">
        <is>
          <t>081348379528</t>
        </is>
      </c>
      <c r="D400" t="inlineStr">
        <is>
          <t>mitraarsindo@yahoo.com</t>
        </is>
      </c>
      <c r="E400" t="inlineStr">
        <is>
          <t>https://lpjk.pu.go.id/search-badan-usaha-detail/cWJYeEZkWFJ5cmE0YjlvY1pBOUlzdz09</t>
        </is>
      </c>
      <c r="F400" t="n">
        <v>2</v>
      </c>
      <c r="G400" t="inlineStr">
        <is>
          <t>RK002, RK003</t>
        </is>
      </c>
      <c r="H400" t="inlineStr">
        <is>
          <t>25 April 2016</t>
        </is>
      </c>
      <c r="I400" s="2" t="n">
        <v>46334</v>
      </c>
      <c r="J400" t="inlineStr">
        <is>
          <t>Disetujui</t>
        </is>
      </c>
      <c r="K400" t="n">
        <v>87</v>
      </c>
      <c r="L400" t="inlineStr">
        <is>
          <t>8 November 2026</t>
        </is>
      </c>
      <c r="M400" t="inlineStr">
        <is>
          <t>Jasa Rekayasa Pekerjaan Teknik Sipil Sumber Daya Air, Jasa Rekayasa Pekerjaan Teknik Sipil Transportasi</t>
        </is>
      </c>
      <c r="N400" t="inlineStr">
        <is>
          <t>K</t>
        </is>
      </c>
      <c r="O400" t="inlineStr">
        <is>
          <t>20231019</t>
        </is>
      </c>
      <c r="P400" t="inlineStr">
        <is>
          <t>Kalimantan Selatan</t>
        </is>
      </c>
      <c r="Q400" t="inlineStr"/>
    </row>
    <row r="401">
      <c r="A401" t="inlineStr">
        <is>
          <t>MITRA BONANZA</t>
        </is>
      </c>
      <c r="B401" t="inlineStr">
        <is>
          <t>Kota Banjarmasin</t>
        </is>
      </c>
      <c r="C401" t="inlineStr">
        <is>
          <t>081349667273</t>
        </is>
      </c>
      <c r="D401" t="inlineStr">
        <is>
          <t>mitrabonanza@gmail.com</t>
        </is>
      </c>
      <c r="E401" t="inlineStr">
        <is>
          <t>https://lpjk.pu.go.id/search-badan-usaha-detail/bERYY1pjZ0JmcjZhTnF0ZWhQY2VBdz09</t>
        </is>
      </c>
      <c r="F401" t="n">
        <v>2</v>
      </c>
      <c r="G401" t="inlineStr">
        <is>
          <t>BG009, BS001</t>
        </is>
      </c>
      <c r="H401" t="inlineStr">
        <is>
          <t>11 Mei 2001</t>
        </is>
      </c>
      <c r="I401" s="2" t="n">
        <v>46339</v>
      </c>
      <c r="J401" t="inlineStr">
        <is>
          <t>Pencabutan</t>
        </is>
      </c>
      <c r="K401" t="n">
        <v>87</v>
      </c>
      <c r="L401" t="inlineStr">
        <is>
          <t>13 November 2026</t>
        </is>
      </c>
      <c r="M401" t="inlineStr">
        <is>
          <t>Konstruksi Bangunan Sipil Jalan, Konstruksi Gedung Lainnya</t>
        </is>
      </c>
      <c r="N401" t="inlineStr">
        <is>
          <t>K</t>
        </is>
      </c>
      <c r="O401" t="inlineStr">
        <is>
          <t>20231111, 20231114</t>
        </is>
      </c>
      <c r="P401" t="inlineStr">
        <is>
          <t>Kalimantan Selatan</t>
        </is>
      </c>
      <c r="Q401" t="inlineStr"/>
    </row>
    <row r="402">
      <c r="A402" t="inlineStr">
        <is>
          <t>MITRA CEKATAN SOLUSINDO</t>
        </is>
      </c>
      <c r="B402" t="inlineStr">
        <is>
          <t>Kota Salatiga</t>
        </is>
      </c>
      <c r="C402" t="inlineStr">
        <is>
          <t>082322226084</t>
        </is>
      </c>
      <c r="D402" t="inlineStr">
        <is>
          <t>mitracekatansolusindo@gmail.com</t>
        </is>
      </c>
      <c r="E402" t="inlineStr">
        <is>
          <t>https://lpjk.pu.go.id/search-badan-usaha-detail/VUFYcnNvZlVmU0UydkZOVXlOWU9wQT09</t>
        </is>
      </c>
      <c r="F402" t="n">
        <v>1</v>
      </c>
      <c r="G402" t="inlineStr">
        <is>
          <t>BS001</t>
        </is>
      </c>
      <c r="H402" t="inlineStr">
        <is>
          <t>18 Juli 2023</t>
        </is>
      </c>
      <c r="I402" s="2" t="n">
        <v>46335</v>
      </c>
      <c r="J402" t="inlineStr">
        <is>
          <t>Disetujui</t>
        </is>
      </c>
      <c r="K402" t="n">
        <v>87</v>
      </c>
      <c r="L402" t="inlineStr">
        <is>
          <t>9 November 2026</t>
        </is>
      </c>
      <c r="M402" t="inlineStr">
        <is>
          <t>Konstruksi Bangunan Sipil Jalan</t>
        </is>
      </c>
      <c r="N402" t="inlineStr">
        <is>
          <t>K</t>
        </is>
      </c>
      <c r="O402" t="inlineStr">
        <is>
          <t>20231106</t>
        </is>
      </c>
      <c r="P402" t="inlineStr">
        <is>
          <t>Jawa Tengah</t>
        </is>
      </c>
      <c r="Q402" t="inlineStr"/>
    </row>
    <row r="403">
      <c r="A403" t="inlineStr">
        <is>
          <t>MITRA INTI BANGKIT UNDAGI</t>
        </is>
      </c>
      <c r="B403" t="inlineStr">
        <is>
          <t>Kota Adm. Jakarta Utara</t>
        </is>
      </c>
      <c r="C403" t="inlineStr">
        <is>
          <t>085888877825</t>
        </is>
      </c>
      <c r="D403" t="inlineStr">
        <is>
          <t>mibu.sipil@gmail.com</t>
        </is>
      </c>
      <c r="E403" t="inlineStr">
        <is>
          <t>https://lpjk.pu.go.id/search-badan-usaha-detail/aDdReEVVWldZdi9RK2JIa2llb2lJdz09</t>
        </is>
      </c>
      <c r="F403" t="n">
        <v>1</v>
      </c>
      <c r="G403" t="inlineStr">
        <is>
          <t>RK001</t>
        </is>
      </c>
      <c r="H403" t="inlineStr">
        <is>
          <t>14 September 2023</t>
        </is>
      </c>
      <c r="I403" s="2" t="n">
        <v>46338</v>
      </c>
      <c r="J403" t="inlineStr">
        <is>
          <t>Disetujui</t>
        </is>
      </c>
      <c r="K403" t="n">
        <v>87</v>
      </c>
      <c r="L403" t="inlineStr">
        <is>
          <t>12 November 2026</t>
        </is>
      </c>
      <c r="M403" t="inlineStr">
        <is>
          <t>Jasa Rekayasa Konstruksi Bangunan Gedung Hunian dan Non Hunian</t>
        </is>
      </c>
      <c r="N403" t="inlineStr">
        <is>
          <t>K</t>
        </is>
      </c>
      <c r="O403" t="inlineStr">
        <is>
          <t>20231019</t>
        </is>
      </c>
      <c r="P403" t="inlineStr">
        <is>
          <t>DKI Jakarta</t>
        </is>
      </c>
      <c r="Q403" t="inlineStr"/>
    </row>
    <row r="404">
      <c r="A404" t="inlineStr">
        <is>
          <t>MITRA KITA UTAMA</t>
        </is>
      </c>
      <c r="B404" t="inlineStr">
        <is>
          <t>Kab. Asahan</t>
        </is>
      </c>
      <c r="C404" t="inlineStr">
        <is>
          <t>081315555152</t>
        </is>
      </c>
      <c r="D404" t="inlineStr">
        <is>
          <t>cv.mitrakitautama.consultant@gmail.com</t>
        </is>
      </c>
      <c r="E404" t="inlineStr">
        <is>
          <t>https://lpjk.pu.go.id/search-badan-usaha-detail/SUNDL2lOdDU1M1FFb3RVUDBRVHV5dz09</t>
        </is>
      </c>
      <c r="F404" t="n">
        <v>3</v>
      </c>
      <c r="G404" t="inlineStr">
        <is>
          <t>BG005, BG006, BS001</t>
        </is>
      </c>
      <c r="H404" t="inlineStr">
        <is>
          <t>22 Juni 2012</t>
        </is>
      </c>
      <c r="I404" s="2" t="n">
        <v>46337</v>
      </c>
      <c r="J404" t="inlineStr">
        <is>
          <t>Disetujui</t>
        </is>
      </c>
      <c r="K404" t="n">
        <v>87</v>
      </c>
      <c r="L404" t="inlineStr">
        <is>
          <t>11 November 2026</t>
        </is>
      </c>
      <c r="M404" t="inlineStr">
        <is>
          <t>Konstruksi Bangunan Sipil Jalan, Konstruksi Gedung Kesehatan, Konstruksi Gedung Pendidikan</t>
        </is>
      </c>
      <c r="N404" t="inlineStr">
        <is>
          <t>K</t>
        </is>
      </c>
      <c r="O404" t="inlineStr">
        <is>
          <t>20231108, 20231110, 20231111</t>
        </is>
      </c>
      <c r="P404" t="inlineStr">
        <is>
          <t>Sumatera Utara</t>
        </is>
      </c>
      <c r="Q404" t="inlineStr"/>
    </row>
    <row r="405">
      <c r="A405" t="inlineStr">
        <is>
          <t>MITRA PEMBANGUNAN</t>
        </is>
      </c>
      <c r="B405" t="inlineStr">
        <is>
          <t>Kota Pekanbaru</t>
        </is>
      </c>
      <c r="C405" t="inlineStr">
        <is>
          <t>085278783780</t>
        </is>
      </c>
      <c r="D405" t="inlineStr">
        <is>
          <t>mitrapembangunanriau@yahoo.com</t>
        </is>
      </c>
      <c r="E405" t="inlineStr">
        <is>
          <t>https://lpjk.pu.go.id/search-badan-usaha-detail/d21QWmEwTEFqNldwbEZGR1pIcWhmUT09</t>
        </is>
      </c>
      <c r="F405" t="n">
        <v>4</v>
      </c>
      <c r="G405" t="inlineStr">
        <is>
          <t>BG002, BG003, BG005, BG006</t>
        </is>
      </c>
      <c r="H405" t="inlineStr">
        <is>
          <t>11 Januari 2011</t>
        </is>
      </c>
      <c r="I405" s="2" t="n">
        <v>46340</v>
      </c>
      <c r="J405" t="inlineStr">
        <is>
          <t>Disetujui</t>
        </is>
      </c>
      <c r="K405" t="n">
        <v>87</v>
      </c>
      <c r="L405" t="inlineStr">
        <is>
          <t>14 November 2026</t>
        </is>
      </c>
      <c r="M405" t="inlineStr">
        <is>
          <t>Konstruksi Gedung Industri, Konstruksi Gedung Kesehatan, Konstruksi Gedung Pendidikan, Konstruksi Gedung Perkantoran</t>
        </is>
      </c>
      <c r="N405" t="inlineStr">
        <is>
          <t>K</t>
        </is>
      </c>
      <c r="O405" t="inlineStr">
        <is>
          <t>20231113</t>
        </is>
      </c>
      <c r="P405" t="inlineStr">
        <is>
          <t>Riau</t>
        </is>
      </c>
      <c r="Q405" t="inlineStr"/>
    </row>
    <row r="406">
      <c r="A406" t="inlineStr">
        <is>
          <t>MITRA RAZULKA SAKTI</t>
        </is>
      </c>
      <c r="B406" t="inlineStr">
        <is>
          <t>Kota Pasuruan</t>
        </is>
      </c>
      <c r="C406" t="inlineStr">
        <is>
          <t>081336162777</t>
        </is>
      </c>
      <c r="D406" t="inlineStr">
        <is>
          <t>a@gmail.com</t>
        </is>
      </c>
      <c r="E406" t="inlineStr">
        <is>
          <t>https://lpjk.pu.go.id/search-badan-usaha-detail/R1NNbWNnSDJXWk1TR1o5ZlMycUtGZz09</t>
        </is>
      </c>
      <c r="F406" t="n">
        <v>1</v>
      </c>
      <c r="G406" t="inlineStr">
        <is>
          <t>BS001</t>
        </is>
      </c>
      <c r="H406" t="inlineStr">
        <is>
          <t>23 Februari 2019</t>
        </is>
      </c>
      <c r="I406" s="2" t="n">
        <v>46337</v>
      </c>
      <c r="J406" t="inlineStr">
        <is>
          <t>Disetujui</t>
        </is>
      </c>
      <c r="K406" t="n">
        <v>87</v>
      </c>
      <c r="L406" t="inlineStr">
        <is>
          <t>11 November 2026</t>
        </is>
      </c>
      <c r="M406" t="inlineStr">
        <is>
          <t>Konstruksi Bangunan Sipil Jalan</t>
        </is>
      </c>
      <c r="N406" t="inlineStr">
        <is>
          <t>K</t>
        </is>
      </c>
      <c r="O406" t="inlineStr">
        <is>
          <t>20231110</t>
        </is>
      </c>
      <c r="P406" t="inlineStr">
        <is>
          <t>Jawa Timur</t>
        </is>
      </c>
      <c r="Q406" t="inlineStr"/>
    </row>
    <row r="407">
      <c r="A407" t="inlineStr">
        <is>
          <t>MITRA SOLUSI BERKAH</t>
        </is>
      </c>
      <c r="B407" t="inlineStr">
        <is>
          <t>Kota Surabaya</t>
        </is>
      </c>
      <c r="C407" t="inlineStr">
        <is>
          <t>082336238805</t>
        </is>
      </c>
      <c r="D407" t="inlineStr">
        <is>
          <t>cv.mitrasolusiberkah@gmail.com</t>
        </is>
      </c>
      <c r="E407" t="inlineStr">
        <is>
          <t>https://lpjk.pu.go.id/search-badan-usaha-detail/UkY4ZkhURHJDQ0RGRGtPKzNLYXJRZz09</t>
        </is>
      </c>
      <c r="F407" t="n">
        <v>3</v>
      </c>
      <c r="G407" t="inlineStr">
        <is>
          <t>AR001, RK001, RK004</t>
        </is>
      </c>
      <c r="H407" t="inlineStr">
        <is>
          <t>27 Juli 2016</t>
        </is>
      </c>
      <c r="I407" s="2" t="n">
        <v>46335</v>
      </c>
      <c r="J407" t="inlineStr">
        <is>
          <t>Disetujui</t>
        </is>
      </c>
      <c r="K407" t="n">
        <v>87</v>
      </c>
      <c r="L407" t="inlineStr">
        <is>
          <t>9 November 2026</t>
        </is>
      </c>
      <c r="M407" t="inlineStr">
        <is>
          <t>Jasa Arsitektural Bangunan Gedung Hunian dan Non Hunian, Jasa Rekayasa Konstruksi Bangunan Gedung Hunian dan Non Hunian, Jasa Rekayasa Pekerjaan Mekanikal Dalam Bangunan</t>
        </is>
      </c>
      <c r="N407" t="inlineStr">
        <is>
          <t>K</t>
        </is>
      </c>
      <c r="O407" t="inlineStr">
        <is>
          <t>20231102</t>
        </is>
      </c>
      <c r="P407" t="inlineStr">
        <is>
          <t>Jawa Timur</t>
        </is>
      </c>
      <c r="Q407" t="inlineStr"/>
    </row>
    <row r="408">
      <c r="A408" t="inlineStr">
        <is>
          <t>MITRA TIRTA RAYA</t>
        </is>
      </c>
      <c r="B408" t="inlineStr">
        <is>
          <t>Kota Makassar</t>
        </is>
      </c>
      <c r="C408" t="inlineStr">
        <is>
          <t>081222487287</t>
        </is>
      </c>
      <c r="D408" t="inlineStr">
        <is>
          <t>mitratirtaraya@gmail.com</t>
        </is>
      </c>
      <c r="E408" t="inlineStr">
        <is>
          <t>https://lpjk.pu.go.id/search-badan-usaha-detail/SVkyY3lSaFk5TStQcFdKUUdkQUZvQT09</t>
        </is>
      </c>
      <c r="F408" t="n">
        <v>1</v>
      </c>
      <c r="G408" t="inlineStr">
        <is>
          <t>BS011</t>
        </is>
      </c>
      <c r="H408" t="inlineStr">
        <is>
          <t>27 Oktober 2020</t>
        </is>
      </c>
      <c r="I408" s="2" t="n">
        <v>46335</v>
      </c>
      <c r="J408" t="inlineStr">
        <is>
          <t>Pembekuan</t>
        </is>
      </c>
      <c r="K408" t="n">
        <v>87</v>
      </c>
      <c r="L408" t="inlineStr">
        <is>
          <t>9 November 2026</t>
        </is>
      </c>
      <c r="M408" t="inlineStr">
        <is>
          <t>Konstruksi Bangunan Pelabuhan Bukan Perikanan</t>
        </is>
      </c>
      <c r="N408" t="inlineStr">
        <is>
          <t>M</t>
        </is>
      </c>
      <c r="O408" t="inlineStr">
        <is>
          <t>20231102</t>
        </is>
      </c>
      <c r="P408" t="inlineStr">
        <is>
          <t>Sulawesi Selatan</t>
        </is>
      </c>
      <c r="Q408" t="inlineStr"/>
    </row>
    <row r="409">
      <c r="A409" t="inlineStr">
        <is>
          <t>MITRA UTAMA</t>
        </is>
      </c>
      <c r="B409" t="inlineStr">
        <is>
          <t>Kota Banjarbaru</t>
        </is>
      </c>
      <c r="C409" t="inlineStr">
        <is>
          <t>08115128117</t>
        </is>
      </c>
      <c r="D409" t="inlineStr">
        <is>
          <t>cvmitrautamabudhi@gmail.com</t>
        </is>
      </c>
      <c r="E409" t="inlineStr">
        <is>
          <t>https://lpjk.pu.go.id/search-badan-usaha-detail/bWd6cnF1N284MHgvY0dPYmZXUVVSdz09</t>
        </is>
      </c>
      <c r="F409" t="n">
        <v>1</v>
      </c>
      <c r="G409" t="inlineStr">
        <is>
          <t>BG006</t>
        </is>
      </c>
      <c r="H409" t="inlineStr">
        <is>
          <t>3 Maret 1999</t>
        </is>
      </c>
      <c r="I409" s="2" t="n">
        <v>46339</v>
      </c>
      <c r="J409" t="inlineStr">
        <is>
          <t>Disetujui</t>
        </is>
      </c>
      <c r="K409" t="n">
        <v>87</v>
      </c>
      <c r="L409" t="inlineStr">
        <is>
          <t>13 November 2026</t>
        </is>
      </c>
      <c r="M409" t="inlineStr">
        <is>
          <t>Konstruksi Gedung Pendidikan</t>
        </is>
      </c>
      <c r="N409" t="inlineStr">
        <is>
          <t>K</t>
        </is>
      </c>
      <c r="O409" t="inlineStr">
        <is>
          <t>20231106</t>
        </is>
      </c>
      <c r="P409" t="inlineStr">
        <is>
          <t>Kalimantan Selatan</t>
        </is>
      </c>
      <c r="Q409" t="inlineStr"/>
    </row>
    <row r="410">
      <c r="A410" t="inlineStr">
        <is>
          <t>MITRA UTAMA ESTUARI</t>
        </is>
      </c>
      <c r="B410" t="inlineStr">
        <is>
          <t>Kota Pekanbaru</t>
        </is>
      </c>
      <c r="C410" t="inlineStr">
        <is>
          <t>085322103531</t>
        </is>
      </c>
      <c r="D410" t="inlineStr">
        <is>
          <t>mtkons.utama@yahoo.com</t>
        </is>
      </c>
      <c r="E410" t="inlineStr">
        <is>
          <t>https://lpjk.pu.go.id/search-badan-usaha-detail/ZCtRdmxsYlFEdyszVVgrbUlWWVNJZz09</t>
        </is>
      </c>
      <c r="F410" t="n">
        <v>1</v>
      </c>
      <c r="G410" t="inlineStr">
        <is>
          <t>RK001</t>
        </is>
      </c>
      <c r="H410" t="inlineStr">
        <is>
          <t>11 September 2003</t>
        </is>
      </c>
      <c r="I410" s="2" t="n">
        <v>46340</v>
      </c>
      <c r="J410" t="inlineStr">
        <is>
          <t>Disetujui</t>
        </is>
      </c>
      <c r="K410" t="n">
        <v>87</v>
      </c>
      <c r="L410" t="inlineStr">
        <is>
          <t>14 November 2026</t>
        </is>
      </c>
      <c r="M410" t="inlineStr">
        <is>
          <t>Jasa Rekayasa Konstruksi Bangunan Gedung Hunian dan Non Hunian</t>
        </is>
      </c>
      <c r="N410" t="inlineStr">
        <is>
          <t>K</t>
        </is>
      </c>
      <c r="O410" t="inlineStr">
        <is>
          <t>20231103</t>
        </is>
      </c>
      <c r="P410" t="inlineStr">
        <is>
          <t>Riau</t>
        </is>
      </c>
      <c r="Q410" t="inlineStr"/>
    </row>
    <row r="411">
      <c r="A411" t="inlineStr">
        <is>
          <t>MODERN SURYA JAYA</t>
        </is>
      </c>
      <c r="B411" t="inlineStr">
        <is>
          <t>Kota Surabaya</t>
        </is>
      </c>
      <c r="C411" t="inlineStr">
        <is>
          <t>0318413366</t>
        </is>
      </c>
      <c r="D411" t="inlineStr">
        <is>
          <t>msj_sub@yahoo.co.id</t>
        </is>
      </c>
      <c r="E411" t="inlineStr">
        <is>
          <t>https://lpjk.pu.go.id/search-badan-usaha-detail/dnFIZTVGejRDV3kxQ1FJd3pOSndRdz09</t>
        </is>
      </c>
      <c r="F411" t="n">
        <v>1</v>
      </c>
      <c r="G411" t="inlineStr">
        <is>
          <t>BS002</t>
        </is>
      </c>
      <c r="H411" t="inlineStr">
        <is>
          <t>20 November 1976</t>
        </is>
      </c>
      <c r="I411" s="2" t="n">
        <v>46334</v>
      </c>
      <c r="J411" t="inlineStr">
        <is>
          <t>Disetujui</t>
        </is>
      </c>
      <c r="K411" t="n">
        <v>87</v>
      </c>
      <c r="L411" t="inlineStr">
        <is>
          <t>8 November 2026</t>
        </is>
      </c>
      <c r="M411" t="inlineStr">
        <is>
          <t>Bangunan Sipil Jembatan, Jalan Layang, Fly Over, dan Underpass</t>
        </is>
      </c>
      <c r="N411" t="inlineStr">
        <is>
          <t>B</t>
        </is>
      </c>
      <c r="O411" t="inlineStr">
        <is>
          <t>20231103</t>
        </is>
      </c>
      <c r="P411" t="inlineStr">
        <is>
          <t>Jawa Timur</t>
        </is>
      </c>
      <c r="Q411" t="inlineStr"/>
    </row>
    <row r="412">
      <c r="A412" t="inlineStr">
        <is>
          <t>MOJO JOYO</t>
        </is>
      </c>
      <c r="B412" t="inlineStr">
        <is>
          <t>Kab. Bulungan</t>
        </is>
      </c>
      <c r="C412" t="inlineStr">
        <is>
          <t>082251520947</t>
        </is>
      </c>
      <c r="D412" t="inlineStr">
        <is>
          <t>mojojoyo1010@gmail.com</t>
        </is>
      </c>
      <c r="E412" t="inlineStr">
        <is>
          <t>https://lpjk.pu.go.id/search-badan-usaha-detail/ZkJkSTd5c2pIdkRMY2pNRzg2RC9uZz09</t>
        </is>
      </c>
      <c r="F412" t="n">
        <v>1</v>
      </c>
      <c r="G412" t="inlineStr">
        <is>
          <t>BS002</t>
        </is>
      </c>
      <c r="H412" t="inlineStr">
        <is>
          <t>10 Oktober 2023</t>
        </is>
      </c>
      <c r="I412" s="2" t="n">
        <v>46334</v>
      </c>
      <c r="J412" t="inlineStr">
        <is>
          <t>Disetujui</t>
        </is>
      </c>
      <c r="K412" t="n">
        <v>87</v>
      </c>
      <c r="L412" t="inlineStr">
        <is>
          <t>8 November 2026</t>
        </is>
      </c>
      <c r="M412" t="inlineStr">
        <is>
          <t>Bangunan Sipil Jembatan, Jalan Layang, Fly Over, dan Underpass</t>
        </is>
      </c>
      <c r="N412" t="inlineStr">
        <is>
          <t>K</t>
        </is>
      </c>
      <c r="O412" t="inlineStr">
        <is>
          <t>20231107</t>
        </is>
      </c>
      <c r="P412" t="inlineStr">
        <is>
          <t>Kalimantan Utara</t>
        </is>
      </c>
      <c r="Q412" t="inlineStr"/>
    </row>
    <row r="413">
      <c r="A413" t="inlineStr">
        <is>
          <t>MUKTI MAHAKA UTAMA</t>
        </is>
      </c>
      <c r="B413" t="inlineStr">
        <is>
          <t>Kab. Tangerang</t>
        </is>
      </c>
      <c r="C413" t="inlineStr">
        <is>
          <t>081389869369</t>
        </is>
      </c>
      <c r="D413" t="inlineStr">
        <is>
          <t>ptmuktimahakautama@gmail.com</t>
        </is>
      </c>
      <c r="E413" t="inlineStr">
        <is>
          <t>https://lpjk.pu.go.id/search-badan-usaha-detail/VSs4bm9HN0xPdEVGNmdsYVRVZGVTQT09</t>
        </is>
      </c>
      <c r="F413" t="n">
        <v>3</v>
      </c>
      <c r="G413" t="inlineStr">
        <is>
          <t>BG009, BS001, BS004</t>
        </is>
      </c>
      <c r="H413" t="inlineStr">
        <is>
          <t>15 November 2022</t>
        </is>
      </c>
      <c r="I413" s="2" t="n">
        <v>46340</v>
      </c>
      <c r="J413" t="inlineStr">
        <is>
          <t>Pencabutan</t>
        </is>
      </c>
      <c r="K413" t="n">
        <v>87</v>
      </c>
      <c r="L413" t="inlineStr">
        <is>
          <t>14 November 2026</t>
        </is>
      </c>
      <c r="M413" t="inlineStr">
        <is>
          <t>Konstruksi Bangunan Sipil Jalan, Konstruksi Gedung Lainnya, Konstruksi Jaringan Irigasi dan Drainase</t>
        </is>
      </c>
      <c r="N413" t="inlineStr">
        <is>
          <t>K</t>
        </is>
      </c>
      <c r="O413" t="inlineStr">
        <is>
          <t>20231109, 20231110</t>
        </is>
      </c>
      <c r="P413" t="inlineStr">
        <is>
          <t>Banten</t>
        </is>
      </c>
      <c r="Q413" t="inlineStr"/>
    </row>
    <row r="414">
      <c r="A414" t="inlineStr">
        <is>
          <t>MULTI CIPTA ANUGRAH</t>
        </is>
      </c>
      <c r="B414" t="inlineStr">
        <is>
          <t>Kota Malang</t>
        </is>
      </c>
      <c r="C414" t="inlineStr">
        <is>
          <t>0341717305</t>
        </is>
      </c>
      <c r="D414" t="inlineStr">
        <is>
          <t>denimulyono@rocketmail.com</t>
        </is>
      </c>
      <c r="E414" t="inlineStr">
        <is>
          <t>https://lpjk.pu.go.id/search-badan-usaha-detail/L3hTa2FTS05OS2IwSktkSlhOVSt3QT09</t>
        </is>
      </c>
      <c r="F414" t="n">
        <v>1</v>
      </c>
      <c r="G414" t="inlineStr">
        <is>
          <t>BS010</t>
        </is>
      </c>
      <c r="H414" t="inlineStr">
        <is>
          <t>4 September 2000</t>
        </is>
      </c>
      <c r="I414" s="2" t="n">
        <v>46336</v>
      </c>
      <c r="J414" t="inlineStr">
        <is>
          <t>Disetujui</t>
        </is>
      </c>
      <c r="K414" t="n">
        <v>87</v>
      </c>
      <c r="L414" t="inlineStr">
        <is>
          <t>10 November 2026</t>
        </is>
      </c>
      <c r="M414" t="inlineStr">
        <is>
          <t>Konstruksi Bangunan Prasarana Sumber Daya Air</t>
        </is>
      </c>
      <c r="N414" t="inlineStr">
        <is>
          <t>K</t>
        </is>
      </c>
      <c r="O414" t="inlineStr">
        <is>
          <t>20230321</t>
        </is>
      </c>
      <c r="P414" t="inlineStr">
        <is>
          <t>Jawa Timur</t>
        </is>
      </c>
      <c r="Q414" t="inlineStr"/>
    </row>
    <row r="415">
      <c r="A415" t="inlineStr">
        <is>
          <t>MULTI KARYA PRIMAS MANDIRI</t>
        </is>
      </c>
      <c r="B415" t="inlineStr">
        <is>
          <t>Kota Palangkaraya</t>
        </is>
      </c>
      <c r="C415" t="inlineStr">
        <is>
          <t>081254153139</t>
        </is>
      </c>
      <c r="D415" t="inlineStr">
        <is>
          <t>ptkarya_primas@yahoo.co.id</t>
        </is>
      </c>
      <c r="E415" t="inlineStr">
        <is>
          <t>https://lpjk.pu.go.id/search-badan-usaha-detail/Y2RhcHlVYkczVnRuN2pweEpjTFNCZz09</t>
        </is>
      </c>
      <c r="F415" t="n">
        <v>1</v>
      </c>
      <c r="G415" t="inlineStr">
        <is>
          <t>BS001</t>
        </is>
      </c>
      <c r="H415" t="inlineStr">
        <is>
          <t>6 Januari 2006</t>
        </is>
      </c>
      <c r="I415" s="2" t="n">
        <v>46340</v>
      </c>
      <c r="J415" t="inlineStr">
        <is>
          <t>Pembekuan</t>
        </is>
      </c>
      <c r="K415" t="n">
        <v>87</v>
      </c>
      <c r="L415" t="inlineStr">
        <is>
          <t>14 November 2026</t>
        </is>
      </c>
      <c r="M415" t="inlineStr">
        <is>
          <t>Konstruksi Bangunan Sipil Jalan</t>
        </is>
      </c>
      <c r="N415" t="inlineStr">
        <is>
          <t>M</t>
        </is>
      </c>
      <c r="O415" t="inlineStr">
        <is>
          <t>20231113</t>
        </is>
      </c>
      <c r="P415" t="inlineStr">
        <is>
          <t>Kalimantan Tengah</t>
        </is>
      </c>
      <c r="Q415" t="inlineStr"/>
    </row>
    <row r="416">
      <c r="A416" t="inlineStr">
        <is>
          <t>MULTIREKA PRIMA UTAMA</t>
        </is>
      </c>
      <c r="B416" t="inlineStr">
        <is>
          <t>Kota Bandung</t>
        </is>
      </c>
      <c r="C416" t="inlineStr">
        <is>
          <t>0227512020</t>
        </is>
      </c>
      <c r="D416" t="inlineStr">
        <is>
          <t>adm@multireka.com</t>
        </is>
      </c>
      <c r="E416" t="inlineStr">
        <is>
          <t>https://lpjk.pu.go.id/search-badan-usaha-detail/cmVNc1dWQVZpNEZSaGNPcXhNb1hNUT09</t>
        </is>
      </c>
      <c r="F416" t="n">
        <v>1</v>
      </c>
      <c r="G416" t="inlineStr">
        <is>
          <t>BS009</t>
        </is>
      </c>
      <c r="H416" t="inlineStr">
        <is>
          <t>7 Februari 2000</t>
        </is>
      </c>
      <c r="I416" s="2" t="n">
        <v>46338</v>
      </c>
      <c r="J416" t="inlineStr">
        <is>
          <t>Disetujui</t>
        </is>
      </c>
      <c r="K416" t="n">
        <v>87</v>
      </c>
      <c r="L416" t="inlineStr">
        <is>
          <t>12 November 2026</t>
        </is>
      </c>
      <c r="M416" t="inlineStr">
        <is>
          <t>Konstruksi Sentral Telekomunikasi</t>
        </is>
      </c>
      <c r="N416" t="inlineStr">
        <is>
          <t>M</t>
        </is>
      </c>
      <c r="O416" t="inlineStr">
        <is>
          <t>20231107</t>
        </is>
      </c>
      <c r="P416" t="inlineStr">
        <is>
          <t>Jawa Barat</t>
        </is>
      </c>
      <c r="Q416" t="inlineStr"/>
    </row>
    <row r="417">
      <c r="A417" t="inlineStr">
        <is>
          <t>MULYA INDAH JAYA</t>
        </is>
      </c>
      <c r="B417" t="inlineStr">
        <is>
          <t>Kab. Tuban</t>
        </is>
      </c>
      <c r="C417" t="inlineStr">
        <is>
          <t>-</t>
        </is>
      </c>
      <c r="D417" t="inlineStr">
        <is>
          <t>mulyaindahjaya800@gmail.com</t>
        </is>
      </c>
      <c r="E417" t="inlineStr">
        <is>
          <t>https://lpjk.pu.go.id/search-badan-usaha-detail/bEZtWUhvM21FOG5vNEVYU05TY2U4dz09</t>
        </is>
      </c>
      <c r="F417" t="n">
        <v>1</v>
      </c>
      <c r="G417" t="inlineStr">
        <is>
          <t>BG003</t>
        </is>
      </c>
      <c r="H417" t="inlineStr">
        <is>
          <t>10 November 2021</t>
        </is>
      </c>
      <c r="I417" s="2" t="n">
        <v>46337</v>
      </c>
      <c r="J417" t="inlineStr">
        <is>
          <t>Pencabutan</t>
        </is>
      </c>
      <c r="K417" t="n">
        <v>87</v>
      </c>
      <c r="L417" t="inlineStr">
        <is>
          <t>11 November 2026</t>
        </is>
      </c>
      <c r="M417" t="inlineStr">
        <is>
          <t>Konstruksi Gedung Industri</t>
        </is>
      </c>
      <c r="N417" t="inlineStr">
        <is>
          <t>K</t>
        </is>
      </c>
      <c r="O417" t="inlineStr">
        <is>
          <t>20231107</t>
        </is>
      </c>
      <c r="P417" t="inlineStr">
        <is>
          <t>Jawa Timur</t>
        </is>
      </c>
      <c r="Q417" t="inlineStr"/>
    </row>
    <row r="418">
      <c r="A418" t="inlineStr">
        <is>
          <t>MUTIARA KARYA FAMILY</t>
        </is>
      </c>
      <c r="B418" t="inlineStr">
        <is>
          <t>Kab. Maluku Tengah</t>
        </is>
      </c>
      <c r="C418" t="inlineStr">
        <is>
          <t>85236145324</t>
        </is>
      </c>
      <c r="D418" t="inlineStr">
        <is>
          <t>mutiaraalyacv@gmail.com</t>
        </is>
      </c>
      <c r="E418" t="inlineStr">
        <is>
          <t>https://lpjk.pu.go.id/search-badan-usaha-detail/Y1lWVTRUZVNPYWRoblhsUXJxVklzUT09</t>
        </is>
      </c>
      <c r="F418" t="n">
        <v>2</v>
      </c>
      <c r="G418" t="inlineStr">
        <is>
          <t>BG009</t>
        </is>
      </c>
      <c r="H418" t="inlineStr">
        <is>
          <t>21 Agustus 2023</t>
        </is>
      </c>
      <c r="I418" s="2" t="n">
        <v>46337</v>
      </c>
      <c r="J418" t="inlineStr">
        <is>
          <t>Disetujui</t>
        </is>
      </c>
      <c r="K418" t="n">
        <v>87</v>
      </c>
      <c r="L418" t="inlineStr">
        <is>
          <t>11 November 2026</t>
        </is>
      </c>
      <c r="M418" t="inlineStr">
        <is>
          <t>Konstruksi Gedung Lainnya</t>
        </is>
      </c>
      <c r="N418" t="inlineStr">
        <is>
          <t>K</t>
        </is>
      </c>
      <c r="O418" t="inlineStr">
        <is>
          <t>20231111</t>
        </is>
      </c>
      <c r="P418" t="inlineStr">
        <is>
          <t>Maluku</t>
        </is>
      </c>
      <c r="Q418" t="inlineStr"/>
    </row>
    <row r="419">
      <c r="A419" t="inlineStr">
        <is>
          <t>MUTIARA KONSULTAN BATANG</t>
        </is>
      </c>
      <c r="B419" t="inlineStr">
        <is>
          <t>Kab. Batang</t>
        </is>
      </c>
      <c r="C419" t="inlineStr">
        <is>
          <t>0285391601</t>
        </is>
      </c>
      <c r="D419" t="inlineStr">
        <is>
          <t>cvmutiarakonsultant@gmail.com</t>
        </is>
      </c>
      <c r="E419" t="inlineStr">
        <is>
          <t>https://lpjk.pu.go.id/search-badan-usaha-detail/OURhM0VsdFRENXhubGRNeHRKNzBOZz09</t>
        </is>
      </c>
      <c r="F419" t="n">
        <v>4</v>
      </c>
      <c r="G419" t="inlineStr">
        <is>
          <t>AR001, RK001</t>
        </is>
      </c>
      <c r="H419" t="inlineStr">
        <is>
          <t>22 Juni 2012</t>
        </is>
      </c>
      <c r="I419" s="2" t="n">
        <v>46334</v>
      </c>
      <c r="J419" t="inlineStr">
        <is>
          <t>Pencabutan</t>
        </is>
      </c>
      <c r="K419" t="n">
        <v>87</v>
      </c>
      <c r="L419" t="inlineStr">
        <is>
          <t>8 November 2026</t>
        </is>
      </c>
      <c r="M419" t="inlineStr">
        <is>
          <t>Jasa Arsitektural Bangunan Gedung Hunian dan Non Hunian, Jasa Rekayasa Konstruksi Bangunan Gedung Hunian dan Non Hunian</t>
        </is>
      </c>
      <c r="N419" t="inlineStr">
        <is>
          <t>K</t>
        </is>
      </c>
      <c r="O419" t="inlineStr">
        <is>
          <t>20231023, 20231107</t>
        </is>
      </c>
      <c r="P419" t="inlineStr">
        <is>
          <t>Jawa Tengah</t>
        </is>
      </c>
      <c r="Q419" t="inlineStr"/>
    </row>
    <row r="420">
      <c r="A420" t="inlineStr">
        <is>
          <t>MUTIARA NAGA</t>
        </is>
      </c>
      <c r="B420" t="inlineStr">
        <is>
          <t>Kab. Tangerang</t>
        </is>
      </c>
      <c r="C420" t="inlineStr">
        <is>
          <t>085882935015</t>
        </is>
      </c>
      <c r="D420" t="inlineStr">
        <is>
          <t>cv.mutiaranaga@hotmail.com</t>
        </is>
      </c>
      <c r="E420" t="inlineStr">
        <is>
          <t>https://lpjk.pu.go.id/search-badan-usaha-detail/Q2wyc1U2eTcvNlVickREenByWHNrQT09</t>
        </is>
      </c>
      <c r="F420" t="n">
        <v>2</v>
      </c>
      <c r="G420" t="inlineStr">
        <is>
          <t>BS010</t>
        </is>
      </c>
      <c r="H420" t="inlineStr">
        <is>
          <t>15 Desember 2014</t>
        </is>
      </c>
      <c r="I420" s="2" t="n">
        <v>46335</v>
      </c>
      <c r="J420" t="inlineStr">
        <is>
          <t>Disetujui</t>
        </is>
      </c>
      <c r="K420" t="n">
        <v>87</v>
      </c>
      <c r="L420" t="inlineStr">
        <is>
          <t>9 November 2026</t>
        </is>
      </c>
      <c r="M420" t="inlineStr">
        <is>
          <t>Konstruksi Bangunan Prasarana Sumber Daya Air</t>
        </is>
      </c>
      <c r="N420" t="inlineStr">
        <is>
          <t>K</t>
        </is>
      </c>
      <c r="O420" t="inlineStr">
        <is>
          <t>20231109</t>
        </is>
      </c>
      <c r="P420" t="inlineStr">
        <is>
          <t>Banten</t>
        </is>
      </c>
      <c r="Q420" t="inlineStr"/>
    </row>
    <row r="421">
      <c r="A421" t="inlineStr">
        <is>
          <t>MUTIARA PANCA REKAYASA</t>
        </is>
      </c>
      <c r="B421" t="inlineStr">
        <is>
          <t>Kota Medan</t>
        </is>
      </c>
      <c r="C421" t="inlineStr">
        <is>
          <t>06180040048</t>
        </is>
      </c>
      <c r="D421" t="inlineStr">
        <is>
          <t>ptmutiarapancarekayasa@gmail.com</t>
        </is>
      </c>
      <c r="E421" t="inlineStr">
        <is>
          <t>https://lpjk.pu.go.id/search-badan-usaha-detail/Z0VVOGg2Q1BxVFN4K2wwdG5GWWZuZz09</t>
        </is>
      </c>
      <c r="F421" t="n">
        <v>2</v>
      </c>
      <c r="G421" t="inlineStr">
        <is>
          <t>BG009</t>
        </is>
      </c>
      <c r="H421" t="inlineStr">
        <is>
          <t>6 April 2023</t>
        </is>
      </c>
      <c r="I421" s="2" t="n">
        <v>46338</v>
      </c>
      <c r="J421" t="inlineStr">
        <is>
          <t>Disetujui</t>
        </is>
      </c>
      <c r="K421" t="n">
        <v>87</v>
      </c>
      <c r="L421" t="inlineStr">
        <is>
          <t>12 November 2026</t>
        </is>
      </c>
      <c r="M421" t="inlineStr">
        <is>
          <t>Konstruksi Gedung Lainnya</t>
        </is>
      </c>
      <c r="N421" t="inlineStr">
        <is>
          <t>K</t>
        </is>
      </c>
      <c r="O421" t="inlineStr">
        <is>
          <t>20231109</t>
        </is>
      </c>
      <c r="P421" t="inlineStr">
        <is>
          <t>Sumatera Utara</t>
        </is>
      </c>
      <c r="Q421" t="inlineStr"/>
    </row>
    <row r="422">
      <c r="A422" t="inlineStr">
        <is>
          <t>MUTIARA PERSADA GLOBALINDO</t>
        </is>
      </c>
      <c r="B422" t="inlineStr">
        <is>
          <t>Kota Bandung</t>
        </is>
      </c>
      <c r="C422" t="inlineStr">
        <is>
          <t>082118083927</t>
        </is>
      </c>
      <c r="D422" t="inlineStr">
        <is>
          <t>mutiarapersadaglobalindo@gmail.com</t>
        </is>
      </c>
      <c r="E422" t="inlineStr">
        <is>
          <t>https://lpjk.pu.go.id/search-badan-usaha-detail/L2grT2VlQWFIS2FOYlgvSkRLQUVMdz09</t>
        </is>
      </c>
      <c r="F422" t="n">
        <v>2</v>
      </c>
      <c r="G422" t="inlineStr">
        <is>
          <t>BG009</t>
        </is>
      </c>
      <c r="H422" t="inlineStr">
        <is>
          <t>3 Oktober 2023</t>
        </is>
      </c>
      <c r="I422" s="2" t="n">
        <v>46334</v>
      </c>
      <c r="J422" t="inlineStr">
        <is>
          <t>Disetujui</t>
        </is>
      </c>
      <c r="K422" t="n">
        <v>87</v>
      </c>
      <c r="L422" t="inlineStr">
        <is>
          <t>8 November 2026</t>
        </is>
      </c>
      <c r="M422" t="inlineStr">
        <is>
          <t>Konstruksi Gedung Lainnya</t>
        </is>
      </c>
      <c r="N422" t="inlineStr">
        <is>
          <t>K</t>
        </is>
      </c>
      <c r="O422" t="inlineStr">
        <is>
          <t>20231014</t>
        </is>
      </c>
      <c r="P422" t="inlineStr">
        <is>
          <t>Jawa Barat</t>
        </is>
      </c>
      <c r="Q422" t="inlineStr"/>
    </row>
    <row r="423">
      <c r="A423" t="inlineStr">
        <is>
          <t>MUTIARA TERIMA BERKAT</t>
        </is>
      </c>
      <c r="B423" t="inlineStr">
        <is>
          <t>Kab. Asahan</t>
        </is>
      </c>
      <c r="C423" t="inlineStr">
        <is>
          <t>082161459861</t>
        </is>
      </c>
      <c r="D423" t="inlineStr">
        <is>
          <t>mutiaraterimaberkat@gmail.com</t>
        </is>
      </c>
      <c r="E423" t="inlineStr">
        <is>
          <t>https://lpjk.pu.go.id/search-badan-usaha-detail/cmxKR2EydVA0aHNaVmM5Z2hLKzRidz09</t>
        </is>
      </c>
      <c r="F423" t="n">
        <v>8</v>
      </c>
      <c r="G423" t="inlineStr">
        <is>
          <t>BG001, BS001, BS002, BS004</t>
        </is>
      </c>
      <c r="H423" t="inlineStr">
        <is>
          <t>21 Agustus 2023</t>
        </is>
      </c>
      <c r="I423" s="2" t="n">
        <v>46338</v>
      </c>
      <c r="J423" t="inlineStr">
        <is>
          <t>Disetujui</t>
        </is>
      </c>
      <c r="K423" t="n">
        <v>87</v>
      </c>
      <c r="L423" t="inlineStr">
        <is>
          <t>12 November 2026</t>
        </is>
      </c>
      <c r="M423" t="inlineStr">
        <is>
          <t>Bangunan Sipil Jembatan, Jalan Layang, Fly Over, dan Underpass, Konstruksi Bangunan Sipil Jalan, Konstruksi Gedung Hunian, Konstruksi Jaringan Irigasi dan Drainase</t>
        </is>
      </c>
      <c r="N423" t="inlineStr">
        <is>
          <t>K</t>
        </is>
      </c>
      <c r="O423" t="inlineStr">
        <is>
          <t>20231110, 20231113, 20231114</t>
        </is>
      </c>
      <c r="P423" t="inlineStr">
        <is>
          <t>Sumatera Utara</t>
        </is>
      </c>
      <c r="Q423" t="inlineStr"/>
    </row>
    <row r="424">
      <c r="A424" t="inlineStr">
        <is>
          <t>NABILA JAYA ABADI</t>
        </is>
      </c>
      <c r="B424" t="inlineStr">
        <is>
          <t>Kab. Tanah Bumbu</t>
        </is>
      </c>
      <c r="C424" t="inlineStr">
        <is>
          <t>081253807387</t>
        </is>
      </c>
      <c r="D424" t="inlineStr">
        <is>
          <t>nabilajayaabadi123@gmail.com</t>
        </is>
      </c>
      <c r="E424" t="inlineStr">
        <is>
          <t>https://lpjk.pu.go.id/search-badan-usaha-detail/ZUU4OUlybVBQdmI2SExuMWE5b0hXdz09</t>
        </is>
      </c>
      <c r="F424" t="n">
        <v>2</v>
      </c>
      <c r="G424" t="inlineStr">
        <is>
          <t>BS007</t>
        </is>
      </c>
      <c r="H424" t="inlineStr">
        <is>
          <t>28 Juni 2014</t>
        </is>
      </c>
      <c r="I424" s="2" t="n">
        <v>46340</v>
      </c>
      <c r="J424" t="inlineStr">
        <is>
          <t>Disetujui</t>
        </is>
      </c>
      <c r="K424" t="n">
        <v>87</v>
      </c>
      <c r="L424" t="inlineStr">
        <is>
          <t>14 November 2026</t>
        </is>
      </c>
      <c r="M424" t="inlineStr">
        <is>
          <t>Konstruksi Bangunan Sipil Elektrikal</t>
        </is>
      </c>
      <c r="N424" t="inlineStr">
        <is>
          <t>K</t>
        </is>
      </c>
      <c r="O424" t="inlineStr">
        <is>
          <t>20231114</t>
        </is>
      </c>
      <c r="P424" t="inlineStr">
        <is>
          <t>Kalimantan Selatan</t>
        </is>
      </c>
      <c r="Q424" t="inlineStr"/>
    </row>
    <row r="425">
      <c r="A425" t="inlineStr">
        <is>
          <t>NAFAL INTI PERKASA</t>
        </is>
      </c>
      <c r="B425" t="inlineStr">
        <is>
          <t>Kota Medan</t>
        </is>
      </c>
      <c r="C425" t="inlineStr">
        <is>
          <t>081264306030</t>
        </is>
      </c>
      <c r="D425" t="inlineStr">
        <is>
          <t>cevenafalintiperkasa21@gmail.com</t>
        </is>
      </c>
      <c r="E425" t="inlineStr">
        <is>
          <t>https://lpjk.pu.go.id/search-badan-usaha-detail/N2VySFVBSmZTa0N0S0xWWmJpdzc4Zz09</t>
        </is>
      </c>
      <c r="F425" t="n">
        <v>1</v>
      </c>
      <c r="G425" t="inlineStr">
        <is>
          <t>IN004</t>
        </is>
      </c>
      <c r="H425" t="inlineStr">
        <is>
          <t>15 Februari 2006</t>
        </is>
      </c>
      <c r="I425" s="2" t="n">
        <v>46338</v>
      </c>
      <c r="J425" t="inlineStr">
        <is>
          <t>Pencabutan</t>
        </is>
      </c>
      <c r="K425" t="n">
        <v>87</v>
      </c>
      <c r="L425" t="inlineStr">
        <is>
          <t>12 November 2026</t>
        </is>
      </c>
      <c r="M425" t="inlineStr">
        <is>
          <t>Instalasi Minyak dan Gas</t>
        </is>
      </c>
      <c r="N425" t="inlineStr">
        <is>
          <t>Spesialis</t>
        </is>
      </c>
      <c r="O425" t="inlineStr">
        <is>
          <t>20231111</t>
        </is>
      </c>
      <c r="P425" t="inlineStr">
        <is>
          <t>Sumatera Utara</t>
        </is>
      </c>
      <c r="Q425" t="inlineStr"/>
    </row>
    <row r="426">
      <c r="A426" t="inlineStr">
        <is>
          <t>NATURA INTI UNIVERSA</t>
        </is>
      </c>
      <c r="B426" t="inlineStr">
        <is>
          <t>Kab. Karawang</t>
        </is>
      </c>
      <c r="C426" t="inlineStr">
        <is>
          <t>083874135905</t>
        </is>
      </c>
      <c r="D426" t="inlineStr">
        <is>
          <t>naturauniversa@gmail.com</t>
        </is>
      </c>
      <c r="E426" t="inlineStr">
        <is>
          <t>https://lpjk.pu.go.id/search-badan-usaha-detail/bC9tQmNPcUxBMlEwMUUzSjhrU0Uydz09</t>
        </is>
      </c>
      <c r="F426" t="n">
        <v>2</v>
      </c>
      <c r="G426" t="inlineStr">
        <is>
          <t>BS001, BS004</t>
        </is>
      </c>
      <c r="H426" t="inlineStr">
        <is>
          <t>7 November 2023</t>
        </is>
      </c>
      <c r="I426" s="2" t="n">
        <v>46340</v>
      </c>
      <c r="J426" t="inlineStr">
        <is>
          <t>Disetujui</t>
        </is>
      </c>
      <c r="K426" t="n">
        <v>87</v>
      </c>
      <c r="L426" t="inlineStr">
        <is>
          <t>14 November 2026</t>
        </is>
      </c>
      <c r="M426" t="inlineStr">
        <is>
          <t>Konstruksi Bangunan Sipil Jalan, Konstruksi Jaringan Irigasi dan Drainase</t>
        </is>
      </c>
      <c r="N426" t="inlineStr">
        <is>
          <t>K</t>
        </is>
      </c>
      <c r="O426" t="inlineStr">
        <is>
          <t>20231110</t>
        </is>
      </c>
      <c r="P426" t="inlineStr">
        <is>
          <t>Jawa Barat</t>
        </is>
      </c>
      <c r="Q426" t="inlineStr"/>
    </row>
    <row r="427">
      <c r="A427" t="inlineStr">
        <is>
          <t>NATURAL</t>
        </is>
      </c>
      <c r="B427" t="inlineStr">
        <is>
          <t>Kota Banda Aceh</t>
        </is>
      </c>
      <c r="C427" t="inlineStr">
        <is>
          <t>082288216008</t>
        </is>
      </c>
      <c r="D427" t="inlineStr">
        <is>
          <t>cvnatural.cvn@gmail.com</t>
        </is>
      </c>
      <c r="E427" t="inlineStr">
        <is>
          <t>https://lpjk.pu.go.id/search-badan-usaha-detail/bWZhdVV2QkQzVTQxTU0vM1BUNTRlZz09</t>
        </is>
      </c>
      <c r="F427" t="n">
        <v>1</v>
      </c>
      <c r="G427" t="inlineStr">
        <is>
          <t>BS002</t>
        </is>
      </c>
      <c r="H427" t="inlineStr">
        <is>
          <t>10 Januari 2017</t>
        </is>
      </c>
      <c r="I427" s="2" t="n">
        <v>46339</v>
      </c>
      <c r="J427" t="inlineStr">
        <is>
          <t>Disetujui</t>
        </is>
      </c>
      <c r="K427" t="n">
        <v>87</v>
      </c>
      <c r="L427" t="inlineStr">
        <is>
          <t>13 November 2026</t>
        </is>
      </c>
      <c r="M427" t="inlineStr">
        <is>
          <t>Bangunan Sipil Jembatan, Jalan Layang, Fly Over, dan Underpass</t>
        </is>
      </c>
      <c r="N427" t="inlineStr">
        <is>
          <t>K</t>
        </is>
      </c>
      <c r="O427" t="inlineStr">
        <is>
          <t>20231107</t>
        </is>
      </c>
      <c r="P427" t="inlineStr">
        <is>
          <t>Aceh</t>
        </is>
      </c>
      <c r="Q427" t="inlineStr"/>
    </row>
    <row r="428">
      <c r="A428" t="inlineStr">
        <is>
          <t>NAVA LINTANG MUKTI</t>
        </is>
      </c>
      <c r="B428" t="inlineStr">
        <is>
          <t>Kota Madiun</t>
        </is>
      </c>
      <c r="C428" t="inlineStr">
        <is>
          <t>0818 0356 6165</t>
        </is>
      </c>
      <c r="D428" t="inlineStr">
        <is>
          <t>cv_navalintangmukti@yahoo.co.id</t>
        </is>
      </c>
      <c r="E428" t="inlineStr">
        <is>
          <t>https://lpjk.pu.go.id/search-badan-usaha-detail/VzErbDc1VmhVNmUvYVhhaFVnQjJ2UT09</t>
        </is>
      </c>
      <c r="F428" t="n">
        <v>1</v>
      </c>
      <c r="G428" t="inlineStr">
        <is>
          <t>BS004</t>
        </is>
      </c>
      <c r="H428" t="inlineStr">
        <is>
          <t>3 Mei 2005</t>
        </is>
      </c>
      <c r="I428" s="2" t="n">
        <v>46334</v>
      </c>
      <c r="J428" t="inlineStr">
        <is>
          <t>Dokumen Lengkap</t>
        </is>
      </c>
      <c r="K428" t="n">
        <v>87</v>
      </c>
      <c r="L428" t="inlineStr">
        <is>
          <t>8 November 2026</t>
        </is>
      </c>
      <c r="M428" t="inlineStr">
        <is>
          <t>Konstruksi Jaringan Irigasi dan Drainase</t>
        </is>
      </c>
      <c r="N428" t="inlineStr">
        <is>
          <t>K</t>
        </is>
      </c>
      <c r="O428" t="inlineStr">
        <is>
          <t>20231107</t>
        </is>
      </c>
      <c r="P428" t="inlineStr">
        <is>
          <t>Jawa Timur</t>
        </is>
      </c>
      <c r="Q428" t="inlineStr"/>
    </row>
    <row r="429">
      <c r="A429" t="inlineStr">
        <is>
          <t>NOBELLINDO</t>
        </is>
      </c>
      <c r="B429" t="inlineStr">
        <is>
          <t>Kab. Banyumas</t>
        </is>
      </c>
      <c r="C429" t="inlineStr">
        <is>
          <t>02817656200</t>
        </is>
      </c>
      <c r="D429" t="inlineStr">
        <is>
          <t>cvnobellindopwt@gmail.com</t>
        </is>
      </c>
      <c r="E429" t="inlineStr">
        <is>
          <t>https://lpjk.pu.go.id/search-badan-usaha-detail/MTluK25Pd2twQjNEUE40bWZLMFgxQT09</t>
        </is>
      </c>
      <c r="F429" t="n">
        <v>2</v>
      </c>
      <c r="G429" t="inlineStr">
        <is>
          <t>BS001, BS004</t>
        </is>
      </c>
      <c r="H429" t="inlineStr">
        <is>
          <t>8 Juni 2000</t>
        </is>
      </c>
      <c r="I429" s="2" t="n">
        <v>46340</v>
      </c>
      <c r="J429" t="inlineStr">
        <is>
          <t>Disetujui</t>
        </is>
      </c>
      <c r="K429" t="n">
        <v>87</v>
      </c>
      <c r="L429" t="inlineStr">
        <is>
          <t>14 November 2026</t>
        </is>
      </c>
      <c r="M429" t="inlineStr">
        <is>
          <t>Konstruksi Bangunan Sipil Jalan, Konstruksi Jaringan Irigasi dan Drainase</t>
        </is>
      </c>
      <c r="N429" t="inlineStr">
        <is>
          <t>K</t>
        </is>
      </c>
      <c r="O429" t="inlineStr">
        <is>
          <t>20231025</t>
        </is>
      </c>
      <c r="P429" t="inlineStr">
        <is>
          <t>Jawa Tengah</t>
        </is>
      </c>
      <c r="Q429" t="inlineStr"/>
    </row>
    <row r="430">
      <c r="A430" t="inlineStr">
        <is>
          <t>NOVETA SAMUEL</t>
        </is>
      </c>
      <c r="B430" t="inlineStr">
        <is>
          <t>Kota Cimahi</t>
        </is>
      </c>
      <c r="C430" t="inlineStr">
        <is>
          <t>0226652453</t>
        </is>
      </c>
      <c r="D430" t="inlineStr">
        <is>
          <t>noveta.samuel@gmail.com</t>
        </is>
      </c>
      <c r="E430" t="inlineStr">
        <is>
          <t>https://lpjk.pu.go.id/search-badan-usaha-detail/ZW5iMEhkMUdnU0RHczVGbFNPTjZYQT09</t>
        </is>
      </c>
      <c r="F430" t="n">
        <v>2</v>
      </c>
      <c r="G430" t="inlineStr">
        <is>
          <t>BG009, BS001</t>
        </is>
      </c>
      <c r="H430" t="inlineStr">
        <is>
          <t>22 Juni 2000</t>
        </is>
      </c>
      <c r="I430" s="2" t="n">
        <v>46340</v>
      </c>
      <c r="J430" t="inlineStr">
        <is>
          <t>Disetujui</t>
        </is>
      </c>
      <c r="K430" t="n">
        <v>87</v>
      </c>
      <c r="L430" t="inlineStr">
        <is>
          <t>14 November 2026</t>
        </is>
      </c>
      <c r="M430" t="inlineStr">
        <is>
          <t>Konstruksi Bangunan Sipil Jalan, Konstruksi Gedung Lainnya</t>
        </is>
      </c>
      <c r="N430" t="inlineStr">
        <is>
          <t>K</t>
        </is>
      </c>
      <c r="O430" t="inlineStr">
        <is>
          <t>20231011, 20231103</t>
        </is>
      </c>
      <c r="P430" t="inlineStr">
        <is>
          <t>Jawa Barat</t>
        </is>
      </c>
      <c r="Q430" t="inlineStr"/>
    </row>
    <row r="431">
      <c r="A431" t="inlineStr">
        <is>
          <t>NUR AINI RAHMA MANDIRI</t>
        </is>
      </c>
      <c r="B431" t="inlineStr">
        <is>
          <t>Kab. Tuban</t>
        </is>
      </c>
      <c r="C431" t="inlineStr">
        <is>
          <t>081230596278</t>
        </is>
      </c>
      <c r="D431" t="inlineStr">
        <is>
          <t>narm.tuban@gmail.com</t>
        </is>
      </c>
      <c r="E431" t="inlineStr">
        <is>
          <t>https://lpjk.pu.go.id/search-badan-usaha-detail/ajI0MCtoWFovZzJyMWdSa1gzODBSUT09</t>
        </is>
      </c>
      <c r="F431" t="n">
        <v>1</v>
      </c>
      <c r="G431" t="inlineStr">
        <is>
          <t>BS001</t>
        </is>
      </c>
      <c r="H431" t="inlineStr">
        <is>
          <t>27 April 2015</t>
        </is>
      </c>
      <c r="I431" s="2" t="n">
        <v>46340</v>
      </c>
      <c r="J431" t="inlineStr">
        <is>
          <t>Disetujui</t>
        </is>
      </c>
      <c r="K431" t="n">
        <v>87</v>
      </c>
      <c r="L431" t="inlineStr">
        <is>
          <t>14 November 2026</t>
        </is>
      </c>
      <c r="M431" t="inlineStr">
        <is>
          <t>Konstruksi Bangunan Sipil Jalan</t>
        </is>
      </c>
      <c r="N431" t="inlineStr">
        <is>
          <t>K</t>
        </is>
      </c>
      <c r="O431" t="inlineStr">
        <is>
          <t>20231114</t>
        </is>
      </c>
      <c r="P431" t="inlineStr">
        <is>
          <t>Jawa Timur</t>
        </is>
      </c>
      <c r="Q431" t="inlineStr"/>
    </row>
    <row r="432">
      <c r="A432" t="inlineStr">
        <is>
          <t>NUR TIGA UTAMA</t>
        </is>
      </c>
      <c r="B432" t="inlineStr">
        <is>
          <t>Kab. Kotawaringin Barat</t>
        </is>
      </c>
      <c r="C432" t="inlineStr">
        <is>
          <t>082140971711</t>
        </is>
      </c>
      <c r="D432" t="inlineStr">
        <is>
          <t>cvnurtigautama@gmail.com</t>
        </is>
      </c>
      <c r="E432" t="inlineStr">
        <is>
          <t>https://lpjk.pu.go.id/search-badan-usaha-detail/SGVzL1hLOS9aSzRSU1JDMmlJNUlxUT09</t>
        </is>
      </c>
      <c r="F432" t="n">
        <v>1</v>
      </c>
      <c r="G432" t="inlineStr">
        <is>
          <t>BS005</t>
        </is>
      </c>
      <c r="H432" t="inlineStr">
        <is>
          <t>12 Januari 2023</t>
        </is>
      </c>
      <c r="I432" s="2" t="n">
        <v>46335</v>
      </c>
      <c r="J432" t="inlineStr">
        <is>
          <t>Disetujui</t>
        </is>
      </c>
      <c r="K432" t="n">
        <v>87</v>
      </c>
      <c r="L432" t="inlineStr">
        <is>
          <t>9 November 2026</t>
        </is>
      </c>
      <c r="M432" t="inlineStr">
        <is>
          <t>Konstruksi Bangunan Sipil Pengolahan Air Bersih</t>
        </is>
      </c>
      <c r="N432" t="inlineStr">
        <is>
          <t>K</t>
        </is>
      </c>
      <c r="O432" t="inlineStr">
        <is>
          <t>20231109</t>
        </is>
      </c>
      <c r="P432" t="inlineStr">
        <is>
          <t>Kalimantan Tengah</t>
        </is>
      </c>
      <c r="Q432" t="inlineStr"/>
    </row>
    <row r="433">
      <c r="A433" t="inlineStr">
        <is>
          <t>NUR WAHYU RESKY</t>
        </is>
      </c>
      <c r="B433" t="inlineStr">
        <is>
          <t>Kota Pontianak</t>
        </is>
      </c>
      <c r="C433" t="inlineStr">
        <is>
          <t>081256123455</t>
        </is>
      </c>
      <c r="D433" t="inlineStr">
        <is>
          <t>osswahyudi@gmail.com</t>
        </is>
      </c>
      <c r="E433" t="inlineStr">
        <is>
          <t>https://lpjk.pu.go.id/search-badan-usaha-detail/Um5CUHlIYy92UFJRMnpZUXJrMWhSUT09</t>
        </is>
      </c>
      <c r="F433" t="n">
        <v>3</v>
      </c>
      <c r="G433" t="inlineStr">
        <is>
          <t>BG006, BS004, BS005</t>
        </is>
      </c>
      <c r="H433" t="inlineStr">
        <is>
          <t>11 Juni 2009</t>
        </is>
      </c>
      <c r="I433" s="2" t="n">
        <v>46336</v>
      </c>
      <c r="J433" t="inlineStr">
        <is>
          <t>Disetujui</t>
        </is>
      </c>
      <c r="K433" t="n">
        <v>87</v>
      </c>
      <c r="L433" t="inlineStr">
        <is>
          <t>10 November 2026</t>
        </is>
      </c>
      <c r="M433" t="inlineStr">
        <is>
          <t>Konstruksi Bangunan Sipil Pengolahan Air Bersih, Konstruksi Gedung Pendidikan, Konstruksi Jaringan Irigasi dan Drainase</t>
        </is>
      </c>
      <c r="N433" t="inlineStr">
        <is>
          <t>K</t>
        </is>
      </c>
      <c r="O433" t="inlineStr">
        <is>
          <t>20231103, 20231106</t>
        </is>
      </c>
      <c r="P433" t="inlineStr">
        <is>
          <t>Kalimantan Barat</t>
        </is>
      </c>
      <c r="Q433" t="inlineStr"/>
    </row>
    <row r="434">
      <c r="A434" t="inlineStr">
        <is>
          <t>NURUL HUDA</t>
        </is>
      </c>
      <c r="B434" t="inlineStr">
        <is>
          <t>Kab. Kudus</t>
        </is>
      </c>
      <c r="C434" t="inlineStr">
        <is>
          <t>085226136356</t>
        </is>
      </c>
      <c r="D434" t="inlineStr">
        <is>
          <t>nurulhudacv59@yahoo.com</t>
        </is>
      </c>
      <c r="E434" t="inlineStr">
        <is>
          <t>https://lpjk.pu.go.id/search-badan-usaha-detail/VEdaV1VKT1lBcWIyWk4rTTcrTHI5UT09</t>
        </is>
      </c>
      <c r="F434" t="n">
        <v>2</v>
      </c>
      <c r="G434" t="inlineStr">
        <is>
          <t>BG002, BG006</t>
        </is>
      </c>
      <c r="H434" t="inlineStr">
        <is>
          <t>8 November 1999</t>
        </is>
      </c>
      <c r="I434" s="2" t="n">
        <v>46334</v>
      </c>
      <c r="J434" t="inlineStr">
        <is>
          <t>Disetujui</t>
        </is>
      </c>
      <c r="K434" t="n">
        <v>87</v>
      </c>
      <c r="L434" t="inlineStr">
        <is>
          <t>8 November 2026</t>
        </is>
      </c>
      <c r="M434" t="inlineStr">
        <is>
          <t>Konstruksi Gedung Pendidikan, Konstruksi Gedung Perkantoran</t>
        </is>
      </c>
      <c r="N434" t="inlineStr">
        <is>
          <t>K</t>
        </is>
      </c>
      <c r="O434" t="inlineStr">
        <is>
          <t>20231106</t>
        </is>
      </c>
      <c r="P434" t="inlineStr">
        <is>
          <t>Jawa Tengah</t>
        </is>
      </c>
      <c r="Q434" t="inlineStr"/>
    </row>
    <row r="435">
      <c r="A435" t="inlineStr">
        <is>
          <t>NURULILLAH</t>
        </is>
      </c>
      <c r="B435" t="inlineStr">
        <is>
          <t>Kab. Hulu Sungai Selatan</t>
        </is>
      </c>
      <c r="C435" t="inlineStr">
        <is>
          <t>085348376170</t>
        </is>
      </c>
      <c r="D435" t="inlineStr">
        <is>
          <t>nurulillah2023@gmail.com</t>
        </is>
      </c>
      <c r="E435" t="inlineStr">
        <is>
          <t>https://lpjk.pu.go.id/search-badan-usaha-detail/Mkd5QmFGMkxMSnJyU1RlMDBheWFMZz09</t>
        </is>
      </c>
      <c r="F435" t="n">
        <v>6</v>
      </c>
      <c r="G435" t="inlineStr">
        <is>
          <t>BG005, BG006, BG009, BS001, BS002, BS004</t>
        </is>
      </c>
      <c r="H435" t="inlineStr">
        <is>
          <t>23 Oktober 2023</t>
        </is>
      </c>
      <c r="I435" s="2" t="n">
        <v>46335</v>
      </c>
      <c r="J435" t="inlineStr">
        <is>
          <t>Disetujui</t>
        </is>
      </c>
      <c r="K435" t="n">
        <v>87</v>
      </c>
      <c r="L435" t="inlineStr">
        <is>
          <t>9 November 2026</t>
        </is>
      </c>
      <c r="M435" t="inlineStr">
        <is>
          <t>Bangunan Sipil Jembatan, Jalan Layang, Fly Over, dan Underpass, Konstruksi Bangunan Sipil Jalan, Konstruksi Gedung Kesehatan, Konstruksi Gedung Lainnya, Konstruksi Gedung Pendidikan, Konstruksi Jaringan Irigasi dan Drainase</t>
        </is>
      </c>
      <c r="N435" t="inlineStr">
        <is>
          <t>K</t>
        </is>
      </c>
      <c r="O435" t="inlineStr">
        <is>
          <t>20231031, 20231101</t>
        </is>
      </c>
      <c r="P435" t="inlineStr">
        <is>
          <t>Kalimantan Selatan</t>
        </is>
      </c>
      <c r="Q435" t="inlineStr"/>
    </row>
    <row r="436">
      <c r="A436" t="inlineStr">
        <is>
          <t>NUSANTARA ABADI GROUP</t>
        </is>
      </c>
      <c r="B436" t="inlineStr">
        <is>
          <t>Kab. Asahan</t>
        </is>
      </c>
      <c r="C436" t="inlineStr">
        <is>
          <t>085368645747</t>
        </is>
      </c>
      <c r="D436" t="inlineStr">
        <is>
          <t>cvnusantaraabadigroup@gmail.com</t>
        </is>
      </c>
      <c r="E436" t="inlineStr">
        <is>
          <t>https://lpjk.pu.go.id/search-badan-usaha-detail/Sm02b043b0xvdlhjRG1sTjU0S3lxdz09</t>
        </is>
      </c>
      <c r="F436" t="n">
        <v>2</v>
      </c>
      <c r="G436" t="inlineStr">
        <is>
          <t>BS001</t>
        </is>
      </c>
      <c r="H436" t="inlineStr">
        <is>
          <t>22 Februari 2023</t>
        </is>
      </c>
      <c r="I436" s="2" t="n">
        <v>46336</v>
      </c>
      <c r="J436" t="inlineStr">
        <is>
          <t>Disetujui</t>
        </is>
      </c>
      <c r="K436" t="n">
        <v>87</v>
      </c>
      <c r="L436" t="inlineStr">
        <is>
          <t>10 November 2026</t>
        </is>
      </c>
      <c r="M436" t="inlineStr">
        <is>
          <t>Konstruksi Bangunan Sipil Jalan</t>
        </is>
      </c>
      <c r="N436" t="inlineStr">
        <is>
          <t>K</t>
        </is>
      </c>
      <c r="O436" t="inlineStr">
        <is>
          <t>20231108</t>
        </is>
      </c>
      <c r="P436" t="inlineStr">
        <is>
          <t>Sumatera Utara</t>
        </is>
      </c>
      <c r="Q436" t="inlineStr"/>
    </row>
    <row r="437">
      <c r="A437" t="inlineStr">
        <is>
          <t>ONAIDEA CIPTA KREASI</t>
        </is>
      </c>
      <c r="B437" t="inlineStr">
        <is>
          <t>Kota Surabaya</t>
        </is>
      </c>
      <c r="C437" t="inlineStr">
        <is>
          <t>0811370247</t>
        </is>
      </c>
      <c r="D437" t="inlineStr">
        <is>
          <t>onaideack@gmail.com</t>
        </is>
      </c>
      <c r="E437" t="inlineStr">
        <is>
          <t>https://lpjk.pu.go.id/search-badan-usaha-detail/M1MxMUtLU1NUWjBkSHlTQVRiMUZtUT09</t>
        </is>
      </c>
      <c r="F437" t="n">
        <v>5</v>
      </c>
      <c r="G437" t="inlineStr">
        <is>
          <t>BG001, BG002, BG005, BG006, BG009</t>
        </is>
      </c>
      <c r="H437" t="inlineStr">
        <is>
          <t>13 Juni 2020</t>
        </is>
      </c>
      <c r="I437" s="2" t="n">
        <v>46335</v>
      </c>
      <c r="J437" t="inlineStr">
        <is>
          <t>Disetujui</t>
        </is>
      </c>
      <c r="K437" t="n">
        <v>87</v>
      </c>
      <c r="L437" t="inlineStr">
        <is>
          <t>9 November 2026</t>
        </is>
      </c>
      <c r="M437" t="inlineStr">
        <is>
          <t>Konstruksi Gedung Hunian, Konstruksi Gedung Kesehatan, Konstruksi Gedung Lainnya, Konstruksi Gedung Pendidikan, Konstruksi Gedung Perkantoran</t>
        </is>
      </c>
      <c r="N437" t="inlineStr">
        <is>
          <t>K</t>
        </is>
      </c>
      <c r="O437" t="inlineStr">
        <is>
          <t>20230710, 20231103, 20231107</t>
        </is>
      </c>
      <c r="P437" t="inlineStr">
        <is>
          <t>Jawa Timur</t>
        </is>
      </c>
      <c r="Q437" t="inlineStr"/>
    </row>
    <row r="438">
      <c r="A438" t="inlineStr">
        <is>
          <t>OSA KARYA MANDIRI</t>
        </is>
      </c>
      <c r="B438" t="inlineStr">
        <is>
          <t>Kota Denpasar</t>
        </is>
      </c>
      <c r="C438" t="inlineStr">
        <is>
          <t>08179559911</t>
        </is>
      </c>
      <c r="D438" t="inlineStr">
        <is>
          <t>osakaryamandiri@gmail.com</t>
        </is>
      </c>
      <c r="E438" t="inlineStr">
        <is>
          <t>https://lpjk.pu.go.id/search-badan-usaha-detail/VHN1aTlLcjBtZVcvaEhVd1JaM0RqZz09</t>
        </is>
      </c>
      <c r="F438" t="n">
        <v>1</v>
      </c>
      <c r="G438" t="inlineStr">
        <is>
          <t>RK001</t>
        </is>
      </c>
      <c r="H438" t="inlineStr">
        <is>
          <t>8 Juli 2019</t>
        </is>
      </c>
      <c r="I438" s="2" t="n">
        <v>46335</v>
      </c>
      <c r="J438" t="inlineStr">
        <is>
          <t>Disetujui</t>
        </is>
      </c>
      <c r="K438" t="n">
        <v>87</v>
      </c>
      <c r="L438" t="inlineStr">
        <is>
          <t>9 November 2026</t>
        </is>
      </c>
      <c r="M438" t="inlineStr">
        <is>
          <t>Jasa Rekayasa Konstruksi Bangunan Gedung Hunian dan Non Hunian</t>
        </is>
      </c>
      <c r="N438" t="inlineStr">
        <is>
          <t>K</t>
        </is>
      </c>
      <c r="O438" t="inlineStr">
        <is>
          <t>20231106</t>
        </is>
      </c>
      <c r="P438" t="inlineStr">
        <is>
          <t>Bali</t>
        </is>
      </c>
      <c r="Q438" t="inlineStr"/>
    </row>
    <row r="439">
      <c r="A439" t="inlineStr">
        <is>
          <t>PANCA PRIMA PAPUA</t>
        </is>
      </c>
      <c r="B439" t="inlineStr">
        <is>
          <t>Kota Sorong</t>
        </is>
      </c>
      <c r="C439" t="inlineStr">
        <is>
          <t>08114877767</t>
        </is>
      </c>
      <c r="D439" t="inlineStr">
        <is>
          <t>cvpancaprimapapua@gmail.com</t>
        </is>
      </c>
      <c r="E439" t="inlineStr">
        <is>
          <t>https://lpjk.pu.go.id/search-badan-usaha-detail/czJLZ2xJWDFqMVBjcE5YZnBtbDVwQT09</t>
        </is>
      </c>
      <c r="F439" t="n">
        <v>5</v>
      </c>
      <c r="G439" t="inlineStr">
        <is>
          <t>BG002, BG005, BG006, BG009, BS001</t>
        </is>
      </c>
      <c r="H439" t="inlineStr">
        <is>
          <t>18 Februari 2016</t>
        </is>
      </c>
      <c r="I439" s="2" t="n">
        <v>46335</v>
      </c>
      <c r="J439" t="inlineStr">
        <is>
          <t>Disetujui, Pencabutan</t>
        </is>
      </c>
      <c r="K439" t="n">
        <v>87</v>
      </c>
      <c r="L439" t="inlineStr">
        <is>
          <t>9 November 2026</t>
        </is>
      </c>
      <c r="M439" t="inlineStr">
        <is>
          <t>Konstruksi Bangunan Sipil Jalan, Konstruksi Gedung Kesehatan, Konstruksi Gedung Lainnya, Konstruksi Gedung Pendidikan, Konstruksi Gedung Perkantoran</t>
        </is>
      </c>
      <c r="N439" t="inlineStr">
        <is>
          <t>K</t>
        </is>
      </c>
      <c r="O439" t="inlineStr">
        <is>
          <t>20231110</t>
        </is>
      </c>
      <c r="P439" t="inlineStr">
        <is>
          <t>Papua Barat Daya</t>
        </is>
      </c>
      <c r="Q439" t="inlineStr"/>
    </row>
    <row r="440">
      <c r="A440" t="inlineStr">
        <is>
          <t>PANCA TEHNIK</t>
        </is>
      </c>
      <c r="B440" t="inlineStr">
        <is>
          <t>Kab. Banjar</t>
        </is>
      </c>
      <c r="C440" t="inlineStr">
        <is>
          <t>05114220465</t>
        </is>
      </c>
      <c r="D440" t="inlineStr">
        <is>
          <t>ghrdpanca@gmail.com</t>
        </is>
      </c>
      <c r="E440" t="inlineStr">
        <is>
          <t>https://lpjk.pu.go.id/search-badan-usaha-detail/N3l5ejlEcGZWTUJmWDI4aWtIK1hjUT09</t>
        </is>
      </c>
      <c r="F440" t="n">
        <v>1</v>
      </c>
      <c r="G440" t="inlineStr">
        <is>
          <t>KK015</t>
        </is>
      </c>
      <c r="H440" t="inlineStr">
        <is>
          <t>4 April 2023</t>
        </is>
      </c>
      <c r="I440" s="2" t="n">
        <v>46338</v>
      </c>
      <c r="J440" t="inlineStr">
        <is>
          <t>Disetujui</t>
        </is>
      </c>
      <c r="K440" t="n">
        <v>87</v>
      </c>
      <c r="L440" t="inlineStr">
        <is>
          <t>12 November 2026</t>
        </is>
      </c>
      <c r="M440" t="inlineStr">
        <is>
          <t>Pekerjaan Konstruksi Tahan Api (Tanur, Anneling, Flare, atau Incenerator)</t>
        </is>
      </c>
      <c r="N440" t="inlineStr">
        <is>
          <t>Spesialis</t>
        </is>
      </c>
      <c r="O440" t="inlineStr">
        <is>
          <t>20231110</t>
        </is>
      </c>
      <c r="P440" t="inlineStr">
        <is>
          <t>Kalimantan Selatan</t>
        </is>
      </c>
      <c r="Q440" t="inlineStr"/>
    </row>
    <row r="441">
      <c r="A441" t="inlineStr">
        <is>
          <t>PANCASONA</t>
        </is>
      </c>
      <c r="B441" t="inlineStr">
        <is>
          <t>Kota Semarang</t>
        </is>
      </c>
      <c r="C441" t="inlineStr">
        <is>
          <t>0818451234</t>
        </is>
      </c>
      <c r="D441" t="inlineStr">
        <is>
          <t>pancasona.smg@gmail.com</t>
        </is>
      </c>
      <c r="E441" t="inlineStr">
        <is>
          <t>https://lpjk.pu.go.id/search-badan-usaha-detail/Wk5aMkVVMUpibWNtVERMbk9XVVlQUT09</t>
        </is>
      </c>
      <c r="F441" t="n">
        <v>2</v>
      </c>
      <c r="G441" t="inlineStr">
        <is>
          <t>BG006</t>
        </is>
      </c>
      <c r="H441" t="inlineStr">
        <is>
          <t>14 Januari 2020</t>
        </is>
      </c>
      <c r="I441" s="2" t="n">
        <v>46338</v>
      </c>
      <c r="J441" t="inlineStr">
        <is>
          <t>Disetujui</t>
        </is>
      </c>
      <c r="K441" t="n">
        <v>87</v>
      </c>
      <c r="L441" t="inlineStr">
        <is>
          <t>12 November 2026</t>
        </is>
      </c>
      <c r="M441" t="inlineStr">
        <is>
          <t>Konstruksi Gedung Pendidikan</t>
        </is>
      </c>
      <c r="N441" t="inlineStr">
        <is>
          <t>K</t>
        </is>
      </c>
      <c r="O441" t="inlineStr">
        <is>
          <t>20231111</t>
        </is>
      </c>
      <c r="P441" t="inlineStr">
        <is>
          <t>Jawa Tengah</t>
        </is>
      </c>
      <c r="Q441" t="inlineStr"/>
    </row>
    <row r="442">
      <c r="A442" t="inlineStr">
        <is>
          <t>PARADIGMA NUSANTARA</t>
        </is>
      </c>
      <c r="B442" t="inlineStr">
        <is>
          <t>Kota Pekanbaru</t>
        </is>
      </c>
      <c r="C442" t="inlineStr">
        <is>
          <t>0811764433</t>
        </is>
      </c>
      <c r="D442" t="inlineStr">
        <is>
          <t>cv.paradigma1993@gmail.com</t>
        </is>
      </c>
      <c r="E442" t="inlineStr">
        <is>
          <t>https://lpjk.pu.go.id/search-badan-usaha-detail/U0R1VFRyRnZRZjFYWDRlNnlWclArUT09</t>
        </is>
      </c>
      <c r="F442" t="n">
        <v>1</v>
      </c>
      <c r="G442" t="inlineStr">
        <is>
          <t>BS010</t>
        </is>
      </c>
      <c r="H442" t="inlineStr">
        <is>
          <t>22 Juni 2012</t>
        </is>
      </c>
      <c r="I442" s="2" t="n">
        <v>46339</v>
      </c>
      <c r="J442" t="inlineStr">
        <is>
          <t>Disetujui</t>
        </is>
      </c>
      <c r="K442" t="n">
        <v>87</v>
      </c>
      <c r="L442" t="inlineStr">
        <is>
          <t>13 November 2026</t>
        </is>
      </c>
      <c r="M442" t="inlineStr">
        <is>
          <t>Konstruksi Bangunan Prasarana Sumber Daya Air</t>
        </is>
      </c>
      <c r="N442" t="inlineStr">
        <is>
          <t>K</t>
        </is>
      </c>
      <c r="O442" t="inlineStr">
        <is>
          <t>20231113</t>
        </is>
      </c>
      <c r="P442" t="inlineStr">
        <is>
          <t>Riau</t>
        </is>
      </c>
      <c r="Q442" t="inlineStr"/>
    </row>
    <row r="443">
      <c r="A443" t="inlineStr">
        <is>
          <t>PARAMA KARYA MANDIRI</t>
        </is>
      </c>
      <c r="B443" t="inlineStr">
        <is>
          <t>Kota Adm. Jakarta Selatan</t>
        </is>
      </c>
      <c r="C443" t="inlineStr">
        <is>
          <t>02175921219</t>
        </is>
      </c>
      <c r="D443" t="inlineStr">
        <is>
          <t>pkmjkt@yahoo.co.id</t>
        </is>
      </c>
      <c r="E443" t="inlineStr">
        <is>
          <t>https://lpjk.pu.go.id/search-badan-usaha-detail/aHdId1dLcDgvZFFmMkJTazZYRllKZz09</t>
        </is>
      </c>
      <c r="F443" t="n">
        <v>6</v>
      </c>
      <c r="G443" t="inlineStr">
        <is>
          <t>RK001, RK002</t>
        </is>
      </c>
      <c r="H443" t="inlineStr">
        <is>
          <t>24 Desember 1997</t>
        </is>
      </c>
      <c r="I443" s="2" t="n">
        <v>46338</v>
      </c>
      <c r="J443" t="inlineStr">
        <is>
          <t>Disetujui</t>
        </is>
      </c>
      <c r="K443" t="n">
        <v>87</v>
      </c>
      <c r="L443" t="inlineStr">
        <is>
          <t>12 November 2026</t>
        </is>
      </c>
      <c r="M443" t="inlineStr">
        <is>
          <t>Jasa Rekayasa Konstruksi Bangunan Gedung Hunian dan Non Hunian, Jasa Rekayasa Pekerjaan Teknik Sipil Sumber Daya Air</t>
        </is>
      </c>
      <c r="N443" t="inlineStr">
        <is>
          <t>K</t>
        </is>
      </c>
      <c r="O443" t="inlineStr">
        <is>
          <t>20231107</t>
        </is>
      </c>
      <c r="P443" t="inlineStr">
        <is>
          <t>DKI Jakarta</t>
        </is>
      </c>
      <c r="Q443" t="inlineStr"/>
    </row>
    <row r="444">
      <c r="A444" t="inlineStr">
        <is>
          <t>PAYUNG JAGAD</t>
        </is>
      </c>
      <c r="B444" t="inlineStr">
        <is>
          <t>Kab. Mojokerto</t>
        </is>
      </c>
      <c r="C444" t="inlineStr">
        <is>
          <t>085748609006</t>
        </is>
      </c>
      <c r="D444" t="inlineStr">
        <is>
          <t>cvpayungjagad2023@gmail.com</t>
        </is>
      </c>
      <c r="E444" t="inlineStr">
        <is>
          <t>https://lpjk.pu.go.id/search-badan-usaha-detail/dy84WXRYUWJ5U0tHWkdCRURMdUhzZz09</t>
        </is>
      </c>
      <c r="F444" t="n">
        <v>4</v>
      </c>
      <c r="G444" t="inlineStr">
        <is>
          <t>BG002, BG005, BG006, BS001</t>
        </is>
      </c>
      <c r="H444" t="inlineStr">
        <is>
          <t>3 November 2023</t>
        </is>
      </c>
      <c r="I444" s="2" t="n">
        <v>46340</v>
      </c>
      <c r="J444" t="inlineStr">
        <is>
          <t>Disetujui</t>
        </is>
      </c>
      <c r="K444" t="n">
        <v>87</v>
      </c>
      <c r="L444" t="inlineStr">
        <is>
          <t>14 November 2026</t>
        </is>
      </c>
      <c r="M444" t="inlineStr">
        <is>
          <t>Konstruksi Bangunan Sipil Jalan, Konstruksi Gedung Kesehatan, Konstruksi Gedung Pendidikan, Konstruksi Gedung Perkantoran</t>
        </is>
      </c>
      <c r="N444" t="inlineStr">
        <is>
          <t>K</t>
        </is>
      </c>
      <c r="O444" t="inlineStr">
        <is>
          <t>20231110</t>
        </is>
      </c>
      <c r="P444" t="inlineStr">
        <is>
          <t>Jawa Timur</t>
        </is>
      </c>
      <c r="Q444" t="inlineStr"/>
    </row>
    <row r="445">
      <c r="A445" t="inlineStr">
        <is>
          <t>PELANGI KUTIM SEJAHTERA</t>
        </is>
      </c>
      <c r="B445" t="inlineStr">
        <is>
          <t>Kab. Kutai Timur</t>
        </is>
      </c>
      <c r="C445" t="inlineStr">
        <is>
          <t>082110009358</t>
        </is>
      </c>
      <c r="D445" t="inlineStr">
        <is>
          <t>cvpelangikutimsejahtera@gmail.com</t>
        </is>
      </c>
      <c r="E445" t="inlineStr">
        <is>
          <t>https://lpjk.pu.go.id/search-badan-usaha-detail/MVZ2bzFtMDVWQlc1OEFzd1RBcnc2dz09</t>
        </is>
      </c>
      <c r="F445" t="n">
        <v>2</v>
      </c>
      <c r="G445" t="inlineStr">
        <is>
          <t>BS001, BS004</t>
        </is>
      </c>
      <c r="H445" t="inlineStr">
        <is>
          <t>26 Januari 2023</t>
        </is>
      </c>
      <c r="I445" s="2" t="n">
        <v>46335</v>
      </c>
      <c r="J445" t="inlineStr">
        <is>
          <t>Disetujui</t>
        </is>
      </c>
      <c r="K445" t="n">
        <v>87</v>
      </c>
      <c r="L445" t="inlineStr">
        <is>
          <t>9 November 2026</t>
        </is>
      </c>
      <c r="M445" t="inlineStr">
        <is>
          <t>Konstruksi Bangunan Sipil Jalan, Konstruksi Jaringan Irigasi dan Drainase</t>
        </is>
      </c>
      <c r="N445" t="inlineStr">
        <is>
          <t>K</t>
        </is>
      </c>
      <c r="O445" t="inlineStr">
        <is>
          <t>20231107</t>
        </is>
      </c>
      <c r="P445" t="inlineStr">
        <is>
          <t>Kalimantan Timur</t>
        </is>
      </c>
      <c r="Q445" t="inlineStr"/>
    </row>
    <row r="446">
      <c r="A446" t="inlineStr">
        <is>
          <t>PELANGI PROPERTINDO PERSADA</t>
        </is>
      </c>
      <c r="B446" t="inlineStr">
        <is>
          <t>Kab. Tangerang</t>
        </is>
      </c>
      <c r="C446" t="inlineStr">
        <is>
          <t>02155655639</t>
        </is>
      </c>
      <c r="D446" t="inlineStr">
        <is>
          <t>pt.pppcompany@gmail.com</t>
        </is>
      </c>
      <c r="E446" t="inlineStr">
        <is>
          <t>https://lpjk.pu.go.id/search-badan-usaha-detail/NUlQc2hzZjZKZ3U3SWo2QllUUlFJUT09</t>
        </is>
      </c>
      <c r="F446" t="n">
        <v>3</v>
      </c>
      <c r="G446" t="inlineStr">
        <is>
          <t>BG001, BG002, BG004</t>
        </is>
      </c>
      <c r="H446" t="inlineStr">
        <is>
          <t>22 April 2015</t>
        </is>
      </c>
      <c r="I446" s="2" t="n">
        <v>46340</v>
      </c>
      <c r="J446" t="inlineStr">
        <is>
          <t>Disetujui</t>
        </is>
      </c>
      <c r="K446" t="n">
        <v>87</v>
      </c>
      <c r="L446" t="inlineStr">
        <is>
          <t>14 November 2026</t>
        </is>
      </c>
      <c r="M446" t="inlineStr">
        <is>
          <t>Konstruksi Gedung Hunian, Konstruksi Gedung Perbelanjaan, Konstruksi Gedung Perkantoran</t>
        </is>
      </c>
      <c r="N446" t="inlineStr">
        <is>
          <t>K</t>
        </is>
      </c>
      <c r="O446" t="inlineStr">
        <is>
          <t>20231113</t>
        </is>
      </c>
      <c r="P446" t="inlineStr">
        <is>
          <t>Banten</t>
        </is>
      </c>
      <c r="Q446" t="inlineStr"/>
    </row>
    <row r="447">
      <c r="A447" t="inlineStr">
        <is>
          <t>PERDANA CIPTA ANDALAN</t>
        </is>
      </c>
      <c r="B447" t="inlineStr">
        <is>
          <t>Kab. Pelalawan</t>
        </is>
      </c>
      <c r="C447" t="inlineStr">
        <is>
          <t>082386548889</t>
        </is>
      </c>
      <c r="D447" t="inlineStr">
        <is>
          <t>perdanaciptaandalan@gmail.com</t>
        </is>
      </c>
      <c r="E447" t="inlineStr">
        <is>
          <t>https://lpjk.pu.go.id/search-badan-usaha-detail/bUY1SFJCU0FnZitQSStpL1RINE9YQT09</t>
        </is>
      </c>
      <c r="F447" t="n">
        <v>1</v>
      </c>
      <c r="G447" t="inlineStr">
        <is>
          <t>BG001</t>
        </is>
      </c>
      <c r="H447" t="inlineStr">
        <is>
          <t>2 Maret 2016</t>
        </is>
      </c>
      <c r="I447" s="2" t="n">
        <v>46335</v>
      </c>
      <c r="J447" t="inlineStr">
        <is>
          <t>Disetujui</t>
        </is>
      </c>
      <c r="K447" t="n">
        <v>87</v>
      </c>
      <c r="L447" t="inlineStr">
        <is>
          <t>9 November 2026</t>
        </is>
      </c>
      <c r="M447" t="inlineStr">
        <is>
          <t>Konstruksi Gedung Hunian</t>
        </is>
      </c>
      <c r="N447" t="inlineStr">
        <is>
          <t>K</t>
        </is>
      </c>
      <c r="O447" t="inlineStr">
        <is>
          <t>20231027</t>
        </is>
      </c>
      <c r="P447" t="inlineStr">
        <is>
          <t>Riau</t>
        </is>
      </c>
      <c r="Q447" t="inlineStr"/>
    </row>
    <row r="448">
      <c r="A448" t="inlineStr">
        <is>
          <t>PERISAI LENTERA KONSULTAN</t>
        </is>
      </c>
      <c r="B448" t="inlineStr">
        <is>
          <t>Kab. Kampar</t>
        </is>
      </c>
      <c r="C448" t="inlineStr">
        <is>
          <t>081376977710</t>
        </is>
      </c>
      <c r="D448" t="inlineStr">
        <is>
          <t>ptperisailenterakonsultan@gmail.com</t>
        </is>
      </c>
      <c r="E448" t="inlineStr">
        <is>
          <t>https://lpjk.pu.go.id/search-badan-usaha-detail/MEFWZUpsWWlFeUJXaWFiYjlMNU0vdz09</t>
        </is>
      </c>
      <c r="F448" t="n">
        <v>4</v>
      </c>
      <c r="G448" t="inlineStr">
        <is>
          <t>RK001, RK002, RK003, RK005</t>
        </is>
      </c>
      <c r="H448" t="inlineStr">
        <is>
          <t>6 September 2023</t>
        </is>
      </c>
      <c r="I448" s="2" t="n">
        <v>46335</v>
      </c>
      <c r="J448" t="inlineStr">
        <is>
          <t>Disetujui, Pencabutan</t>
        </is>
      </c>
      <c r="K448" t="n">
        <v>87</v>
      </c>
      <c r="L448" t="inlineStr">
        <is>
          <t>9 November 2026</t>
        </is>
      </c>
      <c r="M448" t="inlineStr">
        <is>
          <t>Jasa Rekayasa Konstruksi Bangunan Gedung Hunian dan Non Hunian, Jasa Rekayasa Lainnya, Jasa Rekayasa Pekerjaan Teknik Sipil Sumber Daya Air, Jasa Rekayasa Pekerjaan Teknik Sipil Transportasi</t>
        </is>
      </c>
      <c r="N448" t="inlineStr">
        <is>
          <t>K</t>
        </is>
      </c>
      <c r="O448" t="inlineStr">
        <is>
          <t>20231101</t>
        </is>
      </c>
      <c r="P448" t="inlineStr">
        <is>
          <t>Riau</t>
        </is>
      </c>
      <c r="Q448" t="inlineStr"/>
    </row>
    <row r="449">
      <c r="A449" t="inlineStr">
        <is>
          <t>PERMATA KARYA TANBROTHERS</t>
        </is>
      </c>
      <c r="B449" t="inlineStr">
        <is>
          <t>Kota Jambi</t>
        </is>
      </c>
      <c r="C449" t="inlineStr">
        <is>
          <t>081369209941</t>
        </is>
      </c>
      <c r="D449" t="inlineStr">
        <is>
          <t>Pakart47@gmail.com</t>
        </is>
      </c>
      <c r="E449" t="inlineStr">
        <is>
          <t>https://lpjk.pu.go.id/search-badan-usaha-detail/SFQ1bTN6S2pjL0R6M0xJWDB0OEI5UT09</t>
        </is>
      </c>
      <c r="F449" t="n">
        <v>5</v>
      </c>
      <c r="G449" t="inlineStr">
        <is>
          <t>BG001, BG002, BG005, BG006, BG008</t>
        </is>
      </c>
      <c r="H449" t="inlineStr">
        <is>
          <t>4 Februari 2022</t>
        </is>
      </c>
      <c r="I449" s="2" t="n">
        <v>46335</v>
      </c>
      <c r="J449" t="inlineStr">
        <is>
          <t>Disetujui</t>
        </is>
      </c>
      <c r="K449" t="n">
        <v>87</v>
      </c>
      <c r="L449" t="inlineStr">
        <is>
          <t>9 November 2026</t>
        </is>
      </c>
      <c r="M449" t="inlineStr">
        <is>
          <t>Konstruksi Gedung Hunian, Konstruksi Gedung Kesehatan, Konstruksi Gedung Pendidikan, Konstruksi Gedung Perkantoran, Konstruksi Gedung Tempat Hiburan dan Olahraga</t>
        </is>
      </c>
      <c r="N449" t="inlineStr">
        <is>
          <t>K</t>
        </is>
      </c>
      <c r="O449" t="inlineStr">
        <is>
          <t>20231107</t>
        </is>
      </c>
      <c r="P449" t="inlineStr">
        <is>
          <t>Jambi</t>
        </is>
      </c>
      <c r="Q449" t="inlineStr"/>
    </row>
    <row r="450">
      <c r="A450" t="inlineStr">
        <is>
          <t>PESONA CITRA PROPERTINDO</t>
        </is>
      </c>
      <c r="B450" t="inlineStr">
        <is>
          <t>Kab. Kotawaringin Barat</t>
        </is>
      </c>
      <c r="C450" t="inlineStr">
        <is>
          <t>085888753008</t>
        </is>
      </c>
      <c r="D450" t="inlineStr">
        <is>
          <t>doc.control-pmhco@citraborneo.co.id</t>
        </is>
      </c>
      <c r="E450" t="inlineStr">
        <is>
          <t>https://lpjk.pu.go.id/search-badan-usaha-detail/cHZLaXFxQ0FtUlBTWlFKcW1qbmpydz09</t>
        </is>
      </c>
      <c r="F450" t="n">
        <v>1</v>
      </c>
      <c r="G450" t="inlineStr">
        <is>
          <t>BG001</t>
        </is>
      </c>
      <c r="H450" t="inlineStr">
        <is>
          <t>31 Mei 2013</t>
        </is>
      </c>
      <c r="I450" s="2" t="n">
        <v>46340</v>
      </c>
      <c r="J450" t="inlineStr">
        <is>
          <t>Disetujui</t>
        </is>
      </c>
      <c r="K450" t="n">
        <v>87</v>
      </c>
      <c r="L450" t="inlineStr">
        <is>
          <t>14 November 2026</t>
        </is>
      </c>
      <c r="M450" t="inlineStr">
        <is>
          <t>Konstruksi Gedung Hunian</t>
        </is>
      </c>
      <c r="N450" t="inlineStr">
        <is>
          <t>K</t>
        </is>
      </c>
      <c r="O450" t="inlineStr">
        <is>
          <t>20231017</t>
        </is>
      </c>
      <c r="P450" t="inlineStr">
        <is>
          <t>Kalimantan Tengah</t>
        </is>
      </c>
      <c r="Q450" t="inlineStr"/>
    </row>
    <row r="451">
      <c r="A451" t="inlineStr">
        <is>
          <t>PESONA TAYAP BARTIM</t>
        </is>
      </c>
      <c r="B451" t="inlineStr">
        <is>
          <t>Kab. Barito Timur</t>
        </is>
      </c>
      <c r="C451" t="inlineStr">
        <is>
          <t>085251610717</t>
        </is>
      </c>
      <c r="D451" t="inlineStr">
        <is>
          <t>pesonatayapbartim@gmail.com</t>
        </is>
      </c>
      <c r="E451" t="inlineStr">
        <is>
          <t>https://lpjk.pu.go.id/search-badan-usaha-detail/K1A5alRoZWJ5MTQrMGhLMTBlRVIyQT09</t>
        </is>
      </c>
      <c r="F451" t="n">
        <v>2</v>
      </c>
      <c r="G451" t="inlineStr">
        <is>
          <t>BG009, BS001</t>
        </is>
      </c>
      <c r="H451" t="inlineStr">
        <is>
          <t>29 Mei 2023</t>
        </is>
      </c>
      <c r="I451" s="2" t="n">
        <v>46334</v>
      </c>
      <c r="J451" t="inlineStr">
        <is>
          <t>Disetujui</t>
        </is>
      </c>
      <c r="K451" t="n">
        <v>87</v>
      </c>
      <c r="L451" t="inlineStr">
        <is>
          <t>8 November 2026</t>
        </is>
      </c>
      <c r="M451" t="inlineStr">
        <is>
          <t>Konstruksi Bangunan Sipil Jalan, Konstruksi Gedung Lainnya</t>
        </is>
      </c>
      <c r="N451" t="inlineStr">
        <is>
          <t>K</t>
        </is>
      </c>
      <c r="O451" t="inlineStr">
        <is>
          <t>20231107</t>
        </is>
      </c>
      <c r="P451" t="inlineStr">
        <is>
          <t>Kalimantan Tengah</t>
        </is>
      </c>
      <c r="Q451" t="inlineStr"/>
    </row>
    <row r="452">
      <c r="A452" t="inlineStr">
        <is>
          <t>PETRO GAS WIRA JATIM</t>
        </is>
      </c>
      <c r="B452" t="inlineStr">
        <is>
          <t>Kota Surabaya</t>
        </is>
      </c>
      <c r="C452" t="inlineStr">
        <is>
          <t>03199255050</t>
        </is>
      </c>
      <c r="D452" t="inlineStr">
        <is>
          <t>petrogaswirajatim@gmail.com</t>
        </is>
      </c>
      <c r="E452" t="inlineStr">
        <is>
          <t>https://lpjk.pu.go.id/search-badan-usaha-detail/ZW9iZExDeDV6aGFjRzU2a1FPM21nQT09</t>
        </is>
      </c>
      <c r="F452" t="n">
        <v>2</v>
      </c>
      <c r="G452" t="inlineStr">
        <is>
          <t>BS013, BS018</t>
        </is>
      </c>
      <c r="H452" t="inlineStr">
        <is>
          <t>21 Februari 2003</t>
        </is>
      </c>
      <c r="I452" s="2" t="n">
        <v>46336</v>
      </c>
      <c r="J452" t="inlineStr">
        <is>
          <t>Disetujui</t>
        </is>
      </c>
      <c r="K452" t="n">
        <v>87</v>
      </c>
      <c r="L452" t="inlineStr">
        <is>
          <t>10 November 2026</t>
        </is>
      </c>
      <c r="M452" t="inlineStr">
        <is>
          <t>Konstruksi Bangunan Sipil Fasilitas Pengolahan Produk Kimia, Petrokimia, Farmasi, dan Industri Lainnya, Konstruksi Bangunan Sipil Minyak dan Gas Bumi</t>
        </is>
      </c>
      <c r="N452" t="inlineStr">
        <is>
          <t>M</t>
        </is>
      </c>
      <c r="O452" t="inlineStr">
        <is>
          <t>20231019</t>
        </is>
      </c>
      <c r="P452" t="inlineStr">
        <is>
          <t>Jawa Timur</t>
        </is>
      </c>
      <c r="Q452" t="inlineStr"/>
    </row>
    <row r="453">
      <c r="A453" t="inlineStr">
        <is>
          <t>PILAR UTAMA</t>
        </is>
      </c>
      <c r="B453" t="inlineStr">
        <is>
          <t>Kota Palu</t>
        </is>
      </c>
      <c r="C453" t="inlineStr">
        <is>
          <t>081341381336</t>
        </is>
      </c>
      <c r="D453" t="inlineStr">
        <is>
          <t>p1larutam4@gmail.com</t>
        </is>
      </c>
      <c r="E453" t="inlineStr">
        <is>
          <t>https://lpjk.pu.go.id/search-badan-usaha-detail/WFY2bHdHL3NmNnFYRFlXYVREWWRMUT09</t>
        </is>
      </c>
      <c r="F453" t="n">
        <v>3</v>
      </c>
      <c r="G453" t="inlineStr">
        <is>
          <t>BG006, BG009, BS010</t>
        </is>
      </c>
      <c r="H453" t="inlineStr">
        <is>
          <t>4 Januari 2016</t>
        </is>
      </c>
      <c r="I453" s="2" t="n">
        <v>46338</v>
      </c>
      <c r="J453" t="inlineStr">
        <is>
          <t>Disetujui</t>
        </is>
      </c>
      <c r="K453" t="n">
        <v>87</v>
      </c>
      <c r="L453" t="inlineStr">
        <is>
          <t>12 November 2026</t>
        </is>
      </c>
      <c r="M453" t="inlineStr">
        <is>
          <t>Konstruksi Bangunan Prasarana Sumber Daya Air, Konstruksi Gedung Lainnya, Konstruksi Gedung Pendidikan</t>
        </is>
      </c>
      <c r="N453" t="inlineStr">
        <is>
          <t>K</t>
        </is>
      </c>
      <c r="O453" t="inlineStr">
        <is>
          <t>20231112</t>
        </is>
      </c>
      <c r="P453" t="inlineStr">
        <is>
          <t>Sulawesi Tengah</t>
        </is>
      </c>
      <c r="Q453" t="inlineStr"/>
    </row>
    <row r="454">
      <c r="A454" t="inlineStr">
        <is>
          <t>PILAR UTAMA EKOLOGI MABBARAKKA</t>
        </is>
      </c>
      <c r="B454" t="inlineStr">
        <is>
          <t>Kota Batam</t>
        </is>
      </c>
      <c r="C454" t="inlineStr">
        <is>
          <t>08117777397</t>
        </is>
      </c>
      <c r="D454" t="inlineStr">
        <is>
          <t>pilarutamaekologi@gmail.com</t>
        </is>
      </c>
      <c r="E454" t="inlineStr">
        <is>
          <t>https://lpjk.pu.go.id/search-badan-usaha-detail/L0dnVy9zVkR0Vnh3RWhLTlg5Y2NvUT09</t>
        </is>
      </c>
      <c r="F454" t="n">
        <v>3</v>
      </c>
      <c r="G454" t="inlineStr">
        <is>
          <t>RK002, RK003, RK005</t>
        </is>
      </c>
      <c r="H454" t="inlineStr">
        <is>
          <t>6 April 2018</t>
        </is>
      </c>
      <c r="I454" s="2" t="n">
        <v>46335</v>
      </c>
      <c r="J454" t="inlineStr">
        <is>
          <t>Disetujui</t>
        </is>
      </c>
      <c r="K454" t="n">
        <v>87</v>
      </c>
      <c r="L454" t="inlineStr">
        <is>
          <t>9 November 2026</t>
        </is>
      </c>
      <c r="M454" t="inlineStr">
        <is>
          <t>Jasa Rekayasa Lainnya, Jasa Rekayasa Pekerjaan Teknik Sipil Sumber Daya Air, Jasa Rekayasa Pekerjaan Teknik Sipil Transportasi</t>
        </is>
      </c>
      <c r="N454" t="inlineStr">
        <is>
          <t>K</t>
        </is>
      </c>
      <c r="O454" t="inlineStr">
        <is>
          <t>20231024</t>
        </is>
      </c>
      <c r="P454" t="inlineStr">
        <is>
          <t>Kepulauan Riau</t>
        </is>
      </c>
      <c r="Q454" t="inlineStr"/>
    </row>
    <row r="455">
      <c r="A455" t="inlineStr">
        <is>
          <t>PIRA KONSULTAN ENJINIRING</t>
        </is>
      </c>
      <c r="B455" t="inlineStr">
        <is>
          <t>Kota Bandung</t>
        </is>
      </c>
      <c r="C455" t="inlineStr">
        <is>
          <t>081919231082</t>
        </is>
      </c>
      <c r="D455" t="inlineStr">
        <is>
          <t>pirakonsultan@gmail.com</t>
        </is>
      </c>
      <c r="E455" t="inlineStr">
        <is>
          <t>https://lpjk.pu.go.id/search-badan-usaha-detail/Ui9CNEVoUlRjQnljUzJiTFZVcHhzUT09</t>
        </is>
      </c>
      <c r="F455" t="n">
        <v>1</v>
      </c>
      <c r="G455" t="inlineStr">
        <is>
          <t>RK001</t>
        </is>
      </c>
      <c r="H455" t="inlineStr">
        <is>
          <t>15 September 2021</t>
        </is>
      </c>
      <c r="I455" s="2" t="n">
        <v>46340</v>
      </c>
      <c r="J455" t="inlineStr">
        <is>
          <t>Disetujui</t>
        </is>
      </c>
      <c r="K455" t="n">
        <v>87</v>
      </c>
      <c r="L455" t="inlineStr">
        <is>
          <t>14 November 2026</t>
        </is>
      </c>
      <c r="M455" t="inlineStr">
        <is>
          <t>Jasa Rekayasa Konstruksi Bangunan Gedung Hunian dan Non Hunian</t>
        </is>
      </c>
      <c r="N455" t="inlineStr">
        <is>
          <t>K</t>
        </is>
      </c>
      <c r="O455" t="inlineStr">
        <is>
          <t>20231020</t>
        </is>
      </c>
      <c r="P455" t="inlineStr">
        <is>
          <t>Jawa Barat</t>
        </is>
      </c>
      <c r="Q455" t="inlineStr"/>
    </row>
    <row r="456">
      <c r="A456" t="inlineStr">
        <is>
          <t>POLYGONS</t>
        </is>
      </c>
      <c r="B456" t="inlineStr">
        <is>
          <t>Kota Palangkaraya</t>
        </is>
      </c>
      <c r="C456" t="inlineStr">
        <is>
          <t>8125179073</t>
        </is>
      </c>
      <c r="D456" t="inlineStr">
        <is>
          <t>polygons_cv@yahoo.com</t>
        </is>
      </c>
      <c r="E456" t="inlineStr">
        <is>
          <t>https://lpjk.pu.go.id/search-badan-usaha-detail/elVaS21sQTBxWlhIeUhodmg3N3dUdz09</t>
        </is>
      </c>
      <c r="F456" t="n">
        <v>8</v>
      </c>
      <c r="G456" t="inlineStr">
        <is>
          <t>AL002, AL003, RK002, RK003</t>
        </is>
      </c>
      <c r="H456" t="inlineStr">
        <is>
          <t>15 Maret 2007</t>
        </is>
      </c>
      <c r="I456" s="2" t="n">
        <v>46334</v>
      </c>
      <c r="J456" t="inlineStr">
        <is>
          <t>Disetujui</t>
        </is>
      </c>
      <c r="K456" t="n">
        <v>87</v>
      </c>
      <c r="L456" t="inlineStr">
        <is>
          <t>8 November 2026</t>
        </is>
      </c>
      <c r="M456" t="inlineStr">
        <is>
          <t>Jasa Pengembangan Perkotaan, Jasa Pengembangan Wilayah, Jasa Rekayasa Pekerjaan Teknik Sipil Sumber Daya Air, Jasa Rekayasa Pekerjaan Teknik Sipil Transportasi</t>
        </is>
      </c>
      <c r="N456" t="inlineStr">
        <is>
          <t>K</t>
        </is>
      </c>
      <c r="O456" t="inlineStr">
        <is>
          <t>20231016, 20231102</t>
        </is>
      </c>
      <c r="P456" t="inlineStr">
        <is>
          <t>Kalimantan Tengah</t>
        </is>
      </c>
      <c r="Q456" t="inlineStr"/>
    </row>
    <row r="457">
      <c r="A457" t="inlineStr">
        <is>
          <t>PRADANA EKA PERKASA</t>
        </is>
      </c>
      <c r="B457" t="inlineStr">
        <is>
          <t>Kab. Bojonegoro</t>
        </is>
      </c>
      <c r="C457" t="inlineStr">
        <is>
          <t>081239000458</t>
        </is>
      </c>
      <c r="D457" t="inlineStr">
        <is>
          <t>pradanaekaperkasa@gmail.com</t>
        </is>
      </c>
      <c r="E457" t="inlineStr">
        <is>
          <t>https://lpjk.pu.go.id/search-badan-usaha-detail/cGpSUW1YZmlSR2hmUjFpWi9ESUxkUT09</t>
        </is>
      </c>
      <c r="F457" t="n">
        <v>3</v>
      </c>
      <c r="G457" t="inlineStr">
        <is>
          <t>BG001, BG002, BG008</t>
        </is>
      </c>
      <c r="H457" t="inlineStr">
        <is>
          <t>9 September 2023</t>
        </is>
      </c>
      <c r="I457" s="2" t="n">
        <v>46339</v>
      </c>
      <c r="J457" t="inlineStr">
        <is>
          <t>Disetujui</t>
        </is>
      </c>
      <c r="K457" t="n">
        <v>87</v>
      </c>
      <c r="L457" t="inlineStr">
        <is>
          <t>13 November 2026</t>
        </is>
      </c>
      <c r="M457" t="inlineStr">
        <is>
          <t>Konstruksi Gedung Hunian, Konstruksi Gedung Perkantoran, Konstruksi Gedung Tempat Hiburan dan Olahraga</t>
        </is>
      </c>
      <c r="N457" t="inlineStr">
        <is>
          <t>K</t>
        </is>
      </c>
      <c r="O457" t="inlineStr">
        <is>
          <t>20231113</t>
        </is>
      </c>
      <c r="P457" t="inlineStr">
        <is>
          <t>Jawa Timur</t>
        </is>
      </c>
      <c r="Q457" t="inlineStr"/>
    </row>
    <row r="458">
      <c r="A458" t="inlineStr">
        <is>
          <t>PRAKARSA ADHI RAJASA</t>
        </is>
      </c>
      <c r="B458" t="inlineStr">
        <is>
          <t>Kota Bandung</t>
        </is>
      </c>
      <c r="C458" t="inlineStr">
        <is>
          <t>087793557588</t>
        </is>
      </c>
      <c r="D458" t="inlineStr">
        <is>
          <t>prakarsaadhirajasa@gmail.com</t>
        </is>
      </c>
      <c r="E458" t="inlineStr">
        <is>
          <t>https://lpjk.pu.go.id/search-badan-usaha-detail/MERjNkFWYlRmSVNzZkV5RUZ1ZUNrQT09</t>
        </is>
      </c>
      <c r="F458" t="n">
        <v>2</v>
      </c>
      <c r="G458" t="inlineStr">
        <is>
          <t>BG002, BG006</t>
        </is>
      </c>
      <c r="H458" t="inlineStr">
        <is>
          <t>11 Maret 2022</t>
        </is>
      </c>
      <c r="I458" s="2" t="n">
        <v>46334</v>
      </c>
      <c r="J458" t="inlineStr">
        <is>
          <t>Disetujui, Pencabutan</t>
        </is>
      </c>
      <c r="K458" t="n">
        <v>87</v>
      </c>
      <c r="L458" t="inlineStr">
        <is>
          <t>8 November 2026</t>
        </is>
      </c>
      <c r="M458" t="inlineStr">
        <is>
          <t>Konstruksi Gedung Pendidikan, Konstruksi Gedung Perkantoran</t>
        </is>
      </c>
      <c r="N458" t="inlineStr">
        <is>
          <t>K</t>
        </is>
      </c>
      <c r="O458" t="inlineStr">
        <is>
          <t>20230926, 20231109</t>
        </is>
      </c>
      <c r="P458" t="inlineStr">
        <is>
          <t>Jawa Barat</t>
        </is>
      </c>
      <c r="Q458" t="inlineStr"/>
    </row>
    <row r="459">
      <c r="A459" t="inlineStr">
        <is>
          <t>PRAMES WARA</t>
        </is>
      </c>
      <c r="B459" t="inlineStr">
        <is>
          <t>Kab. Toba Samosir</t>
        </is>
      </c>
      <c r="C459" t="inlineStr">
        <is>
          <t>081260089016</t>
        </is>
      </c>
      <c r="D459" t="inlineStr">
        <is>
          <t>cvprameswara@gmail.com</t>
        </is>
      </c>
      <c r="E459" t="inlineStr">
        <is>
          <t>https://lpjk.pu.go.id/search-badan-usaha-detail/R2N4R2pHdmtidnZtcTBoZ1ozUWpmQT09</t>
        </is>
      </c>
      <c r="F459" t="n">
        <v>2</v>
      </c>
      <c r="G459" t="inlineStr">
        <is>
          <t>BG006, BS001</t>
        </is>
      </c>
      <c r="H459" t="inlineStr">
        <is>
          <t>23 Agustus 2023</t>
        </is>
      </c>
      <c r="I459" s="2" t="n">
        <v>46339</v>
      </c>
      <c r="J459" t="inlineStr">
        <is>
          <t>Disetujui</t>
        </is>
      </c>
      <c r="K459" t="n">
        <v>87</v>
      </c>
      <c r="L459" t="inlineStr">
        <is>
          <t>13 November 2026</t>
        </is>
      </c>
      <c r="M459" t="inlineStr">
        <is>
          <t>Konstruksi Bangunan Sipil Jalan, Konstruksi Gedung Pendidikan</t>
        </is>
      </c>
      <c r="N459" t="inlineStr">
        <is>
          <t>K</t>
        </is>
      </c>
      <c r="O459" t="inlineStr">
        <is>
          <t>20231107, 20231108</t>
        </is>
      </c>
      <c r="P459" t="inlineStr">
        <is>
          <t>Sumatera Utara</t>
        </is>
      </c>
      <c r="Q459" t="inlineStr"/>
    </row>
    <row r="460">
      <c r="A460" t="inlineStr">
        <is>
          <t>PRAYOGA ENGINEERING CONTRACTORS</t>
        </is>
      </c>
      <c r="B460" t="inlineStr">
        <is>
          <t>Kab. Cianjur</t>
        </is>
      </c>
      <c r="C460" t="inlineStr">
        <is>
          <t>085795842602</t>
        </is>
      </c>
      <c r="D460" t="inlineStr">
        <is>
          <t>prayogaec@gmail.com</t>
        </is>
      </c>
      <c r="E460" t="inlineStr">
        <is>
          <t>https://lpjk.pu.go.id/search-badan-usaha-detail/Y2d4dkgwcXFlQzBIVTBNam5yODNJZz09</t>
        </is>
      </c>
      <c r="F460" t="n">
        <v>3</v>
      </c>
      <c r="G460" t="inlineStr">
        <is>
          <t>BG005, BG006, BG009</t>
        </is>
      </c>
      <c r="H460" t="inlineStr">
        <is>
          <t>27 Desember 2002</t>
        </is>
      </c>
      <c r="I460" s="2" t="n">
        <v>46335</v>
      </c>
      <c r="J460" t="inlineStr">
        <is>
          <t>Disetujui</t>
        </is>
      </c>
      <c r="K460" t="n">
        <v>87</v>
      </c>
      <c r="L460" t="inlineStr">
        <is>
          <t>9 November 2026</t>
        </is>
      </c>
      <c r="M460" t="inlineStr">
        <is>
          <t>Konstruksi Gedung Kesehatan, Konstruksi Gedung Lainnya, Konstruksi Gedung Pendidikan</t>
        </is>
      </c>
      <c r="N460" t="inlineStr">
        <is>
          <t>K</t>
        </is>
      </c>
      <c r="O460" t="inlineStr">
        <is>
          <t>20231110</t>
        </is>
      </c>
      <c r="P460" t="inlineStr">
        <is>
          <t>Jawa Barat</t>
        </is>
      </c>
      <c r="Q460" t="inlineStr"/>
    </row>
    <row r="461">
      <c r="A461" t="inlineStr">
        <is>
          <t>PRESISINDO JAYA MANDIRI</t>
        </is>
      </c>
      <c r="B461" t="inlineStr">
        <is>
          <t>Kota Tangerang</t>
        </is>
      </c>
      <c r="C461" t="inlineStr">
        <is>
          <t>02155750169</t>
        </is>
      </c>
      <c r="D461" t="inlineStr">
        <is>
          <t>cv.presisindojayamandiri@gmail.com</t>
        </is>
      </c>
      <c r="E461" t="inlineStr">
        <is>
          <t>https://lpjk.pu.go.id/search-badan-usaha-detail/MWhuSFo4bUEzcnZ2cmVzN1FrU0x5UT09</t>
        </is>
      </c>
      <c r="F461" t="n">
        <v>6</v>
      </c>
      <c r="G461" t="inlineStr">
        <is>
          <t>BG001, BG002, BG003, BG006, BS001, BS004</t>
        </is>
      </c>
      <c r="H461" t="inlineStr">
        <is>
          <t>4 Agustus 2011</t>
        </is>
      </c>
      <c r="I461" s="2" t="n">
        <v>46339</v>
      </c>
      <c r="J461" t="inlineStr">
        <is>
          <t>Disetujui</t>
        </is>
      </c>
      <c r="K461" t="n">
        <v>87</v>
      </c>
      <c r="L461" t="inlineStr">
        <is>
          <t>13 November 2026</t>
        </is>
      </c>
      <c r="M461" t="inlineStr">
        <is>
          <t>Konstruksi Bangunan Sipil Jalan, Konstruksi Gedung Hunian, Konstruksi Gedung Industri, Konstruksi Gedung Pendidikan, Konstruksi Gedung Perkantoran, Konstruksi Jaringan Irigasi dan Drainase</t>
        </is>
      </c>
      <c r="N461" t="inlineStr">
        <is>
          <t>K</t>
        </is>
      </c>
      <c r="O461" t="inlineStr">
        <is>
          <t>20231109, 20231110</t>
        </is>
      </c>
      <c r="P461" t="inlineStr">
        <is>
          <t>Banten</t>
        </is>
      </c>
      <c r="Q461" t="inlineStr"/>
    </row>
    <row r="462">
      <c r="A462" t="inlineStr">
        <is>
          <t>PRIMA INDO PERSADA</t>
        </is>
      </c>
      <c r="B462" t="inlineStr">
        <is>
          <t>Kota Metro</t>
        </is>
      </c>
      <c r="C462" t="inlineStr">
        <is>
          <t>082184163658</t>
        </is>
      </c>
      <c r="D462" t="inlineStr">
        <is>
          <t>primaindopcv@gmail.com</t>
        </is>
      </c>
      <c r="E462" t="inlineStr">
        <is>
          <t>https://lpjk.pu.go.id/search-badan-usaha-detail/NWJDb1ZqWk5rU1dBdGN6QVY3TDRQdz09</t>
        </is>
      </c>
      <c r="F462" t="n">
        <v>3</v>
      </c>
      <c r="G462" t="inlineStr">
        <is>
          <t>BG005, BG006, BG009</t>
        </is>
      </c>
      <c r="H462" t="inlineStr">
        <is>
          <t>11 Juli 2017</t>
        </is>
      </c>
      <c r="I462" s="2" t="n">
        <v>46338</v>
      </c>
      <c r="J462" t="inlineStr">
        <is>
          <t>Disetujui</t>
        </is>
      </c>
      <c r="K462" t="n">
        <v>87</v>
      </c>
      <c r="L462" t="inlineStr">
        <is>
          <t>12 November 2026</t>
        </is>
      </c>
      <c r="M462" t="inlineStr">
        <is>
          <t>Konstruksi Gedung Kesehatan, Konstruksi Gedung Lainnya, Konstruksi Gedung Pendidikan</t>
        </is>
      </c>
      <c r="N462" t="inlineStr">
        <is>
          <t>K</t>
        </is>
      </c>
      <c r="O462" t="inlineStr">
        <is>
          <t>20231108, 20231113, 20231114</t>
        </is>
      </c>
      <c r="P462" t="inlineStr">
        <is>
          <t>Lampung</t>
        </is>
      </c>
      <c r="Q462" t="inlineStr"/>
    </row>
    <row r="463">
      <c r="A463" t="inlineStr">
        <is>
          <t>PRIMA MEGAH IRSA</t>
        </is>
      </c>
      <c r="B463" t="inlineStr">
        <is>
          <t>Kab. Gresik</t>
        </is>
      </c>
      <c r="C463" t="inlineStr">
        <is>
          <t>0811125585</t>
        </is>
      </c>
      <c r="D463" t="inlineStr">
        <is>
          <t>makhrudy@yahoo.com</t>
        </is>
      </c>
      <c r="E463" t="inlineStr">
        <is>
          <t>https://lpjk.pu.go.id/search-badan-usaha-detail/VkFUdXhMSVY4R2VyVk43SUhzbkFoUT09</t>
        </is>
      </c>
      <c r="F463" t="n">
        <v>1</v>
      </c>
      <c r="G463" t="inlineStr">
        <is>
          <t>BS001</t>
        </is>
      </c>
      <c r="H463" t="inlineStr">
        <is>
          <t>13 Maret 2010</t>
        </is>
      </c>
      <c r="I463" s="2" t="n">
        <v>46335</v>
      </c>
      <c r="J463" t="inlineStr">
        <is>
          <t>Disetujui</t>
        </is>
      </c>
      <c r="K463" t="n">
        <v>87</v>
      </c>
      <c r="L463" t="inlineStr">
        <is>
          <t>9 November 2026</t>
        </is>
      </c>
      <c r="M463" t="inlineStr">
        <is>
          <t>Konstruksi Bangunan Sipil Jalan</t>
        </is>
      </c>
      <c r="N463" t="inlineStr">
        <is>
          <t>K</t>
        </is>
      </c>
      <c r="O463" t="inlineStr">
        <is>
          <t>20231103</t>
        </is>
      </c>
      <c r="P463" t="inlineStr">
        <is>
          <t>Jawa Timur</t>
        </is>
      </c>
      <c r="Q463" t="inlineStr"/>
    </row>
    <row r="464">
      <c r="A464" t="inlineStr">
        <is>
          <t>PRIMA RV</t>
        </is>
      </c>
      <c r="B464" t="inlineStr">
        <is>
          <t>Kota Salatiga</t>
        </is>
      </c>
      <c r="C464" t="inlineStr">
        <is>
          <t>02983432377</t>
        </is>
      </c>
      <c r="D464" t="inlineStr">
        <is>
          <t>cvprimaxv@gmail.com</t>
        </is>
      </c>
      <c r="E464" t="inlineStr">
        <is>
          <t>https://lpjk.pu.go.id/search-badan-usaha-detail/elcwRW9TZGcraVlWZXYxa2NIcnFNUT09</t>
        </is>
      </c>
      <c r="F464" t="n">
        <v>4</v>
      </c>
      <c r="G464" t="inlineStr">
        <is>
          <t>BG001, BG002, BG005, BG009</t>
        </is>
      </c>
      <c r="H464" t="inlineStr">
        <is>
          <t>8 April 2023</t>
        </is>
      </c>
      <c r="I464" s="2" t="n">
        <v>46337</v>
      </c>
      <c r="J464" t="inlineStr">
        <is>
          <t>Pencabutan</t>
        </is>
      </c>
      <c r="K464" t="n">
        <v>87</v>
      </c>
      <c r="L464" t="inlineStr">
        <is>
          <t>11 November 2026</t>
        </is>
      </c>
      <c r="M464" t="inlineStr">
        <is>
          <t>Konstruksi Gedung Hunian, Konstruksi Gedung Kesehatan, Konstruksi Gedung Lainnya, Konstruksi Gedung Perkantoran</t>
        </is>
      </c>
      <c r="N464" t="inlineStr">
        <is>
          <t>K</t>
        </is>
      </c>
      <c r="O464" t="inlineStr">
        <is>
          <t>20231108, 20231109</t>
        </is>
      </c>
      <c r="P464" t="inlineStr">
        <is>
          <t>Jawa Tengah</t>
        </is>
      </c>
      <c r="Q464" t="inlineStr"/>
    </row>
    <row r="465">
      <c r="A465" t="inlineStr">
        <is>
          <t>PRIMACO JAYA LARASINDO</t>
        </is>
      </c>
      <c r="B465" t="inlineStr">
        <is>
          <t>Kota Medan</t>
        </is>
      </c>
      <c r="C465" t="inlineStr">
        <is>
          <t>06142067459</t>
        </is>
      </c>
      <c r="D465" t="inlineStr">
        <is>
          <t>primacojl.adm@gmail.com</t>
        </is>
      </c>
      <c r="E465" t="inlineStr">
        <is>
          <t>https://lpjk.pu.go.id/search-badan-usaha-detail/WGJOWmtNL2lDRDhOQ2dIcGZwdUY5UT09</t>
        </is>
      </c>
      <c r="F465" t="n">
        <v>2</v>
      </c>
      <c r="G465" t="inlineStr">
        <is>
          <t>BS013</t>
        </is>
      </c>
      <c r="H465" t="inlineStr">
        <is>
          <t>20 Februari 2008</t>
        </is>
      </c>
      <c r="I465" s="2" t="n">
        <v>46336</v>
      </c>
      <c r="J465" t="inlineStr">
        <is>
          <t>Pembekuan</t>
        </is>
      </c>
      <c r="K465" t="n">
        <v>87</v>
      </c>
      <c r="L465" t="inlineStr">
        <is>
          <t>10 November 2026</t>
        </is>
      </c>
      <c r="M465" t="inlineStr">
        <is>
          <t>Konstruksi Bangunan Sipil Minyak dan Gas Bumi</t>
        </is>
      </c>
      <c r="N465" t="inlineStr">
        <is>
          <t>M</t>
        </is>
      </c>
      <c r="O465" t="inlineStr">
        <is>
          <t>20231110</t>
        </is>
      </c>
      <c r="P465" t="inlineStr">
        <is>
          <t>Sumatera Utara</t>
        </is>
      </c>
      <c r="Q465" t="inlineStr"/>
    </row>
    <row r="466">
      <c r="A466" t="inlineStr">
        <is>
          <t>PRISMA</t>
        </is>
      </c>
      <c r="B466" t="inlineStr">
        <is>
          <t>Kota Probolinggo</t>
        </is>
      </c>
      <c r="C466" t="inlineStr">
        <is>
          <t>08124929641</t>
        </is>
      </c>
      <c r="D466" t="inlineStr">
        <is>
          <t>cvprisma0@gmail.com</t>
        </is>
      </c>
      <c r="E466" t="inlineStr">
        <is>
          <t>https://lpjk.pu.go.id/search-badan-usaha-detail/dE1FZEtMZHNQemNwZHlsdGt3cFJBZz09</t>
        </is>
      </c>
      <c r="F466" t="n">
        <v>2</v>
      </c>
      <c r="G466" t="inlineStr">
        <is>
          <t>RK001, RK003</t>
        </is>
      </c>
      <c r="H466" t="inlineStr">
        <is>
          <t>1 Agustus 2019</t>
        </is>
      </c>
      <c r="I466" s="2" t="n">
        <v>46340</v>
      </c>
      <c r="J466" t="inlineStr">
        <is>
          <t>Disetujui</t>
        </is>
      </c>
      <c r="K466" t="n">
        <v>87</v>
      </c>
      <c r="L466" t="inlineStr">
        <is>
          <t>14 November 2026</t>
        </is>
      </c>
      <c r="M466" t="inlineStr">
        <is>
          <t>Jasa Rekayasa Konstruksi Bangunan Gedung Hunian dan Non Hunian, Jasa Rekayasa Pekerjaan Teknik Sipil Transportasi</t>
        </is>
      </c>
      <c r="N466" t="inlineStr">
        <is>
          <t>K</t>
        </is>
      </c>
      <c r="O466" t="inlineStr">
        <is>
          <t>20231107</t>
        </is>
      </c>
      <c r="P466" t="inlineStr">
        <is>
          <t>Jawa Timur</t>
        </is>
      </c>
      <c r="Q466" t="inlineStr"/>
    </row>
    <row r="467">
      <c r="A467" t="inlineStr">
        <is>
          <t>PRISMA KUSUMA JAYA</t>
        </is>
      </c>
      <c r="B467" t="inlineStr">
        <is>
          <t>Kota Adm. Jakarta Selatan</t>
        </is>
      </c>
      <c r="C467" t="inlineStr">
        <is>
          <t>0217174096</t>
        </is>
      </c>
      <c r="D467" t="inlineStr">
        <is>
          <t>pt.prisma.kusuma.jaya@gmail.com</t>
        </is>
      </c>
      <c r="E467" t="inlineStr">
        <is>
          <t>https://lpjk.pu.go.id/search-badan-usaha-detail/VHlPaTl3NVcrcGw0REJmOFJCZFZqdz09</t>
        </is>
      </c>
      <c r="F467" t="n">
        <v>2</v>
      </c>
      <c r="G467" t="inlineStr">
        <is>
          <t>BG003, BG009</t>
        </is>
      </c>
      <c r="H467" t="inlineStr">
        <is>
          <t>6 Juni 1996</t>
        </is>
      </c>
      <c r="I467" s="2" t="n">
        <v>46339</v>
      </c>
      <c r="J467" t="inlineStr">
        <is>
          <t>Disetujui, Pencabutan</t>
        </is>
      </c>
      <c r="K467" t="n">
        <v>87</v>
      </c>
      <c r="L467" t="inlineStr">
        <is>
          <t>13 November 2026</t>
        </is>
      </c>
      <c r="M467" t="inlineStr">
        <is>
          <t>Konstruksi Gedung Industri, Konstruksi Gedung Lainnya</t>
        </is>
      </c>
      <c r="N467" t="inlineStr">
        <is>
          <t>K</t>
        </is>
      </c>
      <c r="O467" t="inlineStr">
        <is>
          <t>20231106</t>
        </is>
      </c>
      <c r="P467" t="inlineStr">
        <is>
          <t>DKI Jakarta</t>
        </is>
      </c>
      <c r="Q467" t="inlineStr"/>
    </row>
    <row r="468">
      <c r="A468" t="inlineStr">
        <is>
          <t>PROFESIONAL INDONESIA LANTERA RAGA</t>
        </is>
      </c>
      <c r="B468" t="inlineStr">
        <is>
          <t>Kab. Serang</t>
        </is>
      </c>
      <c r="C468" t="inlineStr">
        <is>
          <t>082280441238</t>
        </is>
      </c>
      <c r="D468" t="inlineStr">
        <is>
          <t>pilarcontractor.banten@gmail.com</t>
        </is>
      </c>
      <c r="E468" t="inlineStr">
        <is>
          <t>https://lpjk.pu.go.id/search-badan-usaha-detail/dllDQVRyUXkzVDVLZTV1dGEwcGRCQT09</t>
        </is>
      </c>
      <c r="F468" t="n">
        <v>5</v>
      </c>
      <c r="G468" t="inlineStr">
        <is>
          <t>BG001, BG002, BG003, BS001, PB004</t>
        </is>
      </c>
      <c r="H468" t="inlineStr">
        <is>
          <t>18 Januari 2002</t>
        </is>
      </c>
      <c r="I468" s="2" t="n">
        <v>46339</v>
      </c>
      <c r="J468" t="inlineStr">
        <is>
          <t>Disetujui</t>
        </is>
      </c>
      <c r="K468" t="n">
        <v>87</v>
      </c>
      <c r="L468" t="inlineStr">
        <is>
          <t>13 November 2026</t>
        </is>
      </c>
      <c r="M468" t="inlineStr">
        <is>
          <t>Dekorasi Interior, Konstruksi Bangunan Sipil Jalan, Konstruksi Gedung Hunian, Konstruksi Gedung Industri, Konstruksi Gedung Perkantoran</t>
        </is>
      </c>
      <c r="N468" t="inlineStr">
        <is>
          <t>K, Spesialis</t>
        </is>
      </c>
      <c r="O468" t="inlineStr">
        <is>
          <t>20231111</t>
        </is>
      </c>
      <c r="P468" t="inlineStr">
        <is>
          <t>Banten</t>
        </is>
      </c>
      <c r="Q468" t="inlineStr"/>
    </row>
    <row r="469">
      <c r="A469" t="inlineStr">
        <is>
          <t>PUNCAK ANDALAS</t>
        </is>
      </c>
      <c r="B469" t="inlineStr">
        <is>
          <t>Kab. Kerinci</t>
        </is>
      </c>
      <c r="C469" t="inlineStr">
        <is>
          <t>082318227404</t>
        </is>
      </c>
      <c r="D469" t="inlineStr">
        <is>
          <t>frandatoninoval@gmail.com</t>
        </is>
      </c>
      <c r="E469" t="inlineStr">
        <is>
          <t>https://lpjk.pu.go.id/search-badan-usaha-detail/ZDhIVElsb25jUHd6OExQYVZ6YkRDZz09</t>
        </is>
      </c>
      <c r="F469" t="n">
        <v>1</v>
      </c>
      <c r="G469" t="inlineStr">
        <is>
          <t>BS004</t>
        </is>
      </c>
      <c r="H469" t="inlineStr">
        <is>
          <t>3 November 2012</t>
        </is>
      </c>
      <c r="I469" s="2" t="n">
        <v>46335</v>
      </c>
      <c r="J469" t="inlineStr">
        <is>
          <t>Disetujui</t>
        </is>
      </c>
      <c r="K469" t="n">
        <v>87</v>
      </c>
      <c r="L469" t="inlineStr">
        <is>
          <t>9 November 2026</t>
        </is>
      </c>
      <c r="M469" t="inlineStr">
        <is>
          <t>Konstruksi Jaringan Irigasi dan Drainase</t>
        </is>
      </c>
      <c r="N469" t="inlineStr">
        <is>
          <t>K</t>
        </is>
      </c>
      <c r="O469" t="inlineStr">
        <is>
          <t>20231110</t>
        </is>
      </c>
      <c r="P469" t="inlineStr">
        <is>
          <t>Jambi</t>
        </is>
      </c>
      <c r="Q469" t="inlineStr"/>
    </row>
    <row r="470">
      <c r="A470" t="inlineStr">
        <is>
          <t>PURNAMA BORNEO JAYA</t>
        </is>
      </c>
      <c r="B470" t="inlineStr">
        <is>
          <t>Kab. Seruyan</t>
        </is>
      </c>
      <c r="C470" t="inlineStr">
        <is>
          <t>082357919191</t>
        </is>
      </c>
      <c r="D470" t="inlineStr">
        <is>
          <t>cvpurnamaborneojaya@gmail.com</t>
        </is>
      </c>
      <c r="E470" t="inlineStr">
        <is>
          <t>https://lpjk.pu.go.id/search-badan-usaha-detail/R1BhOU0yMlhtUmhFQUNXT1F0VWpUQT09</t>
        </is>
      </c>
      <c r="F470" t="n">
        <v>2</v>
      </c>
      <c r="G470" t="inlineStr">
        <is>
          <t>BS001</t>
        </is>
      </c>
      <c r="H470" t="inlineStr">
        <is>
          <t>12 Oktober 2023</t>
        </is>
      </c>
      <c r="I470" s="2" t="n">
        <v>46335</v>
      </c>
      <c r="J470" t="inlineStr">
        <is>
          <t>Disetujui</t>
        </is>
      </c>
      <c r="K470" t="n">
        <v>87</v>
      </c>
      <c r="L470" t="inlineStr">
        <is>
          <t>9 November 2026</t>
        </is>
      </c>
      <c r="M470" t="inlineStr">
        <is>
          <t>Konstruksi Bangunan Sipil Jalan</t>
        </is>
      </c>
      <c r="N470" t="inlineStr">
        <is>
          <t>K</t>
        </is>
      </c>
      <c r="O470" t="inlineStr">
        <is>
          <t>20231109</t>
        </is>
      </c>
      <c r="P470" t="inlineStr">
        <is>
          <t>Kalimantan Tengah</t>
        </is>
      </c>
      <c r="Q470" t="inlineStr"/>
    </row>
    <row r="471">
      <c r="A471" t="inlineStr">
        <is>
          <t>PUTERA DHARMA RAYA</t>
        </is>
      </c>
      <c r="B471" t="inlineStr">
        <is>
          <t>Kab. Hulu Sungai Tengah</t>
        </is>
      </c>
      <c r="C471" t="inlineStr">
        <is>
          <t>082154215959</t>
        </is>
      </c>
      <c r="D471" t="inlineStr">
        <is>
          <t>ptputeradharmaraya@gmail.com</t>
        </is>
      </c>
      <c r="E471" t="inlineStr">
        <is>
          <t>https://lpjk.pu.go.id/search-badan-usaha-detail/M2NUTE84ZW1sbVI2NXYxL2Rxa1Y2Zz09</t>
        </is>
      </c>
      <c r="F471" t="n">
        <v>1</v>
      </c>
      <c r="G471" t="inlineStr">
        <is>
          <t>BS001</t>
        </is>
      </c>
      <c r="H471" t="inlineStr">
        <is>
          <t>12 Desember 1980</t>
        </is>
      </c>
      <c r="I471" s="2" t="n">
        <v>46334</v>
      </c>
      <c r="J471" t="inlineStr">
        <is>
          <t>Pencabutan</t>
        </is>
      </c>
      <c r="K471" t="n">
        <v>87</v>
      </c>
      <c r="L471" t="inlineStr">
        <is>
          <t>8 November 2026</t>
        </is>
      </c>
      <c r="M471" t="inlineStr">
        <is>
          <t>Konstruksi Bangunan Sipil Jalan</t>
        </is>
      </c>
      <c r="N471" t="inlineStr">
        <is>
          <t>M</t>
        </is>
      </c>
      <c r="O471" t="inlineStr">
        <is>
          <t>20230929</t>
        </is>
      </c>
      <c r="P471" t="inlineStr">
        <is>
          <t>Kalimantan Selatan</t>
        </is>
      </c>
      <c r="Q471" t="inlineStr"/>
    </row>
    <row r="472">
      <c r="A472" t="inlineStr">
        <is>
          <t>PUTERA PRATAMA</t>
        </is>
      </c>
      <c r="B472" t="inlineStr">
        <is>
          <t>Kab. Banjar</t>
        </is>
      </c>
      <c r="C472" t="inlineStr">
        <is>
          <t>081250066777</t>
        </is>
      </c>
      <c r="D472" t="inlineStr">
        <is>
          <t>puterapratama5@gmail.com</t>
        </is>
      </c>
      <c r="E472" t="inlineStr">
        <is>
          <t>https://lpjk.pu.go.id/search-badan-usaha-detail/OUVkU3JUVUpwQ3VYRVJ4RStYOE5Udz09</t>
        </is>
      </c>
      <c r="F472" t="n">
        <v>2</v>
      </c>
      <c r="G472" t="inlineStr">
        <is>
          <t>BS001, BS002</t>
        </is>
      </c>
      <c r="H472" t="inlineStr">
        <is>
          <t>3 Desember 2003</t>
        </is>
      </c>
      <c r="I472" s="2" t="n">
        <v>46340</v>
      </c>
      <c r="J472" t="inlineStr">
        <is>
          <t>Disetujui</t>
        </is>
      </c>
      <c r="K472" t="n">
        <v>87</v>
      </c>
      <c r="L472" t="inlineStr">
        <is>
          <t>14 November 2026</t>
        </is>
      </c>
      <c r="M472" t="inlineStr">
        <is>
          <t>Bangunan Sipil Jembatan, Jalan Layang, Fly Over, dan Underpass, Konstruksi Bangunan Sipil Jalan</t>
        </is>
      </c>
      <c r="N472" t="inlineStr">
        <is>
          <t>K</t>
        </is>
      </c>
      <c r="O472" t="inlineStr">
        <is>
          <t>20231108, 20231113</t>
        </is>
      </c>
      <c r="P472" t="inlineStr">
        <is>
          <t>Kalimantan Selatan</t>
        </is>
      </c>
      <c r="Q472" t="inlineStr"/>
    </row>
    <row r="473">
      <c r="A473" t="inlineStr">
        <is>
          <t>PUTRA BERLIAN PERKASA</t>
        </is>
      </c>
      <c r="B473" t="inlineStr">
        <is>
          <t>Kab. Grobogan</t>
        </is>
      </c>
      <c r="C473" t="inlineStr">
        <is>
          <t>083154591807</t>
        </is>
      </c>
      <c r="D473" t="inlineStr">
        <is>
          <t>Putraberlianperkasa@gmail.com</t>
        </is>
      </c>
      <c r="E473" t="inlineStr">
        <is>
          <t>https://lpjk.pu.go.id/search-badan-usaha-detail/SE9WVWduRDBtQXR0eHQ4Z2syaXVFQT09</t>
        </is>
      </c>
      <c r="F473" t="n">
        <v>1</v>
      </c>
      <c r="G473" t="inlineStr">
        <is>
          <t>BG002</t>
        </is>
      </c>
      <c r="H473" t="inlineStr">
        <is>
          <t>24 Maret 2021</t>
        </is>
      </c>
      <c r="I473" s="2" t="n">
        <v>46340</v>
      </c>
      <c r="J473" t="inlineStr">
        <is>
          <t>Disetujui</t>
        </is>
      </c>
      <c r="K473" t="n">
        <v>87</v>
      </c>
      <c r="L473" t="inlineStr">
        <is>
          <t>14 November 2026</t>
        </is>
      </c>
      <c r="M473" t="inlineStr">
        <is>
          <t>Konstruksi Gedung Perkantoran</t>
        </is>
      </c>
      <c r="N473" t="inlineStr">
        <is>
          <t>K</t>
        </is>
      </c>
      <c r="O473" t="inlineStr">
        <is>
          <t>20231111</t>
        </is>
      </c>
      <c r="P473" t="inlineStr">
        <is>
          <t>Jawa Tengah</t>
        </is>
      </c>
      <c r="Q473" t="inlineStr"/>
    </row>
    <row r="474">
      <c r="A474" t="inlineStr">
        <is>
          <t>PUTRA KARYA FISINDO</t>
        </is>
      </c>
      <c r="B474" t="inlineStr">
        <is>
          <t>Kota Medan</t>
        </is>
      </c>
      <c r="C474" t="inlineStr">
        <is>
          <t>081263477662</t>
        </is>
      </c>
      <c r="D474" t="inlineStr">
        <is>
          <t>cv.putrakaryafisindo@gmail.com</t>
        </is>
      </c>
      <c r="E474" t="inlineStr">
        <is>
          <t>https://lpjk.pu.go.id/search-badan-usaha-detail/QXZUYTNJSUw2N243TUs4Tks0ZXQwdz09</t>
        </is>
      </c>
      <c r="F474" t="n">
        <v>1</v>
      </c>
      <c r="G474" t="inlineStr">
        <is>
          <t>BS001</t>
        </is>
      </c>
      <c r="H474" t="inlineStr">
        <is>
          <t>18 Juli 2019</t>
        </is>
      </c>
      <c r="I474" s="2" t="n">
        <v>46338</v>
      </c>
      <c r="J474" t="inlineStr">
        <is>
          <t>Disetujui</t>
        </is>
      </c>
      <c r="K474" t="n">
        <v>87</v>
      </c>
      <c r="L474" t="inlineStr">
        <is>
          <t>12 November 2026</t>
        </is>
      </c>
      <c r="M474" t="inlineStr">
        <is>
          <t>Konstruksi Bangunan Sipil Jalan</t>
        </is>
      </c>
      <c r="N474" t="inlineStr">
        <is>
          <t>K</t>
        </is>
      </c>
      <c r="O474" t="inlineStr">
        <is>
          <t>20231101</t>
        </is>
      </c>
      <c r="P474" t="inlineStr">
        <is>
          <t>Sumatera Utara</t>
        </is>
      </c>
      <c r="Q474" t="inlineStr"/>
    </row>
    <row r="475">
      <c r="A475" t="inlineStr">
        <is>
          <t>PUTRA LEBUNG MANDIRI</t>
        </is>
      </c>
      <c r="B475" t="inlineStr">
        <is>
          <t>Kab. Banyuasin</t>
        </is>
      </c>
      <c r="C475" t="inlineStr">
        <is>
          <t>082371931845</t>
        </is>
      </c>
      <c r="D475" t="inlineStr">
        <is>
          <t>cvputralebungmandiri@gmail.com</t>
        </is>
      </c>
      <c r="E475" t="inlineStr">
        <is>
          <t>https://lpjk.pu.go.id/search-badan-usaha-detail/bHB4bGRKUkYvcGora3MwZmh0WnV3UT09</t>
        </is>
      </c>
      <c r="F475" t="n">
        <v>1</v>
      </c>
      <c r="G475" t="inlineStr">
        <is>
          <t>BS001</t>
        </is>
      </c>
      <c r="H475" t="inlineStr">
        <is>
          <t>29 Juni 2020</t>
        </is>
      </c>
      <c r="I475" s="2" t="n">
        <v>46335</v>
      </c>
      <c r="J475" t="inlineStr">
        <is>
          <t>Disetujui</t>
        </is>
      </c>
      <c r="K475" t="n">
        <v>87</v>
      </c>
      <c r="L475" t="inlineStr">
        <is>
          <t>9 November 2026</t>
        </is>
      </c>
      <c r="M475" t="inlineStr">
        <is>
          <t>Konstruksi Bangunan Sipil Jalan</t>
        </is>
      </c>
      <c r="N475" t="inlineStr">
        <is>
          <t>K</t>
        </is>
      </c>
      <c r="O475" t="inlineStr">
        <is>
          <t>20231027</t>
        </is>
      </c>
      <c r="P475" t="inlineStr">
        <is>
          <t>Sumatera Selatan</t>
        </is>
      </c>
      <c r="Q475" t="inlineStr"/>
    </row>
    <row r="476">
      <c r="A476" t="inlineStr">
        <is>
          <t>PUTRA NATABA</t>
        </is>
      </c>
      <c r="B476" t="inlineStr">
        <is>
          <t>Kab. Garut</t>
        </is>
      </c>
      <c r="C476" t="inlineStr">
        <is>
          <t>085222224699</t>
        </is>
      </c>
      <c r="D476" t="inlineStr">
        <is>
          <t>cv.putranataba@gmail.com</t>
        </is>
      </c>
      <c r="E476" t="inlineStr">
        <is>
          <t>https://lpjk.pu.go.id/search-badan-usaha-detail/REtBTWhmbk5SUEVCUVNZdGorRFlCZz09</t>
        </is>
      </c>
      <c r="F476" t="n">
        <v>4</v>
      </c>
      <c r="G476" t="inlineStr">
        <is>
          <t>BG001, BG002, BG005, BG009</t>
        </is>
      </c>
      <c r="H476" t="inlineStr">
        <is>
          <t>20 Januari 2006</t>
        </is>
      </c>
      <c r="I476" s="2" t="n">
        <v>46339</v>
      </c>
      <c r="J476" t="inlineStr">
        <is>
          <t>Disetujui, Pencabutan</t>
        </is>
      </c>
      <c r="K476" t="n">
        <v>87</v>
      </c>
      <c r="L476" t="inlineStr">
        <is>
          <t>13 November 2026</t>
        </is>
      </c>
      <c r="M476" t="inlineStr">
        <is>
          <t>Konstruksi Gedung Hunian, Konstruksi Gedung Kesehatan, Konstruksi Gedung Lainnya, Konstruksi Gedung Perkantoran</t>
        </is>
      </c>
      <c r="N476" t="inlineStr">
        <is>
          <t>K</t>
        </is>
      </c>
      <c r="O476" t="inlineStr">
        <is>
          <t>20231113, 20231114</t>
        </is>
      </c>
      <c r="P476" t="inlineStr">
        <is>
          <t>Jawa Barat</t>
        </is>
      </c>
      <c r="Q476" t="inlineStr"/>
    </row>
    <row r="477">
      <c r="A477" t="inlineStr">
        <is>
          <t>PUTRA PERDANA</t>
        </is>
      </c>
      <c r="B477" t="inlineStr">
        <is>
          <t>Kab. Batang</t>
        </is>
      </c>
      <c r="C477" t="inlineStr">
        <is>
          <t>085842390205</t>
        </is>
      </c>
      <c r="D477" t="inlineStr">
        <is>
          <t>cv.putraperdanabtg@gmail.com</t>
        </is>
      </c>
      <c r="E477" t="inlineStr">
        <is>
          <t>https://lpjk.pu.go.id/search-badan-usaha-detail/TktXWmQ4VE5XTXpoMmNwcUdBVG9ZUT09</t>
        </is>
      </c>
      <c r="F477" t="n">
        <v>6</v>
      </c>
      <c r="G477" t="inlineStr">
        <is>
          <t>BG001, BG002, BG005, BG006, BG009, BS001</t>
        </is>
      </c>
      <c r="H477" t="inlineStr">
        <is>
          <t>14 Agustus 2001</t>
        </is>
      </c>
      <c r="I477" s="2" t="n">
        <v>46334</v>
      </c>
      <c r="J477" t="inlineStr">
        <is>
          <t>Disetujui</t>
        </is>
      </c>
      <c r="K477" t="n">
        <v>87</v>
      </c>
      <c r="L477" t="inlineStr">
        <is>
          <t>8 November 2026</t>
        </is>
      </c>
      <c r="M477" t="inlineStr">
        <is>
          <t>Konstruksi Bangunan Sipil Jalan, Konstruksi Gedung Hunian, Konstruksi Gedung Kesehatan, Konstruksi Gedung Lainnya, Konstruksi Gedung Pendidikan, Konstruksi Gedung Perkantoran</t>
        </is>
      </c>
      <c r="N477" t="inlineStr">
        <is>
          <t>K</t>
        </is>
      </c>
      <c r="O477" t="inlineStr">
        <is>
          <t>20231103, 20231106</t>
        </is>
      </c>
      <c r="P477" t="inlineStr">
        <is>
          <t>Jawa Tengah</t>
        </is>
      </c>
      <c r="Q477" t="inlineStr"/>
    </row>
    <row r="478">
      <c r="A478" t="inlineStr">
        <is>
          <t>PUTRA PERKASA PRIMA</t>
        </is>
      </c>
      <c r="B478" t="inlineStr">
        <is>
          <t>Kab. Sukabumi</t>
        </is>
      </c>
      <c r="C478" t="inlineStr">
        <is>
          <t>085814514850</t>
        </is>
      </c>
      <c r="D478" t="inlineStr">
        <is>
          <t>putraperkasaprima88@gmail.com</t>
        </is>
      </c>
      <c r="E478" t="inlineStr">
        <is>
          <t>https://lpjk.pu.go.id/search-badan-usaha-detail/Wk1nRTRtZWJ0ZWMyOGE0cHNZNDc1dz09</t>
        </is>
      </c>
      <c r="F478" t="n">
        <v>1</v>
      </c>
      <c r="G478" t="inlineStr">
        <is>
          <t>BS004</t>
        </is>
      </c>
      <c r="H478" t="inlineStr">
        <is>
          <t>13 Agustus 2020</t>
        </is>
      </c>
      <c r="I478" s="2" t="n">
        <v>46334</v>
      </c>
      <c r="J478" t="inlineStr">
        <is>
          <t>Disetujui</t>
        </is>
      </c>
      <c r="K478" t="n">
        <v>87</v>
      </c>
      <c r="L478" t="inlineStr">
        <is>
          <t>8 November 2026</t>
        </is>
      </c>
      <c r="M478" t="inlineStr">
        <is>
          <t>Konstruksi Jaringan Irigasi dan Drainase</t>
        </is>
      </c>
      <c r="N478" t="inlineStr">
        <is>
          <t>K</t>
        </is>
      </c>
      <c r="O478" t="inlineStr">
        <is>
          <t>20231103</t>
        </is>
      </c>
      <c r="P478" t="inlineStr">
        <is>
          <t>Jawa Barat</t>
        </is>
      </c>
      <c r="Q478" t="inlineStr"/>
    </row>
    <row r="479">
      <c r="A479" t="inlineStr">
        <is>
          <t>PUTRA SAMBUNGDUA</t>
        </is>
      </c>
      <c r="B479" t="inlineStr">
        <is>
          <t>Kota Palembang</t>
        </is>
      </c>
      <c r="C479" t="inlineStr">
        <is>
          <t>081367997336</t>
        </is>
      </c>
      <c r="D479" t="inlineStr">
        <is>
          <t>cv.putrasambungdua@gmail.com</t>
        </is>
      </c>
      <c r="E479" t="inlineStr">
        <is>
          <t>https://lpjk.pu.go.id/search-badan-usaha-detail/QzRPa2xubWQ0T3BRMzFnOWJjd1ZYZz09</t>
        </is>
      </c>
      <c r="F479" t="n">
        <v>1</v>
      </c>
      <c r="G479" t="inlineStr">
        <is>
          <t>BS004</t>
        </is>
      </c>
      <c r="H479" t="inlineStr">
        <is>
          <t>1 Juni 2020</t>
        </is>
      </c>
      <c r="I479" s="2" t="n">
        <v>46338</v>
      </c>
      <c r="J479" t="inlineStr">
        <is>
          <t>Disetujui</t>
        </is>
      </c>
      <c r="K479" t="n">
        <v>87</v>
      </c>
      <c r="L479" t="inlineStr">
        <is>
          <t>12 November 2026</t>
        </is>
      </c>
      <c r="M479" t="inlineStr">
        <is>
          <t>Konstruksi Jaringan Irigasi dan Drainase</t>
        </is>
      </c>
      <c r="N479" t="inlineStr">
        <is>
          <t>K</t>
        </is>
      </c>
      <c r="O479" t="inlineStr">
        <is>
          <t>20231110</t>
        </is>
      </c>
      <c r="P479" t="inlineStr">
        <is>
          <t>Sumatera Selatan</t>
        </is>
      </c>
      <c r="Q479" t="inlineStr"/>
    </row>
    <row r="480">
      <c r="A480" t="inlineStr">
        <is>
          <t>PUTRA SANGKALI</t>
        </is>
      </c>
      <c r="B480" t="inlineStr">
        <is>
          <t>Kab. Bandung</t>
        </is>
      </c>
      <c r="C480" t="inlineStr">
        <is>
          <t>081322057725</t>
        </is>
      </c>
      <c r="D480" t="inlineStr">
        <is>
          <t>sangkaliputra@gmail.com</t>
        </is>
      </c>
      <c r="E480" t="inlineStr">
        <is>
          <t>https://lpjk.pu.go.id/search-badan-usaha-detail/Zzh6VnZSSUlKd3hYMCtybVc1Q0lDUT09</t>
        </is>
      </c>
      <c r="F480" t="n">
        <v>4</v>
      </c>
      <c r="G480" t="inlineStr">
        <is>
          <t>BG005, BG006, BS001, BS004</t>
        </is>
      </c>
      <c r="H480" t="inlineStr">
        <is>
          <t>12 September 2018</t>
        </is>
      </c>
      <c r="I480" s="2" t="n">
        <v>46338</v>
      </c>
      <c r="J480" t="inlineStr">
        <is>
          <t>Disetujui</t>
        </is>
      </c>
      <c r="K480" t="n">
        <v>87</v>
      </c>
      <c r="L480" t="inlineStr">
        <is>
          <t>12 November 2026</t>
        </is>
      </c>
      <c r="M480" t="inlineStr">
        <is>
          <t>Konstruksi Bangunan Sipil Jalan, Konstruksi Gedung Kesehatan, Konstruksi Gedung Pendidikan, Konstruksi Jaringan Irigasi dan Drainase</t>
        </is>
      </c>
      <c r="N480" t="inlineStr">
        <is>
          <t>K</t>
        </is>
      </c>
      <c r="O480" t="inlineStr">
        <is>
          <t>20231106, 20231114</t>
        </is>
      </c>
      <c r="P480" t="inlineStr">
        <is>
          <t>Jawa Barat</t>
        </is>
      </c>
      <c r="Q480" t="inlineStr"/>
    </row>
    <row r="481">
      <c r="A481" t="inlineStr">
        <is>
          <t>PUTRA UTAMA ABADI</t>
        </is>
      </c>
      <c r="B481" t="inlineStr">
        <is>
          <t>Kota Medan</t>
        </is>
      </c>
      <c r="C481" t="inlineStr">
        <is>
          <t>081260006685</t>
        </is>
      </c>
      <c r="D481" t="inlineStr">
        <is>
          <t>cv.putrautama_abadi@yahoo.com</t>
        </is>
      </c>
      <c r="E481" t="inlineStr">
        <is>
          <t>https://lpjk.pu.go.id/search-badan-usaha-detail/WUtUSnlPaGlJWklpZWRaM0xGa25uZz09</t>
        </is>
      </c>
      <c r="F481" t="n">
        <v>2</v>
      </c>
      <c r="G481" t="inlineStr">
        <is>
          <t>BG006, BG009</t>
        </is>
      </c>
      <c r="H481" t="inlineStr">
        <is>
          <t>12 Desember 2019</t>
        </is>
      </c>
      <c r="I481" s="2" t="n">
        <v>46338</v>
      </c>
      <c r="J481" t="inlineStr">
        <is>
          <t>Disetujui</t>
        </is>
      </c>
      <c r="K481" t="n">
        <v>87</v>
      </c>
      <c r="L481" t="inlineStr">
        <is>
          <t>12 November 2026</t>
        </is>
      </c>
      <c r="M481" t="inlineStr">
        <is>
          <t>Konstruksi Gedung Lainnya, Konstruksi Gedung Pendidikan</t>
        </is>
      </c>
      <c r="N481" t="inlineStr">
        <is>
          <t>K</t>
        </is>
      </c>
      <c r="O481" t="inlineStr">
        <is>
          <t>20231108</t>
        </is>
      </c>
      <c r="P481" t="inlineStr">
        <is>
          <t>Sumatera Utara</t>
        </is>
      </c>
      <c r="Q481" t="inlineStr"/>
    </row>
    <row r="482">
      <c r="A482" t="inlineStr">
        <is>
          <t>PUTRACON PRIMA MANUNGGAL</t>
        </is>
      </c>
      <c r="B482" t="inlineStr">
        <is>
          <t>Kota Adm. Jakarta Barat</t>
        </is>
      </c>
      <c r="C482" t="inlineStr">
        <is>
          <t>02154365637</t>
        </is>
      </c>
      <c r="D482" t="inlineStr">
        <is>
          <t>putraconprima@gmail.com</t>
        </is>
      </c>
      <c r="E482" t="inlineStr">
        <is>
          <t>https://lpjk.pu.go.id/search-badan-usaha-detail/NWhvWTFxUy8vMWlRcGg1eFNRM3kvZz09</t>
        </is>
      </c>
      <c r="F482" t="n">
        <v>5</v>
      </c>
      <c r="G482" t="inlineStr">
        <is>
          <t>BG001, BG003, BG005, BG006, BG009</t>
        </is>
      </c>
      <c r="H482" t="inlineStr">
        <is>
          <t>26 Desember 2020</t>
        </is>
      </c>
      <c r="I482" s="2" t="n">
        <v>46339</v>
      </c>
      <c r="J482" t="inlineStr">
        <is>
          <t>Disetujui</t>
        </is>
      </c>
      <c r="K482" t="n">
        <v>87</v>
      </c>
      <c r="L482" t="inlineStr">
        <is>
          <t>13 November 2026</t>
        </is>
      </c>
      <c r="M482" t="inlineStr">
        <is>
          <t>Konstruksi Gedung Hunian, Konstruksi Gedung Industri, Konstruksi Gedung Kesehatan, Konstruksi Gedung Lainnya, Konstruksi Gedung Pendidikan</t>
        </is>
      </c>
      <c r="N482" t="inlineStr">
        <is>
          <t>K</t>
        </is>
      </c>
      <c r="O482" t="inlineStr">
        <is>
          <t>20231109, 20231110</t>
        </is>
      </c>
      <c r="P482" t="inlineStr">
        <is>
          <t>DKI Jakarta</t>
        </is>
      </c>
      <c r="Q482" t="inlineStr"/>
    </row>
    <row r="483">
      <c r="A483" t="inlineStr">
        <is>
          <t>PUTRI ABU BAKAR</t>
        </is>
      </c>
      <c r="B483" t="inlineStr">
        <is>
          <t>Kab. Bandung</t>
        </is>
      </c>
      <c r="C483" t="inlineStr">
        <is>
          <t>08818287651</t>
        </is>
      </c>
      <c r="D483" t="inlineStr">
        <is>
          <t>cvputriabubakar@gmail.com</t>
        </is>
      </c>
      <c r="E483" t="inlineStr">
        <is>
          <t>https://lpjk.pu.go.id/search-badan-usaha-detail/TFUzSHFsaFZEVFA0TDBRbU9FdExGQT09</t>
        </is>
      </c>
      <c r="F483" t="n">
        <v>2</v>
      </c>
      <c r="G483" t="inlineStr">
        <is>
          <t>BG006, BS001</t>
        </is>
      </c>
      <c r="H483" t="inlineStr">
        <is>
          <t>3 Oktober 2023</t>
        </is>
      </c>
      <c r="I483" s="2" t="n">
        <v>46340</v>
      </c>
      <c r="J483" t="inlineStr">
        <is>
          <t>Disetujui</t>
        </is>
      </c>
      <c r="K483" t="n">
        <v>87</v>
      </c>
      <c r="L483" t="inlineStr">
        <is>
          <t>14 November 2026</t>
        </is>
      </c>
      <c r="M483" t="inlineStr">
        <is>
          <t>Konstruksi Bangunan Sipil Jalan, Konstruksi Gedung Pendidikan</t>
        </is>
      </c>
      <c r="N483" t="inlineStr">
        <is>
          <t>K</t>
        </is>
      </c>
      <c r="O483" t="inlineStr">
        <is>
          <t>20231113</t>
        </is>
      </c>
      <c r="P483" t="inlineStr">
        <is>
          <t>Jawa Barat</t>
        </is>
      </c>
      <c r="Q483" t="inlineStr"/>
    </row>
    <row r="484">
      <c r="A484" t="inlineStr">
        <is>
          <t>PUTRI KEPATIHAN ABADI</t>
        </is>
      </c>
      <c r="B484" t="inlineStr">
        <is>
          <t>Kab. Gresik</t>
        </is>
      </c>
      <c r="C484" t="inlineStr">
        <is>
          <t>081259669240</t>
        </is>
      </c>
      <c r="D484" t="inlineStr">
        <is>
          <t>putrikepatihanabadi@gmail.com</t>
        </is>
      </c>
      <c r="E484" t="inlineStr">
        <is>
          <t>https://lpjk.pu.go.id/search-badan-usaha-detail/QjlENkRTWFVRMXhscC80U1A0cXdaUT09</t>
        </is>
      </c>
      <c r="F484" t="n">
        <v>1</v>
      </c>
      <c r="G484" t="inlineStr">
        <is>
          <t>BS005</t>
        </is>
      </c>
      <c r="H484" t="inlineStr">
        <is>
          <t>6 April 2023</t>
        </is>
      </c>
      <c r="I484" s="2" t="n">
        <v>46335</v>
      </c>
      <c r="J484" t="inlineStr">
        <is>
          <t>Disetujui</t>
        </is>
      </c>
      <c r="K484" t="n">
        <v>87</v>
      </c>
      <c r="L484" t="inlineStr">
        <is>
          <t>9 November 2026</t>
        </is>
      </c>
      <c r="M484" t="inlineStr">
        <is>
          <t>Konstruksi Bangunan Sipil Pengolahan Air Bersih</t>
        </is>
      </c>
      <c r="N484" t="inlineStr">
        <is>
          <t>K</t>
        </is>
      </c>
      <c r="O484" t="inlineStr">
        <is>
          <t>20230926</t>
        </is>
      </c>
      <c r="P484" t="inlineStr">
        <is>
          <t>Jawa Timur</t>
        </is>
      </c>
      <c r="Q484" t="inlineStr"/>
    </row>
    <row r="485">
      <c r="A485" t="inlineStr">
        <is>
          <t>PUTRI MANDIRI KARYA</t>
        </is>
      </c>
      <c r="B485" t="inlineStr">
        <is>
          <t>Kab. Cilacap</t>
        </is>
      </c>
      <c r="C485" t="inlineStr">
        <is>
          <t>087739383869</t>
        </is>
      </c>
      <c r="D485" t="inlineStr">
        <is>
          <t>putri_mandirikarya81@yahoo.co.id</t>
        </is>
      </c>
      <c r="E485" t="inlineStr">
        <is>
          <t>https://lpjk.pu.go.id/search-badan-usaha-detail/UU1NbktpZFN5c0V4WFEvRjB0MGthUT09</t>
        </is>
      </c>
      <c r="F485" t="n">
        <v>7</v>
      </c>
      <c r="G485" t="inlineStr">
        <is>
          <t>BG002, BG004, BG005, BG006, BG009, BS001, BS004</t>
        </is>
      </c>
      <c r="H485" t="inlineStr">
        <is>
          <t>29 Oktober 1990</t>
        </is>
      </c>
      <c r="I485" s="2" t="n">
        <v>46334</v>
      </c>
      <c r="J485" t="inlineStr">
        <is>
          <t>Disetujui</t>
        </is>
      </c>
      <c r="K485" t="n">
        <v>87</v>
      </c>
      <c r="L485" t="inlineStr">
        <is>
          <t>8 November 2026</t>
        </is>
      </c>
      <c r="M485" t="inlineStr">
        <is>
          <t>Konstruksi Bangunan Sipil Jalan, Konstruksi Gedung Kesehatan, Konstruksi Gedung Lainnya, Konstruksi Gedung Pendidikan, Konstruksi Gedung Perbelanjaan, Konstruksi Gedung Perkantoran, Konstruksi Jaringan Irigasi dan Drainase</t>
        </is>
      </c>
      <c r="N485" t="inlineStr">
        <is>
          <t>K</t>
        </is>
      </c>
      <c r="O485" t="inlineStr">
        <is>
          <t>20231107</t>
        </is>
      </c>
      <c r="P485" t="inlineStr">
        <is>
          <t>Jawa Tengah</t>
        </is>
      </c>
      <c r="Q485" t="inlineStr"/>
    </row>
    <row r="486">
      <c r="A486" t="inlineStr">
        <is>
          <t>RAGAM JASA NUSANTARA</t>
        </is>
      </c>
      <c r="B486" t="inlineStr">
        <is>
          <t>Kab. Bulungan</t>
        </is>
      </c>
      <c r="C486" t="inlineStr">
        <is>
          <t>082251333777</t>
        </is>
      </c>
      <c r="D486" t="inlineStr">
        <is>
          <t>ragamjasanusantara@gmail.com</t>
        </is>
      </c>
      <c r="E486" t="inlineStr">
        <is>
          <t>https://lpjk.pu.go.id/search-badan-usaha-detail/Ly9VMXRDNkpLRXg3N2FsUUxJMm5mQT09</t>
        </is>
      </c>
      <c r="F486" t="n">
        <v>4</v>
      </c>
      <c r="G486" t="inlineStr">
        <is>
          <t>RK001, RK003</t>
        </is>
      </c>
      <c r="H486" t="inlineStr">
        <is>
          <t>9 Juni 2023</t>
        </is>
      </c>
      <c r="I486" s="2" t="n">
        <v>46334</v>
      </c>
      <c r="J486" t="inlineStr">
        <is>
          <t>Disetujui</t>
        </is>
      </c>
      <c r="K486" t="n">
        <v>87</v>
      </c>
      <c r="L486" t="inlineStr">
        <is>
          <t>8 November 2026</t>
        </is>
      </c>
      <c r="M486" t="inlineStr">
        <is>
          <t>Jasa Rekayasa Konstruksi Bangunan Gedung Hunian dan Non Hunian, Jasa Rekayasa Pekerjaan Teknik Sipil Transportasi</t>
        </is>
      </c>
      <c r="N486" t="inlineStr">
        <is>
          <t>K</t>
        </is>
      </c>
      <c r="O486" t="inlineStr">
        <is>
          <t>20231012</t>
        </is>
      </c>
      <c r="P486" t="inlineStr">
        <is>
          <t>Kalimantan Utara</t>
        </is>
      </c>
      <c r="Q486" t="inlineStr"/>
    </row>
    <row r="487">
      <c r="A487" t="inlineStr">
        <is>
          <t>RAHAYU</t>
        </is>
      </c>
      <c r="B487" t="inlineStr">
        <is>
          <t>Kab. Subang</t>
        </is>
      </c>
      <c r="C487" t="inlineStr">
        <is>
          <t>082328391888</t>
        </is>
      </c>
      <c r="D487" t="inlineStr">
        <is>
          <t>rahayucv_26@yahoo.co.id</t>
        </is>
      </c>
      <c r="E487" t="inlineStr">
        <is>
          <t>https://lpjk.pu.go.id/search-badan-usaha-detail/QXNKM0daTkdla2VUNXdUWStWOEpTQT09</t>
        </is>
      </c>
      <c r="F487" t="n">
        <v>1</v>
      </c>
      <c r="G487" t="inlineStr">
        <is>
          <t>BS001</t>
        </is>
      </c>
      <c r="H487" t="inlineStr">
        <is>
          <t>21 Juli 1978</t>
        </is>
      </c>
      <c r="I487" s="2" t="n">
        <v>46340</v>
      </c>
      <c r="J487" t="inlineStr">
        <is>
          <t>Disetujui</t>
        </is>
      </c>
      <c r="K487" t="n">
        <v>87</v>
      </c>
      <c r="L487" t="inlineStr">
        <is>
          <t>14 November 2026</t>
        </is>
      </c>
      <c r="M487" t="inlineStr">
        <is>
          <t>Konstruksi Bangunan Sipil Jalan</t>
        </is>
      </c>
      <c r="N487" t="inlineStr">
        <is>
          <t>K</t>
        </is>
      </c>
      <c r="O487" t="inlineStr">
        <is>
          <t>20231113</t>
        </is>
      </c>
      <c r="P487" t="inlineStr">
        <is>
          <t>Jawa Barat</t>
        </is>
      </c>
      <c r="Q487" t="inlineStr"/>
    </row>
    <row r="488">
      <c r="A488" t="inlineStr">
        <is>
          <t>RAHAYU JAYA CONSTRUCTION</t>
        </is>
      </c>
      <c r="B488" t="inlineStr">
        <is>
          <t>Kota Surabaya</t>
        </is>
      </c>
      <c r="C488" t="inlineStr">
        <is>
          <t>08113190218</t>
        </is>
      </c>
      <c r="D488" t="inlineStr">
        <is>
          <t>rahayujayaconstruction@gmail.com</t>
        </is>
      </c>
      <c r="E488" t="inlineStr">
        <is>
          <t>https://lpjk.pu.go.id/search-badan-usaha-detail/NGhWc3NWY2FMN0toNzhmWVNSS3c3UT09</t>
        </is>
      </c>
      <c r="F488" t="n">
        <v>3</v>
      </c>
      <c r="G488" t="inlineStr">
        <is>
          <t>BG006, BG009, BS004</t>
        </is>
      </c>
      <c r="H488" t="inlineStr">
        <is>
          <t>5 Oktober 2023</t>
        </is>
      </c>
      <c r="I488" s="2" t="n">
        <v>46334</v>
      </c>
      <c r="J488" t="inlineStr">
        <is>
          <t>Disetujui</t>
        </is>
      </c>
      <c r="K488" t="n">
        <v>87</v>
      </c>
      <c r="L488" t="inlineStr">
        <is>
          <t>8 November 2026</t>
        </is>
      </c>
      <c r="M488" t="inlineStr">
        <is>
          <t>Konstruksi Gedung Lainnya, Konstruksi Gedung Pendidikan, Konstruksi Jaringan Irigasi dan Drainase</t>
        </is>
      </c>
      <c r="N488" t="inlineStr">
        <is>
          <t>K</t>
        </is>
      </c>
      <c r="O488" t="inlineStr">
        <is>
          <t>20231106, 20231108</t>
        </is>
      </c>
      <c r="P488" t="inlineStr">
        <is>
          <t>Jawa Timur</t>
        </is>
      </c>
      <c r="Q488" t="inlineStr"/>
    </row>
    <row r="489">
      <c r="A489" t="inlineStr">
        <is>
          <t>RAHMAT</t>
        </is>
      </c>
      <c r="B489" t="inlineStr">
        <is>
          <t>Kota Bau Bau</t>
        </is>
      </c>
      <c r="C489" t="inlineStr">
        <is>
          <t>082211404005</t>
        </is>
      </c>
      <c r="D489" t="inlineStr">
        <is>
          <t>rahmatcv02@gmail.com</t>
        </is>
      </c>
      <c r="E489" t="inlineStr">
        <is>
          <t>https://lpjk.pu.go.id/search-badan-usaha-detail/TC9KcFVRcjhXbW9JRmJ6RnNNSlFLQT09</t>
        </is>
      </c>
      <c r="F489" t="n">
        <v>8</v>
      </c>
      <c r="G489" t="inlineStr">
        <is>
          <t>BG002, BG005, BG006, BG009</t>
        </is>
      </c>
      <c r="H489" t="inlineStr">
        <is>
          <t>28 Mei 2011</t>
        </is>
      </c>
      <c r="I489" s="2" t="n">
        <v>46335</v>
      </c>
      <c r="J489" t="inlineStr">
        <is>
          <t>Disetujui</t>
        </is>
      </c>
      <c r="K489" t="n">
        <v>87</v>
      </c>
      <c r="L489" t="inlineStr">
        <is>
          <t>9 November 2026</t>
        </is>
      </c>
      <c r="M489" t="inlineStr">
        <is>
          <t>Konstruksi Gedung Kesehatan, Konstruksi Gedung Lainnya, Konstruksi Gedung Pendidikan, Konstruksi Gedung Perkantoran</t>
        </is>
      </c>
      <c r="N489" t="inlineStr">
        <is>
          <t>K</t>
        </is>
      </c>
      <c r="O489" t="inlineStr">
        <is>
          <t>20231101, 20231106</t>
        </is>
      </c>
      <c r="P489" t="inlineStr">
        <is>
          <t>Sulawesi Tenggara</t>
        </is>
      </c>
      <c r="Q489" t="inlineStr"/>
    </row>
    <row r="490">
      <c r="A490" t="inlineStr">
        <is>
          <t>RAHMAT AGUNG UTAMA</t>
        </is>
      </c>
      <c r="B490" t="inlineStr">
        <is>
          <t>Kota Banjarmasin</t>
        </is>
      </c>
      <c r="C490" t="inlineStr">
        <is>
          <t>05113301981</t>
        </is>
      </c>
      <c r="D490" t="inlineStr">
        <is>
          <t>rahmatagungutama05@gmail.com</t>
        </is>
      </c>
      <c r="E490" t="inlineStr">
        <is>
          <t>https://lpjk.pu.go.id/search-badan-usaha-detail/aVBINjgxY08vTlJsTzFxalBmMkQwQT09</t>
        </is>
      </c>
      <c r="F490" t="n">
        <v>2</v>
      </c>
      <c r="G490" t="inlineStr">
        <is>
          <t>BS001</t>
        </is>
      </c>
      <c r="H490" t="inlineStr">
        <is>
          <t>26 Februari 2002</t>
        </is>
      </c>
      <c r="I490" s="2" t="n">
        <v>46336</v>
      </c>
      <c r="J490" t="inlineStr">
        <is>
          <t>Disetujui</t>
        </is>
      </c>
      <c r="K490" t="n">
        <v>87</v>
      </c>
      <c r="L490" t="inlineStr">
        <is>
          <t>10 November 2026</t>
        </is>
      </c>
      <c r="M490" t="inlineStr">
        <is>
          <t>Konstruksi Bangunan Sipil Jalan</t>
        </is>
      </c>
      <c r="N490" t="inlineStr">
        <is>
          <t>M</t>
        </is>
      </c>
      <c r="O490" t="inlineStr">
        <is>
          <t>20230829</t>
        </is>
      </c>
      <c r="P490" t="inlineStr">
        <is>
          <t>Kalimantan Selatan</t>
        </is>
      </c>
      <c r="Q490" t="inlineStr"/>
    </row>
    <row r="491">
      <c r="A491" t="inlineStr">
        <is>
          <t>RAHMAT BINTANG TIMUR</t>
        </is>
      </c>
      <c r="B491" t="inlineStr">
        <is>
          <t>Kab. Kutai Timur</t>
        </is>
      </c>
      <c r="C491" t="inlineStr">
        <is>
          <t>081320042044</t>
        </is>
      </c>
      <c r="D491" t="inlineStr">
        <is>
          <t>cvrahmatbintangtimur@gmail.com</t>
        </is>
      </c>
      <c r="E491" t="inlineStr">
        <is>
          <t>https://lpjk.pu.go.id/search-badan-usaha-detail/YzN6OHRoTUo4U3BRWUsyZDVzYjZNQT09</t>
        </is>
      </c>
      <c r="F491" t="n">
        <v>6</v>
      </c>
      <c r="G491" t="inlineStr">
        <is>
          <t>AR001, AR002, AR003</t>
        </is>
      </c>
      <c r="H491" t="inlineStr">
        <is>
          <t>5 Oktober 2023</t>
        </is>
      </c>
      <c r="I491" s="2" t="n">
        <v>46340</v>
      </c>
      <c r="J491" t="inlineStr">
        <is>
          <t>Pencabutan</t>
        </is>
      </c>
      <c r="K491" t="n">
        <v>87</v>
      </c>
      <c r="L491" t="inlineStr">
        <is>
          <t>14 November 2026</t>
        </is>
      </c>
      <c r="M491" t="inlineStr">
        <is>
          <t>Jasa Arsitektural Bangunan Gedung Hunian dan Non Hunian, Jasa Arsitektural Lainnya, Jasa Desain Interior pada Bangunan Gedung dan Bangunan Sipil</t>
        </is>
      </c>
      <c r="N491" t="inlineStr">
        <is>
          <t>K</t>
        </is>
      </c>
      <c r="O491" t="inlineStr">
        <is>
          <t>20231107</t>
        </is>
      </c>
      <c r="P491" t="inlineStr">
        <is>
          <t>Kalimantan Timur</t>
        </is>
      </c>
      <c r="Q491" t="inlineStr"/>
    </row>
    <row r="492">
      <c r="A492" t="inlineStr">
        <is>
          <t>RAIHAN ANUGRAH PRATAMA</t>
        </is>
      </c>
      <c r="B492" t="inlineStr">
        <is>
          <t>Kota Adm. Jakarta Pusat</t>
        </is>
      </c>
      <c r="C492" t="inlineStr">
        <is>
          <t>02129578330</t>
        </is>
      </c>
      <c r="D492" t="inlineStr">
        <is>
          <t>pt.raihananugerahpratama@gmail.com</t>
        </is>
      </c>
      <c r="E492" t="inlineStr">
        <is>
          <t>https://lpjk.pu.go.id/search-badan-usaha-detail/RDNyZVV6UVYwNkd5cVJ1Ylpwb2R6UT09</t>
        </is>
      </c>
      <c r="F492" t="n">
        <v>6</v>
      </c>
      <c r="G492" t="inlineStr">
        <is>
          <t>BG006</t>
        </is>
      </c>
      <c r="H492" t="inlineStr">
        <is>
          <t>9 Maret 2022</t>
        </is>
      </c>
      <c r="I492" s="2" t="n">
        <v>46334</v>
      </c>
      <c r="J492" t="inlineStr">
        <is>
          <t>Disetujui</t>
        </is>
      </c>
      <c r="K492" t="n">
        <v>87</v>
      </c>
      <c r="L492" t="inlineStr">
        <is>
          <t>8 November 2026</t>
        </is>
      </c>
      <c r="M492" t="inlineStr">
        <is>
          <t>Konstruksi Gedung Pendidikan</t>
        </is>
      </c>
      <c r="N492" t="inlineStr">
        <is>
          <t>K</t>
        </is>
      </c>
      <c r="O492" t="inlineStr">
        <is>
          <t>20230929</t>
        </is>
      </c>
      <c r="P492" t="inlineStr">
        <is>
          <t>DKI Jakarta</t>
        </is>
      </c>
      <c r="Q492" t="inlineStr"/>
    </row>
    <row r="493">
      <c r="A493" t="inlineStr">
        <is>
          <t>RAJAWALI SAKTI</t>
        </is>
      </c>
      <c r="B493" t="inlineStr">
        <is>
          <t>Kab. Mamuju</t>
        </is>
      </c>
      <c r="C493" t="inlineStr">
        <is>
          <t>081343833380</t>
        </is>
      </c>
      <c r="D493" t="inlineStr">
        <is>
          <t>rajawali_sakti49@yahoo.com</t>
        </is>
      </c>
      <c r="E493" t="inlineStr">
        <is>
          <t>https://lpjk.pu.go.id/search-badan-usaha-detail/bGg2OXZCdy8zT1U4RWxIVnNLUDh2Zz09</t>
        </is>
      </c>
      <c r="F493" t="n">
        <v>2</v>
      </c>
      <c r="G493" t="inlineStr">
        <is>
          <t>BG002</t>
        </is>
      </c>
      <c r="H493" t="inlineStr">
        <is>
          <t>29 Desember 2004</t>
        </is>
      </c>
      <c r="I493" s="2" t="n">
        <v>46338</v>
      </c>
      <c r="J493" t="inlineStr">
        <is>
          <t>Disetujui</t>
        </is>
      </c>
      <c r="K493" t="n">
        <v>87</v>
      </c>
      <c r="L493" t="inlineStr">
        <is>
          <t>12 November 2026</t>
        </is>
      </c>
      <c r="M493" t="inlineStr">
        <is>
          <t>Konstruksi Gedung Perkantoran</t>
        </is>
      </c>
      <c r="N493" t="inlineStr">
        <is>
          <t>K</t>
        </is>
      </c>
      <c r="O493" t="inlineStr">
        <is>
          <t>20231110</t>
        </is>
      </c>
      <c r="P493" t="inlineStr">
        <is>
          <t>Sulawesi Barat</t>
        </is>
      </c>
      <c r="Q493" t="inlineStr"/>
    </row>
    <row r="494">
      <c r="A494" t="inlineStr">
        <is>
          <t>RAJAWALI SINERGI PERKASA</t>
        </is>
      </c>
      <c r="B494" t="inlineStr">
        <is>
          <t>Kota Pontianak</t>
        </is>
      </c>
      <c r="C494" t="inlineStr">
        <is>
          <t>081350287994</t>
        </is>
      </c>
      <c r="D494" t="inlineStr">
        <is>
          <t>cv.rajawalisinergiperkasa1994@gmail.com</t>
        </is>
      </c>
      <c r="E494" t="inlineStr">
        <is>
          <t>https://lpjk.pu.go.id/search-badan-usaha-detail/RUc0YUxRNDN1WjBTYXhOcUlockM2UT09</t>
        </is>
      </c>
      <c r="F494" t="n">
        <v>4</v>
      </c>
      <c r="G494" t="inlineStr">
        <is>
          <t>BG002, BS001</t>
        </is>
      </c>
      <c r="H494" t="inlineStr">
        <is>
          <t>10 April 2023</t>
        </is>
      </c>
      <c r="I494" s="2" t="n">
        <v>46334</v>
      </c>
      <c r="J494" t="inlineStr">
        <is>
          <t>Disetujui</t>
        </is>
      </c>
      <c r="K494" t="n">
        <v>87</v>
      </c>
      <c r="L494" t="inlineStr">
        <is>
          <t>8 November 2026</t>
        </is>
      </c>
      <c r="M494" t="inlineStr">
        <is>
          <t>Konstruksi Bangunan Sipil Jalan, Konstruksi Gedung Perkantoran</t>
        </is>
      </c>
      <c r="N494" t="inlineStr">
        <is>
          <t>K</t>
        </is>
      </c>
      <c r="O494" t="inlineStr">
        <is>
          <t>20231026, 20231109</t>
        </is>
      </c>
      <c r="P494" t="inlineStr">
        <is>
          <t>Kalimantan Barat</t>
        </is>
      </c>
      <c r="Q494" t="inlineStr"/>
    </row>
    <row r="495">
      <c r="A495" t="inlineStr">
        <is>
          <t>RAKSA ARIA KENCANA</t>
        </is>
      </c>
      <c r="B495" t="inlineStr">
        <is>
          <t>Kota Sukabumi</t>
        </is>
      </c>
      <c r="C495" t="inlineStr">
        <is>
          <t>081381364610</t>
        </is>
      </c>
      <c r="D495" t="inlineStr">
        <is>
          <t>rak.sukabumi@gmail.com</t>
        </is>
      </c>
      <c r="E495" t="inlineStr">
        <is>
          <t>https://lpjk.pu.go.id/search-badan-usaha-detail/MFFuRFYxbjA1ZHNuemdwMDJoc0prQT09</t>
        </is>
      </c>
      <c r="F495" t="n">
        <v>2</v>
      </c>
      <c r="G495" t="inlineStr">
        <is>
          <t>BG001, BG002</t>
        </is>
      </c>
      <c r="H495" t="inlineStr">
        <is>
          <t>6 Januari 2020</t>
        </is>
      </c>
      <c r="I495" s="2" t="n">
        <v>46340</v>
      </c>
      <c r="J495" t="inlineStr">
        <is>
          <t>Disetujui</t>
        </is>
      </c>
      <c r="K495" t="n">
        <v>87</v>
      </c>
      <c r="L495" t="inlineStr">
        <is>
          <t>14 November 2026</t>
        </is>
      </c>
      <c r="M495" t="inlineStr">
        <is>
          <t>Konstruksi Gedung Hunian, Konstruksi Gedung Perkantoran</t>
        </is>
      </c>
      <c r="N495" t="inlineStr">
        <is>
          <t>K</t>
        </is>
      </c>
      <c r="O495" t="inlineStr">
        <is>
          <t>20231112</t>
        </is>
      </c>
      <c r="P495" t="inlineStr">
        <is>
          <t>Jawa Barat</t>
        </is>
      </c>
      <c r="Q495" t="inlineStr"/>
    </row>
    <row r="496">
      <c r="A496" t="inlineStr">
        <is>
          <t>RAMLY ABADI PUTRA</t>
        </is>
      </c>
      <c r="B496" t="inlineStr">
        <is>
          <t>Kab. Sukabumi</t>
        </is>
      </c>
      <c r="C496" t="inlineStr">
        <is>
          <t>081382229993</t>
        </is>
      </c>
      <c r="D496" t="inlineStr">
        <is>
          <t>ramliabadiputra@gmail.com</t>
        </is>
      </c>
      <c r="E496" t="inlineStr">
        <is>
          <t>https://lpjk.pu.go.id/search-badan-usaha-detail/M3k5UkdacE1CMmFRU3VOYmdUUEtWUT09</t>
        </is>
      </c>
      <c r="F496" t="n">
        <v>1</v>
      </c>
      <c r="G496" t="inlineStr">
        <is>
          <t>BS016</t>
        </is>
      </c>
      <c r="H496" t="inlineStr">
        <is>
          <t>30 April 2009</t>
        </is>
      </c>
      <c r="I496" s="2" t="n">
        <v>46334</v>
      </c>
      <c r="J496" t="inlineStr">
        <is>
          <t>Disetujui</t>
        </is>
      </c>
      <c r="K496" t="n">
        <v>87</v>
      </c>
      <c r="L496" t="inlineStr">
        <is>
          <t>8 November 2026</t>
        </is>
      </c>
      <c r="M496" t="inlineStr">
        <is>
          <t>Konstruksi Bangunan Sipil Fasilitas Olah Raga</t>
        </is>
      </c>
      <c r="N496" t="inlineStr">
        <is>
          <t>K</t>
        </is>
      </c>
      <c r="O496" t="inlineStr">
        <is>
          <t>20231107</t>
        </is>
      </c>
      <c r="P496" t="inlineStr">
        <is>
          <t>Jawa Barat</t>
        </is>
      </c>
      <c r="Q496" t="inlineStr"/>
    </row>
    <row r="497">
      <c r="A497" t="inlineStr">
        <is>
          <t>RANCANG BANGUN MANDIRI</t>
        </is>
      </c>
      <c r="B497" t="inlineStr">
        <is>
          <t>Kota Adm. Jakarta Barat</t>
        </is>
      </c>
      <c r="C497" t="inlineStr">
        <is>
          <t>02154335020</t>
        </is>
      </c>
      <c r="D497" t="inlineStr">
        <is>
          <t>rancangbangunmandiri.rbm@gmail.com</t>
        </is>
      </c>
      <c r="E497" t="inlineStr">
        <is>
          <t>https://lpjk.pu.go.id/search-badan-usaha-detail/MTRPdk51bFZiV29MOFAxOTBvQ2dVQT09</t>
        </is>
      </c>
      <c r="F497" t="n">
        <v>4</v>
      </c>
      <c r="G497" t="inlineStr">
        <is>
          <t>BG002, BS001</t>
        </is>
      </c>
      <c r="H497" t="inlineStr">
        <is>
          <t>12 Desember 2013</t>
        </is>
      </c>
      <c r="I497" s="2" t="n">
        <v>46336</v>
      </c>
      <c r="J497" t="inlineStr">
        <is>
          <t>Disetujui, Pencabutan</t>
        </is>
      </c>
      <c r="K497" t="n">
        <v>87</v>
      </c>
      <c r="L497" t="inlineStr">
        <is>
          <t>10 November 2026</t>
        </is>
      </c>
      <c r="M497" t="inlineStr">
        <is>
          <t>Konstruksi Bangunan Sipil Jalan, Konstruksi Gedung Perkantoran</t>
        </is>
      </c>
      <c r="N497" t="inlineStr">
        <is>
          <t>B, M</t>
        </is>
      </c>
      <c r="O497" t="inlineStr">
        <is>
          <t>20231107</t>
        </is>
      </c>
      <c r="P497" t="inlineStr">
        <is>
          <t>DKI Jakarta</t>
        </is>
      </c>
      <c r="Q497" t="inlineStr"/>
    </row>
    <row r="498">
      <c r="A498" t="inlineStr">
        <is>
          <t>RANDUSARI RAYA</t>
        </is>
      </c>
      <c r="B498" t="inlineStr">
        <is>
          <t>Kota Bandung</t>
        </is>
      </c>
      <c r="C498" t="inlineStr">
        <is>
          <t>081394620014</t>
        </is>
      </c>
      <c r="D498" t="inlineStr">
        <is>
          <t>cv.randusariraya@gmail.com</t>
        </is>
      </c>
      <c r="E498" t="inlineStr">
        <is>
          <t>https://lpjk.pu.go.id/search-badan-usaha-detail/MWNXQjgrMUl0bGJJcGc1ZFdaZjBVdz09</t>
        </is>
      </c>
      <c r="F498" t="n">
        <v>1</v>
      </c>
      <c r="G498" t="inlineStr">
        <is>
          <t>BS005</t>
        </is>
      </c>
      <c r="H498" t="inlineStr">
        <is>
          <t>26 April 2004</t>
        </is>
      </c>
      <c r="I498" s="2" t="n">
        <v>46335</v>
      </c>
      <c r="J498" t="inlineStr">
        <is>
          <t>Disetujui</t>
        </is>
      </c>
      <c r="K498" t="n">
        <v>87</v>
      </c>
      <c r="L498" t="inlineStr">
        <is>
          <t>9 November 2026</t>
        </is>
      </c>
      <c r="M498" t="inlineStr">
        <is>
          <t>Konstruksi Bangunan Sipil Pengolahan Air Bersih</t>
        </is>
      </c>
      <c r="N498" t="inlineStr">
        <is>
          <t>K</t>
        </is>
      </c>
      <c r="O498" t="inlineStr">
        <is>
          <t>20231109</t>
        </is>
      </c>
      <c r="P498" t="inlineStr">
        <is>
          <t>Jawa Barat</t>
        </is>
      </c>
      <c r="Q498" t="inlineStr"/>
    </row>
    <row r="499">
      <c r="A499" t="inlineStr">
        <is>
          <t>RAPI DESIGN</t>
        </is>
      </c>
      <c r="B499" t="inlineStr">
        <is>
          <t>Kota Lhokseumawe</t>
        </is>
      </c>
      <c r="C499" t="inlineStr">
        <is>
          <t>0811677528</t>
        </is>
      </c>
      <c r="D499" t="inlineStr">
        <is>
          <t>rapi.design30@gmail.com</t>
        </is>
      </c>
      <c r="E499" t="inlineStr">
        <is>
          <t>https://lpjk.pu.go.id/search-badan-usaha-detail/bStvd1R2eHZ1VjFPUEs0d1dTc1g3dz09</t>
        </is>
      </c>
      <c r="F499" t="n">
        <v>4</v>
      </c>
      <c r="G499" t="inlineStr">
        <is>
          <t>RK001, RK002, RK003, RK005</t>
        </is>
      </c>
      <c r="H499" t="inlineStr">
        <is>
          <t>10 Oktober 2001</t>
        </is>
      </c>
      <c r="I499" s="2" t="n">
        <v>46338</v>
      </c>
      <c r="J499" t="inlineStr">
        <is>
          <t>Disetujui</t>
        </is>
      </c>
      <c r="K499" t="n">
        <v>87</v>
      </c>
      <c r="L499" t="inlineStr">
        <is>
          <t>12 November 2026</t>
        </is>
      </c>
      <c r="M499" t="inlineStr">
        <is>
          <t>Jasa Rekayasa Konstruksi Bangunan Gedung Hunian dan Non Hunian, Jasa Rekayasa Lainnya, Jasa Rekayasa Pekerjaan Teknik Sipil Sumber Daya Air, Jasa Rekayasa Pekerjaan Teknik Sipil Transportasi</t>
        </is>
      </c>
      <c r="N499" t="inlineStr">
        <is>
          <t>K</t>
        </is>
      </c>
      <c r="O499" t="inlineStr">
        <is>
          <t>20231101, 20231102</t>
        </is>
      </c>
      <c r="P499" t="inlineStr">
        <is>
          <t>Aceh</t>
        </is>
      </c>
      <c r="Q499" t="inlineStr"/>
    </row>
    <row r="500">
      <c r="A500" t="inlineStr">
        <is>
          <t>RATU ADIL SEMBILAN SEMBILAN</t>
        </is>
      </c>
      <c r="B500" t="inlineStr">
        <is>
          <t>Kab. Kutai Timur</t>
        </is>
      </c>
      <c r="C500" t="inlineStr">
        <is>
          <t>081255192277</t>
        </is>
      </c>
      <c r="D500" t="inlineStr">
        <is>
          <t>cv.ratuadil99@gmail.com</t>
        </is>
      </c>
      <c r="E500" t="inlineStr">
        <is>
          <t>https://lpjk.pu.go.id/search-badan-usaha-detail/eWMrdm5lek1LRHI1SWFCL3p3ZmtJZz09</t>
        </is>
      </c>
      <c r="F500" t="n">
        <v>3</v>
      </c>
      <c r="G500" t="inlineStr">
        <is>
          <t>BG001, BG006, BG009</t>
        </is>
      </c>
      <c r="H500" t="inlineStr">
        <is>
          <t>8 Maret 2022</t>
        </is>
      </c>
      <c r="I500" s="2" t="n">
        <v>46338</v>
      </c>
      <c r="J500" t="inlineStr">
        <is>
          <t>Disetujui</t>
        </is>
      </c>
      <c r="K500" t="n">
        <v>87</v>
      </c>
      <c r="L500" t="inlineStr">
        <is>
          <t>12 November 2026</t>
        </is>
      </c>
      <c r="M500" t="inlineStr">
        <is>
          <t>Konstruksi Gedung Hunian, Konstruksi Gedung Lainnya, Konstruksi Gedung Pendidikan</t>
        </is>
      </c>
      <c r="N500" t="inlineStr">
        <is>
          <t>K</t>
        </is>
      </c>
      <c r="O500" t="inlineStr">
        <is>
          <t>20231113</t>
        </is>
      </c>
      <c r="P500" t="inlineStr">
        <is>
          <t>Kalimantan Timur</t>
        </is>
      </c>
      <c r="Q500" t="inlineStr"/>
    </row>
    <row r="501">
      <c r="A501" t="inlineStr">
        <is>
          <t>RAYHAN</t>
        </is>
      </c>
      <c r="B501" t="inlineStr">
        <is>
          <t>Kota Padang Sidempuan</t>
        </is>
      </c>
      <c r="C501" t="inlineStr">
        <is>
          <t>081376381245</t>
        </is>
      </c>
      <c r="D501" t="inlineStr">
        <is>
          <t>khaidir_batubara@yahoo.com</t>
        </is>
      </c>
      <c r="E501" t="inlineStr">
        <is>
          <t>https://lpjk.pu.go.id/search-badan-usaha-detail/NmFEWTVsUk95blo1Qml0bUg5bTNmZz09</t>
        </is>
      </c>
      <c r="F501" t="n">
        <v>1</v>
      </c>
      <c r="G501" t="inlineStr">
        <is>
          <t>BS005</t>
        </is>
      </c>
      <c r="H501" t="inlineStr">
        <is>
          <t>15 November 2014</t>
        </is>
      </c>
      <c r="I501" s="2" t="n">
        <v>46338</v>
      </c>
      <c r="J501" t="inlineStr">
        <is>
          <t>Disetujui</t>
        </is>
      </c>
      <c r="K501" t="n">
        <v>87</v>
      </c>
      <c r="L501" t="inlineStr">
        <is>
          <t>12 November 2026</t>
        </is>
      </c>
      <c r="M501" t="inlineStr">
        <is>
          <t>Konstruksi Bangunan Sipil Pengolahan Air Bersih</t>
        </is>
      </c>
      <c r="N501" t="inlineStr">
        <is>
          <t>K</t>
        </is>
      </c>
      <c r="O501" t="inlineStr">
        <is>
          <t>20231111</t>
        </is>
      </c>
      <c r="P501" t="inlineStr">
        <is>
          <t>Sumatera Utara</t>
        </is>
      </c>
      <c r="Q501" t="inlineStr"/>
    </row>
    <row r="502">
      <c r="A502" t="inlineStr">
        <is>
          <t>RAYYAN</t>
        </is>
      </c>
      <c r="B502" t="inlineStr">
        <is>
          <t>Kota Palembang</t>
        </is>
      </c>
      <c r="C502" t="inlineStr">
        <is>
          <t>081377960009</t>
        </is>
      </c>
      <c r="D502" t="inlineStr">
        <is>
          <t>cv.rayyan34@yahoo.com</t>
        </is>
      </c>
      <c r="E502" t="inlineStr">
        <is>
          <t>https://lpjk.pu.go.id/search-badan-usaha-detail/TFprSG9xcldHZUdnWnhpUnlYYlY3Zz09</t>
        </is>
      </c>
      <c r="F502" t="n">
        <v>4</v>
      </c>
      <c r="G502" t="inlineStr">
        <is>
          <t>BG001, BG006</t>
        </is>
      </c>
      <c r="H502" t="inlineStr">
        <is>
          <t>29 September 2000</t>
        </is>
      </c>
      <c r="I502" s="2" t="n">
        <v>46335</v>
      </c>
      <c r="J502" t="inlineStr">
        <is>
          <t>Disetujui</t>
        </is>
      </c>
      <c r="K502" t="n">
        <v>87</v>
      </c>
      <c r="L502" t="inlineStr">
        <is>
          <t>9 November 2026</t>
        </is>
      </c>
      <c r="M502" t="inlineStr">
        <is>
          <t>Konstruksi Gedung Hunian, Konstruksi Gedung Pendidikan</t>
        </is>
      </c>
      <c r="N502" t="inlineStr">
        <is>
          <t>K</t>
        </is>
      </c>
      <c r="O502" t="inlineStr">
        <is>
          <t>20231107</t>
        </is>
      </c>
      <c r="P502" t="inlineStr">
        <is>
          <t>Sumatera Selatan</t>
        </is>
      </c>
      <c r="Q502" t="inlineStr"/>
    </row>
    <row r="503">
      <c r="A503" t="inlineStr">
        <is>
          <t>REDJOMULYO</t>
        </is>
      </c>
      <c r="B503" t="inlineStr">
        <is>
          <t>Kab. Kediri</t>
        </is>
      </c>
      <c r="C503" t="inlineStr">
        <is>
          <t>82131849867</t>
        </is>
      </c>
      <c r="D503" t="inlineStr">
        <is>
          <t>cvredjomulyo2023@gmail.com</t>
        </is>
      </c>
      <c r="E503" t="inlineStr">
        <is>
          <t>https://lpjk.pu.go.id/search-badan-usaha-detail/MWh1OFZPN2ZuWmtEMlFadWU3bS80QT09</t>
        </is>
      </c>
      <c r="F503" t="n">
        <v>4</v>
      </c>
      <c r="G503" t="inlineStr">
        <is>
          <t>BG002, BG005, BG006, BS001</t>
        </is>
      </c>
      <c r="H503" t="inlineStr">
        <is>
          <t>16 Juni 2023</t>
        </is>
      </c>
      <c r="I503" s="2" t="n">
        <v>46335</v>
      </c>
      <c r="J503" t="inlineStr">
        <is>
          <t>Pencabutan</t>
        </is>
      </c>
      <c r="K503" t="n">
        <v>87</v>
      </c>
      <c r="L503" t="inlineStr">
        <is>
          <t>9 November 2026</t>
        </is>
      </c>
      <c r="M503" t="inlineStr">
        <is>
          <t>Konstruksi Bangunan Sipil Jalan, Konstruksi Gedung Kesehatan, Konstruksi Gedung Pendidikan, Konstruksi Gedung Perkantoran</t>
        </is>
      </c>
      <c r="N503" t="inlineStr">
        <is>
          <t>K</t>
        </is>
      </c>
      <c r="O503" t="inlineStr">
        <is>
          <t>20231110</t>
        </is>
      </c>
      <c r="P503" t="inlineStr">
        <is>
          <t>Jawa Timur</t>
        </is>
      </c>
      <c r="Q503" t="inlineStr"/>
    </row>
    <row r="504">
      <c r="A504" t="inlineStr">
        <is>
          <t>REGINA</t>
        </is>
      </c>
      <c r="B504" t="inlineStr">
        <is>
          <t>Kab. Lombok Timur</t>
        </is>
      </c>
      <c r="C504" t="inlineStr">
        <is>
          <t>08179360901</t>
        </is>
      </c>
      <c r="D504" t="inlineStr">
        <is>
          <t>cv.regina04@gmail.com</t>
        </is>
      </c>
      <c r="E504" t="inlineStr">
        <is>
          <t>https://lpjk.pu.go.id/search-badan-usaha-detail/eDBOZTJHeEhtc0hpQlZyOXhXVHY4QT09</t>
        </is>
      </c>
      <c r="F504" t="n">
        <v>1</v>
      </c>
      <c r="G504" t="inlineStr">
        <is>
          <t>BG009</t>
        </is>
      </c>
      <c r="H504" t="inlineStr">
        <is>
          <t>27 Desember 2017</t>
        </is>
      </c>
      <c r="I504" s="2" t="n">
        <v>46340</v>
      </c>
      <c r="J504" t="inlineStr">
        <is>
          <t>Disetujui</t>
        </is>
      </c>
      <c r="K504" t="n">
        <v>87</v>
      </c>
      <c r="L504" t="inlineStr">
        <is>
          <t>14 November 2026</t>
        </is>
      </c>
      <c r="M504" t="inlineStr">
        <is>
          <t>Konstruksi Gedung Lainnya</t>
        </is>
      </c>
      <c r="N504" t="inlineStr">
        <is>
          <t>K</t>
        </is>
      </c>
      <c r="O504" t="inlineStr">
        <is>
          <t>20231111</t>
        </is>
      </c>
      <c r="P504" t="inlineStr">
        <is>
          <t>Nusa Tenggara Barat</t>
        </is>
      </c>
      <c r="Q504" t="inlineStr"/>
    </row>
    <row r="505">
      <c r="A505" t="inlineStr">
        <is>
          <t>REKSA ABADI BERSAMA</t>
        </is>
      </c>
      <c r="B505" t="inlineStr">
        <is>
          <t>Kab. Sidoarjo</t>
        </is>
      </c>
      <c r="C505" t="inlineStr">
        <is>
          <t>081938400978</t>
        </is>
      </c>
      <c r="D505" t="inlineStr">
        <is>
          <t>reksaabadigroup@yahoo.co.id</t>
        </is>
      </c>
      <c r="E505" t="inlineStr">
        <is>
          <t>https://lpjk.pu.go.id/search-badan-usaha-detail/eDk2RkFBbVpvZ3VVc1IzRmFQRnh4Zz09</t>
        </is>
      </c>
      <c r="F505" t="n">
        <v>1</v>
      </c>
      <c r="G505" t="inlineStr">
        <is>
          <t>BS006</t>
        </is>
      </c>
      <c r="H505" t="inlineStr">
        <is>
          <t>6 Agustus 2014</t>
        </is>
      </c>
      <c r="I505" s="2" t="n">
        <v>46338</v>
      </c>
      <c r="J505" t="inlineStr">
        <is>
          <t>Disetujui</t>
        </is>
      </c>
      <c r="K505" t="n">
        <v>87</v>
      </c>
      <c r="L505" t="inlineStr">
        <is>
          <t>12 November 2026</t>
        </is>
      </c>
      <c r="M505" t="inlineStr">
        <is>
          <t>Konstruksi Bangunan Sipil Prasarana dan Sarana Sistem Pengolahan Limbah Padat, Cair, dan Gas</t>
        </is>
      </c>
      <c r="N505" t="inlineStr">
        <is>
          <t>K</t>
        </is>
      </c>
      <c r="O505" t="inlineStr">
        <is>
          <t>20231109</t>
        </is>
      </c>
      <c r="P505" t="inlineStr">
        <is>
          <t>Jawa Timur</t>
        </is>
      </c>
      <c r="Q505" t="inlineStr"/>
    </row>
    <row r="506">
      <c r="A506" t="inlineStr">
        <is>
          <t>REMAJA ARTI KREASI</t>
        </is>
      </c>
      <c r="B506" t="inlineStr">
        <is>
          <t>Kota Metro</t>
        </is>
      </c>
      <c r="C506" t="inlineStr">
        <is>
          <t>082176387927</t>
        </is>
      </c>
      <c r="D506" t="inlineStr">
        <is>
          <t>remajaartikreasicv@gmail.com</t>
        </is>
      </c>
      <c r="E506" t="inlineStr">
        <is>
          <t>https://lpjk.pu.go.id/search-badan-usaha-detail/NTJidzdrTFlyT3BwaXY2Y0NCUUFRdz09</t>
        </is>
      </c>
      <c r="F506" t="n">
        <v>1</v>
      </c>
      <c r="G506" t="inlineStr">
        <is>
          <t>RK001</t>
        </is>
      </c>
      <c r="H506" t="inlineStr">
        <is>
          <t>11 Juli 2017</t>
        </is>
      </c>
      <c r="I506" s="2" t="n">
        <v>46334</v>
      </c>
      <c r="J506" t="inlineStr">
        <is>
          <t>Disetujui</t>
        </is>
      </c>
      <c r="K506" t="n">
        <v>87</v>
      </c>
      <c r="L506" t="inlineStr">
        <is>
          <t>8 November 2026</t>
        </is>
      </c>
      <c r="M506" t="inlineStr">
        <is>
          <t>Jasa Rekayasa Konstruksi Bangunan Gedung Hunian dan Non Hunian</t>
        </is>
      </c>
      <c r="N506" t="inlineStr">
        <is>
          <t>K</t>
        </is>
      </c>
      <c r="O506" t="inlineStr">
        <is>
          <t>20231012</t>
        </is>
      </c>
      <c r="P506" t="inlineStr">
        <is>
          <t>Lampung</t>
        </is>
      </c>
      <c r="Q506" t="inlineStr"/>
    </row>
    <row r="507">
      <c r="A507" t="inlineStr">
        <is>
          <t>RENDY BERSAUDARA</t>
        </is>
      </c>
      <c r="B507" t="inlineStr">
        <is>
          <t>Kab. Padang Pariaman</t>
        </is>
      </c>
      <c r="C507" t="inlineStr">
        <is>
          <t>08126775493</t>
        </is>
      </c>
      <c r="D507" t="inlineStr">
        <is>
          <t>rendybersaudara56@gmail.com</t>
        </is>
      </c>
      <c r="E507" t="inlineStr">
        <is>
          <t>https://lpjk.pu.go.id/search-badan-usaha-detail/SXBwSkFJZ3FwU1MvaFF0QW9zNndTUT09</t>
        </is>
      </c>
      <c r="F507" t="n">
        <v>1</v>
      </c>
      <c r="G507" t="inlineStr">
        <is>
          <t>BS001</t>
        </is>
      </c>
      <c r="H507" t="inlineStr">
        <is>
          <t>25 Januari 2022</t>
        </is>
      </c>
      <c r="I507" s="2" t="n">
        <v>46340</v>
      </c>
      <c r="J507" t="inlineStr">
        <is>
          <t>Pencabutan</t>
        </is>
      </c>
      <c r="K507" t="n">
        <v>87</v>
      </c>
      <c r="L507" t="inlineStr">
        <is>
          <t>14 November 2026</t>
        </is>
      </c>
      <c r="M507" t="inlineStr">
        <is>
          <t>Konstruksi Bangunan Sipil Jalan</t>
        </is>
      </c>
      <c r="N507" t="inlineStr">
        <is>
          <t>K</t>
        </is>
      </c>
      <c r="O507" t="inlineStr">
        <is>
          <t>20231109</t>
        </is>
      </c>
      <c r="P507" t="inlineStr">
        <is>
          <t>Sumatera Barat</t>
        </is>
      </c>
      <c r="Q507" t="inlineStr"/>
    </row>
    <row r="508">
      <c r="A508" t="inlineStr">
        <is>
          <t>REZEKI TIGA BERSAUDARA</t>
        </is>
      </c>
      <c r="B508" t="inlineStr">
        <is>
          <t>Kab. Tanah Bumbu</t>
        </is>
      </c>
      <c r="C508" t="inlineStr">
        <is>
          <t>085247074896</t>
        </is>
      </c>
      <c r="D508" t="inlineStr">
        <is>
          <t>cvrezekitigabersaudara@gmail.com</t>
        </is>
      </c>
      <c r="E508" t="inlineStr">
        <is>
          <t>https://lpjk.pu.go.id/search-badan-usaha-detail/bXFZc2c0eFFjdHpmVXhQdFJUZ3JQZz09</t>
        </is>
      </c>
      <c r="F508" t="n">
        <v>3</v>
      </c>
      <c r="G508" t="inlineStr">
        <is>
          <t>BG006, BS001, BS004</t>
        </is>
      </c>
      <c r="H508" t="inlineStr">
        <is>
          <t>26 September 2023</t>
        </is>
      </c>
      <c r="I508" s="2" t="n">
        <v>46336</v>
      </c>
      <c r="J508" t="inlineStr">
        <is>
          <t>Disetujui</t>
        </is>
      </c>
      <c r="K508" t="n">
        <v>87</v>
      </c>
      <c r="L508" t="inlineStr">
        <is>
          <t>10 November 2026</t>
        </is>
      </c>
      <c r="M508" t="inlineStr">
        <is>
          <t>Konstruksi Bangunan Sipil Jalan, Konstruksi Gedung Pendidikan, Konstruksi Jaringan Irigasi dan Drainase</t>
        </is>
      </c>
      <c r="N508" t="inlineStr">
        <is>
          <t>K</t>
        </is>
      </c>
      <c r="O508" t="inlineStr">
        <is>
          <t>20231107</t>
        </is>
      </c>
      <c r="P508" t="inlineStr">
        <is>
          <t>Kalimantan Selatan</t>
        </is>
      </c>
      <c r="Q508" t="inlineStr"/>
    </row>
    <row r="509">
      <c r="A509" t="inlineStr">
        <is>
          <t>REZKY IQBAL MANDIRI</t>
        </is>
      </c>
      <c r="B509" t="inlineStr">
        <is>
          <t>Kab. Hulu Sungai Selatan</t>
        </is>
      </c>
      <c r="C509" t="inlineStr">
        <is>
          <t>0816977559</t>
        </is>
      </c>
      <c r="D509" t="inlineStr">
        <is>
          <t>rezkyiqbalmandiri@gmail.com</t>
        </is>
      </c>
      <c r="E509" t="inlineStr">
        <is>
          <t>https://lpjk.pu.go.id/search-badan-usaha-detail/elVheks3Z2U0V2paVHAvRm9nc0xRUT09</t>
        </is>
      </c>
      <c r="F509" t="n">
        <v>2</v>
      </c>
      <c r="G509" t="inlineStr">
        <is>
          <t>BS005, BS006</t>
        </is>
      </c>
      <c r="H509" t="inlineStr">
        <is>
          <t>11 Februari 2016</t>
        </is>
      </c>
      <c r="I509" s="2" t="n">
        <v>46334</v>
      </c>
      <c r="J509" t="inlineStr">
        <is>
          <t>Disetujui</t>
        </is>
      </c>
      <c r="K509" t="n">
        <v>87</v>
      </c>
      <c r="L509" t="inlineStr">
        <is>
          <t>8 November 2026</t>
        </is>
      </c>
      <c r="M509" t="inlineStr">
        <is>
          <t>Konstruksi Bangunan Sipil Pengolahan Air Bersih, Konstruksi Bangunan Sipil Prasarana dan Sarana Sistem Pengolahan Limbah Padat, Cair, dan Gas</t>
        </is>
      </c>
      <c r="N509" t="inlineStr">
        <is>
          <t>K</t>
        </is>
      </c>
      <c r="O509" t="inlineStr">
        <is>
          <t>20231103</t>
        </is>
      </c>
      <c r="P509" t="inlineStr">
        <is>
          <t>Kalimantan Selatan</t>
        </is>
      </c>
      <c r="Q509" t="inlineStr"/>
    </row>
    <row r="510">
      <c r="A510" t="inlineStr">
        <is>
          <t>RIA BAKTI</t>
        </is>
      </c>
      <c r="B510" t="inlineStr">
        <is>
          <t>Kab. Paser</t>
        </is>
      </c>
      <c r="C510" t="inlineStr">
        <is>
          <t>081257338290</t>
        </is>
      </c>
      <c r="D510" t="inlineStr">
        <is>
          <t>suharyanto1208@gmail.com</t>
        </is>
      </c>
      <c r="E510" t="inlineStr">
        <is>
          <t>https://lpjk.pu.go.id/search-badan-usaha-detail/VWhNVU8wYVJtbTJUNFJCcE9rQ3V0QT09</t>
        </is>
      </c>
      <c r="F510" t="n">
        <v>3</v>
      </c>
      <c r="G510" t="inlineStr">
        <is>
          <t>BS001, BS002, BS004</t>
        </is>
      </c>
      <c r="H510" t="inlineStr">
        <is>
          <t>18 Desember 2000</t>
        </is>
      </c>
      <c r="I510" s="2" t="n">
        <v>46334</v>
      </c>
      <c r="J510" t="inlineStr">
        <is>
          <t>Disetujui</t>
        </is>
      </c>
      <c r="K510" t="n">
        <v>87</v>
      </c>
      <c r="L510" t="inlineStr">
        <is>
          <t>8 November 2026</t>
        </is>
      </c>
      <c r="M510" t="inlineStr">
        <is>
          <t>Bangunan Sipil Jembatan, Jalan Layang, Fly Over, dan Underpass, Konstruksi Bangunan Sipil Jalan, Konstruksi Jaringan Irigasi dan Drainase</t>
        </is>
      </c>
      <c r="N510" t="inlineStr">
        <is>
          <t>K</t>
        </is>
      </c>
      <c r="O510" t="inlineStr">
        <is>
          <t>20231106</t>
        </is>
      </c>
      <c r="P510" t="inlineStr">
        <is>
          <t>Kalimantan Timur</t>
        </is>
      </c>
      <c r="Q510" t="inlineStr"/>
    </row>
    <row r="511">
      <c r="A511" t="inlineStr">
        <is>
          <t>RIDE DWG INDONESIA</t>
        </is>
      </c>
      <c r="B511" t="inlineStr">
        <is>
          <t>Kota Bandung</t>
        </is>
      </c>
      <c r="C511" t="inlineStr">
        <is>
          <t>02287317438</t>
        </is>
      </c>
      <c r="D511" t="inlineStr">
        <is>
          <t>pt.ridedwgindonesia@gmail.com</t>
        </is>
      </c>
      <c r="E511" t="inlineStr">
        <is>
          <t>https://lpjk.pu.go.id/search-badan-usaha-detail/U29ETDJIR2h4dEpJUE1pUkdKWXJaUT09</t>
        </is>
      </c>
      <c r="F511" t="n">
        <v>3</v>
      </c>
      <c r="G511" t="inlineStr">
        <is>
          <t>AR001, AR002, AR003</t>
        </is>
      </c>
      <c r="H511" t="inlineStr">
        <is>
          <t>24 Oktober 2014</t>
        </is>
      </c>
      <c r="I511" s="2" t="n">
        <v>46340</v>
      </c>
      <c r="J511" t="inlineStr">
        <is>
          <t>Disetujui</t>
        </is>
      </c>
      <c r="K511" t="n">
        <v>87</v>
      </c>
      <c r="L511" t="inlineStr">
        <is>
          <t>14 November 2026</t>
        </is>
      </c>
      <c r="M511" t="inlineStr">
        <is>
          <t>Jasa Arsitektural Bangunan Gedung Hunian dan Non Hunian, Jasa Arsitektural Lainnya, Jasa Desain Interior pada Bangunan Gedung dan Bangunan Sipil</t>
        </is>
      </c>
      <c r="N511" t="inlineStr">
        <is>
          <t>K</t>
        </is>
      </c>
      <c r="O511" t="inlineStr">
        <is>
          <t>20231109, 20231112</t>
        </is>
      </c>
      <c r="P511" t="inlineStr">
        <is>
          <t>Jawa Barat</t>
        </is>
      </c>
      <c r="Q511" t="inlineStr"/>
    </row>
    <row r="512">
      <c r="A512" t="inlineStr">
        <is>
          <t>RIFQI PRATAMA</t>
        </is>
      </c>
      <c r="B512" t="inlineStr">
        <is>
          <t>Kab. Tanjung Jabung Barat</t>
        </is>
      </c>
      <c r="C512" t="inlineStr">
        <is>
          <t>085384153005</t>
        </is>
      </c>
      <c r="D512" t="inlineStr">
        <is>
          <t>rifqi.pratama2020@gmail.com</t>
        </is>
      </c>
      <c r="E512" t="inlineStr">
        <is>
          <t>https://lpjk.pu.go.id/search-badan-usaha-detail/cFh3M3FxLy9wNmhSaDJjclQzRXQ0UT09</t>
        </is>
      </c>
      <c r="F512" t="n">
        <v>1</v>
      </c>
      <c r="G512" t="inlineStr">
        <is>
          <t>BS007</t>
        </is>
      </c>
      <c r="H512" t="inlineStr">
        <is>
          <t>13 Januari 2020</t>
        </is>
      </c>
      <c r="I512" s="2" t="n">
        <v>46335</v>
      </c>
      <c r="J512" t="inlineStr">
        <is>
          <t>Disetujui</t>
        </is>
      </c>
      <c r="K512" t="n">
        <v>87</v>
      </c>
      <c r="L512" t="inlineStr">
        <is>
          <t>9 November 2026</t>
        </is>
      </c>
      <c r="M512" t="inlineStr">
        <is>
          <t>Konstruksi Bangunan Sipil Elektrikal</t>
        </is>
      </c>
      <c r="N512" t="inlineStr">
        <is>
          <t>K</t>
        </is>
      </c>
      <c r="O512" t="inlineStr">
        <is>
          <t>20231106</t>
        </is>
      </c>
      <c r="P512" t="inlineStr">
        <is>
          <t>Jambi</t>
        </is>
      </c>
      <c r="Q512" t="inlineStr"/>
    </row>
    <row r="513">
      <c r="A513" t="inlineStr">
        <is>
          <t>RUKUN BERKARYA CONSULTANT</t>
        </is>
      </c>
      <c r="B513" t="inlineStr">
        <is>
          <t>Kab. Sampang</t>
        </is>
      </c>
      <c r="C513" t="inlineStr">
        <is>
          <t>081937292440</t>
        </is>
      </c>
      <c r="D513" t="inlineStr">
        <is>
          <t>rukunbkonsultan20@yahoo.com</t>
        </is>
      </c>
      <c r="E513" t="inlineStr">
        <is>
          <t>https://lpjk.pu.go.id/search-badan-usaha-detail/RWw4YWd6aTZpOXhyQmZQWXhTZytHZz09</t>
        </is>
      </c>
      <c r="F513" t="n">
        <v>1</v>
      </c>
      <c r="G513" t="inlineStr">
        <is>
          <t>RK001</t>
        </is>
      </c>
      <c r="H513" t="inlineStr">
        <is>
          <t>12 Februari 2020</t>
        </is>
      </c>
      <c r="I513" s="2" t="n">
        <v>46334</v>
      </c>
      <c r="J513" t="inlineStr">
        <is>
          <t>Disetujui</t>
        </is>
      </c>
      <c r="K513" t="n">
        <v>87</v>
      </c>
      <c r="L513" t="inlineStr">
        <is>
          <t>8 November 2026</t>
        </is>
      </c>
      <c r="M513" t="inlineStr">
        <is>
          <t>Jasa Rekayasa Konstruksi Bangunan Gedung Hunian dan Non Hunian</t>
        </is>
      </c>
      <c r="N513" t="inlineStr">
        <is>
          <t>K</t>
        </is>
      </c>
      <c r="O513" t="inlineStr">
        <is>
          <t>20230906</t>
        </is>
      </c>
      <c r="P513" t="inlineStr">
        <is>
          <t>Jawa Timur</t>
        </is>
      </c>
      <c r="Q513" t="inlineStr"/>
    </row>
    <row r="514">
      <c r="A514" t="inlineStr">
        <is>
          <t>SABDA ALAM</t>
        </is>
      </c>
      <c r="B514" t="inlineStr">
        <is>
          <t>Kab. Sumedang</t>
        </is>
      </c>
      <c r="C514" t="inlineStr">
        <is>
          <t>081223105088</t>
        </is>
      </c>
      <c r="D514" t="inlineStr">
        <is>
          <t>sabdaalam.company@gmail.com</t>
        </is>
      </c>
      <c r="E514" t="inlineStr">
        <is>
          <t>https://lpjk.pu.go.id/search-badan-usaha-detail/S1IvdzFNMm5tek9DRFdWL1FrZnBrdz09</t>
        </is>
      </c>
      <c r="F514" t="n">
        <v>4</v>
      </c>
      <c r="G514" t="inlineStr">
        <is>
          <t>BG006, BG009, BS004, BS005</t>
        </is>
      </c>
      <c r="H514" t="inlineStr">
        <is>
          <t>14 Oktober 2009</t>
        </is>
      </c>
      <c r="I514" s="2" t="n">
        <v>46339</v>
      </c>
      <c r="J514" t="inlineStr">
        <is>
          <t>Disetujui</t>
        </is>
      </c>
      <c r="K514" t="n">
        <v>87</v>
      </c>
      <c r="L514" t="inlineStr">
        <is>
          <t>13 November 2026</t>
        </is>
      </c>
      <c r="M514" t="inlineStr">
        <is>
          <t>Konstruksi Bangunan Sipil Pengolahan Air Bersih, Konstruksi Gedung Lainnya, Konstruksi Gedung Pendidikan, Konstruksi Jaringan Irigasi dan Drainase</t>
        </is>
      </c>
      <c r="N514" t="inlineStr">
        <is>
          <t>K</t>
        </is>
      </c>
      <c r="O514" t="inlineStr">
        <is>
          <t>20230922</t>
        </is>
      </c>
      <c r="P514" t="inlineStr">
        <is>
          <t>Jawa Barat</t>
        </is>
      </c>
      <c r="Q514" t="inlineStr"/>
    </row>
    <row r="515">
      <c r="A515" t="inlineStr">
        <is>
          <t>SAFAR SINERGI MADANI</t>
        </is>
      </c>
      <c r="B515" t="inlineStr">
        <is>
          <t>Kota Tangerang</t>
        </is>
      </c>
      <c r="C515" t="inlineStr">
        <is>
          <t>082234031215</t>
        </is>
      </c>
      <c r="D515" t="inlineStr">
        <is>
          <t>safarsinergimadani@gmail.com</t>
        </is>
      </c>
      <c r="E515" t="inlineStr">
        <is>
          <t>https://lpjk.pu.go.id/search-badan-usaha-detail/eEk5ZWE4UHZSc1JyMk5tNTJSZnB1Zz09</t>
        </is>
      </c>
      <c r="F515" t="n">
        <v>2</v>
      </c>
      <c r="G515" t="inlineStr">
        <is>
          <t>BS001, BS004</t>
        </is>
      </c>
      <c r="H515" t="inlineStr">
        <is>
          <t>25 Oktober 2024</t>
        </is>
      </c>
      <c r="I515" s="2" t="n">
        <v>46335</v>
      </c>
      <c r="J515" t="inlineStr">
        <is>
          <t>Disetujui</t>
        </is>
      </c>
      <c r="K515" t="n">
        <v>87</v>
      </c>
      <c r="L515" t="inlineStr">
        <is>
          <t>9 November 2026</t>
        </is>
      </c>
      <c r="M515" t="inlineStr">
        <is>
          <t>Konstruksi Bangunan Sipil Jalan, Konstruksi Jaringan Irigasi dan Drainase</t>
        </is>
      </c>
      <c r="N515" t="inlineStr">
        <is>
          <t>K</t>
        </is>
      </c>
      <c r="O515" t="inlineStr">
        <is>
          <t>20231106, 20231113</t>
        </is>
      </c>
      <c r="P515" t="inlineStr">
        <is>
          <t>Banten</t>
        </is>
      </c>
      <c r="Q515" t="inlineStr"/>
    </row>
    <row r="516">
      <c r="A516" t="inlineStr">
        <is>
          <t>SAHABAT DAYA MANDIRI</t>
        </is>
      </c>
      <c r="B516" t="inlineStr">
        <is>
          <t>Kota Mataram</t>
        </is>
      </c>
      <c r="C516" t="inlineStr">
        <is>
          <t>08190703535</t>
        </is>
      </c>
      <c r="D516" t="inlineStr">
        <is>
          <t>cv.sahabatdayamandiri@gmail.com</t>
        </is>
      </c>
      <c r="E516" t="inlineStr">
        <is>
          <t>https://lpjk.pu.go.id/search-badan-usaha-detail/cEhXc2FvTWg4MVhnVEt2N0liYTV3Zz09</t>
        </is>
      </c>
      <c r="F516" t="n">
        <v>3</v>
      </c>
      <c r="G516" t="inlineStr">
        <is>
          <t>RK001, RK002, RK003</t>
        </is>
      </c>
      <c r="H516" t="inlineStr">
        <is>
          <t>20 Oktober 2020</t>
        </is>
      </c>
      <c r="I516" s="2" t="n">
        <v>46334</v>
      </c>
      <c r="J516" t="inlineStr">
        <is>
          <t>Disetujui</t>
        </is>
      </c>
      <c r="K516" t="n">
        <v>87</v>
      </c>
      <c r="L516" t="inlineStr">
        <is>
          <t>8 November 2026</t>
        </is>
      </c>
      <c r="M516" t="inlineStr">
        <is>
          <t>Jasa Rekayasa Konstruksi Bangunan Gedung Hunian dan Non Hunian, Jasa Rekayasa Pekerjaan Teknik Sipil Sumber Daya Air, Jasa Rekayasa Pekerjaan Teknik Sipil Transportasi</t>
        </is>
      </c>
      <c r="N516" t="inlineStr">
        <is>
          <t>K</t>
        </is>
      </c>
      <c r="O516" t="inlineStr">
        <is>
          <t>20231023</t>
        </is>
      </c>
      <c r="P516" t="inlineStr">
        <is>
          <t>Nusa Tenggara Barat</t>
        </is>
      </c>
      <c r="Q516" t="inlineStr"/>
    </row>
    <row r="517">
      <c r="A517" t="inlineStr">
        <is>
          <t>SAHABAT PASARAYA CITRAMODERN</t>
        </is>
      </c>
      <c r="B517" t="inlineStr">
        <is>
          <t>Kota Kupang</t>
        </is>
      </c>
      <c r="C517" t="inlineStr">
        <is>
          <t>081338256111</t>
        </is>
      </c>
      <c r="D517" t="inlineStr">
        <is>
          <t>propertyspc@gmail.com</t>
        </is>
      </c>
      <c r="E517" t="inlineStr">
        <is>
          <t>https://lpjk.pu.go.id/search-badan-usaha-detail/NlBBeld0RDhjUk1yYjJ3dmZlRitkZz09</t>
        </is>
      </c>
      <c r="F517" t="n">
        <v>1</v>
      </c>
      <c r="G517" t="inlineStr">
        <is>
          <t>BS001</t>
        </is>
      </c>
      <c r="H517" t="inlineStr">
        <is>
          <t>29 Maret 2017</t>
        </is>
      </c>
      <c r="I517" s="2" t="n">
        <v>46338</v>
      </c>
      <c r="J517" t="inlineStr">
        <is>
          <t>Disetujui</t>
        </is>
      </c>
      <c r="K517" t="n">
        <v>87</v>
      </c>
      <c r="L517" t="inlineStr">
        <is>
          <t>12 November 2026</t>
        </is>
      </c>
      <c r="M517" t="inlineStr">
        <is>
          <t>Konstruksi Bangunan Sipil Jalan</t>
        </is>
      </c>
      <c r="N517" t="inlineStr">
        <is>
          <t>K</t>
        </is>
      </c>
      <c r="O517" t="inlineStr">
        <is>
          <t>20231109</t>
        </is>
      </c>
      <c r="P517" t="inlineStr">
        <is>
          <t>Nusa Tenggara Timur</t>
        </is>
      </c>
      <c r="Q517" t="inlineStr"/>
    </row>
    <row r="518">
      <c r="A518" t="inlineStr">
        <is>
          <t>SAHABAT SARANA KONSTRUKSI</t>
        </is>
      </c>
      <c r="B518" t="inlineStr">
        <is>
          <t>Kab. Muara Enim</t>
        </is>
      </c>
      <c r="C518" t="inlineStr">
        <is>
          <t>082181718227</t>
        </is>
      </c>
      <c r="D518" t="inlineStr">
        <is>
          <t>sahabatsaranakonstruksi@gmail.com</t>
        </is>
      </c>
      <c r="E518" t="inlineStr">
        <is>
          <t>https://lpjk.pu.go.id/search-badan-usaha-detail/akVOdFcwaUQzVXF5c2NZUFdadnZQQT09</t>
        </is>
      </c>
      <c r="F518" t="n">
        <v>2</v>
      </c>
      <c r="G518" t="inlineStr">
        <is>
          <t>BG009, BS004</t>
        </is>
      </c>
      <c r="H518" t="inlineStr">
        <is>
          <t>24 Maret 2020</t>
        </is>
      </c>
      <c r="I518" s="2" t="n">
        <v>46339</v>
      </c>
      <c r="J518" t="inlineStr">
        <is>
          <t>Disetujui</t>
        </is>
      </c>
      <c r="K518" t="n">
        <v>87</v>
      </c>
      <c r="L518" t="inlineStr">
        <is>
          <t>13 November 2026</t>
        </is>
      </c>
      <c r="M518" t="inlineStr">
        <is>
          <t>Konstruksi Gedung Lainnya, Konstruksi Jaringan Irigasi dan Drainase</t>
        </is>
      </c>
      <c r="N518" t="inlineStr">
        <is>
          <t>K</t>
        </is>
      </c>
      <c r="O518" t="inlineStr">
        <is>
          <t>20231106, 20231110</t>
        </is>
      </c>
      <c r="P518" t="inlineStr">
        <is>
          <t>Sumatera Selatan</t>
        </is>
      </c>
      <c r="Q518" t="inlineStr"/>
    </row>
    <row r="519">
      <c r="A519" t="inlineStr">
        <is>
          <t>SAHABAT SEJATI UTAMA</t>
        </is>
      </c>
      <c r="B519" t="inlineStr">
        <is>
          <t>Kota Palembang</t>
        </is>
      </c>
      <c r="C519" t="inlineStr">
        <is>
          <t>085106000072</t>
        </is>
      </c>
      <c r="D519" t="inlineStr">
        <is>
          <t>pt.sahabat.sejati.utama15@gmail.com</t>
        </is>
      </c>
      <c r="E519" t="inlineStr">
        <is>
          <t>https://lpjk.pu.go.id/search-badan-usaha-detail/M1RhejB2cUduU2h2MTYyQzFXSkN3UT09</t>
        </is>
      </c>
      <c r="F519" t="n">
        <v>3</v>
      </c>
      <c r="G519" t="inlineStr">
        <is>
          <t>BG009, BS001, IN001</t>
        </is>
      </c>
      <c r="H519" t="inlineStr">
        <is>
          <t>30 April 2015</t>
        </is>
      </c>
      <c r="I519" s="2" t="n">
        <v>46337</v>
      </c>
      <c r="J519" t="inlineStr">
        <is>
          <t>Disetujui, Pembekuan</t>
        </is>
      </c>
      <c r="K519" t="n">
        <v>87</v>
      </c>
      <c r="L519" t="inlineStr">
        <is>
          <t>11 November 2026</t>
        </is>
      </c>
      <c r="M519" t="inlineStr">
        <is>
          <t>Instalasi Mekanikal, Konstruksi Bangunan Sipil Jalan, Konstruksi Gedung Lainnya</t>
        </is>
      </c>
      <c r="N519" t="inlineStr">
        <is>
          <t>K, Spesialis</t>
        </is>
      </c>
      <c r="O519" t="inlineStr">
        <is>
          <t>20231111</t>
        </is>
      </c>
      <c r="P519" t="inlineStr">
        <is>
          <t>Sumatera Selatan</t>
        </is>
      </c>
      <c r="Q519" t="inlineStr"/>
    </row>
    <row r="520">
      <c r="A520" t="inlineStr">
        <is>
          <t>SAKA DEXTRA STRUKTURA</t>
        </is>
      </c>
      <c r="B520" t="inlineStr">
        <is>
          <t>Kota Adm. Jakarta Selatan</t>
        </is>
      </c>
      <c r="C520" t="inlineStr">
        <is>
          <t>081288281699</t>
        </is>
      </c>
      <c r="D520" t="inlineStr">
        <is>
          <t>sakadextrastruktura@gmail.com</t>
        </is>
      </c>
      <c r="E520" t="inlineStr">
        <is>
          <t>https://lpjk.pu.go.id/search-badan-usaha-detail/OG4vVUFxR0s0SjV1MUx2ejhoMHRzQT09</t>
        </is>
      </c>
      <c r="F520" t="n">
        <v>5</v>
      </c>
      <c r="G520" t="inlineStr">
        <is>
          <t>BG001, BG002, BG003, BG006, BG007</t>
        </is>
      </c>
      <c r="H520" t="inlineStr">
        <is>
          <t>1 Januari 2018</t>
        </is>
      </c>
      <c r="I520" s="2" t="n">
        <v>46339</v>
      </c>
      <c r="J520" t="inlineStr">
        <is>
          <t>Disetujui</t>
        </is>
      </c>
      <c r="K520" t="n">
        <v>87</v>
      </c>
      <c r="L520" t="inlineStr">
        <is>
          <t>13 November 2026</t>
        </is>
      </c>
      <c r="M520" t="inlineStr">
        <is>
          <t>Konstruksi Gedung Hunian, Konstruksi Gedung Industri, Konstruksi Gedung Pendidikan, Konstruksi Gedung Penginapan, Konstruksi Gedung Perkantoran</t>
        </is>
      </c>
      <c r="N520" t="inlineStr">
        <is>
          <t>K</t>
        </is>
      </c>
      <c r="O520" t="inlineStr">
        <is>
          <t>20230921</t>
        </is>
      </c>
      <c r="P520" t="inlineStr">
        <is>
          <t>DKI Jakarta</t>
        </is>
      </c>
      <c r="Q520" t="inlineStr"/>
    </row>
    <row r="521">
      <c r="A521" t="inlineStr">
        <is>
          <t>SAM KONTRAKTOR</t>
        </is>
      </c>
      <c r="B521" t="inlineStr">
        <is>
          <t>Kab. Magetan</t>
        </is>
      </c>
      <c r="C521" t="inlineStr">
        <is>
          <t>0856 4588 7076</t>
        </is>
      </c>
      <c r="D521" t="inlineStr">
        <is>
          <t>samconts@yahoo.co.id</t>
        </is>
      </c>
      <c r="E521" t="inlineStr">
        <is>
          <t>https://lpjk.pu.go.id/search-badan-usaha-detail/WWs5akwrZmdkZnlqOTdmdmR5ZzI5dz09</t>
        </is>
      </c>
      <c r="F521" t="n">
        <v>1</v>
      </c>
      <c r="G521" t="inlineStr">
        <is>
          <t>BS004</t>
        </is>
      </c>
      <c r="H521" t="inlineStr">
        <is>
          <t>19 Januari 2006</t>
        </is>
      </c>
      <c r="I521" s="2" t="n">
        <v>46338</v>
      </c>
      <c r="J521" t="inlineStr">
        <is>
          <t>Disetujui</t>
        </is>
      </c>
      <c r="K521" t="n">
        <v>87</v>
      </c>
      <c r="L521" t="inlineStr">
        <is>
          <t>12 November 2026</t>
        </is>
      </c>
      <c r="M521" t="inlineStr">
        <is>
          <t>Konstruksi Jaringan Irigasi dan Drainase</t>
        </is>
      </c>
      <c r="N521" t="inlineStr">
        <is>
          <t>K</t>
        </is>
      </c>
      <c r="O521" t="inlineStr">
        <is>
          <t>20231106</t>
        </is>
      </c>
      <c r="P521" t="inlineStr">
        <is>
          <t>Jawa Timur</t>
        </is>
      </c>
      <c r="Q521" t="inlineStr"/>
    </row>
    <row r="522">
      <c r="A522" t="inlineStr">
        <is>
          <t>SAMADYA PILAR KONSTRUKSI</t>
        </is>
      </c>
      <c r="B522" t="inlineStr">
        <is>
          <t>Kab. Serang</t>
        </is>
      </c>
      <c r="C522" t="inlineStr">
        <is>
          <t>087871024452</t>
        </is>
      </c>
      <c r="D522" t="inlineStr">
        <is>
          <t>Samadyakonstruksi@gmail.com</t>
        </is>
      </c>
      <c r="E522" t="inlineStr">
        <is>
          <t>https://lpjk.pu.go.id/search-badan-usaha-detail/ejRaL0dVY2ZzanhySkxGYkpsYit4UT09</t>
        </is>
      </c>
      <c r="F522" t="n">
        <v>1</v>
      </c>
      <c r="G522" t="inlineStr">
        <is>
          <t>BS004</t>
        </is>
      </c>
      <c r="H522" t="inlineStr">
        <is>
          <t>12 September 2020</t>
        </is>
      </c>
      <c r="I522" s="2" t="n">
        <v>46334</v>
      </c>
      <c r="J522" t="inlineStr">
        <is>
          <t>Disetujui</t>
        </is>
      </c>
      <c r="K522" t="n">
        <v>87</v>
      </c>
      <c r="L522" t="inlineStr">
        <is>
          <t>8 November 2026</t>
        </is>
      </c>
      <c r="M522" t="inlineStr">
        <is>
          <t>Konstruksi Jaringan Irigasi dan Drainase</t>
        </is>
      </c>
      <c r="N522" t="inlineStr">
        <is>
          <t>K</t>
        </is>
      </c>
      <c r="O522" t="inlineStr">
        <is>
          <t>20231106</t>
        </is>
      </c>
      <c r="P522" t="inlineStr">
        <is>
          <t>Banten</t>
        </is>
      </c>
      <c r="Q522" t="inlineStr"/>
    </row>
    <row r="523">
      <c r="A523" t="inlineStr">
        <is>
          <t>SAMI JAYA SADULUR</t>
        </is>
      </c>
      <c r="B523" t="inlineStr">
        <is>
          <t>Kab. Serang</t>
        </is>
      </c>
      <c r="C523" t="inlineStr">
        <is>
          <t>081574862308</t>
        </is>
      </c>
      <c r="D523" t="inlineStr">
        <is>
          <t>cv.samijayasadulur@gmail.com</t>
        </is>
      </c>
      <c r="E523" t="inlineStr">
        <is>
          <t>https://lpjk.pu.go.id/search-badan-usaha-detail/WTRyaHVYTHFvbSt6cXpLeUJoR0ZBUT09</t>
        </is>
      </c>
      <c r="F523" t="n">
        <v>1</v>
      </c>
      <c r="G523" t="inlineStr">
        <is>
          <t>BS001</t>
        </is>
      </c>
      <c r="H523" t="inlineStr">
        <is>
          <t>28 Januari 2019</t>
        </is>
      </c>
      <c r="I523" s="2" t="n">
        <v>46335</v>
      </c>
      <c r="J523" t="inlineStr">
        <is>
          <t>Pencabutan</t>
        </is>
      </c>
      <c r="K523" t="n">
        <v>87</v>
      </c>
      <c r="L523" t="inlineStr">
        <is>
          <t>9 November 2026</t>
        </is>
      </c>
      <c r="M523" t="inlineStr">
        <is>
          <t>Konstruksi Bangunan Sipil Jalan</t>
        </is>
      </c>
      <c r="N523" t="inlineStr">
        <is>
          <t>K</t>
        </is>
      </c>
      <c r="O523" t="inlineStr">
        <is>
          <t>20231030</t>
        </is>
      </c>
      <c r="P523" t="inlineStr">
        <is>
          <t>Banten</t>
        </is>
      </c>
      <c r="Q523" t="inlineStr"/>
    </row>
    <row r="524">
      <c r="A524" t="inlineStr">
        <is>
          <t>SAMUDERA ARTHA RAYA</t>
        </is>
      </c>
      <c r="B524" t="inlineStr">
        <is>
          <t>Kab. Jombang</t>
        </is>
      </c>
      <c r="C524" t="inlineStr">
        <is>
          <t>082230559599</t>
        </is>
      </c>
      <c r="D524" t="inlineStr">
        <is>
          <t>ptsamuderaartharaya@gmail.com</t>
        </is>
      </c>
      <c r="E524" t="inlineStr">
        <is>
          <t>https://lpjk.pu.go.id/search-badan-usaha-detail/b2kzRE1sY05YdW5Vd3lrUjBKeU1Ydz09</t>
        </is>
      </c>
      <c r="F524" t="n">
        <v>1</v>
      </c>
      <c r="G524" t="inlineStr">
        <is>
          <t>IN001</t>
        </is>
      </c>
      <c r="H524" t="inlineStr">
        <is>
          <t>23 Mei 2022</t>
        </is>
      </c>
      <c r="I524" s="2" t="n">
        <v>46335</v>
      </c>
      <c r="J524" t="inlineStr">
        <is>
          <t>Pembekuan</t>
        </is>
      </c>
      <c r="K524" t="n">
        <v>87</v>
      </c>
      <c r="L524" t="inlineStr">
        <is>
          <t>9 November 2026</t>
        </is>
      </c>
      <c r="M524" t="inlineStr">
        <is>
          <t>Instalasi Mekanikal</t>
        </is>
      </c>
      <c r="N524" t="inlineStr">
        <is>
          <t>Spesialis</t>
        </is>
      </c>
      <c r="O524" t="inlineStr">
        <is>
          <t>20231109</t>
        </is>
      </c>
      <c r="P524" t="inlineStr">
        <is>
          <t>Jawa Timur</t>
        </is>
      </c>
      <c r="Q524" t="inlineStr"/>
    </row>
    <row r="525">
      <c r="A525" t="inlineStr">
        <is>
          <t>SAMUDERA ATLANTIS INTERNATIONAL</t>
        </is>
      </c>
      <c r="B525" t="inlineStr">
        <is>
          <t>Kota Adm. Jakarta Utara</t>
        </is>
      </c>
      <c r="C525" t="inlineStr">
        <is>
          <t>082158006088</t>
        </is>
      </c>
      <c r="D525" t="inlineStr">
        <is>
          <t>office@samuderagroup.co.id</t>
        </is>
      </c>
      <c r="E525" t="inlineStr">
        <is>
          <t>https://lpjk.pu.go.id/search-badan-usaha-detail/K0ZvamR5RUR5cjlHdmdPQTNHSjdBdz09</t>
        </is>
      </c>
      <c r="F525" t="n">
        <v>1</v>
      </c>
      <c r="G525" t="inlineStr">
        <is>
          <t>PL002</t>
        </is>
      </c>
      <c r="H525" t="inlineStr">
        <is>
          <t>23 Desember 2014</t>
        </is>
      </c>
      <c r="I525" s="2" t="n">
        <v>46334</v>
      </c>
      <c r="J525" t="inlineStr">
        <is>
          <t>Disetujui</t>
        </is>
      </c>
      <c r="K525" t="n">
        <v>87</v>
      </c>
      <c r="L525" t="inlineStr">
        <is>
          <t>8 November 2026</t>
        </is>
      </c>
      <c r="M525" t="inlineStr">
        <is>
          <t>Pengerukan</t>
        </is>
      </c>
      <c r="N525" t="inlineStr">
        <is>
          <t>Spesialis</t>
        </is>
      </c>
      <c r="O525" t="inlineStr">
        <is>
          <t>20231107</t>
        </is>
      </c>
      <c r="P525" t="inlineStr">
        <is>
          <t>DKI Jakarta</t>
        </is>
      </c>
      <c r="Q525" t="inlineStr"/>
    </row>
    <row r="526">
      <c r="A526" t="inlineStr">
        <is>
          <t>SAMUDERA ENERGI ASTANA</t>
        </is>
      </c>
      <c r="B526" t="inlineStr">
        <is>
          <t>Kota Surabaya</t>
        </is>
      </c>
      <c r="C526" t="inlineStr">
        <is>
          <t>08179154444</t>
        </is>
      </c>
      <c r="D526" t="inlineStr">
        <is>
          <t>samuderaenergiastana@gmail.com</t>
        </is>
      </c>
      <c r="E526" t="inlineStr">
        <is>
          <t>https://lpjk.pu.go.id/search-badan-usaha-detail/Y2w2TEJ3NEJTd2l3UmlLWHlKb1ZvQT09</t>
        </is>
      </c>
      <c r="F526" t="n">
        <v>1</v>
      </c>
      <c r="G526" t="inlineStr">
        <is>
          <t>BS006</t>
        </is>
      </c>
      <c r="H526" t="inlineStr">
        <is>
          <t>17 April 2023</t>
        </is>
      </c>
      <c r="I526" s="2" t="n">
        <v>46340</v>
      </c>
      <c r="J526" t="inlineStr">
        <is>
          <t>Disetujui</t>
        </is>
      </c>
      <c r="K526" t="n">
        <v>87</v>
      </c>
      <c r="L526" t="inlineStr">
        <is>
          <t>14 November 2026</t>
        </is>
      </c>
      <c r="M526" t="inlineStr">
        <is>
          <t>Konstruksi Bangunan Sipil Prasarana dan Sarana Sistem Pengolahan Limbah Padat, Cair, dan Gas</t>
        </is>
      </c>
      <c r="N526" t="inlineStr">
        <is>
          <t>K</t>
        </is>
      </c>
      <c r="O526" t="inlineStr">
        <is>
          <t>20231115</t>
        </is>
      </c>
      <c r="P526" t="inlineStr">
        <is>
          <t>Jawa Timur</t>
        </is>
      </c>
      <c r="Q526" t="inlineStr"/>
    </row>
    <row r="527">
      <c r="A527" t="inlineStr">
        <is>
          <t>SAMUDRA KARYA PERTAMA</t>
        </is>
      </c>
      <c r="B527" t="inlineStr">
        <is>
          <t>Kota Adm. Jakarta Selatan</t>
        </is>
      </c>
      <c r="C527" t="inlineStr">
        <is>
          <t>082173241122</t>
        </is>
      </c>
      <c r="D527" t="inlineStr">
        <is>
          <t>samudrakaryapertama@gmail.com</t>
        </is>
      </c>
      <c r="E527" t="inlineStr">
        <is>
          <t>https://lpjk.pu.go.id/search-badan-usaha-detail/Um5PT2RTcHFTbzNQK29iSklRT0JvUT09</t>
        </is>
      </c>
      <c r="F527" t="n">
        <v>3</v>
      </c>
      <c r="G527" t="inlineStr">
        <is>
          <t>BG002, BG003, BG009</t>
        </is>
      </c>
      <c r="H527" t="inlineStr">
        <is>
          <t>6 Oktober 2023</t>
        </is>
      </c>
      <c r="I527" s="2" t="n">
        <v>46340</v>
      </c>
      <c r="J527" t="inlineStr">
        <is>
          <t>Disetujui</t>
        </is>
      </c>
      <c r="K527" t="n">
        <v>87</v>
      </c>
      <c r="L527" t="inlineStr">
        <is>
          <t>14 November 2026</t>
        </is>
      </c>
      <c r="M527" t="inlineStr">
        <is>
          <t>Konstruksi Gedung Industri, Konstruksi Gedung Lainnya, Konstruksi Gedung Perkantoran</t>
        </is>
      </c>
      <c r="N527" t="inlineStr">
        <is>
          <t>K</t>
        </is>
      </c>
      <c r="O527" t="inlineStr">
        <is>
          <t>20231113, 20231115</t>
        </is>
      </c>
      <c r="P527" t="inlineStr">
        <is>
          <t>DKI Jakarta</t>
        </is>
      </c>
      <c r="Q527" t="inlineStr"/>
    </row>
    <row r="528">
      <c r="A528" t="inlineStr">
        <is>
          <t>SARANAH ARSITEK NUGRAHA</t>
        </is>
      </c>
      <c r="B528" t="inlineStr">
        <is>
          <t>Kota Surabaya</t>
        </is>
      </c>
      <c r="C528" t="inlineStr">
        <is>
          <t>0313890223</t>
        </is>
      </c>
      <c r="D528" t="inlineStr">
        <is>
          <t>ptsaranah@gmail.com</t>
        </is>
      </c>
      <c r="E528" t="inlineStr">
        <is>
          <t>https://lpjk.pu.go.id/search-badan-usaha-detail/U0FRRkFNV1BtUWZxTmRZMWoxdkhmdz09</t>
        </is>
      </c>
      <c r="F528" t="n">
        <v>5</v>
      </c>
      <c r="G528" t="inlineStr">
        <is>
          <t>BG001, BG002, BG003, BG006, BG009</t>
        </is>
      </c>
      <c r="H528" t="inlineStr">
        <is>
          <t>18 Januari 2017</t>
        </is>
      </c>
      <c r="I528" s="2" t="n">
        <v>46340</v>
      </c>
      <c r="J528" t="inlineStr">
        <is>
          <t>Disetujui</t>
        </is>
      </c>
      <c r="K528" t="n">
        <v>87</v>
      </c>
      <c r="L528" t="inlineStr">
        <is>
          <t>14 November 2026</t>
        </is>
      </c>
      <c r="M528" t="inlineStr">
        <is>
          <t>Konstruksi Gedung Hunian, Konstruksi Gedung Industri, Konstruksi Gedung Lainnya, Konstruksi Gedung Pendidikan, Konstruksi Gedung Perkantoran</t>
        </is>
      </c>
      <c r="N528" t="inlineStr">
        <is>
          <t>K</t>
        </is>
      </c>
      <c r="O528" t="inlineStr">
        <is>
          <t>20231114, 20231115</t>
        </is>
      </c>
      <c r="P528" t="inlineStr">
        <is>
          <t>Jawa Timur</t>
        </is>
      </c>
      <c r="Q528" t="inlineStr"/>
    </row>
    <row r="529">
      <c r="A529" t="inlineStr">
        <is>
          <t>SARI MAS INDAH SEJAHTERA</t>
        </is>
      </c>
      <c r="B529" t="inlineStr">
        <is>
          <t>Kota Semarang</t>
        </is>
      </c>
      <c r="C529" t="inlineStr">
        <is>
          <t>0247460302</t>
        </is>
      </c>
      <c r="D529" t="inlineStr">
        <is>
          <t>smi_sejahtera@yahoo.com</t>
        </is>
      </c>
      <c r="E529" t="inlineStr">
        <is>
          <t>https://lpjk.pu.go.id/search-badan-usaha-detail/ZkNUU3ZHOHhxSVhReHU0UXhXZWJ1Zz09</t>
        </is>
      </c>
      <c r="F529" t="n">
        <v>2</v>
      </c>
      <c r="G529" t="inlineStr">
        <is>
          <t>BS001, BS002</t>
        </is>
      </c>
      <c r="H529" t="inlineStr">
        <is>
          <t>8 Juni 2017</t>
        </is>
      </c>
      <c r="I529" s="2" t="n">
        <v>46340</v>
      </c>
      <c r="J529" t="inlineStr">
        <is>
          <t>Pencabutan</t>
        </is>
      </c>
      <c r="K529" t="n">
        <v>87</v>
      </c>
      <c r="L529" t="inlineStr">
        <is>
          <t>14 November 2026</t>
        </is>
      </c>
      <c r="M529" t="inlineStr">
        <is>
          <t>Bangunan Sipil Jembatan, Jalan Layang, Fly Over, dan Underpass, Konstruksi Bangunan Sipil Jalan</t>
        </is>
      </c>
      <c r="N529" t="inlineStr">
        <is>
          <t>M</t>
        </is>
      </c>
      <c r="O529" t="inlineStr">
        <is>
          <t>20231110</t>
        </is>
      </c>
      <c r="P529" t="inlineStr">
        <is>
          <t>Jawa Tengah</t>
        </is>
      </c>
      <c r="Q529" t="inlineStr"/>
    </row>
    <row r="530">
      <c r="A530" t="inlineStr">
        <is>
          <t>SATRIAMAS KARYATAMA</t>
        </is>
      </c>
      <c r="B530" t="inlineStr">
        <is>
          <t>Kota Semarang</t>
        </is>
      </c>
      <c r="C530" t="inlineStr">
        <is>
          <t>0243580362</t>
        </is>
      </c>
      <c r="D530" t="inlineStr">
        <is>
          <t>satriamas.karyatama@yahoo.com</t>
        </is>
      </c>
      <c r="E530" t="inlineStr">
        <is>
          <t>https://lpjk.pu.go.id/search-badan-usaha-detail/UFVtb21rZWprZGlRNGtyMlgzZldzdz09</t>
        </is>
      </c>
      <c r="F530" t="n">
        <v>1</v>
      </c>
      <c r="G530" t="inlineStr">
        <is>
          <t>BG004</t>
        </is>
      </c>
      <c r="H530" t="inlineStr">
        <is>
          <t>21 Juni 2003</t>
        </is>
      </c>
      <c r="I530" s="2" t="n">
        <v>46336</v>
      </c>
      <c r="J530" t="inlineStr">
        <is>
          <t>Disetujui</t>
        </is>
      </c>
      <c r="K530" t="n">
        <v>87</v>
      </c>
      <c r="L530" t="inlineStr">
        <is>
          <t>10 November 2026</t>
        </is>
      </c>
      <c r="M530" t="inlineStr">
        <is>
          <t>Konstruksi Gedung Perbelanjaan</t>
        </is>
      </c>
      <c r="N530" t="inlineStr">
        <is>
          <t>M</t>
        </is>
      </c>
      <c r="O530" t="inlineStr">
        <is>
          <t>20231024</t>
        </is>
      </c>
      <c r="P530" t="inlineStr">
        <is>
          <t>Jawa Tengah</t>
        </is>
      </c>
      <c r="Q530" t="inlineStr"/>
    </row>
    <row r="531">
      <c r="A531" t="inlineStr">
        <is>
          <t>SATU DUA SATU SR</t>
        </is>
      </c>
      <c r="B531" t="inlineStr">
        <is>
          <t>Kota Kendari</t>
        </is>
      </c>
      <c r="C531" t="inlineStr">
        <is>
          <t>08114033351</t>
        </is>
      </c>
      <c r="D531" t="inlineStr">
        <is>
          <t>cv.satuduasatu.sr@gmail.com</t>
        </is>
      </c>
      <c r="E531" t="inlineStr">
        <is>
          <t>https://lpjk.pu.go.id/search-badan-usaha-detail/RksycEdlZDU3M3VVMCt0aUFHTFh1dz09</t>
        </is>
      </c>
      <c r="F531" t="n">
        <v>1</v>
      </c>
      <c r="G531" t="inlineStr">
        <is>
          <t>BS001</t>
        </is>
      </c>
      <c r="H531" t="inlineStr">
        <is>
          <t>4 Juni 2020</t>
        </is>
      </c>
      <c r="I531" s="2" t="n">
        <v>46339</v>
      </c>
      <c r="J531" t="inlineStr">
        <is>
          <t>Disetujui</t>
        </is>
      </c>
      <c r="K531" t="n">
        <v>87</v>
      </c>
      <c r="L531" t="inlineStr">
        <is>
          <t>13 November 2026</t>
        </is>
      </c>
      <c r="M531" t="inlineStr">
        <is>
          <t>Konstruksi Bangunan Sipil Jalan</t>
        </is>
      </c>
      <c r="N531" t="inlineStr">
        <is>
          <t>K</t>
        </is>
      </c>
      <c r="O531" t="inlineStr">
        <is>
          <t>20231109</t>
        </is>
      </c>
      <c r="P531" t="inlineStr">
        <is>
          <t>Sulawesi Tenggara</t>
        </is>
      </c>
      <c r="Q531" t="inlineStr"/>
    </row>
    <row r="532">
      <c r="A532" t="inlineStr">
        <is>
          <t>SEGI TIGA EMAS</t>
        </is>
      </c>
      <c r="B532" t="inlineStr">
        <is>
          <t>Kab. Kerinci</t>
        </is>
      </c>
      <c r="C532" t="inlineStr">
        <is>
          <t>085366482851</t>
        </is>
      </c>
      <c r="D532" t="inlineStr">
        <is>
          <t>segitigaemascv5@gmail.com</t>
        </is>
      </c>
      <c r="E532" t="inlineStr">
        <is>
          <t>https://lpjk.pu.go.id/search-badan-usaha-detail/bHBGNmpIYVJMTUtwVDhjTGRWY2dQUT09</t>
        </is>
      </c>
      <c r="F532" t="n">
        <v>1</v>
      </c>
      <c r="G532" t="inlineStr">
        <is>
          <t>BG006</t>
        </is>
      </c>
      <c r="H532" t="inlineStr">
        <is>
          <t>7 Februari 2023</t>
        </is>
      </c>
      <c r="I532" s="2" t="n">
        <v>46336</v>
      </c>
      <c r="J532" t="inlineStr">
        <is>
          <t>Disetujui</t>
        </is>
      </c>
      <c r="K532" t="n">
        <v>87</v>
      </c>
      <c r="L532" t="inlineStr">
        <is>
          <t>10 November 2026</t>
        </is>
      </c>
      <c r="M532" t="inlineStr">
        <is>
          <t>Konstruksi Gedung Pendidikan</t>
        </is>
      </c>
      <c r="N532" t="inlineStr">
        <is>
          <t>K</t>
        </is>
      </c>
      <c r="O532" t="inlineStr">
        <is>
          <t>20231111</t>
        </is>
      </c>
      <c r="P532" t="inlineStr">
        <is>
          <t>Jambi</t>
        </is>
      </c>
      <c r="Q532" t="inlineStr"/>
    </row>
    <row r="533">
      <c r="A533" t="inlineStr">
        <is>
          <t>SEGI TIGA KUBUS</t>
        </is>
      </c>
      <c r="B533" t="inlineStr">
        <is>
          <t>Kab. Serdang Bedagai</t>
        </is>
      </c>
      <c r="C533" t="inlineStr">
        <is>
          <t>085297940888</t>
        </is>
      </c>
      <c r="D533" t="inlineStr">
        <is>
          <t>cv.segitigakubus@gmail.com</t>
        </is>
      </c>
      <c r="E533" t="inlineStr">
        <is>
          <t>https://lpjk.pu.go.id/search-badan-usaha-detail/TktYUkt1aFg2elI3VlpMbDNIV2I2QT09</t>
        </is>
      </c>
      <c r="F533" t="n">
        <v>3</v>
      </c>
      <c r="G533" t="inlineStr">
        <is>
          <t>BG005, BG006, BG009</t>
        </is>
      </c>
      <c r="H533" t="inlineStr">
        <is>
          <t>18 Maret 2021</t>
        </is>
      </c>
      <c r="I533" s="2" t="n">
        <v>46335</v>
      </c>
      <c r="J533" t="inlineStr">
        <is>
          <t>Disetujui</t>
        </is>
      </c>
      <c r="K533" t="n">
        <v>87</v>
      </c>
      <c r="L533" t="inlineStr">
        <is>
          <t>9 November 2026</t>
        </is>
      </c>
      <c r="M533" t="inlineStr">
        <is>
          <t>Konstruksi Gedung Kesehatan, Konstruksi Gedung Lainnya, Konstruksi Gedung Pendidikan</t>
        </is>
      </c>
      <c r="N533" t="inlineStr">
        <is>
          <t>K</t>
        </is>
      </c>
      <c r="O533" t="inlineStr">
        <is>
          <t>20231106</t>
        </is>
      </c>
      <c r="P533" t="inlineStr">
        <is>
          <t>Sumatera Utara</t>
        </is>
      </c>
      <c r="Q533" t="inlineStr"/>
    </row>
    <row r="534">
      <c r="A534" t="inlineStr">
        <is>
          <t>SEJAHTERA</t>
        </is>
      </c>
      <c r="B534" t="inlineStr">
        <is>
          <t>Kota Tebing Tinggi</t>
        </is>
      </c>
      <c r="C534" t="inlineStr">
        <is>
          <t>081396473777</t>
        </is>
      </c>
      <c r="D534" t="inlineStr">
        <is>
          <t>cvsejahtera56@gmail.com</t>
        </is>
      </c>
      <c r="E534" t="inlineStr">
        <is>
          <t>https://lpjk.pu.go.id/search-badan-usaha-detail/Q3dISm1kSWdlYmdLZGE0elcwRHovdz09</t>
        </is>
      </c>
      <c r="F534" t="n">
        <v>1</v>
      </c>
      <c r="G534" t="inlineStr">
        <is>
          <t>IN004</t>
        </is>
      </c>
      <c r="H534" t="inlineStr">
        <is>
          <t>13 April 2010</t>
        </is>
      </c>
      <c r="I534" s="2" t="n">
        <v>46336</v>
      </c>
      <c r="J534" t="inlineStr">
        <is>
          <t>Pembekuan</t>
        </is>
      </c>
      <c r="K534" t="n">
        <v>87</v>
      </c>
      <c r="L534" t="inlineStr">
        <is>
          <t>10 November 2026</t>
        </is>
      </c>
      <c r="M534" t="inlineStr">
        <is>
          <t>Instalasi Minyak dan Gas</t>
        </is>
      </c>
      <c r="N534" t="inlineStr">
        <is>
          <t>Spesialis</t>
        </is>
      </c>
      <c r="O534" t="inlineStr">
        <is>
          <t>20231108</t>
        </is>
      </c>
      <c r="P534" t="inlineStr">
        <is>
          <t>Sumatera Utara</t>
        </is>
      </c>
      <c r="Q534" t="inlineStr"/>
    </row>
    <row r="535">
      <c r="A535" t="inlineStr">
        <is>
          <t>SEKAR KAHURIPAN</t>
        </is>
      </c>
      <c r="B535" t="inlineStr">
        <is>
          <t>Kota Mojokerto</t>
        </is>
      </c>
      <c r="C535" t="inlineStr">
        <is>
          <t>081230280226</t>
        </is>
      </c>
      <c r="D535" t="inlineStr">
        <is>
          <t>sekarkahuripan_cv@yahoo.com</t>
        </is>
      </c>
      <c r="E535" t="inlineStr">
        <is>
          <t>https://lpjk.pu.go.id/search-badan-usaha-detail/eGVZNXp5Z1RhM3FMUnIyRzdqRVJSZz09</t>
        </is>
      </c>
      <c r="F535" t="n">
        <v>4</v>
      </c>
      <c r="G535" t="inlineStr">
        <is>
          <t>BG005, BG006</t>
        </is>
      </c>
      <c r="H535" t="inlineStr">
        <is>
          <t>22 Juni 2012</t>
        </is>
      </c>
      <c r="I535" s="2" t="n">
        <v>46334</v>
      </c>
      <c r="J535" t="inlineStr">
        <is>
          <t>Disetujui</t>
        </is>
      </c>
      <c r="K535" t="n">
        <v>87</v>
      </c>
      <c r="L535" t="inlineStr">
        <is>
          <t>8 November 2026</t>
        </is>
      </c>
      <c r="M535" t="inlineStr">
        <is>
          <t>Konstruksi Gedung Kesehatan, Konstruksi Gedung Pendidikan</t>
        </is>
      </c>
      <c r="N535" t="inlineStr">
        <is>
          <t>K</t>
        </is>
      </c>
      <c r="O535" t="inlineStr">
        <is>
          <t>20231102, 20231110</t>
        </is>
      </c>
      <c r="P535" t="inlineStr">
        <is>
          <t>Jawa Timur</t>
        </is>
      </c>
      <c r="Q535" t="inlineStr"/>
    </row>
    <row r="536">
      <c r="A536" t="inlineStr">
        <is>
          <t>SEKAWAN UTAMA</t>
        </is>
      </c>
      <c r="B536" t="inlineStr">
        <is>
          <t>Kab. Tabanan</t>
        </is>
      </c>
      <c r="C536" t="inlineStr">
        <is>
          <t>0361811974</t>
        </is>
      </c>
      <c r="D536" t="inlineStr">
        <is>
          <t>wayanmudiasa198@gmail.com</t>
        </is>
      </c>
      <c r="E536" t="inlineStr">
        <is>
          <t>https://lpjk.pu.go.id/search-badan-usaha-detail/RlpYNUhkSVlMRkRPU2pJbzEvb1JBdz09</t>
        </is>
      </c>
      <c r="F536" t="n">
        <v>2</v>
      </c>
      <c r="G536" t="inlineStr">
        <is>
          <t>BS001</t>
        </is>
      </c>
      <c r="H536" t="inlineStr">
        <is>
          <t>18 Februari 2004</t>
        </is>
      </c>
      <c r="I536" s="2" t="n">
        <v>46334</v>
      </c>
      <c r="J536" t="inlineStr">
        <is>
          <t>Disetujui</t>
        </is>
      </c>
      <c r="K536" t="n">
        <v>87</v>
      </c>
      <c r="L536" t="inlineStr">
        <is>
          <t>8 November 2026</t>
        </is>
      </c>
      <c r="M536" t="inlineStr">
        <is>
          <t>Konstruksi Bangunan Sipil Jalan</t>
        </is>
      </c>
      <c r="N536" t="inlineStr">
        <is>
          <t>K</t>
        </is>
      </c>
      <c r="O536" t="inlineStr">
        <is>
          <t>20231027</t>
        </is>
      </c>
      <c r="P536" t="inlineStr">
        <is>
          <t>Bali</t>
        </is>
      </c>
      <c r="Q536" t="inlineStr"/>
    </row>
    <row r="537">
      <c r="A537" t="inlineStr">
        <is>
          <t>SEMBILAN BERSAUDARA</t>
        </is>
      </c>
      <c r="B537" t="inlineStr">
        <is>
          <t>Kab. Kutai Timur</t>
        </is>
      </c>
      <c r="C537" t="inlineStr">
        <is>
          <t>081347648668</t>
        </is>
      </c>
      <c r="D537" t="inlineStr">
        <is>
          <t>sembilanbersaudaracv7@gmail.com</t>
        </is>
      </c>
      <c r="E537" t="inlineStr">
        <is>
          <t>https://lpjk.pu.go.id/search-badan-usaha-detail/SCtTbmorSkllaWFERldxODd5cVlLUT09</t>
        </is>
      </c>
      <c r="F537" t="n">
        <v>2</v>
      </c>
      <c r="G537" t="inlineStr">
        <is>
          <t>BS001, BS004</t>
        </is>
      </c>
      <c r="H537" t="inlineStr">
        <is>
          <t>9 Mei 2016</t>
        </is>
      </c>
      <c r="I537" s="2" t="n">
        <v>46335</v>
      </c>
      <c r="J537" t="inlineStr">
        <is>
          <t>Disetujui</t>
        </is>
      </c>
      <c r="K537" t="n">
        <v>87</v>
      </c>
      <c r="L537" t="inlineStr">
        <is>
          <t>9 November 2026</t>
        </is>
      </c>
      <c r="M537" t="inlineStr">
        <is>
          <t>Konstruksi Bangunan Sipil Jalan, Konstruksi Jaringan Irigasi dan Drainase</t>
        </is>
      </c>
      <c r="N537" t="inlineStr">
        <is>
          <t>K</t>
        </is>
      </c>
      <c r="O537" t="inlineStr">
        <is>
          <t>20231103</t>
        </is>
      </c>
      <c r="P537" t="inlineStr">
        <is>
          <t>Kalimantan Timur</t>
        </is>
      </c>
      <c r="Q537" t="inlineStr"/>
    </row>
    <row r="538">
      <c r="A538" t="inlineStr">
        <is>
          <t>SENDANG JAYA MAKMUR</t>
        </is>
      </c>
      <c r="B538" t="inlineStr">
        <is>
          <t>Kota Semarang</t>
        </is>
      </c>
      <c r="C538" t="inlineStr">
        <is>
          <t>081227378845</t>
        </is>
      </c>
      <c r="D538" t="inlineStr">
        <is>
          <t>munjamilsjm@gmail.com</t>
        </is>
      </c>
      <c r="E538" t="inlineStr">
        <is>
          <t>https://lpjk.pu.go.id/search-badan-usaha-detail/QVh3ZGVNNGt4ZCtXWnpFTGVZZDlNUT09</t>
        </is>
      </c>
      <c r="F538" t="n">
        <v>3</v>
      </c>
      <c r="G538" t="inlineStr">
        <is>
          <t>BG003, BG004, BG007</t>
        </is>
      </c>
      <c r="H538" t="inlineStr">
        <is>
          <t>23 November 2016</t>
        </is>
      </c>
      <c r="I538" s="2" t="n">
        <v>46335</v>
      </c>
      <c r="J538" t="inlineStr">
        <is>
          <t>Disetujui</t>
        </is>
      </c>
      <c r="K538" t="n">
        <v>87</v>
      </c>
      <c r="L538" t="inlineStr">
        <is>
          <t>9 November 2026</t>
        </is>
      </c>
      <c r="M538" t="inlineStr">
        <is>
          <t>Konstruksi Gedung Industri, Konstruksi Gedung Penginapan, Konstruksi Gedung Perbelanjaan</t>
        </is>
      </c>
      <c r="N538" t="inlineStr">
        <is>
          <t>K</t>
        </is>
      </c>
      <c r="O538" t="inlineStr">
        <is>
          <t>20231101</t>
        </is>
      </c>
      <c r="P538" t="inlineStr">
        <is>
          <t>Jawa Tengah</t>
        </is>
      </c>
      <c r="Q538" t="inlineStr"/>
    </row>
    <row r="539">
      <c r="A539" t="inlineStr">
        <is>
          <t>SENTANINDO HARAPAN PAPUA</t>
        </is>
      </c>
      <c r="B539" t="inlineStr">
        <is>
          <t>Kab. Jayapura</t>
        </is>
      </c>
      <c r="C539" t="inlineStr">
        <is>
          <t>0812191946326</t>
        </is>
      </c>
      <c r="D539" t="inlineStr">
        <is>
          <t>sentanindoharapanpapua@gmail.com</t>
        </is>
      </c>
      <c r="E539" t="inlineStr">
        <is>
          <t>https://lpjk.pu.go.id/search-badan-usaha-detail/NTZmUm9iMDdJVVBNQXFqK3RFSTNadz09</t>
        </is>
      </c>
      <c r="F539" t="n">
        <v>1</v>
      </c>
      <c r="G539" t="inlineStr">
        <is>
          <t>BS001</t>
        </is>
      </c>
      <c r="H539" t="inlineStr">
        <is>
          <t>12 Januari 2022</t>
        </is>
      </c>
      <c r="I539" s="2" t="n">
        <v>46339</v>
      </c>
      <c r="J539" t="inlineStr">
        <is>
          <t>Disetujui</t>
        </is>
      </c>
      <c r="K539" t="n">
        <v>87</v>
      </c>
      <c r="L539" t="inlineStr">
        <is>
          <t>13 November 2026</t>
        </is>
      </c>
      <c r="M539" t="inlineStr">
        <is>
          <t>Konstruksi Bangunan Sipil Jalan</t>
        </is>
      </c>
      <c r="N539" t="inlineStr">
        <is>
          <t>K</t>
        </is>
      </c>
      <c r="O539" t="inlineStr">
        <is>
          <t>20231113</t>
        </is>
      </c>
      <c r="P539" t="inlineStr">
        <is>
          <t>Papua</t>
        </is>
      </c>
      <c r="Q539" t="inlineStr"/>
    </row>
    <row r="540">
      <c r="A540" t="inlineStr">
        <is>
          <t>SENTOSA KARYA TEKNIK</t>
        </is>
      </c>
      <c r="B540" t="inlineStr">
        <is>
          <t>Kab. Tulungagung</t>
        </is>
      </c>
      <c r="C540" t="inlineStr">
        <is>
          <t>085646990871</t>
        </is>
      </c>
      <c r="D540" t="inlineStr">
        <is>
          <t>skt.cv.ta@gmail.com</t>
        </is>
      </c>
      <c r="E540" t="inlineStr">
        <is>
          <t>https://lpjk.pu.go.id/search-badan-usaha-detail/TTd1RzdPRnZaTlJnODVoK0phT0l4dz09</t>
        </is>
      </c>
      <c r="F540" t="n">
        <v>1</v>
      </c>
      <c r="G540" t="inlineStr">
        <is>
          <t>RK002</t>
        </is>
      </c>
      <c r="H540" t="inlineStr">
        <is>
          <t>23 Februari 2017</t>
        </is>
      </c>
      <c r="I540" s="2" t="n">
        <v>46335</v>
      </c>
      <c r="J540" t="inlineStr">
        <is>
          <t>Disetujui</t>
        </is>
      </c>
      <c r="K540" t="n">
        <v>87</v>
      </c>
      <c r="L540" t="inlineStr">
        <is>
          <t>9 November 2026</t>
        </is>
      </c>
      <c r="M540" t="inlineStr">
        <is>
          <t>Jasa Rekayasa Pekerjaan Teknik Sipil Sumber Daya Air</t>
        </is>
      </c>
      <c r="N540" t="inlineStr">
        <is>
          <t>K</t>
        </is>
      </c>
      <c r="O540" t="inlineStr">
        <is>
          <t>20230920</t>
        </is>
      </c>
      <c r="P540" t="inlineStr">
        <is>
          <t>Jawa Timur</t>
        </is>
      </c>
      <c r="Q540" t="inlineStr"/>
    </row>
    <row r="541">
      <c r="A541" t="inlineStr">
        <is>
          <t>SENTRA CININTYA INDONESIA</t>
        </is>
      </c>
      <c r="B541" t="inlineStr">
        <is>
          <t>Kota Padang</t>
        </is>
      </c>
      <c r="C541" t="inlineStr">
        <is>
          <t>0811662649</t>
        </is>
      </c>
      <c r="D541" t="inlineStr">
        <is>
          <t>pt.cinintya@gmail.com</t>
        </is>
      </c>
      <c r="E541" t="inlineStr">
        <is>
          <t>https://lpjk.pu.go.id/search-badan-usaha-detail/amVpdDhydEErUnVqb3NpUTg5U09DQT09</t>
        </is>
      </c>
      <c r="F541" t="n">
        <v>1</v>
      </c>
      <c r="G541" t="inlineStr">
        <is>
          <t>BS004</t>
        </is>
      </c>
      <c r="H541" t="inlineStr">
        <is>
          <t>25 Juni 2009</t>
        </is>
      </c>
      <c r="I541" s="2" t="n">
        <v>46335</v>
      </c>
      <c r="J541" t="inlineStr">
        <is>
          <t>Disetujui</t>
        </is>
      </c>
      <c r="K541" t="n">
        <v>87</v>
      </c>
      <c r="L541" t="inlineStr">
        <is>
          <t>9 November 2026</t>
        </is>
      </c>
      <c r="M541" t="inlineStr">
        <is>
          <t>Konstruksi Jaringan Irigasi dan Drainase</t>
        </is>
      </c>
      <c r="N541" t="inlineStr">
        <is>
          <t>K</t>
        </is>
      </c>
      <c r="O541" t="inlineStr">
        <is>
          <t>20230808</t>
        </is>
      </c>
      <c r="P541" t="inlineStr">
        <is>
          <t>Sumatera Barat</t>
        </is>
      </c>
      <c r="Q541" t="inlineStr"/>
    </row>
    <row r="542">
      <c r="A542" t="inlineStr">
        <is>
          <t>SETYA MUKTI</t>
        </is>
      </c>
      <c r="B542" t="inlineStr">
        <is>
          <t>Kab. Pati</t>
        </is>
      </c>
      <c r="C542" t="inlineStr">
        <is>
          <t>0295382071</t>
        </is>
      </c>
      <c r="D542" t="inlineStr">
        <is>
          <t>cvsetyamukti@yahoo.co.id</t>
        </is>
      </c>
      <c r="E542" t="inlineStr">
        <is>
          <t>https://lpjk.pu.go.id/search-badan-usaha-detail/MHNncmUybVpEZXU1WTB5TFA5cDU0dz09</t>
        </is>
      </c>
      <c r="F542" t="n">
        <v>1</v>
      </c>
      <c r="G542" t="inlineStr">
        <is>
          <t>BS012</t>
        </is>
      </c>
      <c r="H542" t="inlineStr">
        <is>
          <t>6 Oktober 2001</t>
        </is>
      </c>
      <c r="I542" s="2" t="n">
        <v>46334</v>
      </c>
      <c r="J542" t="inlineStr">
        <is>
          <t>Pencabutan</t>
        </is>
      </c>
      <c r="K542" t="n">
        <v>87</v>
      </c>
      <c r="L542" t="inlineStr">
        <is>
          <t>8 November 2026</t>
        </is>
      </c>
      <c r="M542" t="inlineStr">
        <is>
          <t>Konstruksi Bangunan Pelabuhan Perikanan</t>
        </is>
      </c>
      <c r="N542" t="inlineStr">
        <is>
          <t>K</t>
        </is>
      </c>
      <c r="O542" t="inlineStr">
        <is>
          <t>20231106</t>
        </is>
      </c>
      <c r="P542" t="inlineStr">
        <is>
          <t>Jawa Tengah</t>
        </is>
      </c>
      <c r="Q542" t="inlineStr"/>
    </row>
    <row r="543">
      <c r="A543" t="inlineStr">
        <is>
          <t>SHANUM PRADISTA KONSTRUKSI</t>
        </is>
      </c>
      <c r="B543" t="inlineStr">
        <is>
          <t>Kab. Kerinci</t>
        </is>
      </c>
      <c r="C543" t="inlineStr">
        <is>
          <t>081380856868</t>
        </is>
      </c>
      <c r="D543" t="inlineStr">
        <is>
          <t>cv.shanumpk23@gmail.com</t>
        </is>
      </c>
      <c r="E543" t="inlineStr">
        <is>
          <t>https://lpjk.pu.go.id/search-badan-usaha-detail/aTFiMWFPdURNaGhHOEVjb2ViMlUvQT09</t>
        </is>
      </c>
      <c r="F543" t="n">
        <v>6</v>
      </c>
      <c r="G543" t="inlineStr">
        <is>
          <t>BG006, BS001, BS004</t>
        </is>
      </c>
      <c r="H543" t="inlineStr">
        <is>
          <t>13 September 2023</t>
        </is>
      </c>
      <c r="I543" s="2" t="n">
        <v>46339</v>
      </c>
      <c r="J543" t="inlineStr">
        <is>
          <t>Disetujui</t>
        </is>
      </c>
      <c r="K543" t="n">
        <v>87</v>
      </c>
      <c r="L543" t="inlineStr">
        <is>
          <t>13 November 2026</t>
        </is>
      </c>
      <c r="M543" t="inlineStr">
        <is>
          <t>Konstruksi Bangunan Sipil Jalan, Konstruksi Gedung Pendidikan, Konstruksi Jaringan Irigasi dan Drainase</t>
        </is>
      </c>
      <c r="N543" t="inlineStr">
        <is>
          <t>K</t>
        </is>
      </c>
      <c r="O543" t="inlineStr">
        <is>
          <t>20231111, 20231113, 20231114</t>
        </is>
      </c>
      <c r="P543" t="inlineStr">
        <is>
          <t>Jambi</t>
        </is>
      </c>
      <c r="Q543" t="inlineStr"/>
    </row>
    <row r="544">
      <c r="A544" t="inlineStr">
        <is>
          <t>SIGMA</t>
        </is>
      </c>
      <c r="B544" t="inlineStr">
        <is>
          <t>Kab. Bangkalan</t>
        </is>
      </c>
      <c r="C544" t="inlineStr">
        <is>
          <t>82333644451</t>
        </is>
      </c>
      <c r="D544" t="inlineStr">
        <is>
          <t>sigmacv_endang@yahoo.com</t>
        </is>
      </c>
      <c r="E544" t="inlineStr">
        <is>
          <t>https://lpjk.pu.go.id/search-badan-usaha-detail/MGxyV1k4V1hHV2NJZFN4NlE3NTcyUT09</t>
        </is>
      </c>
      <c r="F544" t="n">
        <v>2</v>
      </c>
      <c r="G544" t="inlineStr">
        <is>
          <t>BG006</t>
        </is>
      </c>
      <c r="H544" t="inlineStr">
        <is>
          <t>26 Januari 1982</t>
        </is>
      </c>
      <c r="I544" s="2" t="n">
        <v>46336</v>
      </c>
      <c r="J544" t="inlineStr">
        <is>
          <t>Pencabutan</t>
        </is>
      </c>
      <c r="K544" t="n">
        <v>87</v>
      </c>
      <c r="L544" t="inlineStr">
        <is>
          <t>10 November 2026</t>
        </is>
      </c>
      <c r="M544" t="inlineStr">
        <is>
          <t>Konstruksi Gedung Pendidikan</t>
        </is>
      </c>
      <c r="N544" t="inlineStr">
        <is>
          <t>K</t>
        </is>
      </c>
      <c r="O544" t="inlineStr">
        <is>
          <t>20231107</t>
        </is>
      </c>
      <c r="P544" t="inlineStr">
        <is>
          <t>Jawa Timur</t>
        </is>
      </c>
      <c r="Q544" t="inlineStr"/>
    </row>
    <row r="545">
      <c r="A545" t="inlineStr">
        <is>
          <t>SILVIA</t>
        </is>
      </c>
      <c r="B545" t="inlineStr">
        <is>
          <t>Kab. Murung Raya</t>
        </is>
      </c>
      <c r="C545" t="inlineStr">
        <is>
          <t>0813 4967 1333</t>
        </is>
      </c>
      <c r="D545" t="inlineStr">
        <is>
          <t>cvsilviamura@gmail.com</t>
        </is>
      </c>
      <c r="E545" t="inlineStr">
        <is>
          <t>https://lpjk.pu.go.id/search-badan-usaha-detail/L0czbmEveENYQU9PQTVyTG13T0JGdz09</t>
        </is>
      </c>
      <c r="F545" t="n">
        <v>1</v>
      </c>
      <c r="G545" t="inlineStr">
        <is>
          <t>BG009</t>
        </is>
      </c>
      <c r="H545" t="inlineStr">
        <is>
          <t>26 Mei 2003</t>
        </is>
      </c>
      <c r="I545" s="2" t="n">
        <v>46337</v>
      </c>
      <c r="J545" t="inlineStr">
        <is>
          <t>Disetujui</t>
        </is>
      </c>
      <c r="K545" t="n">
        <v>87</v>
      </c>
      <c r="L545" t="inlineStr">
        <is>
          <t>11 November 2026</t>
        </is>
      </c>
      <c r="M545" t="inlineStr">
        <is>
          <t>Konstruksi Gedung Lainnya</t>
        </is>
      </c>
      <c r="N545" t="inlineStr">
        <is>
          <t>K</t>
        </is>
      </c>
      <c r="O545" t="inlineStr">
        <is>
          <t>20231110</t>
        </is>
      </c>
      <c r="P545" t="inlineStr">
        <is>
          <t>Kalimantan Tengah</t>
        </is>
      </c>
      <c r="Q545" t="inlineStr"/>
    </row>
    <row r="546">
      <c r="A546" t="inlineStr">
        <is>
          <t>SINAR ALAM BAHALAP</t>
        </is>
      </c>
      <c r="B546" t="inlineStr">
        <is>
          <t>Kab. Barito Kuala</t>
        </is>
      </c>
      <c r="C546" t="inlineStr">
        <is>
          <t>085251155599</t>
        </is>
      </c>
      <c r="D546" t="inlineStr">
        <is>
          <t>pt.sinaralambahalap69@gmail.com</t>
        </is>
      </c>
      <c r="E546" t="inlineStr">
        <is>
          <t>https://lpjk.pu.go.id/search-badan-usaha-detail/OFdHTUFSWnFCWjk1QzJGai85TFNUUT09</t>
        </is>
      </c>
      <c r="F546" t="n">
        <v>1</v>
      </c>
      <c r="G546" t="inlineStr">
        <is>
          <t>BG002</t>
        </is>
      </c>
      <c r="H546" t="inlineStr">
        <is>
          <t>30 Mei 1980</t>
        </is>
      </c>
      <c r="I546" s="2" t="n">
        <v>46339</v>
      </c>
      <c r="J546" t="inlineStr">
        <is>
          <t>Disetujui</t>
        </is>
      </c>
      <c r="K546" t="n">
        <v>87</v>
      </c>
      <c r="L546" t="inlineStr">
        <is>
          <t>13 November 2026</t>
        </is>
      </c>
      <c r="M546" t="inlineStr">
        <is>
          <t>Konstruksi Gedung Perkantoran</t>
        </is>
      </c>
      <c r="N546" t="inlineStr">
        <is>
          <t>K</t>
        </is>
      </c>
      <c r="O546" t="inlineStr">
        <is>
          <t>20231025</t>
        </is>
      </c>
      <c r="P546" t="inlineStr">
        <is>
          <t>Kalimantan Selatan</t>
        </is>
      </c>
      <c r="Q546" t="inlineStr"/>
    </row>
    <row r="547">
      <c r="A547" t="inlineStr">
        <is>
          <t>SINAR ANUGRAH MULIA</t>
        </is>
      </c>
      <c r="B547" t="inlineStr">
        <is>
          <t>Kab. Tanah Bumbu</t>
        </is>
      </c>
      <c r="C547" t="inlineStr">
        <is>
          <t>082251863867</t>
        </is>
      </c>
      <c r="D547" t="inlineStr">
        <is>
          <t>sinaranugrah.919@gmail.com</t>
        </is>
      </c>
      <c r="E547" t="inlineStr">
        <is>
          <t>https://lpjk.pu.go.id/search-badan-usaha-detail/RVJReFhMREc5d3dwM3Z5V2RSQkNNQT09</t>
        </is>
      </c>
      <c r="F547" t="n">
        <v>5</v>
      </c>
      <c r="G547" t="inlineStr">
        <is>
          <t>BG002, BG005, BG006, BG008, BG009</t>
        </is>
      </c>
      <c r="H547" t="inlineStr">
        <is>
          <t>21 Januari 2016</t>
        </is>
      </c>
      <c r="I547" s="2" t="n">
        <v>46335</v>
      </c>
      <c r="J547" t="inlineStr">
        <is>
          <t>Disetujui</t>
        </is>
      </c>
      <c r="K547" t="n">
        <v>87</v>
      </c>
      <c r="L547" t="inlineStr">
        <is>
          <t>9 November 2026</t>
        </is>
      </c>
      <c r="M547" t="inlineStr">
        <is>
          <t>Konstruksi Gedung Kesehatan, Konstruksi Gedung Lainnya, Konstruksi Gedung Pendidikan, Konstruksi Gedung Perkantoran, Konstruksi Gedung Tempat Hiburan dan Olahraga</t>
        </is>
      </c>
      <c r="N547" t="inlineStr">
        <is>
          <t>K</t>
        </is>
      </c>
      <c r="O547" t="inlineStr">
        <is>
          <t>20231110</t>
        </is>
      </c>
      <c r="P547" t="inlineStr">
        <is>
          <t>Kalimantan Selatan</t>
        </is>
      </c>
      <c r="Q547" t="inlineStr"/>
    </row>
    <row r="548">
      <c r="A548" t="inlineStr">
        <is>
          <t>SINAR ASIH JAYA</t>
        </is>
      </c>
      <c r="B548" t="inlineStr">
        <is>
          <t>Kota Pematangsiantar</t>
        </is>
      </c>
      <c r="C548" t="inlineStr">
        <is>
          <t>081376731944</t>
        </is>
      </c>
      <c r="D548" t="inlineStr">
        <is>
          <t>pandiangannesar63@gmail.com</t>
        </is>
      </c>
      <c r="E548" t="inlineStr">
        <is>
          <t>https://lpjk.pu.go.id/search-badan-usaha-detail/NHhNMi9xWlR3WU1vd2I4TVBMbnB3UT09</t>
        </is>
      </c>
      <c r="F548" t="n">
        <v>1</v>
      </c>
      <c r="G548" t="inlineStr">
        <is>
          <t>BS001</t>
        </is>
      </c>
      <c r="H548" t="inlineStr">
        <is>
          <t>20 Januari 2004</t>
        </is>
      </c>
      <c r="I548" s="2" t="n">
        <v>46338</v>
      </c>
      <c r="J548" t="inlineStr">
        <is>
          <t>Disetujui</t>
        </is>
      </c>
      <c r="K548" t="n">
        <v>87</v>
      </c>
      <c r="L548" t="inlineStr">
        <is>
          <t>12 November 2026</t>
        </is>
      </c>
      <c r="M548" t="inlineStr">
        <is>
          <t>Konstruksi Bangunan Sipil Jalan</t>
        </is>
      </c>
      <c r="N548" t="inlineStr">
        <is>
          <t>K</t>
        </is>
      </c>
      <c r="O548" t="inlineStr">
        <is>
          <t>20230712</t>
        </is>
      </c>
      <c r="P548" t="inlineStr">
        <is>
          <t>Sumatera Utara</t>
        </is>
      </c>
      <c r="Q548" t="inlineStr"/>
    </row>
    <row r="549">
      <c r="A549" t="inlineStr">
        <is>
          <t>SINAR GRAHA INDONUSA</t>
        </is>
      </c>
      <c r="B549" t="inlineStr">
        <is>
          <t>Kota Medan</t>
        </is>
      </c>
      <c r="C549" t="inlineStr">
        <is>
          <t>0618369172</t>
        </is>
      </c>
      <c r="D549" t="inlineStr">
        <is>
          <t>pt.sinargraha_indonusa@yahoo.co.id</t>
        </is>
      </c>
      <c r="E549" t="inlineStr">
        <is>
          <t>https://lpjk.pu.go.id/search-badan-usaha-detail/Y2xOcFFGT3FGQUVKOGl4K2o2ckMwUT09</t>
        </is>
      </c>
      <c r="F549" t="n">
        <v>2</v>
      </c>
      <c r="G549" t="inlineStr">
        <is>
          <t>BG001, BG009</t>
        </is>
      </c>
      <c r="H549" t="inlineStr">
        <is>
          <t>3 Maret 2008</t>
        </is>
      </c>
      <c r="I549" s="2" t="n">
        <v>46338</v>
      </c>
      <c r="J549" t="inlineStr">
        <is>
          <t>Disetujui</t>
        </is>
      </c>
      <c r="K549" t="n">
        <v>87</v>
      </c>
      <c r="L549" t="inlineStr">
        <is>
          <t>12 November 2026</t>
        </is>
      </c>
      <c r="M549" t="inlineStr">
        <is>
          <t>Konstruksi Gedung Hunian, Konstruksi Gedung Lainnya</t>
        </is>
      </c>
      <c r="N549" t="inlineStr">
        <is>
          <t>K</t>
        </is>
      </c>
      <c r="O549" t="inlineStr">
        <is>
          <t>20231109, 20231110</t>
        </is>
      </c>
      <c r="P549" t="inlineStr">
        <is>
          <t>Sumatera Utara</t>
        </is>
      </c>
      <c r="Q549" t="inlineStr"/>
    </row>
    <row r="550">
      <c r="A550" t="inlineStr">
        <is>
          <t>SINAR QALBY PRATAMA</t>
        </is>
      </c>
      <c r="B550" t="inlineStr">
        <is>
          <t>Kota Ternate</t>
        </is>
      </c>
      <c r="C550" t="inlineStr">
        <is>
          <t>081340501033</t>
        </is>
      </c>
      <c r="D550" t="inlineStr">
        <is>
          <t>sinarqalbypratamacv@gmail.com</t>
        </is>
      </c>
      <c r="E550" t="inlineStr">
        <is>
          <t>https://lpjk.pu.go.id/search-badan-usaha-detail/R2hUQ0RSenJpUFdxRG91Vkw1SzFVUT09</t>
        </is>
      </c>
      <c r="F550" t="n">
        <v>2</v>
      </c>
      <c r="G550" t="inlineStr">
        <is>
          <t>BG005, BG006</t>
        </is>
      </c>
      <c r="H550" t="inlineStr">
        <is>
          <t>25 Agustus 2023</t>
        </is>
      </c>
      <c r="I550" s="2" t="n">
        <v>46339</v>
      </c>
      <c r="J550" t="inlineStr">
        <is>
          <t>Disetujui</t>
        </is>
      </c>
      <c r="K550" t="n">
        <v>87</v>
      </c>
      <c r="L550" t="inlineStr">
        <is>
          <t>13 November 2026</t>
        </is>
      </c>
      <c r="M550" t="inlineStr">
        <is>
          <t>Konstruksi Gedung Kesehatan, Konstruksi Gedung Pendidikan</t>
        </is>
      </c>
      <c r="N550" t="inlineStr">
        <is>
          <t>K</t>
        </is>
      </c>
      <c r="O550" t="inlineStr">
        <is>
          <t>20231113</t>
        </is>
      </c>
      <c r="P550" t="inlineStr">
        <is>
          <t>Maluku Utara</t>
        </is>
      </c>
      <c r="Q550" t="inlineStr"/>
    </row>
    <row r="551">
      <c r="A551" t="inlineStr">
        <is>
          <t>SINAR ROTE TIMUR</t>
        </is>
      </c>
      <c r="B551" t="inlineStr">
        <is>
          <t>Kab. Rote Ndao</t>
        </is>
      </c>
      <c r="C551" t="inlineStr">
        <is>
          <t>085238707919</t>
        </is>
      </c>
      <c r="D551" t="inlineStr">
        <is>
          <t>sinarrotetimur@gmail.com</t>
        </is>
      </c>
      <c r="E551" t="inlineStr">
        <is>
          <t>https://lpjk.pu.go.id/search-badan-usaha-detail/Mmc5UkNSUDhaWEswMzkxdmMrK1Rmdz09</t>
        </is>
      </c>
      <c r="F551" t="n">
        <v>1</v>
      </c>
      <c r="G551" t="inlineStr">
        <is>
          <t>BS010</t>
        </is>
      </c>
      <c r="H551" t="inlineStr">
        <is>
          <t>26 November 2019</t>
        </is>
      </c>
      <c r="I551" s="2" t="n">
        <v>46340</v>
      </c>
      <c r="J551" t="inlineStr">
        <is>
          <t>Disetujui</t>
        </is>
      </c>
      <c r="K551" t="n">
        <v>87</v>
      </c>
      <c r="L551" t="inlineStr">
        <is>
          <t>14 November 2026</t>
        </is>
      </c>
      <c r="M551" t="inlineStr">
        <is>
          <t>Konstruksi Bangunan Prasarana Sumber Daya Air</t>
        </is>
      </c>
      <c r="N551" t="inlineStr">
        <is>
          <t>K</t>
        </is>
      </c>
      <c r="O551" t="inlineStr">
        <is>
          <t>20231026</t>
        </is>
      </c>
      <c r="P551" t="inlineStr">
        <is>
          <t>Nusa Tenggara Timur</t>
        </is>
      </c>
      <c r="Q551" t="inlineStr"/>
    </row>
    <row r="552">
      <c r="A552" t="inlineStr">
        <is>
          <t>SIRAS KARYA BAKTI</t>
        </is>
      </c>
      <c r="B552" t="inlineStr">
        <is>
          <t>Kab. Gowa</t>
        </is>
      </c>
      <c r="C552" t="inlineStr">
        <is>
          <t>081355806640</t>
        </is>
      </c>
      <c r="D552" t="inlineStr">
        <is>
          <t>siraskarya@gmail.com</t>
        </is>
      </c>
      <c r="E552" t="inlineStr">
        <is>
          <t>https://lpjk.pu.go.id/search-badan-usaha-detail/T2R6S3J0UWZUNU1XRUdaVnpWbzNVQT09</t>
        </is>
      </c>
      <c r="F552" t="n">
        <v>3</v>
      </c>
      <c r="G552" t="inlineStr">
        <is>
          <t>BG005, BG006, BG009</t>
        </is>
      </c>
      <c r="H552" t="inlineStr">
        <is>
          <t>29 Maret 2023</t>
        </is>
      </c>
      <c r="I552" s="2" t="n">
        <v>46335</v>
      </c>
      <c r="J552" t="inlineStr">
        <is>
          <t>Disetujui</t>
        </is>
      </c>
      <c r="K552" t="n">
        <v>87</v>
      </c>
      <c r="L552" t="inlineStr">
        <is>
          <t>9 November 2026</t>
        </is>
      </c>
      <c r="M552" t="inlineStr">
        <is>
          <t>Konstruksi Gedung Kesehatan, Konstruksi Gedung Lainnya, Konstruksi Gedung Pendidikan</t>
        </is>
      </c>
      <c r="N552" t="inlineStr">
        <is>
          <t>K</t>
        </is>
      </c>
      <c r="O552" t="inlineStr">
        <is>
          <t>20231107</t>
        </is>
      </c>
      <c r="P552" t="inlineStr">
        <is>
          <t>Sulawesi Selatan</t>
        </is>
      </c>
      <c r="Q552" t="inlineStr"/>
    </row>
    <row r="553">
      <c r="A553" t="inlineStr">
        <is>
          <t>SKALA UTAMA</t>
        </is>
      </c>
      <c r="B553" t="inlineStr">
        <is>
          <t>Kab. Gowa</t>
        </is>
      </c>
      <c r="C553" t="inlineStr">
        <is>
          <t>085331322917</t>
        </is>
      </c>
      <c r="D553" t="inlineStr">
        <is>
          <t>wati99519@gmail.com</t>
        </is>
      </c>
      <c r="E553" t="inlineStr">
        <is>
          <t>https://lpjk.pu.go.id/search-badan-usaha-detail/UUxtZldXK2YvQThnb2tWM2NHb1BTQT09</t>
        </is>
      </c>
      <c r="F553" t="n">
        <v>2</v>
      </c>
      <c r="G553" t="inlineStr">
        <is>
          <t>BS001, BS004</t>
        </is>
      </c>
      <c r="H553" t="inlineStr">
        <is>
          <t>28 Oktober 1993</t>
        </is>
      </c>
      <c r="I553" s="2" t="n">
        <v>46336</v>
      </c>
      <c r="J553" t="inlineStr">
        <is>
          <t>Disetujui</t>
        </is>
      </c>
      <c r="K553" t="n">
        <v>87</v>
      </c>
      <c r="L553" t="inlineStr">
        <is>
          <t>10 November 2026</t>
        </is>
      </c>
      <c r="M553" t="inlineStr">
        <is>
          <t>Konstruksi Bangunan Sipil Jalan, Konstruksi Jaringan Irigasi dan Drainase</t>
        </is>
      </c>
      <c r="N553" t="inlineStr">
        <is>
          <t>K</t>
        </is>
      </c>
      <c r="O553" t="inlineStr">
        <is>
          <t>20231024, 20231025</t>
        </is>
      </c>
      <c r="P553" t="inlineStr">
        <is>
          <t>Sulawesi Selatan</t>
        </is>
      </c>
      <c r="Q553" t="inlineStr"/>
    </row>
    <row r="554">
      <c r="A554" t="inlineStr">
        <is>
          <t>SOLANA MEDIKA INDONESIA</t>
        </is>
      </c>
      <c r="B554" t="inlineStr">
        <is>
          <t>Kota Semarang</t>
        </is>
      </c>
      <c r="C554" t="inlineStr">
        <is>
          <t>081399800020</t>
        </is>
      </c>
      <c r="D554" t="inlineStr">
        <is>
          <t>solanamedikaindonesia@gmail.com</t>
        </is>
      </c>
      <c r="E554" t="inlineStr">
        <is>
          <t>https://lpjk.pu.go.id/search-badan-usaha-detail/bzhtVHRPR0M0VU9DUXBWQk9SMGdWZz09</t>
        </is>
      </c>
      <c r="F554" t="n">
        <v>1</v>
      </c>
      <c r="G554" t="inlineStr">
        <is>
          <t>BG005</t>
        </is>
      </c>
      <c r="H554" t="inlineStr">
        <is>
          <t>15 Februari 2023</t>
        </is>
      </c>
      <c r="I554" s="2" t="n">
        <v>46338</v>
      </c>
      <c r="J554" t="inlineStr">
        <is>
          <t>Disetujui</t>
        </is>
      </c>
      <c r="K554" t="n">
        <v>87</v>
      </c>
      <c r="L554" t="inlineStr">
        <is>
          <t>12 November 2026</t>
        </is>
      </c>
      <c r="M554" t="inlineStr">
        <is>
          <t>Konstruksi Gedung Kesehatan</t>
        </is>
      </c>
      <c r="N554" t="inlineStr">
        <is>
          <t>K</t>
        </is>
      </c>
      <c r="O554" t="inlineStr">
        <is>
          <t>20231020</t>
        </is>
      </c>
      <c r="P554" t="inlineStr">
        <is>
          <t>Jawa Tengah</t>
        </is>
      </c>
      <c r="Q554" t="inlineStr"/>
    </row>
    <row r="555">
      <c r="A555" t="inlineStr">
        <is>
          <t>STUDIO A 17 CONSULTANT</t>
        </is>
      </c>
      <c r="B555" t="inlineStr">
        <is>
          <t>Kota Padang</t>
        </is>
      </c>
      <c r="C555" t="inlineStr">
        <is>
          <t>081363314175</t>
        </is>
      </c>
      <c r="D555" t="inlineStr">
        <is>
          <t>a17studioconsultan@gmail.com</t>
        </is>
      </c>
      <c r="E555" t="inlineStr">
        <is>
          <t>https://lpjk.pu.go.id/search-badan-usaha-detail/MDIzbmhZS1VUcVkwU1FFL3Voa252dz09</t>
        </is>
      </c>
      <c r="F555" t="n">
        <v>1</v>
      </c>
      <c r="G555" t="inlineStr">
        <is>
          <t>AR001</t>
        </is>
      </c>
      <c r="H555" t="inlineStr">
        <is>
          <t>5 Maret 2004</t>
        </is>
      </c>
      <c r="I555" s="2" t="n">
        <v>46340</v>
      </c>
      <c r="J555" t="inlineStr">
        <is>
          <t>Disetujui</t>
        </is>
      </c>
      <c r="K555" t="n">
        <v>87</v>
      </c>
      <c r="L555" t="inlineStr">
        <is>
          <t>14 November 2026</t>
        </is>
      </c>
      <c r="M555" t="inlineStr">
        <is>
          <t>Jasa Arsitektural Bangunan Gedung Hunian dan Non Hunian</t>
        </is>
      </c>
      <c r="N555" t="inlineStr">
        <is>
          <t>K</t>
        </is>
      </c>
      <c r="O555" t="inlineStr">
        <is>
          <t>20231016</t>
        </is>
      </c>
      <c r="P555" t="inlineStr">
        <is>
          <t>Sumatera Barat</t>
        </is>
      </c>
      <c r="Q555" t="inlineStr"/>
    </row>
    <row r="556">
      <c r="A556" t="inlineStr">
        <is>
          <t>SUBUR ABADI JAYA</t>
        </is>
      </c>
      <c r="B556" t="inlineStr">
        <is>
          <t>Kota Kendari</t>
        </is>
      </c>
      <c r="C556" t="inlineStr">
        <is>
          <t>082252308994</t>
        </is>
      </c>
      <c r="D556" t="inlineStr">
        <is>
          <t>abadijayasubur@yahoo.com</t>
        </is>
      </c>
      <c r="E556" t="inlineStr">
        <is>
          <t>https://lpjk.pu.go.id/search-badan-usaha-detail/VktNQVhoYmp0eklpSldRQ0NYbitGdz09</t>
        </is>
      </c>
      <c r="F556" t="n">
        <v>1</v>
      </c>
      <c r="G556" t="inlineStr">
        <is>
          <t>PB010</t>
        </is>
      </c>
      <c r="H556" t="inlineStr">
        <is>
          <t>5 Juli 1997</t>
        </is>
      </c>
      <c r="I556" s="2" t="n">
        <v>46340</v>
      </c>
      <c r="J556" t="inlineStr">
        <is>
          <t>Disetujui</t>
        </is>
      </c>
      <c r="K556" t="n">
        <v>87</v>
      </c>
      <c r="L556" t="inlineStr">
        <is>
          <t>14 November 2026</t>
        </is>
      </c>
      <c r="M556" t="inlineStr">
        <is>
          <t>Pekerjaan Lanskap, Pertamanan, dan Penanaman Vegetasi</t>
        </is>
      </c>
      <c r="N556" t="inlineStr">
        <is>
          <t>Spesialis</t>
        </is>
      </c>
      <c r="O556" t="inlineStr">
        <is>
          <t>20231108</t>
        </is>
      </c>
      <c r="P556" t="inlineStr">
        <is>
          <t>Sulawesi Tenggara</t>
        </is>
      </c>
      <c r="Q556" t="inlineStr"/>
    </row>
    <row r="557">
      <c r="A557" t="inlineStr">
        <is>
          <t>SUBUR PASKAL KONSULTAN</t>
        </is>
      </c>
      <c r="B557" t="inlineStr">
        <is>
          <t>Kota Jayapura</t>
        </is>
      </c>
      <c r="C557" t="inlineStr">
        <is>
          <t>081243741474</t>
        </is>
      </c>
      <c r="D557" t="inlineStr">
        <is>
          <t>suburpaskonsultan@gmail.com</t>
        </is>
      </c>
      <c r="E557" t="inlineStr">
        <is>
          <t>https://lpjk.pu.go.id/search-badan-usaha-detail/a21sRUplcm9qbFhGb05Ub1FnQlVqQT09</t>
        </is>
      </c>
      <c r="F557" t="n">
        <v>3</v>
      </c>
      <c r="G557" t="inlineStr">
        <is>
          <t>RK001, RK002, RK003</t>
        </is>
      </c>
      <c r="H557" t="inlineStr">
        <is>
          <t>2 Maret 2023</t>
        </is>
      </c>
      <c r="I557" s="2" t="n">
        <v>46338</v>
      </c>
      <c r="J557" t="inlineStr">
        <is>
          <t>Disetujui</t>
        </is>
      </c>
      <c r="K557" t="n">
        <v>87</v>
      </c>
      <c r="L557" t="inlineStr">
        <is>
          <t>12 November 2026</t>
        </is>
      </c>
      <c r="M557" t="inlineStr">
        <is>
          <t>Jasa Rekayasa Konstruksi Bangunan Gedung Hunian dan Non Hunian, Jasa Rekayasa Pekerjaan Teknik Sipil Sumber Daya Air, Jasa Rekayasa Pekerjaan Teknik Sipil Transportasi</t>
        </is>
      </c>
      <c r="N557" t="inlineStr">
        <is>
          <t>K</t>
        </is>
      </c>
      <c r="O557" t="inlineStr">
        <is>
          <t>20231103</t>
        </is>
      </c>
      <c r="P557" t="inlineStr">
        <is>
          <t>Papua</t>
        </is>
      </c>
      <c r="Q557" t="inlineStr"/>
    </row>
    <row r="558">
      <c r="A558" t="inlineStr">
        <is>
          <t>SUMBER BERKAH PUTRA</t>
        </is>
      </c>
      <c r="B558" t="inlineStr">
        <is>
          <t>Kab. Madiun</t>
        </is>
      </c>
      <c r="C558" t="inlineStr">
        <is>
          <t>085330069228</t>
        </is>
      </c>
      <c r="D558" t="inlineStr">
        <is>
          <t>sumberberkahputra123@gmail.com</t>
        </is>
      </c>
      <c r="E558" t="inlineStr">
        <is>
          <t>https://lpjk.pu.go.id/search-badan-usaha-detail/dVdPTEtDSFgvaUFOa1JMdXY2Ykh2dz09</t>
        </is>
      </c>
      <c r="F558" t="n">
        <v>2</v>
      </c>
      <c r="G558" t="inlineStr">
        <is>
          <t>BG004, BG005</t>
        </is>
      </c>
      <c r="H558" t="inlineStr">
        <is>
          <t>24 Desember 2021</t>
        </is>
      </c>
      <c r="I558" s="2" t="n">
        <v>46340</v>
      </c>
      <c r="J558" t="inlineStr">
        <is>
          <t>Disetujui</t>
        </is>
      </c>
      <c r="K558" t="n">
        <v>87</v>
      </c>
      <c r="L558" t="inlineStr">
        <is>
          <t>14 November 2026</t>
        </is>
      </c>
      <c r="M558" t="inlineStr">
        <is>
          <t>Konstruksi Gedung Kesehatan, Konstruksi Gedung Perbelanjaan</t>
        </is>
      </c>
      <c r="N558" t="inlineStr">
        <is>
          <t>K</t>
        </is>
      </c>
      <c r="O558" t="inlineStr">
        <is>
          <t>20231112</t>
        </is>
      </c>
      <c r="P558" t="inlineStr">
        <is>
          <t>Jawa Timur</t>
        </is>
      </c>
      <c r="Q558" t="inlineStr"/>
    </row>
    <row r="559">
      <c r="A559" t="inlineStr">
        <is>
          <t>SUMBER REZEKI</t>
        </is>
      </c>
      <c r="B559" t="inlineStr">
        <is>
          <t>Kab. Lombok Timur</t>
        </is>
      </c>
      <c r="C559" t="inlineStr">
        <is>
          <t>081918316002</t>
        </is>
      </c>
      <c r="D559" t="inlineStr">
        <is>
          <t>sumberrezekilsbu@gmail.com</t>
        </is>
      </c>
      <c r="E559" t="inlineStr">
        <is>
          <t>https://lpjk.pu.go.id/search-badan-usaha-detail/ZW5zUTdNbzVlRFM5T1VwUUtRSHVLZz09</t>
        </is>
      </c>
      <c r="F559" t="n">
        <v>1</v>
      </c>
      <c r="G559" t="inlineStr">
        <is>
          <t>BS001</t>
        </is>
      </c>
      <c r="H559" t="inlineStr">
        <is>
          <t>1 Juni 2015</t>
        </is>
      </c>
      <c r="I559" s="2" t="n">
        <v>46339</v>
      </c>
      <c r="J559" t="inlineStr">
        <is>
          <t>Disetujui</t>
        </is>
      </c>
      <c r="K559" t="n">
        <v>87</v>
      </c>
      <c r="L559" t="inlineStr">
        <is>
          <t>13 November 2026</t>
        </is>
      </c>
      <c r="M559" t="inlineStr">
        <is>
          <t>Konstruksi Bangunan Sipil Jalan</t>
        </is>
      </c>
      <c r="N559" t="inlineStr">
        <is>
          <t>K</t>
        </is>
      </c>
      <c r="O559" t="inlineStr">
        <is>
          <t>20231109</t>
        </is>
      </c>
      <c r="P559" t="inlineStr">
        <is>
          <t>Nusa Tenggara Barat</t>
        </is>
      </c>
      <c r="Q559" t="inlineStr"/>
    </row>
    <row r="560">
      <c r="A560" t="inlineStr">
        <is>
          <t>SUNRISE CONTRACTOR</t>
        </is>
      </c>
      <c r="B560" t="inlineStr">
        <is>
          <t>Kab. Parigi Moutong</t>
        </is>
      </c>
      <c r="C560" t="inlineStr">
        <is>
          <t>081354868662</t>
        </is>
      </c>
      <c r="D560" t="inlineStr">
        <is>
          <t>cvsunrise86@gmail.com</t>
        </is>
      </c>
      <c r="E560" t="inlineStr">
        <is>
          <t>https://lpjk.pu.go.id/search-badan-usaha-detail/TzlqekxJenFZc3V2VkdRY1lwWHJodz09</t>
        </is>
      </c>
      <c r="F560" t="n">
        <v>1</v>
      </c>
      <c r="G560" t="inlineStr">
        <is>
          <t>BG006</t>
        </is>
      </c>
      <c r="H560" t="inlineStr">
        <is>
          <t>27 September 2019</t>
        </is>
      </c>
      <c r="I560" s="2" t="n">
        <v>46340</v>
      </c>
      <c r="J560" t="inlineStr">
        <is>
          <t>Disetujui</t>
        </is>
      </c>
      <c r="K560" t="n">
        <v>87</v>
      </c>
      <c r="L560" t="inlineStr">
        <is>
          <t>14 November 2026</t>
        </is>
      </c>
      <c r="M560" t="inlineStr">
        <is>
          <t>Konstruksi Gedung Pendidikan</t>
        </is>
      </c>
      <c r="N560" t="inlineStr">
        <is>
          <t>K</t>
        </is>
      </c>
      <c r="O560" t="inlineStr">
        <is>
          <t>20231113</t>
        </is>
      </c>
      <c r="P560" t="inlineStr">
        <is>
          <t>Sulawesi Tengah</t>
        </is>
      </c>
      <c r="Q560" t="inlineStr"/>
    </row>
    <row r="561">
      <c r="A561" t="inlineStr">
        <is>
          <t>SURYA BALI</t>
        </is>
      </c>
      <c r="B561" t="inlineStr">
        <is>
          <t>Kota Denpasar</t>
        </is>
      </c>
      <c r="C561" t="inlineStr">
        <is>
          <t>0361420668</t>
        </is>
      </c>
      <c r="D561" t="inlineStr">
        <is>
          <t>suryabali_denpasar@yahoo.co.id</t>
        </is>
      </c>
      <c r="E561" t="inlineStr">
        <is>
          <t>https://lpjk.pu.go.id/search-badan-usaha-detail/UEVSdFgvUkI5aStVUzlRZzYxcEtBQT09</t>
        </is>
      </c>
      <c r="F561" t="n">
        <v>1</v>
      </c>
      <c r="G561" t="inlineStr">
        <is>
          <t>BS001</t>
        </is>
      </c>
      <c r="H561" t="inlineStr">
        <is>
          <t>27 Maret 1975</t>
        </is>
      </c>
      <c r="I561" s="2" t="n">
        <v>46335</v>
      </c>
      <c r="J561" t="inlineStr">
        <is>
          <t>Disetujui</t>
        </is>
      </c>
      <c r="K561" t="n">
        <v>87</v>
      </c>
      <c r="L561" t="inlineStr">
        <is>
          <t>9 November 2026</t>
        </is>
      </c>
      <c r="M561" t="inlineStr">
        <is>
          <t>Konstruksi Bangunan Sipil Jalan</t>
        </is>
      </c>
      <c r="N561" t="inlineStr">
        <is>
          <t>K</t>
        </is>
      </c>
      <c r="O561" t="inlineStr">
        <is>
          <t>20231107</t>
        </is>
      </c>
      <c r="P561" t="inlineStr">
        <is>
          <t>Bali</t>
        </is>
      </c>
      <c r="Q561" t="inlineStr"/>
    </row>
    <row r="562">
      <c r="A562" t="inlineStr">
        <is>
          <t>SURYO PLANINDO</t>
        </is>
      </c>
      <c r="B562" t="inlineStr">
        <is>
          <t>Kota Bandung</t>
        </is>
      </c>
      <c r="C562" t="inlineStr">
        <is>
          <t>02230500198</t>
        </is>
      </c>
      <c r="D562" t="inlineStr">
        <is>
          <t>suryo.planindo@gmail.com</t>
        </is>
      </c>
      <c r="E562" t="inlineStr">
        <is>
          <t>https://lpjk.pu.go.id/search-badan-usaha-detail/blZDaDdibVhndzRsTU93MEtvWkZwQT09</t>
        </is>
      </c>
      <c r="F562" t="n">
        <v>2</v>
      </c>
      <c r="G562" t="inlineStr">
        <is>
          <t>IT003, RK001</t>
        </is>
      </c>
      <c r="H562" t="inlineStr">
        <is>
          <t>24 Desember 2012</t>
        </is>
      </c>
      <c r="I562" s="2" t="n">
        <v>46335</v>
      </c>
      <c r="J562" t="inlineStr">
        <is>
          <t>Disetujui</t>
        </is>
      </c>
      <c r="K562" t="n">
        <v>87</v>
      </c>
      <c r="L562" t="inlineStr">
        <is>
          <t>9 November 2026</t>
        </is>
      </c>
      <c r="M562" t="inlineStr">
        <is>
          <t>Jasa Konsultansi Ilmiah dan Teknis Permukaan Tanah dan Pembuatan Peta, Jasa Rekayasa Konstruksi Bangunan Gedung Hunian dan Non Hunian</t>
        </is>
      </c>
      <c r="N562" t="inlineStr">
        <is>
          <t>K, Spesialis</t>
        </is>
      </c>
      <c r="O562" t="inlineStr">
        <is>
          <t>20231018</t>
        </is>
      </c>
      <c r="P562" t="inlineStr">
        <is>
          <t>Jawa Barat</t>
        </is>
      </c>
      <c r="Q562" t="inlineStr"/>
    </row>
    <row r="563">
      <c r="A563" t="inlineStr">
        <is>
          <t>TALAGO MANDIRI</t>
        </is>
      </c>
      <c r="B563" t="inlineStr">
        <is>
          <t>Kab. Solok Selatan</t>
        </is>
      </c>
      <c r="C563" t="inlineStr">
        <is>
          <t>082283531623</t>
        </is>
      </c>
      <c r="D563" t="inlineStr">
        <is>
          <t>cvtalagomandiri@gmail.com</t>
        </is>
      </c>
      <c r="E563" t="inlineStr">
        <is>
          <t>https://lpjk.pu.go.id/search-badan-usaha-detail/SCtIVVBJdmNhcTNjY1E1ZlN5NW4yQT09</t>
        </is>
      </c>
      <c r="F563" t="n">
        <v>2</v>
      </c>
      <c r="G563" t="inlineStr">
        <is>
          <t>BG002, BG006</t>
        </is>
      </c>
      <c r="H563" t="inlineStr">
        <is>
          <t>6 Juni 2023</t>
        </is>
      </c>
      <c r="I563" s="2" t="n">
        <v>46334</v>
      </c>
      <c r="J563" t="inlineStr">
        <is>
          <t>Pencabutan</t>
        </is>
      </c>
      <c r="K563" t="n">
        <v>87</v>
      </c>
      <c r="L563" t="inlineStr">
        <is>
          <t>8 November 2026</t>
        </is>
      </c>
      <c r="M563" t="inlineStr">
        <is>
          <t>Konstruksi Gedung Pendidikan, Konstruksi Gedung Perkantoran</t>
        </is>
      </c>
      <c r="N563" t="inlineStr">
        <is>
          <t>K</t>
        </is>
      </c>
      <c r="O563" t="inlineStr">
        <is>
          <t>20231107</t>
        </is>
      </c>
      <c r="P563" t="inlineStr">
        <is>
          <t>Sumatera Barat</t>
        </is>
      </c>
      <c r="Q563" t="inlineStr"/>
    </row>
    <row r="564">
      <c r="A564" t="inlineStr">
        <is>
          <t>TAMBAKBERAS ABADI MAKMUR</t>
        </is>
      </c>
      <c r="B564" t="inlineStr">
        <is>
          <t>Kab. Jombang</t>
        </is>
      </c>
      <c r="C564" t="inlineStr">
        <is>
          <t>082230573009</t>
        </is>
      </c>
      <c r="D564" t="inlineStr">
        <is>
          <t>tam_jombang@yahoo.com</t>
        </is>
      </c>
      <c r="E564" t="inlineStr">
        <is>
          <t>https://lpjk.pu.go.id/search-badan-usaha-detail/ZmZocXFHMTRmTnJ2c3JpRDRoQVZTdz09</t>
        </is>
      </c>
      <c r="F564" t="n">
        <v>2</v>
      </c>
      <c r="G564" t="inlineStr">
        <is>
          <t>BG002, BG009</t>
        </is>
      </c>
      <c r="H564" t="inlineStr">
        <is>
          <t>22 Juni 2012</t>
        </is>
      </c>
      <c r="I564" s="2" t="n">
        <v>46340</v>
      </c>
      <c r="J564" t="inlineStr">
        <is>
          <t>Disetujui</t>
        </is>
      </c>
      <c r="K564" t="n">
        <v>87</v>
      </c>
      <c r="L564" t="inlineStr">
        <is>
          <t>14 November 2026</t>
        </is>
      </c>
      <c r="M564" t="inlineStr">
        <is>
          <t>Konstruksi Gedung Lainnya, Konstruksi Gedung Perkantoran</t>
        </is>
      </c>
      <c r="N564" t="inlineStr">
        <is>
          <t>K</t>
        </is>
      </c>
      <c r="O564" t="inlineStr">
        <is>
          <t>20231110, 20231113</t>
        </is>
      </c>
      <c r="P564" t="inlineStr">
        <is>
          <t>Jawa Timur</t>
        </is>
      </c>
      <c r="Q564" t="inlineStr"/>
    </row>
    <row r="565">
      <c r="A565" t="inlineStr">
        <is>
          <t>TAMBUN MUARA KASIH</t>
        </is>
      </c>
      <c r="B565" t="inlineStr">
        <is>
          <t>Kab. Deli Serdang</t>
        </is>
      </c>
      <c r="C565" t="inlineStr">
        <is>
          <t>082367509310</t>
        </is>
      </c>
      <c r="D565" t="inlineStr">
        <is>
          <t>cvtambunmuarakasih@gmail.com</t>
        </is>
      </c>
      <c r="E565" t="inlineStr">
        <is>
          <t>https://lpjk.pu.go.id/search-badan-usaha-detail/THFyckJSaFdQWUgxbGRTODNFQzNCQT09</t>
        </is>
      </c>
      <c r="F565" t="n">
        <v>1</v>
      </c>
      <c r="G565" t="inlineStr">
        <is>
          <t>BS001</t>
        </is>
      </c>
      <c r="H565" t="inlineStr">
        <is>
          <t>20 Oktober 2023</t>
        </is>
      </c>
      <c r="I565" s="2" t="n">
        <v>46340</v>
      </c>
      <c r="J565" t="inlineStr">
        <is>
          <t>Disetujui</t>
        </is>
      </c>
      <c r="K565" t="n">
        <v>87</v>
      </c>
      <c r="L565" t="inlineStr">
        <is>
          <t>14 November 2026</t>
        </is>
      </c>
      <c r="M565" t="inlineStr">
        <is>
          <t>Konstruksi Bangunan Sipil Jalan</t>
        </is>
      </c>
      <c r="N565" t="inlineStr">
        <is>
          <t>K</t>
        </is>
      </c>
      <c r="O565" t="inlineStr">
        <is>
          <t>20231110</t>
        </is>
      </c>
      <c r="P565" t="inlineStr">
        <is>
          <t>Sumatera Utara</t>
        </is>
      </c>
      <c r="Q565" t="inlineStr"/>
    </row>
    <row r="566">
      <c r="A566" t="inlineStr">
        <is>
          <t>TANGGUH BAJA KONSTRUKSI</t>
        </is>
      </c>
      <c r="B566" t="inlineStr">
        <is>
          <t>Kota Adm. Jakarta Barat</t>
        </is>
      </c>
      <c r="C566" t="inlineStr">
        <is>
          <t>0218631868</t>
        </is>
      </c>
      <c r="D566" t="inlineStr">
        <is>
          <t>legaljakarta888@gmail.com</t>
        </is>
      </c>
      <c r="E566" t="inlineStr">
        <is>
          <t>https://lpjk.pu.go.id/search-badan-usaha-detail/NHE4V0tZL0FkNnNkWkxZNGdUVi9PZz09</t>
        </is>
      </c>
      <c r="F566" t="n">
        <v>1</v>
      </c>
      <c r="G566" t="inlineStr">
        <is>
          <t>BS009</t>
        </is>
      </c>
      <c r="H566" t="inlineStr">
        <is>
          <t>19 Desember 2019</t>
        </is>
      </c>
      <c r="I566" s="2" t="n">
        <v>46336</v>
      </c>
      <c r="J566" t="inlineStr">
        <is>
          <t>Disetujui</t>
        </is>
      </c>
      <c r="K566" t="n">
        <v>87</v>
      </c>
      <c r="L566" t="inlineStr">
        <is>
          <t>10 November 2026</t>
        </is>
      </c>
      <c r="M566" t="inlineStr">
        <is>
          <t>Konstruksi Sentral Telekomunikasi</t>
        </is>
      </c>
      <c r="N566" t="inlineStr">
        <is>
          <t>B</t>
        </is>
      </c>
      <c r="O566" t="inlineStr">
        <is>
          <t>20231110</t>
        </is>
      </c>
      <c r="P566" t="inlineStr">
        <is>
          <t>DKI Jakarta</t>
        </is>
      </c>
      <c r="Q566" t="inlineStr"/>
    </row>
    <row r="567">
      <c r="A567" t="inlineStr">
        <is>
          <t>TARGET GLOBAL KONSULINDO</t>
        </is>
      </c>
      <c r="B567" t="inlineStr">
        <is>
          <t>Kota Banda Aceh</t>
        </is>
      </c>
      <c r="C567" t="inlineStr">
        <is>
          <t>08121003494</t>
        </is>
      </c>
      <c r="D567" t="inlineStr">
        <is>
          <t>cv.targetglobalkonsulindo@gmail.com</t>
        </is>
      </c>
      <c r="E567" t="inlineStr">
        <is>
          <t>https://lpjk.pu.go.id/search-badan-usaha-detail/QzZUL0lIdGhLWkxUM1o0b3lGQnVZdz09</t>
        </is>
      </c>
      <c r="F567" t="n">
        <v>4</v>
      </c>
      <c r="G567" t="inlineStr">
        <is>
          <t>RK001, RK002, RK003, RK005</t>
        </is>
      </c>
      <c r="H567" t="inlineStr">
        <is>
          <t>4 September 2020</t>
        </is>
      </c>
      <c r="I567" s="2" t="n">
        <v>46334</v>
      </c>
      <c r="J567" t="inlineStr">
        <is>
          <t>Disetujui</t>
        </is>
      </c>
      <c r="K567" t="n">
        <v>87</v>
      </c>
      <c r="L567" t="inlineStr">
        <is>
          <t>8 November 2026</t>
        </is>
      </c>
      <c r="M567" t="inlineStr">
        <is>
          <t>Jasa Rekayasa Konstruksi Bangunan Gedung Hunian dan Non Hunian, Jasa Rekayasa Lainnya, Jasa Rekayasa Pekerjaan Teknik Sipil Sumber Daya Air, Jasa Rekayasa Pekerjaan Teknik Sipil Transportasi</t>
        </is>
      </c>
      <c r="N567" t="inlineStr">
        <is>
          <t>K</t>
        </is>
      </c>
      <c r="O567" t="inlineStr">
        <is>
          <t>20231027</t>
        </is>
      </c>
      <c r="P567" t="inlineStr">
        <is>
          <t>Aceh</t>
        </is>
      </c>
      <c r="Q567" t="inlineStr"/>
    </row>
    <row r="568">
      <c r="A568" t="inlineStr">
        <is>
          <t>TATA BAJA LESTARI</t>
        </is>
      </c>
      <c r="B568" t="inlineStr">
        <is>
          <t>Kota Adm. Jakarta Barat</t>
        </is>
      </c>
      <c r="C568" t="inlineStr">
        <is>
          <t>0215688284</t>
        </is>
      </c>
      <c r="D568" t="inlineStr">
        <is>
          <t>legal@tatabajalestari.com</t>
        </is>
      </c>
      <c r="E568" t="inlineStr">
        <is>
          <t>https://lpjk.pu.go.id/search-badan-usaha-detail/ejI4YXFvSnFmaEF1d3U5ck9TSjkyQT09</t>
        </is>
      </c>
      <c r="F568" t="n">
        <v>1</v>
      </c>
      <c r="G568" t="inlineStr">
        <is>
          <t>BG009</t>
        </is>
      </c>
      <c r="H568" t="inlineStr">
        <is>
          <t>7 Agustus 2019</t>
        </is>
      </c>
      <c r="I568" s="2" t="n">
        <v>46336</v>
      </c>
      <c r="J568" t="inlineStr">
        <is>
          <t>Disetujui</t>
        </is>
      </c>
      <c r="K568" t="n">
        <v>87</v>
      </c>
      <c r="L568" t="inlineStr">
        <is>
          <t>10 November 2026</t>
        </is>
      </c>
      <c r="M568" t="inlineStr">
        <is>
          <t>Konstruksi Gedung Lainnya</t>
        </is>
      </c>
      <c r="N568" t="inlineStr">
        <is>
          <t>K</t>
        </is>
      </c>
      <c r="O568" t="inlineStr">
        <is>
          <t>20231030</t>
        </is>
      </c>
      <c r="P568" t="inlineStr">
        <is>
          <t>DKI Jakarta</t>
        </is>
      </c>
      <c r="Q568" t="inlineStr"/>
    </row>
    <row r="569">
      <c r="A569" t="inlineStr">
        <is>
          <t>TATA BANGUN PRIMA</t>
        </is>
      </c>
      <c r="B569" t="inlineStr">
        <is>
          <t>Kab. Jombang</t>
        </is>
      </c>
      <c r="C569" t="inlineStr">
        <is>
          <t>085748625649</t>
        </is>
      </c>
      <c r="D569" t="inlineStr">
        <is>
          <t>cv_tatabangun.prima@yahoo.com</t>
        </is>
      </c>
      <c r="E569" t="inlineStr">
        <is>
          <t>https://lpjk.pu.go.id/search-badan-usaha-detail/elZtcitkR0M2VmdNUXB6eXVtVXpzdz09</t>
        </is>
      </c>
      <c r="F569" t="n">
        <v>3</v>
      </c>
      <c r="G569" t="inlineStr">
        <is>
          <t>RK001, RK002, RK003</t>
        </is>
      </c>
      <c r="H569" t="inlineStr">
        <is>
          <t>6 Januari 2021</t>
        </is>
      </c>
      <c r="I569" s="2" t="n">
        <v>46339</v>
      </c>
      <c r="J569" t="inlineStr">
        <is>
          <t>Disetujui</t>
        </is>
      </c>
      <c r="K569" t="n">
        <v>87</v>
      </c>
      <c r="L569" t="inlineStr">
        <is>
          <t>13 November 2026</t>
        </is>
      </c>
      <c r="M569" t="inlineStr">
        <is>
          <t>Jasa Rekayasa Konstruksi Bangunan Gedung Hunian dan Non Hunian, Jasa Rekayasa Pekerjaan Teknik Sipil Sumber Daya Air, Jasa Rekayasa Pekerjaan Teknik Sipil Transportasi</t>
        </is>
      </c>
      <c r="N569" t="inlineStr">
        <is>
          <t>K</t>
        </is>
      </c>
      <c r="O569" t="inlineStr">
        <is>
          <t>20231103</t>
        </is>
      </c>
      <c r="P569" t="inlineStr">
        <is>
          <t>Jawa Timur</t>
        </is>
      </c>
      <c r="Q569" t="inlineStr"/>
    </row>
    <row r="570">
      <c r="A570" t="inlineStr">
        <is>
          <t>TEKNIK JASA MANDIRI</t>
        </is>
      </c>
      <c r="B570" t="inlineStr">
        <is>
          <t>Kab. Boalemo</t>
        </is>
      </c>
      <c r="C570" t="inlineStr">
        <is>
          <t>82296662018</t>
        </is>
      </c>
      <c r="D570" t="inlineStr">
        <is>
          <t>lian.hiola.tjm@gmail.com</t>
        </is>
      </c>
      <c r="E570" t="inlineStr">
        <is>
          <t>https://lpjk.pu.go.id/search-badan-usaha-detail/RmdmVjY1MHZoOWNUY0RMSzlLUXBNZz09</t>
        </is>
      </c>
      <c r="F570" t="n">
        <v>1</v>
      </c>
      <c r="G570" t="inlineStr">
        <is>
          <t>BG009</t>
        </is>
      </c>
      <c r="H570" t="inlineStr">
        <is>
          <t>20 Februari 2020</t>
        </is>
      </c>
      <c r="I570" s="2" t="n">
        <v>46336</v>
      </c>
      <c r="J570" t="inlineStr">
        <is>
          <t>Pencabutan</t>
        </is>
      </c>
      <c r="K570" t="n">
        <v>87</v>
      </c>
      <c r="L570" t="inlineStr">
        <is>
          <t>10 November 2026</t>
        </is>
      </c>
      <c r="M570" t="inlineStr">
        <is>
          <t>Konstruksi Gedung Lainnya</t>
        </is>
      </c>
      <c r="N570" t="inlineStr">
        <is>
          <t>K</t>
        </is>
      </c>
      <c r="O570" t="inlineStr">
        <is>
          <t>20231101</t>
        </is>
      </c>
      <c r="P570" t="inlineStr">
        <is>
          <t>Gorontalo</t>
        </is>
      </c>
      <c r="Q570" t="inlineStr"/>
    </row>
    <row r="571">
      <c r="A571" t="inlineStr">
        <is>
          <t>TERANG MEGAH</t>
        </is>
      </c>
      <c r="B571" t="inlineStr">
        <is>
          <t>Kab. Sukabumi</t>
        </is>
      </c>
      <c r="C571" t="inlineStr">
        <is>
          <t>085720840001</t>
        </is>
      </c>
      <c r="D571" t="inlineStr">
        <is>
          <t>cv.terangmegahtrm@yahoo.com</t>
        </is>
      </c>
      <c r="E571" t="inlineStr">
        <is>
          <t>https://lpjk.pu.go.id/search-badan-usaha-detail/eit4Um5DeDI3V0g2eCtOcDZHY0RRQT09</t>
        </is>
      </c>
      <c r="F571" t="n">
        <v>4</v>
      </c>
      <c r="G571" t="inlineStr">
        <is>
          <t>BG006, BS005</t>
        </is>
      </c>
      <c r="H571" t="inlineStr">
        <is>
          <t>30 Januari 2017</t>
        </is>
      </c>
      <c r="I571" s="2" t="n">
        <v>46339</v>
      </c>
      <c r="J571" t="inlineStr">
        <is>
          <t>Disetujui</t>
        </is>
      </c>
      <c r="K571" t="n">
        <v>87</v>
      </c>
      <c r="L571" t="inlineStr">
        <is>
          <t>13 November 2026</t>
        </is>
      </c>
      <c r="M571" t="inlineStr">
        <is>
          <t>Konstruksi Bangunan Sipil Pengolahan Air Bersih, Konstruksi Gedung Pendidikan</t>
        </is>
      </c>
      <c r="N571" t="inlineStr">
        <is>
          <t>K</t>
        </is>
      </c>
      <c r="O571" t="inlineStr">
        <is>
          <t>20231106, 20231113</t>
        </is>
      </c>
      <c r="P571" t="inlineStr">
        <is>
          <t>Jawa Barat</t>
        </is>
      </c>
      <c r="Q571" t="inlineStr"/>
    </row>
    <row r="572">
      <c r="A572" t="inlineStr">
        <is>
          <t>TERUS DJAJA</t>
        </is>
      </c>
      <c r="B572" t="inlineStr">
        <is>
          <t>Kab. Kebumen</t>
        </is>
      </c>
      <c r="C572" t="inlineStr">
        <is>
          <t>087737607828</t>
        </is>
      </c>
      <c r="D572" t="inlineStr">
        <is>
          <t>ter.djaja@gmail.com</t>
        </is>
      </c>
      <c r="E572" t="inlineStr">
        <is>
          <t>https://lpjk.pu.go.id/search-badan-usaha-detail/ZzlycC94RG00SytuMXhFN1dRQXhwZz09</t>
        </is>
      </c>
      <c r="F572" t="n">
        <v>1</v>
      </c>
      <c r="G572" t="inlineStr">
        <is>
          <t>BG002</t>
        </is>
      </c>
      <c r="H572" t="inlineStr">
        <is>
          <t>22 Oktober 2003</t>
        </is>
      </c>
      <c r="I572" s="2" t="n">
        <v>46334</v>
      </c>
      <c r="J572" t="inlineStr">
        <is>
          <t>Disetujui</t>
        </is>
      </c>
      <c r="K572" t="n">
        <v>87</v>
      </c>
      <c r="L572" t="inlineStr">
        <is>
          <t>8 November 2026</t>
        </is>
      </c>
      <c r="M572" t="inlineStr">
        <is>
          <t>Konstruksi Gedung Perkantoran</t>
        </is>
      </c>
      <c r="N572" t="inlineStr">
        <is>
          <t>K</t>
        </is>
      </c>
      <c r="O572" t="inlineStr">
        <is>
          <t>20231107</t>
        </is>
      </c>
      <c r="P572" t="inlineStr">
        <is>
          <t>Jawa Tengah</t>
        </is>
      </c>
      <c r="Q572" t="inlineStr"/>
    </row>
    <row r="573">
      <c r="A573" t="inlineStr">
        <is>
          <t>TETRA KONSTRUKSINDO</t>
        </is>
      </c>
      <c r="B573" t="inlineStr">
        <is>
          <t>Kota Adm. Jakarta Pusat</t>
        </is>
      </c>
      <c r="C573" t="inlineStr">
        <is>
          <t>0213518910</t>
        </is>
      </c>
      <c r="D573" t="inlineStr">
        <is>
          <t>tender@tetra.co.id</t>
        </is>
      </c>
      <c r="E573" t="inlineStr">
        <is>
          <t>https://lpjk.pu.go.id/search-badan-usaha-detail/NVlld0RVYTAxMlNIK0c3cUJKbkdZdz09</t>
        </is>
      </c>
      <c r="F573" t="n">
        <v>1</v>
      </c>
      <c r="G573" t="inlineStr">
        <is>
          <t>IN007</t>
        </is>
      </c>
      <c r="H573" t="inlineStr">
        <is>
          <t>24 September 2001</t>
        </is>
      </c>
      <c r="I573" s="2" t="n">
        <v>46340</v>
      </c>
      <c r="J573" t="inlineStr">
        <is>
          <t>Disetujui</t>
        </is>
      </c>
      <c r="K573" t="n">
        <v>87</v>
      </c>
      <c r="L573" t="inlineStr">
        <is>
          <t>14 November 2026</t>
        </is>
      </c>
      <c r="M573" t="inlineStr">
        <is>
          <t>Instalasi Saluran Air (Plambing)</t>
        </is>
      </c>
      <c r="N573" t="inlineStr">
        <is>
          <t>Spesialis</t>
        </is>
      </c>
      <c r="O573" t="inlineStr">
        <is>
          <t>20231110</t>
        </is>
      </c>
      <c r="P573" t="inlineStr">
        <is>
          <t>DKI Jakarta</t>
        </is>
      </c>
      <c r="Q573" t="inlineStr"/>
    </row>
    <row r="574">
      <c r="A574" t="inlineStr">
        <is>
          <t>THREE PUTRA</t>
        </is>
      </c>
      <c r="B574" t="inlineStr">
        <is>
          <t>Kab. Kutai Timur</t>
        </is>
      </c>
      <c r="C574" t="inlineStr">
        <is>
          <t>081346478871</t>
        </is>
      </c>
      <c r="D574" t="inlineStr">
        <is>
          <t>cvthreeputra0305@gmail.com</t>
        </is>
      </c>
      <c r="E574" t="inlineStr">
        <is>
          <t>https://lpjk.pu.go.id/search-badan-usaha-detail/amRYaitBVmozVFNmRE5pQTFJNFlHdz09</t>
        </is>
      </c>
      <c r="F574" t="n">
        <v>1</v>
      </c>
      <c r="G574" t="inlineStr">
        <is>
          <t>BS001</t>
        </is>
      </c>
      <c r="H574" t="inlineStr">
        <is>
          <t>7 Maret 2012</t>
        </is>
      </c>
      <c r="I574" s="2" t="n">
        <v>46339</v>
      </c>
      <c r="J574" t="inlineStr">
        <is>
          <t>Disetujui</t>
        </is>
      </c>
      <c r="K574" t="n">
        <v>87</v>
      </c>
      <c r="L574" t="inlineStr">
        <is>
          <t>13 November 2026</t>
        </is>
      </c>
      <c r="M574" t="inlineStr">
        <is>
          <t>Konstruksi Bangunan Sipil Jalan</t>
        </is>
      </c>
      <c r="N574" t="inlineStr">
        <is>
          <t>K</t>
        </is>
      </c>
      <c r="O574" t="inlineStr">
        <is>
          <t>20231109</t>
        </is>
      </c>
      <c r="P574" t="inlineStr">
        <is>
          <t>Kalimantan Timur</t>
        </is>
      </c>
      <c r="Q574" t="inlineStr"/>
    </row>
    <row r="575">
      <c r="A575" t="inlineStr">
        <is>
          <t>THREE ZEE CONSULTANT</t>
        </is>
      </c>
      <c r="B575" t="inlineStr">
        <is>
          <t>Kota Serang</t>
        </is>
      </c>
      <c r="C575" t="inlineStr">
        <is>
          <t>087887205949</t>
        </is>
      </c>
      <c r="D575" t="inlineStr">
        <is>
          <t>three.zee.consultant@gmail.com</t>
        </is>
      </c>
      <c r="E575" t="inlineStr">
        <is>
          <t>https://lpjk.pu.go.id/search-badan-usaha-detail/UkhSZlBEYWFjVVhQSS9OS0dleXMrdz09</t>
        </is>
      </c>
      <c r="F575" t="n">
        <v>3</v>
      </c>
      <c r="G575" t="inlineStr">
        <is>
          <t>RK001, RK002, RK003</t>
        </is>
      </c>
      <c r="H575" t="inlineStr">
        <is>
          <t>16 Desember 2020</t>
        </is>
      </c>
      <c r="I575" s="2" t="n">
        <v>46335</v>
      </c>
      <c r="J575" t="inlineStr">
        <is>
          <t>Disetujui</t>
        </is>
      </c>
      <c r="K575" t="n">
        <v>87</v>
      </c>
      <c r="L575" t="inlineStr">
        <is>
          <t>9 November 2026</t>
        </is>
      </c>
      <c r="M575" t="inlineStr">
        <is>
          <t>Jasa Rekayasa Konstruksi Bangunan Gedung Hunian dan Non Hunian, Jasa Rekayasa Pekerjaan Teknik Sipil Sumber Daya Air, Jasa Rekayasa Pekerjaan Teknik Sipil Transportasi</t>
        </is>
      </c>
      <c r="N575" t="inlineStr">
        <is>
          <t>K</t>
        </is>
      </c>
      <c r="O575" t="inlineStr">
        <is>
          <t>20231023</t>
        </is>
      </c>
      <c r="P575" t="inlineStr">
        <is>
          <t>Banten</t>
        </is>
      </c>
      <c r="Q575" t="inlineStr"/>
    </row>
    <row r="576">
      <c r="A576" t="inlineStr">
        <is>
          <t>TIDAR CITRA GEMILANG</t>
        </is>
      </c>
      <c r="B576" t="inlineStr">
        <is>
          <t>Kota Tasikmalaya</t>
        </is>
      </c>
      <c r="C576" t="inlineStr">
        <is>
          <t>08122372560</t>
        </is>
      </c>
      <c r="D576" t="inlineStr">
        <is>
          <t>tcg_tsm@yahoo.co.id</t>
        </is>
      </c>
      <c r="E576" t="inlineStr">
        <is>
          <t>https://lpjk.pu.go.id/search-badan-usaha-detail/WE1pSHJHUG9wVHVNMUFJWm9IN2EwZz09</t>
        </is>
      </c>
      <c r="F576" t="n">
        <v>1</v>
      </c>
      <c r="G576" t="inlineStr">
        <is>
          <t>BS001</t>
        </is>
      </c>
      <c r="H576" t="inlineStr">
        <is>
          <t>23 September 1992</t>
        </is>
      </c>
      <c r="I576" s="2" t="n">
        <v>46339</v>
      </c>
      <c r="J576" t="inlineStr">
        <is>
          <t>Disetujui</t>
        </is>
      </c>
      <c r="K576" t="n">
        <v>87</v>
      </c>
      <c r="L576" t="inlineStr">
        <is>
          <t>13 November 2026</t>
        </is>
      </c>
      <c r="M576" t="inlineStr">
        <is>
          <t>Konstruksi Bangunan Sipil Jalan</t>
        </is>
      </c>
      <c r="N576" t="inlineStr">
        <is>
          <t>K</t>
        </is>
      </c>
      <c r="O576" t="inlineStr">
        <is>
          <t>20231109</t>
        </is>
      </c>
      <c r="P576" t="inlineStr">
        <is>
          <t>Jawa Barat</t>
        </is>
      </c>
      <c r="Q576" t="inlineStr"/>
    </row>
    <row r="577">
      <c r="A577" t="inlineStr">
        <is>
          <t>TIGA MANUNGGAL ABADI</t>
        </is>
      </c>
      <c r="B577" t="inlineStr">
        <is>
          <t>Kota Samarinda</t>
        </is>
      </c>
      <c r="C577" t="inlineStr">
        <is>
          <t>082318081969</t>
        </is>
      </c>
      <c r="D577" t="inlineStr">
        <is>
          <t>tma.smd.1@gmail.com</t>
        </is>
      </c>
      <c r="E577" t="inlineStr">
        <is>
          <t>https://lpjk.pu.go.id/search-badan-usaha-detail/WEtPckRlVjZaNWUrN1VGWDcxUW0xdz09</t>
        </is>
      </c>
      <c r="F577" t="n">
        <v>3</v>
      </c>
      <c r="G577" t="inlineStr">
        <is>
          <t>AL001, AL002, AL003</t>
        </is>
      </c>
      <c r="H577" t="inlineStr">
        <is>
          <t>26 Februari 2001</t>
        </is>
      </c>
      <c r="I577" s="2" t="n">
        <v>46340</v>
      </c>
      <c r="J577" t="inlineStr">
        <is>
          <t>Disetujui</t>
        </is>
      </c>
      <c r="K577" t="n">
        <v>87</v>
      </c>
      <c r="L577" t="inlineStr">
        <is>
          <t>14 November 2026</t>
        </is>
      </c>
      <c r="M577" t="inlineStr">
        <is>
          <t>Jasa Pengembangan Pemanfaatan Ruang, Jasa Pengembangan Perkotaan, Jasa Pengembangan Wilayah</t>
        </is>
      </c>
      <c r="N577" t="inlineStr">
        <is>
          <t>K</t>
        </is>
      </c>
      <c r="O577" t="inlineStr">
        <is>
          <t>20231108</t>
        </is>
      </c>
      <c r="P577" t="inlineStr">
        <is>
          <t>Kalimantan Timur</t>
        </is>
      </c>
      <c r="Q577" t="inlineStr"/>
    </row>
    <row r="578">
      <c r="A578" t="inlineStr">
        <is>
          <t>TIGA SAUDARA</t>
        </is>
      </c>
      <c r="B578" t="inlineStr">
        <is>
          <t>Kab. Bandung Barat</t>
        </is>
      </c>
      <c r="C578" t="inlineStr">
        <is>
          <t>0811215175</t>
        </is>
      </c>
      <c r="D578" t="inlineStr">
        <is>
          <t>cv.tsaudara@gmail.com</t>
        </is>
      </c>
      <c r="E578" t="inlineStr">
        <is>
          <t>https://lpjk.pu.go.id/search-badan-usaha-detail/c1JjeDZjeitZWXhnS1l1OXFNcVBFQT09</t>
        </is>
      </c>
      <c r="F578" t="n">
        <v>1</v>
      </c>
      <c r="G578" t="inlineStr">
        <is>
          <t>BS001</t>
        </is>
      </c>
      <c r="H578" t="inlineStr">
        <is>
          <t>25 Januari 2002</t>
        </is>
      </c>
      <c r="I578" s="2" t="n">
        <v>46340</v>
      </c>
      <c r="J578" t="inlineStr">
        <is>
          <t>Disetujui</t>
        </is>
      </c>
      <c r="K578" t="n">
        <v>87</v>
      </c>
      <c r="L578" t="inlineStr">
        <is>
          <t>14 November 2026</t>
        </is>
      </c>
      <c r="M578" t="inlineStr">
        <is>
          <t>Konstruksi Bangunan Sipil Jalan</t>
        </is>
      </c>
      <c r="N578" t="inlineStr">
        <is>
          <t>K</t>
        </is>
      </c>
      <c r="O578" t="inlineStr">
        <is>
          <t>20231109</t>
        </is>
      </c>
      <c r="P578" t="inlineStr">
        <is>
          <t>Jawa Barat</t>
        </is>
      </c>
      <c r="Q578" t="inlineStr"/>
    </row>
    <row r="579">
      <c r="A579" t="inlineStr">
        <is>
          <t>TIMUR CEPAT</t>
        </is>
      </c>
      <c r="B579" t="inlineStr">
        <is>
          <t>Kab. Minahasa Selatan</t>
        </is>
      </c>
      <c r="C579" t="inlineStr">
        <is>
          <t>08114317171</t>
        </is>
      </c>
      <c r="D579" t="inlineStr">
        <is>
          <t>timurcepat254@gmail.com</t>
        </is>
      </c>
      <c r="E579" t="inlineStr">
        <is>
          <t>https://lpjk.pu.go.id/search-badan-usaha-detail/OHNxQXVLNXZrZjVWK1MwOXcvWXN2Zz09</t>
        </is>
      </c>
      <c r="F579" t="n">
        <v>1</v>
      </c>
      <c r="G579" t="inlineStr">
        <is>
          <t>BG009</t>
        </is>
      </c>
      <c r="H579" t="inlineStr">
        <is>
          <t>4 Februari 2019</t>
        </is>
      </c>
      <c r="I579" s="2" t="n">
        <v>46339</v>
      </c>
      <c r="J579" t="inlineStr">
        <is>
          <t>Disetujui</t>
        </is>
      </c>
      <c r="K579" t="n">
        <v>87</v>
      </c>
      <c r="L579" t="inlineStr">
        <is>
          <t>13 November 2026</t>
        </is>
      </c>
      <c r="M579" t="inlineStr">
        <is>
          <t>Konstruksi Gedung Lainnya</t>
        </is>
      </c>
      <c r="N579" t="inlineStr">
        <is>
          <t>K</t>
        </is>
      </c>
      <c r="O579" t="inlineStr">
        <is>
          <t>20231113</t>
        </is>
      </c>
      <c r="P579" t="inlineStr">
        <is>
          <t>Sulawesi Utara</t>
        </is>
      </c>
      <c r="Q579" t="inlineStr"/>
    </row>
    <row r="580">
      <c r="A580" t="inlineStr">
        <is>
          <t>TIRTA KENCANA</t>
        </is>
      </c>
      <c r="B580" t="inlineStr">
        <is>
          <t>Kab. Tanjung Jabung Timur</t>
        </is>
      </c>
      <c r="C580" t="inlineStr">
        <is>
          <t>082280641219</t>
        </is>
      </c>
      <c r="D580" t="inlineStr">
        <is>
          <t>kencanatirta72@gmail.com</t>
        </is>
      </c>
      <c r="E580" t="inlineStr">
        <is>
          <t>https://lpjk.pu.go.id/search-badan-usaha-detail/TmtVVmo1aUQ2MXFjMXM4eDc1blZQUT09</t>
        </is>
      </c>
      <c r="F580" t="n">
        <v>1</v>
      </c>
      <c r="G580" t="inlineStr">
        <is>
          <t>BG009</t>
        </is>
      </c>
      <c r="H580" t="inlineStr">
        <is>
          <t>14 Januari 2016</t>
        </is>
      </c>
      <c r="I580" s="2" t="n">
        <v>46340</v>
      </c>
      <c r="J580" t="inlineStr">
        <is>
          <t>Disetujui</t>
        </is>
      </c>
      <c r="K580" t="n">
        <v>87</v>
      </c>
      <c r="L580" t="inlineStr">
        <is>
          <t>14 November 2026</t>
        </is>
      </c>
      <c r="M580" t="inlineStr">
        <is>
          <t>Konstruksi Gedung Lainnya</t>
        </is>
      </c>
      <c r="N580" t="inlineStr">
        <is>
          <t>K</t>
        </is>
      </c>
      <c r="O580" t="inlineStr">
        <is>
          <t>20230606</t>
        </is>
      </c>
      <c r="P580" t="inlineStr">
        <is>
          <t>Jambi</t>
        </is>
      </c>
      <c r="Q580" t="inlineStr"/>
    </row>
    <row r="581">
      <c r="A581" t="inlineStr">
        <is>
          <t>TIRTA MAGELANG</t>
        </is>
      </c>
      <c r="B581" t="inlineStr">
        <is>
          <t>Kota Surabaya</t>
        </is>
      </c>
      <c r="C581" t="inlineStr">
        <is>
          <t>0318283500</t>
        </is>
      </c>
      <c r="D581" t="inlineStr">
        <is>
          <t>pttirtamagelang@gmail.com</t>
        </is>
      </c>
      <c r="E581" t="inlineStr">
        <is>
          <t>https://lpjk.pu.go.id/search-badan-usaha-detail/MTE0ckhYd0U3SjNyZjZGczNTWG45UT09</t>
        </is>
      </c>
      <c r="F581" t="n">
        <v>1</v>
      </c>
      <c r="G581" t="inlineStr">
        <is>
          <t>BS010</t>
        </is>
      </c>
      <c r="H581" t="inlineStr">
        <is>
          <t>6 September 2006</t>
        </is>
      </c>
      <c r="I581" s="2" t="n">
        <v>46335</v>
      </c>
      <c r="J581" t="inlineStr">
        <is>
          <t>Disetujui</t>
        </is>
      </c>
      <c r="K581" t="n">
        <v>87</v>
      </c>
      <c r="L581" t="inlineStr">
        <is>
          <t>9 November 2026</t>
        </is>
      </c>
      <c r="M581" t="inlineStr">
        <is>
          <t>Konstruksi Bangunan Prasarana Sumber Daya Air</t>
        </is>
      </c>
      <c r="N581" t="inlineStr">
        <is>
          <t>M</t>
        </is>
      </c>
      <c r="O581" t="inlineStr">
        <is>
          <t>20231108</t>
        </is>
      </c>
      <c r="P581" t="inlineStr">
        <is>
          <t>Jawa Timur</t>
        </is>
      </c>
      <c r="Q581" t="inlineStr"/>
    </row>
    <row r="582">
      <c r="A582" t="inlineStr">
        <is>
          <t>TIRTA WIDYAUTAMA</t>
        </is>
      </c>
      <c r="B582" t="inlineStr">
        <is>
          <t>Kota Palangkaraya</t>
        </is>
      </c>
      <c r="C582" t="inlineStr">
        <is>
          <t>081280000068</t>
        </is>
      </c>
      <c r="D582" t="inlineStr">
        <is>
          <t>tirta.widyautama@gmail.com</t>
        </is>
      </c>
      <c r="E582" t="inlineStr">
        <is>
          <t>https://lpjk.pu.go.id/search-badan-usaha-detail/YnUzMVRsKzMvNTI2M1VvcHFKanhVdz09</t>
        </is>
      </c>
      <c r="F582" t="n">
        <v>1</v>
      </c>
      <c r="G582" t="inlineStr">
        <is>
          <t>BS001</t>
        </is>
      </c>
      <c r="H582" t="inlineStr">
        <is>
          <t>17 Januari 2012</t>
        </is>
      </c>
      <c r="I582" s="2" t="n">
        <v>46340</v>
      </c>
      <c r="J582" t="inlineStr">
        <is>
          <t>Pencabutan</t>
        </is>
      </c>
      <c r="K582" t="n">
        <v>87</v>
      </c>
      <c r="L582" t="inlineStr">
        <is>
          <t>14 November 2026</t>
        </is>
      </c>
      <c r="M582" t="inlineStr">
        <is>
          <t>Konstruksi Bangunan Sipil Jalan</t>
        </is>
      </c>
      <c r="N582" t="inlineStr">
        <is>
          <t>K</t>
        </is>
      </c>
      <c r="O582" t="inlineStr">
        <is>
          <t>20231114</t>
        </is>
      </c>
      <c r="P582" t="inlineStr">
        <is>
          <t>Kalimantan Tengah</t>
        </is>
      </c>
      <c r="Q582" t="inlineStr"/>
    </row>
    <row r="583">
      <c r="A583" t="inlineStr">
        <is>
          <t>TIRTAMAS MANDIRI</t>
        </is>
      </c>
      <c r="B583" t="inlineStr">
        <is>
          <t>Kab. Banyumas</t>
        </is>
      </c>
      <c r="C583" t="inlineStr">
        <is>
          <t>0281625593</t>
        </is>
      </c>
      <c r="D583" t="inlineStr">
        <is>
          <t>tirtamasmandiri06@gmail.com</t>
        </is>
      </c>
      <c r="E583" t="inlineStr">
        <is>
          <t>https://lpjk.pu.go.id/search-badan-usaha-detail/b2d0SHZvdEhyay93NGl2UEVSa2ZYQT09</t>
        </is>
      </c>
      <c r="F583" t="n">
        <v>4</v>
      </c>
      <c r="G583" t="inlineStr">
        <is>
          <t>BS002, BS003</t>
        </is>
      </c>
      <c r="H583" t="inlineStr">
        <is>
          <t>6 November 2006</t>
        </is>
      </c>
      <c r="I583" s="2" t="n">
        <v>46334</v>
      </c>
      <c r="J583" t="inlineStr">
        <is>
          <t>Disetujui</t>
        </is>
      </c>
      <c r="K583" t="n">
        <v>87</v>
      </c>
      <c r="L583" t="inlineStr">
        <is>
          <t>8 November 2026</t>
        </is>
      </c>
      <c r="M583" t="inlineStr">
        <is>
          <t>Bangunan Sipil Jembatan, Jalan Layang, Fly Over, dan Underpass, Konstruksi Jalan Rel</t>
        </is>
      </c>
      <c r="N583" t="inlineStr">
        <is>
          <t>M</t>
        </is>
      </c>
      <c r="O583" t="inlineStr">
        <is>
          <t>20231103, 20231106</t>
        </is>
      </c>
      <c r="P583" t="inlineStr">
        <is>
          <t>Jawa Tengah</t>
        </is>
      </c>
      <c r="Q583" t="inlineStr"/>
    </row>
    <row r="584">
      <c r="A584" t="inlineStr">
        <is>
          <t>TORINA</t>
        </is>
      </c>
      <c r="B584" t="inlineStr">
        <is>
          <t>Kota Pontianak</t>
        </is>
      </c>
      <c r="C584" t="inlineStr">
        <is>
          <t>085820611110</t>
        </is>
      </c>
      <c r="D584" t="inlineStr">
        <is>
          <t>torinacv@yahoo.co.id</t>
        </is>
      </c>
      <c r="E584" t="inlineStr">
        <is>
          <t>https://lpjk.pu.go.id/search-badan-usaha-detail/TzFqSmp1UkFCaHhFbWdCQkZIUGJwUT09</t>
        </is>
      </c>
      <c r="F584" t="n">
        <v>6</v>
      </c>
      <c r="G584" t="inlineStr">
        <is>
          <t>BG006, BS001, BS005</t>
        </is>
      </c>
      <c r="H584" t="inlineStr">
        <is>
          <t>9 Oktober 1985</t>
        </is>
      </c>
      <c r="I584" s="2" t="n">
        <v>46334</v>
      </c>
      <c r="J584" t="inlineStr">
        <is>
          <t>Disetujui</t>
        </is>
      </c>
      <c r="K584" t="n">
        <v>87</v>
      </c>
      <c r="L584" t="inlineStr">
        <is>
          <t>8 November 2026</t>
        </is>
      </c>
      <c r="M584" t="inlineStr">
        <is>
          <t>Konstruksi Bangunan Sipil Jalan, Konstruksi Bangunan Sipil Pengolahan Air Bersih, Konstruksi Gedung Pendidikan</t>
        </is>
      </c>
      <c r="N584" t="inlineStr">
        <is>
          <t>K</t>
        </is>
      </c>
      <c r="O584" t="inlineStr">
        <is>
          <t>20230919, 20231107</t>
        </is>
      </c>
      <c r="P584" t="inlineStr">
        <is>
          <t>Kalimantan Barat</t>
        </is>
      </c>
      <c r="Q584" t="inlineStr"/>
    </row>
    <row r="585">
      <c r="A585" t="inlineStr">
        <is>
          <t>TOTAL PERSADA MOSAD</t>
        </is>
      </c>
      <c r="B585" t="inlineStr">
        <is>
          <t>Kota Jayapura</t>
        </is>
      </c>
      <c r="C585" t="inlineStr">
        <is>
          <t>085394938879</t>
        </is>
      </c>
      <c r="D585" t="inlineStr">
        <is>
          <t>cvtotalpersadamosad@gmail.com</t>
        </is>
      </c>
      <c r="E585" t="inlineStr">
        <is>
          <t>https://lpjk.pu.go.id/search-badan-usaha-detail/a0VZWW9ZMnhsc2dpQWJsc1NhM3cxUT09</t>
        </is>
      </c>
      <c r="F585" t="n">
        <v>1</v>
      </c>
      <c r="G585" t="inlineStr">
        <is>
          <t>BG001</t>
        </is>
      </c>
      <c r="H585" t="inlineStr">
        <is>
          <t>3 Januari 2024</t>
        </is>
      </c>
      <c r="I585" s="2" t="n">
        <v>46340</v>
      </c>
      <c r="J585" t="inlineStr">
        <is>
          <t>Disetujui</t>
        </is>
      </c>
      <c r="K585" t="n">
        <v>87</v>
      </c>
      <c r="L585" t="inlineStr">
        <is>
          <t>14 November 2026</t>
        </is>
      </c>
      <c r="M585" t="inlineStr">
        <is>
          <t>Konstruksi Gedung Hunian</t>
        </is>
      </c>
      <c r="N585" t="inlineStr">
        <is>
          <t>K</t>
        </is>
      </c>
      <c r="O585" t="inlineStr">
        <is>
          <t>20231115</t>
        </is>
      </c>
      <c r="P585" t="inlineStr">
        <is>
          <t>Papua</t>
        </is>
      </c>
      <c r="Q585" t="inlineStr"/>
    </row>
    <row r="586">
      <c r="A586" t="inlineStr">
        <is>
          <t>TOYA PAWITRA</t>
        </is>
      </c>
      <c r="B586" t="inlineStr">
        <is>
          <t>Kab. Banyuwangi</t>
        </is>
      </c>
      <c r="C586" t="inlineStr">
        <is>
          <t>082139101912</t>
        </is>
      </c>
      <c r="D586" t="inlineStr">
        <is>
          <t>toyapawitra2023@gmail.com</t>
        </is>
      </c>
      <c r="E586" t="inlineStr">
        <is>
          <t>https://lpjk.pu.go.id/search-badan-usaha-detail/V2J6endjQWdBbzJpU2VITHZYUG03UT09</t>
        </is>
      </c>
      <c r="F586" t="n">
        <v>1</v>
      </c>
      <c r="G586" t="inlineStr">
        <is>
          <t>BS001</t>
        </is>
      </c>
      <c r="H586" t="inlineStr">
        <is>
          <t>17 Januari 2023</t>
        </is>
      </c>
      <c r="I586" s="2" t="n">
        <v>46336</v>
      </c>
      <c r="J586" t="inlineStr">
        <is>
          <t>Disetujui</t>
        </is>
      </c>
      <c r="K586" t="n">
        <v>87</v>
      </c>
      <c r="L586" t="inlineStr">
        <is>
          <t>10 November 2026</t>
        </is>
      </c>
      <c r="M586" t="inlineStr">
        <is>
          <t>Konstruksi Bangunan Sipil Jalan</t>
        </is>
      </c>
      <c r="N586" t="inlineStr">
        <is>
          <t>K</t>
        </is>
      </c>
      <c r="O586" t="inlineStr">
        <is>
          <t>20230217</t>
        </is>
      </c>
      <c r="P586" t="inlineStr">
        <is>
          <t>Jawa Timur</t>
        </is>
      </c>
      <c r="Q586" t="inlineStr"/>
    </row>
    <row r="587">
      <c r="A587" t="inlineStr">
        <is>
          <t>TRANSTEL UNIVERSAL</t>
        </is>
      </c>
      <c r="B587" t="inlineStr">
        <is>
          <t>Kota Adm. Jakarta Utara</t>
        </is>
      </c>
      <c r="C587" t="inlineStr">
        <is>
          <t>02145846292</t>
        </is>
      </c>
      <c r="D587" t="inlineStr">
        <is>
          <t>office@transteluniversal.co.id</t>
        </is>
      </c>
      <c r="E587" t="inlineStr">
        <is>
          <t>https://lpjk.pu.go.id/search-badan-usaha-detail/Y0pNdGFlZWlvL0dZOU0vMTFvdTNVZz09</t>
        </is>
      </c>
      <c r="F587" t="n">
        <v>6</v>
      </c>
      <c r="G587" t="inlineStr">
        <is>
          <t>KK007, PB009</t>
        </is>
      </c>
      <c r="H587" t="inlineStr">
        <is>
          <t>18 Juni 1997</t>
        </is>
      </c>
      <c r="I587" s="2" t="n">
        <v>46340</v>
      </c>
      <c r="J587" t="inlineStr">
        <is>
          <t>Disetujui</t>
        </is>
      </c>
      <c r="K587" t="n">
        <v>87</v>
      </c>
      <c r="L587" t="inlineStr">
        <is>
          <t>14 November 2026</t>
        </is>
      </c>
      <c r="M587" t="inlineStr">
        <is>
          <t>Pekerjaan Konstruksi Kedap Suara, Pembersihan dan Perapihan Bangunan Gedung dan/atau Bangunan Sipil</t>
        </is>
      </c>
      <c r="N587" t="inlineStr">
        <is>
          <t>Spesialis</t>
        </is>
      </c>
      <c r="O587" t="inlineStr">
        <is>
          <t>20231107, 20231113</t>
        </is>
      </c>
      <c r="P587" t="inlineStr">
        <is>
          <t>DKI Jakarta</t>
        </is>
      </c>
      <c r="Q587" t="inlineStr"/>
    </row>
    <row r="588">
      <c r="A588" t="inlineStr">
        <is>
          <t>TRI BRILLIANT SANJAYA</t>
        </is>
      </c>
      <c r="B588" t="inlineStr">
        <is>
          <t>Kab. Lampung Selatan</t>
        </is>
      </c>
      <c r="C588" t="inlineStr">
        <is>
          <t>-</t>
        </is>
      </c>
      <c r="D588" t="inlineStr">
        <is>
          <t>cv.tribrilliantsanjaya@gmail.com</t>
        </is>
      </c>
      <c r="E588" t="inlineStr">
        <is>
          <t>https://lpjk.pu.go.id/search-badan-usaha-detail/djcxcldQd2JMNm9TZG9PY1hUZFg4UT09</t>
        </is>
      </c>
      <c r="F588" t="n">
        <v>2</v>
      </c>
      <c r="G588" t="inlineStr">
        <is>
          <t>BG006, BG009</t>
        </is>
      </c>
      <c r="H588" t="inlineStr">
        <is>
          <t>28 Juli 2018</t>
        </is>
      </c>
      <c r="I588" s="2" t="n">
        <v>46340</v>
      </c>
      <c r="J588" t="inlineStr">
        <is>
          <t>Disetujui</t>
        </is>
      </c>
      <c r="K588" t="n">
        <v>87</v>
      </c>
      <c r="L588" t="inlineStr">
        <is>
          <t>14 November 2026</t>
        </is>
      </c>
      <c r="M588" t="inlineStr">
        <is>
          <t>Konstruksi Gedung Lainnya, Konstruksi Gedung Pendidikan</t>
        </is>
      </c>
      <c r="N588" t="inlineStr">
        <is>
          <t>K</t>
        </is>
      </c>
      <c r="O588" t="inlineStr">
        <is>
          <t>20230721</t>
        </is>
      </c>
      <c r="P588" t="inlineStr">
        <is>
          <t>Lampung</t>
        </is>
      </c>
      <c r="Q588" t="inlineStr"/>
    </row>
    <row r="589">
      <c r="A589" t="inlineStr">
        <is>
          <t>TRI JAYA SAUDARA</t>
        </is>
      </c>
      <c r="B589" t="inlineStr">
        <is>
          <t>Kab. Simalungun</t>
        </is>
      </c>
      <c r="C589" t="inlineStr">
        <is>
          <t>08126566333</t>
        </is>
      </c>
      <c r="D589" t="inlineStr">
        <is>
          <t>CV.Trijayasaudara2019@gmail.com</t>
        </is>
      </c>
      <c r="E589" t="inlineStr">
        <is>
          <t>https://lpjk.pu.go.id/search-badan-usaha-detail/M09ndFpwaG9WK29lUUpFdlFtbEw5Zz09</t>
        </is>
      </c>
      <c r="F589" t="n">
        <v>1</v>
      </c>
      <c r="G589" t="inlineStr">
        <is>
          <t>IN004</t>
        </is>
      </c>
      <c r="H589" t="inlineStr">
        <is>
          <t>12 Juni 2006</t>
        </is>
      </c>
      <c r="I589" s="2" t="n">
        <v>46335</v>
      </c>
      <c r="J589" t="inlineStr">
        <is>
          <t>Pencabutan</t>
        </is>
      </c>
      <c r="K589" t="n">
        <v>87</v>
      </c>
      <c r="L589" t="inlineStr">
        <is>
          <t>9 November 2026</t>
        </is>
      </c>
      <c r="M589" t="inlineStr">
        <is>
          <t>Instalasi Minyak dan Gas</t>
        </is>
      </c>
      <c r="N589" t="inlineStr">
        <is>
          <t>Spesialis</t>
        </is>
      </c>
      <c r="O589" t="inlineStr">
        <is>
          <t>20231109</t>
        </is>
      </c>
      <c r="P589" t="inlineStr">
        <is>
          <t>Sumatera Utara</t>
        </is>
      </c>
      <c r="Q589" t="inlineStr"/>
    </row>
    <row r="590">
      <c r="A590" t="inlineStr">
        <is>
          <t>TRI MANTRA</t>
        </is>
      </c>
      <c r="B590" t="inlineStr">
        <is>
          <t>Kab. Bandung</t>
        </is>
      </c>
      <c r="C590" t="inlineStr">
        <is>
          <t>0222505496</t>
        </is>
      </c>
      <c r="D590" t="inlineStr">
        <is>
          <t>mantratri@yahoo.com</t>
        </is>
      </c>
      <c r="E590" t="inlineStr">
        <is>
          <t>https://lpjk.pu.go.id/search-badan-usaha-detail/c1gvOEZUOFEwOXlVZHcvQzBGQ2R5UT09</t>
        </is>
      </c>
      <c r="F590" t="n">
        <v>1</v>
      </c>
      <c r="G590" t="inlineStr">
        <is>
          <t>RK003</t>
        </is>
      </c>
      <c r="H590" t="inlineStr">
        <is>
          <t>12 Mei 2006</t>
        </is>
      </c>
      <c r="I590" s="2" t="n">
        <v>46334</v>
      </c>
      <c r="J590" t="inlineStr">
        <is>
          <t>Disetujui</t>
        </is>
      </c>
      <c r="K590" t="n">
        <v>87</v>
      </c>
      <c r="L590" t="inlineStr">
        <is>
          <t>8 November 2026</t>
        </is>
      </c>
      <c r="M590" t="inlineStr">
        <is>
          <t>Jasa Rekayasa Pekerjaan Teknik Sipil Transportasi</t>
        </is>
      </c>
      <c r="N590" t="inlineStr">
        <is>
          <t>M</t>
        </is>
      </c>
      <c r="O590" t="inlineStr">
        <is>
          <t>20230915</t>
        </is>
      </c>
      <c r="P590" t="inlineStr">
        <is>
          <t>Jawa Barat</t>
        </is>
      </c>
      <c r="Q590" t="inlineStr"/>
    </row>
    <row r="591">
      <c r="A591" t="inlineStr">
        <is>
          <t>TRI MITRA MEKANINDO</t>
        </is>
      </c>
      <c r="B591" t="inlineStr">
        <is>
          <t>Kab. Deli Serdang</t>
        </is>
      </c>
      <c r="C591" t="inlineStr">
        <is>
          <t>08126460690</t>
        </is>
      </c>
      <c r="D591" t="inlineStr">
        <is>
          <t>adm@trimekanindo.com</t>
        </is>
      </c>
      <c r="E591" t="inlineStr">
        <is>
          <t>https://lpjk.pu.go.id/search-badan-usaha-detail/SEVuQ3grOWNkTitoM1I3RkxQWVo0dz09</t>
        </is>
      </c>
      <c r="F591" t="n">
        <v>1</v>
      </c>
      <c r="G591" t="inlineStr">
        <is>
          <t>IN013</t>
        </is>
      </c>
      <c r="H591" t="inlineStr">
        <is>
          <t>25 November 2015</t>
        </is>
      </c>
      <c r="I591" s="2" t="n">
        <v>46338</v>
      </c>
      <c r="J591" t="inlineStr">
        <is>
          <t>Pembekuan</t>
        </is>
      </c>
      <c r="K591" t="n">
        <v>87</v>
      </c>
      <c r="L591" t="inlineStr">
        <is>
          <t>12 November 2026</t>
        </is>
      </c>
      <c r="M591" t="inlineStr">
        <is>
          <t>Instalasi Pemanas dan Geotermal</t>
        </is>
      </c>
      <c r="N591" t="inlineStr">
        <is>
          <t>Spesialis</t>
        </is>
      </c>
      <c r="O591" t="inlineStr">
        <is>
          <t>20231108</t>
        </is>
      </c>
      <c r="P591" t="inlineStr">
        <is>
          <t>Sumatera Utara</t>
        </is>
      </c>
      <c r="Q591" t="inlineStr"/>
    </row>
    <row r="592">
      <c r="A592" t="inlineStr">
        <is>
          <t>TRI RESKY UTAMA MANDIRI</t>
        </is>
      </c>
      <c r="B592" t="inlineStr">
        <is>
          <t>Kab. Maros</t>
        </is>
      </c>
      <c r="C592" t="inlineStr">
        <is>
          <t>085333222077</t>
        </is>
      </c>
      <c r="D592" t="inlineStr">
        <is>
          <t>cvreskyutamamandiri@gmail.com</t>
        </is>
      </c>
      <c r="E592" t="inlineStr">
        <is>
          <t>https://lpjk.pu.go.id/search-badan-usaha-detail/K2hXeDg5cHRqaUdyUXMwZTdxMnhpUT09</t>
        </is>
      </c>
      <c r="F592" t="n">
        <v>1</v>
      </c>
      <c r="G592" t="inlineStr">
        <is>
          <t>BG002</t>
        </is>
      </c>
      <c r="H592" t="inlineStr">
        <is>
          <t>27 November 2020</t>
        </is>
      </c>
      <c r="I592" s="2" t="n">
        <v>46339</v>
      </c>
      <c r="J592" t="inlineStr">
        <is>
          <t>Disetujui</t>
        </is>
      </c>
      <c r="K592" t="n">
        <v>87</v>
      </c>
      <c r="L592" t="inlineStr">
        <is>
          <t>13 November 2026</t>
        </is>
      </c>
      <c r="M592" t="inlineStr">
        <is>
          <t>Konstruksi Gedung Perkantoran</t>
        </is>
      </c>
      <c r="N592" t="inlineStr">
        <is>
          <t>K</t>
        </is>
      </c>
      <c r="O592" t="inlineStr">
        <is>
          <t>20231110</t>
        </is>
      </c>
      <c r="P592" t="inlineStr">
        <is>
          <t>Sulawesi Selatan</t>
        </is>
      </c>
      <c r="Q592" t="inlineStr"/>
    </row>
    <row r="593">
      <c r="A593" t="inlineStr">
        <is>
          <t>TRIARTHA NUSA ENGINEERING</t>
        </is>
      </c>
      <c r="B593" t="inlineStr">
        <is>
          <t>Kota Padang</t>
        </is>
      </c>
      <c r="C593" t="inlineStr">
        <is>
          <t>0751443932</t>
        </is>
      </c>
      <c r="D593" t="inlineStr">
        <is>
          <t>TRIARTHANUSA_PT@YMAIL.COM</t>
        </is>
      </c>
      <c r="E593" t="inlineStr">
        <is>
          <t>https://lpjk.pu.go.id/search-badan-usaha-detail/YmtoZklha3ZZdkhnbUgvSGlCaG1rZz09</t>
        </is>
      </c>
      <c r="F593" t="n">
        <v>2</v>
      </c>
      <c r="G593" t="inlineStr">
        <is>
          <t>RK001, RK002</t>
        </is>
      </c>
      <c r="H593" t="inlineStr">
        <is>
          <t>24 Januari 2007</t>
        </is>
      </c>
      <c r="I593" s="2" t="n">
        <v>46339</v>
      </c>
      <c r="J593" t="inlineStr">
        <is>
          <t>Disetujui</t>
        </is>
      </c>
      <c r="K593" t="n">
        <v>87</v>
      </c>
      <c r="L593" t="inlineStr">
        <is>
          <t>13 November 2026</t>
        </is>
      </c>
      <c r="M593" t="inlineStr">
        <is>
          <t>Jasa Rekayasa Konstruksi Bangunan Gedung Hunian dan Non Hunian, Jasa Rekayasa Pekerjaan Teknik Sipil Sumber Daya Air</t>
        </is>
      </c>
      <c r="N593" t="inlineStr">
        <is>
          <t>K</t>
        </is>
      </c>
      <c r="O593" t="inlineStr">
        <is>
          <t>20231106, 20231107</t>
        </is>
      </c>
      <c r="P593" t="inlineStr">
        <is>
          <t>Sumatera Barat</t>
        </is>
      </c>
      <c r="Q593" t="inlineStr"/>
    </row>
    <row r="594">
      <c r="A594" t="inlineStr">
        <is>
          <t>TRIAS MANUNGGAL</t>
        </is>
      </c>
      <c r="B594" t="inlineStr">
        <is>
          <t>Kota Bandung</t>
        </is>
      </c>
      <c r="C594" t="inlineStr">
        <is>
          <t>0227273832</t>
        </is>
      </c>
      <c r="D594" t="inlineStr">
        <is>
          <t>triasman@yahoo.co.id</t>
        </is>
      </c>
      <c r="E594" t="inlineStr">
        <is>
          <t>https://lpjk.pu.go.id/search-badan-usaha-detail/R2c0a0xKR2RYTzNQTGJGSVQxdEtwQT09</t>
        </is>
      </c>
      <c r="F594" t="n">
        <v>2</v>
      </c>
      <c r="G594" t="inlineStr">
        <is>
          <t>BG005</t>
        </is>
      </c>
      <c r="H594" t="inlineStr">
        <is>
          <t>19 Juli 1999</t>
        </is>
      </c>
      <c r="I594" s="2" t="n">
        <v>46336</v>
      </c>
      <c r="J594" t="inlineStr">
        <is>
          <t>Disetujui</t>
        </is>
      </c>
      <c r="K594" t="n">
        <v>87</v>
      </c>
      <c r="L594" t="inlineStr">
        <is>
          <t>10 November 2026</t>
        </is>
      </c>
      <c r="M594" t="inlineStr">
        <is>
          <t>Konstruksi Gedung Kesehatan</t>
        </is>
      </c>
      <c r="N594" t="inlineStr">
        <is>
          <t>K</t>
        </is>
      </c>
      <c r="O594" t="inlineStr">
        <is>
          <t>20231109</t>
        </is>
      </c>
      <c r="P594" t="inlineStr">
        <is>
          <t>Jawa Barat</t>
        </is>
      </c>
      <c r="Q594" t="inlineStr"/>
    </row>
    <row r="595">
      <c r="A595" t="inlineStr">
        <is>
          <t>TRIDUTA MITRAPARAMA</t>
        </is>
      </c>
      <c r="B595" t="inlineStr">
        <is>
          <t>Kota Adm. Jakarta Selatan</t>
        </is>
      </c>
      <c r="C595" t="inlineStr">
        <is>
          <t>02127871763</t>
        </is>
      </c>
      <c r="D595" t="inlineStr">
        <is>
          <t>triduta_pt@yahoo.com</t>
        </is>
      </c>
      <c r="E595" t="inlineStr">
        <is>
          <t>https://lpjk.pu.go.id/search-badan-usaha-detail/VHdKb1ZPOTQ5SUR2SWhoLzRuRWdZQT09</t>
        </is>
      </c>
      <c r="F595" t="n">
        <v>1</v>
      </c>
      <c r="G595" t="inlineStr">
        <is>
          <t>RK001</t>
        </is>
      </c>
      <c r="H595" t="inlineStr">
        <is>
          <t>29 Juni 1992</t>
        </is>
      </c>
      <c r="I595" s="2" t="n">
        <v>46338</v>
      </c>
      <c r="J595" t="inlineStr">
        <is>
          <t>Disetujui</t>
        </is>
      </c>
      <c r="K595" t="n">
        <v>87</v>
      </c>
      <c r="L595" t="inlineStr">
        <is>
          <t>12 November 2026</t>
        </is>
      </c>
      <c r="M595" t="inlineStr">
        <is>
          <t>Jasa Rekayasa Konstruksi Bangunan Gedung Hunian dan Non Hunian</t>
        </is>
      </c>
      <c r="N595" t="inlineStr">
        <is>
          <t>K</t>
        </is>
      </c>
      <c r="O595" t="inlineStr">
        <is>
          <t>20231107</t>
        </is>
      </c>
      <c r="P595" t="inlineStr">
        <is>
          <t>DKI Jakarta</t>
        </is>
      </c>
      <c r="Q595" t="inlineStr"/>
    </row>
    <row r="596">
      <c r="A596" t="inlineStr">
        <is>
          <t>TRIKARYA NUSA KONSTRUKSI</t>
        </is>
      </c>
      <c r="B596" t="inlineStr">
        <is>
          <t>Kota Palembang</t>
        </is>
      </c>
      <c r="C596" t="inlineStr">
        <is>
          <t>081927684332</t>
        </is>
      </c>
      <c r="D596" t="inlineStr">
        <is>
          <t>triikaryanusakonstruksi@gmail.com</t>
        </is>
      </c>
      <c r="E596" t="inlineStr">
        <is>
          <t>https://lpjk.pu.go.id/search-badan-usaha-detail/elMrZEZVNGgyczl2OVJKanBKNzdOUT09</t>
        </is>
      </c>
      <c r="F596" t="n">
        <v>2</v>
      </c>
      <c r="G596" t="inlineStr">
        <is>
          <t>BS001, BS004</t>
        </is>
      </c>
      <c r="H596" t="inlineStr">
        <is>
          <t>12 Maret 2020</t>
        </is>
      </c>
      <c r="I596" s="2" t="n">
        <v>46338</v>
      </c>
      <c r="J596" t="inlineStr">
        <is>
          <t>Disetujui</t>
        </is>
      </c>
      <c r="K596" t="n">
        <v>87</v>
      </c>
      <c r="L596" t="inlineStr">
        <is>
          <t>12 November 2026</t>
        </is>
      </c>
      <c r="M596" t="inlineStr">
        <is>
          <t>Konstruksi Bangunan Sipil Jalan, Konstruksi Jaringan Irigasi dan Drainase</t>
        </is>
      </c>
      <c r="N596" t="inlineStr">
        <is>
          <t>K</t>
        </is>
      </c>
      <c r="O596" t="inlineStr">
        <is>
          <t>20231014, 20231113</t>
        </is>
      </c>
      <c r="P596" t="inlineStr">
        <is>
          <t>Sumatera Selatan</t>
        </is>
      </c>
      <c r="Q596" t="inlineStr"/>
    </row>
    <row r="597">
      <c r="A597" t="inlineStr">
        <is>
          <t>TRIMACON ENGINEERING</t>
        </is>
      </c>
      <c r="B597" t="inlineStr">
        <is>
          <t>Kab. Cianjur</t>
        </is>
      </c>
      <c r="C597" t="inlineStr">
        <is>
          <t>02635082542</t>
        </is>
      </c>
      <c r="D597" t="inlineStr">
        <is>
          <t>trimacon_eng@yahoo.com</t>
        </is>
      </c>
      <c r="E597" t="inlineStr">
        <is>
          <t>https://lpjk.pu.go.id/search-badan-usaha-detail/Q1lNd2FNNUwyVVFKRDlDL0UzTmp6QT09</t>
        </is>
      </c>
      <c r="F597" t="n">
        <v>6</v>
      </c>
      <c r="G597" t="inlineStr">
        <is>
          <t>AR001, AR002, AR003</t>
        </is>
      </c>
      <c r="H597" t="inlineStr">
        <is>
          <t>19 Oktober 1999</t>
        </is>
      </c>
      <c r="I597" s="2" t="n">
        <v>46334</v>
      </c>
      <c r="J597" t="inlineStr">
        <is>
          <t>Disetujui</t>
        </is>
      </c>
      <c r="K597" t="n">
        <v>87</v>
      </c>
      <c r="L597" t="inlineStr">
        <is>
          <t>8 November 2026</t>
        </is>
      </c>
      <c r="M597" t="inlineStr">
        <is>
          <t>Jasa Arsitektural Bangunan Gedung Hunian dan Non Hunian, Jasa Arsitektural Lainnya, Jasa Desain Interior pada Bangunan Gedung dan Bangunan Sipil</t>
        </is>
      </c>
      <c r="N597" t="inlineStr">
        <is>
          <t>K</t>
        </is>
      </c>
      <c r="O597" t="inlineStr">
        <is>
          <t>20231030</t>
        </is>
      </c>
      <c r="P597" t="inlineStr">
        <is>
          <t>Jawa Barat</t>
        </is>
      </c>
      <c r="Q597" t="inlineStr"/>
    </row>
    <row r="598">
      <c r="A598" t="inlineStr">
        <is>
          <t>TRIMURTI PERKASA</t>
        </is>
      </c>
      <c r="B598" t="inlineStr">
        <is>
          <t>Kota Medan</t>
        </is>
      </c>
      <c r="C598" t="inlineStr">
        <is>
          <t>0618224928</t>
        </is>
      </c>
      <c r="D598" t="inlineStr">
        <is>
          <t>trimurti_perkasa@yahoo.com</t>
        </is>
      </c>
      <c r="E598" t="inlineStr">
        <is>
          <t>https://lpjk.pu.go.id/search-badan-usaha-detail/VkRiTFlnMHF6T1BQSVE4aUQwNWxDZz09</t>
        </is>
      </c>
      <c r="F598" t="n">
        <v>2</v>
      </c>
      <c r="G598" t="inlineStr">
        <is>
          <t>BS004</t>
        </is>
      </c>
      <c r="H598" t="inlineStr">
        <is>
          <t>26 Mei 2007</t>
        </is>
      </c>
      <c r="I598" s="2" t="n">
        <v>46337</v>
      </c>
      <c r="J598" t="inlineStr">
        <is>
          <t>Disetujui</t>
        </is>
      </c>
      <c r="K598" t="n">
        <v>87</v>
      </c>
      <c r="L598" t="inlineStr">
        <is>
          <t>11 November 2026</t>
        </is>
      </c>
      <c r="M598" t="inlineStr">
        <is>
          <t>Konstruksi Jaringan Irigasi dan Drainase</t>
        </is>
      </c>
      <c r="N598" t="inlineStr">
        <is>
          <t>M</t>
        </is>
      </c>
      <c r="O598" t="inlineStr">
        <is>
          <t>20230704</t>
        </is>
      </c>
      <c r="P598" t="inlineStr">
        <is>
          <t>Sumatera Utara</t>
        </is>
      </c>
      <c r="Q598" t="inlineStr"/>
    </row>
    <row r="599">
      <c r="A599" t="inlineStr">
        <is>
          <t>TRISAKA KOPKARSENTRA UTAMA</t>
        </is>
      </c>
      <c r="B599" t="inlineStr">
        <is>
          <t>Kab. Cilacap</t>
        </is>
      </c>
      <c r="C599" t="inlineStr">
        <is>
          <t>0282541804</t>
        </is>
      </c>
      <c r="D599" t="inlineStr">
        <is>
          <t>trisakaku_clp@yahoo.com</t>
        </is>
      </c>
      <c r="E599" t="inlineStr">
        <is>
          <t>https://lpjk.pu.go.id/search-badan-usaha-detail/T0ZqN0thbTg1Z0VtQ3hWSTM2bWcwZz09</t>
        </is>
      </c>
      <c r="F599" t="n">
        <v>2</v>
      </c>
      <c r="G599" t="inlineStr">
        <is>
          <t>BG001, BG002</t>
        </is>
      </c>
      <c r="H599" t="inlineStr">
        <is>
          <t>28 November 1996</t>
        </is>
      </c>
      <c r="I599" s="2" t="n">
        <v>46340</v>
      </c>
      <c r="J599" t="inlineStr">
        <is>
          <t>Disetujui</t>
        </is>
      </c>
      <c r="K599" t="n">
        <v>87</v>
      </c>
      <c r="L599" t="inlineStr">
        <is>
          <t>14 November 2026</t>
        </is>
      </c>
      <c r="M599" t="inlineStr">
        <is>
          <t>Konstruksi Gedung Hunian, Konstruksi Gedung Perkantoran</t>
        </is>
      </c>
      <c r="N599" t="inlineStr">
        <is>
          <t>K</t>
        </is>
      </c>
      <c r="O599" t="inlineStr">
        <is>
          <t>20231113</t>
        </is>
      </c>
      <c r="P599" t="inlineStr">
        <is>
          <t>Jawa Tengah</t>
        </is>
      </c>
      <c r="Q599" t="inlineStr"/>
    </row>
    <row r="600">
      <c r="A600" t="inlineStr">
        <is>
          <t>TRISULA RESTU IBU</t>
        </is>
      </c>
      <c r="B600" t="inlineStr">
        <is>
          <t>Kab. Cianjur</t>
        </is>
      </c>
      <c r="C600" t="inlineStr">
        <is>
          <t>089666661401</t>
        </is>
      </c>
      <c r="D600" t="inlineStr">
        <is>
          <t>pttrisularestuibu@outlook.com</t>
        </is>
      </c>
      <c r="E600" t="inlineStr">
        <is>
          <t>https://lpjk.pu.go.id/search-badan-usaha-detail/c0QvaXZYTWlzMXZWUDFaL1FRRms0Zz09</t>
        </is>
      </c>
      <c r="F600" t="n">
        <v>1</v>
      </c>
      <c r="G600" t="inlineStr">
        <is>
          <t>BG002</t>
        </is>
      </c>
      <c r="H600" t="inlineStr">
        <is>
          <t>22 Februari 2018</t>
        </is>
      </c>
      <c r="I600" s="2" t="n">
        <v>46339</v>
      </c>
      <c r="J600" t="inlineStr">
        <is>
          <t>Pencabutan</t>
        </is>
      </c>
      <c r="K600" t="n">
        <v>87</v>
      </c>
      <c r="L600" t="inlineStr">
        <is>
          <t>13 November 2026</t>
        </is>
      </c>
      <c r="M600" t="inlineStr">
        <is>
          <t>Konstruksi Gedung Perkantoran</t>
        </is>
      </c>
      <c r="N600" t="inlineStr">
        <is>
          <t>M</t>
        </is>
      </c>
      <c r="O600" t="inlineStr">
        <is>
          <t>20231113</t>
        </is>
      </c>
      <c r="P600" t="inlineStr">
        <is>
          <t>Jawa Barat</t>
        </is>
      </c>
      <c r="Q600" t="inlineStr"/>
    </row>
    <row r="601">
      <c r="A601" t="inlineStr">
        <is>
          <t>TRITUNGGAL TJIPTA MANDIRI</t>
        </is>
      </c>
      <c r="B601" t="inlineStr">
        <is>
          <t>Kab. Barito Utara</t>
        </is>
      </c>
      <c r="C601" t="inlineStr">
        <is>
          <t>085248037744</t>
        </is>
      </c>
      <c r="D601" t="inlineStr">
        <is>
          <t>tritunggal.tjipta.mandiri@gmail.com</t>
        </is>
      </c>
      <c r="E601" t="inlineStr">
        <is>
          <t>https://lpjk.pu.go.id/search-badan-usaha-detail/WWxYWThQdlV0MkVGNmFzcHFjOEIvQT09</t>
        </is>
      </c>
      <c r="F601" t="n">
        <v>5</v>
      </c>
      <c r="G601" t="inlineStr">
        <is>
          <t>BG001, BG002, BG005, BG006, BG009</t>
        </is>
      </c>
      <c r="H601" t="inlineStr">
        <is>
          <t>27 Oktober 2023</t>
        </is>
      </c>
      <c r="I601" s="2" t="n">
        <v>46334</v>
      </c>
      <c r="J601" t="inlineStr">
        <is>
          <t>Disetujui</t>
        </is>
      </c>
      <c r="K601" t="n">
        <v>87</v>
      </c>
      <c r="L601" t="inlineStr">
        <is>
          <t>8 November 2026</t>
        </is>
      </c>
      <c r="M601" t="inlineStr">
        <is>
          <t>Konstruksi Gedung Hunian, Konstruksi Gedung Kesehatan, Konstruksi Gedung Lainnya, Konstruksi Gedung Pendidikan, Konstruksi Gedung Perkantoran</t>
        </is>
      </c>
      <c r="N601" t="inlineStr">
        <is>
          <t>K</t>
        </is>
      </c>
      <c r="O601" t="inlineStr">
        <is>
          <t>20231106</t>
        </is>
      </c>
      <c r="P601" t="inlineStr">
        <is>
          <t>Kalimantan Tengah</t>
        </is>
      </c>
      <c r="Q601" t="inlineStr"/>
    </row>
    <row r="602">
      <c r="A602" t="inlineStr">
        <is>
          <t>TRT GROUP</t>
        </is>
      </c>
      <c r="B602" t="inlineStr">
        <is>
          <t>Kab. Sumedang</t>
        </is>
      </c>
      <c r="C602" t="inlineStr">
        <is>
          <t>087878979436</t>
        </is>
      </c>
      <c r="D602" t="inlineStr">
        <is>
          <t>cv.trtgroup@gmail.com</t>
        </is>
      </c>
      <c r="E602" t="inlineStr">
        <is>
          <t>https://lpjk.pu.go.id/search-badan-usaha-detail/bjhUOUlMamJTL29SNk5EbFpjZjFpQT09</t>
        </is>
      </c>
      <c r="F602" t="n">
        <v>3</v>
      </c>
      <c r="G602" t="inlineStr">
        <is>
          <t>BG006, BS001, BS004</t>
        </is>
      </c>
      <c r="H602" t="inlineStr">
        <is>
          <t>22 Mei 2023</t>
        </is>
      </c>
      <c r="I602" s="2" t="n">
        <v>46336</v>
      </c>
      <c r="J602" t="inlineStr">
        <is>
          <t>Disetujui</t>
        </is>
      </c>
      <c r="K602" t="n">
        <v>87</v>
      </c>
      <c r="L602" t="inlineStr">
        <is>
          <t>10 November 2026</t>
        </is>
      </c>
      <c r="M602" t="inlineStr">
        <is>
          <t>Konstruksi Bangunan Sipil Jalan, Konstruksi Gedung Pendidikan, Konstruksi Jaringan Irigasi dan Drainase</t>
        </is>
      </c>
      <c r="N602" t="inlineStr">
        <is>
          <t>K</t>
        </is>
      </c>
      <c r="O602" t="inlineStr">
        <is>
          <t>20231110, 20231111</t>
        </is>
      </c>
      <c r="P602" t="inlineStr">
        <is>
          <t>Jawa Barat</t>
        </is>
      </c>
      <c r="Q602" t="inlineStr"/>
    </row>
    <row r="603">
      <c r="A603" t="inlineStr">
        <is>
          <t>TSABIT JAYA TAMA</t>
        </is>
      </c>
      <c r="B603" t="inlineStr">
        <is>
          <t>Kota Samarinda</t>
        </is>
      </c>
      <c r="C603" t="inlineStr">
        <is>
          <t>081250383828</t>
        </is>
      </c>
      <c r="D603" t="inlineStr">
        <is>
          <t>tsabitjayatama@gmail.com</t>
        </is>
      </c>
      <c r="E603" t="inlineStr">
        <is>
          <t>https://lpjk.pu.go.id/search-badan-usaha-detail/bmZYelpkNUFsNVUvaVB6WUFsV1g0QT09</t>
        </is>
      </c>
      <c r="F603" t="n">
        <v>2</v>
      </c>
      <c r="G603" t="inlineStr">
        <is>
          <t>BG005, BS005</t>
        </is>
      </c>
      <c r="H603" t="inlineStr">
        <is>
          <t>20 September 2013</t>
        </is>
      </c>
      <c r="I603" s="2" t="n">
        <v>46339</v>
      </c>
      <c r="J603" t="inlineStr">
        <is>
          <t>Permohonan Perubahan Non Asesmen</t>
        </is>
      </c>
      <c r="K603" t="n">
        <v>87</v>
      </c>
      <c r="L603" t="inlineStr">
        <is>
          <t>13 November 2026</t>
        </is>
      </c>
      <c r="M603" t="inlineStr">
        <is>
          <t>Konstruksi Bangunan Sipil Pengolahan Air Bersih, Konstruksi Gedung Kesehatan</t>
        </is>
      </c>
      <c r="N603" t="inlineStr">
        <is>
          <t>M</t>
        </is>
      </c>
      <c r="O603" t="inlineStr">
        <is>
          <t>20231102, 20231114</t>
        </is>
      </c>
      <c r="P603" t="inlineStr">
        <is>
          <t>Kalimantan Timur</t>
        </is>
      </c>
      <c r="Q603" t="inlineStr"/>
    </row>
    <row r="604">
      <c r="A604" t="inlineStr">
        <is>
          <t>TUJUH-TUJUH</t>
        </is>
      </c>
      <c r="B604" t="inlineStr">
        <is>
          <t>Kota Metro</t>
        </is>
      </c>
      <c r="C604" t="inlineStr">
        <is>
          <t>081278017591</t>
        </is>
      </c>
      <c r="D604" t="inlineStr">
        <is>
          <t>cvtujuhtujuh687@gmail.com</t>
        </is>
      </c>
      <c r="E604" t="inlineStr">
        <is>
          <t>https://lpjk.pu.go.id/search-badan-usaha-detail/Zi9RM2FNQkozVm9YLy9jd3NlZklvUT09</t>
        </is>
      </c>
      <c r="F604" t="n">
        <v>3</v>
      </c>
      <c r="G604" t="inlineStr">
        <is>
          <t>BS001, BS005, BS010</t>
        </is>
      </c>
      <c r="H604" t="inlineStr">
        <is>
          <t>14 Juli 2006</t>
        </is>
      </c>
      <c r="I604" s="2" t="n">
        <v>46336</v>
      </c>
      <c r="J604" t="inlineStr">
        <is>
          <t>Disetujui</t>
        </is>
      </c>
      <c r="K604" t="n">
        <v>87</v>
      </c>
      <c r="L604" t="inlineStr">
        <is>
          <t>10 November 2026</t>
        </is>
      </c>
      <c r="M604" t="inlineStr">
        <is>
          <t>Konstruksi Bangunan Prasarana Sumber Daya Air, Konstruksi Bangunan Sipil Jalan, Konstruksi Bangunan Sipil Pengolahan Air Bersih</t>
        </is>
      </c>
      <c r="N604" t="inlineStr">
        <is>
          <t>K</t>
        </is>
      </c>
      <c r="O604" t="inlineStr">
        <is>
          <t>20231106, 20231107</t>
        </is>
      </c>
      <c r="P604" t="inlineStr">
        <is>
          <t>Lampung</t>
        </is>
      </c>
      <c r="Q604" t="inlineStr"/>
    </row>
    <row r="605">
      <c r="A605" t="inlineStr">
        <is>
          <t>TUNAS TEHNIK SEJATI</t>
        </is>
      </c>
      <c r="B605" t="inlineStr">
        <is>
          <t>Kota Makassar</t>
        </is>
      </c>
      <c r="C605" t="inlineStr">
        <is>
          <t>085255997064</t>
        </is>
      </c>
      <c r="D605" t="inlineStr">
        <is>
          <t>tunastehniksejati01@gmail.com</t>
        </is>
      </c>
      <c r="E605" t="inlineStr">
        <is>
          <t>https://lpjk.pu.go.id/search-badan-usaha-detail/U2VxMytucFd2YjhiNHFpaUo3a1lHdz09</t>
        </is>
      </c>
      <c r="F605" t="n">
        <v>3</v>
      </c>
      <c r="G605" t="inlineStr">
        <is>
          <t>BS004, BS010, KK004</t>
        </is>
      </c>
      <c r="H605" t="inlineStr">
        <is>
          <t>22 Agustus 2006</t>
        </is>
      </c>
      <c r="I605" s="2" t="n">
        <v>46338</v>
      </c>
      <c r="J605" t="inlineStr">
        <is>
          <t>Pembekuan</t>
        </is>
      </c>
      <c r="K605" t="n">
        <v>87</v>
      </c>
      <c r="L605" t="inlineStr">
        <is>
          <t>12 November 2026</t>
        </is>
      </c>
      <c r="M605" t="inlineStr">
        <is>
          <t>Konstruksi Bangunan Prasarana Sumber Daya Air, Konstruksi Jaringan Irigasi dan Drainase, Konstruksi Pelindung Pantai</t>
        </is>
      </c>
      <c r="N605" t="inlineStr">
        <is>
          <t>M, Spesialis</t>
        </is>
      </c>
      <c r="O605" t="inlineStr">
        <is>
          <t>20230626, 20231106, 20231111</t>
        </is>
      </c>
      <c r="P605" t="inlineStr">
        <is>
          <t>Sulawesi Selatan</t>
        </is>
      </c>
      <c r="Q605" t="inlineStr"/>
    </row>
    <row r="606">
      <c r="A606" t="inlineStr">
        <is>
          <t>USAHA PRIMA ABADI</t>
        </is>
      </c>
      <c r="B606" t="inlineStr">
        <is>
          <t>Kab. Sambas</t>
        </is>
      </c>
      <c r="C606" t="inlineStr">
        <is>
          <t>081253503865</t>
        </is>
      </c>
      <c r="D606" t="inlineStr">
        <is>
          <t>cvusahaprimaabadi@gmail.com</t>
        </is>
      </c>
      <c r="E606" t="inlineStr">
        <is>
          <t>https://lpjk.pu.go.id/search-badan-usaha-detail/WG8yUUJKUXFnU3ZVaFBwb1FJYzZsdz09</t>
        </is>
      </c>
      <c r="F606" t="n">
        <v>1</v>
      </c>
      <c r="G606" t="inlineStr">
        <is>
          <t>BS004</t>
        </is>
      </c>
      <c r="H606" t="inlineStr">
        <is>
          <t>12 Januari 2022</t>
        </is>
      </c>
      <c r="I606" s="2" t="n">
        <v>46340</v>
      </c>
      <c r="J606" t="inlineStr">
        <is>
          <t>Disetujui</t>
        </is>
      </c>
      <c r="K606" t="n">
        <v>87</v>
      </c>
      <c r="L606" t="inlineStr">
        <is>
          <t>14 November 2026</t>
        </is>
      </c>
      <c r="M606" t="inlineStr">
        <is>
          <t>Konstruksi Jaringan Irigasi dan Drainase</t>
        </is>
      </c>
      <c r="N606" t="inlineStr">
        <is>
          <t>K</t>
        </is>
      </c>
      <c r="O606" t="inlineStr">
        <is>
          <t>20231114</t>
        </is>
      </c>
      <c r="P606" t="inlineStr">
        <is>
          <t>Kalimantan Barat</t>
        </is>
      </c>
      <c r="Q606" t="inlineStr"/>
    </row>
    <row r="607">
      <c r="A607" t="inlineStr">
        <is>
          <t>USAHA TANI SUBUR</t>
        </is>
      </c>
      <c r="B607" t="inlineStr">
        <is>
          <t>Kab. Simalungun</t>
        </is>
      </c>
      <c r="C607" t="inlineStr">
        <is>
          <t>081264413333</t>
        </is>
      </c>
      <c r="D607" t="inlineStr">
        <is>
          <t>usahatanisubur@gmail.com</t>
        </is>
      </c>
      <c r="E607" t="inlineStr">
        <is>
          <t>https://lpjk.pu.go.id/search-badan-usaha-detail/M1RHOE8vb0gwNUZRc3I2dWxkSXkxZz09</t>
        </is>
      </c>
      <c r="F607" t="n">
        <v>2</v>
      </c>
      <c r="G607" t="inlineStr">
        <is>
          <t>BG006, BS004</t>
        </is>
      </c>
      <c r="H607" t="inlineStr">
        <is>
          <t>14 September 2021</t>
        </is>
      </c>
      <c r="I607" s="2" t="n">
        <v>46335</v>
      </c>
      <c r="J607" t="inlineStr">
        <is>
          <t>Disetujui</t>
        </is>
      </c>
      <c r="K607" t="n">
        <v>87</v>
      </c>
      <c r="L607" t="inlineStr">
        <is>
          <t>9 November 2026</t>
        </is>
      </c>
      <c r="M607" t="inlineStr">
        <is>
          <t>Konstruksi Gedung Pendidikan, Konstruksi Jaringan Irigasi dan Drainase</t>
        </is>
      </c>
      <c r="N607" t="inlineStr">
        <is>
          <t>K</t>
        </is>
      </c>
      <c r="O607" t="inlineStr">
        <is>
          <t>20231106</t>
        </is>
      </c>
      <c r="P607" t="inlineStr">
        <is>
          <t>Sumatera Utara</t>
        </is>
      </c>
      <c r="Q607" t="inlineStr"/>
    </row>
    <row r="608">
      <c r="A608" t="inlineStr">
        <is>
          <t>UTAMA JAYA</t>
        </is>
      </c>
      <c r="B608" t="inlineStr">
        <is>
          <t>Kota Prabumulih</t>
        </is>
      </c>
      <c r="C608" t="inlineStr">
        <is>
          <t>081273237774</t>
        </is>
      </c>
      <c r="D608" t="inlineStr">
        <is>
          <t>utamajaya2008@gmail.com</t>
        </is>
      </c>
      <c r="E608" t="inlineStr">
        <is>
          <t>https://lpjk.pu.go.id/search-badan-usaha-detail/QlMxRXQzOXgrWU1PUlZpQTk3aDRvUT09</t>
        </is>
      </c>
      <c r="F608" t="n">
        <v>1</v>
      </c>
      <c r="G608" t="inlineStr">
        <is>
          <t>BS001</t>
        </is>
      </c>
      <c r="H608" t="inlineStr">
        <is>
          <t>23 Juni 2008</t>
        </is>
      </c>
      <c r="I608" s="2" t="n">
        <v>46338</v>
      </c>
      <c r="J608" t="inlineStr">
        <is>
          <t>Disetujui</t>
        </is>
      </c>
      <c r="K608" t="n">
        <v>87</v>
      </c>
      <c r="L608" t="inlineStr">
        <is>
          <t>12 November 2026</t>
        </is>
      </c>
      <c r="M608" t="inlineStr">
        <is>
          <t>Konstruksi Bangunan Sipil Jalan</t>
        </is>
      </c>
      <c r="N608" t="inlineStr">
        <is>
          <t>K</t>
        </is>
      </c>
      <c r="O608" t="inlineStr">
        <is>
          <t>20231101</t>
        </is>
      </c>
      <c r="P608" t="inlineStr">
        <is>
          <t>Sumatera Selatan</t>
        </is>
      </c>
      <c r="Q608" t="inlineStr"/>
    </row>
    <row r="609">
      <c r="A609" t="inlineStr">
        <is>
          <t>UTARI PUTRI</t>
        </is>
      </c>
      <c r="B609" t="inlineStr">
        <is>
          <t>Kota Makassar</t>
        </is>
      </c>
      <c r="C609" t="inlineStr">
        <is>
          <t>082189648655</t>
        </is>
      </c>
      <c r="D609" t="inlineStr">
        <is>
          <t>cvutariputri@gmail.com</t>
        </is>
      </c>
      <c r="E609" t="inlineStr">
        <is>
          <t>https://lpjk.pu.go.id/search-badan-usaha-detail/eDhUTHY5M0FFbXo4YUdvcUt6Z0pjdz09</t>
        </is>
      </c>
      <c r="F609" t="n">
        <v>5</v>
      </c>
      <c r="G609" t="inlineStr">
        <is>
          <t>BG001, BG002, BG005, BG006, BG009</t>
        </is>
      </c>
      <c r="H609" t="inlineStr">
        <is>
          <t>28 Juli 2022</t>
        </is>
      </c>
      <c r="I609" s="2" t="n">
        <v>46339</v>
      </c>
      <c r="J609" t="inlineStr">
        <is>
          <t>Disetujui</t>
        </is>
      </c>
      <c r="K609" t="n">
        <v>87</v>
      </c>
      <c r="L609" t="inlineStr">
        <is>
          <t>13 November 2026</t>
        </is>
      </c>
      <c r="M609" t="inlineStr">
        <is>
          <t>Konstruksi Gedung Hunian, Konstruksi Gedung Kesehatan, Konstruksi Gedung Lainnya, Konstruksi Gedung Pendidikan, Konstruksi Gedung Perkantoran</t>
        </is>
      </c>
      <c r="N609" t="inlineStr">
        <is>
          <t>K</t>
        </is>
      </c>
      <c r="O609" t="inlineStr">
        <is>
          <t>20231113</t>
        </is>
      </c>
      <c r="P609" t="inlineStr">
        <is>
          <t>Sulawesi Selatan</t>
        </is>
      </c>
      <c r="Q609" t="inlineStr"/>
    </row>
    <row r="610">
      <c r="A610" t="inlineStr">
        <is>
          <t>VINA VALEN JAYA</t>
        </is>
      </c>
      <c r="B610" t="inlineStr">
        <is>
          <t>Kab. Tuban</t>
        </is>
      </c>
      <c r="C610" t="inlineStr">
        <is>
          <t>081335632570</t>
        </is>
      </c>
      <c r="D610" t="inlineStr">
        <is>
          <t>cvvinavalenjaya@yahoo.com</t>
        </is>
      </c>
      <c r="E610" t="inlineStr">
        <is>
          <t>https://lpjk.pu.go.id/search-badan-usaha-detail/VlNJaDV3STR2VEkrcGZUdlMwMnVuUT09</t>
        </is>
      </c>
      <c r="F610" t="n">
        <v>2</v>
      </c>
      <c r="G610" t="inlineStr">
        <is>
          <t>BS001, BS004</t>
        </is>
      </c>
      <c r="H610" t="inlineStr">
        <is>
          <t>10 Mei 2017</t>
        </is>
      </c>
      <c r="I610" s="2" t="n">
        <v>46337</v>
      </c>
      <c r="J610" t="inlineStr">
        <is>
          <t>Disetujui</t>
        </is>
      </c>
      <c r="K610" t="n">
        <v>87</v>
      </c>
      <c r="L610" t="inlineStr">
        <is>
          <t>11 November 2026</t>
        </is>
      </c>
      <c r="M610" t="inlineStr">
        <is>
          <t>Konstruksi Bangunan Sipil Jalan, Konstruksi Jaringan Irigasi dan Drainase</t>
        </is>
      </c>
      <c r="N610" t="inlineStr">
        <is>
          <t>K</t>
        </is>
      </c>
      <c r="O610" t="inlineStr">
        <is>
          <t>20231111, 20231112</t>
        </is>
      </c>
      <c r="P610" t="inlineStr">
        <is>
          <t>Jawa Timur</t>
        </is>
      </c>
      <c r="Q610" t="inlineStr"/>
    </row>
    <row r="611">
      <c r="A611" t="inlineStr">
        <is>
          <t>WAHANA MULTI DESAIN</t>
        </is>
      </c>
      <c r="B611" t="inlineStr">
        <is>
          <t>Kab. Malang</t>
        </is>
      </c>
      <c r="C611" t="inlineStr">
        <is>
          <t>0341580011</t>
        </is>
      </c>
      <c r="D611" t="inlineStr">
        <is>
          <t>wahanamultidesain@gmail.com</t>
        </is>
      </c>
      <c r="E611" t="inlineStr">
        <is>
          <t>https://lpjk.pu.go.id/search-badan-usaha-detail/M1RQRDdjMTlDSk9INnBtRWROTTNYUT09</t>
        </is>
      </c>
      <c r="F611" t="n">
        <v>1</v>
      </c>
      <c r="G611" t="inlineStr">
        <is>
          <t>RK001</t>
        </is>
      </c>
      <c r="H611" t="inlineStr">
        <is>
          <t>29 April 2014</t>
        </is>
      </c>
      <c r="I611" s="2" t="n">
        <v>46338</v>
      </c>
      <c r="J611" t="inlineStr">
        <is>
          <t>Disetujui</t>
        </is>
      </c>
      <c r="K611" t="n">
        <v>87</v>
      </c>
      <c r="L611" t="inlineStr">
        <is>
          <t>12 November 2026</t>
        </is>
      </c>
      <c r="M611" t="inlineStr">
        <is>
          <t>Jasa Rekayasa Konstruksi Bangunan Gedung Hunian dan Non Hunian</t>
        </is>
      </c>
      <c r="N611" t="inlineStr">
        <is>
          <t>K</t>
        </is>
      </c>
      <c r="O611" t="inlineStr">
        <is>
          <t>20231107</t>
        </is>
      </c>
      <c r="P611" t="inlineStr">
        <is>
          <t>Jawa Timur</t>
        </is>
      </c>
      <c r="Q611" t="inlineStr"/>
    </row>
    <row r="612">
      <c r="A612" t="inlineStr">
        <is>
          <t>WAHANA OPTIMA PERMAI</t>
        </is>
      </c>
      <c r="B612" t="inlineStr">
        <is>
          <t>Kota Adm. Jakarta Pusat</t>
        </is>
      </c>
      <c r="C612" t="inlineStr">
        <is>
          <t>0213901727</t>
        </is>
      </c>
      <c r="D612" t="inlineStr">
        <is>
          <t>wop@wop.co.id</t>
        </is>
      </c>
      <c r="E612" t="inlineStr">
        <is>
          <t>https://lpjk.pu.go.id/search-badan-usaha-detail/SVgra0lySzdiNm0xQmo4RGY4c2Z5Zz09</t>
        </is>
      </c>
      <c r="F612" t="n">
        <v>1</v>
      </c>
      <c r="G612" t="inlineStr">
        <is>
          <t>PB004</t>
        </is>
      </c>
      <c r="H612" t="inlineStr">
        <is>
          <t>23 September 1986</t>
        </is>
      </c>
      <c r="I612" s="2" t="n">
        <v>46340</v>
      </c>
      <c r="J612" t="inlineStr">
        <is>
          <t>Disetujui</t>
        </is>
      </c>
      <c r="K612" t="n">
        <v>87</v>
      </c>
      <c r="L612" t="inlineStr">
        <is>
          <t>14 November 2026</t>
        </is>
      </c>
      <c r="M612" t="inlineStr">
        <is>
          <t>Dekorasi Interior</t>
        </is>
      </c>
      <c r="N612" t="inlineStr">
        <is>
          <t>Spesialis</t>
        </is>
      </c>
      <c r="O612" t="inlineStr">
        <is>
          <t>20231107</t>
        </is>
      </c>
      <c r="P612" t="inlineStr">
        <is>
          <t>DKI Jakarta</t>
        </is>
      </c>
      <c r="Q612" t="inlineStr"/>
    </row>
    <row r="613">
      <c r="A613" t="inlineStr">
        <is>
          <t>WAHANA TIGA KONSTRUKSI</t>
        </is>
      </c>
      <c r="B613" t="inlineStr">
        <is>
          <t>Kota Kendari</t>
        </is>
      </c>
      <c r="C613" t="inlineStr">
        <is>
          <t>085397569789</t>
        </is>
      </c>
      <c r="D613" t="inlineStr">
        <is>
          <t>wahanatigakonstruksi@gmail.com</t>
        </is>
      </c>
      <c r="E613" t="inlineStr">
        <is>
          <t>https://lpjk.pu.go.id/search-badan-usaha-detail/N2NOVStwU1JjenE1SE4zNlVwVi9uQT09</t>
        </is>
      </c>
      <c r="F613" t="n">
        <v>1</v>
      </c>
      <c r="G613" t="inlineStr">
        <is>
          <t>BS005</t>
        </is>
      </c>
      <c r="H613" t="inlineStr">
        <is>
          <t>7 Februari 2023</t>
        </is>
      </c>
      <c r="I613" s="2" t="n">
        <v>46339</v>
      </c>
      <c r="J613" t="inlineStr">
        <is>
          <t>Pencabutan</t>
        </is>
      </c>
      <c r="K613" t="n">
        <v>87</v>
      </c>
      <c r="L613" t="inlineStr">
        <is>
          <t>13 November 2026</t>
        </is>
      </c>
      <c r="M613" t="inlineStr">
        <is>
          <t>Konstruksi Bangunan Sipil Pengolahan Air Bersih</t>
        </is>
      </c>
      <c r="N613" t="inlineStr">
        <is>
          <t>K</t>
        </is>
      </c>
      <c r="O613" t="inlineStr">
        <is>
          <t>20231112</t>
        </is>
      </c>
      <c r="P613" t="inlineStr">
        <is>
          <t>Sulawesi Tenggara</t>
        </is>
      </c>
      <c r="Q613" t="inlineStr"/>
    </row>
    <row r="614">
      <c r="A614" t="inlineStr">
        <is>
          <t>WAHYU SEJAHTERA</t>
        </is>
      </c>
      <c r="B614" t="inlineStr">
        <is>
          <t>Kab. Lampung Selatan</t>
        </is>
      </c>
      <c r="C614" t="inlineStr">
        <is>
          <t>081279326999</t>
        </is>
      </c>
      <c r="D614" t="inlineStr">
        <is>
          <t>cvwahyusejahtera128@gmail.com</t>
        </is>
      </c>
      <c r="E614" t="inlineStr">
        <is>
          <t>https://lpjk.pu.go.id/search-badan-usaha-detail/MzBVeXgyT0w3cmc0WWE4aUJ0LzkrUT09</t>
        </is>
      </c>
      <c r="F614" t="n">
        <v>2</v>
      </c>
      <c r="G614" t="inlineStr">
        <is>
          <t>BG005, BG009</t>
        </is>
      </c>
      <c r="H614" t="inlineStr">
        <is>
          <t>11 Juni 2004</t>
        </is>
      </c>
      <c r="I614" s="2" t="n">
        <v>46340</v>
      </c>
      <c r="J614" t="inlineStr">
        <is>
          <t>Disetujui</t>
        </is>
      </c>
      <c r="K614" t="n">
        <v>87</v>
      </c>
      <c r="L614" t="inlineStr">
        <is>
          <t>14 November 2026</t>
        </is>
      </c>
      <c r="M614" t="inlineStr">
        <is>
          <t>Konstruksi Gedung Kesehatan, Konstruksi Gedung Lainnya</t>
        </is>
      </c>
      <c r="N614" t="inlineStr">
        <is>
          <t>K</t>
        </is>
      </c>
      <c r="O614" t="inlineStr">
        <is>
          <t>20231115</t>
        </is>
      </c>
      <c r="P614" t="inlineStr">
        <is>
          <t>Lampung</t>
        </is>
      </c>
      <c r="Q614" t="inlineStr"/>
    </row>
    <row r="615">
      <c r="A615" t="inlineStr">
        <is>
          <t>WIDYAGRAHA ASANA ENGINEERING CONSULTANTS</t>
        </is>
      </c>
      <c r="B615" t="inlineStr">
        <is>
          <t>Kota Adm. Jakarta Selatan</t>
        </is>
      </c>
      <c r="C615" t="inlineStr">
        <is>
          <t>02129124930</t>
        </is>
      </c>
      <c r="D615" t="inlineStr">
        <is>
          <t>widyagrahaasana@yahoo.com</t>
        </is>
      </c>
      <c r="E615" t="inlineStr">
        <is>
          <t>https://lpjk.pu.go.id/search-badan-usaha-detail/TkQwWGxkMkRzbVJIS3huZnVoNWVPZz09</t>
        </is>
      </c>
      <c r="F615" t="n">
        <v>10</v>
      </c>
      <c r="G615" t="inlineStr">
        <is>
          <t>AL002, AL003, AR001, AR002, AR003, IT001, IT002, IT003, RK001, RK002</t>
        </is>
      </c>
      <c r="H615" t="inlineStr">
        <is>
          <t>29 November 1989</t>
        </is>
      </c>
      <c r="I615" s="2" t="n">
        <v>46338</v>
      </c>
      <c r="J615" t="inlineStr">
        <is>
          <t>Disetujui</t>
        </is>
      </c>
      <c r="K615" t="n">
        <v>87</v>
      </c>
      <c r="L615" t="inlineStr">
        <is>
          <t>12 November 2026</t>
        </is>
      </c>
      <c r="M615" t="inlineStr">
        <is>
          <t>Jasa Arsitektural Bangunan Gedung Hunian dan Non Hunian, Jasa Arsitektural Lainnya, Jasa Desain Interior pada Bangunan Gedung dan Bangunan Sipil, Jasa Konsultansi Ilmiah dan Teknis Bawah Tanah, Jasa Konsultansi Ilmiah dan Teknis Permukaan Tanah dan Pembuatan Peta, Jasa Pembuatan Prospektus Geologi dan Geofisika, Jasa Pengembangan Perkotaan, Jasa Pengembangan Wilayah, Jasa Rekayasa Konstruksi Bangunan Gedung Hunian dan Non Hunian, Jasa Rekayasa Pekerjaan Teknik Sipil Sumber Daya Air</t>
        </is>
      </c>
      <c r="N615" t="inlineStr">
        <is>
          <t>B, K, M, Spesialis</t>
        </is>
      </c>
      <c r="O615" t="inlineStr">
        <is>
          <t>20231102</t>
        </is>
      </c>
      <c r="P615" t="inlineStr">
        <is>
          <t>DKI Jakarta</t>
        </is>
      </c>
      <c r="Q615" t="inlineStr"/>
    </row>
    <row r="616">
      <c r="A616" t="inlineStr">
        <is>
          <t>WIJAYA KUSUMA PROPERTY</t>
        </is>
      </c>
      <c r="B616" t="inlineStr">
        <is>
          <t>Kota Palembang</t>
        </is>
      </c>
      <c r="C616" t="inlineStr">
        <is>
          <t>081387577777</t>
        </is>
      </c>
      <c r="D616" t="inlineStr">
        <is>
          <t>ptwkproperty2023@yahoo.com</t>
        </is>
      </c>
      <c r="E616" t="inlineStr">
        <is>
          <t>https://lpjk.pu.go.id/search-badan-usaha-detail/dElPQWpIeVVxNTZuOExJYm9qZHB0dz09</t>
        </is>
      </c>
      <c r="F616" t="n">
        <v>6</v>
      </c>
      <c r="G616" t="inlineStr">
        <is>
          <t>BG001, BG009, BS001</t>
        </is>
      </c>
      <c r="H616" t="inlineStr">
        <is>
          <t>6 Februari 2023</t>
        </is>
      </c>
      <c r="I616" s="2" t="n">
        <v>46336</v>
      </c>
      <c r="J616" t="inlineStr">
        <is>
          <t>Disetujui</t>
        </is>
      </c>
      <c r="K616" t="n">
        <v>87</v>
      </c>
      <c r="L616" t="inlineStr">
        <is>
          <t>10 November 2026</t>
        </is>
      </c>
      <c r="M616" t="inlineStr">
        <is>
          <t>Konstruksi Bangunan Sipil Jalan, Konstruksi Gedung Hunian, Konstruksi Gedung Lainnya</t>
        </is>
      </c>
      <c r="N616" t="inlineStr">
        <is>
          <t>K</t>
        </is>
      </c>
      <c r="O616" t="inlineStr">
        <is>
          <t>20231103</t>
        </is>
      </c>
      <c r="P616" t="inlineStr">
        <is>
          <t>Sumatera Selatan</t>
        </is>
      </c>
      <c r="Q616" t="inlineStr"/>
    </row>
    <row r="617">
      <c r="A617" t="inlineStr">
        <is>
          <t>WIRAGUNA</t>
        </is>
      </c>
      <c r="B617" t="inlineStr">
        <is>
          <t>Kab. Bondowoso</t>
        </is>
      </c>
      <c r="C617" t="inlineStr">
        <is>
          <t>085336711683</t>
        </is>
      </c>
      <c r="D617" t="inlineStr">
        <is>
          <t>cv.wiraguna73@gmail.com</t>
        </is>
      </c>
      <c r="E617" t="inlineStr">
        <is>
          <t>https://lpjk.pu.go.id/search-badan-usaha-detail/Q1ZPOVpzdHgwUWYvaGU0T0dRVVhidz09</t>
        </is>
      </c>
      <c r="F617" t="n">
        <v>5</v>
      </c>
      <c r="G617" t="inlineStr">
        <is>
          <t>BG006, BG008, BG009, BS001, BS004</t>
        </is>
      </c>
      <c r="H617" t="inlineStr">
        <is>
          <t>19 Oktober 2009</t>
        </is>
      </c>
      <c r="I617" s="2" t="n">
        <v>46334</v>
      </c>
      <c r="J617" t="inlineStr">
        <is>
          <t>Disetujui</t>
        </is>
      </c>
      <c r="K617" t="n">
        <v>87</v>
      </c>
      <c r="L617" t="inlineStr">
        <is>
          <t>8 November 2026</t>
        </is>
      </c>
      <c r="M617" t="inlineStr">
        <is>
          <t>Konstruksi Bangunan Sipil Jalan, Konstruksi Gedung Lainnya, Konstruksi Gedung Pendidikan, Konstruksi Gedung Tempat Hiburan dan Olahraga, Konstruksi Jaringan Irigasi dan Drainase</t>
        </is>
      </c>
      <c r="N617" t="inlineStr">
        <is>
          <t>K</t>
        </is>
      </c>
      <c r="O617" t="inlineStr">
        <is>
          <t>20231016</t>
        </is>
      </c>
      <c r="P617" t="inlineStr">
        <is>
          <t>Jawa Timur</t>
        </is>
      </c>
      <c r="Q617" t="inlineStr"/>
    </row>
    <row r="618">
      <c r="A618" t="inlineStr">
        <is>
          <t>WIRAJAYA ABADI KONSULTAN</t>
        </is>
      </c>
      <c r="B618" t="inlineStr">
        <is>
          <t>Kota Padang</t>
        </is>
      </c>
      <c r="C618" t="inlineStr">
        <is>
          <t>081267949570</t>
        </is>
      </c>
      <c r="D618" t="inlineStr">
        <is>
          <t>wrj.abadi@gmail.com</t>
        </is>
      </c>
      <c r="E618" t="inlineStr">
        <is>
          <t>https://lpjk.pu.go.id/search-badan-usaha-detail/YStMOE13M3NIV2hpaVgyckovR3ZvZz09</t>
        </is>
      </c>
      <c r="F618" t="n">
        <v>2</v>
      </c>
      <c r="G618" t="inlineStr">
        <is>
          <t>RK001, RK002</t>
        </is>
      </c>
      <c r="H618" t="inlineStr">
        <is>
          <t>31 Oktober 2023</t>
        </is>
      </c>
      <c r="I618" s="2" t="n">
        <v>46335</v>
      </c>
      <c r="J618" t="inlineStr">
        <is>
          <t>Disetujui</t>
        </is>
      </c>
      <c r="K618" t="n">
        <v>87</v>
      </c>
      <c r="L618" t="inlineStr">
        <is>
          <t>9 November 2026</t>
        </is>
      </c>
      <c r="M618" t="inlineStr">
        <is>
          <t>Jasa Rekayasa Konstruksi Bangunan Gedung Hunian dan Non Hunian, Jasa Rekayasa Pekerjaan Teknik Sipil Sumber Daya Air</t>
        </is>
      </c>
      <c r="N618" t="inlineStr">
        <is>
          <t>K</t>
        </is>
      </c>
      <c r="O618" t="inlineStr">
        <is>
          <t>20231103</t>
        </is>
      </c>
      <c r="P618" t="inlineStr">
        <is>
          <t>Sumatera Barat</t>
        </is>
      </c>
      <c r="Q618" t="inlineStr"/>
    </row>
    <row r="619">
      <c r="A619" t="inlineStr">
        <is>
          <t>WIYASA REKADAYA</t>
        </is>
      </c>
      <c r="B619" t="inlineStr">
        <is>
          <t>Kab. Tulungagung</t>
        </is>
      </c>
      <c r="C619" t="inlineStr">
        <is>
          <t>085964296460</t>
        </is>
      </c>
      <c r="D619" t="inlineStr">
        <is>
          <t>cv.wiyasarekadaya@gmail.com</t>
        </is>
      </c>
      <c r="E619" t="inlineStr">
        <is>
          <t>https://lpjk.pu.go.id/search-badan-usaha-detail/SVFhcEVCR3U2WTFoeGVwaTNCUTRuUT09</t>
        </is>
      </c>
      <c r="F619" t="n">
        <v>4</v>
      </c>
      <c r="G619" t="inlineStr">
        <is>
          <t>BG001, BG002, BG006, BG009</t>
        </is>
      </c>
      <c r="H619" t="inlineStr">
        <is>
          <t>9 Oktober 2023</t>
        </is>
      </c>
      <c r="I619" s="2" t="n">
        <v>46336</v>
      </c>
      <c r="J619" t="inlineStr">
        <is>
          <t>Disetujui</t>
        </is>
      </c>
      <c r="K619" t="n">
        <v>87</v>
      </c>
      <c r="L619" t="inlineStr">
        <is>
          <t>10 November 2026</t>
        </is>
      </c>
      <c r="M619" t="inlineStr">
        <is>
          <t>Konstruksi Gedung Hunian, Konstruksi Gedung Lainnya, Konstruksi Gedung Pendidikan, Konstruksi Gedung Perkantoran</t>
        </is>
      </c>
      <c r="N619" t="inlineStr">
        <is>
          <t>K</t>
        </is>
      </c>
      <c r="O619" t="inlineStr">
        <is>
          <t>20231109</t>
        </is>
      </c>
      <c r="P619" t="inlineStr">
        <is>
          <t>Jawa Timur</t>
        </is>
      </c>
      <c r="Q619" t="inlineStr"/>
    </row>
    <row r="620">
      <c r="A620" t="inlineStr">
        <is>
          <t>YADIN KARYA</t>
        </is>
      </c>
      <c r="B620" t="inlineStr">
        <is>
          <t>Kota Bukittinggi</t>
        </is>
      </c>
      <c r="C620" t="inlineStr">
        <is>
          <t>081374219020</t>
        </is>
      </c>
      <c r="D620" t="inlineStr">
        <is>
          <t>yulibio90@gmail.com</t>
        </is>
      </c>
      <c r="E620" t="inlineStr">
        <is>
          <t>https://lpjk.pu.go.id/search-badan-usaha-detail/V0lpUmhjT2F6QUZZV0FaMWdiZ1VGUT09</t>
        </is>
      </c>
      <c r="F620" t="n">
        <v>1</v>
      </c>
      <c r="G620" t="inlineStr">
        <is>
          <t>BS001</t>
        </is>
      </c>
      <c r="H620" t="inlineStr">
        <is>
          <t>7 Januari 2004</t>
        </is>
      </c>
      <c r="I620" s="2" t="n">
        <v>46340</v>
      </c>
      <c r="J620" t="inlineStr">
        <is>
          <t>Disetujui</t>
        </is>
      </c>
      <c r="K620" t="n">
        <v>87</v>
      </c>
      <c r="L620" t="inlineStr">
        <is>
          <t>14 November 2026</t>
        </is>
      </c>
      <c r="M620" t="inlineStr">
        <is>
          <t>Konstruksi Bangunan Sipil Jalan</t>
        </is>
      </c>
      <c r="N620" t="inlineStr">
        <is>
          <t>K</t>
        </is>
      </c>
      <c r="O620" t="inlineStr">
        <is>
          <t>20231110</t>
        </is>
      </c>
      <c r="P620" t="inlineStr">
        <is>
          <t>Sumatera Barat</t>
        </is>
      </c>
      <c r="Q620" t="inlineStr"/>
    </row>
    <row r="621">
      <c r="A621" t="inlineStr">
        <is>
          <t>YASTIRA MULIA KONTRINDO</t>
        </is>
      </c>
      <c r="B621" t="inlineStr">
        <is>
          <t>Kota Tidore Kepulauan</t>
        </is>
      </c>
      <c r="C621" t="inlineStr">
        <is>
          <t>085310001723</t>
        </is>
      </c>
      <c r="D621" t="inlineStr">
        <is>
          <t>ptyastiramuliakontrindo@gmail.com</t>
        </is>
      </c>
      <c r="E621" t="inlineStr">
        <is>
          <t>https://lpjk.pu.go.id/search-badan-usaha-detail/dTBHZHNvdjY2SHJUYlFmTXlXSENEUT09</t>
        </is>
      </c>
      <c r="F621" t="n">
        <v>2</v>
      </c>
      <c r="G621" t="inlineStr">
        <is>
          <t>BG005</t>
        </is>
      </c>
      <c r="H621" t="inlineStr">
        <is>
          <t>24 Februari 2016</t>
        </is>
      </c>
      <c r="I621" s="2" t="n">
        <v>46335</v>
      </c>
      <c r="J621" t="inlineStr">
        <is>
          <t>Disetujui</t>
        </is>
      </c>
      <c r="K621" t="n">
        <v>87</v>
      </c>
      <c r="L621" t="inlineStr">
        <is>
          <t>9 November 2026</t>
        </is>
      </c>
      <c r="M621" t="inlineStr">
        <is>
          <t>Konstruksi Gedung Kesehatan</t>
        </is>
      </c>
      <c r="N621" t="inlineStr">
        <is>
          <t>M</t>
        </is>
      </c>
      <c r="O621" t="inlineStr">
        <is>
          <t>20231102</t>
        </is>
      </c>
      <c r="P621" t="inlineStr">
        <is>
          <t>Maluku Utara</t>
        </is>
      </c>
      <c r="Q621" t="inlineStr"/>
    </row>
    <row r="622">
      <c r="A622" t="inlineStr">
        <is>
          <t>YASUBA DWI PERKASA</t>
        </is>
      </c>
      <c r="B622" t="inlineStr">
        <is>
          <t>Kab. Bandung Barat</t>
        </is>
      </c>
      <c r="C622" t="inlineStr">
        <is>
          <t>081322408207</t>
        </is>
      </c>
      <c r="D622" t="inlineStr">
        <is>
          <t>pt_yasuba@yahoo.com</t>
        </is>
      </c>
      <c r="E622" t="inlineStr">
        <is>
          <t>https://lpjk.pu.go.id/search-badan-usaha-detail/aC9GczhMVXdDTW5BL3pJak1GVlJ0NWVqZnc4OHJVM05HWmtVTVZGNXJnRT0</t>
        </is>
      </c>
      <c r="F622" t="n">
        <v>1</v>
      </c>
      <c r="G622" t="inlineStr">
        <is>
          <t>BG009</t>
        </is>
      </c>
      <c r="H622" t="inlineStr">
        <is>
          <t>26 Juli 2025</t>
        </is>
      </c>
      <c r="I622" s="2" t="n">
        <v>46334</v>
      </c>
      <c r="J622" t="inlineStr">
        <is>
          <t>Disetujui</t>
        </is>
      </c>
      <c r="K622" t="n">
        <v>87</v>
      </c>
      <c r="L622" t="inlineStr">
        <is>
          <t>8 November 2026</t>
        </is>
      </c>
      <c r="M622" t="inlineStr">
        <is>
          <t>Konstruksi Gedung Lainnya</t>
        </is>
      </c>
      <c r="N622" t="inlineStr">
        <is>
          <t>M</t>
        </is>
      </c>
      <c r="O622" t="inlineStr">
        <is>
          <t>20231024</t>
        </is>
      </c>
      <c r="P622" t="inlineStr">
        <is>
          <t>Jawa Barat</t>
        </is>
      </c>
      <c r="Q622" t="inlineStr"/>
    </row>
    <row r="623">
      <c r="A623" t="inlineStr">
        <is>
          <t>Yunnan Construction and Investment Holding Group Co.,LTD</t>
        </is>
      </c>
      <c r="B623" t="inlineStr">
        <is>
          <t>Kota Adm. Jakarta Utara</t>
        </is>
      </c>
      <c r="C623" t="inlineStr">
        <is>
          <t>082258668094</t>
        </is>
      </c>
      <c r="D623" t="inlineStr">
        <is>
          <t>yunnanconstructioninvestment@gmail.com</t>
        </is>
      </c>
      <c r="E623" t="inlineStr">
        <is>
          <t>https://lpjk.pu.go.id/search-badan-usaha-detail/U2RNb2c2KzR0UWVtUTNYcCtsb3dHQT09</t>
        </is>
      </c>
      <c r="F623" t="n">
        <v>2</v>
      </c>
      <c r="G623" t="inlineStr">
        <is>
          <t>BG003, BS006</t>
        </is>
      </c>
      <c r="H623" t="inlineStr">
        <is>
          <t>22 Juni 2012</t>
        </is>
      </c>
      <c r="I623" s="2" t="n">
        <v>46340</v>
      </c>
      <c r="J623" t="inlineStr">
        <is>
          <t>Disetujui</t>
        </is>
      </c>
      <c r="K623" t="n">
        <v>87</v>
      </c>
      <c r="L623" t="inlineStr">
        <is>
          <t>14 November 2026</t>
        </is>
      </c>
      <c r="M623" t="inlineStr">
        <is>
          <t>Konstruksi Bangunan Sipil Prasarana dan Sarana Sistem Pengolahan Limbah Padat, Cair, dan Gas, Konstruksi Gedung Industri</t>
        </is>
      </c>
      <c r="N623" t="inlineStr">
        <is>
          <t>B</t>
        </is>
      </c>
      <c r="O623" t="inlineStr">
        <is>
          <t>20231110</t>
        </is>
      </c>
      <c r="P623" t="inlineStr">
        <is>
          <t>DKI Jakarta</t>
        </is>
      </c>
      <c r="Q623" t="inlineStr"/>
    </row>
    <row r="624">
      <c r="A624" t="inlineStr">
        <is>
          <t>ZACKY PUTRA PERDANA</t>
        </is>
      </c>
      <c r="B624" t="inlineStr">
        <is>
          <t>Kota Palembang</t>
        </is>
      </c>
      <c r="C624" t="inlineStr">
        <is>
          <t>082181349560</t>
        </is>
      </c>
      <c r="D624" t="inlineStr">
        <is>
          <t>cvzackypp@gmail.com</t>
        </is>
      </c>
      <c r="E624" t="inlineStr">
        <is>
          <t>https://lpjk.pu.go.id/search-badan-usaha-detail/dlhyNTAvZ1kzc0d3eE1tenZiYWZFdz09</t>
        </is>
      </c>
      <c r="F624" t="n">
        <v>1</v>
      </c>
      <c r="G624" t="inlineStr">
        <is>
          <t>BS001</t>
        </is>
      </c>
      <c r="H624" t="inlineStr">
        <is>
          <t>10 November 2023</t>
        </is>
      </c>
      <c r="I624" s="2" t="n">
        <v>46340</v>
      </c>
      <c r="J624" t="inlineStr">
        <is>
          <t>Disetujui</t>
        </is>
      </c>
      <c r="K624" t="n">
        <v>87</v>
      </c>
      <c r="L624" t="inlineStr">
        <is>
          <t>14 November 2026</t>
        </is>
      </c>
      <c r="M624" t="inlineStr">
        <is>
          <t>Konstruksi Bangunan Sipil Jalan</t>
        </is>
      </c>
      <c r="N624" t="inlineStr">
        <is>
          <t>K</t>
        </is>
      </c>
      <c r="O624" t="inlineStr">
        <is>
          <t>20231115</t>
        </is>
      </c>
      <c r="P624" t="inlineStr">
        <is>
          <t>Sumatera Selatan</t>
        </is>
      </c>
      <c r="Q6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42"/>
  <sheetViews>
    <sheetView workbookViewId="0">
      <selection activeCell="A1" sqref="A1"/>
    </sheetView>
  </sheetViews>
  <sheetFormatPr baseColWidth="8" defaultRowHeight="15"/>
  <cols>
    <col width="43" customWidth="1" min="1" max="1"/>
    <col width="27" customWidth="1" min="2" max="2"/>
    <col width="22" customWidth="1" min="3" max="3"/>
    <col width="42" customWidth="1" min="4" max="4"/>
    <col width="50" customWidth="1" min="5" max="5"/>
    <col width="18" customWidth="1" min="6" max="6"/>
    <col width="50" customWidth="1" min="7" max="7"/>
    <col width="20" customWidth="1" min="8" max="8"/>
    <col width="28" customWidth="1" min="9" max="9"/>
    <col width="45" customWidth="1" min="10" max="10"/>
    <col width="11" customWidth="1" min="11" max="11"/>
    <col width="17"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ABDEE ANTUSIAS</t>
        </is>
      </c>
      <c r="B2" t="inlineStr">
        <is>
          <t>Kab. Bekasi</t>
        </is>
      </c>
      <c r="C2" t="inlineStr">
        <is>
          <t>081280361456</t>
        </is>
      </c>
      <c r="D2" t="inlineStr">
        <is>
          <t>abdie.antusias@gmail.com</t>
        </is>
      </c>
      <c r="E2" t="inlineStr">
        <is>
          <t>https://lpjk.pu.go.id/search-badan-usaha-detail/eEdUM2N6WUxlZ3NwSS9SVEtGVjNHQT09</t>
        </is>
      </c>
      <c r="F2" t="n">
        <v>1</v>
      </c>
      <c r="G2" t="inlineStr">
        <is>
          <t>BS004</t>
        </is>
      </c>
      <c r="H2" t="inlineStr">
        <is>
          <t>21 Desember 2009</t>
        </is>
      </c>
      <c r="I2" s="2" t="n">
        <v>46312</v>
      </c>
      <c r="J2" t="inlineStr">
        <is>
          <t>Disetujui</t>
        </is>
      </c>
      <c r="K2" t="n">
        <v>60</v>
      </c>
      <c r="L2" t="inlineStr">
        <is>
          <t>17 Oktober 2026</t>
        </is>
      </c>
      <c r="M2" t="inlineStr">
        <is>
          <t>Konstruksi Jaringan Irigasi dan Drainase</t>
        </is>
      </c>
      <c r="N2" t="inlineStr">
        <is>
          <t>K</t>
        </is>
      </c>
      <c r="O2" t="inlineStr">
        <is>
          <t>20231010</t>
        </is>
      </c>
      <c r="P2" t="inlineStr">
        <is>
          <t>Jawa Barat</t>
        </is>
      </c>
      <c r="Q2" s="3">
        <f>HYPERLINK("https://wa.me/6281280361456?text=*[PENGINGAT MASA BERLAKU SBU ABDEE ANTUSIAS]*%0A%0AYth. Pimpinan ABDEE ANTUSIAS,%0AMohon izin menginformasikan status SBU Anda di sistem LPJK:%0A%0A📄 SBU: BS004%0A📅 Expired: 17 Oktober 2026 (60 Hari Lagi)%0A%0AKami tim PT. ESDEA Assistance Management siap men-support proses perpanjangan segera agar administrasi proyek tidak terhambat%0A%0AApakah boleh saya bantu siapkan estimasi biaya dan waktu pengerjaannya?.", "Hubungi")</f>
        <v/>
      </c>
    </row>
    <row r="3">
      <c r="A3" t="inlineStr">
        <is>
          <t>ABIPLAN DINAMIKA CONSULTANT</t>
        </is>
      </c>
      <c r="B3" t="inlineStr">
        <is>
          <t>Kota Bekasi</t>
        </is>
      </c>
      <c r="C3" t="inlineStr">
        <is>
          <t>081233551538</t>
        </is>
      </c>
      <c r="D3" t="inlineStr">
        <is>
          <t>abiplanpku@yahoo.com</t>
        </is>
      </c>
      <c r="E3" t="inlineStr">
        <is>
          <t>https://lpjk.pu.go.id/search-badan-usaha-detail/eWpncHpSUVpRcUQrT2gzWWpRWW8wK3RwMnpqcnpKZmtmRkF0TnZyc09RTT0</t>
        </is>
      </c>
      <c r="F3" t="n">
        <v>1</v>
      </c>
      <c r="G3" t="inlineStr">
        <is>
          <t>RK002</t>
        </is>
      </c>
      <c r="H3" t="inlineStr">
        <is>
          <t>17 Desember 2025</t>
        </is>
      </c>
      <c r="I3" s="2" t="n">
        <v>46307</v>
      </c>
      <c r="J3" t="inlineStr">
        <is>
          <t>Disetujui</t>
        </is>
      </c>
      <c r="K3" t="n">
        <v>60</v>
      </c>
      <c r="L3" t="inlineStr">
        <is>
          <t>12 Oktober 2026</t>
        </is>
      </c>
      <c r="M3" t="inlineStr">
        <is>
          <t>Jasa Rekayasa Pekerjaan Teknik Sipil Sumber Daya Air</t>
        </is>
      </c>
      <c r="N3" t="inlineStr">
        <is>
          <t>M</t>
        </is>
      </c>
      <c r="O3" t="inlineStr">
        <is>
          <t>20230926</t>
        </is>
      </c>
      <c r="P3" t="inlineStr">
        <is>
          <t>Jawa Barat</t>
        </is>
      </c>
      <c r="Q3" s="3">
        <f>HYPERLINK("https://wa.me/6281233551538?text=*[PENGINGAT MASA BERLAKU SBU ABIPLAN DINAMIKA CONSULTANT]*%0A%0AYth. Pimpinan ABIPLAN DINAMIKA CONSULTANT,%0AMohon izin menginformasikan status SBU Anda di sistem LPJK:%0A%0A📄 SBU: RK002%0A📅 Expired: 12 Oktober 2026 (60 Hari Lagi)%0A%0AKami tim PT. ESDEA Assistance Management siap men-support proses perpanjangan segera agar administrasi proyek tidak terhambat%0A%0AApakah boleh saya bantu siapkan estimasi biaya dan waktu pengerjaannya?.", "Hubungi")</f>
        <v/>
      </c>
    </row>
    <row r="4">
      <c r="A4" t="inlineStr">
        <is>
          <t>ADHIKARYA TEKNIK PERKASA</t>
        </is>
      </c>
      <c r="B4" t="inlineStr">
        <is>
          <t>Kota Adm. Jakarta Timur</t>
        </is>
      </c>
      <c r="C4" t="inlineStr">
        <is>
          <t>0214890787</t>
        </is>
      </c>
      <c r="D4" t="inlineStr">
        <is>
          <t>adhikarya_perkasa@yahoo.com</t>
        </is>
      </c>
      <c r="E4" t="inlineStr">
        <is>
          <t>https://lpjk.pu.go.id/search-badan-usaha-detail/bnd2RE9mdkp5UE5QK2NkTk5Yd1J3Zz09</t>
        </is>
      </c>
      <c r="F4" t="n">
        <v>3</v>
      </c>
      <c r="G4" t="inlineStr">
        <is>
          <t>BG003</t>
        </is>
      </c>
      <c r="H4" t="inlineStr">
        <is>
          <t>21 November 2003</t>
        </is>
      </c>
      <c r="I4" s="2" t="n">
        <v>46312</v>
      </c>
      <c r="J4" t="inlineStr">
        <is>
          <t>Disetujui</t>
        </is>
      </c>
      <c r="K4" t="n">
        <v>60</v>
      </c>
      <c r="L4" t="inlineStr">
        <is>
          <t>17 Oktober 2026</t>
        </is>
      </c>
      <c r="M4" t="inlineStr">
        <is>
          <t>Konstruksi Gedung Industri</t>
        </is>
      </c>
      <c r="N4" t="inlineStr">
        <is>
          <t>M</t>
        </is>
      </c>
      <c r="O4" t="inlineStr">
        <is>
          <t>20230905</t>
        </is>
      </c>
      <c r="P4" t="inlineStr">
        <is>
          <t>DKI Jakarta</t>
        </is>
      </c>
      <c r="Q4" t="inlineStr"/>
    </row>
    <row r="5">
      <c r="A5" t="inlineStr">
        <is>
          <t>ADIGUNA PUTRA PERKASA</t>
        </is>
      </c>
      <c r="B5" t="inlineStr">
        <is>
          <t>Kab. Bogor</t>
        </is>
      </c>
      <c r="C5" t="inlineStr">
        <is>
          <t>085776555516</t>
        </is>
      </c>
      <c r="D5" t="inlineStr">
        <is>
          <t>ptadigunaputraperkasa@gmail.com</t>
        </is>
      </c>
      <c r="E5" t="inlineStr">
        <is>
          <t>https://lpjk.pu.go.id/search-badan-usaha-detail/Y25tcEVMZ2IyajJEWjdHN0NoTXcrdz09</t>
        </is>
      </c>
      <c r="F5" t="n">
        <v>2</v>
      </c>
      <c r="G5" t="inlineStr">
        <is>
          <t>BS001, BS004</t>
        </is>
      </c>
      <c r="H5" t="inlineStr">
        <is>
          <t>5 Agustus 2021</t>
        </is>
      </c>
      <c r="I5" s="2" t="n">
        <v>46308</v>
      </c>
      <c r="J5" t="inlineStr">
        <is>
          <t>Disetujui</t>
        </is>
      </c>
      <c r="K5" t="n">
        <v>60</v>
      </c>
      <c r="L5" t="inlineStr">
        <is>
          <t>13 Oktober 2026</t>
        </is>
      </c>
      <c r="M5" t="inlineStr">
        <is>
          <t>Konstruksi Bangunan Sipil Jalan, Konstruksi Jaringan Irigasi dan Drainase</t>
        </is>
      </c>
      <c r="N5" t="inlineStr">
        <is>
          <t>K</t>
        </is>
      </c>
      <c r="O5" t="inlineStr">
        <is>
          <t>20231004</t>
        </is>
      </c>
      <c r="P5" t="inlineStr">
        <is>
          <t>Jawa Barat</t>
        </is>
      </c>
      <c r="Q5" s="3">
        <f>HYPERLINK("https://wa.me/6285776555516?text=*[PENGINGAT MASA BERLAKU SBU ADIGUNA PUTRA PERKASA]*%0A%0AYth. Pimpinan ADIGUNA PUTRA PERKASA,%0AMohon izin menginformasikan status SBU Anda di sistem LPJK:%0A%0A📄 SBU: BS001, BS004%0A📅 Expired: 13 Oktober 2026 (60 Hari Lagi)%0A%0AKami tim PT. ESDEA Assistance Management siap men-support proses perpanjangan segera agar administrasi proyek tidak terhambat%0A%0AApakah boleh saya bantu siapkan estimasi biaya dan waktu pengerjaannya?.", "Hubungi")</f>
        <v/>
      </c>
    </row>
    <row r="6">
      <c r="A6" t="inlineStr">
        <is>
          <t>ADINATA SURYA PRATAMA</t>
        </is>
      </c>
      <c r="B6" t="inlineStr">
        <is>
          <t>Kab. Bekasi</t>
        </is>
      </c>
      <c r="C6" t="inlineStr">
        <is>
          <t>08111343492</t>
        </is>
      </c>
      <c r="D6" t="inlineStr">
        <is>
          <t>adinataoffice@gmail.com</t>
        </is>
      </c>
      <c r="E6" t="inlineStr">
        <is>
          <t>https://lpjk.pu.go.id/search-badan-usaha-detail/K2podTBJemVuVjVIcC9oSnlld1BsUT09</t>
        </is>
      </c>
      <c r="F6" t="n">
        <v>2</v>
      </c>
      <c r="G6" t="inlineStr">
        <is>
          <t>RK001</t>
        </is>
      </c>
      <c r="H6" t="inlineStr">
        <is>
          <t>27 September 2011</t>
        </is>
      </c>
      <c r="I6" s="2" t="n">
        <v>46312</v>
      </c>
      <c r="J6" t="inlineStr">
        <is>
          <t>Disetujui</t>
        </is>
      </c>
      <c r="K6" t="n">
        <v>60</v>
      </c>
      <c r="L6" t="inlineStr">
        <is>
          <t>17 Oktober 2026</t>
        </is>
      </c>
      <c r="M6" t="inlineStr">
        <is>
          <t>Jasa Rekayasa Konstruksi Bangunan Gedung Hunian dan Non Hunian</t>
        </is>
      </c>
      <c r="N6" t="inlineStr">
        <is>
          <t>K</t>
        </is>
      </c>
      <c r="O6" t="inlineStr">
        <is>
          <t>20231010</t>
        </is>
      </c>
      <c r="P6" t="inlineStr">
        <is>
          <t>Jawa Barat</t>
        </is>
      </c>
      <c r="Q6" s="3">
        <f>HYPERLINK("https://wa.me/628111343492?text=*[PENGINGAT MASA BERLAKU SBU ADINATA SURYA PRATAMA]*%0A%0AYth. Pimpinan ADINATA SURYA PRATAMA,%0AMohon izin menginformasikan status SBU Anda di sistem LPJK:%0A%0A📄 SBU: RK001%0A📅 Expired: 17 Oktober 2026 (60 Hari Lagi)%0A%0AKami tim PT. ESDEA Assistance Management siap men-support proses perpanjangan segera agar administrasi proyek tidak terhambat%0A%0AApakah boleh saya bantu siapkan estimasi biaya dan waktu pengerjaannya?.", "Hubungi")</f>
        <v/>
      </c>
    </row>
    <row r="7">
      <c r="A7" t="inlineStr">
        <is>
          <t>ADIPATI KARYA NUSANTARA</t>
        </is>
      </c>
      <c r="B7" t="inlineStr">
        <is>
          <t>Kota Adm. Jakarta Timur</t>
        </is>
      </c>
      <c r="C7" t="inlineStr">
        <is>
          <t>02129368920</t>
        </is>
      </c>
      <c r="D7" t="inlineStr">
        <is>
          <t>ptadipatikaryanusantara@gmail.com</t>
        </is>
      </c>
      <c r="E7" t="inlineStr">
        <is>
          <t>https://lpjk.pu.go.id/search-badan-usaha-detail/WXZ1QzNCMW9Jcllta1crcU9maFZadz09</t>
        </is>
      </c>
      <c r="F7" t="n">
        <v>1</v>
      </c>
      <c r="G7" t="inlineStr">
        <is>
          <t>BS001</t>
        </is>
      </c>
      <c r="H7" t="inlineStr">
        <is>
          <t>21 Juni 2016</t>
        </is>
      </c>
      <c r="I7" s="2" t="n">
        <v>46313</v>
      </c>
      <c r="J7" t="inlineStr">
        <is>
          <t>Disetujui</t>
        </is>
      </c>
      <c r="K7" t="n">
        <v>60</v>
      </c>
      <c r="L7" t="inlineStr">
        <is>
          <t>18 Oktober 2026</t>
        </is>
      </c>
      <c r="M7" t="inlineStr">
        <is>
          <t>Konstruksi Bangunan Sipil Jalan</t>
        </is>
      </c>
      <c r="N7" t="inlineStr">
        <is>
          <t>K</t>
        </is>
      </c>
      <c r="O7" t="inlineStr">
        <is>
          <t>20231018</t>
        </is>
      </c>
      <c r="P7" t="inlineStr">
        <is>
          <t>DKI Jakarta</t>
        </is>
      </c>
      <c r="Q7" t="inlineStr"/>
    </row>
    <row r="8">
      <c r="A8" t="inlineStr">
        <is>
          <t>ADITYA CIPTA JAYA</t>
        </is>
      </c>
      <c r="B8" t="inlineStr">
        <is>
          <t>Kota Bekasi</t>
        </is>
      </c>
      <c r="C8" t="inlineStr">
        <is>
          <t>082223332212</t>
        </is>
      </c>
      <c r="D8" t="inlineStr">
        <is>
          <t>adityaciptajaya@gmail.com</t>
        </is>
      </c>
      <c r="E8" t="inlineStr">
        <is>
          <t>https://lpjk.pu.go.id/search-badan-usaha-detail/RzlNeDYvdm8vL3JSeGVnMDA3NnM5QT09</t>
        </is>
      </c>
      <c r="F8" t="n">
        <v>5</v>
      </c>
      <c r="G8" t="inlineStr">
        <is>
          <t>BG001, BG002, BG006, BG009, IN004</t>
        </is>
      </c>
      <c r="H8" t="inlineStr">
        <is>
          <t>29 September 2023</t>
        </is>
      </c>
      <c r="I8" s="2" t="n">
        <v>46307</v>
      </c>
      <c r="J8" t="inlineStr">
        <is>
          <t>Disetujui, Pembekuan</t>
        </is>
      </c>
      <c r="K8" t="n">
        <v>60</v>
      </c>
      <c r="L8" t="inlineStr">
        <is>
          <t>12 Oktober 2026</t>
        </is>
      </c>
      <c r="M8" t="inlineStr">
        <is>
          <t>Instalasi Minyak dan Gas, Konstruksi Gedung Hunian, Konstruksi Gedung Lainnya, Konstruksi Gedung Pendidikan, Konstruksi Gedung Perkantoran</t>
        </is>
      </c>
      <c r="N8" t="inlineStr">
        <is>
          <t>K, Spesialis</t>
        </is>
      </c>
      <c r="O8" t="inlineStr">
        <is>
          <t>20231012</t>
        </is>
      </c>
      <c r="P8" t="inlineStr">
        <is>
          <t>Jawa Barat</t>
        </is>
      </c>
      <c r="Q8" s="3">
        <f>HYPERLINK("https://wa.me/6282223332212?text=*[PENGINGAT MASA BERLAKU SBU ADITYA CIPTA JAYA]*%0A%0AYth. Pimpinan ADITYA CIPTA JAYA,%0AMohon izin menginformasikan status SBU Anda di sistem LPJK:%0A%0A📄 SBU: BG001, BG002, BG006, BG009, IN004%0A📅 Expired: 12 Oktober 2026 (60 Hari Lagi)%0A%0AKami tim PT. ESDEA Assistance Management siap men-support proses perpanjangan segera agar administrasi proyek tidak terhambat%0A%0AApakah boleh saya bantu siapkan estimasi biaya dan waktu pengerjaannya?.", "Hubungi")</f>
        <v/>
      </c>
    </row>
    <row r="9">
      <c r="A9" t="inlineStr">
        <is>
          <t>AGIL FARHAH PRATAMA</t>
        </is>
      </c>
      <c r="B9" t="inlineStr">
        <is>
          <t>Kab. Bekasi</t>
        </is>
      </c>
      <c r="C9" t="inlineStr">
        <is>
          <t>082125128009</t>
        </is>
      </c>
      <c r="D9" t="inlineStr">
        <is>
          <t>agilfarhahpratama@gmail.com</t>
        </is>
      </c>
      <c r="E9" t="inlineStr">
        <is>
          <t>https://lpjk.pu.go.id/search-badan-usaha-detail/OHF1Q3NteFRaQ3V3UU5ReU91RkpHUT09</t>
        </is>
      </c>
      <c r="F9" t="n">
        <v>1</v>
      </c>
      <c r="G9" t="inlineStr">
        <is>
          <t>BG005</t>
        </is>
      </c>
      <c r="H9" t="inlineStr">
        <is>
          <t>2 Januari 2006</t>
        </is>
      </c>
      <c r="I9" s="2" t="n">
        <v>46311</v>
      </c>
      <c r="J9" t="inlineStr">
        <is>
          <t>Disetujui</t>
        </is>
      </c>
      <c r="K9" t="n">
        <v>60</v>
      </c>
      <c r="L9" t="inlineStr">
        <is>
          <t>16 Oktober 2026</t>
        </is>
      </c>
      <c r="M9" t="inlineStr">
        <is>
          <t>Konstruksi Gedung Kesehatan</t>
        </is>
      </c>
      <c r="N9" t="inlineStr">
        <is>
          <t>K</t>
        </is>
      </c>
      <c r="O9" t="inlineStr">
        <is>
          <t>20231017</t>
        </is>
      </c>
      <c r="P9" t="inlineStr">
        <is>
          <t>Jawa Barat</t>
        </is>
      </c>
      <c r="Q9" s="3">
        <f>HYPERLINK("https://wa.me/6282125128009?text=*[PENGINGAT MASA BERLAKU SBU AGIL FARHAH PRATAMA]*%0A%0AYth. Pimpinan AGIL FARHAH PRATAMA,%0AMohon izin menginformasikan status SBU Anda di sistem LPJK:%0A%0A📄 SBU: BG005%0A📅 Expired: 16 Oktober 2026 (60 Hari Lagi)%0A%0AKami tim PT. ESDEA Assistance Management siap men-support proses perpanjangan segera agar administrasi proyek tidak terhambat%0A%0AApakah boleh saya bantu siapkan estimasi biaya dan waktu pengerjaannya?.", "Hubungi")</f>
        <v/>
      </c>
    </row>
    <row r="10">
      <c r="A10" t="inlineStr">
        <is>
          <t>AKSARA BANJU MAS</t>
        </is>
      </c>
      <c r="B10" t="inlineStr">
        <is>
          <t>Kota Bekasi</t>
        </is>
      </c>
      <c r="C10" t="inlineStr">
        <is>
          <t>02184999094</t>
        </is>
      </c>
      <c r="D10" t="inlineStr">
        <is>
          <t>aksra.banjumas@gmail.com</t>
        </is>
      </c>
      <c r="E10" t="inlineStr">
        <is>
          <t>https://lpjk.pu.go.id/search-badan-usaha-detail/dG5jeHJFUUVSWlFUakg2RHRSVGU5Zz09</t>
        </is>
      </c>
      <c r="F10" t="n">
        <v>8</v>
      </c>
      <c r="G10" t="inlineStr">
        <is>
          <t>BG001, BG003, BG006, BG009</t>
        </is>
      </c>
      <c r="H10" t="inlineStr">
        <is>
          <t>13 Februari 2012</t>
        </is>
      </c>
      <c r="I10" s="2" t="n">
        <v>46313</v>
      </c>
      <c r="J10" t="inlineStr">
        <is>
          <t>Disetujui</t>
        </is>
      </c>
      <c r="K10" t="n">
        <v>60</v>
      </c>
      <c r="L10" t="inlineStr">
        <is>
          <t>18 Oktober 2026</t>
        </is>
      </c>
      <c r="M10" t="inlineStr">
        <is>
          <t>Konstruksi Gedung Hunian, Konstruksi Gedung Industri, Konstruksi Gedung Lainnya, Konstruksi Gedung Pendidikan</t>
        </is>
      </c>
      <c r="N10" t="inlineStr">
        <is>
          <t>K</t>
        </is>
      </c>
      <c r="O10" t="inlineStr">
        <is>
          <t>20230922, 20231018</t>
        </is>
      </c>
      <c r="P10" t="inlineStr">
        <is>
          <t>Jawa Barat</t>
        </is>
      </c>
      <c r="Q10" t="inlineStr"/>
    </row>
    <row r="11">
      <c r="A11" t="inlineStr">
        <is>
          <t>ALBELINA SEJAHTERA</t>
        </is>
      </c>
      <c r="B11" t="inlineStr">
        <is>
          <t>Kota Bekasi</t>
        </is>
      </c>
      <c r="C11" t="inlineStr">
        <is>
          <t>08561765320</t>
        </is>
      </c>
      <c r="D11" t="inlineStr">
        <is>
          <t>albelina.abs@gmail.com</t>
        </is>
      </c>
      <c r="E11" t="inlineStr">
        <is>
          <t>https://lpjk.pu.go.id/search-badan-usaha-detail/S2pVeVFSVVVnK1hyY1lmNWdIYnp3UT09</t>
        </is>
      </c>
      <c r="F11" t="n">
        <v>1</v>
      </c>
      <c r="G11" t="inlineStr">
        <is>
          <t>BG002</t>
        </is>
      </c>
      <c r="H11" t="inlineStr">
        <is>
          <t>1 Maret 2023</t>
        </is>
      </c>
      <c r="I11" s="2" t="n">
        <v>46307</v>
      </c>
      <c r="J11" t="inlineStr">
        <is>
          <t>Disetujui</t>
        </is>
      </c>
      <c r="K11" t="n">
        <v>60</v>
      </c>
      <c r="L11" t="inlineStr">
        <is>
          <t>12 Oktober 2026</t>
        </is>
      </c>
      <c r="M11" t="inlineStr">
        <is>
          <t>Konstruksi Gedung Perkantoran</t>
        </is>
      </c>
      <c r="N11" t="inlineStr">
        <is>
          <t>K</t>
        </is>
      </c>
      <c r="O11" t="inlineStr">
        <is>
          <t>20230815</t>
        </is>
      </c>
      <c r="P11" t="inlineStr">
        <is>
          <t>Jawa Barat</t>
        </is>
      </c>
      <c r="Q11" s="3">
        <f>HYPERLINK("https://wa.me/628561765320?text=*[PENGINGAT MASA BERLAKU SBU ALBELINA SEJAHTERA]*%0A%0AYth. Pimpinan ALBELINA SEJAHTERA,%0AMohon izin menginformasikan status SBU Anda di sistem LPJK:%0A%0A📄 SBU: BG002%0A📅 Expired: 12 Oktober 2026 (60 Hari Lagi)%0A%0AKami tim PT. ESDEA Assistance Management siap men-support proses perpanjangan segera agar administrasi proyek tidak terhambat%0A%0AApakah boleh saya bantu siapkan estimasi biaya dan waktu pengerjaannya?.", "Hubungi")</f>
        <v/>
      </c>
    </row>
    <row r="12">
      <c r="A12" t="inlineStr">
        <is>
          <t>ALTAMAYA TEKNIK MANDIRI</t>
        </is>
      </c>
      <c r="B12" t="inlineStr">
        <is>
          <t>Kab. Bogor</t>
        </is>
      </c>
      <c r="C12" t="inlineStr">
        <is>
          <t>02518615933</t>
        </is>
      </c>
      <c r="D12" t="inlineStr">
        <is>
          <t>suhaidihs@yahoo.com</t>
        </is>
      </c>
      <c r="E12" t="inlineStr">
        <is>
          <t>https://lpjk.pu.go.id/search-badan-usaha-detail/UTFKcjdsOGQ5NVAxR2xUVXRNNjU5dz09</t>
        </is>
      </c>
      <c r="F12" t="n">
        <v>4</v>
      </c>
      <c r="G12" t="inlineStr">
        <is>
          <t>IN007, IN008</t>
        </is>
      </c>
      <c r="H12" t="inlineStr">
        <is>
          <t>6 September 2013</t>
        </is>
      </c>
      <c r="I12" s="2" t="n">
        <v>46313</v>
      </c>
      <c r="J12" t="inlineStr">
        <is>
          <t>Pembekuan</t>
        </is>
      </c>
      <c r="K12" t="n">
        <v>60</v>
      </c>
      <c r="L12" t="inlineStr">
        <is>
          <t>18 Oktober 2026</t>
        </is>
      </c>
      <c r="M12" t="inlineStr">
        <is>
          <t>Instalasi Pendingin Dan Ventilasi Udara, Instalasi Saluran Air (Plambing)</t>
        </is>
      </c>
      <c r="N12" t="inlineStr">
        <is>
          <t>Spesialis</t>
        </is>
      </c>
      <c r="O12" t="inlineStr">
        <is>
          <t>20231013</t>
        </is>
      </c>
      <c r="P12" t="inlineStr">
        <is>
          <t>Jawa Barat</t>
        </is>
      </c>
      <c r="Q12" s="3">
        <f>HYPERLINK("https://wa.me/622518615933?text=*[PENGINGAT MASA BERLAKU SBU ALTAMAYA TEKNIK MANDIRI]*%0A%0AYth. Pimpinan ALTAMAYA TEKNIK MANDIRI,%0AMohon izin menginformasikan status SBU Anda di sistem LPJK:%0A%0A📄 SBU: IN007, IN008%0A📅 Expired: 18 Oktober 2026 (60 Hari Lagi)%0A%0AKami tim PT. ESDEA Assistance Management siap men-support proses perpanjangan segera agar administrasi proyek tidak terhambat%0A%0AApakah boleh saya bantu siapkan estimasi biaya dan waktu pengerjaannya?.", "Hubungi")</f>
        <v/>
      </c>
    </row>
    <row r="13">
      <c r="A13" t="inlineStr">
        <is>
          <t>ANDI EDWIN AMEL</t>
        </is>
      </c>
      <c r="B13" t="inlineStr">
        <is>
          <t>Kab. Bekasi</t>
        </is>
      </c>
      <c r="C13" t="inlineStr">
        <is>
          <t>02182582220</t>
        </is>
      </c>
      <c r="D13" t="inlineStr">
        <is>
          <t>edwineliann@gmail.com</t>
        </is>
      </c>
      <c r="E13" t="inlineStr">
        <is>
          <t>https://lpjk.pu.go.id/search-badan-usaha-detail/MlVaN3I4aGhmZXNFTFZZWGRpY2Q2UT09</t>
        </is>
      </c>
      <c r="F13" t="n">
        <v>5</v>
      </c>
      <c r="G13" t="inlineStr">
        <is>
          <t>BG001, BG003, BG005, BS001, BS002</t>
        </is>
      </c>
      <c r="H13" t="inlineStr">
        <is>
          <t>14 September 2023</t>
        </is>
      </c>
      <c r="I13" s="2" t="n">
        <v>46313</v>
      </c>
      <c r="J13" t="inlineStr">
        <is>
          <t>Disetujui</t>
        </is>
      </c>
      <c r="K13" t="n">
        <v>60</v>
      </c>
      <c r="L13" t="inlineStr">
        <is>
          <t>18 Oktober 2026</t>
        </is>
      </c>
      <c r="M13" t="inlineStr">
        <is>
          <t>Bangunan Sipil Jembatan, Jalan Layang, Fly Over, dan Underpass, Konstruksi Bangunan Sipil Jalan, Konstruksi Gedung Hunian, Konstruksi Gedung Industri, Konstruksi Gedung Kesehatan</t>
        </is>
      </c>
      <c r="N13" t="inlineStr">
        <is>
          <t>K</t>
        </is>
      </c>
      <c r="O13" t="inlineStr">
        <is>
          <t>20231003, 20231015</t>
        </is>
      </c>
      <c r="P13" t="inlineStr">
        <is>
          <t>Jawa Barat</t>
        </is>
      </c>
      <c r="Q13" t="inlineStr"/>
    </row>
    <row r="14">
      <c r="A14" t="inlineStr">
        <is>
          <t>ANDO METANOIA TEKNOLOGI</t>
        </is>
      </c>
      <c r="B14" t="inlineStr">
        <is>
          <t>Kota Bekasi</t>
        </is>
      </c>
      <c r="C14" t="inlineStr">
        <is>
          <t>087781124045</t>
        </is>
      </c>
      <c r="D14" t="inlineStr">
        <is>
          <t>ando.teknologi@gmail.com</t>
        </is>
      </c>
      <c r="E14" t="inlineStr">
        <is>
          <t>https://lpjk.pu.go.id/search-badan-usaha-detail/UFM5b05zbDN0U1FkNWQ2VWlsQURmdz09</t>
        </is>
      </c>
      <c r="F14" t="n">
        <v>4</v>
      </c>
      <c r="G14" t="inlineStr">
        <is>
          <t>BG005, BG006, BS001, BS004</t>
        </is>
      </c>
      <c r="H14" t="inlineStr">
        <is>
          <t>20 Januari 2017</t>
        </is>
      </c>
      <c r="I14" s="2" t="n">
        <v>46307</v>
      </c>
      <c r="J14" t="inlineStr">
        <is>
          <t>Disetujui</t>
        </is>
      </c>
      <c r="K14" t="n">
        <v>60</v>
      </c>
      <c r="L14" t="inlineStr">
        <is>
          <t>12 Oktober 2026</t>
        </is>
      </c>
      <c r="M14" t="inlineStr">
        <is>
          <t>Konstruksi Bangunan Sipil Jalan, Konstruksi Gedung Kesehatan, Konstruksi Gedung Pendidikan, Konstruksi Jaringan Irigasi dan Drainase</t>
        </is>
      </c>
      <c r="N14" t="inlineStr">
        <is>
          <t>K</t>
        </is>
      </c>
      <c r="O14" t="inlineStr">
        <is>
          <t>20230927, 20231011</t>
        </is>
      </c>
      <c r="P14" t="inlineStr">
        <is>
          <t>Jawa Barat</t>
        </is>
      </c>
      <c r="Q14" s="3">
        <f>HYPERLINK("https://wa.me/6287781124045?text=*[PENGINGAT MASA BERLAKU SBU ANDO METANOIA TEKNOLOGI]*%0A%0AYth. Pimpinan ANDO METANOIA TEKNOLOGI,%0AMohon izin menginformasikan status SBU Anda di sistem LPJK:%0A%0A📄 SBU: BG005, BG006, BS001, BS004%0A📅 Expired: 12 Oktober 2026 (60 Hari Lagi)%0A%0AKami tim PT. ESDEA Assistance Management siap men-support proses perpanjangan segera agar administrasi proyek tidak terhambat%0A%0AApakah boleh saya bantu siapkan estimasi biaya dan waktu pengerjaannya?.", "Hubungi")</f>
        <v/>
      </c>
    </row>
    <row r="15">
      <c r="A15" t="inlineStr">
        <is>
          <t>ANUGERAH PUTERA SEMBILAN</t>
        </is>
      </c>
      <c r="B15" t="inlineStr">
        <is>
          <t>Kota Depok</t>
        </is>
      </c>
      <c r="C15" t="inlineStr">
        <is>
          <t>02177216217</t>
        </is>
      </c>
      <c r="D15" t="inlineStr">
        <is>
          <t>simpuldipantara@gmail.com</t>
        </is>
      </c>
      <c r="E15" t="inlineStr">
        <is>
          <t>https://lpjk.pu.go.id/search-badan-usaha-detail/YzBpZVpSSVY1Yi9ZcW5FQTVSM0xGZz09</t>
        </is>
      </c>
      <c r="F15" t="n">
        <v>1</v>
      </c>
      <c r="G15" t="inlineStr">
        <is>
          <t>BG001</t>
        </is>
      </c>
      <c r="H15" t="inlineStr">
        <is>
          <t>9 Februari 2012</t>
        </is>
      </c>
      <c r="I15" s="2" t="n">
        <v>46312</v>
      </c>
      <c r="J15" t="inlineStr">
        <is>
          <t>Disetujui</t>
        </is>
      </c>
      <c r="K15" t="n">
        <v>60</v>
      </c>
      <c r="L15" t="inlineStr">
        <is>
          <t>17 Oktober 2026</t>
        </is>
      </c>
      <c r="M15" t="inlineStr">
        <is>
          <t>Konstruksi Gedung Hunian</t>
        </is>
      </c>
      <c r="N15" t="inlineStr">
        <is>
          <t>K</t>
        </is>
      </c>
      <c r="O15" t="inlineStr">
        <is>
          <t>20231017</t>
        </is>
      </c>
      <c r="P15" t="inlineStr">
        <is>
          <t>Jawa Barat</t>
        </is>
      </c>
      <c r="Q15" t="inlineStr"/>
    </row>
    <row r="16">
      <c r="A16" t="inlineStr">
        <is>
          <t>ANUGRAH ANANDA</t>
        </is>
      </c>
      <c r="B16" t="inlineStr">
        <is>
          <t>Kab. Bekasi</t>
        </is>
      </c>
      <c r="C16" t="inlineStr">
        <is>
          <t>0895372219444</t>
        </is>
      </c>
      <c r="D16" t="inlineStr">
        <is>
          <t>anugrahananda@emailsaya.com</t>
        </is>
      </c>
      <c r="E16" t="inlineStr">
        <is>
          <t>https://lpjk.pu.go.id/search-badan-usaha-detail/aGVxYjFjSFdub3VJZXB3UWsyRmRiQT09</t>
        </is>
      </c>
      <c r="F16" t="n">
        <v>2</v>
      </c>
      <c r="G16" t="inlineStr">
        <is>
          <t>BS004</t>
        </is>
      </c>
      <c r="H16" t="inlineStr">
        <is>
          <t>20 September 2002</t>
        </is>
      </c>
      <c r="I16" s="2" t="n">
        <v>46313</v>
      </c>
      <c r="J16" t="inlineStr">
        <is>
          <t>Disetujui</t>
        </is>
      </c>
      <c r="K16" t="n">
        <v>60</v>
      </c>
      <c r="L16" t="inlineStr">
        <is>
          <t>18 Oktober 2026</t>
        </is>
      </c>
      <c r="M16" t="inlineStr">
        <is>
          <t>Konstruksi Jaringan Irigasi dan Drainase</t>
        </is>
      </c>
      <c r="N16" t="inlineStr">
        <is>
          <t>K</t>
        </is>
      </c>
      <c r="O16" t="inlineStr">
        <is>
          <t>20231017</t>
        </is>
      </c>
      <c r="P16" t="inlineStr">
        <is>
          <t>Jawa Barat</t>
        </is>
      </c>
      <c r="Q16" s="3">
        <f>HYPERLINK("https://wa.me/62895372219444?text=*[PENGINGAT MASA BERLAKU SBU ANUGRAH ANANDA]*%0A%0AYth. Pimpinan ANUGRAH ANANDA,%0AMohon izin menginformasikan status SBU Anda di sistem LPJK:%0A%0A📄 SBU: BS004%0A📅 Expired: 18 Oktober 2026 (60 Hari Lagi)%0A%0AKami tim PT. ESDEA Assistance Management siap men-support proses perpanjangan segera agar administrasi proyek tidak terhambat%0A%0AApakah boleh saya bantu siapkan estimasi biaya dan waktu pengerjaannya?.", "Hubungi")</f>
        <v/>
      </c>
    </row>
    <row r="17">
      <c r="A17" t="inlineStr">
        <is>
          <t>ARIZNA JAYA</t>
        </is>
      </c>
      <c r="B17" t="inlineStr">
        <is>
          <t>Kota Depok</t>
        </is>
      </c>
      <c r="C17" t="inlineStr">
        <is>
          <t>081210066953</t>
        </is>
      </c>
      <c r="D17" t="inlineStr">
        <is>
          <t>jayaarizna@gmail.com</t>
        </is>
      </c>
      <c r="E17" t="inlineStr">
        <is>
          <t>https://lpjk.pu.go.id/search-badan-usaha-detail/YS9MMFJncGdZRWhEVEZCREgyKzZwUT09</t>
        </is>
      </c>
      <c r="F17" t="n">
        <v>1</v>
      </c>
      <c r="G17" t="inlineStr">
        <is>
          <t>BS001</t>
        </is>
      </c>
      <c r="H17" t="inlineStr">
        <is>
          <t>16 Oktober 2017</t>
        </is>
      </c>
      <c r="I17" s="2" t="n">
        <v>46313</v>
      </c>
      <c r="J17" t="inlineStr">
        <is>
          <t>Disetujui</t>
        </is>
      </c>
      <c r="K17" t="n">
        <v>60</v>
      </c>
      <c r="L17" t="inlineStr">
        <is>
          <t>18 Oktober 2026</t>
        </is>
      </c>
      <c r="M17" t="inlineStr">
        <is>
          <t>Konstruksi Bangunan Sipil Jalan</t>
        </is>
      </c>
      <c r="N17" t="inlineStr">
        <is>
          <t>K</t>
        </is>
      </c>
      <c r="O17" t="inlineStr">
        <is>
          <t>20231008</t>
        </is>
      </c>
      <c r="P17" t="inlineStr">
        <is>
          <t>Jawa Barat</t>
        </is>
      </c>
      <c r="Q17" s="3">
        <f>HYPERLINK("https://wa.me/6281210066953?text=*[PENGINGAT MASA BERLAKU SBU ARIZNA JAYA]*%0A%0AYth. Pimpinan ARIZNA JAYA,%0AMohon izin menginformasikan status SBU Anda di sistem LPJK:%0A%0A📄 SBU: BS001%0A📅 Expired: 18 Oktober 2026 (60 Hari Lagi)%0A%0AKami tim PT. ESDEA Assistance Management siap men-support proses perpanjangan segera agar administrasi proyek tidak terhambat%0A%0AApakah boleh saya bantu siapkan estimasi biaya dan waktu pengerjaannya?.", "Hubungi")</f>
        <v/>
      </c>
    </row>
    <row r="18">
      <c r="A18" t="inlineStr">
        <is>
          <t>ARTHA UNGGUL JAYA</t>
        </is>
      </c>
      <c r="B18" t="inlineStr">
        <is>
          <t>Kota Adm. Jakarta Timur</t>
        </is>
      </c>
      <c r="C18" t="inlineStr">
        <is>
          <t>081316317846</t>
        </is>
      </c>
      <c r="D18" t="inlineStr">
        <is>
          <t>pt.arthaungguljaya@gmail.com</t>
        </is>
      </c>
      <c r="E18" t="inlineStr">
        <is>
          <t>https://lpjk.pu.go.id/search-badan-usaha-detail/cjhZKzJ0ZEdRUGkrL2Q4M3U4QmlDZz09</t>
        </is>
      </c>
      <c r="F18" t="n">
        <v>1</v>
      </c>
      <c r="G18" t="inlineStr">
        <is>
          <t>BS016</t>
        </is>
      </c>
      <c r="H18" t="inlineStr">
        <is>
          <t>18 Oktober 2022</t>
        </is>
      </c>
      <c r="I18" s="2" t="n">
        <v>46307</v>
      </c>
      <c r="J18" t="inlineStr">
        <is>
          <t>Disetujui</t>
        </is>
      </c>
      <c r="K18" t="n">
        <v>60</v>
      </c>
      <c r="L18" t="inlineStr">
        <is>
          <t>12 Oktober 2026</t>
        </is>
      </c>
      <c r="M18" t="inlineStr">
        <is>
          <t>Konstruksi Bangunan Sipil Fasilitas Olah Raga</t>
        </is>
      </c>
      <c r="N18" t="inlineStr">
        <is>
          <t>K</t>
        </is>
      </c>
      <c r="O18" t="inlineStr">
        <is>
          <t>20230925</t>
        </is>
      </c>
      <c r="P18" t="inlineStr">
        <is>
          <t>DKI Jakarta</t>
        </is>
      </c>
      <c r="Q18" s="3">
        <f>HYPERLINK("https://wa.me/6281316317846?text=*[PENGINGAT MASA BERLAKU SBU ARTHA UNGGUL JAYA]*%0A%0AYth. Pimpinan ARTHA UNGGUL JAYA,%0AMohon izin menginformasikan status SBU Anda di sistem LPJK:%0A%0A📄 SBU: BS016%0A📅 Expired: 12 Oktober 2026 (60 Hari Lagi)%0A%0AKami tim PT. ESDEA Assistance Management siap men-support proses perpanjangan segera agar administrasi proyek tidak terhambat%0A%0AApakah boleh saya bantu siapkan estimasi biaya dan waktu pengerjaannya?.", "Hubungi")</f>
        <v/>
      </c>
    </row>
    <row r="19">
      <c r="A19" t="inlineStr">
        <is>
          <t>ASAKARYA UTAMA</t>
        </is>
      </c>
      <c r="B19" t="inlineStr">
        <is>
          <t>Kota Bekasi</t>
        </is>
      </c>
      <c r="C19" t="inlineStr">
        <is>
          <t>0811883643</t>
        </is>
      </c>
      <c r="D19" t="inlineStr">
        <is>
          <t>asakaryautama@gmail.com</t>
        </is>
      </c>
      <c r="E19" t="inlineStr">
        <is>
          <t>https://lpjk.pu.go.id/search-badan-usaha-detail/S1N3Wll6S3RsdVU0NWJmT0RCOGJFZz09</t>
        </is>
      </c>
      <c r="F19" t="n">
        <v>1</v>
      </c>
      <c r="G19" t="inlineStr">
        <is>
          <t>BG002</t>
        </is>
      </c>
      <c r="H19" t="inlineStr">
        <is>
          <t>23 Oktober 1996</t>
        </is>
      </c>
      <c r="I19" s="2" t="n">
        <v>46307</v>
      </c>
      <c r="J19" t="inlineStr">
        <is>
          <t>Disetujui</t>
        </is>
      </c>
      <c r="K19" t="n">
        <v>60</v>
      </c>
      <c r="L19" t="inlineStr">
        <is>
          <t>12 Oktober 2026</t>
        </is>
      </c>
      <c r="M19" t="inlineStr">
        <is>
          <t>Konstruksi Gedung Perkantoran</t>
        </is>
      </c>
      <c r="N19" t="inlineStr">
        <is>
          <t>K</t>
        </is>
      </c>
      <c r="O19" t="inlineStr">
        <is>
          <t>20231010</t>
        </is>
      </c>
      <c r="P19" t="inlineStr">
        <is>
          <t>Jawa Barat</t>
        </is>
      </c>
      <c r="Q19" s="3">
        <f>HYPERLINK("https://wa.me/62811883643?text=*[PENGINGAT MASA BERLAKU SBU ASAKARYA UTAMA]*%0A%0AYth. Pimpinan ASAKARYA UTAMA,%0AMohon izin menginformasikan status SBU Anda di sistem LPJK:%0A%0A📄 SBU: BG002%0A📅 Expired: 12 Oktober 2026 (60 Hari Lagi)%0A%0AKami tim PT. ESDEA Assistance Management siap men-support proses perpanjangan segera agar administrasi proyek tidak terhambat%0A%0AApakah boleh saya bantu siapkan estimasi biaya dan waktu pengerjaannya?.", "Hubungi")</f>
        <v/>
      </c>
    </row>
    <row r="20">
      <c r="A20" t="inlineStr">
        <is>
          <t>BANGUN SUKSES BERKEMBANG</t>
        </is>
      </c>
      <c r="B20" t="inlineStr">
        <is>
          <t>Kab. Bekasi</t>
        </is>
      </c>
      <c r="C20" t="inlineStr">
        <is>
          <t>081386206879</t>
        </is>
      </c>
      <c r="D20" t="inlineStr">
        <is>
          <t>cvbangunsuksesberkembang@gmail.com</t>
        </is>
      </c>
      <c r="E20" t="inlineStr">
        <is>
          <t>https://lpjk.pu.go.id/search-badan-usaha-detail/VmF5QllQemJLK0pTSzhQNDB3cnJLZz09</t>
        </is>
      </c>
      <c r="F20" t="n">
        <v>2</v>
      </c>
      <c r="G20" t="inlineStr">
        <is>
          <t>BG006, BG009</t>
        </is>
      </c>
      <c r="H20" t="inlineStr">
        <is>
          <t>6 September 2023</t>
        </is>
      </c>
      <c r="I20" s="2" t="n">
        <v>46313</v>
      </c>
      <c r="J20" t="inlineStr">
        <is>
          <t>Disetujui</t>
        </is>
      </c>
      <c r="K20" t="n">
        <v>60</v>
      </c>
      <c r="L20" t="inlineStr">
        <is>
          <t>18 Oktober 2026</t>
        </is>
      </c>
      <c r="M20" t="inlineStr">
        <is>
          <t>Konstruksi Gedung Lainnya, Konstruksi Gedung Pendidikan</t>
        </is>
      </c>
      <c r="N20" t="inlineStr">
        <is>
          <t>K</t>
        </is>
      </c>
      <c r="O20" t="inlineStr">
        <is>
          <t>20231016</t>
        </is>
      </c>
      <c r="P20" t="inlineStr">
        <is>
          <t>Jawa Barat</t>
        </is>
      </c>
      <c r="Q20" s="3">
        <f>HYPERLINK("https://wa.me/6281386206879?text=*[PENGINGAT MASA BERLAKU SBU BANGUN SUKSES BERKEMBANG]*%0A%0AYth. Pimpinan BANGUN SUKSES BERKEMBANG,%0AMohon izin menginformasikan status SBU Anda di sistem LPJK:%0A%0A📄 SBU: BG006, BG009%0A📅 Expired: 18 Oktober 2026 (60 Hari Lagi)%0A%0AKami tim PT. ESDEA Assistance Management siap men-support proses perpanjangan segera agar administrasi proyek tidak terhambat%0A%0AApakah boleh saya bantu siapkan estimasi biaya dan waktu pengerjaannya?.", "Hubungi")</f>
        <v/>
      </c>
    </row>
    <row r="21">
      <c r="A21" t="inlineStr">
        <is>
          <t>BAYU SARI</t>
        </is>
      </c>
      <c r="B21" t="inlineStr">
        <is>
          <t>Kab. Bogor</t>
        </is>
      </c>
      <c r="C21" t="inlineStr">
        <is>
          <t>081804904054</t>
        </is>
      </c>
      <c r="D21" t="inlineStr">
        <is>
          <t>octopulse12@gmail.com</t>
        </is>
      </c>
      <c r="E21" t="inlineStr">
        <is>
          <t>https://lpjk.pu.go.id/search-badan-usaha-detail/bEF0dElMNmZTT2orb0FvOGVtV2RIQT09</t>
        </is>
      </c>
      <c r="F21" t="n">
        <v>1</v>
      </c>
      <c r="G21" t="inlineStr">
        <is>
          <t>BG009</t>
        </is>
      </c>
      <c r="H21" t="inlineStr">
        <is>
          <t>17 November 1979</t>
        </is>
      </c>
      <c r="I21" s="2" t="n">
        <v>46310</v>
      </c>
      <c r="J21" t="inlineStr">
        <is>
          <t>Disetujui</t>
        </is>
      </c>
      <c r="K21" t="n">
        <v>60</v>
      </c>
      <c r="L21" t="inlineStr">
        <is>
          <t>15 Oktober 2026</t>
        </is>
      </c>
      <c r="M21" t="inlineStr">
        <is>
          <t>Konstruksi Gedung Lainnya</t>
        </is>
      </c>
      <c r="N21" t="inlineStr">
        <is>
          <t>K</t>
        </is>
      </c>
      <c r="O21" t="inlineStr">
        <is>
          <t>20230808</t>
        </is>
      </c>
      <c r="P21" t="inlineStr">
        <is>
          <t>Jawa Barat</t>
        </is>
      </c>
      <c r="Q21" s="3">
        <f>HYPERLINK("https://wa.me/6281804904054?text=*[PENGINGAT MASA BERLAKU SBU BAYU SARI]*%0A%0AYth. Pimpinan BAYU SARI,%0AMohon izin menginformasikan status SBU Anda di sistem LPJK:%0A%0A📄 SBU: BG009%0A📅 Expired: 15 Oktober 2026 (60 Hari Lagi)%0A%0AKami tim PT. ESDEA Assistance Management siap men-support proses perpanjangan segera agar administrasi proyek tidak terhambat%0A%0AApakah boleh saya bantu siapkan estimasi biaya dan waktu pengerjaannya?.", "Hubungi")</f>
        <v/>
      </c>
    </row>
    <row r="22">
      <c r="A22" t="inlineStr">
        <is>
          <t>BEKJA MAJU SENTOSA</t>
        </is>
      </c>
      <c r="B22" t="inlineStr">
        <is>
          <t>Kota Depok</t>
        </is>
      </c>
      <c r="C22" t="inlineStr">
        <is>
          <t>0818914761</t>
        </is>
      </c>
      <c r="D22" t="inlineStr">
        <is>
          <t>bekjasentosa@gmail.com</t>
        </is>
      </c>
      <c r="E22" t="inlineStr">
        <is>
          <t>https://lpjk.pu.go.id/search-badan-usaha-detail/ZDhaZmpVM215TlNBdVZickUzRkxRZz09</t>
        </is>
      </c>
      <c r="F22" t="n">
        <v>2</v>
      </c>
      <c r="G22" t="inlineStr">
        <is>
          <t>BS001, BS004</t>
        </is>
      </c>
      <c r="H22" t="inlineStr">
        <is>
          <t>26 Juni 2023</t>
        </is>
      </c>
      <c r="I22" s="2" t="n">
        <v>46307</v>
      </c>
      <c r="J22" t="inlineStr">
        <is>
          <t>Disetujui</t>
        </is>
      </c>
      <c r="K22" t="n">
        <v>60</v>
      </c>
      <c r="L22" t="inlineStr">
        <is>
          <t>12 Oktober 2026</t>
        </is>
      </c>
      <c r="M22" t="inlineStr">
        <is>
          <t>Konstruksi Bangunan Sipil Jalan, Konstruksi Jaringan Irigasi dan Drainase</t>
        </is>
      </c>
      <c r="N22" t="inlineStr">
        <is>
          <t>K</t>
        </is>
      </c>
      <c r="O22" t="inlineStr">
        <is>
          <t>20230825, 20231010</t>
        </is>
      </c>
      <c r="P22" t="inlineStr">
        <is>
          <t>Jawa Barat</t>
        </is>
      </c>
      <c r="Q22" s="3">
        <f>HYPERLINK("https://wa.me/62818914761?text=*[PENGINGAT MASA BERLAKU SBU BEKJA MAJU SENTOSA]*%0A%0AYth. Pimpinan BEKJA MAJU SENTOSA,%0AMohon izin menginformasikan status SBU Anda di sistem LPJK:%0A%0A📄 SBU: BS001, BS004%0A📅 Expired: 12 Oktober 2026 (60 Hari Lagi)%0A%0AKami tim PT. ESDEA Assistance Management siap men-support proses perpanjangan segera agar administrasi proyek tidak terhambat%0A%0AApakah boleh saya bantu siapkan estimasi biaya dan waktu pengerjaannya?.", "Hubungi")</f>
        <v/>
      </c>
    </row>
    <row r="23">
      <c r="A23" t="inlineStr">
        <is>
          <t>BELLA KARYA BERSINERGI MANDIRI</t>
        </is>
      </c>
      <c r="B23" t="inlineStr">
        <is>
          <t>Kota Depok</t>
        </is>
      </c>
      <c r="C23" t="inlineStr">
        <is>
          <t>082299411808</t>
        </is>
      </c>
      <c r="D23" t="inlineStr">
        <is>
          <t>bbersinergi@gmail.com</t>
        </is>
      </c>
      <c r="E23" t="inlineStr">
        <is>
          <t>https://lpjk.pu.go.id/search-badan-usaha-detail/a0YrK2gweGF1aTMxT1lvaitzdG5KZz09</t>
        </is>
      </c>
      <c r="F23" t="n">
        <v>3</v>
      </c>
      <c r="G23" t="inlineStr">
        <is>
          <t>BG006, BG009</t>
        </is>
      </c>
      <c r="H23" t="inlineStr">
        <is>
          <t>12 Februari 2019</t>
        </is>
      </c>
      <c r="I23" s="2" t="n">
        <v>46312</v>
      </c>
      <c r="J23" t="inlineStr">
        <is>
          <t>Disetujui</t>
        </is>
      </c>
      <c r="K23" t="n">
        <v>60</v>
      </c>
      <c r="L23" t="inlineStr">
        <is>
          <t>17 Oktober 2026</t>
        </is>
      </c>
      <c r="M23" t="inlineStr">
        <is>
          <t>Konstruksi Gedung Lainnya, Konstruksi Gedung Pendidikan</t>
        </is>
      </c>
      <c r="N23" t="inlineStr">
        <is>
          <t>K</t>
        </is>
      </c>
      <c r="O23" t="inlineStr">
        <is>
          <t>20230918</t>
        </is>
      </c>
      <c r="P23" t="inlineStr">
        <is>
          <t>Jawa Barat</t>
        </is>
      </c>
      <c r="Q23" s="3">
        <f>HYPERLINK("https://wa.me/6282299411808?text=*[PENGINGAT MASA BERLAKU SBU BELLA KARYA BERSINERGI MANDIRI]*%0A%0AYth. Pimpinan BELLA KARYA BERSINERGI MANDIRI,%0AMohon izin menginformasikan status SBU Anda di sistem LPJK:%0A%0A📄 SBU: BG006, BG009%0A📅 Expired: 17 Oktober 2026 (60 Hari Lagi)%0A%0AKami tim PT. ESDEA Assistance Management siap men-support proses perpanjangan segera agar administrasi proyek tidak terhambat%0A%0AApakah boleh saya bantu siapkan estimasi biaya dan waktu pengerjaannya?.", "Hubungi")</f>
        <v/>
      </c>
    </row>
    <row r="24">
      <c r="A24" t="inlineStr">
        <is>
          <t>BINTANG KARYA KONSTRUKSI</t>
        </is>
      </c>
      <c r="B24" t="inlineStr">
        <is>
          <t>Kab. Bogor</t>
        </is>
      </c>
      <c r="C24" t="inlineStr">
        <is>
          <t>085716280300</t>
        </is>
      </c>
      <c r="D24" t="inlineStr">
        <is>
          <t>bkaryakonstruksi@gmail.com</t>
        </is>
      </c>
      <c r="E24" t="inlineStr">
        <is>
          <t>https://lpjk.pu.go.id/search-badan-usaha-detail/eWhrdS9obFE2bEp5bnJLekFrbTEzZz09</t>
        </is>
      </c>
      <c r="F24" t="n">
        <v>4</v>
      </c>
      <c r="G24" t="inlineStr">
        <is>
          <t>BG001, BS001</t>
        </is>
      </c>
      <c r="H24" t="inlineStr">
        <is>
          <t>18 Agustus 2023</t>
        </is>
      </c>
      <c r="I24" s="2" t="n">
        <v>46312</v>
      </c>
      <c r="J24" t="inlineStr">
        <is>
          <t>Disetujui</t>
        </is>
      </c>
      <c r="K24" t="n">
        <v>60</v>
      </c>
      <c r="L24" t="inlineStr">
        <is>
          <t>17 Oktober 2026</t>
        </is>
      </c>
      <c r="M24" t="inlineStr">
        <is>
          <t>Konstruksi Bangunan Sipil Jalan, Konstruksi Gedung Hunian</t>
        </is>
      </c>
      <c r="N24" t="inlineStr">
        <is>
          <t>K</t>
        </is>
      </c>
      <c r="O24" t="inlineStr">
        <is>
          <t>20231017</t>
        </is>
      </c>
      <c r="P24" t="inlineStr">
        <is>
          <t>Jawa Barat</t>
        </is>
      </c>
      <c r="Q24" s="3">
        <f>HYPERLINK("https://wa.me/6285716280300?text=*[PENGINGAT MASA BERLAKU SBU BINTANG KARYA KONSTRUKSI]*%0A%0AYth. Pimpinan BINTANG KARYA KONSTRUKSI,%0AMohon izin menginformasikan status SBU Anda di sistem LPJK:%0A%0A📄 SBU: BG001, BS001%0A📅 Expired: 17 Oktober 2026 (60 Hari Lagi)%0A%0AKami tim PT. ESDEA Assistance Management siap men-support proses perpanjangan segera agar administrasi proyek tidak terhambat%0A%0AApakah boleh saya bantu siapkan estimasi biaya dan waktu pengerjaannya?.", "Hubungi")</f>
        <v/>
      </c>
    </row>
    <row r="25">
      <c r="A25" t="inlineStr">
        <is>
          <t>BREBES KARYA PERDANA</t>
        </is>
      </c>
      <c r="B25" t="inlineStr">
        <is>
          <t>Kota Bekasi</t>
        </is>
      </c>
      <c r="C25" t="inlineStr">
        <is>
          <t>081296578873</t>
        </is>
      </c>
      <c r="D25" t="inlineStr">
        <is>
          <t>brebeskaryaperdana2020@gmail.com</t>
        </is>
      </c>
      <c r="E25" t="inlineStr">
        <is>
          <t>https://lpjk.pu.go.id/search-badan-usaha-detail/ZnpvSzlNZStjN1A3RzB5ZS9aV3FBUT09</t>
        </is>
      </c>
      <c r="F25" t="n">
        <v>2</v>
      </c>
      <c r="G25" t="inlineStr">
        <is>
          <t>PL001, PL003</t>
        </is>
      </c>
      <c r="H25" t="inlineStr">
        <is>
          <t>29 November 2021</t>
        </is>
      </c>
      <c r="I25" s="2" t="n">
        <v>46310</v>
      </c>
      <c r="J25" t="inlineStr">
        <is>
          <t>Pencabutan</t>
        </is>
      </c>
      <c r="K25" t="n">
        <v>60</v>
      </c>
      <c r="L25" t="inlineStr">
        <is>
          <t>15 Oktober 2026</t>
        </is>
      </c>
      <c r="M25" t="inlineStr">
        <is>
          <t>Pembongkaran Bangunan, Penyiapan Lahan Konstruksi</t>
        </is>
      </c>
      <c r="N25" t="inlineStr">
        <is>
          <t>Spesialis</t>
        </is>
      </c>
      <c r="O25" t="inlineStr">
        <is>
          <t>20230911</t>
        </is>
      </c>
      <c r="P25" t="inlineStr">
        <is>
          <t>Jawa Barat</t>
        </is>
      </c>
      <c r="Q25" s="3">
        <f>HYPERLINK("https://wa.me/6281296578873?text=*[PENGINGAT MASA BERLAKU SBU BREBES KARYA PERDANA]*%0A%0AYth. Pimpinan BREBES KARYA PERDANA,%0AMohon izin menginformasikan status SBU Anda di sistem LPJK:%0A%0A📄 SBU: PL001, PL003%0A📅 Expired: 15 Oktober 2026 (60 Hari Lagi)%0A%0AKami tim PT. ESDEA Assistance Management siap men-support proses perpanjangan segera agar administrasi proyek tidak terhambat%0A%0AApakah boleh saya bantu siapkan estimasi biaya dan waktu pengerjaannya?.", "Hubungi")</f>
        <v/>
      </c>
    </row>
    <row r="26">
      <c r="A26" t="inlineStr">
        <is>
          <t>BUSTAN JAYA</t>
        </is>
      </c>
      <c r="B26" t="inlineStr">
        <is>
          <t>Kota Bekasi</t>
        </is>
      </c>
      <c r="C26" t="inlineStr">
        <is>
          <t>081291657063</t>
        </is>
      </c>
      <c r="D26" t="inlineStr">
        <is>
          <t>bustanjaya.2023@gmail.com</t>
        </is>
      </c>
      <c r="E26" t="inlineStr">
        <is>
          <t>https://lpjk.pu.go.id/search-badan-usaha-detail/eEtDdUdFWnByS0p4TlpyZDBIV2tMQT09</t>
        </is>
      </c>
      <c r="F26" t="n">
        <v>2</v>
      </c>
      <c r="G26" t="inlineStr">
        <is>
          <t>BS001, BS004</t>
        </is>
      </c>
      <c r="H26" t="inlineStr">
        <is>
          <t>19 Mei 2023</t>
        </is>
      </c>
      <c r="I26" s="2" t="n">
        <v>46307</v>
      </c>
      <c r="J26" t="inlineStr">
        <is>
          <t>Pencabutan</t>
        </is>
      </c>
      <c r="K26" t="n">
        <v>60</v>
      </c>
      <c r="L26" t="inlineStr">
        <is>
          <t>12 Oktober 2026</t>
        </is>
      </c>
      <c r="M26" t="inlineStr">
        <is>
          <t>Konstruksi Bangunan Sipil Jalan, Konstruksi Jaringan Irigasi dan Drainase</t>
        </is>
      </c>
      <c r="N26" t="inlineStr">
        <is>
          <t>K</t>
        </is>
      </c>
      <c r="O26" t="inlineStr">
        <is>
          <t>20231007</t>
        </is>
      </c>
      <c r="P26" t="inlineStr">
        <is>
          <t>Jawa Barat</t>
        </is>
      </c>
      <c r="Q26" s="3">
        <f>HYPERLINK("https://wa.me/6281291657063?text=*[PENGINGAT MASA BERLAKU SBU BUSTAN JAYA]*%0A%0AYth. Pimpinan BUSTAN JAYA,%0AMohon izin menginformasikan status SBU Anda di sistem LPJK:%0A%0A📄 SBU: BS001, BS004%0A📅 Expired: 12 Oktober 2026 (60 Hari Lagi)%0A%0AKami tim PT. ESDEA Assistance Management siap men-support proses perpanjangan segera agar administrasi proyek tidak terhambat%0A%0AApakah boleh saya bantu siapkan estimasi biaya dan waktu pengerjaannya?.", "Hubungi")</f>
        <v/>
      </c>
    </row>
    <row r="27">
      <c r="A27" t="inlineStr">
        <is>
          <t>CAHAYA FAJAR MITRANIAGA</t>
        </is>
      </c>
      <c r="B27" t="inlineStr">
        <is>
          <t>Kota Bogor</t>
        </is>
      </c>
      <c r="C27" t="inlineStr">
        <is>
          <t>02518625962</t>
        </is>
      </c>
      <c r="D27" t="inlineStr">
        <is>
          <t>cahayafajarmitraniaga@gmail.com</t>
        </is>
      </c>
      <c r="E27" t="inlineStr">
        <is>
          <t>https://lpjk.pu.go.id/search-badan-usaha-detail/M0o2MGRQcTRRVXpZdk5JOWVMaUkrUT09</t>
        </is>
      </c>
      <c r="F27" t="n">
        <v>3</v>
      </c>
      <c r="G27" t="inlineStr">
        <is>
          <t>BG003, BG005, BG008</t>
        </is>
      </c>
      <c r="H27" t="inlineStr">
        <is>
          <t>6 Maret 2023</t>
        </is>
      </c>
      <c r="I27" s="2" t="n">
        <v>46310</v>
      </c>
      <c r="J27" t="inlineStr">
        <is>
          <t>Disetujui</t>
        </is>
      </c>
      <c r="K27" t="n">
        <v>60</v>
      </c>
      <c r="L27" t="inlineStr">
        <is>
          <t>15 Oktober 2026</t>
        </is>
      </c>
      <c r="M27" t="inlineStr">
        <is>
          <t>Konstruksi Gedung Industri, Konstruksi Gedung Kesehatan, Konstruksi Gedung Tempat Hiburan dan Olahraga</t>
        </is>
      </c>
      <c r="N27" t="inlineStr">
        <is>
          <t>K</t>
        </is>
      </c>
      <c r="O27" t="inlineStr">
        <is>
          <t>20230827</t>
        </is>
      </c>
      <c r="P27" t="inlineStr">
        <is>
          <t>Jawa Barat</t>
        </is>
      </c>
      <c r="Q27" s="3">
        <f>HYPERLINK("https://wa.me/622518625962?text=*[PENGINGAT MASA BERLAKU SBU CAHAYA FAJAR MITRANIAGA]*%0A%0AYth. Pimpinan CAHAYA FAJAR MITRANIAGA,%0AMohon izin menginformasikan status SBU Anda di sistem LPJK:%0A%0A📄 SBU: BG003, BG005, BG008%0A📅 Expired: 15 Oktober 2026 (60 Hari Lagi)%0A%0AKami tim PT. ESDEA Assistance Management siap men-support proses perpanjangan segera agar administrasi proyek tidak terhambat%0A%0AApakah boleh saya bantu siapkan estimasi biaya dan waktu pengerjaannya?.", "Hubungi")</f>
        <v/>
      </c>
    </row>
    <row r="28">
      <c r="A28" t="inlineStr">
        <is>
          <t>CANDRA INTECH PERKASA</t>
        </is>
      </c>
      <c r="B28" t="inlineStr">
        <is>
          <t>Kab. Bogor</t>
        </is>
      </c>
      <c r="C28" t="inlineStr">
        <is>
          <t>0218674333</t>
        </is>
      </c>
      <c r="D28" t="inlineStr">
        <is>
          <t>candraintech1@gmail.com</t>
        </is>
      </c>
      <c r="E28" t="inlineStr">
        <is>
          <t>https://lpjk.pu.go.id/search-badan-usaha-detail/eDB4U2pwZGJ1RTJ4MjZJU3h6UHViQT09</t>
        </is>
      </c>
      <c r="F28" t="n">
        <v>1</v>
      </c>
      <c r="G28" t="inlineStr">
        <is>
          <t>BG006</t>
        </is>
      </c>
      <c r="H28" t="inlineStr">
        <is>
          <t>14 Juni 2005</t>
        </is>
      </c>
      <c r="I28" s="2" t="n">
        <v>46307</v>
      </c>
      <c r="J28" t="inlineStr">
        <is>
          <t>Pembekuan</t>
        </is>
      </c>
      <c r="K28" t="n">
        <v>60</v>
      </c>
      <c r="L28" t="inlineStr">
        <is>
          <t>12 Oktober 2026</t>
        </is>
      </c>
      <c r="M28" t="inlineStr">
        <is>
          <t>Konstruksi Gedung Pendidikan</t>
        </is>
      </c>
      <c r="N28" t="inlineStr">
        <is>
          <t>M</t>
        </is>
      </c>
      <c r="O28" t="inlineStr">
        <is>
          <t>20231012</t>
        </is>
      </c>
      <c r="P28" t="inlineStr">
        <is>
          <t>Jawa Barat</t>
        </is>
      </c>
      <c r="Q28" t="inlineStr"/>
    </row>
    <row r="29">
      <c r="A29" t="inlineStr">
        <is>
          <t>COMETOPAPA</t>
        </is>
      </c>
      <c r="B29" t="inlineStr">
        <is>
          <t>Kab. Bekasi</t>
        </is>
      </c>
      <c r="C29" t="inlineStr">
        <is>
          <t>081902307790</t>
        </is>
      </c>
      <c r="D29" t="inlineStr">
        <is>
          <t>cv.cometopapa@gmail.com</t>
        </is>
      </c>
      <c r="E29" t="inlineStr">
        <is>
          <t>https://lpjk.pu.go.id/search-badan-usaha-detail/cGFmZ0hsRmhtbEVtay9uQWlJZk9OQT09</t>
        </is>
      </c>
      <c r="F29" t="n">
        <v>1</v>
      </c>
      <c r="G29" t="inlineStr">
        <is>
          <t>BS002</t>
        </is>
      </c>
      <c r="H29" t="inlineStr">
        <is>
          <t>11 Januari 2023</t>
        </is>
      </c>
      <c r="I29" s="2" t="n">
        <v>46310</v>
      </c>
      <c r="J29" t="inlineStr">
        <is>
          <t>Disetujui</t>
        </is>
      </c>
      <c r="K29" t="n">
        <v>60</v>
      </c>
      <c r="L29" t="inlineStr">
        <is>
          <t>15 Oktober 2026</t>
        </is>
      </c>
      <c r="M29" t="inlineStr">
        <is>
          <t>Bangunan Sipil Jembatan, Jalan Layang, Fly Over, dan Underpass</t>
        </is>
      </c>
      <c r="N29" t="inlineStr">
        <is>
          <t>K</t>
        </is>
      </c>
      <c r="O29" t="inlineStr">
        <is>
          <t>20231013</t>
        </is>
      </c>
      <c r="P29" t="inlineStr">
        <is>
          <t>Jawa Barat</t>
        </is>
      </c>
      <c r="Q29" s="3">
        <f>HYPERLINK("https://wa.me/6281902307790?text=*[PENGINGAT MASA BERLAKU SBU COMETOPAPA]*%0A%0AYth. Pimpinan COMETOPAPA,%0AMohon izin menginformasikan status SBU Anda di sistem LPJK:%0A%0A📄 SBU: BS002%0A📅 Expired: 15 Oktober 2026 (60 Hari Lagi)%0A%0AKami tim PT. ESDEA Assistance Management siap men-support proses perpanjangan segera agar administrasi proyek tidak terhambat%0A%0AApakah boleh saya bantu siapkan estimasi biaya dan waktu pengerjaannya?.", "Hubungi")</f>
        <v/>
      </c>
    </row>
    <row r="30">
      <c r="A30" t="inlineStr">
        <is>
          <t>DINAMIKA BANGUN MANDIRI</t>
        </is>
      </c>
      <c r="B30" t="inlineStr">
        <is>
          <t>Kab. Bogor</t>
        </is>
      </c>
      <c r="C30" t="inlineStr">
        <is>
          <t>02183711010</t>
        </is>
      </c>
      <c r="D30" t="inlineStr">
        <is>
          <t>ptdinamikabangunmandiri@gmail.com</t>
        </is>
      </c>
      <c r="E30" t="inlineStr">
        <is>
          <t>https://lpjk.pu.go.id/search-badan-usaha-detail/SkhmUWRVR2Z1YS80YkJlWTZqQWljUT09</t>
        </is>
      </c>
      <c r="F30" t="n">
        <v>3</v>
      </c>
      <c r="G30" t="inlineStr">
        <is>
          <t>PB010</t>
        </is>
      </c>
      <c r="H30" t="inlineStr">
        <is>
          <t>14 November 2022</t>
        </is>
      </c>
      <c r="I30" s="2" t="n">
        <v>46311</v>
      </c>
      <c r="J30" t="inlineStr">
        <is>
          <t>Disetujui</t>
        </is>
      </c>
      <c r="K30" t="n">
        <v>60</v>
      </c>
      <c r="L30" t="inlineStr">
        <is>
          <t>16 Oktober 2026</t>
        </is>
      </c>
      <c r="M30" t="inlineStr">
        <is>
          <t>Pekerjaan Lanskap, Pertamanan, dan Penanaman Vegetasi</t>
        </is>
      </c>
      <c r="N30" t="inlineStr">
        <is>
          <t>Spesialis</t>
        </is>
      </c>
      <c r="O30" t="inlineStr">
        <is>
          <t>20231013</t>
        </is>
      </c>
      <c r="P30" t="inlineStr">
        <is>
          <t>Jawa Barat</t>
        </is>
      </c>
      <c r="Q30" t="inlineStr"/>
    </row>
    <row r="31">
      <c r="A31" t="inlineStr">
        <is>
          <t>DINAMIKA JAYA SEMESTA</t>
        </is>
      </c>
      <c r="B31" t="inlineStr">
        <is>
          <t>Kab. Bekasi</t>
        </is>
      </c>
      <c r="C31" t="inlineStr">
        <is>
          <t>081380591694</t>
        </is>
      </c>
      <c r="D31" t="inlineStr">
        <is>
          <t>dinamikajayasemesta.pt@yahoo.com</t>
        </is>
      </c>
      <c r="E31" t="inlineStr">
        <is>
          <t>https://lpjk.pu.go.id/search-badan-usaha-detail/dmVWSysvTzAwZEh0SjNTbGJUcitwQT09</t>
        </is>
      </c>
      <c r="F31" t="n">
        <v>3</v>
      </c>
      <c r="G31" t="inlineStr">
        <is>
          <t>BG009</t>
        </is>
      </c>
      <c r="H31" t="inlineStr">
        <is>
          <t>1 September 2023</t>
        </is>
      </c>
      <c r="I31" s="2" t="n">
        <v>46311</v>
      </c>
      <c r="J31" t="inlineStr">
        <is>
          <t>Disetujui</t>
        </is>
      </c>
      <c r="K31" t="n">
        <v>60</v>
      </c>
      <c r="L31" t="inlineStr">
        <is>
          <t>16 Oktober 2026</t>
        </is>
      </c>
      <c r="M31" t="inlineStr">
        <is>
          <t>Konstruksi Gedung Lainnya</t>
        </is>
      </c>
      <c r="N31" t="inlineStr">
        <is>
          <t>K</t>
        </is>
      </c>
      <c r="O31" t="inlineStr">
        <is>
          <t>20231017</t>
        </is>
      </c>
      <c r="P31" t="inlineStr">
        <is>
          <t>Jawa Barat</t>
        </is>
      </c>
      <c r="Q31" s="3">
        <f>HYPERLINK("https://wa.me/6281380591694?text=*[PENGINGAT MASA BERLAKU SBU DINAMIKA JAYA SEMESTA]*%0A%0AYth. Pimpinan DINAMIKA JAYA SEMESTA,%0AMohon izin menginformasikan status SBU Anda di sistem LPJK:%0A%0A📄 SBU: BG009%0A📅 Expired: 16 Oktober 2026 (60 Hari Lagi)%0A%0AKami tim PT. ESDEA Assistance Management siap men-support proses perpanjangan segera agar administrasi proyek tidak terhambat%0A%0AApakah boleh saya bantu siapkan estimasi biaya dan waktu pengerjaannya?.", "Hubungi")</f>
        <v/>
      </c>
    </row>
    <row r="32">
      <c r="A32" t="inlineStr">
        <is>
          <t>FARAMA MITRA MANDIRI</t>
        </is>
      </c>
      <c r="B32" t="inlineStr">
        <is>
          <t>Kota Bekasi</t>
        </is>
      </c>
      <c r="C32" t="inlineStr">
        <is>
          <t>02129568120</t>
        </is>
      </c>
      <c r="D32" t="inlineStr">
        <is>
          <t>faramamitra@gmail.com</t>
        </is>
      </c>
      <c r="E32" t="inlineStr">
        <is>
          <t>https://lpjk.pu.go.id/search-badan-usaha-detail/OGhlOTZTaFdPRGQzR2xSVlp4QnppZz09</t>
        </is>
      </c>
      <c r="F32" t="n">
        <v>1</v>
      </c>
      <c r="G32" t="inlineStr">
        <is>
          <t>BG009</t>
        </is>
      </c>
      <c r="H32" t="inlineStr">
        <is>
          <t>4 Januari 2006</t>
        </is>
      </c>
      <c r="I32" s="2" t="n">
        <v>46311</v>
      </c>
      <c r="J32" t="inlineStr">
        <is>
          <t>Disetujui</t>
        </is>
      </c>
      <c r="K32" t="n">
        <v>60</v>
      </c>
      <c r="L32" t="inlineStr">
        <is>
          <t>16 Oktober 2026</t>
        </is>
      </c>
      <c r="M32" t="inlineStr">
        <is>
          <t>Konstruksi Gedung Lainnya</t>
        </is>
      </c>
      <c r="N32" t="inlineStr">
        <is>
          <t>K</t>
        </is>
      </c>
      <c r="O32" t="inlineStr">
        <is>
          <t>20231013</t>
        </is>
      </c>
      <c r="P32" t="inlineStr">
        <is>
          <t>Jawa Barat</t>
        </is>
      </c>
      <c r="Q32" t="inlineStr"/>
    </row>
    <row r="33">
      <c r="A33" t="inlineStr">
        <is>
          <t>FITRI UTAMA MANDIRI</t>
        </is>
      </c>
      <c r="B33" t="inlineStr">
        <is>
          <t>Kota Adm. Jakarta Timur</t>
        </is>
      </c>
      <c r="C33" t="inlineStr">
        <is>
          <t>081293401556</t>
        </is>
      </c>
      <c r="D33" t="inlineStr">
        <is>
          <t>mfitriutama@yahoo.com</t>
        </is>
      </c>
      <c r="E33" t="inlineStr">
        <is>
          <t>https://lpjk.pu.go.id/search-badan-usaha-detail/YVBJMHg4c0FYSVBWR1pVa0IxcXAzQT09</t>
        </is>
      </c>
      <c r="F33" t="n">
        <v>7</v>
      </c>
      <c r="G33" t="inlineStr">
        <is>
          <t>BG001, BG002, BG003, BG008</t>
        </is>
      </c>
      <c r="H33" t="inlineStr">
        <is>
          <t>1 Februari 2012</t>
        </is>
      </c>
      <c r="I33" s="2" t="n">
        <v>46307</v>
      </c>
      <c r="J33" t="inlineStr">
        <is>
          <t>Disetujui</t>
        </is>
      </c>
      <c r="K33" t="n">
        <v>60</v>
      </c>
      <c r="L33" t="inlineStr">
        <is>
          <t>12 Oktober 2026</t>
        </is>
      </c>
      <c r="M33" t="inlineStr">
        <is>
          <t>Konstruksi Gedung Hunian, Konstruksi Gedung Industri, Konstruksi Gedung Perkantoran, Konstruksi Gedung Tempat Hiburan dan Olahraga</t>
        </is>
      </c>
      <c r="N33" t="inlineStr">
        <is>
          <t>K</t>
        </is>
      </c>
      <c r="O33" t="inlineStr">
        <is>
          <t>20231003</t>
        </is>
      </c>
      <c r="P33" t="inlineStr">
        <is>
          <t>DKI Jakarta</t>
        </is>
      </c>
      <c r="Q33" s="3">
        <f>HYPERLINK("https://wa.me/6281293401556?text=*[PENGINGAT MASA BERLAKU SBU FITRI UTAMA MANDIRI]*%0A%0AYth. Pimpinan FITRI UTAMA MANDIRI,%0AMohon izin menginformasikan status SBU Anda di sistem LPJK:%0A%0A📄 SBU: BG001, BG002, BG003, BG008%0A📅 Expired: 12 Oktober 2026 (60 Hari Lagi)%0A%0AKami tim PT. ESDEA Assistance Management siap men-support proses perpanjangan segera agar administrasi proyek tidak terhambat%0A%0AApakah boleh saya bantu siapkan estimasi biaya dan waktu pengerjaannya?.", "Hubungi")</f>
        <v/>
      </c>
    </row>
    <row r="34">
      <c r="A34" t="inlineStr">
        <is>
          <t>GLOBAL SOLUSINDO NUSANTARA</t>
        </is>
      </c>
      <c r="B34" t="inlineStr">
        <is>
          <t>Kota Adm. Jakarta Timur</t>
        </is>
      </c>
      <c r="C34" t="inlineStr">
        <is>
          <t>02158905002</t>
        </is>
      </c>
      <c r="D34" t="inlineStr">
        <is>
          <t>solusindonsantaraglobal@gmail.com</t>
        </is>
      </c>
      <c r="E34" t="inlineStr">
        <is>
          <t>https://lpjk.pu.go.id/search-badan-usaha-detail/ZFltZDhxdld1bUdSZWMzSmdVYXF3Zz09</t>
        </is>
      </c>
      <c r="F34" t="n">
        <v>2</v>
      </c>
      <c r="G34" t="inlineStr">
        <is>
          <t>BG001, BG009</t>
        </is>
      </c>
      <c r="H34" t="inlineStr">
        <is>
          <t>11 Oktober 2023</t>
        </is>
      </c>
      <c r="I34" s="2" t="n">
        <v>46308</v>
      </c>
      <c r="J34" t="inlineStr">
        <is>
          <t>Disetujui</t>
        </is>
      </c>
      <c r="K34" t="n">
        <v>60</v>
      </c>
      <c r="L34" t="inlineStr">
        <is>
          <t>13 Oktober 2026</t>
        </is>
      </c>
      <c r="M34" t="inlineStr">
        <is>
          <t>Konstruksi Gedung Hunian, Konstruksi Gedung Lainnya</t>
        </is>
      </c>
      <c r="N34" t="inlineStr">
        <is>
          <t>K</t>
        </is>
      </c>
      <c r="O34" t="inlineStr">
        <is>
          <t>20231011</t>
        </is>
      </c>
      <c r="P34" t="inlineStr">
        <is>
          <t>DKI Jakarta</t>
        </is>
      </c>
      <c r="Q34" t="inlineStr"/>
    </row>
    <row r="35">
      <c r="A35" t="inlineStr">
        <is>
          <t>GOLD LHEPAO NINGRAT</t>
        </is>
      </c>
      <c r="B35" t="inlineStr">
        <is>
          <t>Kota Adm. Jakarta Timur</t>
        </is>
      </c>
      <c r="C35" t="inlineStr">
        <is>
          <t>081314748336</t>
        </is>
      </c>
      <c r="D35" t="inlineStr">
        <is>
          <t>goldlhepaon@gmail.com</t>
        </is>
      </c>
      <c r="E35" t="inlineStr">
        <is>
          <t>https://lpjk.pu.go.id/search-badan-usaha-detail/c3BGWU5aV2Q3M3NYOWxZR3lXYTJmQT09</t>
        </is>
      </c>
      <c r="F35" t="n">
        <v>2</v>
      </c>
      <c r="G35" t="inlineStr">
        <is>
          <t>BS004, BS010</t>
        </is>
      </c>
      <c r="H35" t="inlineStr">
        <is>
          <t>24 Juni 2022</t>
        </is>
      </c>
      <c r="I35" s="2" t="n">
        <v>46308</v>
      </c>
      <c r="J35" t="inlineStr">
        <is>
          <t>Disetujui</t>
        </is>
      </c>
      <c r="K35" t="n">
        <v>60</v>
      </c>
      <c r="L35" t="inlineStr">
        <is>
          <t>13 Oktober 2026</t>
        </is>
      </c>
      <c r="M35" t="inlineStr">
        <is>
          <t>Konstruksi Bangunan Prasarana Sumber Daya Air, Konstruksi Jaringan Irigasi dan Drainase</t>
        </is>
      </c>
      <c r="N35" t="inlineStr">
        <is>
          <t>K</t>
        </is>
      </c>
      <c r="O35" t="inlineStr">
        <is>
          <t>20231011</t>
        </is>
      </c>
      <c r="P35" t="inlineStr">
        <is>
          <t>DKI Jakarta</t>
        </is>
      </c>
      <c r="Q35" s="3">
        <f>HYPERLINK("https://wa.me/6281314748336?text=*[PENGINGAT MASA BERLAKU SBU GOLD LHEPAO NINGRAT]*%0A%0AYth. Pimpinan GOLD LHEPAO NINGRAT,%0AMohon izin menginformasikan status SBU Anda di sistem LPJK:%0A%0A📄 SBU: BS004, BS010%0A📅 Expired: 13 Oktober 2026 (60 Hari Lagi)%0A%0AKami tim PT. ESDEA Assistance Management siap men-support proses perpanjangan segera agar administrasi proyek tidak terhambat%0A%0AApakah boleh saya bantu siapkan estimasi biaya dan waktu pengerjaannya?.", "Hubungi")</f>
        <v/>
      </c>
    </row>
    <row r="36">
      <c r="A36" t="inlineStr">
        <is>
          <t>GUNUNG NUSANTARA</t>
        </is>
      </c>
      <c r="B36" t="inlineStr">
        <is>
          <t>Kab. Bekasi</t>
        </is>
      </c>
      <c r="C36" t="inlineStr">
        <is>
          <t>081317107329</t>
        </is>
      </c>
      <c r="D36" t="inlineStr">
        <is>
          <t>cv.gunungnusantara@gmail.com</t>
        </is>
      </c>
      <c r="E36" t="inlineStr">
        <is>
          <t>https://lpjk.pu.go.id/search-badan-usaha-detail/cm80VUloSW5ndldVQVNOOS9JQzVpdz09</t>
        </is>
      </c>
      <c r="F36" t="n">
        <v>2</v>
      </c>
      <c r="G36" t="inlineStr">
        <is>
          <t>BS001, BS004</t>
        </is>
      </c>
      <c r="H36" t="inlineStr">
        <is>
          <t>7 Mei 2021</t>
        </is>
      </c>
      <c r="I36" s="2" t="n">
        <v>46313</v>
      </c>
      <c r="J36" t="inlineStr">
        <is>
          <t>Disetujui</t>
        </is>
      </c>
      <c r="K36" t="n">
        <v>60</v>
      </c>
      <c r="L36" t="inlineStr">
        <is>
          <t>18 Oktober 2026</t>
        </is>
      </c>
      <c r="M36" t="inlineStr">
        <is>
          <t>Konstruksi Bangunan Sipil Jalan, Konstruksi Jaringan Irigasi dan Drainase</t>
        </is>
      </c>
      <c r="N36" t="inlineStr">
        <is>
          <t>K</t>
        </is>
      </c>
      <c r="O36" t="inlineStr">
        <is>
          <t>20231016</t>
        </is>
      </c>
      <c r="P36" t="inlineStr">
        <is>
          <t>Jawa Barat</t>
        </is>
      </c>
      <c r="Q36" s="3">
        <f>HYPERLINK("https://wa.me/6281317107329?text=*[PENGINGAT MASA BERLAKU SBU GUNUNG NUSANTARA]*%0A%0AYth. Pimpinan GUNUNG NUSANTARA,%0AMohon izin menginformasikan status SBU Anda di sistem LPJK:%0A%0A📄 SBU: BS001, BS004%0A📅 Expired: 18 Oktober 2026 (60 Hari Lagi)%0A%0AKami tim PT. ESDEA Assistance Management siap men-support proses perpanjangan segera agar administrasi proyek tidak terhambat%0A%0AApakah boleh saya bantu siapkan estimasi biaya dan waktu pengerjaannya?.", "Hubungi")</f>
        <v/>
      </c>
    </row>
    <row r="37">
      <c r="A37" t="inlineStr">
        <is>
          <t>HANDA TEKNOLOGI INDONESIA</t>
        </is>
      </c>
      <c r="B37" t="inlineStr">
        <is>
          <t>Kota Adm. Jakarta Timur</t>
        </is>
      </c>
      <c r="C37" t="inlineStr">
        <is>
          <t>02122096645</t>
        </is>
      </c>
      <c r="D37" t="inlineStr">
        <is>
          <t>business.development@handateknologi.com</t>
        </is>
      </c>
      <c r="E37" t="inlineStr">
        <is>
          <t>https://lpjk.pu.go.id/search-badan-usaha-detail/UncraERFT0FWTFhPOTk1YWNXUWZhQT09</t>
        </is>
      </c>
      <c r="F37" t="n">
        <v>2</v>
      </c>
      <c r="G37" t="inlineStr">
        <is>
          <t>BG003, BG009</t>
        </is>
      </c>
      <c r="H37" t="inlineStr">
        <is>
          <t>19 April 2013</t>
        </is>
      </c>
      <c r="I37" s="2" t="n">
        <v>46313</v>
      </c>
      <c r="J37" t="inlineStr">
        <is>
          <t>Disetujui</t>
        </is>
      </c>
      <c r="K37" t="n">
        <v>60</v>
      </c>
      <c r="L37" t="inlineStr">
        <is>
          <t>18 Oktober 2026</t>
        </is>
      </c>
      <c r="M37" t="inlineStr">
        <is>
          <t>Konstruksi Gedung Industri, Konstruksi Gedung Lainnya</t>
        </is>
      </c>
      <c r="N37" t="inlineStr">
        <is>
          <t>K</t>
        </is>
      </c>
      <c r="O37" t="inlineStr">
        <is>
          <t>20231009, 20231014</t>
        </is>
      </c>
      <c r="P37" t="inlineStr">
        <is>
          <t>DKI Jakarta</t>
        </is>
      </c>
      <c r="Q37" t="inlineStr"/>
    </row>
    <row r="38">
      <c r="A38" t="inlineStr">
        <is>
          <t>HARMONI JAYA SEJAHTERA</t>
        </is>
      </c>
      <c r="B38" t="inlineStr">
        <is>
          <t>Kab. Bekasi</t>
        </is>
      </c>
      <c r="C38" t="inlineStr">
        <is>
          <t>02189902828</t>
        </is>
      </c>
      <c r="D38" t="inlineStr">
        <is>
          <t>harmonijayasejahtera@gmail.com</t>
        </is>
      </c>
      <c r="E38" t="inlineStr">
        <is>
          <t>https://lpjk.pu.go.id/search-badan-usaha-detail/R0FFNmMyYkVKb3ZiRlluNUIyTXNiZz09</t>
        </is>
      </c>
      <c r="F38" t="n">
        <v>1</v>
      </c>
      <c r="G38" t="inlineStr">
        <is>
          <t>BG001</t>
        </is>
      </c>
      <c r="H38" t="inlineStr">
        <is>
          <t>5 Desember 2006</t>
        </is>
      </c>
      <c r="I38" s="2" t="n">
        <v>46311</v>
      </c>
      <c r="J38" t="inlineStr">
        <is>
          <t>Disetujui</t>
        </is>
      </c>
      <c r="K38" t="n">
        <v>60</v>
      </c>
      <c r="L38" t="inlineStr">
        <is>
          <t>16 Oktober 2026</t>
        </is>
      </c>
      <c r="M38" t="inlineStr">
        <is>
          <t>Konstruksi Gedung Hunian</t>
        </is>
      </c>
      <c r="N38" t="inlineStr">
        <is>
          <t>B</t>
        </is>
      </c>
      <c r="O38" t="inlineStr">
        <is>
          <t>20231007</t>
        </is>
      </c>
      <c r="P38" t="inlineStr">
        <is>
          <t>Jawa Barat</t>
        </is>
      </c>
      <c r="Q38" t="inlineStr"/>
    </row>
    <row r="39">
      <c r="A39" t="inlineStr">
        <is>
          <t>HASTA DAYA LESTARI</t>
        </is>
      </c>
      <c r="B39" t="inlineStr">
        <is>
          <t>Kota Adm. Jakarta Timur</t>
        </is>
      </c>
      <c r="C39" t="inlineStr">
        <is>
          <t>0218609842</t>
        </is>
      </c>
      <c r="D39" t="inlineStr">
        <is>
          <t>pt.hastadayalestari@gmail.com</t>
        </is>
      </c>
      <c r="E39" t="inlineStr">
        <is>
          <t>https://lpjk.pu.go.id/search-badan-usaha-detail/UWl0dmFzQjZyTWlMd09FQVRWeVhRQT09</t>
        </is>
      </c>
      <c r="F39" t="n">
        <v>2</v>
      </c>
      <c r="G39" t="inlineStr">
        <is>
          <t>PL003, PL004</t>
        </is>
      </c>
      <c r="H39" t="inlineStr">
        <is>
          <t>10 November 2008</t>
        </is>
      </c>
      <c r="I39" s="2" t="n">
        <v>46313</v>
      </c>
      <c r="J39" t="inlineStr">
        <is>
          <t>Disetujui</t>
        </is>
      </c>
      <c r="K39" t="n">
        <v>60</v>
      </c>
      <c r="L39" t="inlineStr">
        <is>
          <t>18 Oktober 2026</t>
        </is>
      </c>
      <c r="M39" t="inlineStr">
        <is>
          <t>Pekerjaan Tanah, Penyiapan Lahan Konstruksi</t>
        </is>
      </c>
      <c r="N39" t="inlineStr">
        <is>
          <t>Spesialis</t>
        </is>
      </c>
      <c r="O39" t="inlineStr">
        <is>
          <t>20231010</t>
        </is>
      </c>
      <c r="P39" t="inlineStr">
        <is>
          <t>DKI Jakarta</t>
        </is>
      </c>
      <c r="Q39" t="inlineStr"/>
    </row>
    <row r="40">
      <c r="A40" t="inlineStr">
        <is>
          <t>HOBASHITA REKA TAMA</t>
        </is>
      </c>
      <c r="B40" t="inlineStr">
        <is>
          <t>Kota Adm. Jakarta Timur</t>
        </is>
      </c>
      <c r="C40" t="inlineStr">
        <is>
          <t>02186613110</t>
        </is>
      </c>
      <c r="D40" t="inlineStr">
        <is>
          <t>hobashita.rekatama@gmail.com</t>
        </is>
      </c>
      <c r="E40" t="inlineStr">
        <is>
          <t>https://lpjk.pu.go.id/search-badan-usaha-detail/Tkk1bE9CNm1uMmREcVpwY1dZM0tHUT09</t>
        </is>
      </c>
      <c r="F40" t="n">
        <v>3</v>
      </c>
      <c r="G40" t="inlineStr">
        <is>
          <t>BG002, BG005, BG006</t>
        </is>
      </c>
      <c r="H40" t="inlineStr">
        <is>
          <t>12 Februari 2019</t>
        </is>
      </c>
      <c r="I40" s="2" t="n">
        <v>46308</v>
      </c>
      <c r="J40" t="inlineStr">
        <is>
          <t>Disetujui</t>
        </is>
      </c>
      <c r="K40" t="n">
        <v>60</v>
      </c>
      <c r="L40" t="inlineStr">
        <is>
          <t>13 Oktober 2026</t>
        </is>
      </c>
      <c r="M40" t="inlineStr">
        <is>
          <t>Konstruksi Gedung Kesehatan, Konstruksi Gedung Pendidikan, Konstruksi Gedung Perkantoran</t>
        </is>
      </c>
      <c r="N40" t="inlineStr">
        <is>
          <t>K</t>
        </is>
      </c>
      <c r="O40" t="inlineStr">
        <is>
          <t>20231005</t>
        </is>
      </c>
      <c r="P40" t="inlineStr">
        <is>
          <t>DKI Jakarta</t>
        </is>
      </c>
      <c r="Q40" t="inlineStr"/>
    </row>
    <row r="41">
      <c r="A41" t="inlineStr">
        <is>
          <t>INDO KARYA SEJATI</t>
        </is>
      </c>
      <c r="B41" t="inlineStr">
        <is>
          <t>Kota Adm. Jakarta Timur</t>
        </is>
      </c>
      <c r="C41" t="inlineStr">
        <is>
          <t>02146828330</t>
        </is>
      </c>
      <c r="D41" t="inlineStr">
        <is>
          <t>indokaryasejati8@gmail.com</t>
        </is>
      </c>
      <c r="E41" t="inlineStr">
        <is>
          <t>https://lpjk.pu.go.id/search-badan-usaha-detail/RXJJempRRVlSbEZOTjlpRDcrV3BaZz09</t>
        </is>
      </c>
      <c r="F41" t="n">
        <v>4</v>
      </c>
      <c r="G41" t="inlineStr">
        <is>
          <t>BG001, BG002, BG003, BS002</t>
        </is>
      </c>
      <c r="H41" t="inlineStr">
        <is>
          <t>6 Maret 2008</t>
        </is>
      </c>
      <c r="I41" s="2" t="n">
        <v>46310</v>
      </c>
      <c r="J41" t="inlineStr">
        <is>
          <t>Disetujui</t>
        </is>
      </c>
      <c r="K41" t="n">
        <v>60</v>
      </c>
      <c r="L41" t="inlineStr">
        <is>
          <t>15 Oktober 2026</t>
        </is>
      </c>
      <c r="M41" t="inlineStr">
        <is>
          <t>Bangunan Sipil Jembatan, Jalan Layang, Fly Over, dan Underpass, Konstruksi Gedung Hunian, Konstruksi Gedung Industri, Konstruksi Gedung Perkantoran</t>
        </is>
      </c>
      <c r="N41" t="inlineStr">
        <is>
          <t>K</t>
        </is>
      </c>
      <c r="O41" t="inlineStr">
        <is>
          <t>20231011, 20231012</t>
        </is>
      </c>
      <c r="P41" t="inlineStr">
        <is>
          <t>DKI Jakarta</t>
        </is>
      </c>
      <c r="Q41" t="inlineStr"/>
    </row>
    <row r="42">
      <c r="A42" t="inlineStr">
        <is>
          <t>INDOTEK SAKA INTERNASIONAL</t>
        </is>
      </c>
      <c r="B42" t="inlineStr">
        <is>
          <t>Kota Depok</t>
        </is>
      </c>
      <c r="C42" t="inlineStr">
        <is>
          <t>02177806211</t>
        </is>
      </c>
      <c r="D42" t="inlineStr">
        <is>
          <t>indotek.saka.internasional@gmail.com</t>
        </is>
      </c>
      <c r="E42" t="inlineStr">
        <is>
          <t>https://lpjk.pu.go.id/search-badan-usaha-detail/VVdRSStPQkE1L0p6NXhIQ2w0UVlSUT09</t>
        </is>
      </c>
      <c r="F42" t="n">
        <v>2</v>
      </c>
      <c r="G42" t="inlineStr">
        <is>
          <t>BS001</t>
        </is>
      </c>
      <c r="H42" t="inlineStr">
        <is>
          <t>5 Agustus 2019</t>
        </is>
      </c>
      <c r="I42" s="2" t="n">
        <v>46311</v>
      </c>
      <c r="J42" t="inlineStr">
        <is>
          <t>Pencabutan</t>
        </is>
      </c>
      <c r="K42" t="n">
        <v>60</v>
      </c>
      <c r="L42" t="inlineStr">
        <is>
          <t>16 Oktober 2026</t>
        </is>
      </c>
      <c r="M42" t="inlineStr">
        <is>
          <t>Konstruksi Bangunan Sipil Jalan</t>
        </is>
      </c>
      <c r="N42" t="inlineStr">
        <is>
          <t>K</t>
        </is>
      </c>
      <c r="O42" t="inlineStr">
        <is>
          <t>20231011</t>
        </is>
      </c>
      <c r="P42" t="inlineStr">
        <is>
          <t>Jawa Barat</t>
        </is>
      </c>
      <c r="Q42" t="inlineStr"/>
    </row>
    <row r="43">
      <c r="A43" t="inlineStr">
        <is>
          <t>KARYA JOUJA GEMILANG</t>
        </is>
      </c>
      <c r="B43" t="inlineStr">
        <is>
          <t>Kab. Bogor</t>
        </is>
      </c>
      <c r="C43" t="inlineStr">
        <is>
          <t>081210104992</t>
        </is>
      </c>
      <c r="D43" t="inlineStr">
        <is>
          <t>kjg70@yahoo.com</t>
        </is>
      </c>
      <c r="E43" t="inlineStr">
        <is>
          <t>https://lpjk.pu.go.id/search-badan-usaha-detail/QWNYV1hTQ0pFSk1mWTBEZk1oK0h4dz09</t>
        </is>
      </c>
      <c r="F43" t="n">
        <v>7</v>
      </c>
      <c r="G43" t="inlineStr">
        <is>
          <t>BG001, BG002, BG005, BG008, BG009, BS001, BS004</t>
        </is>
      </c>
      <c r="H43" t="inlineStr">
        <is>
          <t>3 Agustus 2023</t>
        </is>
      </c>
      <c r="I43" s="2" t="n">
        <v>46310</v>
      </c>
      <c r="J43" t="inlineStr">
        <is>
          <t>Disetujui</t>
        </is>
      </c>
      <c r="K43" t="n">
        <v>60</v>
      </c>
      <c r="L43" t="inlineStr">
        <is>
          <t>15 Oktober 2026</t>
        </is>
      </c>
      <c r="M43" t="inlineStr">
        <is>
          <t>Konstruksi Bangunan Sipil Jalan, Konstruksi Gedung Hunian, Konstruksi Gedung Kesehatan, Konstruksi Gedung Lainnya, Konstruksi Gedung Perkantoran, Konstruksi Gedung Tempat Hiburan dan Olahraga, Konstruksi Jaringan Irigasi dan Drainase</t>
        </is>
      </c>
      <c r="N43" t="inlineStr">
        <is>
          <t>K</t>
        </is>
      </c>
      <c r="O43" t="inlineStr">
        <is>
          <t>20231012</t>
        </is>
      </c>
      <c r="P43" t="inlineStr">
        <is>
          <t>Jawa Barat</t>
        </is>
      </c>
      <c r="Q43" s="3">
        <f>HYPERLINK("https://wa.me/6281210104992?text=*[PENGINGAT MASA BERLAKU SBU KARYA JOUJA GEMILANG]*%0A%0AYth. Pimpinan KARYA JOUJA GEMILANG,%0AMohon izin menginformasikan status SBU Anda di sistem LPJK:%0A%0A📄 SBU: BG001, BG002, BG005, BG008, BG009, BS001, BS004%0A📅 Expired: 15 Oktober 2026 (60 Hari Lagi)%0A%0AKami tim PT. ESDEA Assistance Management siap men-support proses perpanjangan segera agar administrasi proyek tidak terhambat%0A%0AApakah boleh saya bantu siapkan estimasi biaya dan waktu pengerjaannya?.", "Hubungi")</f>
        <v/>
      </c>
    </row>
    <row r="44">
      <c r="A44" t="inlineStr">
        <is>
          <t>KEIRA SURYA KENCANA</t>
        </is>
      </c>
      <c r="B44" t="inlineStr">
        <is>
          <t>Kota Bekasi</t>
        </is>
      </c>
      <c r="C44" t="inlineStr">
        <is>
          <t>02129489709</t>
        </is>
      </c>
      <c r="D44" t="inlineStr">
        <is>
          <t>keirasuryakencana@gmail.com</t>
        </is>
      </c>
      <c r="E44" t="inlineStr">
        <is>
          <t>https://lpjk.pu.go.id/search-badan-usaha-detail/RmZkbFl1bkxLQm5ZQVN2KzRSaktPQT09</t>
        </is>
      </c>
      <c r="F44" t="n">
        <v>1</v>
      </c>
      <c r="G44" t="inlineStr">
        <is>
          <t>BS008</t>
        </is>
      </c>
      <c r="H44" t="inlineStr">
        <is>
          <t>24 Februari 2016</t>
        </is>
      </c>
      <c r="I44" s="2" t="n">
        <v>46313</v>
      </c>
      <c r="J44" t="inlineStr">
        <is>
          <t>Disetujui</t>
        </is>
      </c>
      <c r="K44" t="n">
        <v>60</v>
      </c>
      <c r="L44" t="inlineStr">
        <is>
          <t>18 Oktober 2026</t>
        </is>
      </c>
      <c r="M44" t="inlineStr">
        <is>
          <t>Konstruksi Bangunan Sipil Telekomunikasi untuk Prasarana Transportasi</t>
        </is>
      </c>
      <c r="N44" t="inlineStr">
        <is>
          <t>K</t>
        </is>
      </c>
      <c r="O44" t="inlineStr">
        <is>
          <t>20231016</t>
        </is>
      </c>
      <c r="P44" t="inlineStr">
        <is>
          <t>Jawa Barat</t>
        </is>
      </c>
      <c r="Q44" t="inlineStr"/>
    </row>
    <row r="45">
      <c r="A45" t="inlineStr">
        <is>
          <t>KHUBA PUTRA KONSTRUKSI</t>
        </is>
      </c>
      <c r="B45" t="inlineStr">
        <is>
          <t>Kota Depok</t>
        </is>
      </c>
      <c r="C45" t="inlineStr">
        <is>
          <t>0895380558411</t>
        </is>
      </c>
      <c r="D45" t="inlineStr">
        <is>
          <t>khubakonstruksicv@gmail.com</t>
        </is>
      </c>
      <c r="E45" t="inlineStr">
        <is>
          <t>https://lpjk.pu.go.id/search-badan-usaha-detail/Q0FRUS9SSEQ4dW9HMktvaXFCa3pidz09</t>
        </is>
      </c>
      <c r="F45" t="n">
        <v>1</v>
      </c>
      <c r="G45" t="inlineStr">
        <is>
          <t>BS004</t>
        </is>
      </c>
      <c r="H45" t="inlineStr">
        <is>
          <t>2 Oktober 2023</t>
        </is>
      </c>
      <c r="I45" s="2" t="n">
        <v>46307</v>
      </c>
      <c r="J45" t="inlineStr">
        <is>
          <t>Disetujui</t>
        </is>
      </c>
      <c r="K45" t="n">
        <v>60</v>
      </c>
      <c r="L45" t="inlineStr">
        <is>
          <t>12 Oktober 2026</t>
        </is>
      </c>
      <c r="M45" t="inlineStr">
        <is>
          <t>Konstruksi Jaringan Irigasi dan Drainase</t>
        </is>
      </c>
      <c r="N45" t="inlineStr">
        <is>
          <t>K</t>
        </is>
      </c>
      <c r="O45" t="inlineStr">
        <is>
          <t>20231012</t>
        </is>
      </c>
      <c r="P45" t="inlineStr">
        <is>
          <t>Jawa Barat</t>
        </is>
      </c>
      <c r="Q45" s="3">
        <f>HYPERLINK("https://wa.me/62895380558411?text=*[PENGINGAT MASA BERLAKU SBU KHUBA PUTRA KONSTRUKSI]*%0A%0AYth. Pimpinan KHUBA PUTRA KONSTRUKSI,%0AMohon izin menginformasikan status SBU Anda di sistem LPJK:%0A%0A📄 SBU: BS004%0A📅 Expired: 12 Oktober 2026 (60 Hari Lagi)%0A%0AKami tim PT. ESDEA Assistance Management siap men-support proses perpanjangan segera agar administrasi proyek tidak terhambat%0A%0AApakah boleh saya bantu siapkan estimasi biaya dan waktu pengerjaannya?.", "Hubungi")</f>
        <v/>
      </c>
    </row>
    <row r="46">
      <c r="A46" t="inlineStr">
        <is>
          <t>MANGGALA TEHNIK BERSAUDARA</t>
        </is>
      </c>
      <c r="B46" t="inlineStr">
        <is>
          <t>Kab. Bekasi</t>
        </is>
      </c>
      <c r="C46" t="inlineStr">
        <is>
          <t>087745445924</t>
        </is>
      </c>
      <c r="D46" t="inlineStr">
        <is>
          <t>manggalatb@yahoo.com</t>
        </is>
      </c>
      <c r="E46" t="inlineStr">
        <is>
          <t>https://lpjk.pu.go.id/search-badan-usaha-detail/anNha25zYkxHL1I4WDN0aVV2a08vZz09</t>
        </is>
      </c>
      <c r="F46" t="n">
        <v>1</v>
      </c>
      <c r="G46" t="inlineStr">
        <is>
          <t>BG003</t>
        </is>
      </c>
      <c r="H46" t="inlineStr">
        <is>
          <t>4 Juli 2023</t>
        </is>
      </c>
      <c r="I46" s="2" t="n">
        <v>46308</v>
      </c>
      <c r="J46" t="inlineStr">
        <is>
          <t>Disetujui</t>
        </is>
      </c>
      <c r="K46" t="n">
        <v>60</v>
      </c>
      <c r="L46" t="inlineStr">
        <is>
          <t>13 Oktober 2026</t>
        </is>
      </c>
      <c r="M46" t="inlineStr">
        <is>
          <t>Konstruksi Gedung Industri</t>
        </is>
      </c>
      <c r="N46" t="inlineStr">
        <is>
          <t>K</t>
        </is>
      </c>
      <c r="O46" t="inlineStr">
        <is>
          <t>20231012</t>
        </is>
      </c>
      <c r="P46" t="inlineStr">
        <is>
          <t>Jawa Barat</t>
        </is>
      </c>
      <c r="Q46" s="3">
        <f>HYPERLINK("https://wa.me/6287745445924?text=*[PENGINGAT MASA BERLAKU SBU MANGGALA TEHNIK BERSAUDARA]*%0A%0AYth. Pimpinan MANGGALA TEHNIK BERSAUDARA,%0AMohon izin menginformasikan status SBU Anda di sistem LPJK:%0A%0A📄 SBU: BG003%0A📅 Expired: 13 Oktober 2026 (60 Hari Lagi)%0A%0AKami tim PT. ESDEA Assistance Management siap men-support proses perpanjangan segera agar administrasi proyek tidak terhambat%0A%0AApakah boleh saya bantu siapkan estimasi biaya dan waktu pengerjaannya?.", "Hubungi")</f>
        <v/>
      </c>
    </row>
    <row r="47">
      <c r="A47" t="inlineStr">
        <is>
          <t>MARANTI TRENCHLESINDO ABADI</t>
        </is>
      </c>
      <c r="B47" t="inlineStr">
        <is>
          <t>Kab. Bekasi</t>
        </is>
      </c>
      <c r="C47" t="inlineStr">
        <is>
          <t>021893254465</t>
        </is>
      </c>
      <c r="D47" t="inlineStr">
        <is>
          <t>meranti.trenchlesindo@gmail.com</t>
        </is>
      </c>
      <c r="E47" t="inlineStr">
        <is>
          <t>https://lpjk.pu.go.id/search-badan-usaha-detail/SzFyM3ZpS1AwdWhTTWVGbzZXRVRsQT09</t>
        </is>
      </c>
      <c r="F47" t="n">
        <v>3</v>
      </c>
      <c r="G47" t="inlineStr">
        <is>
          <t>BG001</t>
        </is>
      </c>
      <c r="H47" t="inlineStr">
        <is>
          <t>4 November 2020</t>
        </is>
      </c>
      <c r="I47" s="2" t="n">
        <v>46312</v>
      </c>
      <c r="J47" t="inlineStr">
        <is>
          <t>Disetujui</t>
        </is>
      </c>
      <c r="K47" t="n">
        <v>60</v>
      </c>
      <c r="L47" t="inlineStr">
        <is>
          <t>17 Oktober 2026</t>
        </is>
      </c>
      <c r="M47" t="inlineStr">
        <is>
          <t>Konstruksi Gedung Hunian</t>
        </is>
      </c>
      <c r="N47" t="inlineStr">
        <is>
          <t>K</t>
        </is>
      </c>
      <c r="O47" t="inlineStr">
        <is>
          <t>20231013</t>
        </is>
      </c>
      <c r="P47" t="inlineStr">
        <is>
          <t>Jawa Barat</t>
        </is>
      </c>
      <c r="Q47" t="inlineStr"/>
    </row>
    <row r="48">
      <c r="A48" t="inlineStr">
        <is>
          <t>MEFIRAN EKA PERSADA</t>
        </is>
      </c>
      <c r="B48" t="inlineStr">
        <is>
          <t>Kota Adm. Jakarta Timur</t>
        </is>
      </c>
      <c r="C48" t="inlineStr">
        <is>
          <t>081288676669</t>
        </is>
      </c>
      <c r="D48" t="inlineStr">
        <is>
          <t>pt.mefiranekapersada@gmail.com</t>
        </is>
      </c>
      <c r="E48" t="inlineStr">
        <is>
          <t>https://lpjk.pu.go.id/search-badan-usaha-detail/Z0xmbmNtM1hSa1BORTd1b2NjTWNLZz09</t>
        </is>
      </c>
      <c r="F48" t="n">
        <v>2</v>
      </c>
      <c r="G48" t="inlineStr">
        <is>
          <t>BG009</t>
        </is>
      </c>
      <c r="H48" t="inlineStr">
        <is>
          <t>30 November 2020</t>
        </is>
      </c>
      <c r="I48" s="2" t="n">
        <v>46311</v>
      </c>
      <c r="J48" t="inlineStr">
        <is>
          <t>Disetujui</t>
        </is>
      </c>
      <c r="K48" t="n">
        <v>60</v>
      </c>
      <c r="L48" t="inlineStr">
        <is>
          <t>16 Oktober 2026</t>
        </is>
      </c>
      <c r="M48" t="inlineStr">
        <is>
          <t>Konstruksi Gedung Lainnya</t>
        </is>
      </c>
      <c r="N48" t="inlineStr">
        <is>
          <t>K</t>
        </is>
      </c>
      <c r="O48" t="inlineStr">
        <is>
          <t>20231013</t>
        </is>
      </c>
      <c r="P48" t="inlineStr">
        <is>
          <t>DKI Jakarta</t>
        </is>
      </c>
      <c r="Q48" s="3">
        <f>HYPERLINK("https://wa.me/6281288676669?text=*[PENGINGAT MASA BERLAKU SBU MEFIRAN EKA PERSADA]*%0A%0AYth. Pimpinan MEFIRAN EKA PERSADA,%0AMohon izin menginformasikan status SBU Anda di sistem LPJK:%0A%0A📄 SBU: BG009%0A📅 Expired: 16 Oktober 2026 (60 Hari Lagi)%0A%0AKami tim PT. ESDEA Assistance Management siap men-support proses perpanjangan segera agar administrasi proyek tidak terhambat%0A%0AApakah boleh saya bantu siapkan estimasi biaya dan waktu pengerjaannya?.", "Hubungi")</f>
        <v/>
      </c>
    </row>
    <row r="49">
      <c r="A49" t="inlineStr">
        <is>
          <t>MITRA TIRTA SUKSES</t>
        </is>
      </c>
      <c r="B49" t="inlineStr">
        <is>
          <t>Kota Adm. Jakarta Timur</t>
        </is>
      </c>
      <c r="C49" t="inlineStr">
        <is>
          <t>02129474881</t>
        </is>
      </c>
      <c r="D49" t="inlineStr">
        <is>
          <t>pt.mitra.tirta.sukses@gmail.com</t>
        </is>
      </c>
      <c r="E49" t="inlineStr">
        <is>
          <t>https://lpjk.pu.go.id/search-badan-usaha-detail/WHdrRk9XWmdNK090WEcvTXJFU21GQT09</t>
        </is>
      </c>
      <c r="F49" t="n">
        <v>1</v>
      </c>
      <c r="G49" t="inlineStr">
        <is>
          <t>BS005</t>
        </is>
      </c>
      <c r="H49" t="inlineStr">
        <is>
          <t>26 Oktober 2010</t>
        </is>
      </c>
      <c r="I49" s="2" t="n">
        <v>46312</v>
      </c>
      <c r="J49" t="inlineStr">
        <is>
          <t>Disetujui</t>
        </is>
      </c>
      <c r="K49" t="n">
        <v>60</v>
      </c>
      <c r="L49" t="inlineStr">
        <is>
          <t>17 Oktober 2026</t>
        </is>
      </c>
      <c r="M49" t="inlineStr">
        <is>
          <t>Konstruksi Bangunan Sipil Pengolahan Air Bersih</t>
        </is>
      </c>
      <c r="N49" t="inlineStr">
        <is>
          <t>K</t>
        </is>
      </c>
      <c r="O49" t="inlineStr">
        <is>
          <t>20231017</t>
        </is>
      </c>
      <c r="P49" t="inlineStr">
        <is>
          <t>DKI Jakarta</t>
        </is>
      </c>
      <c r="Q49" t="inlineStr"/>
    </row>
    <row r="50">
      <c r="A50" t="inlineStr">
        <is>
          <t>NAYAKA WISHAKA ADHINATHA</t>
        </is>
      </c>
      <c r="B50" t="inlineStr">
        <is>
          <t>Kota Adm. Jakarta Timur</t>
        </is>
      </c>
      <c r="C50" t="inlineStr">
        <is>
          <t>08122232356</t>
        </is>
      </c>
      <c r="D50" t="inlineStr">
        <is>
          <t>pt.nayakawhisakaadhinatha@gmail.com</t>
        </is>
      </c>
      <c r="E50" t="inlineStr">
        <is>
          <t>https://lpjk.pu.go.id/search-badan-usaha-detail/a0prVGNranJPL0o1Z2JZY09vM1IzUT09</t>
        </is>
      </c>
      <c r="F50" t="n">
        <v>1</v>
      </c>
      <c r="G50" t="inlineStr">
        <is>
          <t>BS002</t>
        </is>
      </c>
      <c r="H50" t="inlineStr">
        <is>
          <t>6 Januari 2022</t>
        </is>
      </c>
      <c r="I50" s="2" t="n">
        <v>46313</v>
      </c>
      <c r="J50" t="inlineStr">
        <is>
          <t>Disetujui</t>
        </is>
      </c>
      <c r="K50" t="n">
        <v>60</v>
      </c>
      <c r="L50" t="inlineStr">
        <is>
          <t>18 Oktober 2026</t>
        </is>
      </c>
      <c r="M50" t="inlineStr">
        <is>
          <t>Bangunan Sipil Jembatan, Jalan Layang, Fly Over, dan Underpass</t>
        </is>
      </c>
      <c r="N50" t="inlineStr">
        <is>
          <t>K</t>
        </is>
      </c>
      <c r="O50" t="inlineStr">
        <is>
          <t>20231013</t>
        </is>
      </c>
      <c r="P50" t="inlineStr">
        <is>
          <t>DKI Jakarta</t>
        </is>
      </c>
      <c r="Q50" s="3">
        <f>HYPERLINK("https://wa.me/628122232356?text=*[PENGINGAT MASA BERLAKU SBU NAYAKA WISHAKA ADHINATHA]*%0A%0AYth. Pimpinan NAYAKA WISHAKA ADHINATHA,%0AMohon izin menginformasikan status SBU Anda di sistem LPJK:%0A%0A📄 SBU: BS002%0A📅 Expired: 18 Oktober 2026 (60 Hari Lagi)%0A%0AKami tim PT. ESDEA Assistance Management siap men-support proses perpanjangan segera agar administrasi proyek tidak terhambat%0A%0AApakah boleh saya bantu siapkan estimasi biaya dan waktu pengerjaannya?.", "Hubungi")</f>
        <v/>
      </c>
    </row>
    <row r="51">
      <c r="A51" t="inlineStr">
        <is>
          <t>NAZ JALIL GEMILANG</t>
        </is>
      </c>
      <c r="B51" t="inlineStr">
        <is>
          <t>Kota Bekasi</t>
        </is>
      </c>
      <c r="C51" t="inlineStr">
        <is>
          <t>081381992872</t>
        </is>
      </c>
      <c r="D51" t="inlineStr">
        <is>
          <t>az.jalilgemilang123@gmail.com</t>
        </is>
      </c>
      <c r="E51" t="inlineStr">
        <is>
          <t>https://lpjk.pu.go.id/search-badan-usaha-detail/ekF0dmplNXJuOC9yWWR3VHVMUnU2UT09</t>
        </is>
      </c>
      <c r="F51" t="n">
        <v>1</v>
      </c>
      <c r="G51" t="inlineStr">
        <is>
          <t>BG003</t>
        </is>
      </c>
      <c r="H51" t="inlineStr">
        <is>
          <t>6 Oktober 2023</t>
        </is>
      </c>
      <c r="I51" s="2" t="n">
        <v>46307</v>
      </c>
      <c r="J51" t="inlineStr">
        <is>
          <t>Pencabutan</t>
        </is>
      </c>
      <c r="K51" t="n">
        <v>60</v>
      </c>
      <c r="L51" t="inlineStr">
        <is>
          <t>12 Oktober 2026</t>
        </is>
      </c>
      <c r="M51" t="inlineStr">
        <is>
          <t>Konstruksi Gedung Industri</t>
        </is>
      </c>
      <c r="N51" t="inlineStr">
        <is>
          <t>K</t>
        </is>
      </c>
      <c r="O51" t="inlineStr">
        <is>
          <t>20231011</t>
        </is>
      </c>
      <c r="P51" t="inlineStr">
        <is>
          <t>Jawa Barat</t>
        </is>
      </c>
      <c r="Q51" s="3">
        <f>HYPERLINK("https://wa.me/6281381992872?text=*[PENGINGAT MASA BERLAKU SBU NAZ JALIL GEMILANG]*%0A%0AYth. Pimpinan NAZ JALIL GEMILANG,%0AMohon izin menginformasikan status SBU Anda di sistem LPJK:%0A%0A📄 SBU: BG003%0A📅 Expired: 12 Oktober 2026 (60 Hari Lagi)%0A%0AKami tim PT. ESDEA Assistance Management siap men-support proses perpanjangan segera agar administrasi proyek tidak terhambat%0A%0AApakah boleh saya bantu siapkan estimasi biaya dan waktu pengerjaannya?.", "Hubungi")</f>
        <v/>
      </c>
    </row>
    <row r="52">
      <c r="A52" t="inlineStr">
        <is>
          <t>NINGRAT MUDA WICAKSONO</t>
        </is>
      </c>
      <c r="B52" t="inlineStr">
        <is>
          <t>Kota Bekasi</t>
        </is>
      </c>
      <c r="C52" t="inlineStr">
        <is>
          <t>08123457711</t>
        </is>
      </c>
      <c r="D52" t="inlineStr">
        <is>
          <t>ningratmudawicaksono@gmail.com</t>
        </is>
      </c>
      <c r="E52" t="inlineStr">
        <is>
          <t>https://lpjk.pu.go.id/search-badan-usaha-detail/WEdsUDNqekR6UCtOMFYxV3BXZlp1UT09</t>
        </is>
      </c>
      <c r="F52" t="n">
        <v>2</v>
      </c>
      <c r="G52" t="inlineStr">
        <is>
          <t>BG001, BG002</t>
        </is>
      </c>
      <c r="H52" t="inlineStr">
        <is>
          <t>12 September 2022</t>
        </is>
      </c>
      <c r="I52" s="2" t="n">
        <v>46311</v>
      </c>
      <c r="J52" t="inlineStr">
        <is>
          <t>Disetujui</t>
        </is>
      </c>
      <c r="K52" t="n">
        <v>60</v>
      </c>
      <c r="L52" t="inlineStr">
        <is>
          <t>16 Oktober 2026</t>
        </is>
      </c>
      <c r="M52" t="inlineStr">
        <is>
          <t>Konstruksi Gedung Hunian, Konstruksi Gedung Perkantoran</t>
        </is>
      </c>
      <c r="N52" t="inlineStr">
        <is>
          <t>K</t>
        </is>
      </c>
      <c r="O52" t="inlineStr">
        <is>
          <t>20231017</t>
        </is>
      </c>
      <c r="P52" t="inlineStr">
        <is>
          <t>Jawa Barat</t>
        </is>
      </c>
      <c r="Q52" s="3">
        <f>HYPERLINK("https://wa.me/628123457711?text=*[PENGINGAT MASA BERLAKU SBU NINGRAT MUDA WICAKSONO]*%0A%0AYth. Pimpinan NINGRAT MUDA WICAKSONO,%0AMohon izin menginformasikan status SBU Anda di sistem LPJK:%0A%0A📄 SBU: BG001, BG002%0A📅 Expired: 16 Oktober 2026 (60 Hari Lagi)%0A%0AKami tim PT. ESDEA Assistance Management siap men-support proses perpanjangan segera agar administrasi proyek tidak terhambat%0A%0AApakah boleh saya bantu siapkan estimasi biaya dan waktu pengerjaannya?.", "Hubungi")</f>
        <v/>
      </c>
    </row>
    <row r="53">
      <c r="A53" t="inlineStr">
        <is>
          <t>NUR ABADI PERKASA</t>
        </is>
      </c>
      <c r="B53" t="inlineStr">
        <is>
          <t>Kota Bekasi</t>
        </is>
      </c>
      <c r="C53" t="inlineStr">
        <is>
          <t>081285814912</t>
        </is>
      </c>
      <c r="D53" t="inlineStr">
        <is>
          <t>nurabadiperkasa@gmail.com</t>
        </is>
      </c>
      <c r="E53" t="inlineStr">
        <is>
          <t>https://lpjk.pu.go.id/search-badan-usaha-detail/N3FlSGdENGlaRjFjWHMwTXplZDRXdz09</t>
        </is>
      </c>
      <c r="F53" t="n">
        <v>1</v>
      </c>
      <c r="G53" t="inlineStr">
        <is>
          <t>BS001</t>
        </is>
      </c>
      <c r="H53" t="inlineStr">
        <is>
          <t>23 Januari 2020</t>
        </is>
      </c>
      <c r="I53" s="2" t="n">
        <v>46313</v>
      </c>
      <c r="J53" t="inlineStr">
        <is>
          <t>Disetujui</t>
        </is>
      </c>
      <c r="K53" t="n">
        <v>60</v>
      </c>
      <c r="L53" t="inlineStr">
        <is>
          <t>18 Oktober 2026</t>
        </is>
      </c>
      <c r="M53" t="inlineStr">
        <is>
          <t>Konstruksi Bangunan Sipil Jalan</t>
        </is>
      </c>
      <c r="N53" t="inlineStr">
        <is>
          <t>K</t>
        </is>
      </c>
      <c r="O53" t="inlineStr">
        <is>
          <t>20231011</t>
        </is>
      </c>
      <c r="P53" t="inlineStr">
        <is>
          <t>Jawa Barat</t>
        </is>
      </c>
      <c r="Q53" s="3">
        <f>HYPERLINK("https://wa.me/6281285814912?text=*[PENGINGAT MASA BERLAKU SBU NUR ABADI PERKASA]*%0A%0AYth. Pimpinan NUR ABADI PERKASA,%0AMohon izin menginformasikan status SBU Anda di sistem LPJK:%0A%0A📄 SBU: BS001%0A📅 Expired: 18 Oktober 2026 (60 Hari Lagi)%0A%0AKami tim PT. ESDEA Assistance Management siap men-support proses perpanjangan segera agar administrasi proyek tidak terhambat%0A%0AApakah boleh saya bantu siapkan estimasi biaya dan waktu pengerjaannya?.", "Hubungi")</f>
        <v/>
      </c>
    </row>
    <row r="54">
      <c r="A54" t="inlineStr">
        <is>
          <t>NUSALINTAS PERSADA OPTINET</t>
        </is>
      </c>
      <c r="B54" t="inlineStr">
        <is>
          <t>Kota Depok</t>
        </is>
      </c>
      <c r="C54" t="inlineStr">
        <is>
          <t>081287032661</t>
        </is>
      </c>
      <c r="D54" t="inlineStr">
        <is>
          <t>lintasnuspersadaoptinet@gmail.com</t>
        </is>
      </c>
      <c r="E54" t="inlineStr">
        <is>
          <t>https://lpjk.pu.go.id/search-badan-usaha-detail/bjdQYzhxV2dyZHdVZnRIcFNqZTNrZz09</t>
        </is>
      </c>
      <c r="F54" t="n">
        <v>2</v>
      </c>
      <c r="G54" t="inlineStr">
        <is>
          <t>BS001</t>
        </is>
      </c>
      <c r="H54" t="inlineStr">
        <is>
          <t>27 Juni 2023</t>
        </is>
      </c>
      <c r="I54" s="2" t="n">
        <v>46312</v>
      </c>
      <c r="J54" t="inlineStr">
        <is>
          <t>Pencabutan</t>
        </is>
      </c>
      <c r="K54" t="n">
        <v>60</v>
      </c>
      <c r="L54" t="inlineStr">
        <is>
          <t>17 Oktober 2026</t>
        </is>
      </c>
      <c r="M54" t="inlineStr">
        <is>
          <t>Konstruksi Bangunan Sipil Jalan</t>
        </is>
      </c>
      <c r="N54" t="inlineStr">
        <is>
          <t>K</t>
        </is>
      </c>
      <c r="O54" t="inlineStr">
        <is>
          <t>20230726</t>
        </is>
      </c>
      <c r="P54" t="inlineStr">
        <is>
          <t>Jawa Barat</t>
        </is>
      </c>
      <c r="Q54" s="3">
        <f>HYPERLINK("https://wa.me/6281287032661?text=*[PENGINGAT MASA BERLAKU SBU NUSALINTAS PERSADA OPTINET]*%0A%0AYth. Pimpinan NUSALINTAS PERSADA OPTINET,%0AMohon izin menginformasikan status SBU Anda di sistem LPJK:%0A%0A📄 SBU: BS001%0A📅 Expired: 17 Oktober 2026 (60 Hari Lagi)%0A%0AKami tim PT. ESDEA Assistance Management siap men-support proses perpanjangan segera agar administrasi proyek tidak terhambat%0A%0AApakah boleh saya bantu siapkan estimasi biaya dan waktu pengerjaannya?.", "Hubungi")</f>
        <v/>
      </c>
    </row>
    <row r="55">
      <c r="A55" t="inlineStr">
        <is>
          <t>OCTOS GRAHA</t>
        </is>
      </c>
      <c r="B55" t="inlineStr">
        <is>
          <t>Kota Depok</t>
        </is>
      </c>
      <c r="C55" t="inlineStr">
        <is>
          <t>08129640002</t>
        </is>
      </c>
      <c r="D55" t="inlineStr">
        <is>
          <t>goctos@yahoo.co.id</t>
        </is>
      </c>
      <c r="E55" t="inlineStr">
        <is>
          <t>https://lpjk.pu.go.id/search-badan-usaha-detail/NEQ3MzlLY1hpZUQwcGZoaXVnQlhOdz09</t>
        </is>
      </c>
      <c r="F55" t="n">
        <v>3</v>
      </c>
      <c r="G55" t="inlineStr">
        <is>
          <t>BS001, BS004, BS006</t>
        </is>
      </c>
      <c r="H55" t="inlineStr">
        <is>
          <t>13 Desember 2005</t>
        </is>
      </c>
      <c r="I55" s="2" t="n">
        <v>46308</v>
      </c>
      <c r="J55" t="inlineStr">
        <is>
          <t>Disetujui</t>
        </is>
      </c>
      <c r="K55" t="n">
        <v>60</v>
      </c>
      <c r="L55" t="inlineStr">
        <is>
          <t>13 Oktober 2026</t>
        </is>
      </c>
      <c r="M55" t="inlineStr">
        <is>
          <t>Konstruksi Bangunan Sipil Jalan, Konstruksi Bangunan Sipil Prasarana dan Sarana Sistem Pengolahan Limbah Padat, Cair, dan Gas, Konstruksi Jaringan Irigasi dan Drainase</t>
        </is>
      </c>
      <c r="N55" t="inlineStr">
        <is>
          <t>K</t>
        </is>
      </c>
      <c r="O55" t="inlineStr">
        <is>
          <t>20231011, 20231012</t>
        </is>
      </c>
      <c r="P55" t="inlineStr">
        <is>
          <t>Jawa Barat</t>
        </is>
      </c>
      <c r="Q55" s="3">
        <f>HYPERLINK("https://wa.me/628129640002?text=*[PENGINGAT MASA BERLAKU SBU OCTOS GRAHA]*%0A%0AYth. Pimpinan OCTOS GRAHA,%0AMohon izin menginformasikan status SBU Anda di sistem LPJK:%0A%0A📄 SBU: BS001, BS004, BS006%0A📅 Expired: 13 Oktober 2026 (60 Hari Lagi)%0A%0AKami tim PT. ESDEA Assistance Management siap men-support proses perpanjangan segera agar administrasi proyek tidak terhambat%0A%0AApakah boleh saya bantu siapkan estimasi biaya dan waktu pengerjaannya?.", "Hubungi")</f>
        <v/>
      </c>
    </row>
    <row r="56">
      <c r="A56" t="inlineStr">
        <is>
          <t>PAGAR LUHUR LESTARI</t>
        </is>
      </c>
      <c r="B56" t="inlineStr">
        <is>
          <t>Kota Bekasi</t>
        </is>
      </c>
      <c r="C56" t="inlineStr">
        <is>
          <t>071388551515</t>
        </is>
      </c>
      <c r="D56" t="inlineStr">
        <is>
          <t>cvpagarluhurlestari@gmail.com</t>
        </is>
      </c>
      <c r="E56" t="inlineStr">
        <is>
          <t>https://lpjk.pu.go.id/search-badan-usaha-detail/ZitiTXhOMWhiT0M1SVp6ZnYrSXhGUT09</t>
        </is>
      </c>
      <c r="F56" t="n">
        <v>2</v>
      </c>
      <c r="G56" t="inlineStr">
        <is>
          <t>BG001, BG003</t>
        </is>
      </c>
      <c r="H56" t="inlineStr">
        <is>
          <t>13 Januari 2016</t>
        </is>
      </c>
      <c r="I56" s="2" t="n">
        <v>46312</v>
      </c>
      <c r="J56" t="inlineStr">
        <is>
          <t>Disetujui</t>
        </is>
      </c>
      <c r="K56" t="n">
        <v>60</v>
      </c>
      <c r="L56" t="inlineStr">
        <is>
          <t>17 Oktober 2026</t>
        </is>
      </c>
      <c r="M56" t="inlineStr">
        <is>
          <t>Konstruksi Gedung Hunian, Konstruksi Gedung Industri</t>
        </is>
      </c>
      <c r="N56" t="inlineStr">
        <is>
          <t>K</t>
        </is>
      </c>
      <c r="O56" t="inlineStr">
        <is>
          <t>20231017</t>
        </is>
      </c>
      <c r="P56" t="inlineStr">
        <is>
          <t>Jawa Barat</t>
        </is>
      </c>
      <c r="Q56" s="3">
        <f>HYPERLINK("https://wa.me/6271388551515?text=*[PENGINGAT MASA BERLAKU SBU PAGAR LUHUR LESTARI]*%0A%0AYth. Pimpinan PAGAR LUHUR LESTARI,%0AMohon izin menginformasikan status SBU Anda di sistem LPJK:%0A%0A📄 SBU: BG001, BG003%0A📅 Expired: 17 Oktober 2026 (60 Hari Lagi)%0A%0AKami tim PT. ESDEA Assistance Management siap men-support proses perpanjangan segera agar administrasi proyek tidak terhambat%0A%0AApakah boleh saya bantu siapkan estimasi biaya dan waktu pengerjaannya?.", "Hubungi")</f>
        <v/>
      </c>
    </row>
    <row r="57">
      <c r="A57" t="inlineStr">
        <is>
          <t>PANGESTU</t>
        </is>
      </c>
      <c r="B57" t="inlineStr">
        <is>
          <t>Kota Bogor</t>
        </is>
      </c>
      <c r="C57" t="inlineStr">
        <is>
          <t>081584276850</t>
        </is>
      </c>
      <c r="D57" t="inlineStr">
        <is>
          <t>pangestucv86@gmail.com</t>
        </is>
      </c>
      <c r="E57" t="inlineStr">
        <is>
          <t>https://lpjk.pu.go.id/search-badan-usaha-detail/SThoU3Y5RC9yd2FpMFZuck4wUEgxUT09</t>
        </is>
      </c>
      <c r="F57" t="n">
        <v>3</v>
      </c>
      <c r="G57" t="inlineStr">
        <is>
          <t>BG006, BS004, BS006</t>
        </is>
      </c>
      <c r="H57" t="inlineStr">
        <is>
          <t>10 Mei 2011</t>
        </is>
      </c>
      <c r="I57" s="2" t="n">
        <v>46311</v>
      </c>
      <c r="J57" t="inlineStr">
        <is>
          <t>Disetujui</t>
        </is>
      </c>
      <c r="K57" t="n">
        <v>60</v>
      </c>
      <c r="L57" t="inlineStr">
        <is>
          <t>16 Oktober 2026</t>
        </is>
      </c>
      <c r="M57" t="inlineStr">
        <is>
          <t>Konstruksi Bangunan Sipil Prasarana dan Sarana Sistem Pengolahan Limbah Padat, Cair, dan Gas, Konstruksi Gedung Pendidikan, Konstruksi Jaringan Irigasi dan Drainase</t>
        </is>
      </c>
      <c r="N57" t="inlineStr">
        <is>
          <t>K</t>
        </is>
      </c>
      <c r="O57" t="inlineStr">
        <is>
          <t>20231013</t>
        </is>
      </c>
      <c r="P57" t="inlineStr">
        <is>
          <t>Jawa Barat</t>
        </is>
      </c>
      <c r="Q57" s="3">
        <f>HYPERLINK("https://wa.me/6281584276850?text=*[PENGINGAT MASA BERLAKU SBU PANGESTU]*%0A%0AYth. Pimpinan PANGESTU,%0AMohon izin menginformasikan status SBU Anda di sistem LPJK:%0A%0A📄 SBU: BG006, BS004, BS006%0A📅 Expired: 16 Oktober 2026 (60 Hari Lagi)%0A%0AKami tim PT. ESDEA Assistance Management siap men-support proses perpanjangan segera agar administrasi proyek tidak terhambat%0A%0AApakah boleh saya bantu siapkan estimasi biaya dan waktu pengerjaannya?.", "Hubungi")</f>
        <v/>
      </c>
    </row>
    <row r="58">
      <c r="A58" t="inlineStr">
        <is>
          <t>PRATAMA BAYU SANJAYA</t>
        </is>
      </c>
      <c r="B58" t="inlineStr">
        <is>
          <t>Kota Depok</t>
        </is>
      </c>
      <c r="C58" t="inlineStr">
        <is>
          <t>081511755154</t>
        </is>
      </c>
      <c r="D58" t="inlineStr">
        <is>
          <t>pratamabayusanjaya@gmail.com</t>
        </is>
      </c>
      <c r="E58" t="inlineStr">
        <is>
          <t>https://lpjk.pu.go.id/search-badan-usaha-detail/cjhyWHFjSm0yV0EwakdLRm85T1BZUT09</t>
        </is>
      </c>
      <c r="F58" t="n">
        <v>1</v>
      </c>
      <c r="G58" t="inlineStr">
        <is>
          <t>BS007</t>
        </is>
      </c>
      <c r="H58" t="inlineStr">
        <is>
          <t>8 September 2017</t>
        </is>
      </c>
      <c r="I58" s="2" t="n">
        <v>46307</v>
      </c>
      <c r="J58" t="inlineStr">
        <is>
          <t>Disetujui</t>
        </is>
      </c>
      <c r="K58" t="n">
        <v>60</v>
      </c>
      <c r="L58" t="inlineStr">
        <is>
          <t>12 Oktober 2026</t>
        </is>
      </c>
      <c r="M58" t="inlineStr">
        <is>
          <t>Konstruksi Bangunan Sipil Elektrikal</t>
        </is>
      </c>
      <c r="N58" t="inlineStr">
        <is>
          <t>K</t>
        </is>
      </c>
      <c r="O58" t="inlineStr">
        <is>
          <t>20231004</t>
        </is>
      </c>
      <c r="P58" t="inlineStr">
        <is>
          <t>Jawa Barat</t>
        </is>
      </c>
      <c r="Q58" s="3">
        <f>HYPERLINK("https://wa.me/6281511755154?text=*[PENGINGAT MASA BERLAKU SBU PRATAMA BAYU SANJAYA]*%0A%0AYth. Pimpinan PRATAMA BAYU SANJAYA,%0AMohon izin menginformasikan status SBU Anda di sistem LPJK:%0A%0A📄 SBU: BS007%0A📅 Expired: 12 Oktober 2026 (60 Hari Lagi)%0A%0AKami tim PT. ESDEA Assistance Management siap men-support proses perpanjangan segera agar administrasi proyek tidak terhambat%0A%0AApakah boleh saya bantu siapkan estimasi biaya dan waktu pengerjaannya?.", "Hubungi")</f>
        <v/>
      </c>
    </row>
    <row r="59">
      <c r="A59" t="inlineStr">
        <is>
          <t>PUNDI SARANA LANGGENG</t>
        </is>
      </c>
      <c r="B59" t="inlineStr">
        <is>
          <t>Kota Depok</t>
        </is>
      </c>
      <c r="C59" t="inlineStr">
        <is>
          <t>02187753701</t>
        </is>
      </c>
      <c r="D59" t="inlineStr">
        <is>
          <t>pundisaranalanggeng@yahoo.com</t>
        </is>
      </c>
      <c r="E59" t="inlineStr">
        <is>
          <t>https://lpjk.pu.go.id/search-badan-usaha-detail/dFRhZ1k1c1kreUhiSlFkMkJKT094UT09</t>
        </is>
      </c>
      <c r="F59" t="n">
        <v>1</v>
      </c>
      <c r="G59" t="inlineStr">
        <is>
          <t>BG009</t>
        </is>
      </c>
      <c r="H59" t="inlineStr">
        <is>
          <t>10 November 2008</t>
        </is>
      </c>
      <c r="I59" s="2" t="n">
        <v>46311</v>
      </c>
      <c r="J59" t="inlineStr">
        <is>
          <t>Disetujui</t>
        </is>
      </c>
      <c r="K59" t="n">
        <v>60</v>
      </c>
      <c r="L59" t="inlineStr">
        <is>
          <t>16 Oktober 2026</t>
        </is>
      </c>
      <c r="M59" t="inlineStr">
        <is>
          <t>Konstruksi Gedung Lainnya</t>
        </is>
      </c>
      <c r="N59" t="inlineStr">
        <is>
          <t>K</t>
        </is>
      </c>
      <c r="O59" t="inlineStr">
        <is>
          <t>20231017</t>
        </is>
      </c>
      <c r="P59" t="inlineStr">
        <is>
          <t>Jawa Barat</t>
        </is>
      </c>
      <c r="Q59" t="inlineStr"/>
    </row>
    <row r="60">
      <c r="A60" t="inlineStr">
        <is>
          <t>PUTERA FAHLEVI</t>
        </is>
      </c>
      <c r="B60" t="inlineStr">
        <is>
          <t>Kota Bogor</t>
        </is>
      </c>
      <c r="C60" t="inlineStr">
        <is>
          <t>081399017896</t>
        </is>
      </c>
      <c r="D60" t="inlineStr">
        <is>
          <t>rizkiakbar.legalmp@gmail.com</t>
        </is>
      </c>
      <c r="E60" t="inlineStr">
        <is>
          <t>https://lpjk.pu.go.id/search-badan-usaha-detail/cmdxL0x0NEl4L1NQdUdQeXRXYWRsZz09</t>
        </is>
      </c>
      <c r="F60" t="n">
        <v>1</v>
      </c>
      <c r="G60" t="inlineStr">
        <is>
          <t>BS001</t>
        </is>
      </c>
      <c r="H60" t="inlineStr">
        <is>
          <t>7 Agustus 2023</t>
        </is>
      </c>
      <c r="I60" s="2" t="n">
        <v>46307</v>
      </c>
      <c r="J60" t="inlineStr">
        <is>
          <t>Disetujui</t>
        </is>
      </c>
      <c r="K60" t="n">
        <v>60</v>
      </c>
      <c r="L60" t="inlineStr">
        <is>
          <t>12 Oktober 2026</t>
        </is>
      </c>
      <c r="M60" t="inlineStr">
        <is>
          <t>Konstruksi Bangunan Sipil Jalan</t>
        </is>
      </c>
      <c r="N60" t="inlineStr">
        <is>
          <t>K</t>
        </is>
      </c>
      <c r="O60" t="inlineStr">
        <is>
          <t>20231012</t>
        </is>
      </c>
      <c r="P60" t="inlineStr">
        <is>
          <t>Jawa Barat</t>
        </is>
      </c>
      <c r="Q60" s="3">
        <f>HYPERLINK("https://wa.me/6281399017896?text=*[PENGINGAT MASA BERLAKU SBU PUTERA FAHLEVI]*%0A%0AYth. Pimpinan PUTERA FAHLEVI,%0AMohon izin menginformasikan status SBU Anda di sistem LPJK:%0A%0A📄 SBU: BS001%0A📅 Expired: 12 Oktober 2026 (60 Hari Lagi)%0A%0AKami tim PT. ESDEA Assistance Management siap men-support proses perpanjangan segera agar administrasi proyek tidak terhambat%0A%0AApakah boleh saya bantu siapkan estimasi biaya dan waktu pengerjaannya?.", "Hubungi")</f>
        <v/>
      </c>
    </row>
    <row r="61">
      <c r="A61" t="inlineStr">
        <is>
          <t>RAMA PERKASA</t>
        </is>
      </c>
      <c r="B61" t="inlineStr">
        <is>
          <t>Kota Depok</t>
        </is>
      </c>
      <c r="C61" t="inlineStr">
        <is>
          <t>02187712763</t>
        </is>
      </c>
      <c r="D61" t="inlineStr">
        <is>
          <t>ramaperkasa@gmail.com</t>
        </is>
      </c>
      <c r="E61" t="inlineStr">
        <is>
          <t>https://lpjk.pu.go.id/search-badan-usaha-detail/SzFNeWtJSk1jVWU0QzlOWHZTanY1UT09</t>
        </is>
      </c>
      <c r="F61" t="n">
        <v>2</v>
      </c>
      <c r="G61" t="inlineStr">
        <is>
          <t>BG006, BG009</t>
        </is>
      </c>
      <c r="H61" t="inlineStr">
        <is>
          <t>18 Juni 2008</t>
        </is>
      </c>
      <c r="I61" s="2" t="n">
        <v>46311</v>
      </c>
      <c r="J61" t="inlineStr">
        <is>
          <t>Disetujui</t>
        </is>
      </c>
      <c r="K61" t="n">
        <v>60</v>
      </c>
      <c r="L61" t="inlineStr">
        <is>
          <t>16 Oktober 2026</t>
        </is>
      </c>
      <c r="M61" t="inlineStr">
        <is>
          <t>Konstruksi Gedung Lainnya, Konstruksi Gedung Pendidikan</t>
        </is>
      </c>
      <c r="N61" t="inlineStr">
        <is>
          <t>K</t>
        </is>
      </c>
      <c r="O61" t="inlineStr">
        <is>
          <t>20231011</t>
        </is>
      </c>
      <c r="P61" t="inlineStr">
        <is>
          <t>Jawa Barat</t>
        </is>
      </c>
      <c r="Q61" t="inlineStr"/>
    </row>
    <row r="62">
      <c r="A62" t="inlineStr">
        <is>
          <t>RANGGA JAYA</t>
        </is>
      </c>
      <c r="B62" t="inlineStr">
        <is>
          <t>Kota Bekasi</t>
        </is>
      </c>
      <c r="C62" t="inlineStr">
        <is>
          <t>0218215003</t>
        </is>
      </c>
      <c r="D62" t="inlineStr">
        <is>
          <t>cv.ranggajaya.bekasi@gmail.com</t>
        </is>
      </c>
      <c r="E62" t="inlineStr">
        <is>
          <t>https://lpjk.pu.go.id/search-badan-usaha-detail/ekhHQ3FvN3pWcFJlNlNLMGNvY1U5dz09</t>
        </is>
      </c>
      <c r="F62" t="n">
        <v>1</v>
      </c>
      <c r="G62" t="inlineStr">
        <is>
          <t>BS001</t>
        </is>
      </c>
      <c r="H62" t="inlineStr">
        <is>
          <t>8 Januari 2003</t>
        </is>
      </c>
      <c r="I62" s="2" t="n">
        <v>46311</v>
      </c>
      <c r="J62" t="inlineStr">
        <is>
          <t>Disetujui</t>
        </is>
      </c>
      <c r="K62" t="n">
        <v>60</v>
      </c>
      <c r="L62" t="inlineStr">
        <is>
          <t>16 Oktober 2026</t>
        </is>
      </c>
      <c r="M62" t="inlineStr">
        <is>
          <t>Konstruksi Bangunan Sipil Jalan</t>
        </is>
      </c>
      <c r="N62" t="inlineStr">
        <is>
          <t>K</t>
        </is>
      </c>
      <c r="O62" t="inlineStr">
        <is>
          <t>20231012</t>
        </is>
      </c>
      <c r="P62" t="inlineStr">
        <is>
          <t>Jawa Barat</t>
        </is>
      </c>
      <c r="Q62" t="inlineStr"/>
    </row>
    <row r="63">
      <c r="A63" t="inlineStr">
        <is>
          <t>RAYA JAYA ABADI</t>
        </is>
      </c>
      <c r="B63" t="inlineStr">
        <is>
          <t>Kota Bogor</t>
        </is>
      </c>
      <c r="C63" t="inlineStr">
        <is>
          <t>087711036880</t>
        </is>
      </c>
      <c r="D63" t="inlineStr">
        <is>
          <t>radenalpim@gmail.com</t>
        </is>
      </c>
      <c r="E63" t="inlineStr">
        <is>
          <t>https://lpjk.pu.go.id/search-badan-usaha-detail/VzN2bjl3NFVaUzM1Q3hTTGk2VzVpZz09</t>
        </is>
      </c>
      <c r="F63" t="n">
        <v>5</v>
      </c>
      <c r="G63" t="inlineStr">
        <is>
          <t>BG003, BG006, BG009, BS001, BS004</t>
        </is>
      </c>
      <c r="H63" t="inlineStr">
        <is>
          <t>1 Desember 2011</t>
        </is>
      </c>
      <c r="I63" s="2" t="n">
        <v>46307</v>
      </c>
      <c r="J63" t="inlineStr">
        <is>
          <t>Disetujui</t>
        </is>
      </c>
      <c r="K63" t="n">
        <v>60</v>
      </c>
      <c r="L63" t="inlineStr">
        <is>
          <t>12 Oktober 2026</t>
        </is>
      </c>
      <c r="M63" t="inlineStr">
        <is>
          <t>Konstruksi Bangunan Sipil Jalan, Konstruksi Gedung Industri, Konstruksi Gedung Lainnya, Konstruksi Gedung Pendidikan, Konstruksi Jaringan Irigasi dan Drainase</t>
        </is>
      </c>
      <c r="N63" t="inlineStr">
        <is>
          <t>K</t>
        </is>
      </c>
      <c r="O63" t="inlineStr">
        <is>
          <t>20230826, 20231003, 20231018</t>
        </is>
      </c>
      <c r="P63" t="inlineStr">
        <is>
          <t>Jawa Barat</t>
        </is>
      </c>
      <c r="Q63" s="3">
        <f>HYPERLINK("https://wa.me/6287711036880?text=*[PENGINGAT MASA BERLAKU SBU RAYA JAYA ABADI]*%0A%0AYth. Pimpinan RAYA JAYA ABADI,%0AMohon izin menginformasikan status SBU Anda di sistem LPJK:%0A%0A📄 SBU: BG003, BG006, BG009, BS001, BS004%0A📅 Expired: 12 Oktober 2026 (60 Hari Lagi)%0A%0AKami tim PT. ESDEA Assistance Management siap men-support proses perpanjangan segera agar administrasi proyek tidak terhambat%0A%0AApakah boleh saya bantu siapkan estimasi biaya dan waktu pengerjaannya?.", "Hubungi")</f>
        <v/>
      </c>
    </row>
    <row r="64">
      <c r="A64" t="inlineStr">
        <is>
          <t>SAHABAT PUTRA JAVA</t>
        </is>
      </c>
      <c r="B64" t="inlineStr">
        <is>
          <t>Kota Adm. Jakarta Timur</t>
        </is>
      </c>
      <c r="C64" t="inlineStr">
        <is>
          <t>02187787546</t>
        </is>
      </c>
      <c r="D64" t="inlineStr">
        <is>
          <t>ptsahabat_java@ymail.com</t>
        </is>
      </c>
      <c r="E64" t="inlineStr">
        <is>
          <t>https://lpjk.pu.go.id/search-badan-usaha-detail/VE44NU9QcFYvYXdLVk5mVkVpUG1nQT09</t>
        </is>
      </c>
      <c r="F64" t="n">
        <v>2</v>
      </c>
      <c r="G64" t="inlineStr">
        <is>
          <t>BG006, BG009</t>
        </is>
      </c>
      <c r="H64" t="inlineStr">
        <is>
          <t>28 Maret 2006</t>
        </is>
      </c>
      <c r="I64" s="2" t="n">
        <v>46308</v>
      </c>
      <c r="J64" t="inlineStr">
        <is>
          <t>Pencabutan</t>
        </is>
      </c>
      <c r="K64" t="n">
        <v>60</v>
      </c>
      <c r="L64" t="inlineStr">
        <is>
          <t>13 Oktober 2026</t>
        </is>
      </c>
      <c r="M64" t="inlineStr">
        <is>
          <t>Konstruksi Gedung Lainnya, Konstruksi Gedung Pendidikan</t>
        </is>
      </c>
      <c r="N64" t="inlineStr">
        <is>
          <t>K</t>
        </is>
      </c>
      <c r="O64" t="inlineStr">
        <is>
          <t>20231011, 20231013</t>
        </is>
      </c>
      <c r="P64" t="inlineStr">
        <is>
          <t>DKI Jakarta</t>
        </is>
      </c>
      <c r="Q64" t="inlineStr"/>
    </row>
    <row r="65">
      <c r="A65" t="inlineStr">
        <is>
          <t>SERINTUNAN</t>
        </is>
      </c>
      <c r="B65" t="inlineStr">
        <is>
          <t>Kab. Bogor</t>
        </is>
      </c>
      <c r="C65" t="inlineStr">
        <is>
          <t>08128061344</t>
        </is>
      </c>
      <c r="D65" t="inlineStr">
        <is>
          <t>cvserintunan@gmail.com</t>
        </is>
      </c>
      <c r="E65" t="inlineStr">
        <is>
          <t>https://lpjk.pu.go.id/search-badan-usaha-detail/U082RUV0KzZuTnUvcFVkT2tJZkR5dz09</t>
        </is>
      </c>
      <c r="F65" t="n">
        <v>2</v>
      </c>
      <c r="G65" t="inlineStr">
        <is>
          <t>BG005, BS004</t>
        </is>
      </c>
      <c r="H65" t="inlineStr">
        <is>
          <t>27 Januari 1999</t>
        </is>
      </c>
      <c r="I65" s="2" t="n">
        <v>46312</v>
      </c>
      <c r="J65" t="inlineStr">
        <is>
          <t>Disetujui</t>
        </is>
      </c>
      <c r="K65" t="n">
        <v>60</v>
      </c>
      <c r="L65" t="inlineStr">
        <is>
          <t>17 Oktober 2026</t>
        </is>
      </c>
      <c r="M65" t="inlineStr">
        <is>
          <t>Konstruksi Gedung Kesehatan, Konstruksi Jaringan Irigasi dan Drainase</t>
        </is>
      </c>
      <c r="N65" t="inlineStr">
        <is>
          <t>K</t>
        </is>
      </c>
      <c r="O65" t="inlineStr">
        <is>
          <t>20231012</t>
        </is>
      </c>
      <c r="P65" t="inlineStr">
        <is>
          <t>Jawa Barat</t>
        </is>
      </c>
      <c r="Q65" s="3">
        <f>HYPERLINK("https://wa.me/628128061344?text=*[PENGINGAT MASA BERLAKU SBU SERINTUNAN]*%0A%0AYth. Pimpinan SERINTUNAN,%0AMohon izin menginformasikan status SBU Anda di sistem LPJK:%0A%0A📄 SBU: BG005, BS004%0A📅 Expired: 17 Oktober 2026 (60 Hari Lagi)%0A%0AKami tim PT. ESDEA Assistance Management siap men-support proses perpanjangan segera agar administrasi proyek tidak terhambat%0A%0AApakah boleh saya bantu siapkan estimasi biaya dan waktu pengerjaannya?.", "Hubungi")</f>
        <v/>
      </c>
    </row>
    <row r="66">
      <c r="A66" t="inlineStr">
        <is>
          <t>SETARSA PUTRA MANDIRI</t>
        </is>
      </c>
      <c r="B66" t="inlineStr">
        <is>
          <t>Kota Depok</t>
        </is>
      </c>
      <c r="C66" t="inlineStr">
        <is>
          <t>081211144399</t>
        </is>
      </c>
      <c r="D66" t="inlineStr">
        <is>
          <t>mandirisetarsa@gmail.com</t>
        </is>
      </c>
      <c r="E66" t="inlineStr">
        <is>
          <t>https://lpjk.pu.go.id/search-badan-usaha-detail/ekZGNTBkQkdzT3dJOUV6eEttT2J4dz09</t>
        </is>
      </c>
      <c r="F66" t="n">
        <v>2</v>
      </c>
      <c r="G66" t="inlineStr">
        <is>
          <t>BG009, BS009</t>
        </is>
      </c>
      <c r="H66" t="inlineStr">
        <is>
          <t>27 Februari 2019</t>
        </is>
      </c>
      <c r="I66" s="2" t="n">
        <v>46312</v>
      </c>
      <c r="J66" t="inlineStr">
        <is>
          <t>Disetujui</t>
        </is>
      </c>
      <c r="K66" t="n">
        <v>60</v>
      </c>
      <c r="L66" t="inlineStr">
        <is>
          <t>17 Oktober 2026</t>
        </is>
      </c>
      <c r="M66" t="inlineStr">
        <is>
          <t>Konstruksi Gedung Lainnya, Konstruksi Sentral Telekomunikasi</t>
        </is>
      </c>
      <c r="N66" t="inlineStr">
        <is>
          <t>K</t>
        </is>
      </c>
      <c r="O66" t="inlineStr">
        <is>
          <t>20231013</t>
        </is>
      </c>
      <c r="P66" t="inlineStr">
        <is>
          <t>Jawa Barat</t>
        </is>
      </c>
      <c r="Q66" s="3">
        <f>HYPERLINK("https://wa.me/6281211144399?text=*[PENGINGAT MASA BERLAKU SBU SETARSA PUTRA MANDIRI]*%0A%0AYth. Pimpinan SETARSA PUTRA MANDIRI,%0AMohon izin menginformasikan status SBU Anda di sistem LPJK:%0A%0A📄 SBU: BG009, BS009%0A📅 Expired: 17 Oktober 2026 (60 Hari Lagi)%0A%0AKami tim PT. ESDEA Assistance Management siap men-support proses perpanjangan segera agar administrasi proyek tidak terhambat%0A%0AApakah boleh saya bantu siapkan estimasi biaya dan waktu pengerjaannya?.", "Hubungi")</f>
        <v/>
      </c>
    </row>
    <row r="67">
      <c r="A67" t="inlineStr">
        <is>
          <t>SHOLIS PERKASA</t>
        </is>
      </c>
      <c r="B67" t="inlineStr">
        <is>
          <t>Kota Bogor</t>
        </is>
      </c>
      <c r="C67" t="inlineStr">
        <is>
          <t>819010964000</t>
        </is>
      </c>
      <c r="D67" t="inlineStr">
        <is>
          <t>sholisperkasa@gmail.com</t>
        </is>
      </c>
      <c r="E67" t="inlineStr">
        <is>
          <t>https://lpjk.pu.go.id/search-badan-usaha-detail/WFlUeE1XTVp6UlN3VC9KZ3hhT0ltQT09</t>
        </is>
      </c>
      <c r="F67" t="n">
        <v>2</v>
      </c>
      <c r="G67" t="inlineStr">
        <is>
          <t>BS002, BS006</t>
        </is>
      </c>
      <c r="H67" t="inlineStr">
        <is>
          <t>12 Maret 2018</t>
        </is>
      </c>
      <c r="I67" s="2" t="n">
        <v>46311</v>
      </c>
      <c r="J67" t="inlineStr">
        <is>
          <t>Disetujui</t>
        </is>
      </c>
      <c r="K67" t="n">
        <v>60</v>
      </c>
      <c r="L67" t="inlineStr">
        <is>
          <t>16 Oktober 2026</t>
        </is>
      </c>
      <c r="M67" t="inlineStr">
        <is>
          <t>Bangunan Sipil Jembatan, Jalan Layang, Fly Over, dan Underpass, Konstruksi Bangunan Sipil Prasarana dan Sarana Sistem Pengolahan Limbah Padat, Cair, dan Gas</t>
        </is>
      </c>
      <c r="N67" t="inlineStr">
        <is>
          <t>K</t>
        </is>
      </c>
      <c r="O67" t="inlineStr">
        <is>
          <t>20230814, 20231011</t>
        </is>
      </c>
      <c r="P67" t="inlineStr">
        <is>
          <t>Jawa Barat</t>
        </is>
      </c>
      <c r="Q67" s="3">
        <f>HYPERLINK("https://wa.me/62819010964000?text=*[PENGINGAT MASA BERLAKU SBU SHOLIS PERKASA]*%0A%0AYth. Pimpinan SHOLIS PERKASA,%0AMohon izin menginformasikan status SBU Anda di sistem LPJK:%0A%0A📄 SBU: BS002, BS006%0A📅 Expired: 16 Oktober 2026 (60 Hari Lagi)%0A%0AKami tim PT. ESDEA Assistance Management siap men-support proses perpanjangan segera agar administrasi proyek tidak terhambat%0A%0AApakah boleh saya bantu siapkan estimasi biaya dan waktu pengerjaannya?.", "Hubungi")</f>
        <v/>
      </c>
    </row>
    <row r="68">
      <c r="A68" t="inlineStr">
        <is>
          <t>SURYAJAYA GEMILANG INDONESIA</t>
        </is>
      </c>
      <c r="B68" t="inlineStr">
        <is>
          <t>Kab. Bekasi</t>
        </is>
      </c>
      <c r="C68" t="inlineStr">
        <is>
          <t>02121253754</t>
        </is>
      </c>
      <c r="D68" t="inlineStr">
        <is>
          <t>Suryajayagemilangofficial1@gmail.com</t>
        </is>
      </c>
      <c r="E68" t="inlineStr">
        <is>
          <t>https://lpjk.pu.go.id/search-badan-usaha-detail/a0RaSkxnZ29NTHVkTUpVWlpjUnBXZz09</t>
        </is>
      </c>
      <c r="F68" t="n">
        <v>1</v>
      </c>
      <c r="G68" t="inlineStr">
        <is>
          <t>KK011</t>
        </is>
      </c>
      <c r="H68" t="inlineStr">
        <is>
          <t>7 September 2020</t>
        </is>
      </c>
      <c r="I68" s="2" t="n">
        <v>46312</v>
      </c>
      <c r="J68" t="inlineStr">
        <is>
          <t>Disetujui</t>
        </is>
      </c>
      <c r="K68" t="n">
        <v>60</v>
      </c>
      <c r="L68" t="inlineStr">
        <is>
          <t>17 Oktober 2026</t>
        </is>
      </c>
      <c r="M68" t="inlineStr">
        <is>
          <t>Pemasangan Rangka dan Atap/Roof Covering</t>
        </is>
      </c>
      <c r="N68" t="inlineStr">
        <is>
          <t>Spesialis</t>
        </is>
      </c>
      <c r="O68" t="inlineStr">
        <is>
          <t>20231014</t>
        </is>
      </c>
      <c r="P68" t="inlineStr">
        <is>
          <t>Jawa Barat</t>
        </is>
      </c>
      <c r="Q68" t="inlineStr"/>
    </row>
    <row r="69">
      <c r="A69" t="inlineStr">
        <is>
          <t>TRI SUTA BARA</t>
        </is>
      </c>
      <c r="B69" t="inlineStr">
        <is>
          <t>Kab. Bekasi</t>
        </is>
      </c>
      <c r="C69" t="inlineStr">
        <is>
          <t>08578005197</t>
        </is>
      </c>
      <c r="D69" t="inlineStr">
        <is>
          <t>trisutabara@gmail.com</t>
        </is>
      </c>
      <c r="E69" t="inlineStr">
        <is>
          <t>https://lpjk.pu.go.id/search-badan-usaha-detail/clV1SUNYNTljYW9nOG1QdDBYVHgvZz09</t>
        </is>
      </c>
      <c r="F69" t="n">
        <v>1</v>
      </c>
      <c r="G69" t="inlineStr">
        <is>
          <t>RK001</t>
        </is>
      </c>
      <c r="H69" t="inlineStr">
        <is>
          <t>12 Juli 2021</t>
        </is>
      </c>
      <c r="I69" s="2" t="n">
        <v>46312</v>
      </c>
      <c r="J69" t="inlineStr">
        <is>
          <t>Disetujui</t>
        </is>
      </c>
      <c r="K69" t="n">
        <v>60</v>
      </c>
      <c r="L69" t="inlineStr">
        <is>
          <t>17 Oktober 2026</t>
        </is>
      </c>
      <c r="M69" t="inlineStr">
        <is>
          <t>Jasa Rekayasa Konstruksi Bangunan Gedung Hunian dan Non Hunian</t>
        </is>
      </c>
      <c r="N69" t="inlineStr">
        <is>
          <t>K</t>
        </is>
      </c>
      <c r="O69" t="inlineStr">
        <is>
          <t>20231009</t>
        </is>
      </c>
      <c r="P69" t="inlineStr">
        <is>
          <t>Jawa Barat</t>
        </is>
      </c>
      <c r="Q69" s="3">
        <f>HYPERLINK("https://wa.me/628578005197?text=*[PENGINGAT MASA BERLAKU SBU TRI SUTA BARA]*%0A%0AYth. Pimpinan TRI SUTA BARA,%0AMohon izin menginformasikan status SBU Anda di sistem LPJK:%0A%0A📄 SBU: RK001%0A📅 Expired: 17 Oktober 2026 (60 Hari Lagi)%0A%0AKami tim PT. ESDEA Assistance Management siap men-support proses perpanjangan segera agar administrasi proyek tidak terhambat%0A%0AApakah boleh saya bantu siapkan estimasi biaya dan waktu pengerjaannya?.", "Hubungi")</f>
        <v/>
      </c>
    </row>
    <row r="70">
      <c r="A70" t="inlineStr">
        <is>
          <t>WAHANA MITRA ABADI</t>
        </is>
      </c>
      <c r="B70" t="inlineStr">
        <is>
          <t>Kota Adm. Jakarta Timur</t>
        </is>
      </c>
      <c r="C70" t="inlineStr">
        <is>
          <t>087736947363</t>
        </is>
      </c>
      <c r="D70" t="inlineStr">
        <is>
          <t>wahana.mitraabadi@yahoo.co.id</t>
        </is>
      </c>
      <c r="E70" t="inlineStr">
        <is>
          <t>https://lpjk.pu.go.id/search-badan-usaha-detail/VUZXcmdVcUxrTkg1ZUNsSmNMdHZCZz09</t>
        </is>
      </c>
      <c r="F70" t="n">
        <v>1</v>
      </c>
      <c r="G70" t="inlineStr">
        <is>
          <t>BS001</t>
        </is>
      </c>
      <c r="H70" t="inlineStr">
        <is>
          <t>21 Maret 2005</t>
        </is>
      </c>
      <c r="I70" s="2" t="n">
        <v>46307</v>
      </c>
      <c r="J70" t="inlineStr">
        <is>
          <t>Disetujui</t>
        </is>
      </c>
      <c r="K70" t="n">
        <v>60</v>
      </c>
      <c r="L70" t="inlineStr">
        <is>
          <t>12 Oktober 2026</t>
        </is>
      </c>
      <c r="M70" t="inlineStr">
        <is>
          <t>Konstruksi Bangunan Sipil Jalan</t>
        </is>
      </c>
      <c r="N70" t="inlineStr">
        <is>
          <t>K</t>
        </is>
      </c>
      <c r="O70" t="inlineStr">
        <is>
          <t>20230927</t>
        </is>
      </c>
      <c r="P70" t="inlineStr">
        <is>
          <t>DKI Jakarta</t>
        </is>
      </c>
      <c r="Q70" s="3">
        <f>HYPERLINK("https://wa.me/6287736947363?text=*[PENGINGAT MASA BERLAKU SBU WAHANA MITRA ABADI]*%0A%0AYth. Pimpinan WAHANA MITRA ABADI,%0AMohon izin menginformasikan status SBU Anda di sistem LPJK:%0A%0A📄 SBU: BS001%0A📅 Expired: 12 Oktober 2026 (60 Hari Lagi)%0A%0AKami tim PT. ESDEA Assistance Management siap men-support proses perpanjangan segera agar administrasi proyek tidak terhambat%0A%0AApakah boleh saya bantu siapkan estimasi biaya dan waktu pengerjaannya?.", "Hubungi")</f>
        <v/>
      </c>
    </row>
    <row r="71">
      <c r="A71" t="inlineStr">
        <is>
          <t>WAHYU JAYA AGUNG</t>
        </is>
      </c>
      <c r="B71" t="inlineStr">
        <is>
          <t>Kab. Bogor</t>
        </is>
      </c>
      <c r="C71" t="inlineStr">
        <is>
          <t>081511142526</t>
        </is>
      </c>
      <c r="D71" t="inlineStr">
        <is>
          <t>wjacontractor@gmail.com</t>
        </is>
      </c>
      <c r="E71" t="inlineStr">
        <is>
          <t>https://lpjk.pu.go.id/search-badan-usaha-detail/aFNZTnlHak9JN1Jnc0xwT2k4OE1NZz09</t>
        </is>
      </c>
      <c r="F71" t="n">
        <v>1</v>
      </c>
      <c r="G71" t="inlineStr">
        <is>
          <t>BG004</t>
        </is>
      </c>
      <c r="H71" t="inlineStr">
        <is>
          <t>2 April 2018</t>
        </is>
      </c>
      <c r="I71" s="2" t="n">
        <v>46311</v>
      </c>
      <c r="J71" t="inlineStr">
        <is>
          <t>Disetujui</t>
        </is>
      </c>
      <c r="K71" t="n">
        <v>60</v>
      </c>
      <c r="L71" t="inlineStr">
        <is>
          <t>16 Oktober 2026</t>
        </is>
      </c>
      <c r="M71" t="inlineStr">
        <is>
          <t>Konstruksi Gedung Perbelanjaan</t>
        </is>
      </c>
      <c r="N71" t="inlineStr">
        <is>
          <t>K</t>
        </is>
      </c>
      <c r="O71" t="inlineStr">
        <is>
          <t>20231009</t>
        </is>
      </c>
      <c r="P71" t="inlineStr">
        <is>
          <t>Jawa Barat</t>
        </is>
      </c>
      <c r="Q71" s="3">
        <f>HYPERLINK("https://wa.me/6281511142526?text=*[PENGINGAT MASA BERLAKU SBU WAHYU JAYA AGUNG]*%0A%0AYth. Pimpinan WAHYU JAYA AGUNG,%0AMohon izin menginformasikan status SBU Anda di sistem LPJK:%0A%0A📄 SBU: BG004%0A📅 Expired: 16 Oktober 2026 (60 Hari Lagi)%0A%0AKami tim PT. ESDEA Assistance Management siap men-support proses perpanjangan segera agar administrasi proyek tidak terhambat%0A%0AApakah boleh saya bantu siapkan estimasi biaya dan waktu pengerjaannya?.", "Hubungi")</f>
        <v/>
      </c>
    </row>
    <row r="72">
      <c r="A72" t="inlineStr">
        <is>
          <t>WORLD METAL INDUSTRI NATIONAL</t>
        </is>
      </c>
      <c r="B72" t="inlineStr">
        <is>
          <t>Kab. Bekasi</t>
        </is>
      </c>
      <c r="C72" t="inlineStr">
        <is>
          <t>082111866913</t>
        </is>
      </c>
      <c r="D72" t="inlineStr">
        <is>
          <t>worldmetalindustrinational@yahoo.co.id</t>
        </is>
      </c>
      <c r="E72" t="inlineStr">
        <is>
          <t>https://lpjk.pu.go.id/search-badan-usaha-detail/VVNUa1lJRk9XQmtPS3hEck96Q3ZKdz09</t>
        </is>
      </c>
      <c r="F72" t="n">
        <v>1</v>
      </c>
      <c r="G72" t="inlineStr">
        <is>
          <t>IN003</t>
        </is>
      </c>
      <c r="H72" t="inlineStr">
        <is>
          <t>21 Juni 2010</t>
        </is>
      </c>
      <c r="I72" s="2" t="n">
        <v>46312</v>
      </c>
      <c r="J72" t="inlineStr">
        <is>
          <t>Pembekuan</t>
        </is>
      </c>
      <c r="K72" t="n">
        <v>60</v>
      </c>
      <c r="L72" t="inlineStr">
        <is>
          <t>17 Oktober 2026</t>
        </is>
      </c>
      <c r="M72" t="inlineStr">
        <is>
          <t>Instalasi Peralatan Infrastruktur Pertambangan dan Manufaktur</t>
        </is>
      </c>
      <c r="N72" t="inlineStr">
        <is>
          <t>Spesialis</t>
        </is>
      </c>
      <c r="O72" t="inlineStr">
        <is>
          <t>20231018</t>
        </is>
      </c>
      <c r="P72" t="inlineStr">
        <is>
          <t>Jawa Barat</t>
        </is>
      </c>
      <c r="Q72" s="3">
        <f>HYPERLINK("https://wa.me/6282111866913?text=*[PENGINGAT MASA BERLAKU SBU WORLD METAL INDUSTRI NATIONAL]*%0A%0AYth. Pimpinan WORLD METAL INDUSTRI NATIONAL,%0AMohon izin menginformasikan status SBU Anda di sistem LPJK:%0A%0A📄 SBU: IN003%0A📅 Expired: 17 Oktober 2026 (60 Hari Lagi)%0A%0AKami tim PT. ESDEA Assistance Management siap men-support proses perpanjangan segera agar administrasi proyek tidak terhambat%0A%0AApakah boleh saya bantu siapkan estimasi biaya dan waktu pengerjaannya?.", "Hubungi")</f>
        <v/>
      </c>
    </row>
    <row r="73">
      <c r="A73" t="inlineStr">
        <is>
          <t>ABDI DHARMA ABADI</t>
        </is>
      </c>
      <c r="B73" t="inlineStr">
        <is>
          <t>Kab. Bondowoso</t>
        </is>
      </c>
      <c r="C73" t="inlineStr">
        <is>
          <t>085259114499</t>
        </is>
      </c>
      <c r="D73" t="inlineStr">
        <is>
          <t>cvabdidharmaabadi161@gmail.com</t>
        </is>
      </c>
      <c r="E73" t="inlineStr">
        <is>
          <t>https://lpjk.pu.go.id/search-badan-usaha-detail/cGp3OTE5SjNuWUhEWCtDelZlS2c3dz09</t>
        </is>
      </c>
      <c r="F73" t="n">
        <v>3</v>
      </c>
      <c r="G73" t="inlineStr">
        <is>
          <t>BG009, BS001, BS004</t>
        </is>
      </c>
      <c r="H73" t="inlineStr">
        <is>
          <t>27 Juli 2002</t>
        </is>
      </c>
      <c r="I73" s="2" t="n">
        <v>46307</v>
      </c>
      <c r="J73" t="inlineStr">
        <is>
          <t>Disetujui</t>
        </is>
      </c>
      <c r="K73" t="n">
        <v>60</v>
      </c>
      <c r="L73" t="inlineStr">
        <is>
          <t>12 Oktober 2026</t>
        </is>
      </c>
      <c r="M73" t="inlineStr">
        <is>
          <t>Konstruksi Bangunan Sipil Jalan, Konstruksi Gedung Lainnya, Konstruksi Jaringan Irigasi dan Drainase</t>
        </is>
      </c>
      <c r="N73" t="inlineStr">
        <is>
          <t>K</t>
        </is>
      </c>
      <c r="O73" t="inlineStr">
        <is>
          <t>20231009, 20231013</t>
        </is>
      </c>
      <c r="P73" t="inlineStr">
        <is>
          <t>Jawa Timur</t>
        </is>
      </c>
      <c r="Q73" t="inlineStr"/>
    </row>
    <row r="74">
      <c r="A74" t="inlineStr">
        <is>
          <t>ABDI MULYA</t>
        </is>
      </c>
      <c r="B74" t="inlineStr">
        <is>
          <t>Kab. Tulungagung</t>
        </is>
      </c>
      <c r="C74" t="inlineStr">
        <is>
          <t>081335714899</t>
        </is>
      </c>
      <c r="D74" t="inlineStr">
        <is>
          <t>abdimulya_cv@yahoo.co.id</t>
        </is>
      </c>
      <c r="E74" t="inlineStr">
        <is>
          <t>https://lpjk.pu.go.id/search-badan-usaha-detail/U1Jkb09CUzRBV0QrbDRKdUNIN2paQT09</t>
        </is>
      </c>
      <c r="F74" t="n">
        <v>3</v>
      </c>
      <c r="G74" t="inlineStr">
        <is>
          <t>BG005, BG006, BG009</t>
        </is>
      </c>
      <c r="H74" t="inlineStr">
        <is>
          <t>27 November 1995</t>
        </is>
      </c>
      <c r="I74" s="2" t="n">
        <v>46313</v>
      </c>
      <c r="J74" t="inlineStr">
        <is>
          <t>Disetujui</t>
        </is>
      </c>
      <c r="K74" t="n">
        <v>60</v>
      </c>
      <c r="L74" t="inlineStr">
        <is>
          <t>18 Oktober 2026</t>
        </is>
      </c>
      <c r="M74" t="inlineStr">
        <is>
          <t>Konstruksi Gedung Kesehatan, Konstruksi Gedung Lainnya, Konstruksi Gedung Pendidikan</t>
        </is>
      </c>
      <c r="N74" t="inlineStr">
        <is>
          <t>K</t>
        </is>
      </c>
      <c r="O74" t="inlineStr">
        <is>
          <t>20231006, 20231010</t>
        </is>
      </c>
      <c r="P74" t="inlineStr">
        <is>
          <t>Jawa Timur</t>
        </is>
      </c>
      <c r="Q74" t="inlineStr"/>
    </row>
    <row r="75">
      <c r="A75" t="inlineStr">
        <is>
          <t>ABDI NEGERIKU</t>
        </is>
      </c>
      <c r="B75" t="inlineStr">
        <is>
          <t>Kota Pasuruan</t>
        </is>
      </c>
      <c r="C75" t="inlineStr">
        <is>
          <t>081252461953</t>
        </is>
      </c>
      <c r="D75" t="inlineStr">
        <is>
          <t>abdi.negeriku10@gmail.com</t>
        </is>
      </c>
      <c r="E75" t="inlineStr">
        <is>
          <t>https://lpjk.pu.go.id/search-badan-usaha-detail/ODdJR2YrNVk1OGtSck1yMytOSDQvUT09</t>
        </is>
      </c>
      <c r="F75" t="n">
        <v>1</v>
      </c>
      <c r="G75" t="inlineStr">
        <is>
          <t>BG009</t>
        </is>
      </c>
      <c r="H75" t="inlineStr">
        <is>
          <t>7 Februari 2005</t>
        </is>
      </c>
      <c r="I75" s="2" t="n">
        <v>46312</v>
      </c>
      <c r="J75" t="inlineStr">
        <is>
          <t>Disetujui</t>
        </is>
      </c>
      <c r="K75" t="n">
        <v>60</v>
      </c>
      <c r="L75" t="inlineStr">
        <is>
          <t>17 Oktober 2026</t>
        </is>
      </c>
      <c r="M75" t="inlineStr">
        <is>
          <t>Konstruksi Gedung Lainnya</t>
        </is>
      </c>
      <c r="N75" t="inlineStr">
        <is>
          <t>K</t>
        </is>
      </c>
      <c r="O75" t="inlineStr">
        <is>
          <t>20231017</t>
        </is>
      </c>
      <c r="P75" t="inlineStr">
        <is>
          <t>Jawa Timur</t>
        </is>
      </c>
      <c r="Q75" t="inlineStr"/>
    </row>
    <row r="76">
      <c r="A76" t="inlineStr">
        <is>
          <t>ABINAWA WAHYU UTAMA</t>
        </is>
      </c>
      <c r="B76" t="inlineStr">
        <is>
          <t>Kab. Sidoarjo</t>
        </is>
      </c>
      <c r="C76" t="inlineStr">
        <is>
          <t>082142411448</t>
        </is>
      </c>
      <c r="D76" t="inlineStr">
        <is>
          <t>cvabinawawahyuutama@gmail.com</t>
        </is>
      </c>
      <c r="E76" t="inlineStr">
        <is>
          <t>https://lpjk.pu.go.id/search-badan-usaha-detail/cHQ2WnExZCtYWGlUblc3QkloYktrQT09</t>
        </is>
      </c>
      <c r="F76" t="n">
        <v>4</v>
      </c>
      <c r="G76" t="inlineStr">
        <is>
          <t>BG001, BG002, BG006, BG009</t>
        </is>
      </c>
      <c r="H76" t="inlineStr">
        <is>
          <t>11 Maret 2022</t>
        </is>
      </c>
      <c r="I76" s="2" t="n">
        <v>46311</v>
      </c>
      <c r="J76" t="inlineStr">
        <is>
          <t>Disetujui</t>
        </is>
      </c>
      <c r="K76" t="n">
        <v>60</v>
      </c>
      <c r="L76" t="inlineStr">
        <is>
          <t>16 Oktober 2026</t>
        </is>
      </c>
      <c r="M76" t="inlineStr">
        <is>
          <t>Konstruksi Gedung Hunian, Konstruksi Gedung Lainnya, Konstruksi Gedung Pendidikan, Konstruksi Gedung Perkantoran</t>
        </is>
      </c>
      <c r="N76" t="inlineStr">
        <is>
          <t>K</t>
        </is>
      </c>
      <c r="O76" t="inlineStr">
        <is>
          <t>20230920, 20230925, 20230926</t>
        </is>
      </c>
      <c r="P76" t="inlineStr">
        <is>
          <t>Jawa Timur</t>
        </is>
      </c>
      <c r="Q76" t="inlineStr"/>
    </row>
    <row r="77">
      <c r="A77" t="inlineStr">
        <is>
          <t>ABROSAH</t>
        </is>
      </c>
      <c r="B77" t="inlineStr">
        <is>
          <t>Kota Bandung</t>
        </is>
      </c>
      <c r="C77" t="inlineStr">
        <is>
          <t>08122382399</t>
        </is>
      </c>
      <c r="D77" t="inlineStr">
        <is>
          <t>abrosahcv@yahoo.co.id</t>
        </is>
      </c>
      <c r="E77" t="inlineStr">
        <is>
          <t>https://lpjk.pu.go.id/search-badan-usaha-detail/TFloYitpYzJVN0o2R2V3L1lnU2dwUT09</t>
        </is>
      </c>
      <c r="F77" t="n">
        <v>2</v>
      </c>
      <c r="G77" t="inlineStr">
        <is>
          <t>BS001, BS004</t>
        </is>
      </c>
      <c r="H77" t="inlineStr">
        <is>
          <t>22 Agustus 1992</t>
        </is>
      </c>
      <c r="I77" s="2" t="n">
        <v>46312</v>
      </c>
      <c r="J77" t="inlineStr">
        <is>
          <t>Disetujui</t>
        </is>
      </c>
      <c r="K77" t="n">
        <v>60</v>
      </c>
      <c r="L77" t="inlineStr">
        <is>
          <t>17 Oktober 2026</t>
        </is>
      </c>
      <c r="M77" t="inlineStr">
        <is>
          <t>Konstruksi Bangunan Sipil Jalan, Konstruksi Jaringan Irigasi dan Drainase</t>
        </is>
      </c>
      <c r="N77" t="inlineStr">
        <is>
          <t>K</t>
        </is>
      </c>
      <c r="O77" t="inlineStr">
        <is>
          <t>20230927, 20231013</t>
        </is>
      </c>
      <c r="P77" t="inlineStr">
        <is>
          <t>Jawa Barat</t>
        </is>
      </c>
      <c r="Q77" t="inlineStr"/>
    </row>
    <row r="78">
      <c r="A78" t="inlineStr">
        <is>
          <t>ADE MARENTA</t>
        </is>
      </c>
      <c r="B78" t="inlineStr">
        <is>
          <t>Kota Palu</t>
        </is>
      </c>
      <c r="C78" t="inlineStr">
        <is>
          <t>081245308941</t>
        </is>
      </c>
      <c r="D78" t="inlineStr">
        <is>
          <t>ramamonggo223@gmail.com</t>
        </is>
      </c>
      <c r="E78" t="inlineStr">
        <is>
          <t>https://lpjk.pu.go.id/search-badan-usaha-detail/TzFDdzZpN3lpNlQxbmZhM1JNaWdIQT09</t>
        </is>
      </c>
      <c r="F78" t="n">
        <v>4</v>
      </c>
      <c r="G78" t="inlineStr">
        <is>
          <t>BG001, BG002, BG004, BG006</t>
        </is>
      </c>
      <c r="H78" t="inlineStr">
        <is>
          <t>16 Januari 2019</t>
        </is>
      </c>
      <c r="I78" s="2" t="n">
        <v>46307</v>
      </c>
      <c r="J78" t="inlineStr">
        <is>
          <t>Disetujui</t>
        </is>
      </c>
      <c r="K78" t="n">
        <v>60</v>
      </c>
      <c r="L78" t="inlineStr">
        <is>
          <t>12 Oktober 2026</t>
        </is>
      </c>
      <c r="M78" t="inlineStr">
        <is>
          <t>Konstruksi Gedung Hunian, Konstruksi Gedung Pendidikan, Konstruksi Gedung Perbelanjaan, Konstruksi Gedung Perkantoran</t>
        </is>
      </c>
      <c r="N78" t="inlineStr">
        <is>
          <t>K</t>
        </is>
      </c>
      <c r="O78" t="inlineStr">
        <is>
          <t>20231010, 20231012</t>
        </is>
      </c>
      <c r="P78" t="inlineStr">
        <is>
          <t>Sulawesi Tengah</t>
        </is>
      </c>
      <c r="Q78" t="inlineStr"/>
    </row>
    <row r="79">
      <c r="A79" t="inlineStr">
        <is>
          <t>ADHID JOMPHY</t>
        </is>
      </c>
      <c r="B79" t="inlineStr">
        <is>
          <t>Kab. Muna</t>
        </is>
      </c>
      <c r="C79" t="inlineStr">
        <is>
          <t>081341662471</t>
        </is>
      </c>
      <c r="D79" t="inlineStr">
        <is>
          <t>cv.adhidjomphy@gmail.com</t>
        </is>
      </c>
      <c r="E79" t="inlineStr">
        <is>
          <t>https://lpjk.pu.go.id/search-badan-usaha-detail/SUhUaituRmtlTGhQbmllUU5KNjY3UT09</t>
        </is>
      </c>
      <c r="F79" t="n">
        <v>1</v>
      </c>
      <c r="G79" t="inlineStr">
        <is>
          <t>BG009</t>
        </is>
      </c>
      <c r="H79" t="inlineStr">
        <is>
          <t>9 Februari 2017</t>
        </is>
      </c>
      <c r="I79" s="2" t="n">
        <v>46307</v>
      </c>
      <c r="J79" t="inlineStr">
        <is>
          <t>Disetujui</t>
        </is>
      </c>
      <c r="K79" t="n">
        <v>60</v>
      </c>
      <c r="L79" t="inlineStr">
        <is>
          <t>12 Oktober 2026</t>
        </is>
      </c>
      <c r="M79" t="inlineStr">
        <is>
          <t>Konstruksi Gedung Lainnya</t>
        </is>
      </c>
      <c r="N79" t="inlineStr">
        <is>
          <t>K</t>
        </is>
      </c>
      <c r="O79" t="inlineStr">
        <is>
          <t>20231004</t>
        </is>
      </c>
      <c r="P79" t="inlineStr">
        <is>
          <t>Sulawesi Tenggara</t>
        </is>
      </c>
      <c r="Q79" t="inlineStr"/>
    </row>
    <row r="80">
      <c r="A80" t="inlineStr">
        <is>
          <t>ADHIGANA JAYA SENTOSA</t>
        </is>
      </c>
      <c r="B80" t="inlineStr">
        <is>
          <t>Kota Tangerang Selatan</t>
        </is>
      </c>
      <c r="C80" t="inlineStr">
        <is>
          <t>02129030548</t>
        </is>
      </c>
      <c r="D80" t="inlineStr">
        <is>
          <t>adhigana.jaya.sentosa@gmail.com</t>
        </is>
      </c>
      <c r="E80" t="inlineStr">
        <is>
          <t>https://lpjk.pu.go.id/search-badan-usaha-detail/M01KWTREOGQvaEhGbHU5elkwaTZuQT09</t>
        </is>
      </c>
      <c r="F80" t="n">
        <v>10</v>
      </c>
      <c r="G80" t="inlineStr">
        <is>
          <t>BG001, BG002, BG003, BG005, BS001</t>
        </is>
      </c>
      <c r="H80" t="inlineStr">
        <is>
          <t>8 Desember 2014</t>
        </is>
      </c>
      <c r="I80" s="2" t="n">
        <v>46313</v>
      </c>
      <c r="J80" t="inlineStr">
        <is>
          <t>Disetujui</t>
        </is>
      </c>
      <c r="K80" t="n">
        <v>60</v>
      </c>
      <c r="L80" t="inlineStr">
        <is>
          <t>18 Oktober 2026</t>
        </is>
      </c>
      <c r="M80" t="inlineStr">
        <is>
          <t>Konstruksi Bangunan Sipil Jalan, Konstruksi Gedung Hunian, Konstruksi Gedung Industri, Konstruksi Gedung Kesehatan, Konstruksi Gedung Perkantoran</t>
        </is>
      </c>
      <c r="N80" t="inlineStr">
        <is>
          <t>K</t>
        </is>
      </c>
      <c r="O80" t="inlineStr">
        <is>
          <t>20230410, 20231011</t>
        </is>
      </c>
      <c r="P80" t="inlineStr">
        <is>
          <t>Banten</t>
        </is>
      </c>
      <c r="Q80" t="inlineStr"/>
    </row>
    <row r="81">
      <c r="A81" t="inlineStr">
        <is>
          <t>ADHIKARI RAYA</t>
        </is>
      </c>
      <c r="B81" t="inlineStr">
        <is>
          <t>Kab. Jember</t>
        </is>
      </c>
      <c r="C81" t="inlineStr">
        <is>
          <t>081332370919</t>
        </is>
      </c>
      <c r="D81" t="inlineStr">
        <is>
          <t>cv.adhikariraya@gmail.com</t>
        </is>
      </c>
      <c r="E81" t="inlineStr">
        <is>
          <t>https://lpjk.pu.go.id/search-badan-usaha-detail/MlJFRDVXak4xeXNYM3psMzlVVDFJZz09</t>
        </is>
      </c>
      <c r="F81" t="n">
        <v>2</v>
      </c>
      <c r="G81" t="inlineStr">
        <is>
          <t>BG009</t>
        </is>
      </c>
      <c r="H81" t="inlineStr">
        <is>
          <t>14 Desember 2022</t>
        </is>
      </c>
      <c r="I81" s="2" t="n">
        <v>46313</v>
      </c>
      <c r="J81" t="inlineStr">
        <is>
          <t>Disetujui</t>
        </is>
      </c>
      <c r="K81" t="n">
        <v>60</v>
      </c>
      <c r="L81" t="inlineStr">
        <is>
          <t>18 Oktober 2026</t>
        </is>
      </c>
      <c r="M81" t="inlineStr">
        <is>
          <t>Konstruksi Gedung Lainnya</t>
        </is>
      </c>
      <c r="N81" t="inlineStr">
        <is>
          <t>K</t>
        </is>
      </c>
      <c r="O81" t="inlineStr">
        <is>
          <t>20231018</t>
        </is>
      </c>
      <c r="P81" t="inlineStr">
        <is>
          <t>Jawa Timur</t>
        </is>
      </c>
      <c r="Q81" t="inlineStr"/>
    </row>
    <row r="82">
      <c r="A82" t="inlineStr">
        <is>
          <t>ADI MANUNGGAL</t>
        </is>
      </c>
      <c r="B82" t="inlineStr">
        <is>
          <t>Kab. Barito Kuala</t>
        </is>
      </c>
      <c r="C82" t="inlineStr">
        <is>
          <t>081351347778</t>
        </is>
      </c>
      <c r="D82" t="inlineStr">
        <is>
          <t>manunggal.cv_adi@yahoo.co.id</t>
        </is>
      </c>
      <c r="E82" t="inlineStr">
        <is>
          <t>https://lpjk.pu.go.id/search-badan-usaha-detail/RDhpZUR1OFIrOXRjSW1TMFlZaTY2Zz09</t>
        </is>
      </c>
      <c r="F82" t="n">
        <v>4</v>
      </c>
      <c r="G82" t="inlineStr">
        <is>
          <t>BG002, BG006, BS001, BS004</t>
        </is>
      </c>
      <c r="H82" t="inlineStr">
        <is>
          <t>4 Juli 2007</t>
        </is>
      </c>
      <c r="I82" s="2" t="n">
        <v>46310</v>
      </c>
      <c r="J82" t="inlineStr">
        <is>
          <t>Disetujui</t>
        </is>
      </c>
      <c r="K82" t="n">
        <v>60</v>
      </c>
      <c r="L82" t="inlineStr">
        <is>
          <t>15 Oktober 2026</t>
        </is>
      </c>
      <c r="M82" t="inlineStr">
        <is>
          <t>Konstruksi Bangunan Sipil Jalan, Konstruksi Gedung Pendidikan, Konstruksi Gedung Perkantoran, Konstruksi Jaringan Irigasi dan Drainase</t>
        </is>
      </c>
      <c r="N82" t="inlineStr">
        <is>
          <t>K</t>
        </is>
      </c>
      <c r="O82" t="inlineStr">
        <is>
          <t>20230914, 20231013</t>
        </is>
      </c>
      <c r="P82" t="inlineStr">
        <is>
          <t>Kalimantan Selatan</t>
        </is>
      </c>
      <c r="Q82" t="inlineStr"/>
    </row>
    <row r="83">
      <c r="A83" t="inlineStr">
        <is>
          <t>ADI PRIMA GRAHA</t>
        </is>
      </c>
      <c r="B83" t="inlineStr">
        <is>
          <t>Kota Padang</t>
        </is>
      </c>
      <c r="C83" t="inlineStr">
        <is>
          <t>081298705352</t>
        </is>
      </c>
      <c r="D83" t="inlineStr">
        <is>
          <t>cv.adiprimagraha412@gmail.com</t>
        </is>
      </c>
      <c r="E83" t="inlineStr">
        <is>
          <t>https://lpjk.pu.go.id/search-badan-usaha-detail/S2Y5a2VvbElvdzhrb2drOFROS1lxdz09</t>
        </is>
      </c>
      <c r="F83" t="n">
        <v>4</v>
      </c>
      <c r="G83" t="inlineStr">
        <is>
          <t>BG005, BG006, BG009, BS004</t>
        </is>
      </c>
      <c r="H83" t="inlineStr">
        <is>
          <t>3 Desember 2019</t>
        </is>
      </c>
      <c r="I83" s="2" t="n">
        <v>46310</v>
      </c>
      <c r="J83" t="inlineStr">
        <is>
          <t>Disetujui</t>
        </is>
      </c>
      <c r="K83" t="n">
        <v>60</v>
      </c>
      <c r="L83" t="inlineStr">
        <is>
          <t>15 Oktober 2026</t>
        </is>
      </c>
      <c r="M83" t="inlineStr">
        <is>
          <t>Konstruksi Gedung Kesehatan, Konstruksi Gedung Lainnya, Konstruksi Gedung Pendidikan, Konstruksi Jaringan Irigasi dan Drainase</t>
        </is>
      </c>
      <c r="N83" t="inlineStr">
        <is>
          <t>K</t>
        </is>
      </c>
      <c r="O83" t="inlineStr">
        <is>
          <t>20231016</t>
        </is>
      </c>
      <c r="P83" t="inlineStr">
        <is>
          <t>Sumatera Barat</t>
        </is>
      </c>
      <c r="Q83" t="inlineStr"/>
    </row>
    <row r="84">
      <c r="A84" t="inlineStr">
        <is>
          <t>ADI PUTRA</t>
        </is>
      </c>
      <c r="B84" t="inlineStr">
        <is>
          <t>Kab. Buleleng</t>
        </is>
      </c>
      <c r="C84" t="inlineStr">
        <is>
          <t>087804639859</t>
        </is>
      </c>
      <c r="D84" t="inlineStr">
        <is>
          <t>cv.adiputra@gmail.com</t>
        </is>
      </c>
      <c r="E84" t="inlineStr">
        <is>
          <t>https://lpjk.pu.go.id/search-badan-usaha-detail/YUJ3WFBjaDBiS1NVZElxMFJiU0dzdz09</t>
        </is>
      </c>
      <c r="F84" t="n">
        <v>3</v>
      </c>
      <c r="G84" t="inlineStr">
        <is>
          <t>BG005, BG006, BG009</t>
        </is>
      </c>
      <c r="H84" t="inlineStr">
        <is>
          <t>16 Mei 2000</t>
        </is>
      </c>
      <c r="I84" s="2" t="n">
        <v>46313</v>
      </c>
      <c r="J84" t="inlineStr">
        <is>
          <t>Disetujui</t>
        </is>
      </c>
      <c r="K84" t="n">
        <v>60</v>
      </c>
      <c r="L84" t="inlineStr">
        <is>
          <t>18 Oktober 2026</t>
        </is>
      </c>
      <c r="M84" t="inlineStr">
        <is>
          <t>Konstruksi Gedung Kesehatan, Konstruksi Gedung Lainnya, Konstruksi Gedung Pendidikan</t>
        </is>
      </c>
      <c r="N84" t="inlineStr">
        <is>
          <t>K</t>
        </is>
      </c>
      <c r="O84" t="inlineStr">
        <is>
          <t>20231011</t>
        </is>
      </c>
      <c r="P84" t="inlineStr">
        <is>
          <t>Bali</t>
        </is>
      </c>
      <c r="Q84" t="inlineStr"/>
    </row>
    <row r="85">
      <c r="A85" t="inlineStr">
        <is>
          <t>ADILAH TAMA</t>
        </is>
      </c>
      <c r="B85" t="inlineStr">
        <is>
          <t>Kota Metro</t>
        </is>
      </c>
      <c r="C85" t="inlineStr">
        <is>
          <t>0813777757275</t>
        </is>
      </c>
      <c r="D85" t="inlineStr">
        <is>
          <t>ikhsanburcik72@gmail.com</t>
        </is>
      </c>
      <c r="E85" t="inlineStr">
        <is>
          <t>https://lpjk.pu.go.id/search-badan-usaha-detail/NTBmRGp3cU42WjA5RDJRc2t0MHgzQT09</t>
        </is>
      </c>
      <c r="F85" t="n">
        <v>2</v>
      </c>
      <c r="G85" t="inlineStr">
        <is>
          <t>BS001</t>
        </is>
      </c>
      <c r="H85" t="inlineStr">
        <is>
          <t>8 Februari 2004</t>
        </is>
      </c>
      <c r="I85" s="2" t="n">
        <v>46308</v>
      </c>
      <c r="J85" t="inlineStr">
        <is>
          <t>Disetujui</t>
        </is>
      </c>
      <c r="K85" t="n">
        <v>60</v>
      </c>
      <c r="L85" t="inlineStr">
        <is>
          <t>13 Oktober 2026</t>
        </is>
      </c>
      <c r="M85" t="inlineStr">
        <is>
          <t>Konstruksi Bangunan Sipil Jalan</t>
        </is>
      </c>
      <c r="N85" t="inlineStr">
        <is>
          <t>K</t>
        </is>
      </c>
      <c r="O85" t="inlineStr">
        <is>
          <t>20231011</t>
        </is>
      </c>
      <c r="P85" t="inlineStr">
        <is>
          <t>Lampung</t>
        </is>
      </c>
      <c r="Q85" t="inlineStr"/>
    </row>
    <row r="86">
      <c r="A86" t="inlineStr">
        <is>
          <t>ADISTARA SRIWIJAYA KONSTRUKSI</t>
        </is>
      </c>
      <c r="B86" t="inlineStr">
        <is>
          <t>Kab. Subang</t>
        </is>
      </c>
      <c r="C86" t="inlineStr">
        <is>
          <t>081220837761</t>
        </is>
      </c>
      <c r="D86" t="inlineStr">
        <is>
          <t>cvadistarasriwijayakonstruksi@gmail.com</t>
        </is>
      </c>
      <c r="E86" t="inlineStr">
        <is>
          <t>https://lpjk.pu.go.id/search-badan-usaha-detail/UEcxUHFGMVFDSVFlTjJHaUwweHpqZz09</t>
        </is>
      </c>
      <c r="F86" t="n">
        <v>4</v>
      </c>
      <c r="G86" t="inlineStr">
        <is>
          <t>BS001, BS004</t>
        </is>
      </c>
      <c r="H86" t="inlineStr">
        <is>
          <t>2 Agustus 2023</t>
        </is>
      </c>
      <c r="I86" s="2" t="n">
        <v>46311</v>
      </c>
      <c r="J86" t="inlineStr">
        <is>
          <t>Pencabutan</t>
        </is>
      </c>
      <c r="K86" t="n">
        <v>60</v>
      </c>
      <c r="L86" t="inlineStr">
        <is>
          <t>16 Oktober 2026</t>
        </is>
      </c>
      <c r="M86" t="inlineStr">
        <is>
          <t>Konstruksi Bangunan Sipil Jalan, Konstruksi Jaringan Irigasi dan Drainase</t>
        </is>
      </c>
      <c r="N86" t="inlineStr">
        <is>
          <t>K</t>
        </is>
      </c>
      <c r="O86" t="inlineStr">
        <is>
          <t>20231010, 20231012</t>
        </is>
      </c>
      <c r="P86" t="inlineStr">
        <is>
          <t>Jawa Barat</t>
        </is>
      </c>
      <c r="Q86" t="inlineStr"/>
    </row>
    <row r="87">
      <c r="A87" t="inlineStr">
        <is>
          <t>ADJI MERTHA KARYA</t>
        </is>
      </c>
      <c r="B87" t="inlineStr">
        <is>
          <t>Kab. Pasuruan</t>
        </is>
      </c>
      <c r="C87" t="inlineStr">
        <is>
          <t>08125297937</t>
        </is>
      </c>
      <c r="D87" t="inlineStr">
        <is>
          <t>ajimerthakarya@gmail.com</t>
        </is>
      </c>
      <c r="E87" t="inlineStr">
        <is>
          <t>https://lpjk.pu.go.id/search-badan-usaha-detail/S1pYbHZXWElhVkoxdkxvOGI2anRlQT09</t>
        </is>
      </c>
      <c r="F87" t="n">
        <v>1</v>
      </c>
      <c r="G87" t="inlineStr">
        <is>
          <t>BS001</t>
        </is>
      </c>
      <c r="H87" t="inlineStr">
        <is>
          <t>6 Agustus 1982</t>
        </is>
      </c>
      <c r="I87" s="2" t="n">
        <v>46313</v>
      </c>
      <c r="J87" t="inlineStr">
        <is>
          <t>Disetujui</t>
        </is>
      </c>
      <c r="K87" t="n">
        <v>60</v>
      </c>
      <c r="L87" t="inlineStr">
        <is>
          <t>18 Oktober 2026</t>
        </is>
      </c>
      <c r="M87" t="inlineStr">
        <is>
          <t>Konstruksi Bangunan Sipil Jalan</t>
        </is>
      </c>
      <c r="N87" t="inlineStr">
        <is>
          <t>K</t>
        </is>
      </c>
      <c r="O87" t="inlineStr">
        <is>
          <t>20231006</t>
        </is>
      </c>
      <c r="P87" t="inlineStr">
        <is>
          <t>Jawa Timur</t>
        </is>
      </c>
      <c r="Q87" t="inlineStr"/>
    </row>
    <row r="88">
      <c r="A88" t="inlineStr">
        <is>
          <t>ADYATMA MAJU BERSAMA</t>
        </is>
      </c>
      <c r="B88" t="inlineStr">
        <is>
          <t>Kab. Lombok Barat</t>
        </is>
      </c>
      <c r="C88" t="inlineStr">
        <is>
          <t>081917449874</t>
        </is>
      </c>
      <c r="D88" t="inlineStr">
        <is>
          <t>junaidi79008@gmail.com</t>
        </is>
      </c>
      <c r="E88" t="inlineStr">
        <is>
          <t>https://lpjk.pu.go.id/search-badan-usaha-detail/WG9IWlZSWHJCUGVkR2dkREtwK1VzUT09</t>
        </is>
      </c>
      <c r="F88" t="n">
        <v>2</v>
      </c>
      <c r="G88" t="inlineStr">
        <is>
          <t>RK002</t>
        </is>
      </c>
      <c r="H88" t="inlineStr">
        <is>
          <t>27 Agustus 2012</t>
        </is>
      </c>
      <c r="I88" s="2" t="n">
        <v>46313</v>
      </c>
      <c r="J88" t="inlineStr">
        <is>
          <t>Disetujui</t>
        </is>
      </c>
      <c r="K88" t="n">
        <v>60</v>
      </c>
      <c r="L88" t="inlineStr">
        <is>
          <t>18 Oktober 2026</t>
        </is>
      </c>
      <c r="M88" t="inlineStr">
        <is>
          <t>Jasa Rekayasa Pekerjaan Teknik Sipil Sumber Daya Air</t>
        </is>
      </c>
      <c r="N88" t="inlineStr">
        <is>
          <t>K</t>
        </is>
      </c>
      <c r="O88" t="inlineStr">
        <is>
          <t>20230914</t>
        </is>
      </c>
      <c r="P88" t="inlineStr">
        <is>
          <t>Nusa Tenggara Barat</t>
        </is>
      </c>
      <c r="Q88" t="inlineStr"/>
    </row>
    <row r="89">
      <c r="A89" t="inlineStr">
        <is>
          <t>AGRO LESTARI</t>
        </is>
      </c>
      <c r="B89" t="inlineStr">
        <is>
          <t>Kota Pontianak</t>
        </is>
      </c>
      <c r="C89" t="inlineStr">
        <is>
          <t>081522631199</t>
        </is>
      </c>
      <c r="D89" t="inlineStr">
        <is>
          <t>cvagrolestari2019@gmail.com</t>
        </is>
      </c>
      <c r="E89" t="inlineStr">
        <is>
          <t>https://lpjk.pu.go.id/search-badan-usaha-detail/VFFGN2ErV2NHTzJpSXNTVUNTeVlMdz09</t>
        </is>
      </c>
      <c r="F89" t="n">
        <v>2</v>
      </c>
      <c r="G89" t="inlineStr">
        <is>
          <t>BG002, BS001</t>
        </is>
      </c>
      <c r="H89" t="inlineStr">
        <is>
          <t>1 Februari 2017</t>
        </is>
      </c>
      <c r="I89" s="2" t="n">
        <v>46310</v>
      </c>
      <c r="J89" t="inlineStr">
        <is>
          <t>Disetujui</t>
        </is>
      </c>
      <c r="K89" t="n">
        <v>60</v>
      </c>
      <c r="L89" t="inlineStr">
        <is>
          <t>15 Oktober 2026</t>
        </is>
      </c>
      <c r="M89" t="inlineStr">
        <is>
          <t>Konstruksi Bangunan Sipil Jalan, Konstruksi Gedung Perkantoran</t>
        </is>
      </c>
      <c r="N89" t="inlineStr">
        <is>
          <t>K</t>
        </is>
      </c>
      <c r="O89" t="inlineStr">
        <is>
          <t>20231012, 20231013</t>
        </is>
      </c>
      <c r="P89" t="inlineStr">
        <is>
          <t>Kalimantan Barat</t>
        </is>
      </c>
      <c r="Q89" t="inlineStr"/>
    </row>
    <row r="90">
      <c r="A90" t="inlineStr">
        <is>
          <t>AGUNG PORSEA JAYA</t>
        </is>
      </c>
      <c r="B90" t="inlineStr">
        <is>
          <t>Kab. Cilacap</t>
        </is>
      </c>
      <c r="C90" t="inlineStr">
        <is>
          <t>0282542052</t>
        </is>
      </c>
      <c r="D90" t="inlineStr">
        <is>
          <t>agung_porsea_jaya@yahoo.co.id</t>
        </is>
      </c>
      <c r="E90" t="inlineStr">
        <is>
          <t>https://lpjk.pu.go.id/search-badan-usaha-detail/MFpzSU40MC8rVXpzSGNUcnFDQ2VmUT09</t>
        </is>
      </c>
      <c r="F90" t="n">
        <v>12</v>
      </c>
      <c r="G90" t="inlineStr">
        <is>
          <t>BG003, BG004, BG005, BG009, BS001, BS004</t>
        </is>
      </c>
      <c r="H90" t="inlineStr">
        <is>
          <t>11 Maret 2014</t>
        </is>
      </c>
      <c r="I90" s="2" t="n">
        <v>46311</v>
      </c>
      <c r="J90" t="inlineStr">
        <is>
          <t>Disetujui</t>
        </is>
      </c>
      <c r="K90" t="n">
        <v>60</v>
      </c>
      <c r="L90" t="inlineStr">
        <is>
          <t>16 Oktober 2026</t>
        </is>
      </c>
      <c r="M90" t="inlineStr">
        <is>
          <t>Konstruksi Bangunan Sipil Jalan, Konstruksi Gedung Industri, Konstruksi Gedung Kesehatan, Konstruksi Gedung Lainnya, Konstruksi Gedung Perbelanjaan, Konstruksi Jaringan Irigasi dan Drainase</t>
        </is>
      </c>
      <c r="N90" t="inlineStr">
        <is>
          <t>K</t>
        </is>
      </c>
      <c r="O90" t="inlineStr">
        <is>
          <t>20230810, 20231013</t>
        </is>
      </c>
      <c r="P90" t="inlineStr">
        <is>
          <t>Jawa Tengah</t>
        </is>
      </c>
      <c r="Q90" t="inlineStr"/>
    </row>
    <row r="91">
      <c r="A91" t="inlineStr">
        <is>
          <t>AGUNG SAPTI KONSTRUKSI</t>
        </is>
      </c>
      <c r="B91" t="inlineStr">
        <is>
          <t>Kab. Bengkalis</t>
        </is>
      </c>
      <c r="C91" t="inlineStr">
        <is>
          <t>085264694269</t>
        </is>
      </c>
      <c r="D91" t="inlineStr">
        <is>
          <t>agungsapticon2020@gmail.com</t>
        </is>
      </c>
      <c r="E91" t="inlineStr">
        <is>
          <t>https://lpjk.pu.go.id/search-badan-usaha-detail/cmxmNStUbWxRSkJxaG1KNXJ3UHoydz09</t>
        </is>
      </c>
      <c r="F91" t="n">
        <v>2</v>
      </c>
      <c r="G91" t="inlineStr">
        <is>
          <t>BS004</t>
        </is>
      </c>
      <c r="H91" t="inlineStr">
        <is>
          <t>31 Januari 2020</t>
        </is>
      </c>
      <c r="I91" s="2" t="n">
        <v>46311</v>
      </c>
      <c r="J91" t="inlineStr">
        <is>
          <t>Disetujui</t>
        </is>
      </c>
      <c r="K91" t="n">
        <v>60</v>
      </c>
      <c r="L91" t="inlineStr">
        <is>
          <t>16 Oktober 2026</t>
        </is>
      </c>
      <c r="M91" t="inlineStr">
        <is>
          <t>Konstruksi Jaringan Irigasi dan Drainase</t>
        </is>
      </c>
      <c r="N91" t="inlineStr">
        <is>
          <t>K</t>
        </is>
      </c>
      <c r="O91" t="inlineStr">
        <is>
          <t>20231017</t>
        </is>
      </c>
      <c r="P91" t="inlineStr">
        <is>
          <t>Riau</t>
        </is>
      </c>
      <c r="Q91" t="inlineStr"/>
    </row>
    <row r="92">
      <c r="A92" t="inlineStr">
        <is>
          <t>AIR LANGGA</t>
        </is>
      </c>
      <c r="B92" t="inlineStr">
        <is>
          <t>Kab. Pemalang</t>
        </is>
      </c>
      <c r="C92" t="inlineStr">
        <is>
          <t>-</t>
        </is>
      </c>
      <c r="D92" t="inlineStr">
        <is>
          <t>airlanggacv3@gmail.com</t>
        </is>
      </c>
      <c r="E92" t="inlineStr">
        <is>
          <t>https://lpjk.pu.go.id/search-badan-usaha-detail/MWdzOC9yT2w3OEMyWWVtbHZxVHAzQT09</t>
        </is>
      </c>
      <c r="F92" t="n">
        <v>5</v>
      </c>
      <c r="G92" t="inlineStr">
        <is>
          <t>BG002, BG005, BG009, BS001, BS004</t>
        </is>
      </c>
      <c r="H92" t="inlineStr">
        <is>
          <t>24 Desember 2002</t>
        </is>
      </c>
      <c r="I92" s="2" t="n">
        <v>46307</v>
      </c>
      <c r="J92" t="inlineStr">
        <is>
          <t>Pencabutan</t>
        </is>
      </c>
      <c r="K92" t="n">
        <v>60</v>
      </c>
      <c r="L92" t="inlineStr">
        <is>
          <t>12 Oktober 2026</t>
        </is>
      </c>
      <c r="M92" t="inlineStr">
        <is>
          <t>Konstruksi Bangunan Sipil Jalan, Konstruksi Gedung Kesehatan, Konstruksi Gedung Lainnya, Konstruksi Gedung Perkantoran, Konstruksi Jaringan Irigasi dan Drainase</t>
        </is>
      </c>
      <c r="N92" t="inlineStr">
        <is>
          <t>K</t>
        </is>
      </c>
      <c r="O92" t="inlineStr">
        <is>
          <t>20231009, 20231010</t>
        </is>
      </c>
      <c r="P92" t="inlineStr">
        <is>
          <t>Jawa Tengah</t>
        </is>
      </c>
      <c r="Q92" t="inlineStr"/>
    </row>
    <row r="93">
      <c r="A93" t="inlineStr">
        <is>
          <t>AKBAR JAYA KONSULTAN</t>
        </is>
      </c>
      <c r="B93" t="inlineStr">
        <is>
          <t>Kota Bandar Lampung</t>
        </is>
      </c>
      <c r="C93" t="inlineStr">
        <is>
          <t>081278308307</t>
        </is>
      </c>
      <c r="D93" t="inlineStr">
        <is>
          <t>akbarjayaconsultant@yahoo.co.id</t>
        </is>
      </c>
      <c r="E93" t="inlineStr">
        <is>
          <t>https://lpjk.pu.go.id/search-badan-usaha-detail/TlVGTHYyci9DWHFNQkJaWU5YRE5Hdz09</t>
        </is>
      </c>
      <c r="F93" t="n">
        <v>2</v>
      </c>
      <c r="G93" t="inlineStr">
        <is>
          <t>RK001, RK002</t>
        </is>
      </c>
      <c r="H93" t="inlineStr">
        <is>
          <t>22 September 1998</t>
        </is>
      </c>
      <c r="I93" s="2" t="n">
        <v>46307</v>
      </c>
      <c r="J93" t="inlineStr">
        <is>
          <t>Disetujui</t>
        </is>
      </c>
      <c r="K93" t="n">
        <v>60</v>
      </c>
      <c r="L93" t="inlineStr">
        <is>
          <t>12 Oktober 2026</t>
        </is>
      </c>
      <c r="M93" t="inlineStr">
        <is>
          <t>Jasa Rekayasa Konstruksi Bangunan Gedung Hunian dan Non Hunian, Jasa Rekayasa Pekerjaan Teknik Sipil Sumber Daya Air</t>
        </is>
      </c>
      <c r="N93" t="inlineStr">
        <is>
          <t>K, M</t>
        </is>
      </c>
      <c r="O93" t="inlineStr">
        <is>
          <t>20231006</t>
        </is>
      </c>
      <c r="P93" t="inlineStr">
        <is>
          <t>Lampung</t>
        </is>
      </c>
      <c r="Q93" t="inlineStr"/>
    </row>
    <row r="94">
      <c r="A94" t="inlineStr">
        <is>
          <t>AKRAM SAAID ALIIF</t>
        </is>
      </c>
      <c r="B94" t="inlineStr">
        <is>
          <t>Kota Samarinda</t>
        </is>
      </c>
      <c r="C94" t="inlineStr">
        <is>
          <t>0811589039</t>
        </is>
      </c>
      <c r="D94" t="inlineStr">
        <is>
          <t>cv.akramsaaidaliif@gmail.com</t>
        </is>
      </c>
      <c r="E94" t="inlineStr">
        <is>
          <t>https://lpjk.pu.go.id/search-badan-usaha-detail/SGpuYXQvVVUxdjVaZ2ROWXlQOW5sZz09</t>
        </is>
      </c>
      <c r="F94" t="n">
        <v>6</v>
      </c>
      <c r="G94" t="inlineStr">
        <is>
          <t>RK001, RK002, RK003</t>
        </is>
      </c>
      <c r="H94" t="inlineStr">
        <is>
          <t>15 Juni 2022</t>
        </is>
      </c>
      <c r="I94" s="2" t="n">
        <v>46312</v>
      </c>
      <c r="J94" t="inlineStr">
        <is>
          <t>Disetujui</t>
        </is>
      </c>
      <c r="K94" t="n">
        <v>60</v>
      </c>
      <c r="L94" t="inlineStr">
        <is>
          <t>17 Oktober 2026</t>
        </is>
      </c>
      <c r="M94" t="inlineStr">
        <is>
          <t>Jasa Rekayasa Konstruksi Bangunan Gedung Hunian dan Non Hunian, Jasa Rekayasa Pekerjaan Teknik Sipil Sumber Daya Air, Jasa Rekayasa Pekerjaan Teknik Sipil Transportasi</t>
        </is>
      </c>
      <c r="N94" t="inlineStr">
        <is>
          <t>K</t>
        </is>
      </c>
      <c r="O94" t="inlineStr">
        <is>
          <t>20231012</t>
        </is>
      </c>
      <c r="P94" t="inlineStr">
        <is>
          <t>Kalimantan Timur</t>
        </is>
      </c>
      <c r="Q94" t="inlineStr"/>
    </row>
    <row r="95">
      <c r="A95" t="inlineStr">
        <is>
          <t>ALAM VERTIKAL TEKNIK</t>
        </is>
      </c>
      <c r="B95" t="inlineStr">
        <is>
          <t>Kota Surabaya</t>
        </is>
      </c>
      <c r="C95" t="inlineStr">
        <is>
          <t>085731716697</t>
        </is>
      </c>
      <c r="D95" t="inlineStr">
        <is>
          <t>alamvertikal.teknik@yahoo.com</t>
        </is>
      </c>
      <c r="E95" t="inlineStr">
        <is>
          <t>https://lpjk.pu.go.id/search-badan-usaha-detail/NG16MHY0VHNQWnpqVnV5K3crc1hhdz09</t>
        </is>
      </c>
      <c r="F95" t="n">
        <v>1</v>
      </c>
      <c r="G95" t="inlineStr">
        <is>
          <t>BS007</t>
        </is>
      </c>
      <c r="H95" t="inlineStr">
        <is>
          <t>19 Oktober 2022</t>
        </is>
      </c>
      <c r="I95" s="2" t="n">
        <v>46307</v>
      </c>
      <c r="J95" t="inlineStr">
        <is>
          <t>Disetujui</t>
        </is>
      </c>
      <c r="K95" t="n">
        <v>60</v>
      </c>
      <c r="L95" t="inlineStr">
        <is>
          <t>12 Oktober 2026</t>
        </is>
      </c>
      <c r="M95" t="inlineStr">
        <is>
          <t>Konstruksi Bangunan Sipil Elektrikal</t>
        </is>
      </c>
      <c r="N95" t="inlineStr">
        <is>
          <t>K</t>
        </is>
      </c>
      <c r="O95" t="inlineStr">
        <is>
          <t>20231013</t>
        </is>
      </c>
      <c r="P95" t="inlineStr">
        <is>
          <t>Jawa Timur</t>
        </is>
      </c>
      <c r="Q95" t="inlineStr"/>
    </row>
    <row r="96">
      <c r="A96" t="inlineStr">
        <is>
          <t>ALBY FADILLAH</t>
        </is>
      </c>
      <c r="B96" t="inlineStr">
        <is>
          <t>Kab. Barito Kuala</t>
        </is>
      </c>
      <c r="C96" t="inlineStr">
        <is>
          <t>085348478169</t>
        </is>
      </c>
      <c r="D96" t="inlineStr">
        <is>
          <t>albyfadillah82@gmail.com</t>
        </is>
      </c>
      <c r="E96" t="inlineStr">
        <is>
          <t>https://lpjk.pu.go.id/search-badan-usaha-detail/dDY3SlNpSVF5UTgrdEFsOWMzQTN1Zz09</t>
        </is>
      </c>
      <c r="F96" t="n">
        <v>3</v>
      </c>
      <c r="G96" t="inlineStr">
        <is>
          <t>BG002, BG005, BG006</t>
        </is>
      </c>
      <c r="H96" t="inlineStr">
        <is>
          <t>23 Januari 2018</t>
        </is>
      </c>
      <c r="I96" s="2" t="n">
        <v>46308</v>
      </c>
      <c r="J96" t="inlineStr">
        <is>
          <t>Disetujui</t>
        </is>
      </c>
      <c r="K96" t="n">
        <v>60</v>
      </c>
      <c r="L96" t="inlineStr">
        <is>
          <t>13 Oktober 2026</t>
        </is>
      </c>
      <c r="M96" t="inlineStr">
        <is>
          <t>Konstruksi Gedung Kesehatan, Konstruksi Gedung Pendidikan, Konstruksi Gedung Perkantoran</t>
        </is>
      </c>
      <c r="N96" t="inlineStr">
        <is>
          <t>K</t>
        </is>
      </c>
      <c r="O96" t="inlineStr">
        <is>
          <t>20230913</t>
        </is>
      </c>
      <c r="P96" t="inlineStr">
        <is>
          <t>Kalimantan Selatan</t>
        </is>
      </c>
      <c r="Q96" t="inlineStr"/>
    </row>
    <row r="97">
      <c r="A97" t="inlineStr">
        <is>
          <t>ALFA QAYS PERDANA</t>
        </is>
      </c>
      <c r="B97" t="inlineStr">
        <is>
          <t>Kab. Bengkayang</t>
        </is>
      </c>
      <c r="C97" t="inlineStr">
        <is>
          <t>082252338328</t>
        </is>
      </c>
      <c r="D97" t="inlineStr">
        <is>
          <t>alfaqaysperdana21@gmail.com</t>
        </is>
      </c>
      <c r="E97" t="inlineStr">
        <is>
          <t>https://lpjk.pu.go.id/search-badan-usaha-detail/ZjlBWHpNR3lFTkl6aUllQ0tzK2VHZz09</t>
        </is>
      </c>
      <c r="F97" t="n">
        <v>1</v>
      </c>
      <c r="G97" t="inlineStr">
        <is>
          <t>BS010</t>
        </is>
      </c>
      <c r="H97" t="inlineStr">
        <is>
          <t>12 Januari 2023</t>
        </is>
      </c>
      <c r="I97" s="2" t="n">
        <v>46313</v>
      </c>
      <c r="J97" t="inlineStr">
        <is>
          <t>Pencabutan</t>
        </is>
      </c>
      <c r="K97" t="n">
        <v>60</v>
      </c>
      <c r="L97" t="inlineStr">
        <is>
          <t>18 Oktober 2026</t>
        </is>
      </c>
      <c r="M97" t="inlineStr">
        <is>
          <t>Konstruksi Bangunan Prasarana Sumber Daya Air</t>
        </is>
      </c>
      <c r="N97" t="inlineStr">
        <is>
          <t>K</t>
        </is>
      </c>
      <c r="O97" t="inlineStr">
        <is>
          <t>20230129</t>
        </is>
      </c>
      <c r="P97" t="inlineStr">
        <is>
          <t>Kalimantan Barat</t>
        </is>
      </c>
      <c r="Q97" t="inlineStr"/>
    </row>
    <row r="98">
      <c r="A98" t="inlineStr">
        <is>
          <t>ALIRAN MAS</t>
        </is>
      </c>
      <c r="B98" t="inlineStr">
        <is>
          <t>Kab. Kepulauan Mentawai</t>
        </is>
      </c>
      <c r="C98" t="inlineStr">
        <is>
          <t>081275341936</t>
        </is>
      </c>
      <c r="D98" t="inlineStr">
        <is>
          <t>aliranmas2000@gmail.com</t>
        </is>
      </c>
      <c r="E98" t="inlineStr">
        <is>
          <t>https://lpjk.pu.go.id/search-badan-usaha-detail/UnlwT0x1blVLVDFsN3lBZVlhRU1lQT09</t>
        </is>
      </c>
      <c r="F98" t="n">
        <v>1</v>
      </c>
      <c r="G98" t="inlineStr">
        <is>
          <t>BG009</t>
        </is>
      </c>
      <c r="H98" t="inlineStr">
        <is>
          <t>23 Agustus 2017</t>
        </is>
      </c>
      <c r="I98" s="2" t="n">
        <v>46312</v>
      </c>
      <c r="J98" t="inlineStr">
        <is>
          <t>Disetujui</t>
        </is>
      </c>
      <c r="K98" t="n">
        <v>60</v>
      </c>
      <c r="L98" t="inlineStr">
        <is>
          <t>17 Oktober 2026</t>
        </is>
      </c>
      <c r="M98" t="inlineStr">
        <is>
          <t>Konstruksi Gedung Lainnya</t>
        </is>
      </c>
      <c r="N98" t="inlineStr">
        <is>
          <t>K</t>
        </is>
      </c>
      <c r="O98" t="inlineStr">
        <is>
          <t>20231016</t>
        </is>
      </c>
      <c r="P98" t="inlineStr">
        <is>
          <t>Sumatera Barat</t>
        </is>
      </c>
      <c r="Q98" t="inlineStr"/>
    </row>
    <row r="99">
      <c r="A99" t="inlineStr">
        <is>
          <t>ALOCITA MANDIRI</t>
        </is>
      </c>
      <c r="B99" t="inlineStr">
        <is>
          <t>Kota Bandung</t>
        </is>
      </c>
      <c r="C99" t="inlineStr">
        <is>
          <t>022 87307478</t>
        </is>
      </c>
      <c r="D99" t="inlineStr">
        <is>
          <t>alocitamandiri19@gmail.com</t>
        </is>
      </c>
      <c r="E99" t="inlineStr">
        <is>
          <t>https://lpjk.pu.go.id/search-badan-usaha-detail/STV6eW1oSCtuYUhuL21MbVV2MXB1UT09</t>
        </is>
      </c>
      <c r="F99" t="n">
        <v>2</v>
      </c>
      <c r="G99" t="inlineStr">
        <is>
          <t>RK002</t>
        </is>
      </c>
      <c r="H99" t="inlineStr">
        <is>
          <t>2 Maret 1992</t>
        </is>
      </c>
      <c r="I99" s="2" t="n">
        <v>46307</v>
      </c>
      <c r="J99" t="inlineStr">
        <is>
          <t>Disetujui</t>
        </is>
      </c>
      <c r="K99" t="n">
        <v>60</v>
      </c>
      <c r="L99" t="inlineStr">
        <is>
          <t>12 Oktober 2026</t>
        </is>
      </c>
      <c r="M99" t="inlineStr">
        <is>
          <t>Jasa Rekayasa Pekerjaan Teknik Sipil Sumber Daya Air</t>
        </is>
      </c>
      <c r="N99" t="inlineStr">
        <is>
          <t>K</t>
        </is>
      </c>
      <c r="O99" t="inlineStr">
        <is>
          <t>20220726</t>
        </is>
      </c>
      <c r="P99" t="inlineStr">
        <is>
          <t>Jawa Barat</t>
        </is>
      </c>
      <c r="Q99" t="inlineStr"/>
    </row>
    <row r="100">
      <c r="A100" t="inlineStr">
        <is>
          <t>ALURA CONSULTING ENGINEERS</t>
        </is>
      </c>
      <c r="B100" t="inlineStr">
        <is>
          <t>Kab. Kutai Kartanegara</t>
        </is>
      </c>
      <c r="C100" t="inlineStr">
        <is>
          <t>081253379988</t>
        </is>
      </c>
      <c r="D100" t="inlineStr">
        <is>
          <t>cv.aluraconsultingengineers@gmail.com</t>
        </is>
      </c>
      <c r="E100" t="inlineStr">
        <is>
          <t>https://lpjk.pu.go.id/search-badan-usaha-detail/Z1R6VGd2bFpVOGw3bGxzSzZleHAwQT09</t>
        </is>
      </c>
      <c r="F100" t="n">
        <v>2</v>
      </c>
      <c r="G100" t="inlineStr">
        <is>
          <t>RK001, RK003</t>
        </is>
      </c>
      <c r="H100" t="inlineStr">
        <is>
          <t>5 September 2023</t>
        </is>
      </c>
      <c r="I100" s="2" t="n">
        <v>46313</v>
      </c>
      <c r="J100" t="inlineStr">
        <is>
          <t>Disetujui</t>
        </is>
      </c>
      <c r="K100" t="n">
        <v>60</v>
      </c>
      <c r="L100" t="inlineStr">
        <is>
          <t>18 Oktober 2026</t>
        </is>
      </c>
      <c r="M100" t="inlineStr">
        <is>
          <t>Jasa Rekayasa Konstruksi Bangunan Gedung Hunian dan Non Hunian, Jasa Rekayasa Pekerjaan Teknik Sipil Transportasi</t>
        </is>
      </c>
      <c r="N100" t="inlineStr">
        <is>
          <t>K</t>
        </is>
      </c>
      <c r="O100" t="inlineStr">
        <is>
          <t>20230927</t>
        </is>
      </c>
      <c r="P100" t="inlineStr">
        <is>
          <t>Kalimantan Timur</t>
        </is>
      </c>
      <c r="Q100" t="inlineStr"/>
    </row>
    <row r="101">
      <c r="A101" t="inlineStr">
        <is>
          <t>ALYN PUTRI JAYA</t>
        </is>
      </c>
      <c r="B101" t="inlineStr">
        <is>
          <t>Kab. Cirebon</t>
        </is>
      </c>
      <c r="C101" t="inlineStr">
        <is>
          <t>082218177638</t>
        </is>
      </c>
      <c r="D101" t="inlineStr">
        <is>
          <t>alynputrijaya.cv@gmail.com</t>
        </is>
      </c>
      <c r="E101" t="inlineStr">
        <is>
          <t>https://lpjk.pu.go.id/search-badan-usaha-detail/TW94UVcwb3BZeCttWGdpaHRpWjNyUT09</t>
        </is>
      </c>
      <c r="F101" t="n">
        <v>1</v>
      </c>
      <c r="G101" t="inlineStr">
        <is>
          <t>BG006</t>
        </is>
      </c>
      <c r="H101" t="inlineStr">
        <is>
          <t>25 Agustus 2023</t>
        </is>
      </c>
      <c r="I101" s="2" t="n">
        <v>46308</v>
      </c>
      <c r="J101" t="inlineStr">
        <is>
          <t>Disetujui</t>
        </is>
      </c>
      <c r="K101" t="n">
        <v>60</v>
      </c>
      <c r="L101" t="inlineStr">
        <is>
          <t>13 Oktober 2026</t>
        </is>
      </c>
      <c r="M101" t="inlineStr">
        <is>
          <t>Konstruksi Gedung Pendidikan</t>
        </is>
      </c>
      <c r="N101" t="inlineStr">
        <is>
          <t>K</t>
        </is>
      </c>
      <c r="O101" t="inlineStr">
        <is>
          <t>20231012</t>
        </is>
      </c>
      <c r="P101" t="inlineStr">
        <is>
          <t>Jawa Barat</t>
        </is>
      </c>
      <c r="Q101" t="inlineStr"/>
    </row>
    <row r="102">
      <c r="A102" t="inlineStr">
        <is>
          <t>AMANAH BERSAMA SEJAHTERA</t>
        </is>
      </c>
      <c r="B102" t="inlineStr">
        <is>
          <t>Kab. Musi Rawas Utara</t>
        </is>
      </c>
      <c r="C102" t="inlineStr">
        <is>
          <t>085216079380</t>
        </is>
      </c>
      <c r="D102" t="inlineStr">
        <is>
          <t>anggimaurie@gmail.com</t>
        </is>
      </c>
      <c r="E102" t="inlineStr">
        <is>
          <t>https://lpjk.pu.go.id/search-badan-usaha-detail/cmtadHExK3dVWWN4TEQwb3dYTXZBUT09</t>
        </is>
      </c>
      <c r="F102" t="n">
        <v>3</v>
      </c>
      <c r="G102" t="inlineStr">
        <is>
          <t>BG006</t>
        </is>
      </c>
      <c r="H102" t="inlineStr">
        <is>
          <t>15 Desember 2017</t>
        </is>
      </c>
      <c r="I102" s="2" t="n">
        <v>46307</v>
      </c>
      <c r="J102" t="inlineStr">
        <is>
          <t>Disetujui</t>
        </is>
      </c>
      <c r="K102" t="n">
        <v>60</v>
      </c>
      <c r="L102" t="inlineStr">
        <is>
          <t>12 Oktober 2026</t>
        </is>
      </c>
      <c r="M102" t="inlineStr">
        <is>
          <t>Konstruksi Gedung Pendidikan</t>
        </is>
      </c>
      <c r="N102" t="inlineStr">
        <is>
          <t>K</t>
        </is>
      </c>
      <c r="O102" t="inlineStr">
        <is>
          <t>20231012</t>
        </is>
      </c>
      <c r="P102" t="inlineStr">
        <is>
          <t>Sumatera Selatan</t>
        </is>
      </c>
      <c r="Q102" t="inlineStr"/>
    </row>
    <row r="103">
      <c r="A103" t="inlineStr">
        <is>
          <t>AMANDA PERDANA</t>
        </is>
      </c>
      <c r="B103" t="inlineStr">
        <is>
          <t>Kota Makassar</t>
        </is>
      </c>
      <c r="C103" t="inlineStr">
        <is>
          <t>081355213822</t>
        </is>
      </c>
      <c r="D103" t="inlineStr">
        <is>
          <t>amandaperdana035@gmail.com</t>
        </is>
      </c>
      <c r="E103" t="inlineStr">
        <is>
          <t>https://lpjk.pu.go.id/search-badan-usaha-detail/U0tMVFZUNE1QN3pNWGhDanpycTlkQT09</t>
        </is>
      </c>
      <c r="F103" t="n">
        <v>6</v>
      </c>
      <c r="G103" t="inlineStr">
        <is>
          <t>BG002, BG006, BG009</t>
        </is>
      </c>
      <c r="H103" t="inlineStr">
        <is>
          <t>15 Juni 2004</t>
        </is>
      </c>
      <c r="I103" s="2" t="n">
        <v>46312</v>
      </c>
      <c r="J103" t="inlineStr">
        <is>
          <t>Disetujui</t>
        </is>
      </c>
      <c r="K103" t="n">
        <v>60</v>
      </c>
      <c r="L103" t="inlineStr">
        <is>
          <t>17 Oktober 2026</t>
        </is>
      </c>
      <c r="M103" t="inlineStr">
        <is>
          <t>Konstruksi Gedung Lainnya, Konstruksi Gedung Pendidikan, Konstruksi Gedung Perkantoran</t>
        </is>
      </c>
      <c r="N103" t="inlineStr">
        <is>
          <t>K</t>
        </is>
      </c>
      <c r="O103" t="inlineStr">
        <is>
          <t>20231012</t>
        </is>
      </c>
      <c r="P103" t="inlineStr">
        <is>
          <t>Sulawesi Selatan</t>
        </is>
      </c>
      <c r="Q103" t="inlineStr"/>
    </row>
    <row r="104">
      <c r="A104" t="inlineStr">
        <is>
          <t>AMANDI KARYA</t>
        </is>
      </c>
      <c r="B104" t="inlineStr">
        <is>
          <t>Kota Pontianak</t>
        </is>
      </c>
      <c r="C104" t="inlineStr">
        <is>
          <t>085252765177</t>
        </is>
      </c>
      <c r="D104" t="inlineStr">
        <is>
          <t>amandikarya@gmail.com</t>
        </is>
      </c>
      <c r="E104" t="inlineStr">
        <is>
          <t>https://lpjk.pu.go.id/search-badan-usaha-detail/TDlzbzJzKzBKNkJyWDdTeENlWGcyUT09</t>
        </is>
      </c>
      <c r="F104" t="n">
        <v>3</v>
      </c>
      <c r="G104" t="inlineStr">
        <is>
          <t>BG005, BG008, BG009</t>
        </is>
      </c>
      <c r="H104" t="inlineStr">
        <is>
          <t>18 Juli 2023</t>
        </is>
      </c>
      <c r="I104" s="2" t="n">
        <v>46312</v>
      </c>
      <c r="J104" t="inlineStr">
        <is>
          <t>Disetujui</t>
        </is>
      </c>
      <c r="K104" t="n">
        <v>60</v>
      </c>
      <c r="L104" t="inlineStr">
        <is>
          <t>17 Oktober 2026</t>
        </is>
      </c>
      <c r="M104" t="inlineStr">
        <is>
          <t>Konstruksi Gedung Kesehatan, Konstruksi Gedung Lainnya, Konstruksi Gedung Tempat Hiburan dan Olahraga</t>
        </is>
      </c>
      <c r="N104" t="inlineStr">
        <is>
          <t>K</t>
        </is>
      </c>
      <c r="O104" t="inlineStr">
        <is>
          <t>20231010</t>
        </is>
      </c>
      <c r="P104" t="inlineStr">
        <is>
          <t>Kalimantan Barat</t>
        </is>
      </c>
      <c r="Q104" t="inlineStr"/>
    </row>
    <row r="105">
      <c r="A105" t="inlineStr">
        <is>
          <t>AMBARA KARYA</t>
        </is>
      </c>
      <c r="B105" t="inlineStr">
        <is>
          <t>Kab. Kutai Kartanegara</t>
        </is>
      </c>
      <c r="C105" t="inlineStr">
        <is>
          <t>081347490071</t>
        </is>
      </c>
      <c r="D105" t="inlineStr">
        <is>
          <t>cv.ambarakarya.samboja@gmail.com</t>
        </is>
      </c>
      <c r="E105" t="inlineStr">
        <is>
          <t>https://lpjk.pu.go.id/search-badan-usaha-detail/dXkvQ1NsZFpLRU5tQ2Yvd0dQdklvUT09</t>
        </is>
      </c>
      <c r="F105" t="n">
        <v>1</v>
      </c>
      <c r="G105" t="inlineStr">
        <is>
          <t>BG006</t>
        </is>
      </c>
      <c r="H105" t="inlineStr">
        <is>
          <t>14 Februari 2008</t>
        </is>
      </c>
      <c r="I105" s="2" t="n">
        <v>46307</v>
      </c>
      <c r="J105" t="inlineStr">
        <is>
          <t>Pencabutan</t>
        </is>
      </c>
      <c r="K105" t="n">
        <v>60</v>
      </c>
      <c r="L105" t="inlineStr">
        <is>
          <t>12 Oktober 2026</t>
        </is>
      </c>
      <c r="M105" t="inlineStr">
        <is>
          <t>Konstruksi Gedung Pendidikan</t>
        </is>
      </c>
      <c r="N105" t="inlineStr">
        <is>
          <t>K</t>
        </is>
      </c>
      <c r="O105" t="inlineStr">
        <is>
          <t>20231012</t>
        </is>
      </c>
      <c r="P105" t="inlineStr">
        <is>
          <t>Kalimantan Timur</t>
        </is>
      </c>
      <c r="Q105" t="inlineStr"/>
    </row>
    <row r="106">
      <c r="A106" t="inlineStr">
        <is>
          <t>ANAGATA ABISATYA VISITAMA</t>
        </is>
      </c>
      <c r="B106" t="inlineStr">
        <is>
          <t>Kota Bandung</t>
        </is>
      </c>
      <c r="C106" t="inlineStr">
        <is>
          <t>08122004498</t>
        </is>
      </c>
      <c r="D106" t="inlineStr">
        <is>
          <t>anagataabivisitama.cv@gmail.com</t>
        </is>
      </c>
      <c r="E106" t="inlineStr">
        <is>
          <t>https://lpjk.pu.go.id/search-badan-usaha-detail/MDdLNmF4aTNWendHZEM1WUpDaGVyUT09</t>
        </is>
      </c>
      <c r="F106" t="n">
        <v>1</v>
      </c>
      <c r="G106" t="inlineStr">
        <is>
          <t>BG006</t>
        </is>
      </c>
      <c r="H106" t="inlineStr">
        <is>
          <t>11 November 2022</t>
        </is>
      </c>
      <c r="I106" s="2" t="n">
        <v>46313</v>
      </c>
      <c r="J106" t="inlineStr">
        <is>
          <t>Disetujui</t>
        </is>
      </c>
      <c r="K106" t="n">
        <v>60</v>
      </c>
      <c r="L106" t="inlineStr">
        <is>
          <t>18 Oktober 2026</t>
        </is>
      </c>
      <c r="M106" t="inlineStr">
        <is>
          <t>Konstruksi Gedung Pendidikan</t>
        </is>
      </c>
      <c r="N106" t="inlineStr">
        <is>
          <t>K</t>
        </is>
      </c>
      <c r="O106" t="inlineStr">
        <is>
          <t>20230829</t>
        </is>
      </c>
      <c r="P106" t="inlineStr">
        <is>
          <t>Jawa Barat</t>
        </is>
      </c>
      <c r="Q106" t="inlineStr"/>
    </row>
    <row r="107">
      <c r="A107" t="inlineStr">
        <is>
          <t>ANANTA KARYA</t>
        </is>
      </c>
      <c r="B107" t="inlineStr">
        <is>
          <t>Kab. Jember</t>
        </is>
      </c>
      <c r="C107" t="inlineStr">
        <is>
          <t>085236371240</t>
        </is>
      </c>
      <c r="D107" t="inlineStr">
        <is>
          <t>anantakaryajember@gmail.com</t>
        </is>
      </c>
      <c r="E107" t="inlineStr">
        <is>
          <t>https://lpjk.pu.go.id/search-badan-usaha-detail/UUUwRG44d2dyaG9OOE1uOXZhR0xsdz09</t>
        </is>
      </c>
      <c r="F107" t="n">
        <v>5</v>
      </c>
      <c r="G107" t="inlineStr">
        <is>
          <t>BG001, BG002, BG003, BG004, BG009</t>
        </is>
      </c>
      <c r="H107" t="inlineStr">
        <is>
          <t>11 November 2016</t>
        </is>
      </c>
      <c r="I107" s="2" t="n">
        <v>46312</v>
      </c>
      <c r="J107" t="inlineStr">
        <is>
          <t>Disetujui</t>
        </is>
      </c>
      <c r="K107" t="n">
        <v>60</v>
      </c>
      <c r="L107" t="inlineStr">
        <is>
          <t>17 Oktober 2026</t>
        </is>
      </c>
      <c r="M107" t="inlineStr">
        <is>
          <t>Konstruksi Gedung Hunian, Konstruksi Gedung Industri, Konstruksi Gedung Lainnya, Konstruksi Gedung Perbelanjaan, Konstruksi Gedung Perkantoran</t>
        </is>
      </c>
      <c r="N107" t="inlineStr">
        <is>
          <t>K</t>
        </is>
      </c>
      <c r="O107" t="inlineStr">
        <is>
          <t>20231010</t>
        </is>
      </c>
      <c r="P107" t="inlineStr">
        <is>
          <t>Jawa Timur</t>
        </is>
      </c>
      <c r="Q107" t="inlineStr"/>
    </row>
    <row r="108">
      <c r="A108" t="inlineStr">
        <is>
          <t>ANDI WHINATA</t>
        </is>
      </c>
      <c r="B108" t="inlineStr">
        <is>
          <t>Kab. Jember</t>
        </is>
      </c>
      <c r="C108" t="inlineStr">
        <is>
          <t>082330201171</t>
        </is>
      </c>
      <c r="D108" t="inlineStr">
        <is>
          <t>cvandiwhinata@yahoo.co.id</t>
        </is>
      </c>
      <c r="E108" t="inlineStr">
        <is>
          <t>https://lpjk.pu.go.id/search-badan-usaha-detail/R1B0Wk41enFDN01IVkgxRGFyMStCZz09</t>
        </is>
      </c>
      <c r="F108" t="n">
        <v>1</v>
      </c>
      <c r="G108" t="inlineStr">
        <is>
          <t>BS005</t>
        </is>
      </c>
      <c r="H108" t="inlineStr">
        <is>
          <t>29 Juli 1996</t>
        </is>
      </c>
      <c r="I108" s="2" t="n">
        <v>46307</v>
      </c>
      <c r="J108" t="inlineStr">
        <is>
          <t>Pencabutan</t>
        </is>
      </c>
      <c r="K108" t="n">
        <v>60</v>
      </c>
      <c r="L108" t="inlineStr">
        <is>
          <t>12 Oktober 2026</t>
        </is>
      </c>
      <c r="M108" t="inlineStr">
        <is>
          <t>Konstruksi Bangunan Sipil Pengolahan Air Bersih</t>
        </is>
      </c>
      <c r="N108" t="inlineStr">
        <is>
          <t>K</t>
        </is>
      </c>
      <c r="O108" t="inlineStr">
        <is>
          <t>20231009</t>
        </is>
      </c>
      <c r="P108" t="inlineStr">
        <is>
          <t>Jawa Timur</t>
        </is>
      </c>
      <c r="Q108" t="inlineStr"/>
    </row>
    <row r="109">
      <c r="A109" t="inlineStr">
        <is>
          <t>ANDIKA SEJAHTERA</t>
        </is>
      </c>
      <c r="B109" t="inlineStr">
        <is>
          <t>Kota Palembang</t>
        </is>
      </c>
      <c r="C109" t="inlineStr">
        <is>
          <t>-</t>
        </is>
      </c>
      <c r="D109" t="inlineStr">
        <is>
          <t>andika_sejahtera@ymail.com</t>
        </is>
      </c>
      <c r="E109" t="inlineStr">
        <is>
          <t>https://lpjk.pu.go.id/search-badan-usaha-detail/NGtuY1VYcmV4eWFXcmR1a25qdU5qdz09</t>
        </is>
      </c>
      <c r="F109" t="n">
        <v>4</v>
      </c>
      <c r="G109" t="inlineStr">
        <is>
          <t>BS001, BS004</t>
        </is>
      </c>
      <c r="H109" t="inlineStr">
        <is>
          <t>18 Juli 1996</t>
        </is>
      </c>
      <c r="I109" s="2" t="n">
        <v>46307</v>
      </c>
      <c r="J109" t="inlineStr">
        <is>
          <t>Disetujui</t>
        </is>
      </c>
      <c r="K109" t="n">
        <v>60</v>
      </c>
      <c r="L109" t="inlineStr">
        <is>
          <t>12 Oktober 2026</t>
        </is>
      </c>
      <c r="M109" t="inlineStr">
        <is>
          <t>Konstruksi Bangunan Sipil Jalan, Konstruksi Jaringan Irigasi dan Drainase</t>
        </is>
      </c>
      <c r="N109" t="inlineStr">
        <is>
          <t>K</t>
        </is>
      </c>
      <c r="O109" t="inlineStr">
        <is>
          <t>20231007, 20231009</t>
        </is>
      </c>
      <c r="P109" t="inlineStr">
        <is>
          <t>Sumatera Selatan</t>
        </is>
      </c>
      <c r="Q109" t="inlineStr"/>
    </row>
    <row r="110">
      <c r="A110" t="inlineStr">
        <is>
          <t>ANEKA ADIJASA</t>
        </is>
      </c>
      <c r="B110" t="inlineStr">
        <is>
          <t>Kab. Sleman</t>
        </is>
      </c>
      <c r="C110" t="inlineStr">
        <is>
          <t>08179427326</t>
        </is>
      </c>
      <c r="D110" t="inlineStr">
        <is>
          <t>aneka.adijasa@gmail.com</t>
        </is>
      </c>
      <c r="E110" t="inlineStr">
        <is>
          <t>https://lpjk.pu.go.id/search-badan-usaha-detail/NUlXR2xrWTE0MFhmZFBvUTQyUWVtdz09</t>
        </is>
      </c>
      <c r="F110" t="n">
        <v>2</v>
      </c>
      <c r="G110" t="inlineStr">
        <is>
          <t>BS005</t>
        </is>
      </c>
      <c r="H110" t="inlineStr">
        <is>
          <t>13 Februari 2014</t>
        </is>
      </c>
      <c r="I110" s="2" t="n">
        <v>46313</v>
      </c>
      <c r="J110" t="inlineStr">
        <is>
          <t>Disetujui</t>
        </is>
      </c>
      <c r="K110" t="n">
        <v>60</v>
      </c>
      <c r="L110" t="inlineStr">
        <is>
          <t>18 Oktober 2026</t>
        </is>
      </c>
      <c r="M110" t="inlineStr">
        <is>
          <t>Konstruksi Bangunan Sipil Pengolahan Air Bersih</t>
        </is>
      </c>
      <c r="N110" t="inlineStr">
        <is>
          <t>K</t>
        </is>
      </c>
      <c r="O110" t="inlineStr">
        <is>
          <t>20231017</t>
        </is>
      </c>
      <c r="P110" t="inlineStr">
        <is>
          <t>DI Yogyakarta</t>
        </is>
      </c>
      <c r="Q110" t="inlineStr"/>
    </row>
    <row r="111">
      <c r="A111" t="inlineStr">
        <is>
          <t>ANEKA JASA</t>
        </is>
      </c>
      <c r="B111" t="inlineStr">
        <is>
          <t>Kab. Blora</t>
        </is>
      </c>
      <c r="C111" t="inlineStr">
        <is>
          <t>081219641411</t>
        </is>
      </c>
      <c r="D111" t="inlineStr">
        <is>
          <t>cv.anekajasarandu@gmail.com</t>
        </is>
      </c>
      <c r="E111" t="inlineStr">
        <is>
          <t>https://lpjk.pu.go.id/search-badan-usaha-detail/NXF2ZE1HZHlMZGYza2d1cjhoWkJCQT09</t>
        </is>
      </c>
      <c r="F111" t="n">
        <v>4</v>
      </c>
      <c r="G111" t="inlineStr">
        <is>
          <t>BS001, BS002</t>
        </is>
      </c>
      <c r="H111" t="inlineStr">
        <is>
          <t>13 Maret 2018</t>
        </is>
      </c>
      <c r="I111" s="2" t="n">
        <v>46310</v>
      </c>
      <c r="J111" t="inlineStr">
        <is>
          <t>Disetujui, Pencabutan</t>
        </is>
      </c>
      <c r="K111" t="n">
        <v>60</v>
      </c>
      <c r="L111" t="inlineStr">
        <is>
          <t>15 Oktober 2026</t>
        </is>
      </c>
      <c r="M111" t="inlineStr">
        <is>
          <t>Bangunan Sipil Jembatan, Jalan Layang, Fly Over, dan Underpass, Konstruksi Bangunan Sipil Jalan</t>
        </is>
      </c>
      <c r="N111" t="inlineStr">
        <is>
          <t>K</t>
        </is>
      </c>
      <c r="O111" t="inlineStr">
        <is>
          <t>20231010, 20231016</t>
        </is>
      </c>
      <c r="P111" t="inlineStr">
        <is>
          <t>Jawa Tengah</t>
        </is>
      </c>
      <c r="Q111" t="inlineStr"/>
    </row>
    <row r="112">
      <c r="A112" t="inlineStr">
        <is>
          <t>ANEKA MATERIAL PERSADA</t>
        </is>
      </c>
      <c r="B112" t="inlineStr">
        <is>
          <t>Kota Adm. Jakarta Utara</t>
        </is>
      </c>
      <c r="C112" t="inlineStr">
        <is>
          <t>02164701032</t>
        </is>
      </c>
      <c r="D112" t="inlineStr">
        <is>
          <t>anekamaterialpersada@yahoo.co.id</t>
        </is>
      </c>
      <c r="E112" t="inlineStr">
        <is>
          <t>https://lpjk.pu.go.id/search-badan-usaha-detail/UG95Nk0yS2xpTC92ZERBNTM1Q0hLQT09</t>
        </is>
      </c>
      <c r="F112" t="n">
        <v>2</v>
      </c>
      <c r="G112" t="inlineStr">
        <is>
          <t>PB001</t>
        </is>
      </c>
      <c r="H112" t="inlineStr">
        <is>
          <t>2 Agustus 2021</t>
        </is>
      </c>
      <c r="I112" s="2" t="n">
        <v>46312</v>
      </c>
      <c r="J112" t="inlineStr">
        <is>
          <t>Pembekuan</t>
        </is>
      </c>
      <c r="K112" t="n">
        <v>60</v>
      </c>
      <c r="L112" t="inlineStr">
        <is>
          <t>17 Oktober 2026</t>
        </is>
      </c>
      <c r="M112" t="inlineStr">
        <is>
          <t>Pengerjaan Pemasangan Kaca dan Alumunium</t>
        </is>
      </c>
      <c r="N112" t="inlineStr">
        <is>
          <t>Spesialis</t>
        </is>
      </c>
      <c r="O112" t="inlineStr">
        <is>
          <t>20231013</t>
        </is>
      </c>
      <c r="P112" t="inlineStr">
        <is>
          <t>DKI Jakarta</t>
        </is>
      </c>
      <c r="Q112" t="inlineStr"/>
    </row>
    <row r="113">
      <c r="A113" t="inlineStr">
        <is>
          <t>ANEMEROUS DWI REKAYASA DIGITAL</t>
        </is>
      </c>
      <c r="B113" t="inlineStr">
        <is>
          <t>Kota Sukabumi</t>
        </is>
      </c>
      <c r="C113" t="inlineStr">
        <is>
          <t>082123735741</t>
        </is>
      </c>
      <c r="D113" t="inlineStr">
        <is>
          <t>cvadrd@gmail.com</t>
        </is>
      </c>
      <c r="E113" t="inlineStr">
        <is>
          <t>https://lpjk.pu.go.id/search-badan-usaha-detail/d1pVT2Y0bmVXV0ppWkx1dGVtY29xUT09</t>
        </is>
      </c>
      <c r="F113" t="n">
        <v>2</v>
      </c>
      <c r="G113" t="inlineStr">
        <is>
          <t>BS001</t>
        </is>
      </c>
      <c r="H113" t="inlineStr">
        <is>
          <t>2 Maret 2023</t>
        </is>
      </c>
      <c r="I113" s="2" t="n">
        <v>46313</v>
      </c>
      <c r="J113" t="inlineStr">
        <is>
          <t>Disetujui</t>
        </is>
      </c>
      <c r="K113" t="n">
        <v>60</v>
      </c>
      <c r="L113" t="inlineStr">
        <is>
          <t>18 Oktober 2026</t>
        </is>
      </c>
      <c r="M113" t="inlineStr">
        <is>
          <t>Konstruksi Bangunan Sipil Jalan</t>
        </is>
      </c>
      <c r="N113" t="inlineStr">
        <is>
          <t>K</t>
        </is>
      </c>
      <c r="O113" t="inlineStr">
        <is>
          <t>20231018</t>
        </is>
      </c>
      <c r="P113" t="inlineStr">
        <is>
          <t>Jawa Barat</t>
        </is>
      </c>
      <c r="Q113" t="inlineStr"/>
    </row>
    <row r="114">
      <c r="A114" t="inlineStr">
        <is>
          <t>ANGGA PUTRA</t>
        </is>
      </c>
      <c r="B114" t="inlineStr">
        <is>
          <t>Kota Surabaya</t>
        </is>
      </c>
      <c r="C114" t="inlineStr">
        <is>
          <t>0315939193</t>
        </is>
      </c>
      <c r="D114" t="inlineStr">
        <is>
          <t>ptanggaputra2020@gmail.com</t>
        </is>
      </c>
      <c r="E114" t="inlineStr">
        <is>
          <t>https://lpjk.pu.go.id/search-badan-usaha-detail/eEZoQUYyQ3VZOC8rTFFJU1FFekg5UT09</t>
        </is>
      </c>
      <c r="F114" t="n">
        <v>1</v>
      </c>
      <c r="G114" t="inlineStr">
        <is>
          <t>BG009</t>
        </is>
      </c>
      <c r="H114" t="inlineStr">
        <is>
          <t>12 Maret 2004</t>
        </is>
      </c>
      <c r="I114" s="2" t="n">
        <v>46307</v>
      </c>
      <c r="J114" t="inlineStr">
        <is>
          <t>Pencabutan</t>
        </is>
      </c>
      <c r="K114" t="n">
        <v>60</v>
      </c>
      <c r="L114" t="inlineStr">
        <is>
          <t>12 Oktober 2026</t>
        </is>
      </c>
      <c r="M114" t="inlineStr">
        <is>
          <t>Konstruksi Gedung Lainnya</t>
        </is>
      </c>
      <c r="N114" t="inlineStr">
        <is>
          <t>K</t>
        </is>
      </c>
      <c r="O114" t="inlineStr">
        <is>
          <t>20231012</t>
        </is>
      </c>
      <c r="P114" t="inlineStr">
        <is>
          <t>Jawa Timur</t>
        </is>
      </c>
      <c r="Q114" t="inlineStr"/>
    </row>
    <row r="115">
      <c r="A115" t="inlineStr">
        <is>
          <t>ANGGREK TEKNIK</t>
        </is>
      </c>
      <c r="B115" t="inlineStr">
        <is>
          <t>Kab. Lombok Tengah</t>
        </is>
      </c>
      <c r="C115" t="inlineStr">
        <is>
          <t>08175738507</t>
        </is>
      </c>
      <c r="D115" t="inlineStr">
        <is>
          <t>cvanggrekteknik@gmail.com</t>
        </is>
      </c>
      <c r="E115" t="inlineStr">
        <is>
          <t>https://lpjk.pu.go.id/search-badan-usaha-detail/RW1tQ2Z2ZU5tSHlFeVk0R0NlNUlUZz09</t>
        </is>
      </c>
      <c r="F115" t="n">
        <v>1</v>
      </c>
      <c r="G115" t="inlineStr">
        <is>
          <t>BS004</t>
        </is>
      </c>
      <c r="H115" t="inlineStr">
        <is>
          <t>24 November 2021</t>
        </is>
      </c>
      <c r="I115" s="2" t="n">
        <v>46311</v>
      </c>
      <c r="J115" t="inlineStr">
        <is>
          <t>Pencabutan</t>
        </is>
      </c>
      <c r="K115" t="n">
        <v>60</v>
      </c>
      <c r="L115" t="inlineStr">
        <is>
          <t>16 Oktober 2026</t>
        </is>
      </c>
      <c r="M115" t="inlineStr">
        <is>
          <t>Konstruksi Jaringan Irigasi dan Drainase</t>
        </is>
      </c>
      <c r="N115" t="inlineStr">
        <is>
          <t>K</t>
        </is>
      </c>
      <c r="O115" t="inlineStr">
        <is>
          <t>20231017</t>
        </is>
      </c>
      <c r="P115" t="inlineStr">
        <is>
          <t>Nusa Tenggara Barat</t>
        </is>
      </c>
      <c r="Q115" t="inlineStr"/>
    </row>
    <row r="116">
      <c r="A116" t="inlineStr">
        <is>
          <t>ANGKASA WANA KHATULISTIWA</t>
        </is>
      </c>
      <c r="B116" t="inlineStr">
        <is>
          <t>Kota Pontianak</t>
        </is>
      </c>
      <c r="C116" t="inlineStr">
        <is>
          <t>0811566630</t>
        </is>
      </c>
      <c r="D116" t="inlineStr">
        <is>
          <t>cv.awk19@gmail.com</t>
        </is>
      </c>
      <c r="E116" t="inlineStr">
        <is>
          <t>https://lpjk.pu.go.id/search-badan-usaha-detail/Q1FyaWRYQkExeE5aOXNnM3grVzBNQT09</t>
        </is>
      </c>
      <c r="F116" t="n">
        <v>2</v>
      </c>
      <c r="G116" t="inlineStr">
        <is>
          <t>BS001</t>
        </is>
      </c>
      <c r="H116" t="inlineStr">
        <is>
          <t>1 Juli 2019</t>
        </is>
      </c>
      <c r="I116" s="2" t="n">
        <v>46311</v>
      </c>
      <c r="J116" t="inlineStr">
        <is>
          <t>Pencabutan</t>
        </is>
      </c>
      <c r="K116" t="n">
        <v>60</v>
      </c>
      <c r="L116" t="inlineStr">
        <is>
          <t>16 Oktober 2026</t>
        </is>
      </c>
      <c r="M116" t="inlineStr">
        <is>
          <t>Konstruksi Bangunan Sipil Jalan</t>
        </is>
      </c>
      <c r="N116" t="inlineStr">
        <is>
          <t>K</t>
        </is>
      </c>
      <c r="O116" t="inlineStr">
        <is>
          <t>20231016</t>
        </is>
      </c>
      <c r="P116" t="inlineStr">
        <is>
          <t>Kalimantan Barat</t>
        </is>
      </c>
      <c r="Q116" t="inlineStr"/>
    </row>
    <row r="117">
      <c r="A117" t="inlineStr">
        <is>
          <t>ANINDYA REKACIPTA UTAMA</t>
        </is>
      </c>
      <c r="B117" t="inlineStr">
        <is>
          <t>Kota Makassar</t>
        </is>
      </c>
      <c r="C117" t="inlineStr">
        <is>
          <t>082350140244</t>
        </is>
      </c>
      <c r="D117" t="inlineStr">
        <is>
          <t>anindyarekaciptautama@gmail.com</t>
        </is>
      </c>
      <c r="E117" t="inlineStr">
        <is>
          <t>https://lpjk.pu.go.id/search-badan-usaha-detail/SGpUcDdENW9uWSs0aCtDVVhqeS9KZz09</t>
        </is>
      </c>
      <c r="F117" t="n">
        <v>18</v>
      </c>
      <c r="G117" t="inlineStr">
        <is>
          <t>AL001, AL003, AL004, AR001, AR002, RK001, RK002, RK003, RK005</t>
        </is>
      </c>
      <c r="H117" t="inlineStr">
        <is>
          <t>1 Desember 2021</t>
        </is>
      </c>
      <c r="I117" s="2" t="n">
        <v>46310</v>
      </c>
      <c r="J117" t="inlineStr">
        <is>
          <t>Disetujui</t>
        </is>
      </c>
      <c r="K117" t="n">
        <v>60</v>
      </c>
      <c r="L117" t="inlineStr">
        <is>
          <t>15 Oktober 2026</t>
        </is>
      </c>
      <c r="M117" t="inlineStr">
        <is>
          <t>Jasa Arsitektural Bangunan Gedung Hunian dan Non Hunian, Jasa Arsitektural Lainnya, Jasa Pengembangan Lingkungan Bangunan dan Lanskap, Jasa Pengembangan Pemanfaatan Ruang, Jasa Pengembangan Perkotaan, Jasa Rekayasa Konstruksi Bangunan Gedung Hunian dan Non Hunian, Jasa Rekayasa Lainnya, Jasa Rekayasa Pekerjaan Teknik Sipil Sumber Daya Air, Jasa Rekayasa Pekerjaan Teknik Sipil Transportasi</t>
        </is>
      </c>
      <c r="N117" t="inlineStr">
        <is>
          <t>K</t>
        </is>
      </c>
      <c r="O117" t="inlineStr">
        <is>
          <t>20231005, 20231006, 20231012</t>
        </is>
      </c>
      <c r="P117" t="inlineStr">
        <is>
          <t>Sulawesi Selatan</t>
        </is>
      </c>
      <c r="Q117" t="inlineStr"/>
    </row>
    <row r="118">
      <c r="A118" t="inlineStr">
        <is>
          <t>ANJANGSANA UTAMA</t>
        </is>
      </c>
      <c r="B118" t="inlineStr">
        <is>
          <t>Kab. Gresik</t>
        </is>
      </c>
      <c r="C118" t="inlineStr">
        <is>
          <t>08123283944</t>
        </is>
      </c>
      <c r="D118" t="inlineStr">
        <is>
          <t>cvanjangsanautama@gmail.com</t>
        </is>
      </c>
      <c r="E118" t="inlineStr">
        <is>
          <t>https://lpjk.pu.go.id/search-badan-usaha-detail/WWhDLzI0T3RBMitkWStCL3RmS25Qdz09</t>
        </is>
      </c>
      <c r="F118" t="n">
        <v>5</v>
      </c>
      <c r="G118" t="inlineStr">
        <is>
          <t>BG002, BG005, BG006, BG009, BS001</t>
        </is>
      </c>
      <c r="H118" t="inlineStr">
        <is>
          <t>15 Desember 2008</t>
        </is>
      </c>
      <c r="I118" s="2" t="n">
        <v>46311</v>
      </c>
      <c r="J118" t="inlineStr">
        <is>
          <t>Disetujui</t>
        </is>
      </c>
      <c r="K118" t="n">
        <v>60</v>
      </c>
      <c r="L118" t="inlineStr">
        <is>
          <t>16 Oktober 2026</t>
        </is>
      </c>
      <c r="M118" t="inlineStr">
        <is>
          <t>Konstruksi Bangunan Sipil Jalan, Konstruksi Gedung Kesehatan, Konstruksi Gedung Lainnya, Konstruksi Gedung Pendidikan, Konstruksi Gedung Perkantoran</t>
        </is>
      </c>
      <c r="N118" t="inlineStr">
        <is>
          <t>K</t>
        </is>
      </c>
      <c r="O118" t="inlineStr">
        <is>
          <t>20231009, 20231010</t>
        </is>
      </c>
      <c r="P118" t="inlineStr">
        <is>
          <t>Jawa Timur</t>
        </is>
      </c>
      <c r="Q118" t="inlineStr"/>
    </row>
    <row r="119">
      <c r="A119" t="inlineStr">
        <is>
          <t>ANNA DOHAWU PAPUA</t>
        </is>
      </c>
      <c r="B119" t="inlineStr">
        <is>
          <t>Kota Jayapura</t>
        </is>
      </c>
      <c r="C119" t="inlineStr">
        <is>
          <t>082238956999</t>
        </is>
      </c>
      <c r="D119" t="inlineStr">
        <is>
          <t>anadop.jyp@gmail.com</t>
        </is>
      </c>
      <c r="E119" t="inlineStr">
        <is>
          <t>https://lpjk.pu.go.id/search-badan-usaha-detail/UVMwTU9qWFgwcWZtN2prM3crTWtGZz09</t>
        </is>
      </c>
      <c r="F119" t="n">
        <v>1</v>
      </c>
      <c r="G119" t="inlineStr">
        <is>
          <t>BS002</t>
        </is>
      </c>
      <c r="H119" t="inlineStr">
        <is>
          <t>8 Desember 2014</t>
        </is>
      </c>
      <c r="I119" s="2" t="n">
        <v>46311</v>
      </c>
      <c r="J119" t="inlineStr">
        <is>
          <t>Disetujui</t>
        </is>
      </c>
      <c r="K119" t="n">
        <v>60</v>
      </c>
      <c r="L119" t="inlineStr">
        <is>
          <t>16 Oktober 2026</t>
        </is>
      </c>
      <c r="M119" t="inlineStr">
        <is>
          <t>Bangunan Sipil Jembatan, Jalan Layang, Fly Over, dan Underpass</t>
        </is>
      </c>
      <c r="N119" t="inlineStr">
        <is>
          <t>K</t>
        </is>
      </c>
      <c r="O119" t="inlineStr">
        <is>
          <t>20231012</t>
        </is>
      </c>
      <c r="P119" t="inlineStr">
        <is>
          <t>Papua</t>
        </is>
      </c>
      <c r="Q119" t="inlineStr"/>
    </row>
    <row r="120">
      <c r="A120" t="inlineStr">
        <is>
          <t>ANNISA PRIMA JAYA</t>
        </is>
      </c>
      <c r="B120" t="inlineStr">
        <is>
          <t>Kab. Kutai Timur</t>
        </is>
      </c>
      <c r="C120" t="inlineStr">
        <is>
          <t>081347776973</t>
        </is>
      </c>
      <c r="D120" t="inlineStr">
        <is>
          <t>cv.annisaprimajaya57@gmail.com</t>
        </is>
      </c>
      <c r="E120" t="inlineStr">
        <is>
          <t>https://lpjk.pu.go.id/search-badan-usaha-detail/NnJqakJ1b0ZPRk5mZVl2Q3M1SE9zZz09</t>
        </is>
      </c>
      <c r="F120" t="n">
        <v>3</v>
      </c>
      <c r="G120" t="inlineStr">
        <is>
          <t>BG002, BS001, BS004</t>
        </is>
      </c>
      <c r="H120" t="inlineStr">
        <is>
          <t>11 Juli 2007</t>
        </is>
      </c>
      <c r="I120" s="2" t="n">
        <v>46312</v>
      </c>
      <c r="J120" t="inlineStr">
        <is>
          <t>Pencabutan</t>
        </is>
      </c>
      <c r="K120" t="n">
        <v>60</v>
      </c>
      <c r="L120" t="inlineStr">
        <is>
          <t>17 Oktober 2026</t>
        </is>
      </c>
      <c r="M120" t="inlineStr">
        <is>
          <t>Konstruksi Bangunan Sipil Jalan, Konstruksi Gedung Perkantoran, Konstruksi Jaringan Irigasi dan Drainase</t>
        </is>
      </c>
      <c r="N120" t="inlineStr">
        <is>
          <t>K</t>
        </is>
      </c>
      <c r="O120" t="inlineStr">
        <is>
          <t>20231014</t>
        </is>
      </c>
      <c r="P120" t="inlineStr">
        <is>
          <t>Kalimantan Timur</t>
        </is>
      </c>
      <c r="Q120" t="inlineStr"/>
    </row>
    <row r="121">
      <c r="A121" t="inlineStr">
        <is>
          <t>ANNUR PUTRA</t>
        </is>
      </c>
      <c r="B121" t="inlineStr">
        <is>
          <t>Kab. Kutai Kartanegara</t>
        </is>
      </c>
      <c r="C121" t="inlineStr">
        <is>
          <t>08115999759</t>
        </is>
      </c>
      <c r="D121" t="inlineStr">
        <is>
          <t>annur_putra75@yahoo.com</t>
        </is>
      </c>
      <c r="E121" t="inlineStr">
        <is>
          <t>https://lpjk.pu.go.id/search-badan-usaha-detail/bU1DeDhWaFRlOVVoQjArdWVneS94dz09</t>
        </is>
      </c>
      <c r="F121" t="n">
        <v>2</v>
      </c>
      <c r="G121" t="inlineStr">
        <is>
          <t>BS001, BS002</t>
        </is>
      </c>
      <c r="H121" t="inlineStr">
        <is>
          <t>15 Januari 2010</t>
        </is>
      </c>
      <c r="I121" s="2" t="n">
        <v>46307</v>
      </c>
      <c r="J121" t="inlineStr">
        <is>
          <t>Disetujui</t>
        </is>
      </c>
      <c r="K121" t="n">
        <v>60</v>
      </c>
      <c r="L121" t="inlineStr">
        <is>
          <t>12 Oktober 2026</t>
        </is>
      </c>
      <c r="M121" t="inlineStr">
        <is>
          <t>Bangunan Sipil Jembatan, Jalan Layang, Fly Over, dan Underpass, Konstruksi Bangunan Sipil Jalan</t>
        </is>
      </c>
      <c r="N121" t="inlineStr">
        <is>
          <t>K</t>
        </is>
      </c>
      <c r="O121" t="inlineStr">
        <is>
          <t>20231012, 20231017</t>
        </is>
      </c>
      <c r="P121" t="inlineStr">
        <is>
          <t>Kalimantan Timur</t>
        </is>
      </c>
      <c r="Q121" t="inlineStr"/>
    </row>
    <row r="122">
      <c r="A122" t="inlineStr">
        <is>
          <t>ANTON SELAMET JAYA</t>
        </is>
      </c>
      <c r="B122" t="inlineStr">
        <is>
          <t>Kab. Sumedang</t>
        </is>
      </c>
      <c r="C122" t="inlineStr">
        <is>
          <t>081320662054</t>
        </is>
      </c>
      <c r="D122" t="inlineStr">
        <is>
          <t>cv.antonselametjaya@gmail.com</t>
        </is>
      </c>
      <c r="E122" t="inlineStr">
        <is>
          <t>https://lpjk.pu.go.id/search-badan-usaha-detail/RzRmQzY0bU1Uazh4LzVOMHFlNFd5UT09</t>
        </is>
      </c>
      <c r="F122" t="n">
        <v>1</v>
      </c>
      <c r="G122" t="inlineStr">
        <is>
          <t>BG009</t>
        </is>
      </c>
      <c r="H122" t="inlineStr">
        <is>
          <t>22 Juni 2012</t>
        </is>
      </c>
      <c r="I122" s="2" t="n">
        <v>46307</v>
      </c>
      <c r="J122" t="inlineStr">
        <is>
          <t>Disetujui</t>
        </is>
      </c>
      <c r="K122" t="n">
        <v>60</v>
      </c>
      <c r="L122" t="inlineStr">
        <is>
          <t>12 Oktober 2026</t>
        </is>
      </c>
      <c r="M122" t="inlineStr">
        <is>
          <t>Konstruksi Gedung Lainnya</t>
        </is>
      </c>
      <c r="N122" t="inlineStr">
        <is>
          <t>K</t>
        </is>
      </c>
      <c r="O122" t="inlineStr">
        <is>
          <t>20230522</t>
        </is>
      </c>
      <c r="P122" t="inlineStr">
        <is>
          <t>Jawa Barat</t>
        </is>
      </c>
      <c r="Q122" t="inlineStr"/>
    </row>
    <row r="123">
      <c r="A123" t="inlineStr">
        <is>
          <t>ANUGERAH ALAM KARYA</t>
        </is>
      </c>
      <c r="B123" t="inlineStr">
        <is>
          <t>Kota Palembang</t>
        </is>
      </c>
      <c r="C123" t="inlineStr">
        <is>
          <t>082180002284</t>
        </is>
      </c>
      <c r="D123" t="inlineStr">
        <is>
          <t>cvanugerahalamkarya@yahoo.com</t>
        </is>
      </c>
      <c r="E123" t="inlineStr">
        <is>
          <t>https://lpjk.pu.go.id/search-badan-usaha-detail/UUwzRDBUaWZXak5BazY5QkVQNEt5UT09</t>
        </is>
      </c>
      <c r="F123" t="n">
        <v>1</v>
      </c>
      <c r="G123" t="inlineStr">
        <is>
          <t>BS004</t>
        </is>
      </c>
      <c r="H123" t="inlineStr">
        <is>
          <t>6 September 2023</t>
        </is>
      </c>
      <c r="I123" s="2" t="n">
        <v>46307</v>
      </c>
      <c r="J123" t="inlineStr">
        <is>
          <t>Disetujui</t>
        </is>
      </c>
      <c r="K123" t="n">
        <v>60</v>
      </c>
      <c r="L123" t="inlineStr">
        <is>
          <t>12 Oktober 2026</t>
        </is>
      </c>
      <c r="M123" t="inlineStr">
        <is>
          <t>Konstruksi Jaringan Irigasi dan Drainase</t>
        </is>
      </c>
      <c r="N123" t="inlineStr">
        <is>
          <t>K</t>
        </is>
      </c>
      <c r="O123" t="inlineStr">
        <is>
          <t>20231006</t>
        </is>
      </c>
      <c r="P123" t="inlineStr">
        <is>
          <t>Sumatera Selatan</t>
        </is>
      </c>
      <c r="Q123" t="inlineStr"/>
    </row>
    <row r="124">
      <c r="A124" t="inlineStr">
        <is>
          <t>ANUGERAH JAYA</t>
        </is>
      </c>
      <c r="B124" t="inlineStr">
        <is>
          <t>Kab. Kotabaru</t>
        </is>
      </c>
      <c r="C124" t="inlineStr">
        <is>
          <t>081251513216</t>
        </is>
      </c>
      <c r="D124" t="inlineStr">
        <is>
          <t>cvanugerahjaya222@gmail.com</t>
        </is>
      </c>
      <c r="E124" t="inlineStr">
        <is>
          <t>https://lpjk.pu.go.id/search-badan-usaha-detail/OGNGdG1BdC9zWmpBcnpRaSt6eXFyUT09</t>
        </is>
      </c>
      <c r="F124" t="n">
        <v>1</v>
      </c>
      <c r="G124" t="inlineStr">
        <is>
          <t>BS001</t>
        </is>
      </c>
      <c r="H124" t="inlineStr">
        <is>
          <t>23 Oktober 2000</t>
        </is>
      </c>
      <c r="I124" s="2" t="n">
        <v>46312</v>
      </c>
      <c r="J124" t="inlineStr">
        <is>
          <t>Disetujui</t>
        </is>
      </c>
      <c r="K124" t="n">
        <v>60</v>
      </c>
      <c r="L124" t="inlineStr">
        <is>
          <t>17 Oktober 2026</t>
        </is>
      </c>
      <c r="M124" t="inlineStr">
        <is>
          <t>Konstruksi Bangunan Sipil Jalan</t>
        </is>
      </c>
      <c r="N124" t="inlineStr">
        <is>
          <t>K</t>
        </is>
      </c>
      <c r="O124" t="inlineStr">
        <is>
          <t>20231012</t>
        </is>
      </c>
      <c r="P124" t="inlineStr">
        <is>
          <t>Kalimantan Selatan</t>
        </is>
      </c>
      <c r="Q124" t="inlineStr"/>
    </row>
    <row r="125">
      <c r="A125" t="inlineStr">
        <is>
          <t>ANUGERAH MULYA PERKASA ULU BELU</t>
        </is>
      </c>
      <c r="B125" t="inlineStr">
        <is>
          <t>Kab. Tanggamus</t>
        </is>
      </c>
      <c r="C125" t="inlineStr">
        <is>
          <t>081368286333</t>
        </is>
      </c>
      <c r="D125" t="inlineStr">
        <is>
          <t>salesptamp4@gmail.com</t>
        </is>
      </c>
      <c r="E125" t="inlineStr">
        <is>
          <t>https://lpjk.pu.go.id/search-badan-usaha-detail/KzRrYTVkK0xWU2VKZitQVnRtYS8vdz09</t>
        </is>
      </c>
      <c r="F125" t="n">
        <v>1</v>
      </c>
      <c r="G125" t="inlineStr">
        <is>
          <t>BS015</t>
        </is>
      </c>
      <c r="H125" t="inlineStr">
        <is>
          <t>6 Oktober 2016</t>
        </is>
      </c>
      <c r="I125" s="2" t="n">
        <v>46311</v>
      </c>
      <c r="J125" t="inlineStr">
        <is>
          <t>Disetujui</t>
        </is>
      </c>
      <c r="K125" t="n">
        <v>60</v>
      </c>
      <c r="L125" t="inlineStr">
        <is>
          <t>16 Oktober 2026</t>
        </is>
      </c>
      <c r="M125" t="inlineStr">
        <is>
          <t>Konstruksi Bangunan Sipil Panas Bumi</t>
        </is>
      </c>
      <c r="N125" t="inlineStr">
        <is>
          <t>M</t>
        </is>
      </c>
      <c r="O125" t="inlineStr">
        <is>
          <t>20231012</t>
        </is>
      </c>
      <c r="P125" t="inlineStr">
        <is>
          <t>Lampung</t>
        </is>
      </c>
      <c r="Q125" t="inlineStr"/>
    </row>
    <row r="126">
      <c r="A126" t="inlineStr">
        <is>
          <t>ANUGERAH PUTRA UTAMA</t>
        </is>
      </c>
      <c r="B126" t="inlineStr">
        <is>
          <t>Kota Medan</t>
        </is>
      </c>
      <c r="C126" t="inlineStr">
        <is>
          <t>085275045123</t>
        </is>
      </c>
      <c r="D126" t="inlineStr">
        <is>
          <t>cvanugerahputrautama@gmail.com</t>
        </is>
      </c>
      <c r="E126" t="inlineStr">
        <is>
          <t>https://lpjk.pu.go.id/search-badan-usaha-detail/RXdVdlV4dmx3RVVvRm4zcERkWi9Ydz09</t>
        </is>
      </c>
      <c r="F126" t="n">
        <v>3</v>
      </c>
      <c r="G126" t="inlineStr">
        <is>
          <t>BG009, BS001, BS004</t>
        </is>
      </c>
      <c r="H126" t="inlineStr">
        <is>
          <t>11 Oktober 2011</t>
        </is>
      </c>
      <c r="I126" s="2" t="n">
        <v>46313</v>
      </c>
      <c r="J126" t="inlineStr">
        <is>
          <t>Disetujui</t>
        </is>
      </c>
      <c r="K126" t="n">
        <v>60</v>
      </c>
      <c r="L126" t="inlineStr">
        <is>
          <t>18 Oktober 2026</t>
        </is>
      </c>
      <c r="M126" t="inlineStr">
        <is>
          <t>Konstruksi Bangunan Sipil Jalan, Konstruksi Gedung Lainnya, Konstruksi Jaringan Irigasi dan Drainase</t>
        </is>
      </c>
      <c r="N126" t="inlineStr">
        <is>
          <t>K</t>
        </is>
      </c>
      <c r="O126" t="inlineStr">
        <is>
          <t>20231016, 20231017</t>
        </is>
      </c>
      <c r="P126" t="inlineStr">
        <is>
          <t>Sumatera Utara</t>
        </is>
      </c>
      <c r="Q126" t="inlineStr"/>
    </row>
    <row r="127">
      <c r="A127" t="inlineStr">
        <is>
          <t>ANUGERAH RAHMAT ILAHI</t>
        </is>
      </c>
      <c r="B127" t="inlineStr">
        <is>
          <t>Kota Banjarmasin</t>
        </is>
      </c>
      <c r="C127" t="inlineStr">
        <is>
          <t>-</t>
        </is>
      </c>
      <c r="D127" t="inlineStr">
        <is>
          <t>cvanugerahrahmatilahi@gmail.com</t>
        </is>
      </c>
      <c r="E127" t="inlineStr">
        <is>
          <t>https://lpjk.pu.go.id/search-badan-usaha-detail/ek05Wk5qMUd6NWtDa0dtU241WDBUZz09</t>
        </is>
      </c>
      <c r="F127" t="n">
        <v>5</v>
      </c>
      <c r="G127" t="inlineStr">
        <is>
          <t>BG001, BG002, BG005, BG006, BG009</t>
        </is>
      </c>
      <c r="H127" t="inlineStr">
        <is>
          <t>28 Juni 2021</t>
        </is>
      </c>
      <c r="I127" s="2" t="n">
        <v>46311</v>
      </c>
      <c r="J127" t="inlineStr">
        <is>
          <t>Disetujui</t>
        </is>
      </c>
      <c r="K127" t="n">
        <v>60</v>
      </c>
      <c r="L127" t="inlineStr">
        <is>
          <t>16 Oktober 2026</t>
        </is>
      </c>
      <c r="M127" t="inlineStr">
        <is>
          <t>Konstruksi Gedung Hunian, Konstruksi Gedung Kesehatan, Konstruksi Gedung Lainnya, Konstruksi Gedung Pendidikan, Konstruksi Gedung Perkantoran</t>
        </is>
      </c>
      <c r="N127" t="inlineStr">
        <is>
          <t>K</t>
        </is>
      </c>
      <c r="O127" t="inlineStr">
        <is>
          <t>20231013</t>
        </is>
      </c>
      <c r="P127" t="inlineStr">
        <is>
          <t>Kalimantan Selatan</t>
        </is>
      </c>
      <c r="Q127" t="inlineStr"/>
    </row>
    <row r="128">
      <c r="A128" t="inlineStr">
        <is>
          <t>ANUGRAH BERSAMA</t>
        </is>
      </c>
      <c r="B128" t="inlineStr">
        <is>
          <t>Kab. Bulukumba</t>
        </is>
      </c>
      <c r="C128" t="inlineStr">
        <is>
          <t>082346056777</t>
        </is>
      </c>
      <c r="D128" t="inlineStr">
        <is>
          <t>cv.anugrahbersama@rocketmail.com</t>
        </is>
      </c>
      <c r="E128" t="inlineStr">
        <is>
          <t>https://lpjk.pu.go.id/search-badan-usaha-detail/SVE0SXV0UXBEZkhVUy94d2Y3blZqQT09</t>
        </is>
      </c>
      <c r="F128" t="n">
        <v>14</v>
      </c>
      <c r="G128" t="inlineStr">
        <is>
          <t>BG002, BG004, BG005, BG006, BG007, BS001, BS005</t>
        </is>
      </c>
      <c r="H128" t="inlineStr">
        <is>
          <t>28 April 2004</t>
        </is>
      </c>
      <c r="I128" s="2" t="n">
        <v>46311</v>
      </c>
      <c r="J128" t="inlineStr">
        <is>
          <t>Disetujui</t>
        </is>
      </c>
      <c r="K128" t="n">
        <v>60</v>
      </c>
      <c r="L128" t="inlineStr">
        <is>
          <t>16 Oktober 2026</t>
        </is>
      </c>
      <c r="M128" t="inlineStr">
        <is>
          <t>Konstruksi Bangunan Sipil Jalan, Konstruksi Bangunan Sipil Pengolahan Air Bersih, Konstruksi Gedung Kesehatan, Konstruksi Gedung Pendidikan, Konstruksi Gedung Penginapan, Konstruksi Gedung Perbelanjaan, Konstruksi Gedung Perkantoran</t>
        </is>
      </c>
      <c r="N128" t="inlineStr">
        <is>
          <t>K</t>
        </is>
      </c>
      <c r="O128" t="inlineStr">
        <is>
          <t>20231014</t>
        </is>
      </c>
      <c r="P128" t="inlineStr">
        <is>
          <t>Sulawesi Selatan</t>
        </is>
      </c>
      <c r="Q128" t="inlineStr"/>
    </row>
    <row r="129">
      <c r="A129" t="inlineStr">
        <is>
          <t>ANUGRAH CAHAYA ABADI</t>
        </is>
      </c>
      <c r="B129" t="inlineStr">
        <is>
          <t>Kab. Bojonegoro</t>
        </is>
      </c>
      <c r="C129" t="inlineStr">
        <is>
          <t>085231818162</t>
        </is>
      </c>
      <c r="D129" t="inlineStr">
        <is>
          <t>cvanugrahaca@gmail.com</t>
        </is>
      </c>
      <c r="E129" t="inlineStr">
        <is>
          <t>https://lpjk.pu.go.id/search-badan-usaha-detail/OTZ6RnpUSEdtcmdrTk9uUnFGSEd3Zz09</t>
        </is>
      </c>
      <c r="F129" t="n">
        <v>2</v>
      </c>
      <c r="G129" t="inlineStr">
        <is>
          <t>BG001</t>
        </is>
      </c>
      <c r="H129" t="inlineStr">
        <is>
          <t>9 November 2015</t>
        </is>
      </c>
      <c r="I129" s="2" t="n">
        <v>46309</v>
      </c>
      <c r="J129" t="inlineStr">
        <is>
          <t>Disetujui</t>
        </is>
      </c>
      <c r="K129" t="n">
        <v>60</v>
      </c>
      <c r="L129" t="inlineStr">
        <is>
          <t>14 Oktober 2026</t>
        </is>
      </c>
      <c r="M129" t="inlineStr">
        <is>
          <t>Konstruksi Gedung Hunian</t>
        </is>
      </c>
      <c r="N129" t="inlineStr">
        <is>
          <t>K</t>
        </is>
      </c>
      <c r="O129" t="inlineStr">
        <is>
          <t>20231014</t>
        </is>
      </c>
      <c r="P129" t="inlineStr">
        <is>
          <t>Jawa Timur</t>
        </is>
      </c>
      <c r="Q129" t="inlineStr"/>
    </row>
    <row r="130">
      <c r="A130" t="inlineStr">
        <is>
          <t>ANUGRAH GENGGAM BUMI</t>
        </is>
      </c>
      <c r="B130" t="inlineStr">
        <is>
          <t>Kota Bontang</t>
        </is>
      </c>
      <c r="C130" t="inlineStr">
        <is>
          <t>08115588779</t>
        </is>
      </c>
      <c r="D130" t="inlineStr">
        <is>
          <t>cv.anugrahgenggambumi89@gmail.com</t>
        </is>
      </c>
      <c r="E130" t="inlineStr">
        <is>
          <t>https://lpjk.pu.go.id/search-badan-usaha-detail/a3paTzAzbEtSeWo2R3ZWRDZiK0JnUT09</t>
        </is>
      </c>
      <c r="F130" t="n">
        <v>2</v>
      </c>
      <c r="G130" t="inlineStr">
        <is>
          <t>BS004</t>
        </is>
      </c>
      <c r="H130" t="inlineStr">
        <is>
          <t>17 Februari 2023</t>
        </is>
      </c>
      <c r="I130" s="2" t="n">
        <v>46311</v>
      </c>
      <c r="J130" t="inlineStr">
        <is>
          <t>Disetujui</t>
        </is>
      </c>
      <c r="K130" t="n">
        <v>60</v>
      </c>
      <c r="L130" t="inlineStr">
        <is>
          <t>16 Oktober 2026</t>
        </is>
      </c>
      <c r="M130" t="inlineStr">
        <is>
          <t>Konstruksi Jaringan Irigasi dan Drainase</t>
        </is>
      </c>
      <c r="N130" t="inlineStr">
        <is>
          <t>K</t>
        </is>
      </c>
      <c r="O130" t="inlineStr">
        <is>
          <t>20230921</t>
        </is>
      </c>
      <c r="P130" t="inlineStr">
        <is>
          <t>Kalimantan Timur</t>
        </is>
      </c>
      <c r="Q130" t="inlineStr"/>
    </row>
    <row r="131">
      <c r="A131" t="inlineStr">
        <is>
          <t>ANUGRAH INVESTAMA CONSULTANT</t>
        </is>
      </c>
      <c r="B131" t="inlineStr">
        <is>
          <t>Kab. Batang</t>
        </is>
      </c>
      <c r="C131" t="inlineStr">
        <is>
          <t>081228829623</t>
        </is>
      </c>
      <c r="D131" t="inlineStr">
        <is>
          <t>anugrahinvestamacons.aic@gmail.com</t>
        </is>
      </c>
      <c r="E131" t="inlineStr">
        <is>
          <t>https://lpjk.pu.go.id/search-badan-usaha-detail/VWwvdDV2MFByOHBZVWxkYk1Sb0JqQT09</t>
        </is>
      </c>
      <c r="F131" t="n">
        <v>2</v>
      </c>
      <c r="G131" t="inlineStr">
        <is>
          <t>RK003</t>
        </is>
      </c>
      <c r="H131" t="inlineStr">
        <is>
          <t>22 Juni 2012</t>
        </is>
      </c>
      <c r="I131" s="2" t="n">
        <v>46313</v>
      </c>
      <c r="J131" t="inlineStr">
        <is>
          <t>Disetujui</t>
        </is>
      </c>
      <c r="K131" t="n">
        <v>60</v>
      </c>
      <c r="L131" t="inlineStr">
        <is>
          <t>18 Oktober 2026</t>
        </is>
      </c>
      <c r="M131" t="inlineStr">
        <is>
          <t>Jasa Rekayasa Pekerjaan Teknik Sipil Transportasi</t>
        </is>
      </c>
      <c r="N131" t="inlineStr">
        <is>
          <t>K</t>
        </is>
      </c>
      <c r="O131" t="inlineStr">
        <is>
          <t>20230410</t>
        </is>
      </c>
      <c r="P131" t="inlineStr">
        <is>
          <t>Jawa Tengah</t>
        </is>
      </c>
      <c r="Q131" t="inlineStr"/>
    </row>
    <row r="132">
      <c r="A132" t="inlineStr">
        <is>
          <t>ANUGRAH JAYA ABADI</t>
        </is>
      </c>
      <c r="B132" t="inlineStr">
        <is>
          <t>Kab. Serdang Bedagai</t>
        </is>
      </c>
      <c r="C132" t="inlineStr">
        <is>
          <t>082370710695</t>
        </is>
      </c>
      <c r="D132" t="inlineStr">
        <is>
          <t>cvanugrahjayaabadi16@gmail.com</t>
        </is>
      </c>
      <c r="E132" t="inlineStr">
        <is>
          <t>https://lpjk.pu.go.id/search-badan-usaha-detail/eExzdWg2M1QrV04xRjRHZmR6Q2Zqdz09</t>
        </is>
      </c>
      <c r="F132" t="n">
        <v>2</v>
      </c>
      <c r="G132" t="inlineStr">
        <is>
          <t>BS004</t>
        </is>
      </c>
      <c r="H132" t="inlineStr">
        <is>
          <t>22 Januari 2018</t>
        </is>
      </c>
      <c r="I132" s="2" t="n">
        <v>46312</v>
      </c>
      <c r="J132" t="inlineStr">
        <is>
          <t>Disetujui</t>
        </is>
      </c>
      <c r="K132" t="n">
        <v>60</v>
      </c>
      <c r="L132" t="inlineStr">
        <is>
          <t>17 Oktober 2026</t>
        </is>
      </c>
      <c r="M132" t="inlineStr">
        <is>
          <t>Konstruksi Jaringan Irigasi dan Drainase</t>
        </is>
      </c>
      <c r="N132" t="inlineStr">
        <is>
          <t>K</t>
        </is>
      </c>
      <c r="O132" t="inlineStr">
        <is>
          <t>20231016</t>
        </is>
      </c>
      <c r="P132" t="inlineStr">
        <is>
          <t>Sumatera Utara</t>
        </is>
      </c>
      <c r="Q132" t="inlineStr"/>
    </row>
    <row r="133">
      <c r="A133" t="inlineStr">
        <is>
          <t>ANUGRAH MAHA KARYA PERSADA</t>
        </is>
      </c>
      <c r="B133" t="inlineStr">
        <is>
          <t>Kab. Tuban</t>
        </is>
      </c>
      <c r="C133" t="inlineStr">
        <is>
          <t>082143196801</t>
        </is>
      </c>
      <c r="D133" t="inlineStr">
        <is>
          <t>pt.amkpersada@gmail.com</t>
        </is>
      </c>
      <c r="E133" t="inlineStr">
        <is>
          <t>https://lpjk.pu.go.id/search-badan-usaha-detail/WWtvUElndjdnNGNDbXdOUiswalhhZz09</t>
        </is>
      </c>
      <c r="F133" t="n">
        <v>2</v>
      </c>
      <c r="G133" t="inlineStr">
        <is>
          <t>BG009</t>
        </is>
      </c>
      <c r="H133" t="inlineStr">
        <is>
          <t>11 Maret 2020</t>
        </is>
      </c>
      <c r="I133" s="2" t="n">
        <v>46308</v>
      </c>
      <c r="J133" t="inlineStr">
        <is>
          <t>Disetujui</t>
        </is>
      </c>
      <c r="K133" t="n">
        <v>60</v>
      </c>
      <c r="L133" t="inlineStr">
        <is>
          <t>13 Oktober 2026</t>
        </is>
      </c>
      <c r="M133" t="inlineStr">
        <is>
          <t>Konstruksi Gedung Lainnya</t>
        </is>
      </c>
      <c r="N133" t="inlineStr">
        <is>
          <t>K</t>
        </is>
      </c>
      <c r="O133" t="inlineStr">
        <is>
          <t>20231009</t>
        </is>
      </c>
      <c r="P133" t="inlineStr">
        <is>
          <t>Jawa Timur</t>
        </is>
      </c>
      <c r="Q133" t="inlineStr"/>
    </row>
    <row r="134">
      <c r="A134" t="inlineStr">
        <is>
          <t>APICK SEJAHTERA ABADI</t>
        </is>
      </c>
      <c r="B134" t="inlineStr">
        <is>
          <t>Kab. Mempawah</t>
        </is>
      </c>
      <c r="C134" t="inlineStr">
        <is>
          <t>081250102728</t>
        </is>
      </c>
      <c r="D134" t="inlineStr">
        <is>
          <t>apicksejahteraabadi@gmail.com</t>
        </is>
      </c>
      <c r="E134" t="inlineStr">
        <is>
          <t>https://lpjk.pu.go.id/search-badan-usaha-detail/Q3VFUGtoWHM3c3gzRE5veGdrWTNlQT09</t>
        </is>
      </c>
      <c r="F134" t="n">
        <v>1</v>
      </c>
      <c r="G134" t="inlineStr">
        <is>
          <t>BS004</t>
        </is>
      </c>
      <c r="H134" t="inlineStr">
        <is>
          <t>1 Juli 2013</t>
        </is>
      </c>
      <c r="I134" s="2" t="n">
        <v>46311</v>
      </c>
      <c r="J134" t="inlineStr">
        <is>
          <t>Disetujui</t>
        </is>
      </c>
      <c r="K134" t="n">
        <v>60</v>
      </c>
      <c r="L134" t="inlineStr">
        <is>
          <t>16 Oktober 2026</t>
        </is>
      </c>
      <c r="M134" t="inlineStr">
        <is>
          <t>Konstruksi Jaringan Irigasi dan Drainase</t>
        </is>
      </c>
      <c r="N134" t="inlineStr">
        <is>
          <t>K</t>
        </is>
      </c>
      <c r="O134" t="inlineStr">
        <is>
          <t>20231017</t>
        </is>
      </c>
      <c r="P134" t="inlineStr">
        <is>
          <t>Kalimantan Barat</t>
        </is>
      </c>
      <c r="Q134" t="inlineStr"/>
    </row>
    <row r="135">
      <c r="A135" t="inlineStr">
        <is>
          <t>AQILAH BERKAH ABADI</t>
        </is>
      </c>
      <c r="B135" t="inlineStr">
        <is>
          <t>Kota Makassar</t>
        </is>
      </c>
      <c r="C135" t="inlineStr">
        <is>
          <t>081354225384</t>
        </is>
      </c>
      <c r="D135" t="inlineStr">
        <is>
          <t>cv.aqilaberkahabadi@gmail.com</t>
        </is>
      </c>
      <c r="E135" t="inlineStr">
        <is>
          <t>https://lpjk.pu.go.id/search-badan-usaha-detail/bjhyT1QyZitDekRMQlN3TXAya0RKUT09</t>
        </is>
      </c>
      <c r="F135" t="n">
        <v>1</v>
      </c>
      <c r="G135" t="inlineStr">
        <is>
          <t>BG009</t>
        </is>
      </c>
      <c r="H135" t="inlineStr">
        <is>
          <t>3 Oktober 2023</t>
        </is>
      </c>
      <c r="I135" s="2" t="n">
        <v>46310</v>
      </c>
      <c r="J135" t="inlineStr">
        <is>
          <t>Disetujui</t>
        </is>
      </c>
      <c r="K135" t="n">
        <v>60</v>
      </c>
      <c r="L135" t="inlineStr">
        <is>
          <t>15 Oktober 2026</t>
        </is>
      </c>
      <c r="M135" t="inlineStr">
        <is>
          <t>Konstruksi Gedung Lainnya</t>
        </is>
      </c>
      <c r="N135" t="inlineStr">
        <is>
          <t>K</t>
        </is>
      </c>
      <c r="O135" t="inlineStr">
        <is>
          <t>20231009</t>
        </is>
      </c>
      <c r="P135" t="inlineStr">
        <is>
          <t>Sulawesi Selatan</t>
        </is>
      </c>
      <c r="Q135" t="inlineStr"/>
    </row>
    <row r="136">
      <c r="A136" t="inlineStr">
        <is>
          <t>ARAFAH RAYA MANDIRI</t>
        </is>
      </c>
      <c r="B136" t="inlineStr">
        <is>
          <t>Kota Medan</t>
        </is>
      </c>
      <c r="C136" t="inlineStr">
        <is>
          <t>085361223650</t>
        </is>
      </c>
      <c r="D136" t="inlineStr">
        <is>
          <t>arafahrayamandiri@gmail.com</t>
        </is>
      </c>
      <c r="E136" t="inlineStr">
        <is>
          <t>https://lpjk.pu.go.id/search-badan-usaha-detail/YjFjcmJESDN3SWpFbDZXaHRoN1pPdz09</t>
        </is>
      </c>
      <c r="F136" t="n">
        <v>2</v>
      </c>
      <c r="G136" t="inlineStr">
        <is>
          <t>BS006</t>
        </is>
      </c>
      <c r="H136" t="inlineStr">
        <is>
          <t>24 Agustus 2019</t>
        </is>
      </c>
      <c r="I136" s="2" t="n">
        <v>46311</v>
      </c>
      <c r="J136" t="inlineStr">
        <is>
          <t>Disetujui</t>
        </is>
      </c>
      <c r="K136" t="n">
        <v>60</v>
      </c>
      <c r="L136" t="inlineStr">
        <is>
          <t>16 Oktober 2026</t>
        </is>
      </c>
      <c r="M136" t="inlineStr">
        <is>
          <t>Konstruksi Bangunan Sipil Prasarana dan Sarana Sistem Pengolahan Limbah Padat, Cair, dan Gas</t>
        </is>
      </c>
      <c r="N136" t="inlineStr">
        <is>
          <t>K</t>
        </is>
      </c>
      <c r="O136" t="inlineStr">
        <is>
          <t>20230907</t>
        </is>
      </c>
      <c r="P136" t="inlineStr">
        <is>
          <t>Sumatera Utara</t>
        </is>
      </c>
      <c r="Q136" t="inlineStr"/>
    </row>
    <row r="137">
      <c r="A137" t="inlineStr">
        <is>
          <t>ARCHIGRAHA DESIGN CENTER</t>
        </is>
      </c>
      <c r="B137" t="inlineStr">
        <is>
          <t>Kota Jambi</t>
        </is>
      </c>
      <c r="C137" t="inlineStr">
        <is>
          <t>0821 7623 3158</t>
        </is>
      </c>
      <c r="D137" t="inlineStr">
        <is>
          <t>archigraha.design.center@gmail.com</t>
        </is>
      </c>
      <c r="E137" t="inlineStr">
        <is>
          <t>https://lpjk.pu.go.id/search-badan-usaha-detail/ODM4SVlaaFB1eHZMbWJDRHZrVG1wZz09</t>
        </is>
      </c>
      <c r="F137" t="n">
        <v>2</v>
      </c>
      <c r="G137" t="inlineStr">
        <is>
          <t>RK001, RK003</t>
        </is>
      </c>
      <c r="H137" t="inlineStr">
        <is>
          <t>19 Januari 2011</t>
        </is>
      </c>
      <c r="I137" s="2" t="n">
        <v>46312</v>
      </c>
      <c r="J137" t="inlineStr">
        <is>
          <t>Disetujui</t>
        </is>
      </c>
      <c r="K137" t="n">
        <v>60</v>
      </c>
      <c r="L137" t="inlineStr">
        <is>
          <t>17 Oktober 2026</t>
        </is>
      </c>
      <c r="M137" t="inlineStr">
        <is>
          <t>Jasa Rekayasa Konstruksi Bangunan Gedung Hunian dan Non Hunian, Jasa Rekayasa Pekerjaan Teknik Sipil Transportasi</t>
        </is>
      </c>
      <c r="N137" t="inlineStr">
        <is>
          <t>K</t>
        </is>
      </c>
      <c r="O137" t="inlineStr">
        <is>
          <t>20231004, 20231006</t>
        </is>
      </c>
      <c r="P137" t="inlineStr">
        <is>
          <t>Jambi</t>
        </is>
      </c>
      <c r="Q137" t="inlineStr"/>
    </row>
    <row r="138">
      <c r="A138" t="inlineStr">
        <is>
          <t>ARGA PILAR INDONESIA</t>
        </is>
      </c>
      <c r="B138" t="inlineStr">
        <is>
          <t>Kota Bandung</t>
        </is>
      </c>
      <c r="C138" t="inlineStr">
        <is>
          <t>08112104558</t>
        </is>
      </c>
      <c r="D138" t="inlineStr">
        <is>
          <t>pt.argapilarindonesia@gmail.com</t>
        </is>
      </c>
      <c r="E138" t="inlineStr">
        <is>
          <t>https://lpjk.pu.go.id/search-badan-usaha-detail/am53RU5MeW5hL1Zodm96STFCQVI1Zz09</t>
        </is>
      </c>
      <c r="F138" t="n">
        <v>8</v>
      </c>
      <c r="G138" t="inlineStr">
        <is>
          <t>BG002, BG004, BG005, BG006, BG009, BS001, BS002, BS004</t>
        </is>
      </c>
      <c r="H138" t="inlineStr">
        <is>
          <t>27 Juli 2023</t>
        </is>
      </c>
      <c r="I138" s="2" t="n">
        <v>46307</v>
      </c>
      <c r="J138" t="inlineStr">
        <is>
          <t>Disetujui</t>
        </is>
      </c>
      <c r="K138" t="n">
        <v>60</v>
      </c>
      <c r="L138" t="inlineStr">
        <is>
          <t>12 Oktober 2026</t>
        </is>
      </c>
      <c r="M138" t="inlineStr">
        <is>
          <t>Bangunan Sipil Jembatan, Jalan Layang, Fly Over, dan Underpass, Konstruksi Bangunan Sipil Jalan, Konstruksi Gedung Kesehatan, Konstruksi Gedung Lainnya, Konstruksi Gedung Pendidikan, Konstruksi Gedung Perbelanjaan, Konstruksi Gedung Perkantoran, Konstruksi Jaringan Irigasi dan Drainase</t>
        </is>
      </c>
      <c r="N138" t="inlineStr">
        <is>
          <t>K</t>
        </is>
      </c>
      <c r="O138" t="inlineStr">
        <is>
          <t>20231012, 20231013, 20231017</t>
        </is>
      </c>
      <c r="P138" t="inlineStr">
        <is>
          <t>Jawa Barat</t>
        </is>
      </c>
      <c r="Q138" t="inlineStr"/>
    </row>
    <row r="139">
      <c r="A139" t="inlineStr">
        <is>
          <t>ARIA BERSAUDARA GROUP</t>
        </is>
      </c>
      <c r="B139" t="inlineStr">
        <is>
          <t>Kab. Ogan Ilir</t>
        </is>
      </c>
      <c r="C139" t="inlineStr">
        <is>
          <t>08154036647</t>
        </is>
      </c>
      <c r="D139" t="inlineStr">
        <is>
          <t>cv.ariabersaudaragroup@gmail.com</t>
        </is>
      </c>
      <c r="E139" t="inlineStr">
        <is>
          <t>https://lpjk.pu.go.id/search-badan-usaha-detail/L3Vsd3NpZ2Q1aGxRczJ6c2UzZk5SUT09</t>
        </is>
      </c>
      <c r="F139" t="n">
        <v>3</v>
      </c>
      <c r="G139" t="inlineStr">
        <is>
          <t>BG009, BS001, BS002</t>
        </is>
      </c>
      <c r="H139" t="inlineStr">
        <is>
          <t>31 Mei 2023</t>
        </is>
      </c>
      <c r="I139" s="2" t="n">
        <v>46307</v>
      </c>
      <c r="J139" t="inlineStr">
        <is>
          <t>Disetujui</t>
        </is>
      </c>
      <c r="K139" t="n">
        <v>60</v>
      </c>
      <c r="L139" t="inlineStr">
        <is>
          <t>12 Oktober 2026</t>
        </is>
      </c>
      <c r="M139" t="inlineStr">
        <is>
          <t>Bangunan Sipil Jembatan, Jalan Layang, Fly Over, dan Underpass, Konstruksi Bangunan Sipil Jalan, Konstruksi Gedung Lainnya</t>
        </is>
      </c>
      <c r="N139" t="inlineStr">
        <is>
          <t>K</t>
        </is>
      </c>
      <c r="O139" t="inlineStr">
        <is>
          <t>20231011, 20231015</t>
        </is>
      </c>
      <c r="P139" t="inlineStr">
        <is>
          <t>Sumatera Selatan</t>
        </is>
      </c>
      <c r="Q139" t="inlineStr"/>
    </row>
    <row r="140">
      <c r="A140" t="inlineStr">
        <is>
          <t>ARIES MUDA HUTAMA</t>
        </is>
      </c>
      <c r="B140" t="inlineStr">
        <is>
          <t>Kab. Sijunjung</t>
        </is>
      </c>
      <c r="C140" t="inlineStr">
        <is>
          <t>081266599852</t>
        </is>
      </c>
      <c r="D140" t="inlineStr">
        <is>
          <t>ariesmudahutama@gmail.com</t>
        </is>
      </c>
      <c r="E140" t="inlineStr">
        <is>
          <t>https://lpjk.pu.go.id/search-badan-usaha-detail/NlBiYTZ0VnNIUmo0REc0cVpHK0tXdz09</t>
        </is>
      </c>
      <c r="F140" t="n">
        <v>6</v>
      </c>
      <c r="G140" t="inlineStr">
        <is>
          <t>BG005, BG006, BG009</t>
        </is>
      </c>
      <c r="H140" t="inlineStr">
        <is>
          <t>5 Juni 2023</t>
        </is>
      </c>
      <c r="I140" s="2" t="n">
        <v>46312</v>
      </c>
      <c r="J140" t="inlineStr">
        <is>
          <t>Pencabutan</t>
        </is>
      </c>
      <c r="K140" t="n">
        <v>60</v>
      </c>
      <c r="L140" t="inlineStr">
        <is>
          <t>17 Oktober 2026</t>
        </is>
      </c>
      <c r="M140" t="inlineStr">
        <is>
          <t>Konstruksi Gedung Kesehatan, Konstruksi Gedung Lainnya, Konstruksi Gedung Pendidikan</t>
        </is>
      </c>
      <c r="N140" t="inlineStr">
        <is>
          <t>K</t>
        </is>
      </c>
      <c r="O140" t="inlineStr">
        <is>
          <t>20231009, 20231018</t>
        </is>
      </c>
      <c r="P140" t="inlineStr">
        <is>
          <t>Sumatera Barat</t>
        </is>
      </c>
      <c r="Q140" t="inlineStr"/>
    </row>
    <row r="141">
      <c r="A141" t="inlineStr">
        <is>
          <t>ARIF TRI JAYA</t>
        </is>
      </c>
      <c r="B141" t="inlineStr">
        <is>
          <t>Kab. Nganjuk</t>
        </is>
      </c>
      <c r="C141" t="inlineStr">
        <is>
          <t>082143116724</t>
        </is>
      </c>
      <c r="D141" t="inlineStr">
        <is>
          <t>ariftrijayaatj@gmail.com</t>
        </is>
      </c>
      <c r="E141" t="inlineStr">
        <is>
          <t>https://lpjk.pu.go.id/search-badan-usaha-detail/VCtCeEhvNFJraWp1aXZkV0FUcWJYZz09</t>
        </is>
      </c>
      <c r="F141" t="n">
        <v>3</v>
      </c>
      <c r="G141" t="inlineStr">
        <is>
          <t>BG005, BG006, BG009</t>
        </is>
      </c>
      <c r="H141" t="inlineStr">
        <is>
          <t>2 Maret 2007</t>
        </is>
      </c>
      <c r="I141" s="2" t="n">
        <v>46308</v>
      </c>
      <c r="J141" t="inlineStr">
        <is>
          <t>Disetujui</t>
        </is>
      </c>
      <c r="K141" t="n">
        <v>60</v>
      </c>
      <c r="L141" t="inlineStr">
        <is>
          <t>13 Oktober 2026</t>
        </is>
      </c>
      <c r="M141" t="inlineStr">
        <is>
          <t>Konstruksi Gedung Kesehatan, Konstruksi Gedung Lainnya, Konstruksi Gedung Pendidikan</t>
        </is>
      </c>
      <c r="N141" t="inlineStr">
        <is>
          <t>K</t>
        </is>
      </c>
      <c r="O141" t="inlineStr">
        <is>
          <t>20231012</t>
        </is>
      </c>
      <c r="P141" t="inlineStr">
        <is>
          <t>Jawa Timur</t>
        </is>
      </c>
      <c r="Q141" t="inlineStr"/>
    </row>
    <row r="142">
      <c r="A142" t="inlineStr">
        <is>
          <t>ARJUNA TRI SAKTI</t>
        </is>
      </c>
      <c r="B142" t="inlineStr">
        <is>
          <t>Kab. Indramayu</t>
        </is>
      </c>
      <c r="C142" t="inlineStr">
        <is>
          <t>081286252796</t>
        </is>
      </c>
      <c r="D142" t="inlineStr">
        <is>
          <t>jayalsbuid@gmail.com</t>
        </is>
      </c>
      <c r="E142" t="inlineStr">
        <is>
          <t>https://lpjk.pu.go.id/search-badan-usaha-detail/S2FVVzhQN3RsMU8zUlNyQ3RLMTBzdz09</t>
        </is>
      </c>
      <c r="F142" t="n">
        <v>2</v>
      </c>
      <c r="G142" t="inlineStr">
        <is>
          <t>BG009, BS004</t>
        </is>
      </c>
      <c r="H142" t="inlineStr">
        <is>
          <t>15 September 2021</t>
        </is>
      </c>
      <c r="I142" s="2" t="n">
        <v>46312</v>
      </c>
      <c r="J142" t="inlineStr">
        <is>
          <t>Disetujui</t>
        </is>
      </c>
      <c r="K142" t="n">
        <v>60</v>
      </c>
      <c r="L142" t="inlineStr">
        <is>
          <t>17 Oktober 2026</t>
        </is>
      </c>
      <c r="M142" t="inlineStr">
        <is>
          <t>Konstruksi Gedung Lainnya, Konstruksi Jaringan Irigasi dan Drainase</t>
        </is>
      </c>
      <c r="N142" t="inlineStr">
        <is>
          <t>K</t>
        </is>
      </c>
      <c r="O142" t="inlineStr">
        <is>
          <t>20231012</t>
        </is>
      </c>
      <c r="P142" t="inlineStr">
        <is>
          <t>Jawa Barat</t>
        </is>
      </c>
      <c r="Q142" t="inlineStr"/>
    </row>
    <row r="143">
      <c r="A143" t="inlineStr">
        <is>
          <t>ARKA PUTRA MANDIRI</t>
        </is>
      </c>
      <c r="B143" t="inlineStr">
        <is>
          <t>Kab. Tegal</t>
        </is>
      </c>
      <c r="C143" t="inlineStr">
        <is>
          <t>0817295222</t>
        </is>
      </c>
      <c r="D143" t="inlineStr">
        <is>
          <t>cv.arkaputramandiri@gmail.com</t>
        </is>
      </c>
      <c r="E143" t="inlineStr">
        <is>
          <t>https://lpjk.pu.go.id/search-badan-usaha-detail/Ymg2REc5RHA1bTNZeDRjRmpkY1lxUT09</t>
        </is>
      </c>
      <c r="F143" t="n">
        <v>3</v>
      </c>
      <c r="G143" t="inlineStr">
        <is>
          <t>BG002, BG006, BS001</t>
        </is>
      </c>
      <c r="H143" t="inlineStr">
        <is>
          <t>22 Januari 2008</t>
        </is>
      </c>
      <c r="I143" s="2" t="n">
        <v>46311</v>
      </c>
      <c r="J143" t="inlineStr">
        <is>
          <t>Disetujui</t>
        </is>
      </c>
      <c r="K143" t="n">
        <v>60</v>
      </c>
      <c r="L143" t="inlineStr">
        <is>
          <t>16 Oktober 2026</t>
        </is>
      </c>
      <c r="M143" t="inlineStr">
        <is>
          <t>Konstruksi Bangunan Sipil Jalan, Konstruksi Gedung Pendidikan, Konstruksi Gedung Perkantoran</t>
        </is>
      </c>
      <c r="N143" t="inlineStr">
        <is>
          <t>K</t>
        </is>
      </c>
      <c r="O143" t="inlineStr">
        <is>
          <t>20231015, 20231016</t>
        </is>
      </c>
      <c r="P143" t="inlineStr">
        <is>
          <t>Jawa Tengah</t>
        </is>
      </c>
      <c r="Q143" t="inlineStr"/>
    </row>
    <row r="144">
      <c r="A144" t="inlineStr">
        <is>
          <t>ARKANA REZTIANA PROPERTI</t>
        </is>
      </c>
      <c r="B144" t="inlineStr">
        <is>
          <t>Kota Bandung</t>
        </is>
      </c>
      <c r="C144" t="inlineStr">
        <is>
          <t>087825284851</t>
        </is>
      </c>
      <c r="D144" t="inlineStr">
        <is>
          <t>arkanareztiana.pt@gmail.com</t>
        </is>
      </c>
      <c r="E144" t="inlineStr">
        <is>
          <t>https://lpjk.pu.go.id/search-badan-usaha-detail/WjJZQSt4QmVsSG9DZW8zQmppQStudz09</t>
        </is>
      </c>
      <c r="F144" t="n">
        <v>6</v>
      </c>
      <c r="G144" t="inlineStr">
        <is>
          <t>BG001, BG002</t>
        </is>
      </c>
      <c r="H144" t="inlineStr">
        <is>
          <t>4 Agustus 2023</t>
        </is>
      </c>
      <c r="I144" s="2" t="n">
        <v>46307</v>
      </c>
      <c r="J144" t="inlineStr">
        <is>
          <t>Disetujui</t>
        </is>
      </c>
      <c r="K144" t="n">
        <v>60</v>
      </c>
      <c r="L144" t="inlineStr">
        <is>
          <t>12 Oktober 2026</t>
        </is>
      </c>
      <c r="M144" t="inlineStr">
        <is>
          <t>Konstruksi Gedung Hunian, Konstruksi Gedung Perkantoran</t>
        </is>
      </c>
      <c r="N144" t="inlineStr">
        <is>
          <t>K</t>
        </is>
      </c>
      <c r="O144" t="inlineStr">
        <is>
          <t>20231012</t>
        </is>
      </c>
      <c r="P144" t="inlineStr">
        <is>
          <t>Jawa Barat</t>
        </is>
      </c>
      <c r="Q144" t="inlineStr"/>
    </row>
    <row r="145">
      <c r="A145" t="inlineStr">
        <is>
          <t>ARSINDO BAJA MANDIRI</t>
        </is>
      </c>
      <c r="B145" t="inlineStr">
        <is>
          <t>Kab. Tangerang</t>
        </is>
      </c>
      <c r="C145" t="inlineStr">
        <is>
          <t>082185249420</t>
        </is>
      </c>
      <c r="D145" t="inlineStr">
        <is>
          <t>wahyu.kbpi@gmail.com</t>
        </is>
      </c>
      <c r="E145" t="inlineStr">
        <is>
          <t>https://lpjk.pu.go.id/search-badan-usaha-detail/d205SXM0amJIakZIVjNnaitJQmpqZz09</t>
        </is>
      </c>
      <c r="F145" t="n">
        <v>1</v>
      </c>
      <c r="G145" t="inlineStr">
        <is>
          <t>BG003</t>
        </is>
      </c>
      <c r="H145" t="inlineStr">
        <is>
          <t>26 Februari 2020</t>
        </is>
      </c>
      <c r="I145" s="2" t="n">
        <v>46313</v>
      </c>
      <c r="J145" t="inlineStr">
        <is>
          <t>Disetujui</t>
        </is>
      </c>
      <c r="K145" t="n">
        <v>60</v>
      </c>
      <c r="L145" t="inlineStr">
        <is>
          <t>18 Oktober 2026</t>
        </is>
      </c>
      <c r="M145" t="inlineStr">
        <is>
          <t>Konstruksi Gedung Industri</t>
        </is>
      </c>
      <c r="N145" t="inlineStr">
        <is>
          <t>K</t>
        </is>
      </c>
      <c r="O145" t="inlineStr">
        <is>
          <t>20231018</t>
        </is>
      </c>
      <c r="P145" t="inlineStr">
        <is>
          <t>Banten</t>
        </is>
      </c>
      <c r="Q145" t="inlineStr"/>
    </row>
    <row r="146">
      <c r="A146" t="inlineStr">
        <is>
          <t>ARSITEKTUR DIRAJA PRATAMA</t>
        </is>
      </c>
      <c r="B146" t="inlineStr">
        <is>
          <t>Kota Pontianak</t>
        </is>
      </c>
      <c r="C146" t="inlineStr">
        <is>
          <t>081345877077</t>
        </is>
      </c>
      <c r="D146" t="inlineStr">
        <is>
          <t>diraja7077@gmail.com</t>
        </is>
      </c>
      <c r="E146" t="inlineStr">
        <is>
          <t>https://lpjk.pu.go.id/search-badan-usaha-detail/TUZuclZGenpXSmdBT2crRXdIUjQ1UT09</t>
        </is>
      </c>
      <c r="F146" t="n">
        <v>2</v>
      </c>
      <c r="G146" t="inlineStr">
        <is>
          <t>RK001, RK003</t>
        </is>
      </c>
      <c r="H146" t="inlineStr">
        <is>
          <t>23 November 2018</t>
        </is>
      </c>
      <c r="I146" s="2" t="n">
        <v>46313</v>
      </c>
      <c r="J146" t="inlineStr">
        <is>
          <t>Disetujui, Pencabutan</t>
        </is>
      </c>
      <c r="K146" t="n">
        <v>60</v>
      </c>
      <c r="L146" t="inlineStr">
        <is>
          <t>18 Oktober 2026</t>
        </is>
      </c>
      <c r="M146" t="inlineStr">
        <is>
          <t>Jasa Rekayasa Konstruksi Bangunan Gedung Hunian dan Non Hunian, Jasa Rekayasa Pekerjaan Teknik Sipil Transportasi</t>
        </is>
      </c>
      <c r="N146" t="inlineStr">
        <is>
          <t>K</t>
        </is>
      </c>
      <c r="O146" t="inlineStr">
        <is>
          <t>20231002, 20231003</t>
        </is>
      </c>
      <c r="P146" t="inlineStr">
        <is>
          <t>Kalimantan Barat</t>
        </is>
      </c>
      <c r="Q146" t="inlineStr"/>
    </row>
    <row r="147">
      <c r="A147" t="inlineStr">
        <is>
          <t>ARTA PERMATA PARE</t>
        </is>
      </c>
      <c r="B147" t="inlineStr">
        <is>
          <t>Kota Samarinda</t>
        </is>
      </c>
      <c r="C147" t="inlineStr">
        <is>
          <t>082277664419</t>
        </is>
      </c>
      <c r="D147" t="inlineStr">
        <is>
          <t>artapermatapare.cv@gmail.com</t>
        </is>
      </c>
      <c r="E147" t="inlineStr">
        <is>
          <t>https://lpjk.pu.go.id/search-badan-usaha-detail/UXY3aFZ4Mk1BSnRFWXBZQ2RGRjl4QT09</t>
        </is>
      </c>
      <c r="F147" t="n">
        <v>3</v>
      </c>
      <c r="G147" t="inlineStr">
        <is>
          <t>BG008, BS001, BS002</t>
        </is>
      </c>
      <c r="H147" t="inlineStr">
        <is>
          <t>20 Februari 2023</t>
        </is>
      </c>
      <c r="I147" s="2" t="n">
        <v>46308</v>
      </c>
      <c r="J147" t="inlineStr">
        <is>
          <t>Disetujui, Dokumen Lengkap</t>
        </is>
      </c>
      <c r="K147" t="n">
        <v>60</v>
      </c>
      <c r="L147" t="inlineStr">
        <is>
          <t>13 Oktober 2026</t>
        </is>
      </c>
      <c r="M147" t="inlineStr">
        <is>
          <t>Bangunan Sipil Jembatan, Jalan Layang, Fly Over, dan Underpass, Konstruksi Bangunan Sipil Jalan, Konstruksi Gedung Tempat Hiburan dan Olahraga</t>
        </is>
      </c>
      <c r="N147" t="inlineStr">
        <is>
          <t>K</t>
        </is>
      </c>
      <c r="O147" t="inlineStr">
        <is>
          <t>20231012, 20231017</t>
        </is>
      </c>
      <c r="P147" t="inlineStr">
        <is>
          <t>Kalimantan Timur</t>
        </is>
      </c>
      <c r="Q147" t="inlineStr"/>
    </row>
    <row r="148">
      <c r="A148" t="inlineStr">
        <is>
          <t>ARTHA KARYA SEMPANA</t>
        </is>
      </c>
      <c r="B148" t="inlineStr">
        <is>
          <t>Kota Pekanbaru</t>
        </is>
      </c>
      <c r="C148" t="inlineStr">
        <is>
          <t>081216672228</t>
        </is>
      </c>
      <c r="D148" t="inlineStr">
        <is>
          <t>arthakaryasempana@gmail.com</t>
        </is>
      </c>
      <c r="E148" t="inlineStr">
        <is>
          <t>https://lpjk.pu.go.id/search-badan-usaha-detail/MFRER1B6Zis2OFZwUnJBNlNBdHRYZz09</t>
        </is>
      </c>
      <c r="F148" t="n">
        <v>1</v>
      </c>
      <c r="G148" t="inlineStr">
        <is>
          <t>BS001</t>
        </is>
      </c>
      <c r="H148" t="inlineStr">
        <is>
          <t>29 April 2025</t>
        </is>
      </c>
      <c r="I148" s="2" t="n">
        <v>46310</v>
      </c>
      <c r="J148" t="inlineStr">
        <is>
          <t>Disetujui</t>
        </is>
      </c>
      <c r="K148" t="n">
        <v>60</v>
      </c>
      <c r="L148" t="inlineStr">
        <is>
          <t>15 Oktober 2026</t>
        </is>
      </c>
      <c r="M148" t="inlineStr">
        <is>
          <t>Konstruksi Bangunan Sipil Jalan</t>
        </is>
      </c>
      <c r="N148" t="inlineStr">
        <is>
          <t>K</t>
        </is>
      </c>
      <c r="O148" t="inlineStr">
        <is>
          <t>20231015</t>
        </is>
      </c>
      <c r="P148" t="inlineStr">
        <is>
          <t>Riau</t>
        </is>
      </c>
      <c r="Q148" t="inlineStr"/>
    </row>
    <row r="149">
      <c r="A149" t="inlineStr">
        <is>
          <t>ARTHA KENCANA SERAYA</t>
        </is>
      </c>
      <c r="B149" t="inlineStr">
        <is>
          <t>Kota Pekanbaru</t>
        </is>
      </c>
      <c r="C149" t="inlineStr">
        <is>
          <t>081275885022</t>
        </is>
      </c>
      <c r="D149" t="inlineStr">
        <is>
          <t>arthakencanaseraya@gmail.com</t>
        </is>
      </c>
      <c r="E149" t="inlineStr">
        <is>
          <t>https://lpjk.pu.go.id/search-badan-usaha-detail/UDVtTHVQRXptdnBwUDBKRXlCTFZaUT09</t>
        </is>
      </c>
      <c r="F149" t="n">
        <v>1</v>
      </c>
      <c r="G149" t="inlineStr">
        <is>
          <t>BS001</t>
        </is>
      </c>
      <c r="H149" t="inlineStr">
        <is>
          <t>24 September 2021</t>
        </is>
      </c>
      <c r="I149" s="2" t="n">
        <v>46310</v>
      </c>
      <c r="J149" t="inlineStr">
        <is>
          <t>Disetujui</t>
        </is>
      </c>
      <c r="K149" t="n">
        <v>60</v>
      </c>
      <c r="L149" t="inlineStr">
        <is>
          <t>15 Oktober 2026</t>
        </is>
      </c>
      <c r="M149" t="inlineStr">
        <is>
          <t>Konstruksi Bangunan Sipil Jalan</t>
        </is>
      </c>
      <c r="N149" t="inlineStr">
        <is>
          <t>K</t>
        </is>
      </c>
      <c r="O149" t="inlineStr">
        <is>
          <t>20231015</t>
        </is>
      </c>
      <c r="P149" t="inlineStr">
        <is>
          <t>Riau</t>
        </is>
      </c>
      <c r="Q149" t="inlineStr"/>
    </row>
    <row r="150">
      <c r="A150" t="inlineStr">
        <is>
          <t>ARTHA WAHYU AGUNG</t>
        </is>
      </c>
      <c r="B150" t="inlineStr">
        <is>
          <t>Kab. Tulungagung</t>
        </is>
      </c>
      <c r="C150" t="inlineStr">
        <is>
          <t>082171688503</t>
        </is>
      </c>
      <c r="D150" t="inlineStr">
        <is>
          <t>arthawahyuagung_cv@yahoo.com</t>
        </is>
      </c>
      <c r="E150" t="inlineStr">
        <is>
          <t>https://lpjk.pu.go.id/search-badan-usaha-detail/NDZ2d0hicFpaaldzVEdCaFF1UU5XUT09</t>
        </is>
      </c>
      <c r="F150" t="n">
        <v>2</v>
      </c>
      <c r="G150" t="inlineStr">
        <is>
          <t>BG006, BG009</t>
        </is>
      </c>
      <c r="H150" t="inlineStr">
        <is>
          <t>26 Januari 2016</t>
        </is>
      </c>
      <c r="I150" s="2" t="n">
        <v>46312</v>
      </c>
      <c r="J150" t="inlineStr">
        <is>
          <t>Disetujui</t>
        </is>
      </c>
      <c r="K150" t="n">
        <v>60</v>
      </c>
      <c r="L150" t="inlineStr">
        <is>
          <t>17 Oktober 2026</t>
        </is>
      </c>
      <c r="M150" t="inlineStr">
        <is>
          <t>Konstruksi Gedung Lainnya, Konstruksi Gedung Pendidikan</t>
        </is>
      </c>
      <c r="N150" t="inlineStr">
        <is>
          <t>K</t>
        </is>
      </c>
      <c r="O150" t="inlineStr">
        <is>
          <t>20231010, 20231017</t>
        </is>
      </c>
      <c r="P150" t="inlineStr">
        <is>
          <t>Jawa Timur</t>
        </is>
      </c>
      <c r="Q150" t="inlineStr"/>
    </row>
    <row r="151">
      <c r="A151" t="inlineStr">
        <is>
          <t>ARUM CONSULINDO</t>
        </is>
      </c>
      <c r="B151" t="inlineStr">
        <is>
          <t>Kab. Balangan</t>
        </is>
      </c>
      <c r="C151" t="inlineStr">
        <is>
          <t>081250081632</t>
        </is>
      </c>
      <c r="D151" t="inlineStr">
        <is>
          <t>budiyartibalangan7577@gmail.com</t>
        </is>
      </c>
      <c r="E151" t="inlineStr">
        <is>
          <t>https://lpjk.pu.go.id/search-badan-usaha-detail/eGI1SHVnQkh3VGg0VmF1Sy8xYk5LUT09</t>
        </is>
      </c>
      <c r="F151" t="n">
        <v>1</v>
      </c>
      <c r="G151" t="inlineStr">
        <is>
          <t>RK003</t>
        </is>
      </c>
      <c r="H151" t="inlineStr">
        <is>
          <t>9 Juni 2016</t>
        </is>
      </c>
      <c r="I151" s="2" t="n">
        <v>46307</v>
      </c>
      <c r="J151" t="inlineStr">
        <is>
          <t>Disetujui</t>
        </is>
      </c>
      <c r="K151" t="n">
        <v>60</v>
      </c>
      <c r="L151" t="inlineStr">
        <is>
          <t>12 Oktober 2026</t>
        </is>
      </c>
      <c r="M151" t="inlineStr">
        <is>
          <t>Jasa Rekayasa Pekerjaan Teknik Sipil Transportasi</t>
        </is>
      </c>
      <c r="N151" t="inlineStr">
        <is>
          <t>K</t>
        </is>
      </c>
      <c r="O151" t="inlineStr">
        <is>
          <t>20230804</t>
        </is>
      </c>
      <c r="P151" t="inlineStr">
        <is>
          <t>Kalimantan Selatan</t>
        </is>
      </c>
      <c r="Q151" t="inlineStr"/>
    </row>
    <row r="152">
      <c r="A152" t="inlineStr">
        <is>
          <t>ARUM DAYA SENTAUSA</t>
        </is>
      </c>
      <c r="B152" t="inlineStr">
        <is>
          <t>Kota Adm. Jakarta Selatan</t>
        </is>
      </c>
      <c r="C152" t="inlineStr">
        <is>
          <t>081287843669</t>
        </is>
      </c>
      <c r="D152" t="inlineStr">
        <is>
          <t>arumdwima96@gmail.com</t>
        </is>
      </c>
      <c r="E152" t="inlineStr">
        <is>
          <t>https://lpjk.pu.go.id/search-badan-usaha-detail/dVQwcHlVWjZCZ0J0T2RodnBYOXNhUT09</t>
        </is>
      </c>
      <c r="F152" t="n">
        <v>4</v>
      </c>
      <c r="G152" t="inlineStr">
        <is>
          <t>BG001, BG002, BG005, BG007</t>
        </is>
      </c>
      <c r="H152" t="inlineStr">
        <is>
          <t>22 Desember 2022</t>
        </is>
      </c>
      <c r="I152" s="2" t="n">
        <v>46313</v>
      </c>
      <c r="J152" t="inlineStr">
        <is>
          <t>Pencabutan</t>
        </is>
      </c>
      <c r="K152" t="n">
        <v>60</v>
      </c>
      <c r="L152" t="inlineStr">
        <is>
          <t>18 Oktober 2026</t>
        </is>
      </c>
      <c r="M152" t="inlineStr">
        <is>
          <t>Konstruksi Gedung Hunian, Konstruksi Gedung Kesehatan, Konstruksi Gedung Penginapan, Konstruksi Gedung Perkantoran</t>
        </is>
      </c>
      <c r="N152" t="inlineStr">
        <is>
          <t>K</t>
        </is>
      </c>
      <c r="O152" t="inlineStr">
        <is>
          <t>20231015</t>
        </is>
      </c>
      <c r="P152" t="inlineStr">
        <is>
          <t>DKI Jakarta</t>
        </is>
      </c>
      <c r="Q152" t="inlineStr"/>
    </row>
    <row r="153">
      <c r="A153" t="inlineStr">
        <is>
          <t>ARUS MAHAKAM ABADI</t>
        </is>
      </c>
      <c r="B153" t="inlineStr">
        <is>
          <t>Kab. Kutai Kartanegara</t>
        </is>
      </c>
      <c r="C153" t="inlineStr">
        <is>
          <t>081215633333</t>
        </is>
      </c>
      <c r="D153" t="inlineStr">
        <is>
          <t>arusmahakam.abadi88@gmail.com</t>
        </is>
      </c>
      <c r="E153" t="inlineStr">
        <is>
          <t>https://lpjk.pu.go.id/search-badan-usaha-detail/VTA2THhkVFVxdk01QUh4MnBTNWErQT09</t>
        </is>
      </c>
      <c r="F153" t="n">
        <v>1</v>
      </c>
      <c r="G153" t="inlineStr">
        <is>
          <t>BS001</t>
        </is>
      </c>
      <c r="H153" t="inlineStr">
        <is>
          <t>21 Februari 2008</t>
        </is>
      </c>
      <c r="I153" s="2" t="n">
        <v>46308</v>
      </c>
      <c r="J153" t="inlineStr">
        <is>
          <t>Disetujui</t>
        </is>
      </c>
      <c r="K153" t="n">
        <v>60</v>
      </c>
      <c r="L153" t="inlineStr">
        <is>
          <t>13 Oktober 2026</t>
        </is>
      </c>
      <c r="M153" t="inlineStr">
        <is>
          <t>Konstruksi Bangunan Sipil Jalan</t>
        </is>
      </c>
      <c r="N153" t="inlineStr">
        <is>
          <t>K</t>
        </is>
      </c>
      <c r="O153" t="inlineStr">
        <is>
          <t>20230930</t>
        </is>
      </c>
      <c r="P153" t="inlineStr">
        <is>
          <t>Kalimantan Timur</t>
        </is>
      </c>
      <c r="Q153" t="inlineStr"/>
    </row>
    <row r="154">
      <c r="A154" t="inlineStr">
        <is>
          <t>ARWANA CENDANA SRIWIJAYA</t>
        </is>
      </c>
      <c r="B154" t="inlineStr">
        <is>
          <t>Kota Palembang</t>
        </is>
      </c>
      <c r="C154" t="inlineStr">
        <is>
          <t>081366147800</t>
        </is>
      </c>
      <c r="D154" t="inlineStr">
        <is>
          <t>arwanacendanasriwijaya@gmail.com</t>
        </is>
      </c>
      <c r="E154" t="inlineStr">
        <is>
          <t>https://lpjk.pu.go.id/search-badan-usaha-detail/UTIyOW16bTFNUFRsdys3VU5kQm1wZz09</t>
        </is>
      </c>
      <c r="F154" t="n">
        <v>4</v>
      </c>
      <c r="G154" t="inlineStr">
        <is>
          <t>BG002, BG006, BG009, BS001</t>
        </is>
      </c>
      <c r="H154" t="inlineStr">
        <is>
          <t>15 Oktober 2019</t>
        </is>
      </c>
      <c r="I154" s="2" t="n">
        <v>46310</v>
      </c>
      <c r="J154" t="inlineStr">
        <is>
          <t>Disetujui</t>
        </is>
      </c>
      <c r="K154" t="n">
        <v>60</v>
      </c>
      <c r="L154" t="inlineStr">
        <is>
          <t>15 Oktober 2026</t>
        </is>
      </c>
      <c r="M154" t="inlineStr">
        <is>
          <t>Konstruksi Bangunan Sipil Jalan, Konstruksi Gedung Lainnya, Konstruksi Gedung Pendidikan, Konstruksi Gedung Perkantoran</t>
        </is>
      </c>
      <c r="N154" t="inlineStr">
        <is>
          <t>K</t>
        </is>
      </c>
      <c r="O154" t="inlineStr">
        <is>
          <t>20231013</t>
        </is>
      </c>
      <c r="P154" t="inlineStr">
        <is>
          <t>Sumatera Selatan</t>
        </is>
      </c>
      <c r="Q154" t="inlineStr"/>
    </row>
    <row r="155">
      <c r="A155" t="inlineStr">
        <is>
          <t>ARYANDS UTAMA CONSULTAN</t>
        </is>
      </c>
      <c r="B155" t="inlineStr">
        <is>
          <t>Kab. Luwu Timur</t>
        </is>
      </c>
      <c r="C155" t="inlineStr">
        <is>
          <t>082290535077</t>
        </is>
      </c>
      <c r="D155" t="inlineStr">
        <is>
          <t>aryands@ymail.com</t>
        </is>
      </c>
      <c r="E155" t="inlineStr">
        <is>
          <t>https://lpjk.pu.go.id/search-badan-usaha-detail/YnZFYUl1YU5ocUFIM1kzR255a01CUT09</t>
        </is>
      </c>
      <c r="F155" t="n">
        <v>4</v>
      </c>
      <c r="G155" t="inlineStr">
        <is>
          <t>RK001, RK002, RK003, RK005</t>
        </is>
      </c>
      <c r="H155" t="inlineStr">
        <is>
          <t>21 September 2016</t>
        </is>
      </c>
      <c r="I155" s="2" t="n">
        <v>46313</v>
      </c>
      <c r="J155" t="inlineStr">
        <is>
          <t>Disetujui</t>
        </is>
      </c>
      <c r="K155" t="n">
        <v>60</v>
      </c>
      <c r="L155" t="inlineStr">
        <is>
          <t>18 Oktober 2026</t>
        </is>
      </c>
      <c r="M155" t="inlineStr">
        <is>
          <t>Jasa Rekayasa Konstruksi Bangunan Gedung Hunian dan Non Hunian, Jasa Rekayasa Lainnya, Jasa Rekayasa Pekerjaan Teknik Sipil Sumber Daya Air, Jasa Rekayasa Pekerjaan Teknik Sipil Transportasi</t>
        </is>
      </c>
      <c r="N155" t="inlineStr">
        <is>
          <t>K</t>
        </is>
      </c>
      <c r="O155" t="inlineStr">
        <is>
          <t>20230516, 20230627, 20231004</t>
        </is>
      </c>
      <c r="P155" t="inlineStr">
        <is>
          <t>Sulawesi Selatan</t>
        </is>
      </c>
      <c r="Q155" t="inlineStr"/>
    </row>
    <row r="156">
      <c r="A156" t="inlineStr">
        <is>
          <t>ASIA HARDA</t>
        </is>
      </c>
      <c r="B156" t="inlineStr">
        <is>
          <t>Kota Surabaya</t>
        </is>
      </c>
      <c r="C156" t="inlineStr">
        <is>
          <t>0811311598</t>
        </is>
      </c>
      <c r="D156" t="inlineStr">
        <is>
          <t>asiahardasurat@gmail.com</t>
        </is>
      </c>
      <c r="E156" t="inlineStr">
        <is>
          <t>https://lpjk.pu.go.id/search-badan-usaha-detail/eWhnaWw0NE5iVXhLRFIrWUd2QWZvQT09</t>
        </is>
      </c>
      <c r="F156" t="n">
        <v>3</v>
      </c>
      <c r="G156" t="inlineStr">
        <is>
          <t>RK001, RK002, RK003</t>
        </is>
      </c>
      <c r="H156" t="inlineStr">
        <is>
          <t>21 Mei 2013</t>
        </is>
      </c>
      <c r="I156" s="2" t="n">
        <v>46312</v>
      </c>
      <c r="J156" t="inlineStr">
        <is>
          <t>Disetujui</t>
        </is>
      </c>
      <c r="K156" t="n">
        <v>60</v>
      </c>
      <c r="L156" t="inlineStr">
        <is>
          <t>17 Oktober 2026</t>
        </is>
      </c>
      <c r="M156" t="inlineStr">
        <is>
          <t>Jasa Rekayasa Konstruksi Bangunan Gedung Hunian dan Non Hunian, Jasa Rekayasa Pekerjaan Teknik Sipil Sumber Daya Air, Jasa Rekayasa Pekerjaan Teknik Sipil Transportasi</t>
        </is>
      </c>
      <c r="N156" t="inlineStr">
        <is>
          <t>K</t>
        </is>
      </c>
      <c r="O156" t="inlineStr">
        <is>
          <t>20230925, 20231004</t>
        </is>
      </c>
      <c r="P156" t="inlineStr">
        <is>
          <t>Jawa Timur</t>
        </is>
      </c>
      <c r="Q156" t="inlineStr"/>
    </row>
    <row r="157">
      <c r="A157" t="inlineStr">
        <is>
          <t>ASIA KARYA LESTARI</t>
        </is>
      </c>
      <c r="B157" t="inlineStr">
        <is>
          <t>Kota Tangerang</t>
        </is>
      </c>
      <c r="C157" t="inlineStr">
        <is>
          <t>081242498998</t>
        </is>
      </c>
      <c r="D157" t="inlineStr">
        <is>
          <t>asiakaryalestari@gmail.com</t>
        </is>
      </c>
      <c r="E157" t="inlineStr">
        <is>
          <t>https://lpjk.pu.go.id/search-badan-usaha-detail/WVpack9UOVJodFhZSjZDeG5CTWRmZz09</t>
        </is>
      </c>
      <c r="F157" t="n">
        <v>2</v>
      </c>
      <c r="G157" t="inlineStr">
        <is>
          <t>BG001, BG002</t>
        </is>
      </c>
      <c r="H157" t="inlineStr">
        <is>
          <t>25 Agustus 2023</t>
        </is>
      </c>
      <c r="I157" s="2" t="n">
        <v>46310</v>
      </c>
      <c r="J157" t="inlineStr">
        <is>
          <t>Disetujui</t>
        </is>
      </c>
      <c r="K157" t="n">
        <v>60</v>
      </c>
      <c r="L157" t="inlineStr">
        <is>
          <t>15 Oktober 2026</t>
        </is>
      </c>
      <c r="M157" t="inlineStr">
        <is>
          <t>Konstruksi Gedung Hunian, Konstruksi Gedung Perkantoran</t>
        </is>
      </c>
      <c r="N157" t="inlineStr">
        <is>
          <t>K</t>
        </is>
      </c>
      <c r="O157" t="inlineStr">
        <is>
          <t>20231012</t>
        </is>
      </c>
      <c r="P157" t="inlineStr">
        <is>
          <t>Banten</t>
        </is>
      </c>
      <c r="Q157" t="inlineStr"/>
    </row>
    <row r="158">
      <c r="A158" t="inlineStr">
        <is>
          <t>ASKA MULIA ANOPAMA</t>
        </is>
      </c>
      <c r="B158" t="inlineStr">
        <is>
          <t>Kab. Sleman</t>
        </is>
      </c>
      <c r="C158" t="inlineStr">
        <is>
          <t>02742851913</t>
        </is>
      </c>
      <c r="D158" t="inlineStr">
        <is>
          <t>admaskaanopama@gmail.com</t>
        </is>
      </c>
      <c r="E158" t="inlineStr">
        <is>
          <t>https://lpjk.pu.go.id/search-badan-usaha-detail/ajVmWmF1dEdNQVo3NThodWQ5bERrUT09</t>
        </is>
      </c>
      <c r="F158" t="n">
        <v>1</v>
      </c>
      <c r="G158" t="inlineStr">
        <is>
          <t>AR002</t>
        </is>
      </c>
      <c r="H158" t="inlineStr">
        <is>
          <t>22 Oktober 2014</t>
        </is>
      </c>
      <c r="I158" s="2" t="n">
        <v>46312</v>
      </c>
      <c r="J158" t="inlineStr">
        <is>
          <t>Disetujui</t>
        </is>
      </c>
      <c r="K158" t="n">
        <v>60</v>
      </c>
      <c r="L158" t="inlineStr">
        <is>
          <t>17 Oktober 2026</t>
        </is>
      </c>
      <c r="M158" t="inlineStr">
        <is>
          <t>Jasa Arsitektural Lainnya</t>
        </is>
      </c>
      <c r="N158" t="inlineStr">
        <is>
          <t>K</t>
        </is>
      </c>
      <c r="O158" t="inlineStr">
        <is>
          <t>20231010</t>
        </is>
      </c>
      <c r="P158" t="inlineStr">
        <is>
          <t>DI Yogyakarta</t>
        </is>
      </c>
      <c r="Q158" t="inlineStr"/>
    </row>
    <row r="159">
      <c r="A159" t="inlineStr">
        <is>
          <t>ASTANA JAYA</t>
        </is>
      </c>
      <c r="B159" t="inlineStr">
        <is>
          <t>Kab. Indramayu</t>
        </is>
      </c>
      <c r="C159" t="inlineStr">
        <is>
          <t>081320295924</t>
        </is>
      </c>
      <c r="D159" t="inlineStr">
        <is>
          <t>cv.astana.jaya@gmail.com</t>
        </is>
      </c>
      <c r="E159" t="inlineStr">
        <is>
          <t>https://lpjk.pu.go.id/search-badan-usaha-detail/SGpMcyt1b1lSNkdjUEN5S2drMklxdz09</t>
        </is>
      </c>
      <c r="F159" t="n">
        <v>4</v>
      </c>
      <c r="G159" t="inlineStr">
        <is>
          <t>BS001, BS005</t>
        </is>
      </c>
      <c r="H159" t="inlineStr">
        <is>
          <t>31 Januari 2005</t>
        </is>
      </c>
      <c r="I159" s="2" t="n">
        <v>46308</v>
      </c>
      <c r="J159" t="inlineStr">
        <is>
          <t>Disetujui</t>
        </is>
      </c>
      <c r="K159" t="n">
        <v>60</v>
      </c>
      <c r="L159" t="inlineStr">
        <is>
          <t>13 Oktober 2026</t>
        </is>
      </c>
      <c r="M159" t="inlineStr">
        <is>
          <t>Konstruksi Bangunan Sipil Jalan, Konstruksi Bangunan Sipil Pengolahan Air Bersih</t>
        </is>
      </c>
      <c r="N159" t="inlineStr">
        <is>
          <t>K</t>
        </is>
      </c>
      <c r="O159" t="inlineStr">
        <is>
          <t>20230915, 20231007</t>
        </is>
      </c>
      <c r="P159" t="inlineStr">
        <is>
          <t>Jawa Barat</t>
        </is>
      </c>
      <c r="Q159" t="inlineStr"/>
    </row>
    <row r="160">
      <c r="A160" t="inlineStr">
        <is>
          <t>ATA LABANA BERKARYA</t>
        </is>
      </c>
      <c r="B160" t="inlineStr">
        <is>
          <t>Kab. Bandung</t>
        </is>
      </c>
      <c r="C160" t="inlineStr">
        <is>
          <t>081290075798</t>
        </is>
      </c>
      <c r="D160" t="inlineStr">
        <is>
          <t>cv.atalabanaberkarya@gmail.com</t>
        </is>
      </c>
      <c r="E160" t="inlineStr">
        <is>
          <t>https://lpjk.pu.go.id/search-badan-usaha-detail/Z284NWZ4ZVdUU0JHMVk5VHhaOG1Gdz09</t>
        </is>
      </c>
      <c r="F160" t="n">
        <v>6</v>
      </c>
      <c r="G160" t="inlineStr">
        <is>
          <t>BG005, BG006, BG009, BS001, BS004, BS005</t>
        </is>
      </c>
      <c r="H160" t="inlineStr">
        <is>
          <t>2 Desember 2019</t>
        </is>
      </c>
      <c r="I160" s="2" t="n">
        <v>46308</v>
      </c>
      <c r="J160" t="inlineStr">
        <is>
          <t>Disetujui</t>
        </is>
      </c>
      <c r="K160" t="n">
        <v>60</v>
      </c>
      <c r="L160" t="inlineStr">
        <is>
          <t>13 Oktober 2026</t>
        </is>
      </c>
      <c r="M160" t="inlineStr">
        <is>
          <t>Konstruksi Bangunan Sipil Jalan, Konstruksi Bangunan Sipil Pengolahan Air Bersih, Konstruksi Gedung Kesehatan, Konstruksi Gedung Lainnya, Konstruksi Gedung Pendidikan, Konstruksi Jaringan Irigasi dan Drainase</t>
        </is>
      </c>
      <c r="N160" t="inlineStr">
        <is>
          <t>K</t>
        </is>
      </c>
      <c r="O160" t="inlineStr">
        <is>
          <t>20230828</t>
        </is>
      </c>
      <c r="P160" t="inlineStr">
        <is>
          <t>Jawa Barat</t>
        </is>
      </c>
      <c r="Q160" t="inlineStr"/>
    </row>
    <row r="161">
      <c r="A161" t="inlineStr">
        <is>
          <t>ATHARRAZKA MANDIRI BERSAMA</t>
        </is>
      </c>
      <c r="B161" t="inlineStr">
        <is>
          <t>Kab. Kutai Kartanegara</t>
        </is>
      </c>
      <c r="C161" t="inlineStr">
        <is>
          <t>085246237558</t>
        </is>
      </c>
      <c r="D161" t="inlineStr">
        <is>
          <t>cvatharazzkamandiribersama@gmail.com</t>
        </is>
      </c>
      <c r="E161" t="inlineStr">
        <is>
          <t>https://lpjk.pu.go.id/search-badan-usaha-detail/QnZQdFAyQ3gwR2RUQVhKTGdGU2tXdz09</t>
        </is>
      </c>
      <c r="F161" t="n">
        <v>1</v>
      </c>
      <c r="G161" t="inlineStr">
        <is>
          <t>BS004</t>
        </is>
      </c>
      <c r="H161" t="inlineStr">
        <is>
          <t>14 September 2023</t>
        </is>
      </c>
      <c r="I161" s="2" t="n">
        <v>46307</v>
      </c>
      <c r="J161" t="inlineStr">
        <is>
          <t>Disetujui</t>
        </is>
      </c>
      <c r="K161" t="n">
        <v>60</v>
      </c>
      <c r="L161" t="inlineStr">
        <is>
          <t>12 Oktober 2026</t>
        </is>
      </c>
      <c r="M161" t="inlineStr">
        <is>
          <t>Konstruksi Jaringan Irigasi dan Drainase</t>
        </is>
      </c>
      <c r="N161" t="inlineStr">
        <is>
          <t>K</t>
        </is>
      </c>
      <c r="O161" t="inlineStr">
        <is>
          <t>20231012</t>
        </is>
      </c>
      <c r="P161" t="inlineStr">
        <is>
          <t>Kalimantan Timur</t>
        </is>
      </c>
      <c r="Q161" t="inlineStr"/>
    </row>
    <row r="162">
      <c r="A162" t="inlineStr">
        <is>
          <t>AURA</t>
        </is>
      </c>
      <c r="B162" t="inlineStr">
        <is>
          <t>Kota Samarinda</t>
        </is>
      </c>
      <c r="C162" t="inlineStr">
        <is>
          <t>081283780827</t>
        </is>
      </c>
      <c r="D162" t="inlineStr">
        <is>
          <t>cv.aurasmd2018@gmail.com</t>
        </is>
      </c>
      <c r="E162" t="inlineStr">
        <is>
          <t>https://lpjk.pu.go.id/search-badan-usaha-detail/SFJuQWtUUVBsK25naytnTEl1NW5NQT09</t>
        </is>
      </c>
      <c r="F162" t="n">
        <v>1</v>
      </c>
      <c r="G162" t="inlineStr">
        <is>
          <t>BS004</t>
        </is>
      </c>
      <c r="H162" t="inlineStr">
        <is>
          <t>16 November 2018</t>
        </is>
      </c>
      <c r="I162" s="2" t="n">
        <v>46311</v>
      </c>
      <c r="J162" t="inlineStr">
        <is>
          <t>Disetujui</t>
        </is>
      </c>
      <c r="K162" t="n">
        <v>60</v>
      </c>
      <c r="L162" t="inlineStr">
        <is>
          <t>16 Oktober 2026</t>
        </is>
      </c>
      <c r="M162" t="inlineStr">
        <is>
          <t>Konstruksi Jaringan Irigasi dan Drainase</t>
        </is>
      </c>
      <c r="N162" t="inlineStr">
        <is>
          <t>K</t>
        </is>
      </c>
      <c r="O162" t="inlineStr">
        <is>
          <t>20231015</t>
        </is>
      </c>
      <c r="P162" t="inlineStr">
        <is>
          <t>Kalimantan Timur</t>
        </is>
      </c>
      <c r="Q162" t="inlineStr"/>
    </row>
    <row r="163">
      <c r="A163" t="inlineStr">
        <is>
          <t>AWAN INTAN KONSULTAN</t>
        </is>
      </c>
      <c r="B163" t="inlineStr">
        <is>
          <t>Kota Bandar Lampung</t>
        </is>
      </c>
      <c r="C163" t="inlineStr">
        <is>
          <t>081360704745</t>
        </is>
      </c>
      <c r="D163" t="inlineStr">
        <is>
          <t>awanintankonsultan@gmail.com</t>
        </is>
      </c>
      <c r="E163" t="inlineStr">
        <is>
          <t>https://lpjk.pu.go.id/search-badan-usaha-detail/a3ZoN055ZmdrRHZGdWx3cTZva0xjUT09</t>
        </is>
      </c>
      <c r="F163" t="n">
        <v>1</v>
      </c>
      <c r="G163" t="inlineStr">
        <is>
          <t>RK003</t>
        </is>
      </c>
      <c r="H163" t="inlineStr">
        <is>
          <t>31 Januari 2019</t>
        </is>
      </c>
      <c r="I163" s="2" t="n">
        <v>46312</v>
      </c>
      <c r="J163" t="inlineStr">
        <is>
          <t>Disetujui</t>
        </is>
      </c>
      <c r="K163" t="n">
        <v>60</v>
      </c>
      <c r="L163" t="inlineStr">
        <is>
          <t>17 Oktober 2026</t>
        </is>
      </c>
      <c r="M163" t="inlineStr">
        <is>
          <t>Jasa Rekayasa Pekerjaan Teknik Sipil Transportasi</t>
        </is>
      </c>
      <c r="N163" t="inlineStr">
        <is>
          <t>K</t>
        </is>
      </c>
      <c r="O163" t="inlineStr">
        <is>
          <t>20231006</t>
        </is>
      </c>
      <c r="P163" t="inlineStr">
        <is>
          <t>Lampung</t>
        </is>
      </c>
      <c r="Q163" t="inlineStr"/>
    </row>
    <row r="164">
      <c r="A164" t="inlineStr">
        <is>
          <t>AWETTE</t>
        </is>
      </c>
      <c r="B164" t="inlineStr">
        <is>
          <t>Kab. Jember</t>
        </is>
      </c>
      <c r="C164" t="inlineStr">
        <is>
          <t>081234554355</t>
        </is>
      </c>
      <c r="D164" t="inlineStr">
        <is>
          <t>awettejember@yahoo.co.id</t>
        </is>
      </c>
      <c r="E164" t="inlineStr">
        <is>
          <t>https://lpjk.pu.go.id/search-badan-usaha-detail/NzdjdVdoZHpzWDI4d1E2K01YWkN4dz09</t>
        </is>
      </c>
      <c r="F164" t="n">
        <v>2</v>
      </c>
      <c r="G164" t="inlineStr">
        <is>
          <t>BS001, BS005</t>
        </is>
      </c>
      <c r="H164" t="inlineStr">
        <is>
          <t>7 April 2004</t>
        </is>
      </c>
      <c r="I164" s="2" t="n">
        <v>46313</v>
      </c>
      <c r="J164" t="inlineStr">
        <is>
          <t>Disetujui</t>
        </is>
      </c>
      <c r="K164" t="n">
        <v>60</v>
      </c>
      <c r="L164" t="inlineStr">
        <is>
          <t>18 Oktober 2026</t>
        </is>
      </c>
      <c r="M164" t="inlineStr">
        <is>
          <t>Konstruksi Bangunan Sipil Jalan, Konstruksi Bangunan Sipil Pengolahan Air Bersih</t>
        </is>
      </c>
      <c r="N164" t="inlineStr">
        <is>
          <t>K</t>
        </is>
      </c>
      <c r="O164" t="inlineStr">
        <is>
          <t>20231013</t>
        </is>
      </c>
      <c r="P164" t="inlineStr">
        <is>
          <t>Jawa Timur</t>
        </is>
      </c>
      <c r="Q164" t="inlineStr"/>
    </row>
    <row r="165">
      <c r="A165" t="inlineStr">
        <is>
          <t>AYA KARYA MANDIRI</t>
        </is>
      </c>
      <c r="B165" t="inlineStr">
        <is>
          <t>Kab. Bandung</t>
        </is>
      </c>
      <c r="C165" t="inlineStr">
        <is>
          <t>081222208588</t>
        </is>
      </c>
      <c r="D165" t="inlineStr">
        <is>
          <t>cv.ayakaryamandiri@gmail.com</t>
        </is>
      </c>
      <c r="E165" t="inlineStr">
        <is>
          <t>https://lpjk.pu.go.id/search-badan-usaha-detail/clZTTUo4bjJ4cGF2WjJhL0V3RUhQUT09</t>
        </is>
      </c>
      <c r="F165" t="n">
        <v>1</v>
      </c>
      <c r="G165" t="inlineStr">
        <is>
          <t>BS001</t>
        </is>
      </c>
      <c r="H165" t="inlineStr">
        <is>
          <t>10 Agustus 2021</t>
        </is>
      </c>
      <c r="I165" s="2" t="n">
        <v>46311</v>
      </c>
      <c r="J165" t="inlineStr">
        <is>
          <t>Disetujui</t>
        </is>
      </c>
      <c r="K165" t="n">
        <v>60</v>
      </c>
      <c r="L165" t="inlineStr">
        <is>
          <t>16 Oktober 2026</t>
        </is>
      </c>
      <c r="M165" t="inlineStr">
        <is>
          <t>Konstruksi Bangunan Sipil Jalan</t>
        </is>
      </c>
      <c r="N165" t="inlineStr">
        <is>
          <t>K</t>
        </is>
      </c>
      <c r="O165" t="inlineStr">
        <is>
          <t>20231016</t>
        </is>
      </c>
      <c r="P165" t="inlineStr">
        <is>
          <t>Jawa Barat</t>
        </is>
      </c>
      <c r="Q165" t="inlineStr"/>
    </row>
    <row r="166">
      <c r="A166" t="inlineStr">
        <is>
          <t>AYU SUSILA KARYA</t>
        </is>
      </c>
      <c r="B166" t="inlineStr">
        <is>
          <t>Kab. Banyuwangi</t>
        </is>
      </c>
      <c r="C166" t="inlineStr">
        <is>
          <t>081358154982</t>
        </is>
      </c>
      <c r="D166" t="inlineStr">
        <is>
          <t>ayususilakarya@ymail.com</t>
        </is>
      </c>
      <c r="E166" t="inlineStr">
        <is>
          <t>https://lpjk.pu.go.id/search-badan-usaha-detail/cHlhQk1FMmtPN3UweU1nY1dLMlVXZz09</t>
        </is>
      </c>
      <c r="F166" t="n">
        <v>1</v>
      </c>
      <c r="G166" t="inlineStr">
        <is>
          <t>BS002</t>
        </is>
      </c>
      <c r="H166" t="inlineStr">
        <is>
          <t>23 Oktober 1990</t>
        </is>
      </c>
      <c r="I166" s="2" t="n">
        <v>46308</v>
      </c>
      <c r="J166" t="inlineStr">
        <is>
          <t>Disetujui</t>
        </is>
      </c>
      <c r="K166" t="n">
        <v>60</v>
      </c>
      <c r="L166" t="inlineStr">
        <is>
          <t>13 Oktober 2026</t>
        </is>
      </c>
      <c r="M166" t="inlineStr">
        <is>
          <t>Bangunan Sipil Jembatan, Jalan Layang, Fly Over, dan Underpass</t>
        </is>
      </c>
      <c r="N166" t="inlineStr">
        <is>
          <t>K</t>
        </is>
      </c>
      <c r="O166" t="inlineStr">
        <is>
          <t>20231009</t>
        </is>
      </c>
      <c r="P166" t="inlineStr">
        <is>
          <t>Jawa Timur</t>
        </is>
      </c>
      <c r="Q166" t="inlineStr"/>
    </row>
    <row r="167">
      <c r="A167" t="inlineStr">
        <is>
          <t>BAGASKARA PRATALA MANUNGGAL</t>
        </is>
      </c>
      <c r="B167" t="inlineStr">
        <is>
          <t>Kab. Klaten</t>
        </is>
      </c>
      <c r="C167" t="inlineStr">
        <is>
          <t>081270411196</t>
        </is>
      </c>
      <c r="D167" t="inlineStr">
        <is>
          <t>bagaskarapratalamanunggal@gmail.com</t>
        </is>
      </c>
      <c r="E167" t="inlineStr">
        <is>
          <t>https://lpjk.pu.go.id/search-badan-usaha-detail/aUdYalY1QTVJK3ptQUxua1NuNjdEQT09</t>
        </is>
      </c>
      <c r="F167" t="n">
        <v>2</v>
      </c>
      <c r="G167" t="inlineStr">
        <is>
          <t>BS001</t>
        </is>
      </c>
      <c r="H167" t="inlineStr">
        <is>
          <t>19 Januari 2015</t>
        </is>
      </c>
      <c r="I167" s="2" t="n">
        <v>46312</v>
      </c>
      <c r="J167" t="inlineStr">
        <is>
          <t>Pencabutan</t>
        </is>
      </c>
      <c r="K167" t="n">
        <v>60</v>
      </c>
      <c r="L167" t="inlineStr">
        <is>
          <t>17 Oktober 2026</t>
        </is>
      </c>
      <c r="M167" t="inlineStr">
        <is>
          <t>Konstruksi Bangunan Sipil Jalan</t>
        </is>
      </c>
      <c r="N167" t="inlineStr">
        <is>
          <t>B</t>
        </is>
      </c>
      <c r="O167" t="inlineStr">
        <is>
          <t>20231016</t>
        </is>
      </c>
      <c r="P167" t="inlineStr">
        <is>
          <t>Jawa Tengah</t>
        </is>
      </c>
      <c r="Q167" t="inlineStr"/>
    </row>
    <row r="168">
      <c r="A168" t="inlineStr">
        <is>
          <t>BAKTI PERTIWI</t>
        </is>
      </c>
      <c r="B168" t="inlineStr">
        <is>
          <t>Kab. Tulungagung</t>
        </is>
      </c>
      <c r="C168" t="inlineStr">
        <is>
          <t>081331521350</t>
        </is>
      </c>
      <c r="D168" t="inlineStr">
        <is>
          <t>bakti.pertiwi@yahoo.co.id</t>
        </is>
      </c>
      <c r="E168" t="inlineStr">
        <is>
          <t>https://lpjk.pu.go.id/search-badan-usaha-detail/VHRCK1ZkWnp4dldidTFrRFVwUG44Zz09</t>
        </is>
      </c>
      <c r="F168" t="n">
        <v>3</v>
      </c>
      <c r="G168" t="inlineStr">
        <is>
          <t>BS001, BS004, BS010</t>
        </is>
      </c>
      <c r="H168" t="inlineStr">
        <is>
          <t>12 Mei 2014</t>
        </is>
      </c>
      <c r="I168" s="2" t="n">
        <v>46308</v>
      </c>
      <c r="J168" t="inlineStr">
        <is>
          <t>Disetujui</t>
        </is>
      </c>
      <c r="K168" t="n">
        <v>60</v>
      </c>
      <c r="L168" t="inlineStr">
        <is>
          <t>13 Oktober 2026</t>
        </is>
      </c>
      <c r="M168" t="inlineStr">
        <is>
          <t>Konstruksi Bangunan Prasarana Sumber Daya Air, Konstruksi Bangunan Sipil Jalan, Konstruksi Jaringan Irigasi dan Drainase</t>
        </is>
      </c>
      <c r="N168" t="inlineStr">
        <is>
          <t>K</t>
        </is>
      </c>
      <c r="O168" t="inlineStr">
        <is>
          <t>20231013</t>
        </is>
      </c>
      <c r="P168" t="inlineStr">
        <is>
          <t>Jawa Timur</t>
        </is>
      </c>
      <c r="Q168" t="inlineStr"/>
    </row>
    <row r="169">
      <c r="A169" t="inlineStr">
        <is>
          <t>BALONG AGUNG</t>
        </is>
      </c>
      <c r="B169" t="inlineStr">
        <is>
          <t>Kab. Nganjuk</t>
        </is>
      </c>
      <c r="C169" t="inlineStr">
        <is>
          <t>081336016667</t>
        </is>
      </c>
      <c r="D169" t="inlineStr">
        <is>
          <t>cvbalongagung@gmail.com</t>
        </is>
      </c>
      <c r="E169" t="inlineStr">
        <is>
          <t>https://lpjk.pu.go.id/search-badan-usaha-detail/RkNiYUhWTm94M3BvL1BJc0d2Znpkdz09</t>
        </is>
      </c>
      <c r="F169" t="n">
        <v>1</v>
      </c>
      <c r="G169" t="inlineStr">
        <is>
          <t>BG009</t>
        </is>
      </c>
      <c r="H169" t="inlineStr">
        <is>
          <t>11 Maret 1981</t>
        </is>
      </c>
      <c r="I169" s="2" t="n">
        <v>46313</v>
      </c>
      <c r="J169" t="inlineStr">
        <is>
          <t>Disetujui</t>
        </is>
      </c>
      <c r="K169" t="n">
        <v>60</v>
      </c>
      <c r="L169" t="inlineStr">
        <is>
          <t>18 Oktober 2026</t>
        </is>
      </c>
      <c r="M169" t="inlineStr">
        <is>
          <t>Konstruksi Gedung Lainnya</t>
        </is>
      </c>
      <c r="N169" t="inlineStr">
        <is>
          <t>K</t>
        </is>
      </c>
      <c r="O169" t="inlineStr">
        <is>
          <t>20231017</t>
        </is>
      </c>
      <c r="P169" t="inlineStr">
        <is>
          <t>Jawa Timur</t>
        </is>
      </c>
      <c r="Q169" t="inlineStr"/>
    </row>
    <row r="170">
      <c r="A170" t="inlineStr">
        <is>
          <t>BALONG INSANI MAKMUR</t>
        </is>
      </c>
      <c r="B170" t="inlineStr">
        <is>
          <t>Kab. Bojonegoro</t>
        </is>
      </c>
      <c r="C170" t="inlineStr">
        <is>
          <t>085234618144</t>
        </is>
      </c>
      <c r="D170" t="inlineStr">
        <is>
          <t>cvbalonginsani@gmail.com</t>
        </is>
      </c>
      <c r="E170" t="inlineStr">
        <is>
          <t>https://lpjk.pu.go.id/search-badan-usaha-detail/cFI1dHp5RHdGNGp4VXF1YjRsdGNXdz09</t>
        </is>
      </c>
      <c r="F170" t="n">
        <v>4</v>
      </c>
      <c r="G170" t="inlineStr">
        <is>
          <t>BG001, BG005, BG006, BG009</t>
        </is>
      </c>
      <c r="H170" t="inlineStr">
        <is>
          <t>27 April 2023</t>
        </is>
      </c>
      <c r="I170" s="2" t="n">
        <v>46309</v>
      </c>
      <c r="J170" t="inlineStr">
        <is>
          <t>Disetujui</t>
        </is>
      </c>
      <c r="K170" t="n">
        <v>60</v>
      </c>
      <c r="L170" t="inlineStr">
        <is>
          <t>14 Oktober 2026</t>
        </is>
      </c>
      <c r="M170" t="inlineStr">
        <is>
          <t>Konstruksi Gedung Hunian, Konstruksi Gedung Kesehatan, Konstruksi Gedung Lainnya, Konstruksi Gedung Pendidikan</t>
        </is>
      </c>
      <c r="N170" t="inlineStr">
        <is>
          <t>K</t>
        </is>
      </c>
      <c r="O170" t="inlineStr">
        <is>
          <t>20231011, 20231014</t>
        </is>
      </c>
      <c r="P170" t="inlineStr">
        <is>
          <t>Jawa Timur</t>
        </is>
      </c>
      <c r="Q170" t="inlineStr"/>
    </row>
    <row r="171">
      <c r="A171" t="inlineStr">
        <is>
          <t>BALQIS</t>
        </is>
      </c>
      <c r="B171" t="inlineStr">
        <is>
          <t>Kab. Jepara</t>
        </is>
      </c>
      <c r="C171" t="inlineStr">
        <is>
          <t>089698995090</t>
        </is>
      </c>
      <c r="D171" t="inlineStr">
        <is>
          <t>cvbalqisjepara@gmail.com</t>
        </is>
      </c>
      <c r="E171" t="inlineStr">
        <is>
          <t>https://lpjk.pu.go.id/search-badan-usaha-detail/NUVyazdGdHN1RXVCRXVmYThQQTA2Zz09</t>
        </is>
      </c>
      <c r="F171" t="n">
        <v>1</v>
      </c>
      <c r="G171" t="inlineStr">
        <is>
          <t>BS006</t>
        </is>
      </c>
      <c r="H171" t="inlineStr">
        <is>
          <t>26 Desember 2015</t>
        </is>
      </c>
      <c r="I171" s="2" t="n">
        <v>46310</v>
      </c>
      <c r="J171" t="inlineStr">
        <is>
          <t>Disetujui</t>
        </is>
      </c>
      <c r="K171" t="n">
        <v>60</v>
      </c>
      <c r="L171" t="inlineStr">
        <is>
          <t>15 Oktober 2026</t>
        </is>
      </c>
      <c r="M171" t="inlineStr">
        <is>
          <t>Konstruksi Bangunan Sipil Prasarana dan Sarana Sistem Pengolahan Limbah Padat, Cair, dan Gas</t>
        </is>
      </c>
      <c r="N171" t="inlineStr">
        <is>
          <t>K</t>
        </is>
      </c>
      <c r="O171" t="inlineStr">
        <is>
          <t>20231016</t>
        </is>
      </c>
      <c r="P171" t="inlineStr">
        <is>
          <t>Jawa Tengah</t>
        </is>
      </c>
      <c r="Q171" t="inlineStr"/>
    </row>
    <row r="172">
      <c r="A172" t="inlineStr">
        <is>
          <t>BAMA PERKASA</t>
        </is>
      </c>
      <c r="B172" t="inlineStr">
        <is>
          <t>Kab. Banggai</t>
        </is>
      </c>
      <c r="C172" t="inlineStr">
        <is>
          <t>082345316535</t>
        </is>
      </c>
      <c r="D172" t="inlineStr">
        <is>
          <t>jusranali38@gmail.com</t>
        </is>
      </c>
      <c r="E172" t="inlineStr">
        <is>
          <t>https://lpjk.pu.go.id/search-badan-usaha-detail/MkJqMlozNnFER2F4a1JwSmxTSzF4dz09</t>
        </is>
      </c>
      <c r="F172" t="n">
        <v>3</v>
      </c>
      <c r="G172" t="inlineStr">
        <is>
          <t>BG006, BS004, BS010</t>
        </is>
      </c>
      <c r="H172" t="inlineStr">
        <is>
          <t>11 Agustus 2000</t>
        </is>
      </c>
      <c r="I172" s="2" t="n">
        <v>46308</v>
      </c>
      <c r="J172" t="inlineStr">
        <is>
          <t>Disetujui</t>
        </is>
      </c>
      <c r="K172" t="n">
        <v>60</v>
      </c>
      <c r="L172" t="inlineStr">
        <is>
          <t>13 Oktober 2026</t>
        </is>
      </c>
      <c r="M172" t="inlineStr">
        <is>
          <t>Konstruksi Bangunan Prasarana Sumber Daya Air, Konstruksi Gedung Pendidikan, Konstruksi Jaringan Irigasi dan Drainase</t>
        </is>
      </c>
      <c r="N172" t="inlineStr">
        <is>
          <t>K</t>
        </is>
      </c>
      <c r="O172" t="inlineStr">
        <is>
          <t>20231012</t>
        </is>
      </c>
      <c r="P172" t="inlineStr">
        <is>
          <t>Sulawesi Tengah</t>
        </is>
      </c>
      <c r="Q172" t="inlineStr"/>
    </row>
    <row r="173">
      <c r="A173" t="inlineStr">
        <is>
          <t>BAMBU APUS</t>
        </is>
      </c>
      <c r="B173" t="inlineStr">
        <is>
          <t>Kab. Boyolali</t>
        </is>
      </c>
      <c r="C173" t="inlineStr">
        <is>
          <t>08122587975</t>
        </is>
      </c>
      <c r="D173" t="inlineStr">
        <is>
          <t>bambuapus.byl@gmail.com</t>
        </is>
      </c>
      <c r="E173" t="inlineStr">
        <is>
          <t>https://lpjk.pu.go.id/search-badan-usaha-detail/QUxTTzBSUGE1SnpjMGpTZGFocW9ZUT09</t>
        </is>
      </c>
      <c r="F173" t="n">
        <v>3</v>
      </c>
      <c r="G173" t="inlineStr">
        <is>
          <t>BG005, BG006, BG009</t>
        </is>
      </c>
      <c r="H173" t="inlineStr">
        <is>
          <t>7 September 2022</t>
        </is>
      </c>
      <c r="I173" s="2" t="n">
        <v>46308</v>
      </c>
      <c r="J173" t="inlineStr">
        <is>
          <t>Pencabutan</t>
        </is>
      </c>
      <c r="K173" t="n">
        <v>60</v>
      </c>
      <c r="L173" t="inlineStr">
        <is>
          <t>13 Oktober 2026</t>
        </is>
      </c>
      <c r="M173" t="inlineStr">
        <is>
          <t>Konstruksi Gedung Kesehatan, Konstruksi Gedung Lainnya, Konstruksi Gedung Pendidikan</t>
        </is>
      </c>
      <c r="N173" t="inlineStr">
        <is>
          <t>K</t>
        </is>
      </c>
      <c r="O173" t="inlineStr">
        <is>
          <t>20231009, 20231010</t>
        </is>
      </c>
      <c r="P173" t="inlineStr">
        <is>
          <t>Jawa Tengah</t>
        </is>
      </c>
      <c r="Q173" t="inlineStr"/>
    </row>
    <row r="174">
      <c r="A174" t="inlineStr">
        <is>
          <t>BANGKIT SAPUTRA</t>
        </is>
      </c>
      <c r="B174" t="inlineStr">
        <is>
          <t>Kab. Brebes</t>
        </is>
      </c>
      <c r="C174" t="inlineStr">
        <is>
          <t>085866664547</t>
        </is>
      </c>
      <c r="D174" t="inlineStr">
        <is>
          <t>cvbangkit1@gmail.com</t>
        </is>
      </c>
      <c r="E174" t="inlineStr">
        <is>
          <t>https://lpjk.pu.go.id/search-badan-usaha-detail/UXNPeGxMaE9ISDkzZzUwSlo2bHRtUT09</t>
        </is>
      </c>
      <c r="F174" t="n">
        <v>2</v>
      </c>
      <c r="G174" t="inlineStr">
        <is>
          <t>BS001, BS004</t>
        </is>
      </c>
      <c r="H174" t="inlineStr">
        <is>
          <t>28 Maret 2003</t>
        </is>
      </c>
      <c r="I174" s="2" t="n">
        <v>46313</v>
      </c>
      <c r="J174" t="inlineStr">
        <is>
          <t>Disetujui</t>
        </is>
      </c>
      <c r="K174" t="n">
        <v>60</v>
      </c>
      <c r="L174" t="inlineStr">
        <is>
          <t>18 Oktober 2026</t>
        </is>
      </c>
      <c r="M174" t="inlineStr">
        <is>
          <t>Konstruksi Bangunan Sipil Jalan, Konstruksi Jaringan Irigasi dan Drainase</t>
        </is>
      </c>
      <c r="N174" t="inlineStr">
        <is>
          <t>K</t>
        </is>
      </c>
      <c r="O174" t="inlineStr">
        <is>
          <t>20231016</t>
        </is>
      </c>
      <c r="P174" t="inlineStr">
        <is>
          <t>Jawa Tengah</t>
        </is>
      </c>
      <c r="Q174" t="inlineStr"/>
    </row>
    <row r="175">
      <c r="A175" t="inlineStr">
        <is>
          <t>BANGKIT SENTOSA JAYA</t>
        </is>
      </c>
      <c r="B175" t="inlineStr">
        <is>
          <t>Kab. Bojonegoro</t>
        </is>
      </c>
      <c r="C175" t="inlineStr">
        <is>
          <t>081335271338</t>
        </is>
      </c>
      <c r="D175" t="inlineStr">
        <is>
          <t>cvbangkitsetosajaya@gmail.com</t>
        </is>
      </c>
      <c r="E175" t="inlineStr">
        <is>
          <t>https://lpjk.pu.go.id/search-badan-usaha-detail/S3ZHNTNOcWRjSUtzRVhla2Z6THNJZz09</t>
        </is>
      </c>
      <c r="F175" t="n">
        <v>2</v>
      </c>
      <c r="G175" t="inlineStr">
        <is>
          <t>BS002, BS010</t>
        </is>
      </c>
      <c r="H175" t="inlineStr">
        <is>
          <t>4 September 2023</t>
        </is>
      </c>
      <c r="I175" s="2" t="n">
        <v>46313</v>
      </c>
      <c r="J175" t="inlineStr">
        <is>
          <t>Disetujui</t>
        </is>
      </c>
      <c r="K175" t="n">
        <v>60</v>
      </c>
      <c r="L175" t="inlineStr">
        <is>
          <t>18 Oktober 2026</t>
        </is>
      </c>
      <c r="M175" t="inlineStr">
        <is>
          <t>Bangunan Sipil Jembatan, Jalan Layang, Fly Over, dan Underpass, Konstruksi Bangunan Prasarana Sumber Daya Air</t>
        </is>
      </c>
      <c r="N175" t="inlineStr">
        <is>
          <t>K</t>
        </is>
      </c>
      <c r="O175" t="inlineStr">
        <is>
          <t>20231016</t>
        </is>
      </c>
      <c r="P175" t="inlineStr">
        <is>
          <t>Jawa Timur</t>
        </is>
      </c>
      <c r="Q175" t="inlineStr"/>
    </row>
    <row r="176">
      <c r="A176" t="inlineStr">
        <is>
          <t>BANGUN GAGAS KARYATAMA</t>
        </is>
      </c>
      <c r="B176" t="inlineStr">
        <is>
          <t>Kota Tangerang Selatan</t>
        </is>
      </c>
      <c r="C176" t="inlineStr">
        <is>
          <t>0217365963</t>
        </is>
      </c>
      <c r="D176" t="inlineStr">
        <is>
          <t>bagas.associates@gmail.com</t>
        </is>
      </c>
      <c r="E176" t="inlineStr">
        <is>
          <t>https://lpjk.pu.go.id/search-badan-usaha-detail/NXE3dEpVM1V5a3FnZVRGcmFXTEpIUT09</t>
        </is>
      </c>
      <c r="F176" t="n">
        <v>1</v>
      </c>
      <c r="G176" t="inlineStr">
        <is>
          <t>AR001</t>
        </is>
      </c>
      <c r="H176" t="inlineStr">
        <is>
          <t>30 Oktober 2003</t>
        </is>
      </c>
      <c r="I176" s="2" t="n">
        <v>46312</v>
      </c>
      <c r="J176" t="inlineStr">
        <is>
          <t>Disetujui</t>
        </is>
      </c>
      <c r="K176" t="n">
        <v>60</v>
      </c>
      <c r="L176" t="inlineStr">
        <is>
          <t>17 Oktober 2026</t>
        </is>
      </c>
      <c r="M176" t="inlineStr">
        <is>
          <t>Jasa Arsitektural Bangunan Gedung Hunian dan Non Hunian</t>
        </is>
      </c>
      <c r="N176" t="inlineStr">
        <is>
          <t>K</t>
        </is>
      </c>
      <c r="O176" t="inlineStr">
        <is>
          <t>20230911</t>
        </is>
      </c>
      <c r="P176" t="inlineStr">
        <is>
          <t>Banten</t>
        </is>
      </c>
      <c r="Q176" t="inlineStr"/>
    </row>
    <row r="177">
      <c r="A177" t="inlineStr">
        <is>
          <t>BANGUN KARYA PERKASA JAYA</t>
        </is>
      </c>
      <c r="B177" t="inlineStr">
        <is>
          <t>Kota Surabaya</t>
        </is>
      </c>
      <c r="C177" t="inlineStr">
        <is>
          <t>082230570908</t>
        </is>
      </c>
      <c r="D177" t="inlineStr">
        <is>
          <t>pt_bkpjaya@yahoo.com</t>
        </is>
      </c>
      <c r="E177" t="inlineStr">
        <is>
          <t>https://lpjk.pu.go.id/search-badan-usaha-detail/dG5iUFJFaWdzKzZBS1pOQ1FRbnpJdz09</t>
        </is>
      </c>
      <c r="F177" t="n">
        <v>1</v>
      </c>
      <c r="G177" t="inlineStr">
        <is>
          <t>BS004</t>
        </is>
      </c>
      <c r="H177" t="inlineStr">
        <is>
          <t>7 Januari 2007</t>
        </is>
      </c>
      <c r="I177" s="2" t="n">
        <v>46307</v>
      </c>
      <c r="J177" t="inlineStr">
        <is>
          <t>Disetujui</t>
        </is>
      </c>
      <c r="K177" t="n">
        <v>60</v>
      </c>
      <c r="L177" t="inlineStr">
        <is>
          <t>12 Oktober 2026</t>
        </is>
      </c>
      <c r="M177" t="inlineStr">
        <is>
          <t>Konstruksi Jaringan Irigasi dan Drainase</t>
        </is>
      </c>
      <c r="N177" t="inlineStr">
        <is>
          <t>K</t>
        </is>
      </c>
      <c r="O177" t="inlineStr">
        <is>
          <t>20231009</t>
        </is>
      </c>
      <c r="P177" t="inlineStr">
        <is>
          <t>Jawa Timur</t>
        </is>
      </c>
      <c r="Q177" t="inlineStr"/>
    </row>
    <row r="178">
      <c r="A178" t="inlineStr">
        <is>
          <t>BANGUN KINARYA CONSULTANT</t>
        </is>
      </c>
      <c r="B178" t="inlineStr">
        <is>
          <t>Kab. Berau</t>
        </is>
      </c>
      <c r="C178" t="inlineStr">
        <is>
          <t>0811595667</t>
        </is>
      </c>
      <c r="D178" t="inlineStr">
        <is>
          <t>erwinanandalubis@yahoo.co.id</t>
        </is>
      </c>
      <c r="E178" t="inlineStr">
        <is>
          <t>https://lpjk.pu.go.id/search-badan-usaha-detail/MXJRRU1IM3Uzd0dKMXp5UmtkSjE4Zz09</t>
        </is>
      </c>
      <c r="F178" t="n">
        <v>4</v>
      </c>
      <c r="G178" t="inlineStr">
        <is>
          <t>RK001, RK002, RK003, RK005</t>
        </is>
      </c>
      <c r="H178" t="inlineStr">
        <is>
          <t>3 Februari 2003</t>
        </is>
      </c>
      <c r="I178" s="2" t="n">
        <v>46311</v>
      </c>
      <c r="J178" t="inlineStr">
        <is>
          <t>Disetujui</t>
        </is>
      </c>
      <c r="K178" t="n">
        <v>60</v>
      </c>
      <c r="L178" t="inlineStr">
        <is>
          <t>16 Oktober 2026</t>
        </is>
      </c>
      <c r="M178" t="inlineStr">
        <is>
          <t>Jasa Rekayasa Konstruksi Bangunan Gedung Hunian dan Non Hunian, Jasa Rekayasa Lainnya, Jasa Rekayasa Pekerjaan Teknik Sipil Sumber Daya Air, Jasa Rekayasa Pekerjaan Teknik Sipil Transportasi</t>
        </is>
      </c>
      <c r="N178" t="inlineStr">
        <is>
          <t>K</t>
        </is>
      </c>
      <c r="O178" t="inlineStr">
        <is>
          <t>20231012</t>
        </is>
      </c>
      <c r="P178" t="inlineStr">
        <is>
          <t>Kalimantan Timur</t>
        </is>
      </c>
      <c r="Q178" t="inlineStr"/>
    </row>
    <row r="179">
      <c r="A179" t="inlineStr">
        <is>
          <t>BANGUN PUTRA</t>
        </is>
      </c>
      <c r="B179" t="inlineStr">
        <is>
          <t>Kab. Kendal</t>
        </is>
      </c>
      <c r="C179" t="inlineStr">
        <is>
          <t>0294383667</t>
        </is>
      </c>
      <c r="D179" t="inlineStr">
        <is>
          <t>cvbangunputra12@gmail.com</t>
        </is>
      </c>
      <c r="E179" t="inlineStr">
        <is>
          <t>https://lpjk.pu.go.id/search-badan-usaha-detail/T05XbWZLS2tremN4aGVhUm1oZzJqUT09</t>
        </is>
      </c>
      <c r="F179" t="n">
        <v>2</v>
      </c>
      <c r="G179" t="inlineStr">
        <is>
          <t>BG009, BS001</t>
        </is>
      </c>
      <c r="H179" t="inlineStr">
        <is>
          <t>28 November 1998</t>
        </is>
      </c>
      <c r="I179" s="2" t="n">
        <v>46312</v>
      </c>
      <c r="J179" t="inlineStr">
        <is>
          <t>Disetujui</t>
        </is>
      </c>
      <c r="K179" t="n">
        <v>60</v>
      </c>
      <c r="L179" t="inlineStr">
        <is>
          <t>17 Oktober 2026</t>
        </is>
      </c>
      <c r="M179" t="inlineStr">
        <is>
          <t>Konstruksi Bangunan Sipil Jalan, Konstruksi Gedung Lainnya</t>
        </is>
      </c>
      <c r="N179" t="inlineStr">
        <is>
          <t>K</t>
        </is>
      </c>
      <c r="O179" t="inlineStr">
        <is>
          <t>20231017</t>
        </is>
      </c>
      <c r="P179" t="inlineStr">
        <is>
          <t>Jawa Tengah</t>
        </is>
      </c>
      <c r="Q179" t="inlineStr"/>
    </row>
    <row r="180">
      <c r="A180" t="inlineStr">
        <is>
          <t>BANGUN RUANG UTAMA</t>
        </is>
      </c>
      <c r="B180" t="inlineStr">
        <is>
          <t>Kota Adm. Jakarta Utara</t>
        </is>
      </c>
      <c r="C180" t="inlineStr">
        <is>
          <t>02156983345</t>
        </is>
      </c>
      <c r="D180" t="inlineStr">
        <is>
          <t>bangunruangutama@gmail.com</t>
        </is>
      </c>
      <c r="E180" t="inlineStr">
        <is>
          <t>https://lpjk.pu.go.id/search-badan-usaha-detail/ZFN6dTk2UWs4UUVtNi8rRmcyRW5SQT09</t>
        </is>
      </c>
      <c r="F180" t="n">
        <v>1</v>
      </c>
      <c r="G180" t="inlineStr">
        <is>
          <t>BG007</t>
        </is>
      </c>
      <c r="H180" t="inlineStr">
        <is>
          <t>4 April 2023</t>
        </is>
      </c>
      <c r="I180" s="2" t="n">
        <v>46313</v>
      </c>
      <c r="J180" t="inlineStr">
        <is>
          <t>Pencabutan</t>
        </is>
      </c>
      <c r="K180" t="n">
        <v>60</v>
      </c>
      <c r="L180" t="inlineStr">
        <is>
          <t>18 Oktober 2026</t>
        </is>
      </c>
      <c r="M180" t="inlineStr">
        <is>
          <t>Konstruksi Gedung Penginapan</t>
        </is>
      </c>
      <c r="N180" t="inlineStr">
        <is>
          <t>K</t>
        </is>
      </c>
      <c r="O180" t="inlineStr">
        <is>
          <t>20231013</t>
        </is>
      </c>
      <c r="P180" t="inlineStr">
        <is>
          <t>DKI Jakarta</t>
        </is>
      </c>
      <c r="Q180" t="inlineStr"/>
    </row>
    <row r="181">
      <c r="A181" t="inlineStr">
        <is>
          <t>BANGUN SEJAHTERA</t>
        </is>
      </c>
      <c r="B181" t="inlineStr">
        <is>
          <t>Kab. Nganjuk</t>
        </is>
      </c>
      <c r="C181" t="inlineStr">
        <is>
          <t>081359234569</t>
        </is>
      </c>
      <c r="D181" t="inlineStr">
        <is>
          <t>cvbangunsejahtera66@gmail.com</t>
        </is>
      </c>
      <c r="E181" t="inlineStr">
        <is>
          <t>https://lpjk.pu.go.id/search-badan-usaha-detail/eWZZV3VKeGRYYTNqTWdkbFhvdUtUQT09</t>
        </is>
      </c>
      <c r="F181" t="n">
        <v>5</v>
      </c>
      <c r="G181" t="inlineStr">
        <is>
          <t>BG005, BG008, BG009, BS001, BS005</t>
        </is>
      </c>
      <c r="H181" t="inlineStr">
        <is>
          <t>19 Januari 2015</t>
        </is>
      </c>
      <c r="I181" s="2" t="n">
        <v>46311</v>
      </c>
      <c r="J181" t="inlineStr">
        <is>
          <t>Disetujui</t>
        </is>
      </c>
      <c r="K181" t="n">
        <v>60</v>
      </c>
      <c r="L181" t="inlineStr">
        <is>
          <t>16 Oktober 2026</t>
        </is>
      </c>
      <c r="M181" t="inlineStr">
        <is>
          <t>Konstruksi Bangunan Sipil Jalan, Konstruksi Bangunan Sipil Pengolahan Air Bersih, Konstruksi Gedung Kesehatan, Konstruksi Gedung Lainnya, Konstruksi Gedung Tempat Hiburan dan Olahraga</t>
        </is>
      </c>
      <c r="N181" t="inlineStr">
        <is>
          <t>K</t>
        </is>
      </c>
      <c r="O181" t="inlineStr">
        <is>
          <t>20231013</t>
        </is>
      </c>
      <c r="P181" t="inlineStr">
        <is>
          <t>Jawa Timur</t>
        </is>
      </c>
      <c r="Q181" t="inlineStr"/>
    </row>
    <row r="182">
      <c r="A182" t="inlineStr">
        <is>
          <t>BANGUN TAMBAK ABADI</t>
        </is>
      </c>
      <c r="B182" t="inlineStr">
        <is>
          <t>Kota Bandung</t>
        </is>
      </c>
      <c r="C182" t="inlineStr">
        <is>
          <t>081369300616</t>
        </is>
      </c>
      <c r="D182" t="inlineStr">
        <is>
          <t>cvbanguntambak@gmail.com</t>
        </is>
      </c>
      <c r="E182" t="inlineStr">
        <is>
          <t>https://lpjk.pu.go.id/search-badan-usaha-detail/TzdpMmhhR1VES2hDeVJsSlhCLzhEZz09</t>
        </is>
      </c>
      <c r="F182" t="n">
        <v>1</v>
      </c>
      <c r="G182" t="inlineStr">
        <is>
          <t>BG009</t>
        </is>
      </c>
      <c r="H182" t="inlineStr">
        <is>
          <t>21 September 2023</t>
        </is>
      </c>
      <c r="I182" s="2" t="n">
        <v>46307</v>
      </c>
      <c r="J182" t="inlineStr">
        <is>
          <t>Disetujui</t>
        </is>
      </c>
      <c r="K182" t="n">
        <v>60</v>
      </c>
      <c r="L182" t="inlineStr">
        <is>
          <t>12 Oktober 2026</t>
        </is>
      </c>
      <c r="M182" t="inlineStr">
        <is>
          <t>Konstruksi Gedung Lainnya</t>
        </is>
      </c>
      <c r="N182" t="inlineStr">
        <is>
          <t>K</t>
        </is>
      </c>
      <c r="O182" t="inlineStr">
        <is>
          <t>20231009</t>
        </is>
      </c>
      <c r="P182" t="inlineStr">
        <is>
          <t>Jawa Barat</t>
        </is>
      </c>
      <c r="Q182" t="inlineStr"/>
    </row>
    <row r="183">
      <c r="A183" t="inlineStr">
        <is>
          <t>BANGUNINDO SEJATI</t>
        </is>
      </c>
      <c r="B183" t="inlineStr">
        <is>
          <t>Kota Makassar</t>
        </is>
      </c>
      <c r="C183" t="inlineStr">
        <is>
          <t>085237043005</t>
        </is>
      </c>
      <c r="D183" t="inlineStr">
        <is>
          <t>cv.bangunindosejati@gmail.com</t>
        </is>
      </c>
      <c r="E183" t="inlineStr">
        <is>
          <t>https://lpjk.pu.go.id/search-badan-usaha-detail/VUhTZzlqTHZNSTlwNGo2eUliQzlkQT09</t>
        </is>
      </c>
      <c r="F183" t="n">
        <v>3</v>
      </c>
      <c r="G183" t="inlineStr">
        <is>
          <t>BS001, BS004, BS010</t>
        </is>
      </c>
      <c r="H183" t="inlineStr">
        <is>
          <t>1 Agustus 2005</t>
        </is>
      </c>
      <c r="I183" s="2" t="n">
        <v>46308</v>
      </c>
      <c r="J183" t="inlineStr">
        <is>
          <t>Disetujui</t>
        </is>
      </c>
      <c r="K183" t="n">
        <v>60</v>
      </c>
      <c r="L183" t="inlineStr">
        <is>
          <t>13 Oktober 2026</t>
        </is>
      </c>
      <c r="M183" t="inlineStr">
        <is>
          <t>Konstruksi Bangunan Prasarana Sumber Daya Air, Konstruksi Bangunan Sipil Jalan, Konstruksi Jaringan Irigasi dan Drainase</t>
        </is>
      </c>
      <c r="N183" t="inlineStr">
        <is>
          <t>K</t>
        </is>
      </c>
      <c r="O183" t="inlineStr">
        <is>
          <t>20230912, 20230914</t>
        </is>
      </c>
      <c r="P183" t="inlineStr">
        <is>
          <t>Sulawesi Selatan</t>
        </is>
      </c>
      <c r="Q183" t="inlineStr"/>
    </row>
    <row r="184">
      <c r="A184" t="inlineStr">
        <is>
          <t>BANUA JAYA PERDANA</t>
        </is>
      </c>
      <c r="B184" t="inlineStr">
        <is>
          <t>Kota Banjarmasin</t>
        </is>
      </c>
      <c r="C184" t="inlineStr">
        <is>
          <t>085249786789</t>
        </is>
      </c>
      <c r="D184" t="inlineStr">
        <is>
          <t>cv.banuajayaperdana@gmail.com</t>
        </is>
      </c>
      <c r="E184" t="inlineStr">
        <is>
          <t>https://lpjk.pu.go.id/search-badan-usaha-detail/S0tieURlNy8yUm1WMnJDUGw4UlhDQT09</t>
        </is>
      </c>
      <c r="F184" t="n">
        <v>3</v>
      </c>
      <c r="G184" t="inlineStr">
        <is>
          <t>BS001, BS004, BS010</t>
        </is>
      </c>
      <c r="H184" t="inlineStr">
        <is>
          <t>7 September 2023</t>
        </is>
      </c>
      <c r="I184" s="2" t="n">
        <v>46310</v>
      </c>
      <c r="J184" t="inlineStr">
        <is>
          <t>Disetujui</t>
        </is>
      </c>
      <c r="K184" t="n">
        <v>60</v>
      </c>
      <c r="L184" t="inlineStr">
        <is>
          <t>15 Oktober 2026</t>
        </is>
      </c>
      <c r="M184" t="inlineStr">
        <is>
          <t>Konstruksi Bangunan Prasarana Sumber Daya Air, Konstruksi Bangunan Sipil Jalan, Konstruksi Jaringan Irigasi dan Drainase</t>
        </is>
      </c>
      <c r="N184" t="inlineStr">
        <is>
          <t>K</t>
        </is>
      </c>
      <c r="O184" t="inlineStr">
        <is>
          <t>20231014, 20231016</t>
        </is>
      </c>
      <c r="P184" t="inlineStr">
        <is>
          <t>Kalimantan Selatan</t>
        </is>
      </c>
      <c r="Q184" t="inlineStr"/>
    </row>
    <row r="185">
      <c r="A185" t="inlineStr">
        <is>
          <t>BAROKAH BANGUN TECHNIK</t>
        </is>
      </c>
      <c r="B185" t="inlineStr">
        <is>
          <t>Kota Samarinda</t>
        </is>
      </c>
      <c r="C185" t="inlineStr">
        <is>
          <t>081350186400</t>
        </is>
      </c>
      <c r="D185" t="inlineStr">
        <is>
          <t>barokahbangun_technik@yahoo.com</t>
        </is>
      </c>
      <c r="E185" t="inlineStr">
        <is>
          <t>https://lpjk.pu.go.id/search-badan-usaha-detail/YUxuZURvRGY4OVNIS1UwUUJLTVRSdz09</t>
        </is>
      </c>
      <c r="F185" t="n">
        <v>2</v>
      </c>
      <c r="G185" t="inlineStr">
        <is>
          <t>BS017</t>
        </is>
      </c>
      <c r="H185" t="inlineStr">
        <is>
          <t>14 Oktober 2016</t>
        </is>
      </c>
      <c r="I185" s="2" t="n">
        <v>46313</v>
      </c>
      <c r="J185" t="inlineStr">
        <is>
          <t>Disetujui</t>
        </is>
      </c>
      <c r="K185" t="n">
        <v>60</v>
      </c>
      <c r="L185" t="inlineStr">
        <is>
          <t>18 Oktober 2026</t>
        </is>
      </c>
      <c r="M185" t="inlineStr">
        <is>
          <t>Konstruksi Bangunan Sipil Lainnya Ytdl</t>
        </is>
      </c>
      <c r="N185" t="inlineStr">
        <is>
          <t>K</t>
        </is>
      </c>
      <c r="O185" t="inlineStr">
        <is>
          <t>20231017</t>
        </is>
      </c>
      <c r="P185" t="inlineStr">
        <is>
          <t>Kalimantan Timur</t>
        </is>
      </c>
      <c r="Q185" t="inlineStr"/>
    </row>
    <row r="186">
      <c r="A186" t="inlineStr">
        <is>
          <t>BATARA GADA JAYA</t>
        </is>
      </c>
      <c r="B186" t="inlineStr">
        <is>
          <t>Kab. Kutai Kartanegara</t>
        </is>
      </c>
      <c r="C186" t="inlineStr">
        <is>
          <t>081253086818</t>
        </is>
      </c>
      <c r="D186" t="inlineStr">
        <is>
          <t>cvbataragadajaya@gmail.com</t>
        </is>
      </c>
      <c r="E186" t="inlineStr">
        <is>
          <t>https://lpjk.pu.go.id/search-badan-usaha-detail/TXV6NXBLcGlENmRKRm1Jd2RPN2NIdz09</t>
        </is>
      </c>
      <c r="F186" t="n">
        <v>1</v>
      </c>
      <c r="G186" t="inlineStr">
        <is>
          <t>BS001</t>
        </is>
      </c>
      <c r="H186" t="inlineStr">
        <is>
          <t>1 September 2023</t>
        </is>
      </c>
      <c r="I186" s="2" t="n">
        <v>46312</v>
      </c>
      <c r="J186" t="inlineStr">
        <is>
          <t>Disetujui</t>
        </is>
      </c>
      <c r="K186" t="n">
        <v>60</v>
      </c>
      <c r="L186" t="inlineStr">
        <is>
          <t>17 Oktober 2026</t>
        </is>
      </c>
      <c r="M186" t="inlineStr">
        <is>
          <t>Konstruksi Bangunan Sipil Jalan</t>
        </is>
      </c>
      <c r="N186" t="inlineStr">
        <is>
          <t>K</t>
        </is>
      </c>
      <c r="O186" t="inlineStr">
        <is>
          <t>20231013</t>
        </is>
      </c>
      <c r="P186" t="inlineStr">
        <is>
          <t>Kalimantan Timur</t>
        </is>
      </c>
      <c r="Q186" t="inlineStr"/>
    </row>
    <row r="187">
      <c r="A187" t="inlineStr">
        <is>
          <t>BATURAJA INDAH SARANA</t>
        </is>
      </c>
      <c r="B187" t="inlineStr">
        <is>
          <t>Kab. Ogan Komering Ulu</t>
        </is>
      </c>
      <c r="C187" t="inlineStr">
        <is>
          <t>0</t>
        </is>
      </c>
      <c r="D187" t="inlineStr">
        <is>
          <t>baturajasarana@gmail.com</t>
        </is>
      </c>
      <c r="E187" t="inlineStr">
        <is>
          <t>https://lpjk.pu.go.id/search-badan-usaha-detail/OWNCUzZlckFDUnNBbThpYnlaZjVuZz09</t>
        </is>
      </c>
      <c r="F187" t="n">
        <v>6</v>
      </c>
      <c r="G187" t="inlineStr">
        <is>
          <t>BG006, BG009</t>
        </is>
      </c>
      <c r="H187" t="inlineStr">
        <is>
          <t>15 Januari 2001</t>
        </is>
      </c>
      <c r="I187" s="2" t="n">
        <v>46307</v>
      </c>
      <c r="J187" t="inlineStr">
        <is>
          <t>Disetujui</t>
        </is>
      </c>
      <c r="K187" t="n">
        <v>60</v>
      </c>
      <c r="L187" t="inlineStr">
        <is>
          <t>12 Oktober 2026</t>
        </is>
      </c>
      <c r="M187" t="inlineStr">
        <is>
          <t>Konstruksi Gedung Lainnya, Konstruksi Gedung Pendidikan</t>
        </is>
      </c>
      <c r="N187" t="inlineStr">
        <is>
          <t>K</t>
        </is>
      </c>
      <c r="O187" t="inlineStr">
        <is>
          <t>20231010</t>
        </is>
      </c>
      <c r="P187" t="inlineStr">
        <is>
          <t>Sumatera Selatan</t>
        </is>
      </c>
      <c r="Q187" t="inlineStr"/>
    </row>
    <row r="188">
      <c r="A188" t="inlineStr">
        <is>
          <t>BAYURINI</t>
        </is>
      </c>
      <c r="B188" t="inlineStr">
        <is>
          <t>Kota Adm. Jakarta Barat</t>
        </is>
      </c>
      <c r="C188" t="inlineStr">
        <is>
          <t>021456548</t>
        </is>
      </c>
      <c r="D188" t="inlineStr">
        <is>
          <t>bayurini422@gmail.com</t>
        </is>
      </c>
      <c r="E188" t="inlineStr">
        <is>
          <t>https://lpjk.pu.go.id/search-badan-usaha-detail/RG9UZ1hyQ3B4K0hpVGNFcWYrM3FNdz09</t>
        </is>
      </c>
      <c r="F188" t="n">
        <v>2</v>
      </c>
      <c r="G188" t="inlineStr">
        <is>
          <t>BG001</t>
        </is>
      </c>
      <c r="H188" t="inlineStr">
        <is>
          <t>16 Agustus 2023</t>
        </is>
      </c>
      <c r="I188" s="2" t="n">
        <v>46312</v>
      </c>
      <c r="J188" t="inlineStr">
        <is>
          <t>Disetujui</t>
        </is>
      </c>
      <c r="K188" t="n">
        <v>60</v>
      </c>
      <c r="L188" t="inlineStr">
        <is>
          <t>17 Oktober 2026</t>
        </is>
      </c>
      <c r="M188" t="inlineStr">
        <is>
          <t>Konstruksi Gedung Hunian</t>
        </is>
      </c>
      <c r="N188" t="inlineStr">
        <is>
          <t>K</t>
        </is>
      </c>
      <c r="O188" t="inlineStr">
        <is>
          <t>20231009</t>
        </is>
      </c>
      <c r="P188" t="inlineStr">
        <is>
          <t>DKI Jakarta</t>
        </is>
      </c>
      <c r="Q188" t="inlineStr"/>
    </row>
    <row r="189">
      <c r="A189" t="inlineStr">
        <is>
          <t>BELKA CERIA PERSADA</t>
        </is>
      </c>
      <c r="B189" t="inlineStr">
        <is>
          <t>Kota Bandung</t>
        </is>
      </c>
      <c r="C189" t="inlineStr">
        <is>
          <t>02288880840</t>
        </is>
      </c>
      <c r="D189" t="inlineStr">
        <is>
          <t>belkaceriapersadapt@yahoo.com</t>
        </is>
      </c>
      <c r="E189" t="inlineStr">
        <is>
          <t>https://lpjk.pu.go.id/search-badan-usaha-detail/SEEvR3FjK3FJTURNWnpsWmJZbzY5dz09</t>
        </is>
      </c>
      <c r="F189" t="n">
        <v>4</v>
      </c>
      <c r="G189" t="inlineStr">
        <is>
          <t>BG002, BG005, BG009, BS004</t>
        </is>
      </c>
      <c r="H189" t="inlineStr">
        <is>
          <t>5 November 1994</t>
        </is>
      </c>
      <c r="I189" s="2" t="n">
        <v>46312</v>
      </c>
      <c r="J189" t="inlineStr">
        <is>
          <t>Disetujui</t>
        </is>
      </c>
      <c r="K189" t="n">
        <v>60</v>
      </c>
      <c r="L189" t="inlineStr">
        <is>
          <t>17 Oktober 2026</t>
        </is>
      </c>
      <c r="M189" t="inlineStr">
        <is>
          <t>Konstruksi Gedung Kesehatan, Konstruksi Gedung Lainnya, Konstruksi Gedung Perkantoran, Konstruksi Jaringan Irigasi dan Drainase</t>
        </is>
      </c>
      <c r="N189" t="inlineStr">
        <is>
          <t>K</t>
        </is>
      </c>
      <c r="O189" t="inlineStr">
        <is>
          <t>20231016, 20231017</t>
        </is>
      </c>
      <c r="P189" t="inlineStr">
        <is>
          <t>Jawa Barat</t>
        </is>
      </c>
      <c r="Q189" t="inlineStr"/>
    </row>
    <row r="190">
      <c r="A190" t="inlineStr">
        <is>
          <t>BELLAVEGA TERRA CONSULTANT</t>
        </is>
      </c>
      <c r="B190" t="inlineStr">
        <is>
          <t>Kota Pontianak</t>
        </is>
      </c>
      <c r="C190" t="inlineStr">
        <is>
          <t>085245772448</t>
        </is>
      </c>
      <c r="D190" t="inlineStr">
        <is>
          <t>bellavega.terra@gmail.com</t>
        </is>
      </c>
      <c r="E190" t="inlineStr">
        <is>
          <t>https://lpjk.pu.go.id/search-badan-usaha-detail/MTA2TWN0alVydFAxMHY5YjA5eGVYUT09</t>
        </is>
      </c>
      <c r="F190" t="n">
        <v>2</v>
      </c>
      <c r="G190" t="inlineStr">
        <is>
          <t>RK001, RK003</t>
        </is>
      </c>
      <c r="H190" t="inlineStr">
        <is>
          <t>24 Februari 2016</t>
        </is>
      </c>
      <c r="I190" s="2" t="n">
        <v>46312</v>
      </c>
      <c r="J190" t="inlineStr">
        <is>
          <t>Disetujui</t>
        </is>
      </c>
      <c r="K190" t="n">
        <v>60</v>
      </c>
      <c r="L190" t="inlineStr">
        <is>
          <t>17 Oktober 2026</t>
        </is>
      </c>
      <c r="M190" t="inlineStr">
        <is>
          <t>Jasa Rekayasa Konstruksi Bangunan Gedung Hunian dan Non Hunian, Jasa Rekayasa Pekerjaan Teknik Sipil Transportasi</t>
        </is>
      </c>
      <c r="N190" t="inlineStr">
        <is>
          <t>K</t>
        </is>
      </c>
      <c r="O190" t="inlineStr">
        <is>
          <t>20231006, 20231009</t>
        </is>
      </c>
      <c r="P190" t="inlineStr">
        <is>
          <t>Kalimantan Barat</t>
        </is>
      </c>
      <c r="Q190" t="inlineStr"/>
    </row>
    <row r="191">
      <c r="A191" t="inlineStr">
        <is>
          <t>BERKAH CAHAYA MAHABBAH</t>
        </is>
      </c>
      <c r="B191" t="inlineStr">
        <is>
          <t>Kab. Tapin</t>
        </is>
      </c>
      <c r="C191" t="inlineStr">
        <is>
          <t>085250913069</t>
        </is>
      </c>
      <c r="D191" t="inlineStr">
        <is>
          <t>cvberkahcahayamahabbah@gmail.com</t>
        </is>
      </c>
      <c r="E191" t="inlineStr">
        <is>
          <t>https://lpjk.pu.go.id/search-badan-usaha-detail/bnlyODZvd0libHR0R21JQmZIM09XZz09</t>
        </is>
      </c>
      <c r="F191" t="n">
        <v>12</v>
      </c>
      <c r="G191" t="inlineStr">
        <is>
          <t>BG006, BG009, BS001, BS002, BS004, BS010</t>
        </is>
      </c>
      <c r="H191" t="inlineStr">
        <is>
          <t>29 Agustus 2023</t>
        </is>
      </c>
      <c r="I191" s="2" t="n">
        <v>46307</v>
      </c>
      <c r="J191" t="inlineStr">
        <is>
          <t>Disetujui</t>
        </is>
      </c>
      <c r="K191" t="n">
        <v>60</v>
      </c>
      <c r="L191" t="inlineStr">
        <is>
          <t>12 Oktober 2026</t>
        </is>
      </c>
      <c r="M191" t="inlineStr">
        <is>
          <t>Bangunan Sipil Jembatan, Jalan Layang, Fly Over, dan Underpass, Konstruksi Bangunan Prasarana Sumber Daya Air, Konstruksi Bangunan Sipil Jalan, Konstruksi Gedung Lainnya, Konstruksi Gedung Pendidikan, Konstruksi Jaringan Irigasi dan Drainase</t>
        </is>
      </c>
      <c r="N191" t="inlineStr">
        <is>
          <t>K</t>
        </is>
      </c>
      <c r="O191" t="inlineStr">
        <is>
          <t>20230809, 20231013</t>
        </is>
      </c>
      <c r="P191" t="inlineStr">
        <is>
          <t>Kalimantan Selatan</t>
        </is>
      </c>
      <c r="Q191" t="inlineStr"/>
    </row>
    <row r="192">
      <c r="A192" t="inlineStr">
        <is>
          <t>BERKAH GAWI ABADI</t>
        </is>
      </c>
      <c r="B192" t="inlineStr">
        <is>
          <t>Kab. Barito Kuala</t>
        </is>
      </c>
      <c r="C192" t="inlineStr">
        <is>
          <t>081351357099</t>
        </is>
      </c>
      <c r="D192" t="inlineStr">
        <is>
          <t>abd.berkahgawi@yahoo.com</t>
        </is>
      </c>
      <c r="E192" t="inlineStr">
        <is>
          <t>https://lpjk.pu.go.id/search-badan-usaha-detail/WkNLNk5OaDVtK3dRb2dheGFnS0F3QT09</t>
        </is>
      </c>
      <c r="F192" t="n">
        <v>2</v>
      </c>
      <c r="G192" t="inlineStr">
        <is>
          <t>BG009</t>
        </is>
      </c>
      <c r="H192" t="inlineStr">
        <is>
          <t>1 September 2023</t>
        </is>
      </c>
      <c r="I192" s="2" t="n">
        <v>46313</v>
      </c>
      <c r="J192" t="inlineStr">
        <is>
          <t>Pencabutan</t>
        </is>
      </c>
      <c r="K192" t="n">
        <v>60</v>
      </c>
      <c r="L192" t="inlineStr">
        <is>
          <t>18 Oktober 2026</t>
        </is>
      </c>
      <c r="M192" t="inlineStr">
        <is>
          <t>Konstruksi Gedung Lainnya</t>
        </is>
      </c>
      <c r="N192" t="inlineStr">
        <is>
          <t>K</t>
        </is>
      </c>
      <c r="O192" t="inlineStr">
        <is>
          <t>20231019</t>
        </is>
      </c>
      <c r="P192" t="inlineStr">
        <is>
          <t>Kalimantan Selatan</t>
        </is>
      </c>
      <c r="Q192" t="inlineStr"/>
    </row>
    <row r="193">
      <c r="A193" t="inlineStr">
        <is>
          <t>BERKAH GEMILANG SAKTI</t>
        </is>
      </c>
      <c r="B193" t="inlineStr">
        <is>
          <t>Kota Palembang</t>
        </is>
      </c>
      <c r="C193" t="inlineStr">
        <is>
          <t>085273100123</t>
        </is>
      </c>
      <c r="D193" t="inlineStr">
        <is>
          <t>ptberkahgsakti@gmail.com</t>
        </is>
      </c>
      <c r="E193" t="inlineStr">
        <is>
          <t>https://lpjk.pu.go.id/search-badan-usaha-detail/SHhIZXVzd0FYOUJBcTRkQW02bEVkUT09</t>
        </is>
      </c>
      <c r="F193" t="n">
        <v>2</v>
      </c>
      <c r="G193" t="inlineStr">
        <is>
          <t>BS001</t>
        </is>
      </c>
      <c r="H193" t="inlineStr">
        <is>
          <t>15 Januari 2019</t>
        </is>
      </c>
      <c r="I193" s="2" t="n">
        <v>46311</v>
      </c>
      <c r="J193" t="inlineStr">
        <is>
          <t>Pencabutan</t>
        </is>
      </c>
      <c r="K193" t="n">
        <v>60</v>
      </c>
      <c r="L193" t="inlineStr">
        <is>
          <t>16 Oktober 2026</t>
        </is>
      </c>
      <c r="M193" t="inlineStr">
        <is>
          <t>Konstruksi Bangunan Sipil Jalan</t>
        </is>
      </c>
      <c r="N193" t="inlineStr">
        <is>
          <t>M</t>
        </is>
      </c>
      <c r="O193" t="inlineStr">
        <is>
          <t>20231012</t>
        </is>
      </c>
      <c r="P193" t="inlineStr">
        <is>
          <t>Sumatera Selatan</t>
        </is>
      </c>
      <c r="Q193" t="inlineStr"/>
    </row>
    <row r="194">
      <c r="A194" t="inlineStr">
        <is>
          <t>BERKAH ILAHI JAYATAMA</t>
        </is>
      </c>
      <c r="B194" t="inlineStr">
        <is>
          <t>Kab. Banjar</t>
        </is>
      </c>
      <c r="C194" t="inlineStr">
        <is>
          <t>083159532475</t>
        </is>
      </c>
      <c r="D194" t="inlineStr">
        <is>
          <t>mustikajayaprestasi74@gmail.com</t>
        </is>
      </c>
      <c r="E194" t="inlineStr">
        <is>
          <t>https://lpjk.pu.go.id/search-badan-usaha-detail/K0N5c0Y3Vml2N0I5TmJyZ054VW5DZz09</t>
        </is>
      </c>
      <c r="F194" t="n">
        <v>2</v>
      </c>
      <c r="G194" t="inlineStr">
        <is>
          <t>BG001</t>
        </is>
      </c>
      <c r="H194" t="inlineStr">
        <is>
          <t>28 Maret 2023</t>
        </is>
      </c>
      <c r="I194" s="2" t="n">
        <v>46313</v>
      </c>
      <c r="J194" t="inlineStr">
        <is>
          <t>Disetujui</t>
        </is>
      </c>
      <c r="K194" t="n">
        <v>60</v>
      </c>
      <c r="L194" t="inlineStr">
        <is>
          <t>18 Oktober 2026</t>
        </is>
      </c>
      <c r="M194" t="inlineStr">
        <is>
          <t>Konstruksi Gedung Hunian</t>
        </is>
      </c>
      <c r="N194" t="inlineStr">
        <is>
          <t>K</t>
        </is>
      </c>
      <c r="O194" t="inlineStr">
        <is>
          <t>20231016</t>
        </is>
      </c>
      <c r="P194" t="inlineStr">
        <is>
          <t>Kalimantan Selatan</t>
        </is>
      </c>
      <c r="Q194" t="inlineStr"/>
    </row>
    <row r="195">
      <c r="A195" t="inlineStr">
        <is>
          <t>BERKAH MANDIRI CONSULTANT</t>
        </is>
      </c>
      <c r="B195" t="inlineStr">
        <is>
          <t>Kota Samarinda</t>
        </is>
      </c>
      <c r="C195" t="inlineStr">
        <is>
          <t>082350859423</t>
        </is>
      </c>
      <c r="D195" t="inlineStr">
        <is>
          <t>berkahmandiriconsultant@gmail.com</t>
        </is>
      </c>
      <c r="E195" t="inlineStr">
        <is>
          <t>https://lpjk.pu.go.id/search-badan-usaha-detail/eGMxcFRCNjNHT3ZPcXFuTktnN2hsZz09</t>
        </is>
      </c>
      <c r="F195" t="n">
        <v>2</v>
      </c>
      <c r="G195" t="inlineStr">
        <is>
          <t>RK001</t>
        </is>
      </c>
      <c r="H195" t="inlineStr">
        <is>
          <t>17 Juni 2022</t>
        </is>
      </c>
      <c r="I195" s="2" t="n">
        <v>46312</v>
      </c>
      <c r="J195" t="inlineStr">
        <is>
          <t>Disetujui</t>
        </is>
      </c>
      <c r="K195" t="n">
        <v>60</v>
      </c>
      <c r="L195" t="inlineStr">
        <is>
          <t>17 Oktober 2026</t>
        </is>
      </c>
      <c r="M195" t="inlineStr">
        <is>
          <t>Jasa Rekayasa Konstruksi Bangunan Gedung Hunian dan Non Hunian</t>
        </is>
      </c>
      <c r="N195" t="inlineStr">
        <is>
          <t>K</t>
        </is>
      </c>
      <c r="O195" t="inlineStr">
        <is>
          <t>20230925</t>
        </is>
      </c>
      <c r="P195" t="inlineStr">
        <is>
          <t>Kalimantan Timur</t>
        </is>
      </c>
      <c r="Q195" t="inlineStr"/>
    </row>
    <row r="196">
      <c r="A196" t="inlineStr">
        <is>
          <t>BERKAH TENAGA MUDA</t>
        </is>
      </c>
      <c r="B196" t="inlineStr">
        <is>
          <t>Kab. Mojokerto</t>
        </is>
      </c>
      <c r="C196" t="inlineStr">
        <is>
          <t>081252214045</t>
        </is>
      </c>
      <c r="D196" t="inlineStr">
        <is>
          <t>cvberkahtenagamuda@gmail.com</t>
        </is>
      </c>
      <c r="E196" t="inlineStr">
        <is>
          <t>https://lpjk.pu.go.id/search-badan-usaha-detail/cGRqR1R3VnhNVnZhcW4rN25yc3kxQT09</t>
        </is>
      </c>
      <c r="F196" t="n">
        <v>2</v>
      </c>
      <c r="G196" t="inlineStr">
        <is>
          <t>BS001</t>
        </is>
      </c>
      <c r="H196" t="inlineStr">
        <is>
          <t>3 Agustus 2023</t>
        </is>
      </c>
      <c r="I196" s="2" t="n">
        <v>46312</v>
      </c>
      <c r="J196" t="inlineStr">
        <is>
          <t>Disetujui</t>
        </is>
      </c>
      <c r="K196" t="n">
        <v>60</v>
      </c>
      <c r="L196" t="inlineStr">
        <is>
          <t>17 Oktober 2026</t>
        </is>
      </c>
      <c r="M196" t="inlineStr">
        <is>
          <t>Konstruksi Bangunan Sipil Jalan</t>
        </is>
      </c>
      <c r="N196" t="inlineStr">
        <is>
          <t>K</t>
        </is>
      </c>
      <c r="O196" t="inlineStr">
        <is>
          <t>20231010</t>
        </is>
      </c>
      <c r="P196" t="inlineStr">
        <is>
          <t>Jawa Timur</t>
        </is>
      </c>
      <c r="Q196" t="inlineStr"/>
    </row>
    <row r="197">
      <c r="A197" t="inlineStr">
        <is>
          <t>BERKAT ABADI GROUP</t>
        </is>
      </c>
      <c r="B197" t="inlineStr">
        <is>
          <t>Kab. Tuban</t>
        </is>
      </c>
      <c r="C197" t="inlineStr">
        <is>
          <t>085779793788</t>
        </is>
      </c>
      <c r="D197" t="inlineStr">
        <is>
          <t>ptberkatabadigroup@gmail.com</t>
        </is>
      </c>
      <c r="E197" t="inlineStr">
        <is>
          <t>https://lpjk.pu.go.id/search-badan-usaha-detail/UThKZS9HTWlKek9ubUVSSW02YVRWUT09</t>
        </is>
      </c>
      <c r="F197" t="n">
        <v>6</v>
      </c>
      <c r="G197" t="inlineStr">
        <is>
          <t>BG003, BS002, BS004</t>
        </is>
      </c>
      <c r="H197" t="inlineStr">
        <is>
          <t>22 Agustus 2023</t>
        </is>
      </c>
      <c r="I197" s="2" t="n">
        <v>46312</v>
      </c>
      <c r="J197" t="inlineStr">
        <is>
          <t>Disetujui</t>
        </is>
      </c>
      <c r="K197" t="n">
        <v>60</v>
      </c>
      <c r="L197" t="inlineStr">
        <is>
          <t>17 Oktober 2026</t>
        </is>
      </c>
      <c r="M197" t="inlineStr">
        <is>
          <t>Bangunan Sipil Jembatan, Jalan Layang, Fly Over, dan Underpass, Konstruksi Gedung Industri, Konstruksi Jaringan Irigasi dan Drainase</t>
        </is>
      </c>
      <c r="N197" t="inlineStr">
        <is>
          <t>K</t>
        </is>
      </c>
      <c r="O197" t="inlineStr">
        <is>
          <t>20231017</t>
        </is>
      </c>
      <c r="P197" t="inlineStr">
        <is>
          <t>Jawa Timur</t>
        </is>
      </c>
      <c r="Q197" t="inlineStr"/>
    </row>
    <row r="198">
      <c r="A198" t="inlineStr">
        <is>
          <t>BERKAT ANUGERAH GRIYA USAHA SEJAHTERA</t>
        </is>
      </c>
      <c r="B198" t="inlineStr">
        <is>
          <t>Kota Makassar</t>
        </is>
      </c>
      <c r="C198" t="inlineStr">
        <is>
          <t>0811174478</t>
        </is>
      </c>
      <c r="D198" t="inlineStr">
        <is>
          <t>sanmarijj1208@yahoo.co.id</t>
        </is>
      </c>
      <c r="E198" t="inlineStr">
        <is>
          <t>https://lpjk.pu.go.id/search-badan-usaha-detail/dUlwM1JBdlhmaGNFWTF6RzAvOWJwZz09</t>
        </is>
      </c>
      <c r="F198" t="n">
        <v>2</v>
      </c>
      <c r="G198" t="inlineStr">
        <is>
          <t>BG001</t>
        </is>
      </c>
      <c r="H198" t="inlineStr">
        <is>
          <t>23 Mei 2014</t>
        </is>
      </c>
      <c r="I198" s="2" t="n">
        <v>46313</v>
      </c>
      <c r="J198" t="inlineStr">
        <is>
          <t>Disetujui</t>
        </is>
      </c>
      <c r="K198" t="n">
        <v>60</v>
      </c>
      <c r="L198" t="inlineStr">
        <is>
          <t>18 Oktober 2026</t>
        </is>
      </c>
      <c r="M198" t="inlineStr">
        <is>
          <t>Konstruksi Gedung Hunian</t>
        </is>
      </c>
      <c r="N198" t="inlineStr">
        <is>
          <t>K</t>
        </is>
      </c>
      <c r="O198" t="inlineStr">
        <is>
          <t>20230922</t>
        </is>
      </c>
      <c r="P198" t="inlineStr">
        <is>
          <t>Sulawesi Selatan</t>
        </is>
      </c>
      <c r="Q198" t="inlineStr"/>
    </row>
    <row r="199">
      <c r="A199" t="inlineStr">
        <is>
          <t>BERKAT BERSAUDARA BERLIMA SEJAHTERA</t>
        </is>
      </c>
      <c r="B199" t="inlineStr">
        <is>
          <t>Kab. Banjar</t>
        </is>
      </c>
      <c r="C199" t="inlineStr">
        <is>
          <t>08125009990</t>
        </is>
      </c>
      <c r="D199" t="inlineStr">
        <is>
          <t>berkatbersaudaraberlima@gmail.com</t>
        </is>
      </c>
      <c r="E199" t="inlineStr">
        <is>
          <t>https://lpjk.pu.go.id/search-badan-usaha-detail/TWRjN1pSRkp1cnZJNUxWQ1lqQmZJUT09</t>
        </is>
      </c>
      <c r="F199" t="n">
        <v>2</v>
      </c>
      <c r="G199" t="inlineStr">
        <is>
          <t>BG001</t>
        </is>
      </c>
      <c r="H199" t="inlineStr">
        <is>
          <t>6 September 2023</t>
        </is>
      </c>
      <c r="I199" s="2" t="n">
        <v>46308</v>
      </c>
      <c r="J199" t="inlineStr">
        <is>
          <t>Disetujui</t>
        </is>
      </c>
      <c r="K199" t="n">
        <v>60</v>
      </c>
      <c r="L199" t="inlineStr">
        <is>
          <t>13 Oktober 2026</t>
        </is>
      </c>
      <c r="M199" t="inlineStr">
        <is>
          <t>Konstruksi Gedung Hunian</t>
        </is>
      </c>
      <c r="N199" t="inlineStr">
        <is>
          <t>K</t>
        </is>
      </c>
      <c r="O199" t="inlineStr">
        <is>
          <t>20231009</t>
        </is>
      </c>
      <c r="P199" t="inlineStr">
        <is>
          <t>Kalimantan Selatan</t>
        </is>
      </c>
      <c r="Q199" t="inlineStr"/>
    </row>
    <row r="200">
      <c r="A200" t="inlineStr">
        <is>
          <t>BERKAT ENERGI MUTIARA</t>
        </is>
      </c>
      <c r="B200" t="inlineStr">
        <is>
          <t>Kota Palembang</t>
        </is>
      </c>
      <c r="C200" t="inlineStr">
        <is>
          <t>081373898697</t>
        </is>
      </c>
      <c r="D200" t="inlineStr">
        <is>
          <t>ptberkatenergimutiara@gmail.com</t>
        </is>
      </c>
      <c r="E200" t="inlineStr">
        <is>
          <t>https://lpjk.pu.go.id/search-badan-usaha-detail/UmljRFBvWnJ3L2gyMGFGek9GdGJrUT09</t>
        </is>
      </c>
      <c r="F200" t="n">
        <v>4</v>
      </c>
      <c r="G200" t="inlineStr">
        <is>
          <t>BG009, BS001</t>
        </is>
      </c>
      <c r="H200" t="inlineStr">
        <is>
          <t>16 Agustus 2022</t>
        </is>
      </c>
      <c r="I200" s="2" t="n">
        <v>46307</v>
      </c>
      <c r="J200" t="inlineStr">
        <is>
          <t>Disetujui</t>
        </is>
      </c>
      <c r="K200" t="n">
        <v>60</v>
      </c>
      <c r="L200" t="inlineStr">
        <is>
          <t>12 Oktober 2026</t>
        </is>
      </c>
      <c r="M200" t="inlineStr">
        <is>
          <t>Konstruksi Bangunan Sipil Jalan, Konstruksi Gedung Lainnya</t>
        </is>
      </c>
      <c r="N200" t="inlineStr">
        <is>
          <t>K</t>
        </is>
      </c>
      <c r="O200" t="inlineStr">
        <is>
          <t>20231013</t>
        </is>
      </c>
      <c r="P200" t="inlineStr">
        <is>
          <t>Sumatera Selatan</t>
        </is>
      </c>
      <c r="Q200" t="inlineStr"/>
    </row>
    <row r="201">
      <c r="A201" t="inlineStr">
        <is>
          <t>BERKAT POLBIN</t>
        </is>
      </c>
      <c r="B201" t="inlineStr">
        <is>
          <t>Kota Pematangsiantar</t>
        </is>
      </c>
      <c r="C201" t="inlineStr">
        <is>
          <t>082163381554</t>
        </is>
      </c>
      <c r="D201" t="inlineStr">
        <is>
          <t>cv.berkatpolbin@gmail.com</t>
        </is>
      </c>
      <c r="E201" t="inlineStr">
        <is>
          <t>https://lpjk.pu.go.id/search-badan-usaha-detail/RWh1UVMyazFuUjQ0ZXc3ME92VVVXUT09</t>
        </is>
      </c>
      <c r="F201" t="n">
        <v>8</v>
      </c>
      <c r="G201" t="inlineStr">
        <is>
          <t>BG005, BG006, BG009, BS001</t>
        </is>
      </c>
      <c r="H201" t="inlineStr">
        <is>
          <t>14 Februari 2023</t>
        </is>
      </c>
      <c r="I201" s="2" t="n">
        <v>46307</v>
      </c>
      <c r="J201" t="inlineStr">
        <is>
          <t>Disetujui</t>
        </is>
      </c>
      <c r="K201" t="n">
        <v>60</v>
      </c>
      <c r="L201" t="inlineStr">
        <is>
          <t>12 Oktober 2026</t>
        </is>
      </c>
      <c r="M201" t="inlineStr">
        <is>
          <t>Konstruksi Bangunan Sipil Jalan, Konstruksi Gedung Kesehatan, Konstruksi Gedung Lainnya, Konstruksi Gedung Pendidikan</t>
        </is>
      </c>
      <c r="N201" t="inlineStr">
        <is>
          <t>K</t>
        </is>
      </c>
      <c r="O201" t="inlineStr">
        <is>
          <t>20230505, 20230920</t>
        </is>
      </c>
      <c r="P201" t="inlineStr">
        <is>
          <t>Sumatera Utara</t>
        </is>
      </c>
      <c r="Q201" t="inlineStr"/>
    </row>
    <row r="202">
      <c r="A202" t="inlineStr">
        <is>
          <t>BERKAT SAHABAT</t>
        </is>
      </c>
      <c r="B202" t="inlineStr">
        <is>
          <t>Kab. Padang Lawas</t>
        </is>
      </c>
      <c r="C202" t="inlineStr">
        <is>
          <t>85296063333</t>
        </is>
      </c>
      <c r="D202" t="inlineStr">
        <is>
          <t>Mhd.isra@gmail.com</t>
        </is>
      </c>
      <c r="E202" t="inlineStr">
        <is>
          <t>https://lpjk.pu.go.id/search-badan-usaha-detail/N08zUUhUZWh1OHg3NllRQ2loeGovdz09</t>
        </is>
      </c>
      <c r="F202" t="n">
        <v>8</v>
      </c>
      <c r="G202" t="inlineStr">
        <is>
          <t>BG005, BG006, BG009, BS001</t>
        </is>
      </c>
      <c r="H202" t="inlineStr">
        <is>
          <t>9 Desember 2016</t>
        </is>
      </c>
      <c r="I202" s="2" t="n">
        <v>46308</v>
      </c>
      <c r="J202" t="inlineStr">
        <is>
          <t>Disetujui</t>
        </is>
      </c>
      <c r="K202" t="n">
        <v>60</v>
      </c>
      <c r="L202" t="inlineStr">
        <is>
          <t>13 Oktober 2026</t>
        </is>
      </c>
      <c r="M202" t="inlineStr">
        <is>
          <t>Konstruksi Bangunan Sipil Jalan, Konstruksi Gedung Kesehatan, Konstruksi Gedung Lainnya, Konstruksi Gedung Pendidikan</t>
        </is>
      </c>
      <c r="N202" t="inlineStr">
        <is>
          <t>K</t>
        </is>
      </c>
      <c r="O202" t="inlineStr">
        <is>
          <t>20231012</t>
        </is>
      </c>
      <c r="P202" t="inlineStr">
        <is>
          <t>Sumatera Utara</t>
        </is>
      </c>
      <c r="Q202" t="inlineStr"/>
    </row>
    <row r="203">
      <c r="A203" t="inlineStr">
        <is>
          <t>BERKAT SINAR PELANGI</t>
        </is>
      </c>
      <c r="B203" t="inlineStr">
        <is>
          <t>Kab. Kutai Timur</t>
        </is>
      </c>
      <c r="C203" t="inlineStr">
        <is>
          <t>081350634387</t>
        </is>
      </c>
      <c r="D203" t="inlineStr">
        <is>
          <t>cv.berkatsinarpelangi@gmail.com</t>
        </is>
      </c>
      <c r="E203" t="inlineStr">
        <is>
          <t>https://lpjk.pu.go.id/search-badan-usaha-detail/MytvR2RCWmVlWllXQ2NXc2FoNmlpZz09</t>
        </is>
      </c>
      <c r="F203" t="n">
        <v>8</v>
      </c>
      <c r="G203" t="inlineStr">
        <is>
          <t>BG006, BG009, BS001, BS004</t>
        </is>
      </c>
      <c r="H203" t="inlineStr">
        <is>
          <t>1 April 2008</t>
        </is>
      </c>
      <c r="I203" s="2" t="n">
        <v>46307</v>
      </c>
      <c r="J203" t="inlineStr">
        <is>
          <t>Disetujui</t>
        </is>
      </c>
      <c r="K203" t="n">
        <v>60</v>
      </c>
      <c r="L203" t="inlineStr">
        <is>
          <t>12 Oktober 2026</t>
        </is>
      </c>
      <c r="M203" t="inlineStr">
        <is>
          <t>Konstruksi Bangunan Sipil Jalan, Konstruksi Gedung Lainnya, Konstruksi Gedung Pendidikan, Konstruksi Jaringan Irigasi dan Drainase</t>
        </is>
      </c>
      <c r="N203" t="inlineStr">
        <is>
          <t>K</t>
        </is>
      </c>
      <c r="O203" t="inlineStr">
        <is>
          <t>20231010, 20231012</t>
        </is>
      </c>
      <c r="P203" t="inlineStr">
        <is>
          <t>Kalimantan Timur</t>
        </is>
      </c>
      <c r="Q203" t="inlineStr"/>
    </row>
    <row r="204">
      <c r="A204" t="inlineStr">
        <is>
          <t>BERLIAN</t>
        </is>
      </c>
      <c r="B204" t="inlineStr">
        <is>
          <t>Kab. Bojonegoro</t>
        </is>
      </c>
      <c r="C204" t="inlineStr">
        <is>
          <t>0353332404</t>
        </is>
      </c>
      <c r="D204" t="inlineStr">
        <is>
          <t>berlian_cv@ymail.com</t>
        </is>
      </c>
      <c r="E204" t="inlineStr">
        <is>
          <t>https://lpjk.pu.go.id/search-badan-usaha-detail/d3c2dzZUWW1KKzFGVXd0VkViOHJVQT09</t>
        </is>
      </c>
      <c r="F204" t="n">
        <v>1</v>
      </c>
      <c r="G204" t="inlineStr">
        <is>
          <t>BS001</t>
        </is>
      </c>
      <c r="H204" t="inlineStr">
        <is>
          <t>6 Desember 2001</t>
        </is>
      </c>
      <c r="I204" s="2" t="n">
        <v>46312</v>
      </c>
      <c r="J204" t="inlineStr">
        <is>
          <t>Disetujui</t>
        </is>
      </c>
      <c r="K204" t="n">
        <v>60</v>
      </c>
      <c r="L204" t="inlineStr">
        <is>
          <t>17 Oktober 2026</t>
        </is>
      </c>
      <c r="M204" t="inlineStr">
        <is>
          <t>Konstruksi Bangunan Sipil Jalan</t>
        </is>
      </c>
      <c r="N204" t="inlineStr">
        <is>
          <t>K</t>
        </is>
      </c>
      <c r="O204" t="inlineStr">
        <is>
          <t>20231011</t>
        </is>
      </c>
      <c r="P204" t="inlineStr">
        <is>
          <t>Jawa Timur</t>
        </is>
      </c>
      <c r="Q204" t="inlineStr"/>
    </row>
    <row r="205">
      <c r="A205" t="inlineStr">
        <is>
          <t>BERSAMA EKA MAS</t>
        </is>
      </c>
      <c r="B205" t="inlineStr">
        <is>
          <t>Kab. Aceh Tamiang</t>
        </is>
      </c>
      <c r="C205" t="inlineStr">
        <is>
          <t>085296008617</t>
        </is>
      </c>
      <c r="D205" t="inlineStr">
        <is>
          <t>cv.bersamaekamas@gmail.com</t>
        </is>
      </c>
      <c r="E205" t="inlineStr">
        <is>
          <t>https://lpjk.pu.go.id/search-badan-usaha-detail/RDFMTm5wSnZob0dOcWo4azMwd2JRQT09</t>
        </is>
      </c>
      <c r="F205" t="n">
        <v>1</v>
      </c>
      <c r="G205" t="inlineStr">
        <is>
          <t>BS001</t>
        </is>
      </c>
      <c r="H205" t="inlineStr">
        <is>
          <t>30 Desember 2013</t>
        </is>
      </c>
      <c r="I205" s="2" t="n">
        <v>46308</v>
      </c>
      <c r="J205" t="inlineStr">
        <is>
          <t>Disetujui</t>
        </is>
      </c>
      <c r="K205" t="n">
        <v>60</v>
      </c>
      <c r="L205" t="inlineStr">
        <is>
          <t>13 Oktober 2026</t>
        </is>
      </c>
      <c r="M205" t="inlineStr">
        <is>
          <t>Konstruksi Bangunan Sipil Jalan</t>
        </is>
      </c>
      <c r="N205" t="inlineStr">
        <is>
          <t>K</t>
        </is>
      </c>
      <c r="O205" t="inlineStr">
        <is>
          <t>20231007</t>
        </is>
      </c>
      <c r="P205" t="inlineStr">
        <is>
          <t>Aceh</t>
        </is>
      </c>
      <c r="Q205" t="inlineStr"/>
    </row>
    <row r="206">
      <c r="A206" t="inlineStr">
        <is>
          <t>BHAKTIMITRA BESAR INOFAM</t>
        </is>
      </c>
      <c r="B206" t="inlineStr">
        <is>
          <t>Kota Tangerang Selatan</t>
        </is>
      </c>
      <c r="C206" t="inlineStr">
        <is>
          <t>02153160529</t>
        </is>
      </c>
      <c r="D206" t="inlineStr">
        <is>
          <t>bhaktimitrainofam@gmail.com</t>
        </is>
      </c>
      <c r="E206" t="inlineStr">
        <is>
          <t>https://lpjk.pu.go.id/search-badan-usaha-detail/S2NGVVhtbDN5RnVMc2tZM3pidW5Ldz09</t>
        </is>
      </c>
      <c r="F206" t="n">
        <v>1</v>
      </c>
      <c r="G206" t="inlineStr">
        <is>
          <t>BG001</t>
        </is>
      </c>
      <c r="H206" t="inlineStr">
        <is>
          <t>21 Desember 2022</t>
        </is>
      </c>
      <c r="I206" s="2" t="n">
        <v>46312</v>
      </c>
      <c r="J206" t="inlineStr">
        <is>
          <t>Disetujui</t>
        </is>
      </c>
      <c r="K206" t="n">
        <v>60</v>
      </c>
      <c r="L206" t="inlineStr">
        <is>
          <t>17 Oktober 2026</t>
        </is>
      </c>
      <c r="M206" t="inlineStr">
        <is>
          <t>Konstruksi Gedung Hunian</t>
        </is>
      </c>
      <c r="N206" t="inlineStr">
        <is>
          <t>K</t>
        </is>
      </c>
      <c r="O206" t="inlineStr">
        <is>
          <t>20231018</t>
        </is>
      </c>
      <c r="P206" t="inlineStr">
        <is>
          <t>Banten</t>
        </is>
      </c>
      <c r="Q206" t="inlineStr"/>
    </row>
    <row r="207">
      <c r="A207" t="inlineStr">
        <is>
          <t>BHINNEKA CITRA PRIMA</t>
        </is>
      </c>
      <c r="B207" t="inlineStr">
        <is>
          <t>Kota Yogyakarta</t>
        </is>
      </c>
      <c r="C207" t="inlineStr">
        <is>
          <t>0274513977</t>
        </is>
      </c>
      <c r="D207" t="inlineStr">
        <is>
          <t>bcp_jogja@yahoo.com</t>
        </is>
      </c>
      <c r="E207" t="inlineStr">
        <is>
          <t>https://lpjk.pu.go.id/search-badan-usaha-detail/cEVFUkVUbGoyeXk4NlcvcHFwalcrZz09</t>
        </is>
      </c>
      <c r="F207" t="n">
        <v>2</v>
      </c>
      <c r="G207" t="inlineStr">
        <is>
          <t>BG001, BG004</t>
        </is>
      </c>
      <c r="H207" t="inlineStr">
        <is>
          <t>11 September 1990</t>
        </is>
      </c>
      <c r="I207" s="2" t="n">
        <v>46308</v>
      </c>
      <c r="J207" t="inlineStr">
        <is>
          <t>Disetujui</t>
        </is>
      </c>
      <c r="K207" t="n">
        <v>60</v>
      </c>
      <c r="L207" t="inlineStr">
        <is>
          <t>13 Oktober 2026</t>
        </is>
      </c>
      <c r="M207" t="inlineStr">
        <is>
          <t>Konstruksi Gedung Hunian, Konstruksi Gedung Perbelanjaan</t>
        </is>
      </c>
      <c r="N207" t="inlineStr">
        <is>
          <t>M</t>
        </is>
      </c>
      <c r="O207" t="inlineStr">
        <is>
          <t>20191230</t>
        </is>
      </c>
      <c r="P207" t="inlineStr">
        <is>
          <t>DI Yogyakarta</t>
        </is>
      </c>
      <c r="Q207" t="inlineStr"/>
    </row>
    <row r="208">
      <c r="A208" t="inlineStr">
        <is>
          <t>BHUMI PALA</t>
        </is>
      </c>
      <c r="B208" t="inlineStr">
        <is>
          <t>Kab. Banjarnegara</t>
        </is>
      </c>
      <c r="C208" t="inlineStr">
        <is>
          <t>085299350563</t>
        </is>
      </c>
      <c r="D208" t="inlineStr">
        <is>
          <t>bhumipala1@gmail.com</t>
        </is>
      </c>
      <c r="E208" t="inlineStr">
        <is>
          <t>https://lpjk.pu.go.id/search-badan-usaha-detail/a0lZLy9RbENrMG1sNVBsSGJSRmF5dz09</t>
        </is>
      </c>
      <c r="F208" t="n">
        <v>4</v>
      </c>
      <c r="G208" t="inlineStr">
        <is>
          <t>BG003, BG006, BG009</t>
        </is>
      </c>
      <c r="H208" t="inlineStr">
        <is>
          <t>4 April 2002</t>
        </is>
      </c>
      <c r="I208" s="2" t="n">
        <v>46307</v>
      </c>
      <c r="J208" t="inlineStr">
        <is>
          <t>Disetujui, Pencabutan</t>
        </is>
      </c>
      <c r="K208" t="n">
        <v>60</v>
      </c>
      <c r="L208" t="inlineStr">
        <is>
          <t>12 Oktober 2026</t>
        </is>
      </c>
      <c r="M208" t="inlineStr">
        <is>
          <t>Konstruksi Gedung Industri, Konstruksi Gedung Lainnya, Konstruksi Gedung Pendidikan</t>
        </is>
      </c>
      <c r="N208" t="inlineStr">
        <is>
          <t>K</t>
        </is>
      </c>
      <c r="O208" t="inlineStr">
        <is>
          <t>20231005, 20231010</t>
        </is>
      </c>
      <c r="P208" t="inlineStr">
        <is>
          <t>Jawa Tengah</t>
        </is>
      </c>
      <c r="Q208" t="inlineStr"/>
    </row>
    <row r="209">
      <c r="A209" t="inlineStr">
        <is>
          <t>BINA RAYA ABADI</t>
        </is>
      </c>
      <c r="B209" t="inlineStr">
        <is>
          <t>Kota Blitar</t>
        </is>
      </c>
      <c r="C209" t="inlineStr">
        <is>
          <t>08122231589</t>
        </is>
      </c>
      <c r="D209" t="inlineStr">
        <is>
          <t>binarayaabadi.cv@gmail.com</t>
        </is>
      </c>
      <c r="E209" t="inlineStr">
        <is>
          <t>https://lpjk.pu.go.id/search-badan-usaha-detail/cEU1UmZtZndPLzJGTGhHY2FnWGljQT09</t>
        </is>
      </c>
      <c r="F209" t="n">
        <v>3</v>
      </c>
      <c r="G209" t="inlineStr">
        <is>
          <t>BG005, BG006, BG009</t>
        </is>
      </c>
      <c r="H209" t="inlineStr">
        <is>
          <t>3 Januari 2022</t>
        </is>
      </c>
      <c r="I209" s="2" t="n">
        <v>46307</v>
      </c>
      <c r="J209" t="inlineStr">
        <is>
          <t>Disetujui</t>
        </is>
      </c>
      <c r="K209" t="n">
        <v>60</v>
      </c>
      <c r="L209" t="inlineStr">
        <is>
          <t>12 Oktober 2026</t>
        </is>
      </c>
      <c r="M209" t="inlineStr">
        <is>
          <t>Konstruksi Gedung Kesehatan, Konstruksi Gedung Lainnya, Konstruksi Gedung Pendidikan</t>
        </is>
      </c>
      <c r="N209" t="inlineStr">
        <is>
          <t>K</t>
        </is>
      </c>
      <c r="O209" t="inlineStr">
        <is>
          <t>20231013</t>
        </is>
      </c>
      <c r="P209" t="inlineStr">
        <is>
          <t>Jawa Timur</t>
        </is>
      </c>
      <c r="Q209" t="inlineStr"/>
    </row>
    <row r="210">
      <c r="A210" t="inlineStr">
        <is>
          <t>BINA SAHABAT SEJATI</t>
        </is>
      </c>
      <c r="B210" t="inlineStr">
        <is>
          <t>Kota Tangerang</t>
        </is>
      </c>
      <c r="C210" t="inlineStr">
        <is>
          <t>0215918575</t>
        </is>
      </c>
      <c r="D210" t="inlineStr">
        <is>
          <t>pt-bss@cbn.net.id</t>
        </is>
      </c>
      <c r="E210" t="inlineStr">
        <is>
          <t>https://lpjk.pu.go.id/search-badan-usaha-detail/NDRkQzdSNkl3ZmREdllYUXJ4Mkd0UT09</t>
        </is>
      </c>
      <c r="F210" t="n">
        <v>2</v>
      </c>
      <c r="G210" t="inlineStr">
        <is>
          <t>BG003, BG009</t>
        </is>
      </c>
      <c r="H210" t="inlineStr">
        <is>
          <t>4 Februari 2005</t>
        </is>
      </c>
      <c r="I210" s="2" t="n">
        <v>46312</v>
      </c>
      <c r="J210" t="inlineStr">
        <is>
          <t>Pencabutan</t>
        </is>
      </c>
      <c r="K210" t="n">
        <v>60</v>
      </c>
      <c r="L210" t="inlineStr">
        <is>
          <t>17 Oktober 2026</t>
        </is>
      </c>
      <c r="M210" t="inlineStr">
        <is>
          <t>Konstruksi Gedung Industri, Konstruksi Gedung Lainnya</t>
        </is>
      </c>
      <c r="N210" t="inlineStr">
        <is>
          <t>K</t>
        </is>
      </c>
      <c r="O210" t="inlineStr">
        <is>
          <t>20230905, 20231016</t>
        </is>
      </c>
      <c r="P210" t="inlineStr">
        <is>
          <t>Banten</t>
        </is>
      </c>
      <c r="Q210" t="inlineStr"/>
    </row>
    <row r="211">
      <c r="A211" t="inlineStr">
        <is>
          <t>BINANGUN TRI MITRA</t>
        </is>
      </c>
      <c r="B211" t="inlineStr">
        <is>
          <t>Kota Tangerang Selatan</t>
        </is>
      </c>
      <c r="C211" t="inlineStr">
        <is>
          <t>0811936722</t>
        </is>
      </c>
      <c r="D211" t="inlineStr">
        <is>
          <t>WISJWARA.BTM@GMAIL.COM</t>
        </is>
      </c>
      <c r="E211" t="inlineStr">
        <is>
          <t>https://lpjk.pu.go.id/search-badan-usaha-detail/UHIxc21NcEEraXg5R2VYV0puNW9Ydz09</t>
        </is>
      </c>
      <c r="F211" t="n">
        <v>2</v>
      </c>
      <c r="G211" t="inlineStr">
        <is>
          <t>BS017</t>
        </is>
      </c>
      <c r="H211" t="inlineStr">
        <is>
          <t>25 Agustus 2023</t>
        </is>
      </c>
      <c r="I211" s="2" t="n">
        <v>46308</v>
      </c>
      <c r="J211" t="inlineStr">
        <is>
          <t>Disetujui</t>
        </is>
      </c>
      <c r="K211" t="n">
        <v>60</v>
      </c>
      <c r="L211" t="inlineStr">
        <is>
          <t>13 Oktober 2026</t>
        </is>
      </c>
      <c r="M211" t="inlineStr">
        <is>
          <t>Konstruksi Bangunan Sipil Lainnya Ytdl</t>
        </is>
      </c>
      <c r="N211" t="inlineStr">
        <is>
          <t>K</t>
        </is>
      </c>
      <c r="O211" t="inlineStr">
        <is>
          <t>20231012</t>
        </is>
      </c>
      <c r="P211" t="inlineStr">
        <is>
          <t>Banten</t>
        </is>
      </c>
      <c r="Q211" t="inlineStr"/>
    </row>
    <row r="212">
      <c r="A212" t="inlineStr">
        <is>
          <t>BINTANG CREATIVE</t>
        </is>
      </c>
      <c r="B212" t="inlineStr">
        <is>
          <t>Kab. Pasaman Barat</t>
        </is>
      </c>
      <c r="C212" t="inlineStr">
        <is>
          <t>081270379540</t>
        </is>
      </c>
      <c r="D212" t="inlineStr">
        <is>
          <t>bintangcreativecv72@gmail.com</t>
        </is>
      </c>
      <c r="E212" t="inlineStr">
        <is>
          <t>https://lpjk.pu.go.id/search-badan-usaha-detail/Wm9ULzFuY2trZEIyZy9nZCtWREtCZz09</t>
        </is>
      </c>
      <c r="F212" t="n">
        <v>2</v>
      </c>
      <c r="G212" t="inlineStr">
        <is>
          <t>BS001</t>
        </is>
      </c>
      <c r="H212" t="inlineStr">
        <is>
          <t>27 Januari 2017</t>
        </is>
      </c>
      <c r="I212" s="2" t="n">
        <v>46308</v>
      </c>
      <c r="J212" t="inlineStr">
        <is>
          <t>Disetujui</t>
        </is>
      </c>
      <c r="K212" t="n">
        <v>60</v>
      </c>
      <c r="L212" t="inlineStr">
        <is>
          <t>13 Oktober 2026</t>
        </is>
      </c>
      <c r="M212" t="inlineStr">
        <is>
          <t>Konstruksi Bangunan Sipil Jalan</t>
        </is>
      </c>
      <c r="N212" t="inlineStr">
        <is>
          <t>K</t>
        </is>
      </c>
      <c r="O212" t="inlineStr">
        <is>
          <t>20231011</t>
        </is>
      </c>
      <c r="P212" t="inlineStr">
        <is>
          <t>Sumatera Barat</t>
        </is>
      </c>
      <c r="Q212" t="inlineStr"/>
    </row>
    <row r="213">
      <c r="A213" t="inlineStr">
        <is>
          <t>BINTANG CREATIVE ALUMINIUM</t>
        </is>
      </c>
      <c r="B213" t="inlineStr">
        <is>
          <t>Kab. Bulungan</t>
        </is>
      </c>
      <c r="C213" t="inlineStr">
        <is>
          <t>082350049605</t>
        </is>
      </c>
      <c r="D213" t="inlineStr">
        <is>
          <t>bintangcreativealuminium@gmail.com</t>
        </is>
      </c>
      <c r="E213" t="inlineStr">
        <is>
          <t>https://lpjk.pu.go.id/search-badan-usaha-detail/SkRyYXpxdXBnMG5qWG1WSFpxcTNBZz09</t>
        </is>
      </c>
      <c r="F213" t="n">
        <v>4</v>
      </c>
      <c r="G213" t="inlineStr">
        <is>
          <t>BG002, BG009</t>
        </is>
      </c>
      <c r="H213" t="inlineStr">
        <is>
          <t>16 Oktober 2015</t>
        </is>
      </c>
      <c r="I213" s="2" t="n">
        <v>46313</v>
      </c>
      <c r="J213" t="inlineStr">
        <is>
          <t>Disetujui</t>
        </is>
      </c>
      <c r="K213" t="n">
        <v>60</v>
      </c>
      <c r="L213" t="inlineStr">
        <is>
          <t>18 Oktober 2026</t>
        </is>
      </c>
      <c r="M213" t="inlineStr">
        <is>
          <t>Konstruksi Gedung Lainnya, Konstruksi Gedung Perkantoran</t>
        </is>
      </c>
      <c r="N213" t="inlineStr">
        <is>
          <t>K</t>
        </is>
      </c>
      <c r="O213" t="inlineStr">
        <is>
          <t>20231013, 20231017</t>
        </is>
      </c>
      <c r="P213" t="inlineStr">
        <is>
          <t>Kalimantan Utara</t>
        </is>
      </c>
      <c r="Q213" t="inlineStr"/>
    </row>
    <row r="214">
      <c r="A214" t="inlineStr">
        <is>
          <t>BINTANG JAYA</t>
        </is>
      </c>
      <c r="B214" t="inlineStr">
        <is>
          <t>Kab. Nganjuk</t>
        </is>
      </c>
      <c r="C214" t="inlineStr">
        <is>
          <t>085331487395</t>
        </is>
      </c>
      <c r="D214" t="inlineStr">
        <is>
          <t>cv_bintangj@yahoo.com</t>
        </is>
      </c>
      <c r="E214" t="inlineStr">
        <is>
          <t>https://lpjk.pu.go.id/search-badan-usaha-detail/ZTZZaWdOdmJtaE92SFFPS0NDQVU3dz09</t>
        </is>
      </c>
      <c r="F214" t="n">
        <v>6</v>
      </c>
      <c r="G214" t="inlineStr">
        <is>
          <t>BG005, BS001, BS002</t>
        </is>
      </c>
      <c r="H214" t="inlineStr">
        <is>
          <t>15 Juli 2003</t>
        </is>
      </c>
      <c r="I214" s="2" t="n">
        <v>46307</v>
      </c>
      <c r="J214" t="inlineStr">
        <is>
          <t>Disetujui</t>
        </is>
      </c>
      <c r="K214" t="n">
        <v>60</v>
      </c>
      <c r="L214" t="inlineStr">
        <is>
          <t>12 Oktober 2026</t>
        </is>
      </c>
      <c r="M214" t="inlineStr">
        <is>
          <t>Bangunan Sipil Jembatan, Jalan Layang, Fly Over, dan Underpass, Konstruksi Bangunan Sipil Jalan, Konstruksi Gedung Kesehatan</t>
        </is>
      </c>
      <c r="N214" t="inlineStr">
        <is>
          <t>K</t>
        </is>
      </c>
      <c r="O214" t="inlineStr">
        <is>
          <t>20231004, 20231007</t>
        </is>
      </c>
      <c r="P214" t="inlineStr">
        <is>
          <t>Jawa Timur</t>
        </is>
      </c>
      <c r="Q214" t="inlineStr"/>
    </row>
    <row r="215">
      <c r="A215" t="inlineStr">
        <is>
          <t>BINTANG MUARA GROUP</t>
        </is>
      </c>
      <c r="B215" t="inlineStr">
        <is>
          <t>Kota Adm. Jakarta Utara</t>
        </is>
      </c>
      <c r="C215" t="inlineStr">
        <is>
          <t>0214361606</t>
        </is>
      </c>
      <c r="D215" t="inlineStr">
        <is>
          <t>bintangmuarapjk@gmail.com</t>
        </is>
      </c>
      <c r="E215" t="inlineStr">
        <is>
          <t>https://lpjk.pu.go.id/search-badan-usaha-detail/UjJkSzNzaVUrYmpqVXAvOGhhbFh5UT09</t>
        </is>
      </c>
      <c r="F215" t="n">
        <v>2</v>
      </c>
      <c r="G215" t="inlineStr">
        <is>
          <t>BS001</t>
        </is>
      </c>
      <c r="H215" t="inlineStr">
        <is>
          <t>21 Mei 2003</t>
        </is>
      </c>
      <c r="I215" s="2" t="n">
        <v>46311</v>
      </c>
      <c r="J215" t="inlineStr">
        <is>
          <t>Pembekuan</t>
        </is>
      </c>
      <c r="K215" t="n">
        <v>60</v>
      </c>
      <c r="L215" t="inlineStr">
        <is>
          <t>16 Oktober 2026</t>
        </is>
      </c>
      <c r="M215" t="inlineStr">
        <is>
          <t>Konstruksi Bangunan Sipil Jalan</t>
        </is>
      </c>
      <c r="N215" t="inlineStr">
        <is>
          <t>M</t>
        </is>
      </c>
      <c r="O215" t="inlineStr">
        <is>
          <t>20231017</t>
        </is>
      </c>
      <c r="P215" t="inlineStr">
        <is>
          <t>DKI Jakarta</t>
        </is>
      </c>
      <c r="Q215" t="inlineStr"/>
    </row>
    <row r="216">
      <c r="A216" t="inlineStr">
        <is>
          <t>BINTANG MULIA INDONESIA</t>
        </is>
      </c>
      <c r="B216" t="inlineStr">
        <is>
          <t>Kota Makassar</t>
        </is>
      </c>
      <c r="C216" t="inlineStr">
        <is>
          <t>08114442001</t>
        </is>
      </c>
      <c r="D216" t="inlineStr">
        <is>
          <t>bintangmuliaindonesia@gmail.com</t>
        </is>
      </c>
      <c r="E216" t="inlineStr">
        <is>
          <t>https://lpjk.pu.go.id/search-badan-usaha-detail/SDVRRFJ2ZTJ2NldHWlA4elJobVF2UT09</t>
        </is>
      </c>
      <c r="F216" t="n">
        <v>6</v>
      </c>
      <c r="G216" t="inlineStr">
        <is>
          <t>BG002, BG006, BG009</t>
        </is>
      </c>
      <c r="H216" t="inlineStr">
        <is>
          <t>22 Juni 2012</t>
        </is>
      </c>
      <c r="I216" s="2" t="n">
        <v>46312</v>
      </c>
      <c r="J216" t="inlineStr">
        <is>
          <t>Disetujui</t>
        </is>
      </c>
      <c r="K216" t="n">
        <v>60</v>
      </c>
      <c r="L216" t="inlineStr">
        <is>
          <t>17 Oktober 2026</t>
        </is>
      </c>
      <c r="M216" t="inlineStr">
        <is>
          <t>Konstruksi Gedung Lainnya, Konstruksi Gedung Pendidikan, Konstruksi Gedung Perkantoran</t>
        </is>
      </c>
      <c r="N216" t="inlineStr">
        <is>
          <t>K</t>
        </is>
      </c>
      <c r="O216" t="inlineStr">
        <is>
          <t>20231013, 20231017</t>
        </is>
      </c>
      <c r="P216" t="inlineStr">
        <is>
          <t>Sulawesi Selatan</t>
        </is>
      </c>
      <c r="Q216" t="inlineStr"/>
    </row>
    <row r="217">
      <c r="A217" t="inlineStr">
        <is>
          <t>BINTANG PALAPA</t>
        </is>
      </c>
      <c r="B217" t="inlineStr">
        <is>
          <t>Kab. Nganjuk</t>
        </is>
      </c>
      <c r="C217" t="inlineStr">
        <is>
          <t>082139060994</t>
        </is>
      </c>
      <c r="D217" t="inlineStr">
        <is>
          <t>bintangpalapacv@gmail.com</t>
        </is>
      </c>
      <c r="E217" t="inlineStr">
        <is>
          <t>https://lpjk.pu.go.id/search-badan-usaha-detail/aXF1UktkMEM1NkNJS3FsemJpVkhhQT09</t>
        </is>
      </c>
      <c r="F217" t="n">
        <v>2</v>
      </c>
      <c r="G217" t="inlineStr">
        <is>
          <t>BG006</t>
        </is>
      </c>
      <c r="H217" t="inlineStr">
        <is>
          <t>1 Februari 1984</t>
        </is>
      </c>
      <c r="I217" s="2" t="n">
        <v>46313</v>
      </c>
      <c r="J217" t="inlineStr">
        <is>
          <t>Disetujui</t>
        </is>
      </c>
      <c r="K217" t="n">
        <v>60</v>
      </c>
      <c r="L217" t="inlineStr">
        <is>
          <t>18 Oktober 2026</t>
        </is>
      </c>
      <c r="M217" t="inlineStr">
        <is>
          <t>Konstruksi Gedung Pendidikan</t>
        </is>
      </c>
      <c r="N217" t="inlineStr">
        <is>
          <t>K</t>
        </is>
      </c>
      <c r="O217" t="inlineStr">
        <is>
          <t>20230919</t>
        </is>
      </c>
      <c r="P217" t="inlineStr">
        <is>
          <t>Jawa Timur</t>
        </is>
      </c>
      <c r="Q217" t="inlineStr"/>
    </row>
    <row r="218">
      <c r="A218" t="inlineStr">
        <is>
          <t>BINTANG PERMAI</t>
        </is>
      </c>
      <c r="B218" t="inlineStr">
        <is>
          <t>Kota Pontianak</t>
        </is>
      </c>
      <c r="C218" t="inlineStr">
        <is>
          <t>083143876144</t>
        </is>
      </c>
      <c r="D218" t="inlineStr">
        <is>
          <t>cvbintangpermai2021@gmail.com</t>
        </is>
      </c>
      <c r="E218" t="inlineStr">
        <is>
          <t>https://lpjk.pu.go.id/search-badan-usaha-detail/V1QzQ2Z4bUl1RnBZQ3lPbjZERmVxQT09</t>
        </is>
      </c>
      <c r="F218" t="n">
        <v>2</v>
      </c>
      <c r="G218" t="inlineStr">
        <is>
          <t>BG009</t>
        </is>
      </c>
      <c r="H218" t="inlineStr">
        <is>
          <t>16 April 2021</t>
        </is>
      </c>
      <c r="I218" s="2" t="n">
        <v>46312</v>
      </c>
      <c r="J218" t="inlineStr">
        <is>
          <t>Disetujui</t>
        </is>
      </c>
      <c r="K218" t="n">
        <v>60</v>
      </c>
      <c r="L218" t="inlineStr">
        <is>
          <t>17 Oktober 2026</t>
        </is>
      </c>
      <c r="M218" t="inlineStr">
        <is>
          <t>Konstruksi Gedung Lainnya</t>
        </is>
      </c>
      <c r="N218" t="inlineStr">
        <is>
          <t>K</t>
        </is>
      </c>
      <c r="O218" t="inlineStr">
        <is>
          <t>20231013</t>
        </is>
      </c>
      <c r="P218" t="inlineStr">
        <is>
          <t>Kalimantan Barat</t>
        </is>
      </c>
      <c r="Q218" t="inlineStr"/>
    </row>
    <row r="219">
      <c r="A219" t="inlineStr">
        <is>
          <t>BINTANG SEJAHTERA UTAMA</t>
        </is>
      </c>
      <c r="B219" t="inlineStr">
        <is>
          <t>Kab. Gowa</t>
        </is>
      </c>
      <c r="C219" t="inlineStr">
        <is>
          <t>0411615868</t>
        </is>
      </c>
      <c r="D219" t="inlineStr">
        <is>
          <t>cvbintangsejahterautama@yahoo.co.id</t>
        </is>
      </c>
      <c r="E219" t="inlineStr">
        <is>
          <t>https://lpjk.pu.go.id/search-badan-usaha-detail/bzR4RXRzYXNQVTU5RDllelRCUzZ4dz09</t>
        </is>
      </c>
      <c r="F219" t="n">
        <v>8</v>
      </c>
      <c r="G219" t="inlineStr">
        <is>
          <t>BG001, BG002, BG006, BG009</t>
        </is>
      </c>
      <c r="H219" t="inlineStr">
        <is>
          <t>30 Juni 2008</t>
        </is>
      </c>
      <c r="I219" s="2" t="n">
        <v>46312</v>
      </c>
      <c r="J219" t="inlineStr">
        <is>
          <t>Disetujui</t>
        </is>
      </c>
      <c r="K219" t="n">
        <v>60</v>
      </c>
      <c r="L219" t="inlineStr">
        <is>
          <t>17 Oktober 2026</t>
        </is>
      </c>
      <c r="M219" t="inlineStr">
        <is>
          <t>Konstruksi Gedung Hunian, Konstruksi Gedung Lainnya, Konstruksi Gedung Pendidikan, Konstruksi Gedung Perkantoran</t>
        </is>
      </c>
      <c r="N219" t="inlineStr">
        <is>
          <t>K</t>
        </is>
      </c>
      <c r="O219" t="inlineStr">
        <is>
          <t>20231013</t>
        </is>
      </c>
      <c r="P219" t="inlineStr">
        <is>
          <t>Sulawesi Selatan</t>
        </is>
      </c>
      <c r="Q219" t="inlineStr"/>
    </row>
    <row r="220">
      <c r="A220" t="inlineStr">
        <is>
          <t>BINTANG SEJATI</t>
        </is>
      </c>
      <c r="B220" t="inlineStr">
        <is>
          <t>Kab. Wonogiri</t>
        </is>
      </c>
      <c r="C220" t="inlineStr">
        <is>
          <t>085290036000</t>
        </is>
      </c>
      <c r="D220" t="inlineStr">
        <is>
          <t>cv.bintangsejati23@gmail.com</t>
        </is>
      </c>
      <c r="E220" t="inlineStr">
        <is>
          <t>https://lpjk.pu.go.id/search-badan-usaha-detail/c2NYUU9aWXRVYnNMN21SdTNjck1kQT09</t>
        </is>
      </c>
      <c r="F220" t="n">
        <v>4</v>
      </c>
      <c r="G220" t="inlineStr">
        <is>
          <t>BG009, BS004</t>
        </is>
      </c>
      <c r="H220" t="inlineStr">
        <is>
          <t>30 Juni 2023</t>
        </is>
      </c>
      <c r="I220" s="2" t="n">
        <v>46313</v>
      </c>
      <c r="J220" t="inlineStr">
        <is>
          <t>Disetujui</t>
        </is>
      </c>
      <c r="K220" t="n">
        <v>60</v>
      </c>
      <c r="L220" t="inlineStr">
        <is>
          <t>18 Oktober 2026</t>
        </is>
      </c>
      <c r="M220" t="inlineStr">
        <is>
          <t>Konstruksi Gedung Lainnya, Konstruksi Jaringan Irigasi dan Drainase</t>
        </is>
      </c>
      <c r="N220" t="inlineStr">
        <is>
          <t>K</t>
        </is>
      </c>
      <c r="O220" t="inlineStr">
        <is>
          <t>20231016</t>
        </is>
      </c>
      <c r="P220" t="inlineStr">
        <is>
          <t>Jawa Tengah</t>
        </is>
      </c>
      <c r="Q220" t="inlineStr"/>
    </row>
    <row r="221">
      <c r="A221" t="inlineStr">
        <is>
          <t>BINTANG SIGIT JAYA</t>
        </is>
      </c>
      <c r="B221" t="inlineStr">
        <is>
          <t>Kab. Bandung</t>
        </is>
      </c>
      <c r="C221" t="inlineStr">
        <is>
          <t>082120053137</t>
        </is>
      </c>
      <c r="D221" t="inlineStr">
        <is>
          <t>bintangsigitjaya@gmail.com</t>
        </is>
      </c>
      <c r="E221" t="inlineStr">
        <is>
          <t>https://lpjk.pu.go.id/search-badan-usaha-detail/dmVoNmQ5NDk0aVV1WHg0SnBKMHRxQT09</t>
        </is>
      </c>
      <c r="F221" t="n">
        <v>2</v>
      </c>
      <c r="G221" t="inlineStr">
        <is>
          <t>BG003</t>
        </is>
      </c>
      <c r="H221" t="inlineStr">
        <is>
          <t>25 Agustus 2023</t>
        </is>
      </c>
      <c r="I221" s="2" t="n">
        <v>46313</v>
      </c>
      <c r="J221" t="inlineStr">
        <is>
          <t>Disetujui</t>
        </is>
      </c>
      <c r="K221" t="n">
        <v>60</v>
      </c>
      <c r="L221" t="inlineStr">
        <is>
          <t>18 Oktober 2026</t>
        </is>
      </c>
      <c r="M221" t="inlineStr">
        <is>
          <t>Konstruksi Gedung Industri</t>
        </is>
      </c>
      <c r="N221" t="inlineStr">
        <is>
          <t>K</t>
        </is>
      </c>
      <c r="O221" t="inlineStr">
        <is>
          <t>20231019</t>
        </is>
      </c>
      <c r="P221" t="inlineStr">
        <is>
          <t>Jawa Barat</t>
        </is>
      </c>
      <c r="Q221" t="inlineStr"/>
    </row>
    <row r="222">
      <c r="A222" t="inlineStr">
        <is>
          <t>BINTANGTIMUR UTAMA SEJAHTERA</t>
        </is>
      </c>
      <c r="B222" t="inlineStr">
        <is>
          <t>Kota Surabaya</t>
        </is>
      </c>
      <c r="C222" t="inlineStr">
        <is>
          <t>0315044343</t>
        </is>
      </c>
      <c r="D222" t="inlineStr">
        <is>
          <t>btu_berkarya@yahoo.com</t>
        </is>
      </c>
      <c r="E222" t="inlineStr">
        <is>
          <t>https://lpjk.pu.go.id/search-badan-usaha-detail/NVpSSThOZ1FvWEhURFBMaCtrR2RNdz09</t>
        </is>
      </c>
      <c r="F222" t="n">
        <v>2</v>
      </c>
      <c r="G222" t="inlineStr">
        <is>
          <t>BG009</t>
        </is>
      </c>
      <c r="H222" t="inlineStr">
        <is>
          <t>12 Desember 2008</t>
        </is>
      </c>
      <c r="I222" s="2" t="n">
        <v>46312</v>
      </c>
      <c r="J222" t="inlineStr">
        <is>
          <t>Pencabutan</t>
        </is>
      </c>
      <c r="K222" t="n">
        <v>60</v>
      </c>
      <c r="L222" t="inlineStr">
        <is>
          <t>17 Oktober 2026</t>
        </is>
      </c>
      <c r="M222" t="inlineStr">
        <is>
          <t>Konstruksi Gedung Lainnya</t>
        </is>
      </c>
      <c r="N222" t="inlineStr">
        <is>
          <t>K</t>
        </is>
      </c>
      <c r="O222" t="inlineStr">
        <is>
          <t>20231016</t>
        </is>
      </c>
      <c r="P222" t="inlineStr">
        <is>
          <t>Jawa Timur</t>
        </is>
      </c>
      <c r="Q222" t="inlineStr"/>
    </row>
    <row r="223">
      <c r="A223" t="inlineStr">
        <is>
          <t>BORNEO BERSAMA MANDIRI</t>
        </is>
      </c>
      <c r="B223" t="inlineStr">
        <is>
          <t>Kab. Kutai Timur</t>
        </is>
      </c>
      <c r="C223" t="inlineStr">
        <is>
          <t>081347908546</t>
        </is>
      </c>
      <c r="D223" t="inlineStr">
        <is>
          <t>borneobersamamandiri2@gmail.com</t>
        </is>
      </c>
      <c r="E223" t="inlineStr">
        <is>
          <t>https://lpjk.pu.go.id/search-badan-usaha-detail/cnB2a0FyNnM1NUN5OWV0SytTVVFwQT09</t>
        </is>
      </c>
      <c r="F223" t="n">
        <v>2</v>
      </c>
      <c r="G223" t="inlineStr">
        <is>
          <t>BS001, BS004</t>
        </is>
      </c>
      <c r="H223" t="inlineStr">
        <is>
          <t>26 Januari 2016</t>
        </is>
      </c>
      <c r="I223" s="2" t="n">
        <v>46307</v>
      </c>
      <c r="J223" t="inlineStr">
        <is>
          <t>Disetujui</t>
        </is>
      </c>
      <c r="K223" t="n">
        <v>60</v>
      </c>
      <c r="L223" t="inlineStr">
        <is>
          <t>12 Oktober 2026</t>
        </is>
      </c>
      <c r="M223" t="inlineStr">
        <is>
          <t>Konstruksi Bangunan Sipil Jalan, Konstruksi Jaringan Irigasi dan Drainase</t>
        </is>
      </c>
      <c r="N223" t="inlineStr">
        <is>
          <t>K</t>
        </is>
      </c>
      <c r="O223" t="inlineStr">
        <is>
          <t>20231011</t>
        </is>
      </c>
      <c r="P223" t="inlineStr">
        <is>
          <t>Kalimantan Timur</t>
        </is>
      </c>
      <c r="Q223" t="inlineStr"/>
    </row>
    <row r="224">
      <c r="A224" t="inlineStr">
        <is>
          <t>BORNEO DZIBAN SEJAHTERA</t>
        </is>
      </c>
      <c r="B224" t="inlineStr">
        <is>
          <t>Kab. Kutai Timur</t>
        </is>
      </c>
      <c r="C224" t="inlineStr">
        <is>
          <t>081347400545</t>
        </is>
      </c>
      <c r="D224" t="inlineStr">
        <is>
          <t>cvborneods@gmail.com</t>
        </is>
      </c>
      <c r="E224" t="inlineStr">
        <is>
          <t>https://lpjk.pu.go.id/search-badan-usaha-detail/QkFIL0xLUFE4OE9ENjY1ZTE2R2JlZz09</t>
        </is>
      </c>
      <c r="F224" t="n">
        <v>1</v>
      </c>
      <c r="G224" t="inlineStr">
        <is>
          <t>BS001</t>
        </is>
      </c>
      <c r="H224" t="inlineStr">
        <is>
          <t>14 April 2023</t>
        </is>
      </c>
      <c r="I224" s="2" t="n">
        <v>46313</v>
      </c>
      <c r="J224" t="inlineStr">
        <is>
          <t>Disetujui</t>
        </is>
      </c>
      <c r="K224" t="n">
        <v>60</v>
      </c>
      <c r="L224" t="inlineStr">
        <is>
          <t>18 Oktober 2026</t>
        </is>
      </c>
      <c r="M224" t="inlineStr">
        <is>
          <t>Konstruksi Bangunan Sipil Jalan</t>
        </is>
      </c>
      <c r="N224" t="inlineStr">
        <is>
          <t>K</t>
        </is>
      </c>
      <c r="O224" t="inlineStr">
        <is>
          <t>20231016</t>
        </is>
      </c>
      <c r="P224" t="inlineStr">
        <is>
          <t>Kalimantan Timur</t>
        </is>
      </c>
      <c r="Q224" t="inlineStr"/>
    </row>
    <row r="225">
      <c r="A225" t="inlineStr">
        <is>
          <t>BORNEO INTAN PERMATA ENERGI</t>
        </is>
      </c>
      <c r="B225" t="inlineStr">
        <is>
          <t>Kab. Lamongan</t>
        </is>
      </c>
      <c r="C225" t="inlineStr">
        <is>
          <t>082188550051</t>
        </is>
      </c>
      <c r="D225" t="inlineStr">
        <is>
          <t>ptborneointanpermataenergi@gmail.com</t>
        </is>
      </c>
      <c r="E225" t="inlineStr">
        <is>
          <t>https://lpjk.pu.go.id/search-badan-usaha-detail/a2s2NW1JN20vMmlHQ21MZUFTWkd6UT09</t>
        </is>
      </c>
      <c r="F225" t="n">
        <v>1</v>
      </c>
      <c r="G225" t="inlineStr">
        <is>
          <t>BS007</t>
        </is>
      </c>
      <c r="H225" t="inlineStr">
        <is>
          <t>20 September 2023</t>
        </is>
      </c>
      <c r="I225" s="2" t="n">
        <v>46307</v>
      </c>
      <c r="J225" t="inlineStr">
        <is>
          <t>Disetujui</t>
        </is>
      </c>
      <c r="K225" t="n">
        <v>60</v>
      </c>
      <c r="L225" t="inlineStr">
        <is>
          <t>12 Oktober 2026</t>
        </is>
      </c>
      <c r="M225" t="inlineStr">
        <is>
          <t>Konstruksi Bangunan Sipil Elektrikal</t>
        </is>
      </c>
      <c r="N225" t="inlineStr">
        <is>
          <t>K</t>
        </is>
      </c>
      <c r="O225" t="inlineStr">
        <is>
          <t>20231010</t>
        </is>
      </c>
      <c r="P225" t="inlineStr">
        <is>
          <t>Jawa Timur</t>
        </is>
      </c>
      <c r="Q225" t="inlineStr"/>
    </row>
    <row r="226">
      <c r="A226" t="inlineStr">
        <is>
          <t>BORNEO KARYA KONSTRUKSI</t>
        </is>
      </c>
      <c r="B226" t="inlineStr">
        <is>
          <t>Kab. Kubu Raya</t>
        </is>
      </c>
      <c r="C226" t="inlineStr">
        <is>
          <t>08981331563</t>
        </is>
      </c>
      <c r="D226" t="inlineStr">
        <is>
          <t>borneokaryakonstruksi.2022@gmail.com</t>
        </is>
      </c>
      <c r="E226" t="inlineStr">
        <is>
          <t>https://lpjk.pu.go.id/search-badan-usaha-detail/ZjlXUFVIdlk5WHJKb2MrYkIxL0V3UT09</t>
        </is>
      </c>
      <c r="F226" t="n">
        <v>2</v>
      </c>
      <c r="G226" t="inlineStr">
        <is>
          <t>BG009, BS001</t>
        </is>
      </c>
      <c r="H226" t="inlineStr">
        <is>
          <t>23 Desember 2022</t>
        </is>
      </c>
      <c r="I226" s="2" t="n">
        <v>46313</v>
      </c>
      <c r="J226" t="inlineStr">
        <is>
          <t>Disetujui</t>
        </is>
      </c>
      <c r="K226" t="n">
        <v>60</v>
      </c>
      <c r="L226" t="inlineStr">
        <is>
          <t>18 Oktober 2026</t>
        </is>
      </c>
      <c r="M226" t="inlineStr">
        <is>
          <t>Konstruksi Bangunan Sipil Jalan, Konstruksi Gedung Lainnya</t>
        </is>
      </c>
      <c r="N226" t="inlineStr">
        <is>
          <t>K</t>
        </is>
      </c>
      <c r="O226" t="inlineStr">
        <is>
          <t>20231018</t>
        </is>
      </c>
      <c r="P226" t="inlineStr">
        <is>
          <t>Kalimantan Barat</t>
        </is>
      </c>
      <c r="Q226" t="inlineStr"/>
    </row>
    <row r="227">
      <c r="A227" t="inlineStr">
        <is>
          <t>BORNEO MADANI</t>
        </is>
      </c>
      <c r="B227" t="inlineStr">
        <is>
          <t>Kota Palangkaraya</t>
        </is>
      </c>
      <c r="C227" t="inlineStr">
        <is>
          <t>081253603099</t>
        </is>
      </c>
      <c r="D227" t="inlineStr">
        <is>
          <t>cv.borneomadani2023@gmail.com</t>
        </is>
      </c>
      <c r="E227" t="inlineStr">
        <is>
          <t>https://lpjk.pu.go.id/search-badan-usaha-detail/b2Q4cng2QVEwQUVJWm9wVTBpcWN4Zz09</t>
        </is>
      </c>
      <c r="F227" t="n">
        <v>1</v>
      </c>
      <c r="G227" t="inlineStr">
        <is>
          <t>BS004</t>
        </is>
      </c>
      <c r="H227" t="inlineStr">
        <is>
          <t>29 September 2023</t>
        </is>
      </c>
      <c r="I227" s="2" t="n">
        <v>46307</v>
      </c>
      <c r="J227" t="inlineStr">
        <is>
          <t>Disetujui</t>
        </is>
      </c>
      <c r="K227" t="n">
        <v>60</v>
      </c>
      <c r="L227" t="inlineStr">
        <is>
          <t>12 Oktober 2026</t>
        </is>
      </c>
      <c r="M227" t="inlineStr">
        <is>
          <t>Konstruksi Jaringan Irigasi dan Drainase</t>
        </is>
      </c>
      <c r="N227" t="inlineStr">
        <is>
          <t>K</t>
        </is>
      </c>
      <c r="O227" t="inlineStr">
        <is>
          <t>20231010</t>
        </is>
      </c>
      <c r="P227" t="inlineStr">
        <is>
          <t>Kalimantan Tengah</t>
        </is>
      </c>
      <c r="Q227" t="inlineStr"/>
    </row>
    <row r="228">
      <c r="A228" t="inlineStr">
        <is>
          <t>BORNEO TARIGAS</t>
        </is>
      </c>
      <c r="B228" t="inlineStr">
        <is>
          <t>Kota Singkawang</t>
        </is>
      </c>
      <c r="C228" t="inlineStr">
        <is>
          <t>081280939117</t>
        </is>
      </c>
      <c r="D228" t="inlineStr">
        <is>
          <t>cvborneotarigas@gmail.com</t>
        </is>
      </c>
      <c r="E228" t="inlineStr">
        <is>
          <t>https://lpjk.pu.go.id/search-badan-usaha-detail/ejBoa3Yza2tEeGVsOGp3RmFkaFRrUT09</t>
        </is>
      </c>
      <c r="F228" t="n">
        <v>1</v>
      </c>
      <c r="G228" t="inlineStr">
        <is>
          <t>BS004</t>
        </is>
      </c>
      <c r="H228" t="inlineStr">
        <is>
          <t>10 Februari 2017</t>
        </is>
      </c>
      <c r="I228" s="2" t="n">
        <v>46307</v>
      </c>
      <c r="J228" t="inlineStr">
        <is>
          <t>Disetujui</t>
        </is>
      </c>
      <c r="K228" t="n">
        <v>60</v>
      </c>
      <c r="L228" t="inlineStr">
        <is>
          <t>12 Oktober 2026</t>
        </is>
      </c>
      <c r="M228" t="inlineStr">
        <is>
          <t>Konstruksi Jaringan Irigasi dan Drainase</t>
        </is>
      </c>
      <c r="N228" t="inlineStr">
        <is>
          <t>K</t>
        </is>
      </c>
      <c r="O228" t="inlineStr">
        <is>
          <t>20231012</t>
        </is>
      </c>
      <c r="P228" t="inlineStr">
        <is>
          <t>Kalimantan Barat</t>
        </is>
      </c>
      <c r="Q228" t="inlineStr"/>
    </row>
    <row r="229">
      <c r="A229" t="inlineStr">
        <is>
          <t>BUDI INDAH INTI PERKASA</t>
        </is>
      </c>
      <c r="B229" t="inlineStr">
        <is>
          <t>Kab. Siak</t>
        </is>
      </c>
      <c r="C229" t="inlineStr">
        <is>
          <t>085363366121</t>
        </is>
      </c>
      <c r="D229" t="inlineStr">
        <is>
          <t>pt.biip@yahoo.com</t>
        </is>
      </c>
      <c r="E229" t="inlineStr">
        <is>
          <t>https://lpjk.pu.go.id/search-badan-usaha-detail/RThqamlDMHY0Y1Z1aGJweWxrY21rZz09</t>
        </is>
      </c>
      <c r="F229" t="n">
        <v>1</v>
      </c>
      <c r="G229" t="inlineStr">
        <is>
          <t>KK012</t>
        </is>
      </c>
      <c r="H229" t="inlineStr">
        <is>
          <t>15 September 2022</t>
        </is>
      </c>
      <c r="I229" s="2" t="n">
        <v>46308</v>
      </c>
      <c r="J229" t="inlineStr">
        <is>
          <t>Pembekuan</t>
        </is>
      </c>
      <c r="K229" t="n">
        <v>60</v>
      </c>
      <c r="L229" t="inlineStr">
        <is>
          <t>13 Oktober 2026</t>
        </is>
      </c>
      <c r="M229" t="inlineStr">
        <is>
          <t>Pekerjaan Struktur Beton</t>
        </is>
      </c>
      <c r="N229" t="inlineStr">
        <is>
          <t>Spesialis</t>
        </is>
      </c>
      <c r="O229" t="inlineStr">
        <is>
          <t>20231014</t>
        </is>
      </c>
      <c r="P229" t="inlineStr">
        <is>
          <t>Riau</t>
        </is>
      </c>
      <c r="Q229" t="inlineStr"/>
    </row>
    <row r="230">
      <c r="A230" t="inlineStr">
        <is>
          <t>BUDI JAYA MITRA BANGKA</t>
        </is>
      </c>
      <c r="B230" t="inlineStr">
        <is>
          <t>Kota Pangkal Pinang</t>
        </is>
      </c>
      <c r="C230" t="inlineStr">
        <is>
          <t>085267276723</t>
        </is>
      </c>
      <c r="D230" t="inlineStr">
        <is>
          <t>cv.bjmb@gmail.com</t>
        </is>
      </c>
      <c r="E230" t="inlineStr">
        <is>
          <t>https://lpjk.pu.go.id/search-badan-usaha-detail/MFVyTFpZZFJGbkszNjhDWTYyOVJEZz09</t>
        </is>
      </c>
      <c r="F230" t="n">
        <v>4</v>
      </c>
      <c r="G230" t="inlineStr">
        <is>
          <t>BG002, BG006, BS004, BS005</t>
        </is>
      </c>
      <c r="H230" t="inlineStr">
        <is>
          <t>7 Agustus 2002</t>
        </is>
      </c>
      <c r="I230" s="2" t="n">
        <v>46310</v>
      </c>
      <c r="J230" t="inlineStr">
        <is>
          <t>Disetujui</t>
        </is>
      </c>
      <c r="K230" t="n">
        <v>60</v>
      </c>
      <c r="L230" t="inlineStr">
        <is>
          <t>15 Oktober 2026</t>
        </is>
      </c>
      <c r="M230" t="inlineStr">
        <is>
          <t>Konstruksi Bangunan Sipil Pengolahan Air Bersih, Konstruksi Gedung Pendidikan, Konstruksi Gedung Perkantoran, Konstruksi Jaringan Irigasi dan Drainase</t>
        </is>
      </c>
      <c r="N230" t="inlineStr">
        <is>
          <t>K</t>
        </is>
      </c>
      <c r="O230" t="inlineStr">
        <is>
          <t>20230906, 20231010</t>
        </is>
      </c>
      <c r="P230" t="inlineStr">
        <is>
          <t>Kepulauan Bangka Belitung</t>
        </is>
      </c>
      <c r="Q230" t="inlineStr"/>
    </row>
    <row r="231">
      <c r="A231" t="inlineStr">
        <is>
          <t>BUKIT RAYA ENGINEERING</t>
        </is>
      </c>
      <c r="B231" t="inlineStr">
        <is>
          <t>Kota Palangkaraya</t>
        </is>
      </c>
      <c r="C231" t="inlineStr">
        <is>
          <t>081348009280</t>
        </is>
      </c>
      <c r="D231" t="inlineStr">
        <is>
          <t>cvbre.plk@gmail.com</t>
        </is>
      </c>
      <c r="E231" t="inlineStr">
        <is>
          <t>https://lpjk.pu.go.id/search-badan-usaha-detail/VnM4K0JHeTM3bmVGWjZZMVpUVWUwdz09</t>
        </is>
      </c>
      <c r="F231" t="n">
        <v>2</v>
      </c>
      <c r="G231" t="inlineStr">
        <is>
          <t>RK001, RK003</t>
        </is>
      </c>
      <c r="H231" t="inlineStr">
        <is>
          <t>13 September 2007</t>
        </is>
      </c>
      <c r="I231" s="2" t="n">
        <v>46307</v>
      </c>
      <c r="J231" t="inlineStr">
        <is>
          <t>Disetujui</t>
        </is>
      </c>
      <c r="K231" t="n">
        <v>60</v>
      </c>
      <c r="L231" t="inlineStr">
        <is>
          <t>12 Oktober 2026</t>
        </is>
      </c>
      <c r="M231" t="inlineStr">
        <is>
          <t>Jasa Rekayasa Konstruksi Bangunan Gedung Hunian dan Non Hunian, Jasa Rekayasa Pekerjaan Teknik Sipil Transportasi</t>
        </is>
      </c>
      <c r="N231" t="inlineStr">
        <is>
          <t>K</t>
        </is>
      </c>
      <c r="O231" t="inlineStr">
        <is>
          <t>20231005</t>
        </is>
      </c>
      <c r="P231" t="inlineStr">
        <is>
          <t>Kalimantan Tengah</t>
        </is>
      </c>
      <c r="Q231" t="inlineStr"/>
    </row>
    <row r="232">
      <c r="A232" t="inlineStr">
        <is>
          <t>BUKIT SARAI</t>
        </is>
      </c>
      <c r="B232" t="inlineStr">
        <is>
          <t>Kab. Kotawaringin Timur</t>
        </is>
      </c>
      <c r="C232" t="inlineStr">
        <is>
          <t>081255024885</t>
        </is>
      </c>
      <c r="D232" t="inlineStr">
        <is>
          <t>jumrimentaya@gmail.com</t>
        </is>
      </c>
      <c r="E232" t="inlineStr">
        <is>
          <t>https://lpjk.pu.go.id/search-badan-usaha-detail/WjdYTzZVLzh3Uzd4WmF4eXN1YTRnZz09</t>
        </is>
      </c>
      <c r="F232" t="n">
        <v>5</v>
      </c>
      <c r="G232" t="inlineStr">
        <is>
          <t>BG001, BG002, BG003, BG006, BS001</t>
        </is>
      </c>
      <c r="H232" t="inlineStr">
        <is>
          <t>12 September 2006</t>
        </is>
      </c>
      <c r="I232" s="2" t="n">
        <v>46308</v>
      </c>
      <c r="J232" t="inlineStr">
        <is>
          <t>Disetujui</t>
        </is>
      </c>
      <c r="K232" t="n">
        <v>60</v>
      </c>
      <c r="L232" t="inlineStr">
        <is>
          <t>13 Oktober 2026</t>
        </is>
      </c>
      <c r="M232" t="inlineStr">
        <is>
          <t>Konstruksi Bangunan Sipil Jalan, Konstruksi Gedung Hunian, Konstruksi Gedung Industri, Konstruksi Gedung Pendidikan, Konstruksi Gedung Perkantoran</t>
        </is>
      </c>
      <c r="N232" t="inlineStr">
        <is>
          <t>K</t>
        </is>
      </c>
      <c r="O232" t="inlineStr">
        <is>
          <t>20231010</t>
        </is>
      </c>
      <c r="P232" t="inlineStr">
        <is>
          <t>Kalimantan Tengah</t>
        </is>
      </c>
      <c r="Q232" t="inlineStr"/>
    </row>
    <row r="233">
      <c r="A233" t="inlineStr">
        <is>
          <t>BUKIT SIMPANG PERKASA</t>
        </is>
      </c>
      <c r="B233" t="inlineStr">
        <is>
          <t>Kab. Kampar</t>
        </is>
      </c>
      <c r="C233" t="inlineStr">
        <is>
          <t>087793297857</t>
        </is>
      </c>
      <c r="D233" t="inlineStr">
        <is>
          <t>cv.bukitsimpangperkasa1@gmail.com</t>
        </is>
      </c>
      <c r="E233" t="inlineStr">
        <is>
          <t>https://lpjk.pu.go.id/search-badan-usaha-detail/UGQ4NXo3YTY5dWFNb0d5QU1TcHJPQT09</t>
        </is>
      </c>
      <c r="F233" t="n">
        <v>2</v>
      </c>
      <c r="G233" t="inlineStr">
        <is>
          <t>BG005, BS002</t>
        </is>
      </c>
      <c r="H233" t="inlineStr">
        <is>
          <t>31 Desember 1999</t>
        </is>
      </c>
      <c r="I233" s="2" t="n">
        <v>46310</v>
      </c>
      <c r="J233" t="inlineStr">
        <is>
          <t>Disetujui</t>
        </is>
      </c>
      <c r="K233" t="n">
        <v>60</v>
      </c>
      <c r="L233" t="inlineStr">
        <is>
          <t>15 Oktober 2026</t>
        </is>
      </c>
      <c r="M233" t="inlineStr">
        <is>
          <t>Bangunan Sipil Jembatan, Jalan Layang, Fly Over, dan Underpass, Konstruksi Gedung Kesehatan</t>
        </is>
      </c>
      <c r="N233" t="inlineStr">
        <is>
          <t>K</t>
        </is>
      </c>
      <c r="O233" t="inlineStr">
        <is>
          <t>20231013</t>
        </is>
      </c>
      <c r="P233" t="inlineStr">
        <is>
          <t>Riau</t>
        </is>
      </c>
      <c r="Q233" t="inlineStr"/>
    </row>
    <row r="234">
      <c r="A234" t="inlineStr">
        <is>
          <t>BULAN PURNAMA</t>
        </is>
      </c>
      <c r="B234" t="inlineStr">
        <is>
          <t>Kab. Seruyan</t>
        </is>
      </c>
      <c r="C234" t="inlineStr">
        <is>
          <t>081225919662</t>
        </is>
      </c>
      <c r="D234" t="inlineStr">
        <is>
          <t>cvbulanpurnama18@gmail.com</t>
        </is>
      </c>
      <c r="E234" t="inlineStr">
        <is>
          <t>https://lpjk.pu.go.id/search-badan-usaha-detail/RStUbTMreDlPUUJwd0JjWENoRGNTQT09</t>
        </is>
      </c>
      <c r="F234" t="n">
        <v>1</v>
      </c>
      <c r="G234" t="inlineStr">
        <is>
          <t>BS001</t>
        </is>
      </c>
      <c r="H234" t="inlineStr">
        <is>
          <t>9 Oktober 2023</t>
        </is>
      </c>
      <c r="I234" s="2" t="n">
        <v>46313</v>
      </c>
      <c r="J234" t="inlineStr">
        <is>
          <t>Disetujui</t>
        </is>
      </c>
      <c r="K234" t="n">
        <v>60</v>
      </c>
      <c r="L234" t="inlineStr">
        <is>
          <t>18 Oktober 2026</t>
        </is>
      </c>
      <c r="M234" t="inlineStr">
        <is>
          <t>Konstruksi Bangunan Sipil Jalan</t>
        </is>
      </c>
      <c r="N234" t="inlineStr">
        <is>
          <t>K</t>
        </is>
      </c>
      <c r="O234" t="inlineStr">
        <is>
          <t>20231018</t>
        </is>
      </c>
      <c r="P234" t="inlineStr">
        <is>
          <t>Kalimantan Tengah</t>
        </is>
      </c>
      <c r="Q234" t="inlineStr"/>
    </row>
    <row r="235">
      <c r="A235" t="inlineStr">
        <is>
          <t>BUMI AMANTA WIJAYA</t>
        </is>
      </c>
      <c r="B235" t="inlineStr">
        <is>
          <t>Kab. Banyumas</t>
        </is>
      </c>
      <c r="C235" t="inlineStr">
        <is>
          <t>02816843205</t>
        </is>
      </c>
      <c r="D235" t="inlineStr">
        <is>
          <t>bumi_amanta@yahoo.com</t>
        </is>
      </c>
      <c r="E235" t="inlineStr">
        <is>
          <t>https://lpjk.pu.go.id/search-badan-usaha-detail/dXZ4cmwwV3NzN1p1OVE4SExtQXJ1QT09</t>
        </is>
      </c>
      <c r="F235" t="n">
        <v>1</v>
      </c>
      <c r="G235" t="inlineStr">
        <is>
          <t>BG005</t>
        </is>
      </c>
      <c r="H235" t="inlineStr">
        <is>
          <t>4 Februari 2009</t>
        </is>
      </c>
      <c r="I235" s="2" t="n">
        <v>46313</v>
      </c>
      <c r="J235" t="inlineStr">
        <is>
          <t>Disetujui</t>
        </is>
      </c>
      <c r="K235" t="n">
        <v>60</v>
      </c>
      <c r="L235" t="inlineStr">
        <is>
          <t>18 Oktober 2026</t>
        </is>
      </c>
      <c r="M235" t="inlineStr">
        <is>
          <t>Konstruksi Gedung Kesehatan</t>
        </is>
      </c>
      <c r="N235" t="inlineStr">
        <is>
          <t>K</t>
        </is>
      </c>
      <c r="O235" t="inlineStr">
        <is>
          <t>20231018</t>
        </is>
      </c>
      <c r="P235" t="inlineStr">
        <is>
          <t>Jawa Tengah</t>
        </is>
      </c>
      <c r="Q235" t="inlineStr"/>
    </row>
    <row r="236">
      <c r="A236" t="inlineStr">
        <is>
          <t>BUMI BARU SEJAHTERA</t>
        </is>
      </c>
      <c r="B236" t="inlineStr">
        <is>
          <t>Kab. Sigi</t>
        </is>
      </c>
      <c r="C236" t="inlineStr">
        <is>
          <t>08114569000</t>
        </is>
      </c>
      <c r="D236" t="inlineStr">
        <is>
          <t>bumi_baru@ymail.com</t>
        </is>
      </c>
      <c r="E236" t="inlineStr">
        <is>
          <t>https://lpjk.pu.go.id/search-badan-usaha-detail/UkV0TmN1QllIaTBaTWtEbWxIcDI1Zz09</t>
        </is>
      </c>
      <c r="F236" t="n">
        <v>1</v>
      </c>
      <c r="G236" t="inlineStr">
        <is>
          <t>BG005</t>
        </is>
      </c>
      <c r="H236" t="inlineStr">
        <is>
          <t>10 Agustus 2009</t>
        </is>
      </c>
      <c r="I236" s="2" t="n">
        <v>46310</v>
      </c>
      <c r="J236" t="inlineStr">
        <is>
          <t>Disetujui</t>
        </is>
      </c>
      <c r="K236" t="n">
        <v>60</v>
      </c>
      <c r="L236" t="inlineStr">
        <is>
          <t>15 Oktober 2026</t>
        </is>
      </c>
      <c r="M236" t="inlineStr">
        <is>
          <t>Konstruksi Gedung Kesehatan</t>
        </is>
      </c>
      <c r="N236" t="inlineStr">
        <is>
          <t>K</t>
        </is>
      </c>
      <c r="O236" t="inlineStr">
        <is>
          <t>20231008</t>
        </is>
      </c>
      <c r="P236" t="inlineStr">
        <is>
          <t>Sulawesi Tengah</t>
        </is>
      </c>
      <c r="Q236" t="inlineStr"/>
    </row>
    <row r="237">
      <c r="A237" t="inlineStr">
        <is>
          <t>BUMI ETAM SEJAHTERA</t>
        </is>
      </c>
      <c r="B237" t="inlineStr">
        <is>
          <t>Kab. Kutai Timur</t>
        </is>
      </c>
      <c r="C237" t="inlineStr">
        <is>
          <t>081226883777</t>
        </is>
      </c>
      <c r="D237" t="inlineStr">
        <is>
          <t>cvbumietamsejahtera@gmail.com</t>
        </is>
      </c>
      <c r="E237" t="inlineStr">
        <is>
          <t>https://lpjk.pu.go.id/search-badan-usaha-detail/VGxSTGw3VVNzZVp0WndxWTNaNVlyZz09</t>
        </is>
      </c>
      <c r="F237" t="n">
        <v>5</v>
      </c>
      <c r="G237" t="inlineStr">
        <is>
          <t>BG004, BG006, BG009, BS001, BS004</t>
        </is>
      </c>
      <c r="H237" t="inlineStr">
        <is>
          <t>17 Februari 2023</t>
        </is>
      </c>
      <c r="I237" s="2" t="n">
        <v>46312</v>
      </c>
      <c r="J237" t="inlineStr">
        <is>
          <t>Disetujui</t>
        </is>
      </c>
      <c r="K237" t="n">
        <v>60</v>
      </c>
      <c r="L237" t="inlineStr">
        <is>
          <t>17 Oktober 2026</t>
        </is>
      </c>
      <c r="M237" t="inlineStr">
        <is>
          <t>Konstruksi Bangunan Sipil Jalan, Konstruksi Gedung Lainnya, Konstruksi Gedung Pendidikan, Konstruksi Gedung Perbelanjaan, Konstruksi Jaringan Irigasi dan Drainase</t>
        </is>
      </c>
      <c r="N237" t="inlineStr">
        <is>
          <t>K</t>
        </is>
      </c>
      <c r="O237" t="inlineStr">
        <is>
          <t>20231018</t>
        </is>
      </c>
      <c r="P237" t="inlineStr">
        <is>
          <t>Kalimantan Timur</t>
        </is>
      </c>
      <c r="Q237" t="inlineStr"/>
    </row>
    <row r="238">
      <c r="A238" t="inlineStr">
        <is>
          <t>BUMI MATARAM</t>
        </is>
      </c>
      <c r="B238" t="inlineStr">
        <is>
          <t>Kota Mataram</t>
        </is>
      </c>
      <c r="C238" t="inlineStr">
        <is>
          <t>081913415323</t>
        </is>
      </c>
      <c r="D238" t="inlineStr">
        <is>
          <t>bumimataram9@gmail.com</t>
        </is>
      </c>
      <c r="E238" t="inlineStr">
        <is>
          <t>https://lpjk.pu.go.id/search-badan-usaha-detail/UFBsdW0rWUFVdkNkM211SUxyWDlMUT09</t>
        </is>
      </c>
      <c r="F238" t="n">
        <v>1</v>
      </c>
      <c r="G238" t="inlineStr">
        <is>
          <t>BG001</t>
        </is>
      </c>
      <c r="H238" t="inlineStr">
        <is>
          <t>27 September 2023</t>
        </is>
      </c>
      <c r="I238" s="2" t="n">
        <v>46308</v>
      </c>
      <c r="J238" t="inlineStr">
        <is>
          <t>Disetujui</t>
        </is>
      </c>
      <c r="K238" t="n">
        <v>60</v>
      </c>
      <c r="L238" t="inlineStr">
        <is>
          <t>13 Oktober 2026</t>
        </is>
      </c>
      <c r="M238" t="inlineStr">
        <is>
          <t>Konstruksi Gedung Hunian</t>
        </is>
      </c>
      <c r="N238" t="inlineStr">
        <is>
          <t>K</t>
        </is>
      </c>
      <c r="O238" t="inlineStr">
        <is>
          <t>20231013</t>
        </is>
      </c>
      <c r="P238" t="inlineStr">
        <is>
          <t>Nusa Tenggara Barat</t>
        </is>
      </c>
      <c r="Q238" t="inlineStr"/>
    </row>
    <row r="239">
      <c r="A239" t="inlineStr">
        <is>
          <t>BUMI MUDA SEDIA</t>
        </is>
      </c>
      <c r="B239" t="inlineStr">
        <is>
          <t>Kab. Muaro Jambi</t>
        </is>
      </c>
      <c r="C239" t="inlineStr">
        <is>
          <t>082281317915</t>
        </is>
      </c>
      <c r="D239" t="inlineStr">
        <is>
          <t>bms.cv2023@gmail.com</t>
        </is>
      </c>
      <c r="E239" t="inlineStr">
        <is>
          <t>https://lpjk.pu.go.id/search-badan-usaha-detail/YnJLUXR0WHZjUXBHc0xjaGpONE9XZz09</t>
        </is>
      </c>
      <c r="F239" t="n">
        <v>1</v>
      </c>
      <c r="G239" t="inlineStr">
        <is>
          <t>BS001</t>
        </is>
      </c>
      <c r="H239" t="inlineStr">
        <is>
          <t>24 Juli 2023</t>
        </is>
      </c>
      <c r="I239" s="2" t="n">
        <v>46307</v>
      </c>
      <c r="J239" t="inlineStr">
        <is>
          <t>Disetujui</t>
        </is>
      </c>
      <c r="K239" t="n">
        <v>60</v>
      </c>
      <c r="L239" t="inlineStr">
        <is>
          <t>12 Oktober 2026</t>
        </is>
      </c>
      <c r="M239" t="inlineStr">
        <is>
          <t>Konstruksi Bangunan Sipil Jalan</t>
        </is>
      </c>
      <c r="N239" t="inlineStr">
        <is>
          <t>K</t>
        </is>
      </c>
      <c r="O239" t="inlineStr">
        <is>
          <t>20231010</t>
        </is>
      </c>
      <c r="P239" t="inlineStr">
        <is>
          <t>Jambi</t>
        </is>
      </c>
      <c r="Q239" t="inlineStr"/>
    </row>
    <row r="240">
      <c r="A240" t="inlineStr">
        <is>
          <t>BUMI NUSANTARA HIJAU</t>
        </is>
      </c>
      <c r="B240" t="inlineStr">
        <is>
          <t>Kota Medan</t>
        </is>
      </c>
      <c r="C240" t="inlineStr">
        <is>
          <t>081361573845</t>
        </is>
      </c>
      <c r="D240" t="inlineStr">
        <is>
          <t>buminusantarahijaupt@gmail.com</t>
        </is>
      </c>
      <c r="E240" t="inlineStr">
        <is>
          <t>https://lpjk.pu.go.id/search-badan-usaha-detail/czZFTnF5QldqWHJXWS9rVEhYdlpHUT09</t>
        </is>
      </c>
      <c r="F240" t="n">
        <v>1</v>
      </c>
      <c r="G240" t="inlineStr">
        <is>
          <t>RK001</t>
        </is>
      </c>
      <c r="H240" t="inlineStr">
        <is>
          <t>23 Desember 2019</t>
        </is>
      </c>
      <c r="I240" s="2" t="n">
        <v>46313</v>
      </c>
      <c r="J240" t="inlineStr">
        <is>
          <t>Disetujui</t>
        </is>
      </c>
      <c r="K240" t="n">
        <v>60</v>
      </c>
      <c r="L240" t="inlineStr">
        <is>
          <t>18 Oktober 2026</t>
        </is>
      </c>
      <c r="M240" t="inlineStr">
        <is>
          <t>Jasa Rekayasa Konstruksi Bangunan Gedung Hunian dan Non Hunian</t>
        </is>
      </c>
      <c r="N240" t="inlineStr">
        <is>
          <t>K</t>
        </is>
      </c>
      <c r="O240" t="inlineStr">
        <is>
          <t>20231006</t>
        </is>
      </c>
      <c r="P240" t="inlineStr">
        <is>
          <t>Sumatera Utara</t>
        </is>
      </c>
      <c r="Q240" t="inlineStr"/>
    </row>
    <row r="241">
      <c r="A241" t="inlineStr">
        <is>
          <t>BUMI PASUNDAN</t>
        </is>
      </c>
      <c r="B241" t="inlineStr">
        <is>
          <t>Kota Sukabumi</t>
        </is>
      </c>
      <c r="C241" t="inlineStr">
        <is>
          <t>085214039550</t>
        </is>
      </c>
      <c r="D241" t="inlineStr">
        <is>
          <t>cvbumipasundan@gmail.com</t>
        </is>
      </c>
      <c r="E241" t="inlineStr">
        <is>
          <t>https://lpjk.pu.go.id/search-badan-usaha-detail/dzZzMXZ0bDR0cWhTdlRLOGJXa295QT09</t>
        </is>
      </c>
      <c r="F241" t="n">
        <v>1</v>
      </c>
      <c r="G241" t="inlineStr">
        <is>
          <t>BS004</t>
        </is>
      </c>
      <c r="H241" t="inlineStr">
        <is>
          <t>27 April 2009</t>
        </is>
      </c>
      <c r="I241" s="2" t="n">
        <v>46308</v>
      </c>
      <c r="J241" t="inlineStr">
        <is>
          <t>Disetujui</t>
        </is>
      </c>
      <c r="K241" t="n">
        <v>60</v>
      </c>
      <c r="L241" t="inlineStr">
        <is>
          <t>13 Oktober 2026</t>
        </is>
      </c>
      <c r="M241" t="inlineStr">
        <is>
          <t>Konstruksi Jaringan Irigasi dan Drainase</t>
        </is>
      </c>
      <c r="N241" t="inlineStr">
        <is>
          <t>K</t>
        </is>
      </c>
      <c r="O241" t="inlineStr">
        <is>
          <t>20230928</t>
        </is>
      </c>
      <c r="P241" t="inlineStr">
        <is>
          <t>Jawa Barat</t>
        </is>
      </c>
      <c r="Q241" t="inlineStr"/>
    </row>
    <row r="242">
      <c r="A242" t="inlineStr">
        <is>
          <t>BUMI PERSADA KARINA</t>
        </is>
      </c>
      <c r="B242" t="inlineStr">
        <is>
          <t>Kota Bandung</t>
        </is>
      </c>
      <c r="C242" t="inlineStr">
        <is>
          <t>081394074653</t>
        </is>
      </c>
      <c r="D242" t="inlineStr">
        <is>
          <t>bumipersadakarina22@gmail.com</t>
        </is>
      </c>
      <c r="E242" t="inlineStr">
        <is>
          <t>https://lpjk.pu.go.id/search-badan-usaha-detail/T1JLVDNuRkwzVlZwNEcxTHVHdERmZz09</t>
        </is>
      </c>
      <c r="F242" t="n">
        <v>1</v>
      </c>
      <c r="G242" t="inlineStr">
        <is>
          <t>PL003</t>
        </is>
      </c>
      <c r="H242" t="inlineStr">
        <is>
          <t>10 Maret 2022</t>
        </is>
      </c>
      <c r="I242" s="2" t="n">
        <v>46310</v>
      </c>
      <c r="J242" t="inlineStr">
        <is>
          <t>Disetujui</t>
        </is>
      </c>
      <c r="K242" t="n">
        <v>60</v>
      </c>
      <c r="L242" t="inlineStr">
        <is>
          <t>15 Oktober 2026</t>
        </is>
      </c>
      <c r="M242" t="inlineStr">
        <is>
          <t>Penyiapan Lahan Konstruksi</t>
        </is>
      </c>
      <c r="N242" t="inlineStr">
        <is>
          <t>Spesialis</t>
        </is>
      </c>
      <c r="O242" t="inlineStr">
        <is>
          <t>20231014</t>
        </is>
      </c>
      <c r="P242" t="inlineStr">
        <is>
          <t>Jawa Barat</t>
        </is>
      </c>
      <c r="Q242" t="inlineStr"/>
    </row>
    <row r="243">
      <c r="A243" t="inlineStr">
        <is>
          <t>BUMI RAYA</t>
        </is>
      </c>
      <c r="B243" t="inlineStr">
        <is>
          <t>Kota Pekanbaru</t>
        </is>
      </c>
      <c r="C243" t="inlineStr">
        <is>
          <t>085377888877</t>
        </is>
      </c>
      <c r="D243" t="inlineStr">
        <is>
          <t>bumiraya_raya@yahoo.com</t>
        </is>
      </c>
      <c r="E243" t="inlineStr">
        <is>
          <t>https://lpjk.pu.go.id/search-badan-usaha-detail/ZXdZY3R6UG5lM3o2UzMrd3hTcUNCZz09</t>
        </is>
      </c>
      <c r="F243" t="n">
        <v>3</v>
      </c>
      <c r="G243" t="inlineStr">
        <is>
          <t>BG003, BG009, PA001</t>
        </is>
      </c>
      <c r="H243" t="inlineStr">
        <is>
          <t>22 April 1998</t>
        </is>
      </c>
      <c r="I243" s="2" t="n">
        <v>46310</v>
      </c>
      <c r="J243" t="inlineStr">
        <is>
          <t>Disetujui</t>
        </is>
      </c>
      <c r="K243" t="n">
        <v>60</v>
      </c>
      <c r="L243" t="inlineStr">
        <is>
          <t>15 Oktober 2026</t>
        </is>
      </c>
      <c r="M243" t="inlineStr">
        <is>
          <t>Konstruksi Gedung Industri, Konstruksi Gedung Lainnya, Penyewaan Peralatan Konstruksi</t>
        </is>
      </c>
      <c r="N243" t="inlineStr">
        <is>
          <t>K, Spesialis</t>
        </is>
      </c>
      <c r="O243" t="inlineStr">
        <is>
          <t>20231013</t>
        </is>
      </c>
      <c r="P243" t="inlineStr">
        <is>
          <t>Riau</t>
        </is>
      </c>
      <c r="Q243" t="inlineStr"/>
    </row>
    <row r="244">
      <c r="A244" t="inlineStr">
        <is>
          <t>BUMI SEBIMBING SEKUNDANG</t>
        </is>
      </c>
      <c r="B244" t="inlineStr">
        <is>
          <t>Kab. Indragiri Hilir</t>
        </is>
      </c>
      <c r="C244" t="inlineStr">
        <is>
          <t>08124101085</t>
        </is>
      </c>
      <c r="D244" t="inlineStr">
        <is>
          <t>cvbss02@gmail.com</t>
        </is>
      </c>
      <c r="E244" t="inlineStr">
        <is>
          <t>https://lpjk.pu.go.id/search-badan-usaha-detail/NTR2R3FTeXhKa0o1bVFTUGowblo4QT09</t>
        </is>
      </c>
      <c r="F244" t="n">
        <v>2</v>
      </c>
      <c r="G244" t="inlineStr">
        <is>
          <t>BS001, BS004</t>
        </is>
      </c>
      <c r="H244" t="inlineStr">
        <is>
          <t>11 November 2021</t>
        </is>
      </c>
      <c r="I244" s="2" t="n">
        <v>46313</v>
      </c>
      <c r="J244" t="inlineStr">
        <is>
          <t>Pencabutan</t>
        </is>
      </c>
      <c r="K244" t="n">
        <v>60</v>
      </c>
      <c r="L244" t="inlineStr">
        <is>
          <t>18 Oktober 2026</t>
        </is>
      </c>
      <c r="M244" t="inlineStr">
        <is>
          <t>Konstruksi Bangunan Sipil Jalan, Konstruksi Jaringan Irigasi dan Drainase</t>
        </is>
      </c>
      <c r="N244" t="inlineStr">
        <is>
          <t>K</t>
        </is>
      </c>
      <c r="O244" t="inlineStr">
        <is>
          <t>20231018</t>
        </is>
      </c>
      <c r="P244" t="inlineStr">
        <is>
          <t>Riau</t>
        </is>
      </c>
      <c r="Q244" t="inlineStr"/>
    </row>
    <row r="245">
      <c r="A245" t="inlineStr">
        <is>
          <t>BUMI TIGARAKSA</t>
        </is>
      </c>
      <c r="B245" t="inlineStr">
        <is>
          <t>Kab. Tangerang</t>
        </is>
      </c>
      <c r="C245" t="inlineStr">
        <is>
          <t>08128736297</t>
        </is>
      </c>
      <c r="D245" t="inlineStr">
        <is>
          <t>cv.bumitigaraksa@gmail.com</t>
        </is>
      </c>
      <c r="E245" t="inlineStr">
        <is>
          <t>https://lpjk.pu.go.id/search-badan-usaha-detail/RVFFd0hhNFNIOFpXa1FZbDgzZmdQZz09</t>
        </is>
      </c>
      <c r="F245" t="n">
        <v>1</v>
      </c>
      <c r="G245" t="inlineStr">
        <is>
          <t>BG009</t>
        </is>
      </c>
      <c r="H245" t="inlineStr">
        <is>
          <t>30 Agustus 2002</t>
        </is>
      </c>
      <c r="I245" s="2" t="n">
        <v>46311</v>
      </c>
      <c r="J245" t="inlineStr">
        <is>
          <t>Disetujui</t>
        </is>
      </c>
      <c r="K245" t="n">
        <v>60</v>
      </c>
      <c r="L245" t="inlineStr">
        <is>
          <t>16 Oktober 2026</t>
        </is>
      </c>
      <c r="M245" t="inlineStr">
        <is>
          <t>Konstruksi Gedung Lainnya</t>
        </is>
      </c>
      <c r="N245" t="inlineStr">
        <is>
          <t>K</t>
        </is>
      </c>
      <c r="O245" t="inlineStr">
        <is>
          <t>20231011</t>
        </is>
      </c>
      <c r="P245" t="inlineStr">
        <is>
          <t>Banten</t>
        </is>
      </c>
      <c r="Q245" t="inlineStr"/>
    </row>
    <row r="246">
      <c r="A246" t="inlineStr">
        <is>
          <t>BUNGA KARYA KONSULTAN</t>
        </is>
      </c>
      <c r="B246" t="inlineStr">
        <is>
          <t>Kab. Bojonegoro</t>
        </is>
      </c>
      <c r="C246" t="inlineStr">
        <is>
          <t>08121606081</t>
        </is>
      </c>
      <c r="D246" t="inlineStr">
        <is>
          <t>bungakarya.konsultan01@gmail.com</t>
        </is>
      </c>
      <c r="E246" t="inlineStr">
        <is>
          <t>https://lpjk.pu.go.id/search-badan-usaha-detail/MStUWVpzZW1wTlp0Qmg3UU9wa1IyUT09</t>
        </is>
      </c>
      <c r="F246" t="n">
        <v>2</v>
      </c>
      <c r="G246" t="inlineStr">
        <is>
          <t>RK001, RK002</t>
        </is>
      </c>
      <c r="H246" t="inlineStr">
        <is>
          <t>27 Oktober 2022</t>
        </is>
      </c>
      <c r="I246" s="2" t="n">
        <v>46313</v>
      </c>
      <c r="J246" t="inlineStr">
        <is>
          <t>Disetujui</t>
        </is>
      </c>
      <c r="K246" t="n">
        <v>60</v>
      </c>
      <c r="L246" t="inlineStr">
        <is>
          <t>18 Oktober 2026</t>
        </is>
      </c>
      <c r="M246" t="inlineStr">
        <is>
          <t>Jasa Rekayasa Konstruksi Bangunan Gedung Hunian dan Non Hunian, Jasa Rekayasa Pekerjaan Teknik Sipil Sumber Daya Air</t>
        </is>
      </c>
      <c r="N246" t="inlineStr">
        <is>
          <t>K</t>
        </is>
      </c>
      <c r="O246" t="inlineStr">
        <is>
          <t>20231012</t>
        </is>
      </c>
      <c r="P246" t="inlineStr">
        <is>
          <t>Jawa Timur</t>
        </is>
      </c>
      <c r="Q246" t="inlineStr"/>
    </row>
    <row r="247">
      <c r="A247" t="inlineStr">
        <is>
          <t>CAHAYA ALAM JAYA MAKMUR</t>
        </is>
      </c>
      <c r="B247" t="inlineStr">
        <is>
          <t>Kota Bandar Lampung</t>
        </is>
      </c>
      <c r="C247" t="inlineStr">
        <is>
          <t>081369168686</t>
        </is>
      </c>
      <c r="D247" t="inlineStr">
        <is>
          <t>cvcahayaalamjayamakmur@gmail.com</t>
        </is>
      </c>
      <c r="E247" t="inlineStr">
        <is>
          <t>https://lpjk.pu.go.id/search-badan-usaha-detail/RGcxa3JyUGpVaGZmcmwrUDIyT3Jrdz09</t>
        </is>
      </c>
      <c r="F247" t="n">
        <v>1</v>
      </c>
      <c r="G247" t="inlineStr">
        <is>
          <t>BS005</t>
        </is>
      </c>
      <c r="H247" t="inlineStr">
        <is>
          <t>18 September 2023</t>
        </is>
      </c>
      <c r="I247" s="2" t="n">
        <v>46313</v>
      </c>
      <c r="J247" t="inlineStr">
        <is>
          <t>Disetujui</t>
        </is>
      </c>
      <c r="K247" t="n">
        <v>60</v>
      </c>
      <c r="L247" t="inlineStr">
        <is>
          <t>18 Oktober 2026</t>
        </is>
      </c>
      <c r="M247" t="inlineStr">
        <is>
          <t>Konstruksi Bangunan Sipil Pengolahan Air Bersih</t>
        </is>
      </c>
      <c r="N247" t="inlineStr">
        <is>
          <t>K</t>
        </is>
      </c>
      <c r="O247" t="inlineStr">
        <is>
          <t>20231017</t>
        </is>
      </c>
      <c r="P247" t="inlineStr">
        <is>
          <t>Lampung</t>
        </is>
      </c>
      <c r="Q247" t="inlineStr"/>
    </row>
    <row r="248">
      <c r="A248" t="inlineStr">
        <is>
          <t>CAHAYA ANDEROS LESTARI</t>
        </is>
      </c>
      <c r="B248" t="inlineStr">
        <is>
          <t>Kota Surabaya</t>
        </is>
      </c>
      <c r="C248" t="inlineStr">
        <is>
          <t>082139810242</t>
        </is>
      </c>
      <c r="D248" t="inlineStr">
        <is>
          <t>cahayaanderos12@gmail.com</t>
        </is>
      </c>
      <c r="E248" t="inlineStr">
        <is>
          <t>https://lpjk.pu.go.id/search-badan-usaha-detail/aElROEk5ZmwrYmpjaVZwSytRN2xZZz09</t>
        </is>
      </c>
      <c r="F248" t="n">
        <v>2</v>
      </c>
      <c r="G248" t="inlineStr">
        <is>
          <t>BG001, BG008</t>
        </is>
      </c>
      <c r="H248" t="inlineStr">
        <is>
          <t>22 Agustus 2020</t>
        </is>
      </c>
      <c r="I248" s="2" t="n">
        <v>46310</v>
      </c>
      <c r="J248" t="inlineStr">
        <is>
          <t>Disetujui</t>
        </is>
      </c>
      <c r="K248" t="n">
        <v>60</v>
      </c>
      <c r="L248" t="inlineStr">
        <is>
          <t>15 Oktober 2026</t>
        </is>
      </c>
      <c r="M248" t="inlineStr">
        <is>
          <t>Konstruksi Gedung Hunian, Konstruksi Gedung Tempat Hiburan dan Olahraga</t>
        </is>
      </c>
      <c r="N248" t="inlineStr">
        <is>
          <t>K</t>
        </is>
      </c>
      <c r="O248" t="inlineStr">
        <is>
          <t>20230920, 20231016</t>
        </is>
      </c>
      <c r="P248" t="inlineStr">
        <is>
          <t>Jawa Timur</t>
        </is>
      </c>
      <c r="Q248" t="inlineStr"/>
    </row>
    <row r="249">
      <c r="A249" t="inlineStr">
        <is>
          <t>CAHAYA AURORA</t>
        </is>
      </c>
      <c r="B249" t="inlineStr">
        <is>
          <t>Kota Solok</t>
        </is>
      </c>
      <c r="C249" t="inlineStr">
        <is>
          <t>082283594373</t>
        </is>
      </c>
      <c r="D249" t="inlineStr">
        <is>
          <t>auroracahaya05@gmail.com</t>
        </is>
      </c>
      <c r="E249" t="inlineStr">
        <is>
          <t>https://lpjk.pu.go.id/search-badan-usaha-detail/WkJaYk9pVWc5UjJmYkRXd1gvUXZEUT09</t>
        </is>
      </c>
      <c r="F249" t="n">
        <v>1</v>
      </c>
      <c r="G249" t="inlineStr">
        <is>
          <t>BG002</t>
        </is>
      </c>
      <c r="H249" t="inlineStr">
        <is>
          <t>29 Januari 2015</t>
        </is>
      </c>
      <c r="I249" s="2" t="n">
        <v>46313</v>
      </c>
      <c r="J249" t="inlineStr">
        <is>
          <t>Disetujui</t>
        </is>
      </c>
      <c r="K249" t="n">
        <v>60</v>
      </c>
      <c r="L249" t="inlineStr">
        <is>
          <t>18 Oktober 2026</t>
        </is>
      </c>
      <c r="M249" t="inlineStr">
        <is>
          <t>Konstruksi Gedung Perkantoran</t>
        </is>
      </c>
      <c r="N249" t="inlineStr">
        <is>
          <t>K</t>
        </is>
      </c>
      <c r="O249" t="inlineStr">
        <is>
          <t>20231019</t>
        </is>
      </c>
      <c r="P249" t="inlineStr">
        <is>
          <t>Sumatera Barat</t>
        </is>
      </c>
      <c r="Q249" t="inlineStr"/>
    </row>
    <row r="250">
      <c r="A250" t="inlineStr">
        <is>
          <t>CAHAYA FAJAR UTAMA</t>
        </is>
      </c>
      <c r="B250" t="inlineStr">
        <is>
          <t>Kab. Kuningan</t>
        </is>
      </c>
      <c r="C250" t="inlineStr">
        <is>
          <t>082218567548</t>
        </is>
      </c>
      <c r="D250" t="inlineStr">
        <is>
          <t>cahaya.fu@gmail.com</t>
        </is>
      </c>
      <c r="E250" t="inlineStr">
        <is>
          <t>https://lpjk.pu.go.id/search-badan-usaha-detail/S3RZUjNtT1VZUi9USzcwZndYTHZFZz09</t>
        </is>
      </c>
      <c r="F250" t="n">
        <v>1</v>
      </c>
      <c r="G250" t="inlineStr">
        <is>
          <t>BG002</t>
        </is>
      </c>
      <c r="H250" t="inlineStr">
        <is>
          <t>5 Februari 2016</t>
        </is>
      </c>
      <c r="I250" s="2" t="n">
        <v>46307</v>
      </c>
      <c r="J250" t="inlineStr">
        <is>
          <t>Disetujui</t>
        </is>
      </c>
      <c r="K250" t="n">
        <v>60</v>
      </c>
      <c r="L250" t="inlineStr">
        <is>
          <t>12 Oktober 2026</t>
        </is>
      </c>
      <c r="M250" t="inlineStr">
        <is>
          <t>Konstruksi Gedung Perkantoran</t>
        </is>
      </c>
      <c r="N250" t="inlineStr">
        <is>
          <t>K</t>
        </is>
      </c>
      <c r="O250" t="inlineStr">
        <is>
          <t>20231010</t>
        </is>
      </c>
      <c r="P250" t="inlineStr">
        <is>
          <t>Jawa Barat</t>
        </is>
      </c>
      <c r="Q250" t="inlineStr"/>
    </row>
    <row r="251">
      <c r="A251" t="inlineStr">
        <is>
          <t>CAHAYA KARTIKA</t>
        </is>
      </c>
      <c r="B251" t="inlineStr">
        <is>
          <t>Kab. Cilacap</t>
        </is>
      </c>
      <c r="C251" t="inlineStr">
        <is>
          <t>813027319575</t>
        </is>
      </c>
      <c r="D251" t="inlineStr">
        <is>
          <t>cahayakartika435@yahoo.co.id</t>
        </is>
      </c>
      <c r="E251" t="inlineStr">
        <is>
          <t>https://lpjk.pu.go.id/search-badan-usaha-detail/YVQxVTR5OFlYTmJiejVaNGpsdzN0dz09</t>
        </is>
      </c>
      <c r="F251" t="n">
        <v>1</v>
      </c>
      <c r="G251" t="inlineStr">
        <is>
          <t>BS001</t>
        </is>
      </c>
      <c r="H251" t="inlineStr">
        <is>
          <t>11 Februari 2005</t>
        </is>
      </c>
      <c r="I251" s="2" t="n">
        <v>46313</v>
      </c>
      <c r="J251" t="inlineStr">
        <is>
          <t>Disetujui</t>
        </is>
      </c>
      <c r="K251" t="n">
        <v>60</v>
      </c>
      <c r="L251" t="inlineStr">
        <is>
          <t>18 Oktober 2026</t>
        </is>
      </c>
      <c r="M251" t="inlineStr">
        <is>
          <t>Konstruksi Bangunan Sipil Jalan</t>
        </is>
      </c>
      <c r="N251" t="inlineStr">
        <is>
          <t>M</t>
        </is>
      </c>
      <c r="O251" t="inlineStr">
        <is>
          <t>20230919</t>
        </is>
      </c>
      <c r="P251" t="inlineStr">
        <is>
          <t>Jawa Tengah</t>
        </is>
      </c>
      <c r="Q251" t="inlineStr"/>
    </row>
    <row r="252">
      <c r="A252" t="inlineStr">
        <is>
          <t>CAHAYA RIAU</t>
        </is>
      </c>
      <c r="B252" t="inlineStr">
        <is>
          <t>Kota Pekanbaru</t>
        </is>
      </c>
      <c r="C252" t="inlineStr">
        <is>
          <t>076133674</t>
        </is>
      </c>
      <c r="D252" t="inlineStr">
        <is>
          <t>cahayariau_chr@yahoo.com</t>
        </is>
      </c>
      <c r="E252" t="inlineStr">
        <is>
          <t>https://lpjk.pu.go.id/search-badan-usaha-detail/ZEh5SDVWUzhkZ3BicDF0RFV6OGVtZz09</t>
        </is>
      </c>
      <c r="F252" t="n">
        <v>1</v>
      </c>
      <c r="G252" t="inlineStr">
        <is>
          <t>IN007</t>
        </is>
      </c>
      <c r="H252" t="inlineStr">
        <is>
          <t>15 September 2022</t>
        </is>
      </c>
      <c r="I252" s="2" t="n">
        <v>46311</v>
      </c>
      <c r="J252" t="inlineStr">
        <is>
          <t>Pembekuan</t>
        </is>
      </c>
      <c r="K252" t="n">
        <v>60</v>
      </c>
      <c r="L252" t="inlineStr">
        <is>
          <t>16 Oktober 2026</t>
        </is>
      </c>
      <c r="M252" t="inlineStr">
        <is>
          <t>Instalasi Saluran Air (Plambing)</t>
        </is>
      </c>
      <c r="N252" t="inlineStr">
        <is>
          <t>Spesialis</t>
        </is>
      </c>
      <c r="O252" t="inlineStr">
        <is>
          <t>20231015</t>
        </is>
      </c>
      <c r="P252" t="inlineStr">
        <is>
          <t>Riau</t>
        </is>
      </c>
      <c r="Q252" t="inlineStr"/>
    </row>
    <row r="253">
      <c r="A253" t="inlineStr">
        <is>
          <t>CAHAYA SEMESTA</t>
        </is>
      </c>
      <c r="B253" t="inlineStr">
        <is>
          <t>Kota Surabaya</t>
        </is>
      </c>
      <c r="C253" t="inlineStr">
        <is>
          <t>085645012345</t>
        </is>
      </c>
      <c r="D253" t="inlineStr">
        <is>
          <t>cahayasemestarini2021@gmail.com</t>
        </is>
      </c>
      <c r="E253" t="inlineStr">
        <is>
          <t>https://lpjk.pu.go.id/search-badan-usaha-detail/WjYvVmFSM2ZPUXBaUE0rMy9nQmVIQT09</t>
        </is>
      </c>
      <c r="F253" t="n">
        <v>1</v>
      </c>
      <c r="G253" t="inlineStr">
        <is>
          <t>BG002</t>
        </is>
      </c>
      <c r="H253" t="inlineStr">
        <is>
          <t>8 April 2010</t>
        </is>
      </c>
      <c r="I253" s="2" t="n">
        <v>46313</v>
      </c>
      <c r="J253" t="inlineStr">
        <is>
          <t>Disetujui</t>
        </is>
      </c>
      <c r="K253" t="n">
        <v>60</v>
      </c>
      <c r="L253" t="inlineStr">
        <is>
          <t>18 Oktober 2026</t>
        </is>
      </c>
      <c r="M253" t="inlineStr">
        <is>
          <t>Konstruksi Gedung Perkantoran</t>
        </is>
      </c>
      <c r="N253" t="inlineStr">
        <is>
          <t>K</t>
        </is>
      </c>
      <c r="O253" t="inlineStr">
        <is>
          <t>20231003</t>
        </is>
      </c>
      <c r="P253" t="inlineStr">
        <is>
          <t>Jawa Timur</t>
        </is>
      </c>
      <c r="Q253" t="inlineStr"/>
    </row>
    <row r="254">
      <c r="A254" t="inlineStr">
        <is>
          <t>CAHAYA SITTI NURLILLY</t>
        </is>
      </c>
      <c r="B254" t="inlineStr">
        <is>
          <t>Kota Makassar</t>
        </is>
      </c>
      <c r="C254" t="inlineStr">
        <is>
          <t>081245275529</t>
        </is>
      </c>
      <c r="D254" t="inlineStr">
        <is>
          <t>indarjaya11@gmail.com</t>
        </is>
      </c>
      <c r="E254" t="inlineStr">
        <is>
          <t>https://lpjk.pu.go.id/search-badan-usaha-detail/MkRoanN3clppRmErUXZ4RGM0YVpaZz09</t>
        </is>
      </c>
      <c r="F254" t="n">
        <v>2</v>
      </c>
      <c r="G254" t="inlineStr">
        <is>
          <t>BG001, BS001</t>
        </is>
      </c>
      <c r="H254" t="inlineStr">
        <is>
          <t>20 November 2017</t>
        </is>
      </c>
      <c r="I254" s="2" t="n">
        <v>46311</v>
      </c>
      <c r="J254" t="inlineStr">
        <is>
          <t>Disetujui</t>
        </is>
      </c>
      <c r="K254" t="n">
        <v>60</v>
      </c>
      <c r="L254" t="inlineStr">
        <is>
          <t>16 Oktober 2026</t>
        </is>
      </c>
      <c r="M254" t="inlineStr">
        <is>
          <t>Konstruksi Bangunan Sipil Jalan, Konstruksi Gedung Hunian</t>
        </is>
      </c>
      <c r="N254" t="inlineStr">
        <is>
          <t>K</t>
        </is>
      </c>
      <c r="O254" t="inlineStr">
        <is>
          <t>20231010</t>
        </is>
      </c>
      <c r="P254" t="inlineStr">
        <is>
          <t>Sulawesi Selatan</t>
        </is>
      </c>
      <c r="Q254" t="inlineStr"/>
    </row>
    <row r="255">
      <c r="A255" t="inlineStr">
        <is>
          <t>CAHAYA TUNJUNG</t>
        </is>
      </c>
      <c r="B255" t="inlineStr">
        <is>
          <t>Kab. Lombok Tengah</t>
        </is>
      </c>
      <c r="C255" t="inlineStr">
        <is>
          <t>081917179640</t>
        </is>
      </c>
      <c r="D255" t="inlineStr">
        <is>
          <t>cahayatunjung@gmail.com</t>
        </is>
      </c>
      <c r="E255" t="inlineStr">
        <is>
          <t>https://lpjk.pu.go.id/search-badan-usaha-detail/L1cyMDh3WW1ySXpWTmQzcUQ5SFR4QT09</t>
        </is>
      </c>
      <c r="F255" t="n">
        <v>1</v>
      </c>
      <c r="G255" t="inlineStr">
        <is>
          <t>BG006</t>
        </is>
      </c>
      <c r="H255" t="inlineStr">
        <is>
          <t>20 Januari 2016</t>
        </is>
      </c>
      <c r="I255" s="2" t="n">
        <v>46312</v>
      </c>
      <c r="J255" t="inlineStr">
        <is>
          <t>Disetujui</t>
        </is>
      </c>
      <c r="K255" t="n">
        <v>60</v>
      </c>
      <c r="L255" t="inlineStr">
        <is>
          <t>17 Oktober 2026</t>
        </is>
      </c>
      <c r="M255" t="inlineStr">
        <is>
          <t>Konstruksi Gedung Pendidikan</t>
        </is>
      </c>
      <c r="N255" t="inlineStr">
        <is>
          <t>K</t>
        </is>
      </c>
      <c r="O255" t="inlineStr">
        <is>
          <t>20231010</t>
        </is>
      </c>
      <c r="P255" t="inlineStr">
        <is>
          <t>Nusa Tenggara Barat</t>
        </is>
      </c>
      <c r="Q255" t="inlineStr"/>
    </row>
    <row r="256">
      <c r="A256" t="inlineStr">
        <is>
          <t>CAKA ANUGRAH MANDIRI</t>
        </is>
      </c>
      <c r="B256" t="inlineStr">
        <is>
          <t>Kota Makassar</t>
        </is>
      </c>
      <c r="C256" t="inlineStr">
        <is>
          <t>0811467390</t>
        </is>
      </c>
      <c r="D256" t="inlineStr">
        <is>
          <t>cam_mks@yahoo.co.id</t>
        </is>
      </c>
      <c r="E256" t="inlineStr">
        <is>
          <t>https://lpjk.pu.go.id/search-badan-usaha-detail/TEFBMFlLb2pVdkVzc2tIZEZQdWF0Zz09</t>
        </is>
      </c>
      <c r="F256" t="n">
        <v>6</v>
      </c>
      <c r="G256" t="inlineStr">
        <is>
          <t>BG001, BG002, BG004, BG005, BG006, BS001</t>
        </is>
      </c>
      <c r="H256" t="inlineStr">
        <is>
          <t>19 Mei 2022</t>
        </is>
      </c>
      <c r="I256" s="2" t="n">
        <v>46308</v>
      </c>
      <c r="J256" t="inlineStr">
        <is>
          <t>Disetujui</t>
        </is>
      </c>
      <c r="K256" t="n">
        <v>60</v>
      </c>
      <c r="L256" t="inlineStr">
        <is>
          <t>13 Oktober 2026</t>
        </is>
      </c>
      <c r="M256" t="inlineStr">
        <is>
          <t>Konstruksi Bangunan Sipil Jalan, Konstruksi Gedung Hunian, Konstruksi Gedung Kesehatan, Konstruksi Gedung Pendidikan, Konstruksi Gedung Perbelanjaan, Konstruksi Gedung Perkantoran</t>
        </is>
      </c>
      <c r="N256" t="inlineStr">
        <is>
          <t>K</t>
        </is>
      </c>
      <c r="O256" t="inlineStr">
        <is>
          <t>20231005, 20231007, 20231013</t>
        </is>
      </c>
      <c r="P256" t="inlineStr">
        <is>
          <t>Sulawesi Selatan</t>
        </is>
      </c>
      <c r="Q256" t="inlineStr"/>
    </row>
    <row r="257">
      <c r="A257" t="inlineStr">
        <is>
          <t>CANDRA MAYA</t>
        </is>
      </c>
      <c r="B257" t="inlineStr">
        <is>
          <t>Kab. Labuhanbatu Selatan</t>
        </is>
      </c>
      <c r="C257" t="inlineStr">
        <is>
          <t>081361456274</t>
        </is>
      </c>
      <c r="D257" t="inlineStr">
        <is>
          <t>mayacandra114@gmail.com</t>
        </is>
      </c>
      <c r="E257" t="inlineStr">
        <is>
          <t>https://lpjk.pu.go.id/search-badan-usaha-detail/Si9FRnovK0hzTkxza3dpTWEycExOQT09</t>
        </is>
      </c>
      <c r="F257" t="n">
        <v>1</v>
      </c>
      <c r="G257" t="inlineStr">
        <is>
          <t>BG003</t>
        </is>
      </c>
      <c r="H257" t="inlineStr">
        <is>
          <t>30 Agustus 2022</t>
        </is>
      </c>
      <c r="I257" s="2" t="n">
        <v>46307</v>
      </c>
      <c r="J257" t="inlineStr">
        <is>
          <t>Disetujui</t>
        </is>
      </c>
      <c r="K257" t="n">
        <v>60</v>
      </c>
      <c r="L257" t="inlineStr">
        <is>
          <t>12 Oktober 2026</t>
        </is>
      </c>
      <c r="M257" t="inlineStr">
        <is>
          <t>Konstruksi Gedung Industri</t>
        </is>
      </c>
      <c r="N257" t="inlineStr">
        <is>
          <t>K</t>
        </is>
      </c>
      <c r="O257" t="inlineStr">
        <is>
          <t>20231011</t>
        </is>
      </c>
      <c r="P257" t="inlineStr">
        <is>
          <t>Sumatera Utara</t>
        </is>
      </c>
      <c r="Q257" t="inlineStr"/>
    </row>
    <row r="258">
      <c r="A258" t="inlineStr">
        <is>
          <t>CARAKA PILAR KENCANA</t>
        </is>
      </c>
      <c r="B258" t="inlineStr">
        <is>
          <t>Kota Surabaya</t>
        </is>
      </c>
      <c r="C258" t="inlineStr">
        <is>
          <t>08128128706</t>
        </is>
      </c>
      <c r="D258" t="inlineStr">
        <is>
          <t>iindama@yahoo.co.id</t>
        </is>
      </c>
      <c r="E258" t="inlineStr">
        <is>
          <t>https://lpjk.pu.go.id/search-badan-usaha-detail/WDlPWjdrdDJUaFpqMVJySWdKVHg0dz09</t>
        </is>
      </c>
      <c r="F258" t="n">
        <v>1</v>
      </c>
      <c r="G258" t="inlineStr">
        <is>
          <t>BG009</t>
        </is>
      </c>
      <c r="H258" t="inlineStr">
        <is>
          <t>30 Juni 2016</t>
        </is>
      </c>
      <c r="I258" s="2" t="n">
        <v>46310</v>
      </c>
      <c r="J258" t="inlineStr">
        <is>
          <t>Disetujui</t>
        </is>
      </c>
      <c r="K258" t="n">
        <v>60</v>
      </c>
      <c r="L258" t="inlineStr">
        <is>
          <t>15 Oktober 2026</t>
        </is>
      </c>
      <c r="M258" t="inlineStr">
        <is>
          <t>Konstruksi Gedung Lainnya</t>
        </is>
      </c>
      <c r="N258" t="inlineStr">
        <is>
          <t>K</t>
        </is>
      </c>
      <c r="O258" t="inlineStr">
        <is>
          <t>20231013</t>
        </is>
      </c>
      <c r="P258" t="inlineStr">
        <is>
          <t>Jawa Timur</t>
        </is>
      </c>
      <c r="Q258" t="inlineStr"/>
    </row>
    <row r="259">
      <c r="A259" t="inlineStr">
        <is>
          <t>CATUR GUNA KARYA</t>
        </is>
      </c>
      <c r="B259" t="inlineStr">
        <is>
          <t>Kab. Cilacap</t>
        </is>
      </c>
      <c r="C259" t="inlineStr">
        <is>
          <t>0282 546634</t>
        </is>
      </c>
      <c r="D259" t="inlineStr">
        <is>
          <t>cv.caturgunakarya@gmail.com</t>
        </is>
      </c>
      <c r="E259" t="inlineStr">
        <is>
          <t>https://lpjk.pu.go.id/search-badan-usaha-detail/VDVBaFE5U0cxbTJVWjlFaWFIbVdNQT09</t>
        </is>
      </c>
      <c r="F259" t="n">
        <v>2</v>
      </c>
      <c r="G259" t="inlineStr">
        <is>
          <t>BG002, BG006</t>
        </is>
      </c>
      <c r="H259" t="inlineStr">
        <is>
          <t>7 Februari 1990</t>
        </is>
      </c>
      <c r="I259" s="2" t="n">
        <v>46311</v>
      </c>
      <c r="J259" t="inlineStr">
        <is>
          <t>Disetujui</t>
        </is>
      </c>
      <c r="K259" t="n">
        <v>60</v>
      </c>
      <c r="L259" t="inlineStr">
        <is>
          <t>16 Oktober 2026</t>
        </is>
      </c>
      <c r="M259" t="inlineStr">
        <is>
          <t>Konstruksi Gedung Pendidikan, Konstruksi Gedung Perkantoran</t>
        </is>
      </c>
      <c r="N259" t="inlineStr">
        <is>
          <t>K</t>
        </is>
      </c>
      <c r="O259" t="inlineStr">
        <is>
          <t>20231016</t>
        </is>
      </c>
      <c r="P259" t="inlineStr">
        <is>
          <t>Jawa Tengah</t>
        </is>
      </c>
      <c r="Q259" t="inlineStr"/>
    </row>
    <row r="260">
      <c r="A260" t="inlineStr">
        <is>
          <t>CATUR KARSA INKRISUBA</t>
        </is>
      </c>
      <c r="B260" t="inlineStr">
        <is>
          <t>Kab. Probolinggo</t>
        </is>
      </c>
      <c r="C260" t="inlineStr">
        <is>
          <t>0335771666</t>
        </is>
      </c>
      <c r="D260" t="inlineStr">
        <is>
          <t>caturkarsainkrisuba@gmail.com</t>
        </is>
      </c>
      <c r="E260" t="inlineStr">
        <is>
          <t>https://lpjk.pu.go.id/search-badan-usaha-detail/WDZYUUR1YkdEeDFjaGdsUzN4N1FhUT09</t>
        </is>
      </c>
      <c r="F260" t="n">
        <v>1</v>
      </c>
      <c r="G260" t="inlineStr">
        <is>
          <t>BG009</t>
        </is>
      </c>
      <c r="H260" t="inlineStr">
        <is>
          <t>11 Juni 1996</t>
        </is>
      </c>
      <c r="I260" s="2" t="n">
        <v>46311</v>
      </c>
      <c r="J260" t="inlineStr">
        <is>
          <t>Disetujui</t>
        </is>
      </c>
      <c r="K260" t="n">
        <v>60</v>
      </c>
      <c r="L260" t="inlineStr">
        <is>
          <t>16 Oktober 2026</t>
        </is>
      </c>
      <c r="M260" t="inlineStr">
        <is>
          <t>Konstruksi Gedung Lainnya</t>
        </is>
      </c>
      <c r="N260" t="inlineStr">
        <is>
          <t>K</t>
        </is>
      </c>
      <c r="O260" t="inlineStr">
        <is>
          <t>20231016</t>
        </is>
      </c>
      <c r="P260" t="inlineStr">
        <is>
          <t>Jawa Timur</t>
        </is>
      </c>
      <c r="Q260" t="inlineStr"/>
    </row>
    <row r="261">
      <c r="A261" t="inlineStr">
        <is>
          <t>CEMERLANG SAMUDRA KONTRINDO</t>
        </is>
      </c>
      <c r="B261" t="inlineStr">
        <is>
          <t>Kota Medan</t>
        </is>
      </c>
      <c r="C261" t="inlineStr">
        <is>
          <t>0614527251</t>
        </is>
      </c>
      <c r="D261" t="inlineStr">
        <is>
          <t>cskpt.medan@gmail.com</t>
        </is>
      </c>
      <c r="E261" t="inlineStr">
        <is>
          <t>https://lpjk.pu.go.id/search-badan-usaha-detail/TkQ5MTdTQ1QvRUk3WHpJZWk1VTA1dz09</t>
        </is>
      </c>
      <c r="F261" t="n">
        <v>1</v>
      </c>
      <c r="G261" t="inlineStr">
        <is>
          <t>BS011</t>
        </is>
      </c>
      <c r="H261" t="inlineStr">
        <is>
          <t>9 April 1998</t>
        </is>
      </c>
      <c r="I261" s="2" t="n">
        <v>46312</v>
      </c>
      <c r="J261" t="inlineStr">
        <is>
          <t>Disetujui</t>
        </is>
      </c>
      <c r="K261" t="n">
        <v>60</v>
      </c>
      <c r="L261" t="inlineStr">
        <is>
          <t>17 Oktober 2026</t>
        </is>
      </c>
      <c r="M261" t="inlineStr">
        <is>
          <t>Konstruksi Bangunan Pelabuhan Bukan Perikanan</t>
        </is>
      </c>
      <c r="N261" t="inlineStr">
        <is>
          <t>B</t>
        </is>
      </c>
      <c r="O261" t="inlineStr">
        <is>
          <t>20231004</t>
        </is>
      </c>
      <c r="P261" t="inlineStr">
        <is>
          <t>Sumatera Utara</t>
        </is>
      </c>
      <c r="Q261" t="inlineStr"/>
    </row>
    <row r="262">
      <c r="A262" t="inlineStr">
        <is>
          <t>CHANDRA SETYA KARYA</t>
        </is>
      </c>
      <c r="B262" t="inlineStr">
        <is>
          <t>Kab. Tuban</t>
        </is>
      </c>
      <c r="C262" t="inlineStr">
        <is>
          <t>081357504828</t>
        </is>
      </c>
      <c r="D262" t="inlineStr">
        <is>
          <t>chandrasetyakaryapt@gmail.com</t>
        </is>
      </c>
      <c r="E262" t="inlineStr">
        <is>
          <t>https://lpjk.pu.go.id/search-badan-usaha-detail/eVhuQXVKcURHb3l1QkhybGFFbWhqZz09</t>
        </is>
      </c>
      <c r="F262" t="n">
        <v>1</v>
      </c>
      <c r="G262" t="inlineStr">
        <is>
          <t>PL002</t>
        </is>
      </c>
      <c r="H262" t="inlineStr">
        <is>
          <t>23 November 2018</t>
        </is>
      </c>
      <c r="I262" s="2" t="n">
        <v>46311</v>
      </c>
      <c r="J262" t="inlineStr">
        <is>
          <t>Pencabutan</t>
        </is>
      </c>
      <c r="K262" t="n">
        <v>60</v>
      </c>
      <c r="L262" t="inlineStr">
        <is>
          <t>16 Oktober 2026</t>
        </is>
      </c>
      <c r="M262" t="inlineStr">
        <is>
          <t>Pengerukan</t>
        </is>
      </c>
      <c r="N262" t="inlineStr">
        <is>
          <t>Spesialis</t>
        </is>
      </c>
      <c r="O262" t="inlineStr">
        <is>
          <t>20231017</t>
        </is>
      </c>
      <c r="P262" t="inlineStr">
        <is>
          <t>Jawa Timur</t>
        </is>
      </c>
      <c r="Q262" t="inlineStr"/>
    </row>
    <row r="263">
      <c r="A263" t="inlineStr">
        <is>
          <t>CHEPAN ABADI</t>
        </is>
      </c>
      <c r="B263" t="inlineStr">
        <is>
          <t>Kab. Sukabumi</t>
        </is>
      </c>
      <c r="C263" t="inlineStr">
        <is>
          <t>08972020242</t>
        </is>
      </c>
      <c r="D263" t="inlineStr">
        <is>
          <t>chepan.abadi@gmail.com</t>
        </is>
      </c>
      <c r="E263" t="inlineStr">
        <is>
          <t>https://lpjk.pu.go.id/search-badan-usaha-detail/bUN2bmtSUU4wU2lhdWlkMDl1TWRtUT09</t>
        </is>
      </c>
      <c r="F263" t="n">
        <v>5</v>
      </c>
      <c r="G263" t="inlineStr">
        <is>
          <t>BG002, BG006, BG009, BS001, BS004</t>
        </is>
      </c>
      <c r="H263" t="inlineStr">
        <is>
          <t>7 September 2015</t>
        </is>
      </c>
      <c r="I263" s="2" t="n">
        <v>46310</v>
      </c>
      <c r="J263" t="inlineStr">
        <is>
          <t>Disetujui</t>
        </is>
      </c>
      <c r="K263" t="n">
        <v>60</v>
      </c>
      <c r="L263" t="inlineStr">
        <is>
          <t>15 Oktober 2026</t>
        </is>
      </c>
      <c r="M263" t="inlineStr">
        <is>
          <t>Konstruksi Bangunan Sipil Jalan, Konstruksi Gedung Lainnya, Konstruksi Gedung Pendidikan, Konstruksi Gedung Perkantoran, Konstruksi Jaringan Irigasi dan Drainase</t>
        </is>
      </c>
      <c r="N263" t="inlineStr">
        <is>
          <t>K</t>
        </is>
      </c>
      <c r="O263" t="inlineStr">
        <is>
          <t>20230918</t>
        </is>
      </c>
      <c r="P263" t="inlineStr">
        <is>
          <t>Jawa Barat</t>
        </is>
      </c>
      <c r="Q263" t="inlineStr"/>
    </row>
    <row r="264">
      <c r="A264" t="inlineStr">
        <is>
          <t>CIPTA BANGUN KAIRA</t>
        </is>
      </c>
      <c r="B264" t="inlineStr">
        <is>
          <t>Kota Adm. Jakarta Pusat</t>
        </is>
      </c>
      <c r="C264" t="inlineStr">
        <is>
          <t>0895383243551</t>
        </is>
      </c>
      <c r="D264" t="inlineStr">
        <is>
          <t>ciptabangunkaira@gmail.com</t>
        </is>
      </c>
      <c r="E264" t="inlineStr">
        <is>
          <t>https://lpjk.pu.go.id/search-badan-usaha-detail/c29zaWN2QlBpUWNOdkNJUzh1L2F2QT09</t>
        </is>
      </c>
      <c r="F264" t="n">
        <v>4</v>
      </c>
      <c r="G264" t="inlineStr">
        <is>
          <t>BG001, BG002</t>
        </is>
      </c>
      <c r="H264" t="inlineStr">
        <is>
          <t>11 Oktober 2023</t>
        </is>
      </c>
      <c r="I264" s="2" t="n">
        <v>46313</v>
      </c>
      <c r="J264" t="inlineStr">
        <is>
          <t>Disetujui, Pencabutan</t>
        </is>
      </c>
      <c r="K264" t="n">
        <v>60</v>
      </c>
      <c r="L264" t="inlineStr">
        <is>
          <t>18 Oktober 2026</t>
        </is>
      </c>
      <c r="M264" t="inlineStr">
        <is>
          <t>Konstruksi Gedung Hunian, Konstruksi Gedung Perkantoran</t>
        </is>
      </c>
      <c r="N264" t="inlineStr">
        <is>
          <t>K</t>
        </is>
      </c>
      <c r="O264" t="inlineStr">
        <is>
          <t>20231017</t>
        </is>
      </c>
      <c r="P264" t="inlineStr">
        <is>
          <t>DKI Jakarta</t>
        </is>
      </c>
      <c r="Q264" t="inlineStr"/>
    </row>
    <row r="265">
      <c r="A265" t="inlineStr">
        <is>
          <t>CIPTA KARYA SOLUSINDO</t>
        </is>
      </c>
      <c r="B265" t="inlineStr">
        <is>
          <t>Kota Tangerang Selatan</t>
        </is>
      </c>
      <c r="C265" t="inlineStr">
        <is>
          <t>02153124802</t>
        </is>
      </c>
      <c r="D265" t="inlineStr">
        <is>
          <t>ciptakaryasolusindo@yahoo.com</t>
        </is>
      </c>
      <c r="E265" t="inlineStr">
        <is>
          <t>https://lpjk.pu.go.id/search-badan-usaha-detail/VVlEZksrUlBlSVJUeEpmWGkzT2FjUT09</t>
        </is>
      </c>
      <c r="F265" t="n">
        <v>6</v>
      </c>
      <c r="G265" t="inlineStr">
        <is>
          <t>BG003</t>
        </is>
      </c>
      <c r="H265" t="inlineStr">
        <is>
          <t>13 Desember 2011</t>
        </is>
      </c>
      <c r="I265" s="2" t="n">
        <v>46311</v>
      </c>
      <c r="J265" t="inlineStr">
        <is>
          <t>Pembekuan</t>
        </is>
      </c>
      <c r="K265" t="n">
        <v>60</v>
      </c>
      <c r="L265" t="inlineStr">
        <is>
          <t>16 Oktober 2026</t>
        </is>
      </c>
      <c r="M265" t="inlineStr">
        <is>
          <t>Konstruksi Gedung Industri</t>
        </is>
      </c>
      <c r="N265" t="inlineStr">
        <is>
          <t>M</t>
        </is>
      </c>
      <c r="O265" t="inlineStr">
        <is>
          <t>20230911</t>
        </is>
      </c>
      <c r="P265" t="inlineStr">
        <is>
          <t>Banten</t>
        </is>
      </c>
      <c r="Q265" t="inlineStr"/>
    </row>
    <row r="266">
      <c r="A266" t="inlineStr">
        <is>
          <t>CIPTA KIRANA RAYA</t>
        </is>
      </c>
      <c r="B266" t="inlineStr">
        <is>
          <t>Kab. Nganjuk</t>
        </is>
      </c>
      <c r="C266" t="inlineStr">
        <is>
          <t>082138888990</t>
        </is>
      </c>
      <c r="D266" t="inlineStr">
        <is>
          <t>ciptakiranaraya@gmail.com</t>
        </is>
      </c>
      <c r="E266" t="inlineStr">
        <is>
          <t>https://lpjk.pu.go.id/search-badan-usaha-detail/d2JsbXYrSFhqNWxBNnFKdTJLeGpidz09</t>
        </is>
      </c>
      <c r="F266" t="n">
        <v>1</v>
      </c>
      <c r="G266" t="inlineStr">
        <is>
          <t>BG006</t>
        </is>
      </c>
      <c r="H266" t="inlineStr">
        <is>
          <t>8 Maret 2023</t>
        </is>
      </c>
      <c r="I266" s="2" t="n">
        <v>46311</v>
      </c>
      <c r="J266" t="inlineStr">
        <is>
          <t>Disetujui</t>
        </is>
      </c>
      <c r="K266" t="n">
        <v>60</v>
      </c>
      <c r="L266" t="inlineStr">
        <is>
          <t>16 Oktober 2026</t>
        </is>
      </c>
      <c r="M266" t="inlineStr">
        <is>
          <t>Konstruksi Gedung Pendidikan</t>
        </is>
      </c>
      <c r="N266" t="inlineStr">
        <is>
          <t>K</t>
        </is>
      </c>
      <c r="O266" t="inlineStr">
        <is>
          <t>20231017</t>
        </is>
      </c>
      <c r="P266" t="inlineStr">
        <is>
          <t>Jawa Timur</t>
        </is>
      </c>
      <c r="Q266" t="inlineStr"/>
    </row>
    <row r="267">
      <c r="A267" t="inlineStr">
        <is>
          <t>CIPTA MANDIRI</t>
        </is>
      </c>
      <c r="B267" t="inlineStr">
        <is>
          <t>Kota Medan</t>
        </is>
      </c>
      <c r="C267" t="inlineStr">
        <is>
          <t>0617320322</t>
        </is>
      </c>
      <c r="D267" t="inlineStr">
        <is>
          <t>cv.ciptamandiri@rocketmail.com</t>
        </is>
      </c>
      <c r="E267" t="inlineStr">
        <is>
          <t>https://lpjk.pu.go.id/search-badan-usaha-detail/SEwzYldHYjNZOTVzdEJqNEkraFFDUT09</t>
        </is>
      </c>
      <c r="F267" t="n">
        <v>4</v>
      </c>
      <c r="G267" t="inlineStr">
        <is>
          <t>BG003, BG008</t>
        </is>
      </c>
      <c r="H267" t="inlineStr">
        <is>
          <t>22 Desember 2003</t>
        </is>
      </c>
      <c r="I267" s="2" t="n">
        <v>46307</v>
      </c>
      <c r="J267" t="inlineStr">
        <is>
          <t>Pencabutan</t>
        </is>
      </c>
      <c r="K267" t="n">
        <v>60</v>
      </c>
      <c r="L267" t="inlineStr">
        <is>
          <t>12 Oktober 2026</t>
        </is>
      </c>
      <c r="M267" t="inlineStr">
        <is>
          <t>Konstruksi Gedung Industri, Konstruksi Gedung Tempat Hiburan dan Olahraga</t>
        </is>
      </c>
      <c r="N267" t="inlineStr">
        <is>
          <t>K</t>
        </is>
      </c>
      <c r="O267" t="inlineStr">
        <is>
          <t>20231009</t>
        </is>
      </c>
      <c r="P267" t="inlineStr">
        <is>
          <t>Sumatera Utara</t>
        </is>
      </c>
      <c r="Q267" t="inlineStr"/>
    </row>
    <row r="268">
      <c r="A268" t="inlineStr">
        <is>
          <t>CIPTA TUNGGUL WILIS</t>
        </is>
      </c>
      <c r="B268" t="inlineStr">
        <is>
          <t>Kab. Nganjuk</t>
        </is>
      </c>
      <c r="C268" t="inlineStr">
        <is>
          <t>85649268460</t>
        </is>
      </c>
      <c r="D268" t="inlineStr">
        <is>
          <t>ciptatunggulwilis@gmail.com</t>
        </is>
      </c>
      <c r="E268" t="inlineStr">
        <is>
          <t>https://lpjk.pu.go.id/search-badan-usaha-detail/K2ppSjFoa2tlZStuQkFVdzJCbFd5QT09</t>
        </is>
      </c>
      <c r="F268" t="n">
        <v>8</v>
      </c>
      <c r="G268" t="inlineStr">
        <is>
          <t>BG006, BG009, BS004, BS010</t>
        </is>
      </c>
      <c r="H268" t="inlineStr">
        <is>
          <t>23 Oktober 2020</t>
        </is>
      </c>
      <c r="I268" s="2" t="n">
        <v>46307</v>
      </c>
      <c r="J268" t="inlineStr">
        <is>
          <t>Disetujui</t>
        </is>
      </c>
      <c r="K268" t="n">
        <v>60</v>
      </c>
      <c r="L268" t="inlineStr">
        <is>
          <t>12 Oktober 2026</t>
        </is>
      </c>
      <c r="M268" t="inlineStr">
        <is>
          <t>Konstruksi Bangunan Prasarana Sumber Daya Air, Konstruksi Gedung Lainnya, Konstruksi Gedung Pendidikan, Konstruksi Jaringan Irigasi dan Drainase</t>
        </is>
      </c>
      <c r="N268" t="inlineStr">
        <is>
          <t>K</t>
        </is>
      </c>
      <c r="O268" t="inlineStr">
        <is>
          <t>20231011, 20231018</t>
        </is>
      </c>
      <c r="P268" t="inlineStr">
        <is>
          <t>Jawa Timur</t>
        </is>
      </c>
      <c r="Q268" t="inlineStr"/>
    </row>
    <row r="269">
      <c r="A269" t="inlineStr">
        <is>
          <t>CITA SELARAS MANDIRI</t>
        </is>
      </c>
      <c r="B269" t="inlineStr">
        <is>
          <t>Kota Yogyakarta</t>
        </is>
      </c>
      <c r="C269" t="inlineStr">
        <is>
          <t>085100336016</t>
        </is>
      </c>
      <c r="D269" t="inlineStr">
        <is>
          <t>selaras.cita@yahoo.co.id</t>
        </is>
      </c>
      <c r="E269" t="inlineStr">
        <is>
          <t>https://lpjk.pu.go.id/search-badan-usaha-detail/cXRyUDN4d2dKWmdJNTI0cUc1S2xXQT09</t>
        </is>
      </c>
      <c r="F269" t="n">
        <v>1</v>
      </c>
      <c r="G269" t="inlineStr">
        <is>
          <t>PL005</t>
        </is>
      </c>
      <c r="H269" t="inlineStr">
        <is>
          <t>8 Maret 2002</t>
        </is>
      </c>
      <c r="I269" s="2" t="n">
        <v>46311</v>
      </c>
      <c r="J269" t="inlineStr">
        <is>
          <t>Pembekuan</t>
        </is>
      </c>
      <c r="K269" t="n">
        <v>60</v>
      </c>
      <c r="L269" t="inlineStr">
        <is>
          <t>16 Oktober 2026</t>
        </is>
      </c>
      <c r="M269" t="inlineStr">
        <is>
          <t>Pembuatan/Pengeboran Sumur Air Tanah</t>
        </is>
      </c>
      <c r="N269" t="inlineStr">
        <is>
          <t>Spesialis</t>
        </is>
      </c>
      <c r="O269" t="inlineStr">
        <is>
          <t>20231016</t>
        </is>
      </c>
      <c r="P269" t="inlineStr">
        <is>
          <t>DI Yogyakarta</t>
        </is>
      </c>
      <c r="Q269" t="inlineStr"/>
    </row>
    <row r="270">
      <c r="A270" t="inlineStr">
        <is>
          <t>CITRA AGUNG</t>
        </is>
      </c>
      <c r="B270" t="inlineStr">
        <is>
          <t>Kab. Karawang</t>
        </is>
      </c>
      <c r="C270" t="inlineStr">
        <is>
          <t>081298470668</t>
        </is>
      </c>
      <c r="D270" t="inlineStr">
        <is>
          <t>cv.citraagung22@gmail.com</t>
        </is>
      </c>
      <c r="E270" t="inlineStr">
        <is>
          <t>https://lpjk.pu.go.id/search-badan-usaha-detail/YUtTWEorRkZUMmlmUDJxUUtQanNkQT09</t>
        </is>
      </c>
      <c r="F270" t="n">
        <v>8</v>
      </c>
      <c r="G270" t="inlineStr">
        <is>
          <t>BG002, BG005, BG006, BG009, BS001, BS002, BS004, BS005</t>
        </is>
      </c>
      <c r="H270" t="inlineStr">
        <is>
          <t>19 Juni 2000</t>
        </is>
      </c>
      <c r="I270" s="2" t="n">
        <v>46313</v>
      </c>
      <c r="J270" t="inlineStr">
        <is>
          <t>Disetujui</t>
        </is>
      </c>
      <c r="K270" t="n">
        <v>60</v>
      </c>
      <c r="L270" t="inlineStr">
        <is>
          <t>18 Oktober 2026</t>
        </is>
      </c>
      <c r="M270" t="inlineStr">
        <is>
          <t>Bangunan Sipil Jembatan, Jalan Layang, Fly Over, dan Underpass, Konstruksi Bangunan Sipil Jalan, Konstruksi Bangunan Sipil Pengolahan Air Bersih, Konstruksi Gedung Kesehatan, Konstruksi Gedung Lainnya, Konstruksi Gedung Pendidikan, Konstruksi Gedung Perkantoran, Konstruksi Jaringan Irigasi dan Drainase</t>
        </is>
      </c>
      <c r="N270" t="inlineStr">
        <is>
          <t>K</t>
        </is>
      </c>
      <c r="O270" t="inlineStr">
        <is>
          <t>20231016</t>
        </is>
      </c>
      <c r="P270" t="inlineStr">
        <is>
          <t>Jawa Barat</t>
        </is>
      </c>
      <c r="Q270" t="inlineStr"/>
    </row>
    <row r="271">
      <c r="A271" t="inlineStr">
        <is>
          <t>CITRA DELTA MAKMUR</t>
        </is>
      </c>
      <c r="B271" t="inlineStr">
        <is>
          <t>Kab. Sidoarjo</t>
        </is>
      </c>
      <c r="C271" t="inlineStr">
        <is>
          <t>03199005858</t>
        </is>
      </c>
      <c r="D271" t="inlineStr">
        <is>
          <t>smcitradelta@gmail.com</t>
        </is>
      </c>
      <c r="E271" t="inlineStr">
        <is>
          <t>https://lpjk.pu.go.id/search-badan-usaha-detail/anZBRzBwMk8rK2RYZEhqYXdteEprUT09</t>
        </is>
      </c>
      <c r="F271" t="n">
        <v>2</v>
      </c>
      <c r="G271" t="inlineStr">
        <is>
          <t>BG002, BS007</t>
        </is>
      </c>
      <c r="H271" t="inlineStr">
        <is>
          <t>26 Maret 2012</t>
        </is>
      </c>
      <c r="I271" s="2" t="n">
        <v>46310</v>
      </c>
      <c r="J271" t="inlineStr">
        <is>
          <t>Disetujui</t>
        </is>
      </c>
      <c r="K271" t="n">
        <v>60</v>
      </c>
      <c r="L271" t="inlineStr">
        <is>
          <t>15 Oktober 2026</t>
        </is>
      </c>
      <c r="M271" t="inlineStr">
        <is>
          <t>Konstruksi Bangunan Sipil Elektrikal, Konstruksi Gedung Perkantoran</t>
        </is>
      </c>
      <c r="N271" t="inlineStr">
        <is>
          <t>K</t>
        </is>
      </c>
      <c r="O271" t="inlineStr">
        <is>
          <t>20231010, 20231015</t>
        </is>
      </c>
      <c r="P271" t="inlineStr">
        <is>
          <t>Jawa Timur</t>
        </is>
      </c>
      <c r="Q271" t="inlineStr"/>
    </row>
    <row r="272">
      <c r="A272" t="inlineStr">
        <is>
          <t>CITRA DWIDAYA CEMERLANG</t>
        </is>
      </c>
      <c r="B272" t="inlineStr">
        <is>
          <t>Kab. Blora</t>
        </is>
      </c>
      <c r="C272" t="inlineStr">
        <is>
          <t>02964271616</t>
        </is>
      </c>
      <c r="D272" t="inlineStr">
        <is>
          <t>cdc@petroce.com</t>
        </is>
      </c>
      <c r="E272" t="inlineStr">
        <is>
          <t>https://lpjk.pu.go.id/search-badan-usaha-detail/YzZzWVdkTVNjS2lHRnBjNjVvM3AwZz09</t>
        </is>
      </c>
      <c r="F272" t="n">
        <v>1</v>
      </c>
      <c r="G272" t="inlineStr">
        <is>
          <t>PL008</t>
        </is>
      </c>
      <c r="H272" t="inlineStr">
        <is>
          <t>9 Maret 2004</t>
        </is>
      </c>
      <c r="I272" s="2" t="n">
        <v>46313</v>
      </c>
      <c r="J272" t="inlineStr">
        <is>
          <t>Pembekuan</t>
        </is>
      </c>
      <c r="K272" t="n">
        <v>60</v>
      </c>
      <c r="L272" t="inlineStr">
        <is>
          <t>18 Oktober 2026</t>
        </is>
      </c>
      <c r="M272" t="inlineStr">
        <is>
          <t>Pemasangan Perancah (Steiger)</t>
        </is>
      </c>
      <c r="N272" t="inlineStr">
        <is>
          <t>Spesialis</t>
        </is>
      </c>
      <c r="O272" t="inlineStr">
        <is>
          <t>20231017</t>
        </is>
      </c>
      <c r="P272" t="inlineStr">
        <is>
          <t>Jawa Tengah</t>
        </is>
      </c>
      <c r="Q272" t="inlineStr"/>
    </row>
    <row r="273">
      <c r="A273" t="inlineStr">
        <is>
          <t>CITRA KARYA</t>
        </is>
      </c>
      <c r="B273" t="inlineStr">
        <is>
          <t>Kota Tanjung Pinang</t>
        </is>
      </c>
      <c r="C273" t="inlineStr">
        <is>
          <t>082363833698</t>
        </is>
      </c>
      <c r="D273" t="inlineStr">
        <is>
          <t>teguhgunawan33@yahoo.com</t>
        </is>
      </c>
      <c r="E273" t="inlineStr">
        <is>
          <t>https://lpjk.pu.go.id/search-badan-usaha-detail/ZGlWMFJYdytxeVpyelNLQ2FCcjBydz09</t>
        </is>
      </c>
      <c r="F273" t="n">
        <v>2</v>
      </c>
      <c r="G273" t="inlineStr">
        <is>
          <t>RK001, RK003</t>
        </is>
      </c>
      <c r="H273" t="inlineStr">
        <is>
          <t>22 Juni 2012</t>
        </is>
      </c>
      <c r="I273" s="2" t="n">
        <v>46313</v>
      </c>
      <c r="J273" t="inlineStr">
        <is>
          <t>Disetujui</t>
        </is>
      </c>
      <c r="K273" t="n">
        <v>60</v>
      </c>
      <c r="L273" t="inlineStr">
        <is>
          <t>18 Oktober 2026</t>
        </is>
      </c>
      <c r="M273" t="inlineStr">
        <is>
          <t>Jasa Rekayasa Konstruksi Bangunan Gedung Hunian dan Non Hunian, Jasa Rekayasa Pekerjaan Teknik Sipil Transportasi</t>
        </is>
      </c>
      <c r="N273" t="inlineStr">
        <is>
          <t>K</t>
        </is>
      </c>
      <c r="O273" t="inlineStr">
        <is>
          <t>20230927, 20231003</t>
        </is>
      </c>
      <c r="P273" t="inlineStr">
        <is>
          <t>Kepulauan Riau</t>
        </is>
      </c>
      <c r="Q273" t="inlineStr"/>
    </row>
    <row r="274">
      <c r="A274" t="inlineStr">
        <is>
          <t>CITRA KARYA MANDIRI</t>
        </is>
      </c>
      <c r="B274" t="inlineStr">
        <is>
          <t>Kota Bandung</t>
        </is>
      </c>
      <c r="C274" t="inlineStr">
        <is>
          <t>0227565827</t>
        </is>
      </c>
      <c r="D274" t="inlineStr">
        <is>
          <t>cvckmbdg@gmail.com</t>
        </is>
      </c>
      <c r="E274" t="inlineStr">
        <is>
          <t>https://lpjk.pu.go.id/search-badan-usaha-detail/NWhRN2kzQy9VK2lXNy9hb2ZJdmplQT09</t>
        </is>
      </c>
      <c r="F274" t="n">
        <v>1</v>
      </c>
      <c r="G274" t="inlineStr">
        <is>
          <t>BG002</t>
        </is>
      </c>
      <c r="H274" t="inlineStr">
        <is>
          <t>21 April 1992</t>
        </is>
      </c>
      <c r="I274" s="2" t="n">
        <v>46308</v>
      </c>
      <c r="J274" t="inlineStr">
        <is>
          <t>Disetujui</t>
        </is>
      </c>
      <c r="K274" t="n">
        <v>60</v>
      </c>
      <c r="L274" t="inlineStr">
        <is>
          <t>13 Oktober 2026</t>
        </is>
      </c>
      <c r="M274" t="inlineStr">
        <is>
          <t>Konstruksi Gedung Perkantoran</t>
        </is>
      </c>
      <c r="N274" t="inlineStr">
        <is>
          <t>K</t>
        </is>
      </c>
      <c r="O274" t="inlineStr">
        <is>
          <t>20231006</t>
        </is>
      </c>
      <c r="P274" t="inlineStr">
        <is>
          <t>Jawa Barat</t>
        </is>
      </c>
      <c r="Q274" t="inlineStr"/>
    </row>
    <row r="275">
      <c r="A275" t="inlineStr">
        <is>
          <t>CITRA SEJAHTERA MANDIRI</t>
        </is>
      </c>
      <c r="B275" t="inlineStr">
        <is>
          <t>Kota Medan</t>
        </is>
      </c>
      <c r="C275" t="inlineStr">
        <is>
          <t>08116391970</t>
        </is>
      </c>
      <c r="D275" t="inlineStr">
        <is>
          <t>citrasejahteramandiri_cv@yahoo.co.id</t>
        </is>
      </c>
      <c r="E275" t="inlineStr">
        <is>
          <t>https://lpjk.pu.go.id/search-badan-usaha-detail/S05OUS9kN2pKY3ZtSWdxVk92VTQ5Zz09</t>
        </is>
      </c>
      <c r="F275" t="n">
        <v>1</v>
      </c>
      <c r="G275" t="inlineStr">
        <is>
          <t>BG001</t>
        </is>
      </c>
      <c r="H275" t="inlineStr">
        <is>
          <t>15 Januari 2007</t>
        </is>
      </c>
      <c r="I275" s="2" t="n">
        <v>46313</v>
      </c>
      <c r="J275" t="inlineStr">
        <is>
          <t>Pencabutan</t>
        </is>
      </c>
      <c r="K275" t="n">
        <v>60</v>
      </c>
      <c r="L275" t="inlineStr">
        <is>
          <t>18 Oktober 2026</t>
        </is>
      </c>
      <c r="M275" t="inlineStr">
        <is>
          <t>Konstruksi Gedung Hunian</t>
        </is>
      </c>
      <c r="N275" t="inlineStr">
        <is>
          <t>K</t>
        </is>
      </c>
      <c r="O275" t="inlineStr">
        <is>
          <t>20231017</t>
        </is>
      </c>
      <c r="P275" t="inlineStr">
        <is>
          <t>Sumatera Utara</t>
        </is>
      </c>
      <c r="Q275" t="inlineStr"/>
    </row>
    <row r="276">
      <c r="A276" t="inlineStr">
        <is>
          <t>CITRA SEJAHTERA MANDIRI</t>
        </is>
      </c>
      <c r="B276" t="inlineStr">
        <is>
          <t>Kab. Kotabaru</t>
        </is>
      </c>
      <c r="C276" t="inlineStr">
        <is>
          <t>082154962879</t>
        </is>
      </c>
      <c r="D276" t="inlineStr">
        <is>
          <t>cv.citrasejahteramandiri@yahoo.co.id</t>
        </is>
      </c>
      <c r="E276" t="inlineStr">
        <is>
          <t>https://lpjk.pu.go.id/search-badan-usaha-detail/aEY2Uk5LZEFCZmM1TUdXeEk0SkR2UT09</t>
        </is>
      </c>
      <c r="F276" t="n">
        <v>5</v>
      </c>
      <c r="G276" t="inlineStr">
        <is>
          <t>BG001, BG002, BG004, BG008, BG009</t>
        </is>
      </c>
      <c r="H276" t="inlineStr">
        <is>
          <t>26 Desember 2000</t>
        </is>
      </c>
      <c r="I276" s="2" t="n">
        <v>46308</v>
      </c>
      <c r="J276" t="inlineStr">
        <is>
          <t>Disetujui</t>
        </is>
      </c>
      <c r="K276" t="n">
        <v>60</v>
      </c>
      <c r="L276" t="inlineStr">
        <is>
          <t>13 Oktober 2026</t>
        </is>
      </c>
      <c r="M276" t="inlineStr">
        <is>
          <t>Konstruksi Gedung Hunian, Konstruksi Gedung Lainnya, Konstruksi Gedung Perbelanjaan, Konstruksi Gedung Perkantoran, Konstruksi Gedung Tempat Hiburan dan Olahraga</t>
        </is>
      </c>
      <c r="N276" t="inlineStr">
        <is>
          <t>K</t>
        </is>
      </c>
      <c r="O276" t="inlineStr">
        <is>
          <t>20231011, 20231014</t>
        </is>
      </c>
      <c r="P276" t="inlineStr">
        <is>
          <t>Kalimantan Selatan</t>
        </is>
      </c>
      <c r="Q276" t="inlineStr"/>
    </row>
    <row r="277">
      <c r="A277" t="inlineStr">
        <is>
          <t>CONSTRUCTION INDONESIA</t>
        </is>
      </c>
      <c r="B277" t="inlineStr">
        <is>
          <t>Kab. Musi Banyuasin</t>
        </is>
      </c>
      <c r="C277" t="inlineStr">
        <is>
          <t>082183583993</t>
        </is>
      </c>
      <c r="D277" t="inlineStr">
        <is>
          <t>cvcontructionindonesiacontruct@gmail.com</t>
        </is>
      </c>
      <c r="E277" t="inlineStr">
        <is>
          <t>https://lpjk.pu.go.id/search-badan-usaha-detail/SkpKVUxod1h0MWttK3NiQ0RuOTM5UT09</t>
        </is>
      </c>
      <c r="F277" t="n">
        <v>1</v>
      </c>
      <c r="G277" t="inlineStr">
        <is>
          <t>BG004</t>
        </is>
      </c>
      <c r="H277" t="inlineStr">
        <is>
          <t>11 Januari 2015</t>
        </is>
      </c>
      <c r="I277" s="2" t="n">
        <v>46313</v>
      </c>
      <c r="J277" t="inlineStr">
        <is>
          <t>Disetujui</t>
        </is>
      </c>
      <c r="K277" t="n">
        <v>60</v>
      </c>
      <c r="L277" t="inlineStr">
        <is>
          <t>18 Oktober 2026</t>
        </is>
      </c>
      <c r="M277" t="inlineStr">
        <is>
          <t>Konstruksi Gedung Perbelanjaan</t>
        </is>
      </c>
      <c r="N277" t="inlineStr">
        <is>
          <t>K</t>
        </is>
      </c>
      <c r="O277" t="inlineStr">
        <is>
          <t>20231017</t>
        </is>
      </c>
      <c r="P277" t="inlineStr">
        <is>
          <t>Sumatera Selatan</t>
        </is>
      </c>
      <c r="Q277" t="inlineStr"/>
    </row>
    <row r="278">
      <c r="A278" t="inlineStr">
        <is>
          <t>CV. HANISSA PRATAMA</t>
        </is>
      </c>
      <c r="B278" t="inlineStr">
        <is>
          <t>Kab. Cirebon</t>
        </is>
      </c>
      <c r="C278" t="inlineStr">
        <is>
          <t>081395704155</t>
        </is>
      </c>
      <c r="D278" t="inlineStr">
        <is>
          <t>HANISSA.PRATAM55@GMAIL.COM</t>
        </is>
      </c>
      <c r="E278" t="inlineStr">
        <is>
          <t>https://lpjk.pu.go.id/search-badan-usaha-detail/aUJMc3hHVE12MzFuSDhqbk5PWU9HUT09</t>
        </is>
      </c>
      <c r="F278" t="n">
        <v>2</v>
      </c>
      <c r="G278" t="inlineStr">
        <is>
          <t>RK001, RK003</t>
        </is>
      </c>
      <c r="H278" t="inlineStr">
        <is>
          <t>8 November 2019</t>
        </is>
      </c>
      <c r="I278" s="2" t="n">
        <v>46313</v>
      </c>
      <c r="J278" t="inlineStr">
        <is>
          <t>Disetujui</t>
        </is>
      </c>
      <c r="K278" t="n">
        <v>60</v>
      </c>
      <c r="L278" t="inlineStr">
        <is>
          <t>18 Oktober 2026</t>
        </is>
      </c>
      <c r="M278" t="inlineStr">
        <is>
          <t>Jasa Rekayasa Konstruksi Bangunan Gedung Hunian dan Non Hunian, Jasa Rekayasa Pekerjaan Teknik Sipil Transportasi</t>
        </is>
      </c>
      <c r="N278" t="inlineStr">
        <is>
          <t>K</t>
        </is>
      </c>
      <c r="O278" t="inlineStr">
        <is>
          <t>20231012</t>
        </is>
      </c>
      <c r="P278" t="inlineStr">
        <is>
          <t>Jawa Barat</t>
        </is>
      </c>
      <c r="Q278" t="inlineStr"/>
    </row>
    <row r="279">
      <c r="A279" t="inlineStr">
        <is>
          <t>CV. MANNA GRATIA</t>
        </is>
      </c>
      <c r="B279" t="inlineStr">
        <is>
          <t>Kota Bitung</t>
        </is>
      </c>
      <c r="C279" t="inlineStr">
        <is>
          <t>085340036563</t>
        </is>
      </c>
      <c r="D279" t="inlineStr">
        <is>
          <t>manna.gratia@gmail.com</t>
        </is>
      </c>
      <c r="E279" t="inlineStr">
        <is>
          <t>https://lpjk.pu.go.id/search-badan-usaha-detail/YzU4QXVLWG9tZXlxLzE5bitLV3JEUT09</t>
        </is>
      </c>
      <c r="F279" t="n">
        <v>1</v>
      </c>
      <c r="G279" t="inlineStr">
        <is>
          <t>BG002</t>
        </is>
      </c>
      <c r="H279" t="inlineStr">
        <is>
          <t>29 November 2019</t>
        </is>
      </c>
      <c r="I279" s="2" t="n">
        <v>46307</v>
      </c>
      <c r="J279" t="inlineStr">
        <is>
          <t>Pencabutan</t>
        </is>
      </c>
      <c r="K279" t="n">
        <v>60</v>
      </c>
      <c r="L279" t="inlineStr">
        <is>
          <t>12 Oktober 2026</t>
        </is>
      </c>
      <c r="M279" t="inlineStr">
        <is>
          <t>Konstruksi Gedung Perkantoran</t>
        </is>
      </c>
      <c r="N279" t="inlineStr">
        <is>
          <t>K</t>
        </is>
      </c>
      <c r="O279" t="inlineStr">
        <is>
          <t>20231010</t>
        </is>
      </c>
      <c r="P279" t="inlineStr">
        <is>
          <t>Sulawesi Utara</t>
        </is>
      </c>
      <c r="Q279" t="inlineStr"/>
    </row>
    <row r="280">
      <c r="A280" t="inlineStr">
        <is>
          <t>DAMAI PESONA</t>
        </is>
      </c>
      <c r="B280" t="inlineStr">
        <is>
          <t>Kab. Lombok Barat</t>
        </is>
      </c>
      <c r="C280" t="inlineStr">
        <is>
          <t>081907572510</t>
        </is>
      </c>
      <c r="D280" t="inlineStr">
        <is>
          <t>ayuardani1505@gmail.com</t>
        </is>
      </c>
      <c r="E280" t="inlineStr">
        <is>
          <t>https://lpjk.pu.go.id/search-badan-usaha-detail/dUI1YjgrWDZVZGNYR205ZUw3V1NxZz09</t>
        </is>
      </c>
      <c r="F280" t="n">
        <v>8</v>
      </c>
      <c r="G280" t="inlineStr">
        <is>
          <t>BG005, BG006, BS001, BS004</t>
        </is>
      </c>
      <c r="H280" t="inlineStr">
        <is>
          <t>10 Maret 2010</t>
        </is>
      </c>
      <c r="I280" s="2" t="n">
        <v>46311</v>
      </c>
      <c r="J280" t="inlineStr">
        <is>
          <t>Disetujui</t>
        </is>
      </c>
      <c r="K280" t="n">
        <v>60</v>
      </c>
      <c r="L280" t="inlineStr">
        <is>
          <t>16 Oktober 2026</t>
        </is>
      </c>
      <c r="M280" t="inlineStr">
        <is>
          <t>Konstruksi Bangunan Sipil Jalan, Konstruksi Gedung Kesehatan, Konstruksi Gedung Pendidikan, Konstruksi Jaringan Irigasi dan Drainase</t>
        </is>
      </c>
      <c r="N280" t="inlineStr">
        <is>
          <t>K</t>
        </is>
      </c>
      <c r="O280" t="inlineStr">
        <is>
          <t>20231006, 20231009</t>
        </is>
      </c>
      <c r="P280" t="inlineStr">
        <is>
          <t>Nusa Tenggara Barat</t>
        </is>
      </c>
      <c r="Q280" t="inlineStr"/>
    </row>
    <row r="281">
      <c r="A281" t="inlineStr">
        <is>
          <t>DAMAR BIRAWA KARYA</t>
        </is>
      </c>
      <c r="B281" t="inlineStr">
        <is>
          <t>Kota Tangerang Selatan</t>
        </is>
      </c>
      <c r="C281" t="inlineStr">
        <is>
          <t>081291966737</t>
        </is>
      </c>
      <c r="D281" t="inlineStr">
        <is>
          <t>karyadamarbirawa@gmail.com</t>
        </is>
      </c>
      <c r="E281" t="inlineStr">
        <is>
          <t>https://lpjk.pu.go.id/search-badan-usaha-detail/bDkxaGVhRFlNeGJqUjhIdzlqQ1dvdz09</t>
        </is>
      </c>
      <c r="F281" t="n">
        <v>8</v>
      </c>
      <c r="G281" t="inlineStr">
        <is>
          <t>AR001, AR002, RK001, RK004</t>
        </is>
      </c>
      <c r="H281" t="inlineStr">
        <is>
          <t>14 Februari 2020</t>
        </is>
      </c>
      <c r="I281" s="2" t="n">
        <v>46313</v>
      </c>
      <c r="J281" t="inlineStr">
        <is>
          <t>Disetujui</t>
        </is>
      </c>
      <c r="K281" t="n">
        <v>60</v>
      </c>
      <c r="L281" t="inlineStr">
        <is>
          <t>18 Oktober 2026</t>
        </is>
      </c>
      <c r="M281" t="inlineStr">
        <is>
          <t>Jasa Arsitektural Bangunan Gedung Hunian dan Non Hunian, Jasa Arsitektural Lainnya, Jasa Rekayasa Konstruksi Bangunan Gedung Hunian dan Non Hunian, Jasa Rekayasa Pekerjaan Mekanikal Dalam Bangunan</t>
        </is>
      </c>
      <c r="N281" t="inlineStr">
        <is>
          <t>K</t>
        </is>
      </c>
      <c r="O281" t="inlineStr">
        <is>
          <t>20231012</t>
        </is>
      </c>
      <c r="P281" t="inlineStr">
        <is>
          <t>Banten</t>
        </is>
      </c>
      <c r="Q281" t="inlineStr"/>
    </row>
    <row r="282">
      <c r="A282" t="inlineStr">
        <is>
          <t>DARMA JAYA KONTRAKTOR</t>
        </is>
      </c>
      <c r="B282" t="inlineStr">
        <is>
          <t>Kab. Gianyar</t>
        </is>
      </c>
      <c r="C282" t="inlineStr">
        <is>
          <t>087765149900</t>
        </is>
      </c>
      <c r="D282" t="inlineStr">
        <is>
          <t>darmajaya.kontraktor@gmail.com</t>
        </is>
      </c>
      <c r="E282" t="inlineStr">
        <is>
          <t>https://lpjk.pu.go.id/search-badan-usaha-detail/bm5QMGg5UVVMd1dDRVA4QURHMXJFQT09</t>
        </is>
      </c>
      <c r="F282" t="n">
        <v>3</v>
      </c>
      <c r="G282" t="inlineStr">
        <is>
          <t>BG001, BG002, BG007</t>
        </is>
      </c>
      <c r="H282" t="inlineStr">
        <is>
          <t>22 Juni 2023</t>
        </is>
      </c>
      <c r="I282" s="2" t="n">
        <v>46311</v>
      </c>
      <c r="J282" t="inlineStr">
        <is>
          <t>Disetujui</t>
        </is>
      </c>
      <c r="K282" t="n">
        <v>60</v>
      </c>
      <c r="L282" t="inlineStr">
        <is>
          <t>16 Oktober 2026</t>
        </is>
      </c>
      <c r="M282" t="inlineStr">
        <is>
          <t>Konstruksi Gedung Hunian, Konstruksi Gedung Penginapan, Konstruksi Gedung Perkantoran</t>
        </is>
      </c>
      <c r="N282" t="inlineStr">
        <is>
          <t>K</t>
        </is>
      </c>
      <c r="O282" t="inlineStr">
        <is>
          <t>20231016</t>
        </is>
      </c>
      <c r="P282" t="inlineStr">
        <is>
          <t>Bali</t>
        </is>
      </c>
      <c r="Q282" t="inlineStr"/>
    </row>
    <row r="283">
      <c r="A283" t="inlineStr">
        <is>
          <t>DAYA CIPTA INFRASTRUKTUR</t>
        </is>
      </c>
      <c r="B283" t="inlineStr">
        <is>
          <t>Kota Tangerang Selatan</t>
        </is>
      </c>
      <c r="C283" t="inlineStr">
        <is>
          <t>087878164660</t>
        </is>
      </c>
      <c r="D283" t="inlineStr">
        <is>
          <t>dayaciptainfra@gmail.com</t>
        </is>
      </c>
      <c r="E283" t="inlineStr">
        <is>
          <t>https://lpjk.pu.go.id/search-badan-usaha-detail/ZzFSUktUUWNmWG03SDlRSGNCMFNGZz09</t>
        </is>
      </c>
      <c r="F283" t="n">
        <v>2</v>
      </c>
      <c r="G283" t="inlineStr">
        <is>
          <t>BS001, BS002</t>
        </is>
      </c>
      <c r="H283" t="inlineStr">
        <is>
          <t>17 April 2002</t>
        </is>
      </c>
      <c r="I283" s="2" t="n">
        <v>46310</v>
      </c>
      <c r="J283" t="inlineStr">
        <is>
          <t>Disetujui</t>
        </is>
      </c>
      <c r="K283" t="n">
        <v>60</v>
      </c>
      <c r="L283" t="inlineStr">
        <is>
          <t>15 Oktober 2026</t>
        </is>
      </c>
      <c r="M283" t="inlineStr">
        <is>
          <t>Bangunan Sipil Jembatan, Jalan Layang, Fly Over, dan Underpass, Konstruksi Bangunan Sipil Jalan</t>
        </is>
      </c>
      <c r="N283" t="inlineStr">
        <is>
          <t>K</t>
        </is>
      </c>
      <c r="O283" t="inlineStr">
        <is>
          <t>20231014, 20231015</t>
        </is>
      </c>
      <c r="P283" t="inlineStr">
        <is>
          <t>Banten</t>
        </is>
      </c>
      <c r="Q283" t="inlineStr"/>
    </row>
    <row r="284">
      <c r="A284" t="inlineStr">
        <is>
          <t>DAYARAYA KONSTRUKSI</t>
        </is>
      </c>
      <c r="B284" t="inlineStr">
        <is>
          <t>Kab. Kutai Kartanegara</t>
        </is>
      </c>
      <c r="C284" t="inlineStr">
        <is>
          <t>081347704347</t>
        </is>
      </c>
      <c r="D284" t="inlineStr">
        <is>
          <t>cvdayarayakonstruksi@gmail.com</t>
        </is>
      </c>
      <c r="E284" t="inlineStr">
        <is>
          <t>https://lpjk.pu.go.id/search-badan-usaha-detail/Y3RVQjJmaXNWaE4rcnl1ZnVuM2dKQT09</t>
        </is>
      </c>
      <c r="F284" t="n">
        <v>1</v>
      </c>
      <c r="G284" t="inlineStr">
        <is>
          <t>BS001</t>
        </is>
      </c>
      <c r="H284" t="inlineStr">
        <is>
          <t>1 September 2023</t>
        </is>
      </c>
      <c r="I284" s="2" t="n">
        <v>46313</v>
      </c>
      <c r="J284" t="inlineStr">
        <is>
          <t>Disetujui</t>
        </is>
      </c>
      <c r="K284" t="n">
        <v>60</v>
      </c>
      <c r="L284" t="inlineStr">
        <is>
          <t>18 Oktober 2026</t>
        </is>
      </c>
      <c r="M284" t="inlineStr">
        <is>
          <t>Konstruksi Bangunan Sipil Jalan</t>
        </is>
      </c>
      <c r="N284" t="inlineStr">
        <is>
          <t>K</t>
        </is>
      </c>
      <c r="O284" t="inlineStr">
        <is>
          <t>20231017</t>
        </is>
      </c>
      <c r="P284" t="inlineStr">
        <is>
          <t>Kalimantan Timur</t>
        </is>
      </c>
      <c r="Q284" t="inlineStr"/>
    </row>
    <row r="285">
      <c r="A285" t="inlineStr">
        <is>
          <t>DELAPAN PILAR INTI SOLUSI</t>
        </is>
      </c>
      <c r="B285" t="inlineStr">
        <is>
          <t>Kota Tangerang Selatan</t>
        </is>
      </c>
      <c r="C285" t="inlineStr">
        <is>
          <t>0215373178</t>
        </is>
      </c>
      <c r="D285" t="inlineStr">
        <is>
          <t>delapanpilarintisolusi@gmail.com</t>
        </is>
      </c>
      <c r="E285" t="inlineStr">
        <is>
          <t>https://lpjk.pu.go.id/search-badan-usaha-detail/d2oyTW0yUTQzdHQ1YkRaK1NFZ2hJdz09</t>
        </is>
      </c>
      <c r="F285" t="n">
        <v>4</v>
      </c>
      <c r="G285" t="inlineStr">
        <is>
          <t>BG002, BG003</t>
        </is>
      </c>
      <c r="H285" t="inlineStr">
        <is>
          <t>21 Agustus 2023</t>
        </is>
      </c>
      <c r="I285" s="2" t="n">
        <v>46312</v>
      </c>
      <c r="J285" t="inlineStr">
        <is>
          <t>Disetujui</t>
        </is>
      </c>
      <c r="K285" t="n">
        <v>60</v>
      </c>
      <c r="L285" t="inlineStr">
        <is>
          <t>17 Oktober 2026</t>
        </is>
      </c>
      <c r="M285" t="inlineStr">
        <is>
          <t>Konstruksi Gedung Industri, Konstruksi Gedung Perkantoran</t>
        </is>
      </c>
      <c r="N285" t="inlineStr">
        <is>
          <t>K</t>
        </is>
      </c>
      <c r="O285" t="inlineStr">
        <is>
          <t>20231018</t>
        </is>
      </c>
      <c r="P285" t="inlineStr">
        <is>
          <t>Banten</t>
        </is>
      </c>
      <c r="Q285" t="inlineStr"/>
    </row>
    <row r="286">
      <c r="A286" t="inlineStr">
        <is>
          <t>DELI KENCANA PRIMA</t>
        </is>
      </c>
      <c r="B286" t="inlineStr">
        <is>
          <t>Kota Medan</t>
        </is>
      </c>
      <c r="C286" t="inlineStr">
        <is>
          <t>081269719955</t>
        </is>
      </c>
      <c r="D286" t="inlineStr">
        <is>
          <t>delikencanap@gmail.com</t>
        </is>
      </c>
      <c r="E286" t="inlineStr">
        <is>
          <t>https://lpjk.pu.go.id/search-badan-usaha-detail/eTZHMHFtdW4rbW9sZG9VTmNwT2twQT09</t>
        </is>
      </c>
      <c r="F286" t="n">
        <v>4</v>
      </c>
      <c r="G286" t="inlineStr">
        <is>
          <t>BG006, BG009, BS005, BS006</t>
        </is>
      </c>
      <c r="H286" t="inlineStr">
        <is>
          <t>16 April 2020</t>
        </is>
      </c>
      <c r="I286" s="2" t="n">
        <v>46309</v>
      </c>
      <c r="J286" t="inlineStr">
        <is>
          <t>Disetujui</t>
        </is>
      </c>
      <c r="K286" t="n">
        <v>60</v>
      </c>
      <c r="L286" t="inlineStr">
        <is>
          <t>14 Oktober 2026</t>
        </is>
      </c>
      <c r="M286" t="inlineStr">
        <is>
          <t>Konstruksi Bangunan Sipil Pengolahan Air Bersih, Konstruksi Bangunan Sipil Prasarana dan Sarana Sistem Pengolahan Limbah Padat, Cair, dan Gas, Konstruksi Gedung Lainnya, Konstruksi Gedung Pendidikan</t>
        </is>
      </c>
      <c r="N286" t="inlineStr">
        <is>
          <t>K</t>
        </is>
      </c>
      <c r="O286" t="inlineStr">
        <is>
          <t>20231011, 20231016, 20231017</t>
        </is>
      </c>
      <c r="P286" t="inlineStr">
        <is>
          <t>Sumatera Utara</t>
        </is>
      </c>
      <c r="Q286" t="inlineStr"/>
    </row>
    <row r="287">
      <c r="A287" t="inlineStr">
        <is>
          <t>DELINEASI RUPABUMI KONSULTAN</t>
        </is>
      </c>
      <c r="B287" t="inlineStr">
        <is>
          <t>Kota Makassar</t>
        </is>
      </c>
      <c r="C287" t="inlineStr">
        <is>
          <t>081355555976</t>
        </is>
      </c>
      <c r="D287" t="inlineStr">
        <is>
          <t>delineasirupabumikonsultan@yahoo.com</t>
        </is>
      </c>
      <c r="E287" t="inlineStr">
        <is>
          <t>https://lpjk.pu.go.id/search-badan-usaha-detail/bXk0T0t5Y29hbGNkUnNuYmJBMFBLUT09</t>
        </is>
      </c>
      <c r="F287" t="n">
        <v>1</v>
      </c>
      <c r="G287" t="inlineStr">
        <is>
          <t>AR001</t>
        </is>
      </c>
      <c r="H287" t="inlineStr">
        <is>
          <t>29 November 2016</t>
        </is>
      </c>
      <c r="I287" s="2" t="n">
        <v>46313</v>
      </c>
      <c r="J287" t="inlineStr">
        <is>
          <t>Disetujui</t>
        </is>
      </c>
      <c r="K287" t="n">
        <v>60</v>
      </c>
      <c r="L287" t="inlineStr">
        <is>
          <t>18 Oktober 2026</t>
        </is>
      </c>
      <c r="M287" t="inlineStr">
        <is>
          <t>Jasa Arsitektural Bangunan Gedung Hunian dan Non Hunian</t>
        </is>
      </c>
      <c r="N287" t="inlineStr">
        <is>
          <t>K</t>
        </is>
      </c>
      <c r="O287" t="inlineStr">
        <is>
          <t>20231009</t>
        </is>
      </c>
      <c r="P287" t="inlineStr">
        <is>
          <t>Sulawesi Selatan</t>
        </is>
      </c>
      <c r="Q287" t="inlineStr"/>
    </row>
    <row r="288">
      <c r="A288" t="inlineStr">
        <is>
          <t>DETAIL MERBANG SEULAWAH</t>
        </is>
      </c>
      <c r="B288" t="inlineStr">
        <is>
          <t>Kota Palembang</t>
        </is>
      </c>
      <c r="C288" t="inlineStr">
        <is>
          <t>082179583911</t>
        </is>
      </c>
      <c r="D288" t="inlineStr">
        <is>
          <t>cvdetailmerbangseulwah@gmail.com</t>
        </is>
      </c>
      <c r="E288" t="inlineStr">
        <is>
          <t>https://lpjk.pu.go.id/search-badan-usaha-detail/SzBDeDBxREVvV1BWc1htdjdiYUhSZz09</t>
        </is>
      </c>
      <c r="F288" t="n">
        <v>2</v>
      </c>
      <c r="G288" t="inlineStr">
        <is>
          <t>AR001, RK001</t>
        </is>
      </c>
      <c r="H288" t="inlineStr">
        <is>
          <t>11 Januari 2011</t>
        </is>
      </c>
      <c r="I288" s="2" t="n">
        <v>46312</v>
      </c>
      <c r="J288" t="inlineStr">
        <is>
          <t>Disetujui</t>
        </is>
      </c>
      <c r="K288" t="n">
        <v>60</v>
      </c>
      <c r="L288" t="inlineStr">
        <is>
          <t>17 Oktober 2026</t>
        </is>
      </c>
      <c r="M288" t="inlineStr">
        <is>
          <t>Jasa Arsitektural Bangunan Gedung Hunian dan Non Hunian, Jasa Rekayasa Konstruksi Bangunan Gedung Hunian dan Non Hunian</t>
        </is>
      </c>
      <c r="N288" t="inlineStr">
        <is>
          <t>K</t>
        </is>
      </c>
      <c r="O288" t="inlineStr">
        <is>
          <t>20231010, 20231013</t>
        </is>
      </c>
      <c r="P288" t="inlineStr">
        <is>
          <t>Sumatera Selatan</t>
        </is>
      </c>
      <c r="Q288" t="inlineStr"/>
    </row>
    <row r="289">
      <c r="A289" t="inlineStr">
        <is>
          <t>DEWA ELANG PERKASA</t>
        </is>
      </c>
      <c r="B289" t="inlineStr">
        <is>
          <t>Kab. Empat Lawang</t>
        </is>
      </c>
      <c r="C289" t="inlineStr">
        <is>
          <t>082183763603</t>
        </is>
      </c>
      <c r="D289" t="inlineStr">
        <is>
          <t>elangperkasadewa@gmail.com</t>
        </is>
      </c>
      <c r="E289" t="inlineStr">
        <is>
          <t>https://lpjk.pu.go.id/search-badan-usaha-detail/N3NaeEhyYjFTK1pGNm1VVkFKOWpMZz09</t>
        </is>
      </c>
      <c r="F289" t="n">
        <v>2</v>
      </c>
      <c r="G289" t="inlineStr">
        <is>
          <t>BS001, BS004</t>
        </is>
      </c>
      <c r="H289" t="inlineStr">
        <is>
          <t>4 Oktober 2023</t>
        </is>
      </c>
      <c r="I289" s="2" t="n">
        <v>46311</v>
      </c>
      <c r="J289" t="inlineStr">
        <is>
          <t>Disetujui</t>
        </is>
      </c>
      <c r="K289" t="n">
        <v>60</v>
      </c>
      <c r="L289" t="inlineStr">
        <is>
          <t>16 Oktober 2026</t>
        </is>
      </c>
      <c r="M289" t="inlineStr">
        <is>
          <t>Konstruksi Bangunan Sipil Jalan, Konstruksi Jaringan Irigasi dan Drainase</t>
        </is>
      </c>
      <c r="N289" t="inlineStr">
        <is>
          <t>K</t>
        </is>
      </c>
      <c r="O289" t="inlineStr">
        <is>
          <t>20231014</t>
        </is>
      </c>
      <c r="P289" t="inlineStr">
        <is>
          <t>Sumatera Selatan</t>
        </is>
      </c>
      <c r="Q289" t="inlineStr"/>
    </row>
    <row r="290">
      <c r="A290" t="inlineStr">
        <is>
          <t>DIAN CAHAYA</t>
        </is>
      </c>
      <c r="B290" t="inlineStr">
        <is>
          <t>Kota Tangerang</t>
        </is>
      </c>
      <c r="C290" t="inlineStr">
        <is>
          <t>085888404199</t>
        </is>
      </c>
      <c r="D290" t="inlineStr">
        <is>
          <t>cv.dianchy@gmail.com</t>
        </is>
      </c>
      <c r="E290" t="inlineStr">
        <is>
          <t>https://lpjk.pu.go.id/search-badan-usaha-detail/MmUvNGcrUUQyRmFiZDBsS0pJc01yQT09</t>
        </is>
      </c>
      <c r="F290" t="n">
        <v>1</v>
      </c>
      <c r="G290" t="inlineStr">
        <is>
          <t>BG009</t>
        </is>
      </c>
      <c r="H290" t="inlineStr">
        <is>
          <t>12 Desember 2022</t>
        </is>
      </c>
      <c r="I290" s="2" t="n">
        <v>46311</v>
      </c>
      <c r="J290" t="inlineStr">
        <is>
          <t>Disetujui</t>
        </is>
      </c>
      <c r="K290" t="n">
        <v>60</v>
      </c>
      <c r="L290" t="inlineStr">
        <is>
          <t>16 Oktober 2026</t>
        </is>
      </c>
      <c r="M290" t="inlineStr">
        <is>
          <t>Konstruksi Gedung Lainnya</t>
        </is>
      </c>
      <c r="N290" t="inlineStr">
        <is>
          <t>K</t>
        </is>
      </c>
      <c r="O290" t="inlineStr">
        <is>
          <t>20231016</t>
        </is>
      </c>
      <c r="P290" t="inlineStr">
        <is>
          <t>Banten</t>
        </is>
      </c>
      <c r="Q290" t="inlineStr"/>
    </row>
    <row r="291">
      <c r="A291" t="inlineStr">
        <is>
          <t>DIAN KARYA PERDANA</t>
        </is>
      </c>
      <c r="B291" t="inlineStr">
        <is>
          <t>Kab. Kotawaringin Barat</t>
        </is>
      </c>
      <c r="C291" t="inlineStr">
        <is>
          <t>085332355200</t>
        </is>
      </c>
      <c r="D291" t="inlineStr">
        <is>
          <t>cvdiankaryaperdana@gmail.com</t>
        </is>
      </c>
      <c r="E291" t="inlineStr">
        <is>
          <t>https://lpjk.pu.go.id/search-badan-usaha-detail/N3VXTUs5OHVvdVB6a2VGeW54Z09nZz09</t>
        </is>
      </c>
      <c r="F291" t="n">
        <v>2</v>
      </c>
      <c r="G291" t="inlineStr">
        <is>
          <t>BG009, BS001</t>
        </is>
      </c>
      <c r="H291" t="inlineStr">
        <is>
          <t>26 Februari 2019</t>
        </is>
      </c>
      <c r="I291" s="2" t="n">
        <v>46313</v>
      </c>
      <c r="J291" t="inlineStr">
        <is>
          <t>Disetujui</t>
        </is>
      </c>
      <c r="K291" t="n">
        <v>60</v>
      </c>
      <c r="L291" t="inlineStr">
        <is>
          <t>18 Oktober 2026</t>
        </is>
      </c>
      <c r="M291" t="inlineStr">
        <is>
          <t>Konstruksi Bangunan Sipil Jalan, Konstruksi Gedung Lainnya</t>
        </is>
      </c>
      <c r="N291" t="inlineStr">
        <is>
          <t>K</t>
        </is>
      </c>
      <c r="O291" t="inlineStr">
        <is>
          <t>20231016</t>
        </is>
      </c>
      <c r="P291" t="inlineStr">
        <is>
          <t>Kalimantan Tengah</t>
        </is>
      </c>
      <c r="Q291" t="inlineStr"/>
    </row>
    <row r="292">
      <c r="A292" t="inlineStr">
        <is>
          <t>DIAN RIZKI SANTOSA</t>
        </is>
      </c>
      <c r="B292" t="inlineStr">
        <is>
          <t>Kota Adm. Jakarta Pusat</t>
        </is>
      </c>
      <c r="C292" t="inlineStr">
        <is>
          <t>0213102528</t>
        </is>
      </c>
      <c r="D292" t="inlineStr">
        <is>
          <t>dianrizkisantosa@yahoo.com</t>
        </is>
      </c>
      <c r="E292" t="inlineStr">
        <is>
          <t>https://lpjk.pu.go.id/search-badan-usaha-detail/TUZtS09UNUdFWDZITDN3dk9iNXZHdz09</t>
        </is>
      </c>
      <c r="F292" t="n">
        <v>4</v>
      </c>
      <c r="G292" t="inlineStr">
        <is>
          <t>BG001, BG002, BG005, BG006</t>
        </is>
      </c>
      <c r="H292" t="inlineStr">
        <is>
          <t>16 November 2010</t>
        </is>
      </c>
      <c r="I292" s="2" t="n">
        <v>46311</v>
      </c>
      <c r="J292" t="inlineStr">
        <is>
          <t>Disetujui</t>
        </is>
      </c>
      <c r="K292" t="n">
        <v>60</v>
      </c>
      <c r="L292" t="inlineStr">
        <is>
          <t>16 Oktober 2026</t>
        </is>
      </c>
      <c r="M292" t="inlineStr">
        <is>
          <t>Konstruksi Gedung Hunian, Konstruksi Gedung Kesehatan, Konstruksi Gedung Pendidikan, Konstruksi Gedung Perkantoran</t>
        </is>
      </c>
      <c r="N292" t="inlineStr">
        <is>
          <t>K</t>
        </is>
      </c>
      <c r="O292" t="inlineStr">
        <is>
          <t>20231011, 20231013</t>
        </is>
      </c>
      <c r="P292" t="inlineStr">
        <is>
          <t>DKI Jakarta</t>
        </is>
      </c>
      <c r="Q292" t="inlineStr"/>
    </row>
    <row r="293">
      <c r="A293" t="inlineStr">
        <is>
          <t>DIEFA LESTARI</t>
        </is>
      </c>
      <c r="B293" t="inlineStr">
        <is>
          <t>Kota Bandung</t>
        </is>
      </c>
      <c r="C293" t="inlineStr">
        <is>
          <t>0227204156</t>
        </is>
      </c>
      <c r="D293" t="inlineStr">
        <is>
          <t>diefa45@yahoo.com</t>
        </is>
      </c>
      <c r="E293" t="inlineStr">
        <is>
          <t>https://lpjk.pu.go.id/search-badan-usaha-detail/UFhJTWlDeXZ6Z283NTdzRk1yektZZz09</t>
        </is>
      </c>
      <c r="F293" t="n">
        <v>2</v>
      </c>
      <c r="G293" t="inlineStr">
        <is>
          <t>BS005, BS006</t>
        </is>
      </c>
      <c r="H293" t="inlineStr">
        <is>
          <t>19 Oktober 1993</t>
        </is>
      </c>
      <c r="I293" s="2" t="n">
        <v>46310</v>
      </c>
      <c r="J293" t="inlineStr">
        <is>
          <t>Disetujui</t>
        </is>
      </c>
      <c r="K293" t="n">
        <v>60</v>
      </c>
      <c r="L293" t="inlineStr">
        <is>
          <t>15 Oktober 2026</t>
        </is>
      </c>
      <c r="M293" t="inlineStr">
        <is>
          <t>Konstruksi Bangunan Sipil Pengolahan Air Bersih, Konstruksi Bangunan Sipil Prasarana dan Sarana Sistem Pengolahan Limbah Padat, Cair, dan Gas</t>
        </is>
      </c>
      <c r="N293" t="inlineStr">
        <is>
          <t>K</t>
        </is>
      </c>
      <c r="O293" t="inlineStr">
        <is>
          <t>20231016</t>
        </is>
      </c>
      <c r="P293" t="inlineStr">
        <is>
          <t>Jawa Barat</t>
        </is>
      </c>
      <c r="Q293" t="inlineStr"/>
    </row>
    <row r="294">
      <c r="A294" t="inlineStr">
        <is>
          <t>DIMENSI RUANG</t>
        </is>
      </c>
      <c r="B294" t="inlineStr">
        <is>
          <t>Kab. Toraja Utara</t>
        </is>
      </c>
      <c r="C294" t="inlineStr">
        <is>
          <t>081343945358</t>
        </is>
      </c>
      <c r="D294" t="inlineStr">
        <is>
          <t>dimensiruang2016@gmail.com</t>
        </is>
      </c>
      <c r="E294" t="inlineStr">
        <is>
          <t>https://lpjk.pu.go.id/search-badan-usaha-detail/ekZNQ0VRT3AwL3hsVkphNkVlSU9Edz09</t>
        </is>
      </c>
      <c r="F294" t="n">
        <v>6</v>
      </c>
      <c r="G294" t="inlineStr">
        <is>
          <t>AR001, AR002, RK001, RK002, RK003, RK005</t>
        </is>
      </c>
      <c r="H294" t="inlineStr">
        <is>
          <t>22 Juni 2012</t>
        </is>
      </c>
      <c r="I294" s="2" t="n">
        <v>46307</v>
      </c>
      <c r="J294" t="inlineStr">
        <is>
          <t>Disetujui</t>
        </is>
      </c>
      <c r="K294" t="n">
        <v>60</v>
      </c>
      <c r="L294" t="inlineStr">
        <is>
          <t>12 Oktober 2026</t>
        </is>
      </c>
      <c r="M294" t="inlineStr">
        <is>
          <t>Jasa Arsitektural Bangunan Gedung Hunian dan Non Hunian, Jasa Arsitektural Lainnya, Jasa Rekayasa Konstruksi Bangunan Gedung Hunian dan Non Hunian, Jasa Rekayasa Lainnya, Jasa Rekayasa Pekerjaan Teknik Sipil Sumber Daya Air, Jasa Rekayasa Pekerjaan Teknik Sipil Transportasi</t>
        </is>
      </c>
      <c r="N294" t="inlineStr">
        <is>
          <t>K</t>
        </is>
      </c>
      <c r="O294" t="inlineStr">
        <is>
          <t>20230907, 20231003, 20231004</t>
        </is>
      </c>
      <c r="P294" t="inlineStr">
        <is>
          <t>Sulawesi Selatan</t>
        </is>
      </c>
      <c r="Q294" t="inlineStr"/>
    </row>
    <row r="295">
      <c r="A295" t="inlineStr">
        <is>
          <t>DIMENSI STATIKA</t>
        </is>
      </c>
      <c r="B295" t="inlineStr">
        <is>
          <t>Kota Jambi</t>
        </is>
      </c>
      <c r="C295" t="inlineStr">
        <is>
          <t>081274797872</t>
        </is>
      </c>
      <c r="D295" t="inlineStr">
        <is>
          <t>statika.dimensi@gmail.com</t>
        </is>
      </c>
      <c r="E295" t="inlineStr">
        <is>
          <t>https://lpjk.pu.go.id/search-badan-usaha-detail/Q2JQRWJPeTBWNjBKdjZpWko2cVN1Zz09</t>
        </is>
      </c>
      <c r="F295" t="n">
        <v>1</v>
      </c>
      <c r="G295" t="inlineStr">
        <is>
          <t>RK005</t>
        </is>
      </c>
      <c r="H295" t="inlineStr">
        <is>
          <t>20 Oktober 2009</t>
        </is>
      </c>
      <c r="I295" s="2" t="n">
        <v>46313</v>
      </c>
      <c r="J295" t="inlineStr">
        <is>
          <t>Disetujui</t>
        </is>
      </c>
      <c r="K295" t="n">
        <v>60</v>
      </c>
      <c r="L295" t="inlineStr">
        <is>
          <t>18 Oktober 2026</t>
        </is>
      </c>
      <c r="M295" t="inlineStr">
        <is>
          <t>Jasa Rekayasa Lainnya</t>
        </is>
      </c>
      <c r="N295" t="inlineStr">
        <is>
          <t>K</t>
        </is>
      </c>
      <c r="O295" t="inlineStr">
        <is>
          <t>20231011</t>
        </is>
      </c>
      <c r="P295" t="inlineStr">
        <is>
          <t>Jambi</t>
        </is>
      </c>
      <c r="Q295" t="inlineStr"/>
    </row>
    <row r="296">
      <c r="A296" t="inlineStr">
        <is>
          <t>DIPTA HARSANA</t>
        </is>
      </c>
      <c r="B296" t="inlineStr">
        <is>
          <t>Kota Bukittinggi</t>
        </is>
      </c>
      <c r="C296" t="inlineStr">
        <is>
          <t>-</t>
        </is>
      </c>
      <c r="D296" t="inlineStr">
        <is>
          <t>diptaharsana@gmail.com</t>
        </is>
      </c>
      <c r="E296" t="inlineStr">
        <is>
          <t>https://lpjk.pu.go.id/search-badan-usaha-detail/WDlaL2JBQVFrT090bzhOV0lla29vUT09</t>
        </is>
      </c>
      <c r="F296" t="n">
        <v>3</v>
      </c>
      <c r="G296" t="inlineStr">
        <is>
          <t>BG002, BG006, BS001</t>
        </is>
      </c>
      <c r="H296" t="inlineStr">
        <is>
          <t>24 Mei 2023</t>
        </is>
      </c>
      <c r="I296" s="2" t="n">
        <v>46312</v>
      </c>
      <c r="J296" t="inlineStr">
        <is>
          <t>Disetujui</t>
        </is>
      </c>
      <c r="K296" t="n">
        <v>60</v>
      </c>
      <c r="L296" t="inlineStr">
        <is>
          <t>17 Oktober 2026</t>
        </is>
      </c>
      <c r="M296" t="inlineStr">
        <is>
          <t>Konstruksi Bangunan Sipil Jalan, Konstruksi Gedung Pendidikan, Konstruksi Gedung Perkantoran</t>
        </is>
      </c>
      <c r="N296" t="inlineStr">
        <is>
          <t>K</t>
        </is>
      </c>
      <c r="O296" t="inlineStr">
        <is>
          <t>20230908, 20231011</t>
        </is>
      </c>
      <c r="P296" t="inlineStr">
        <is>
          <t>Sumatera Barat</t>
        </is>
      </c>
      <c r="Q296" t="inlineStr"/>
    </row>
    <row r="297">
      <c r="A297" t="inlineStr">
        <is>
          <t>DITA KONSULTAN</t>
        </is>
      </c>
      <c r="B297" t="inlineStr">
        <is>
          <t>Kab. Sumbawa</t>
        </is>
      </c>
      <c r="C297" t="inlineStr">
        <is>
          <t>085239557575</t>
        </is>
      </c>
      <c r="D297" t="inlineStr">
        <is>
          <t>cvdita@gmail.com</t>
        </is>
      </c>
      <c r="E297" t="inlineStr">
        <is>
          <t>https://lpjk.pu.go.id/search-badan-usaha-detail/dmgvaE41OWEzZUM1cW5GQWUxMGdBZz09</t>
        </is>
      </c>
      <c r="F297" t="n">
        <v>1</v>
      </c>
      <c r="G297" t="inlineStr">
        <is>
          <t>RK002</t>
        </is>
      </c>
      <c r="H297" t="inlineStr">
        <is>
          <t>21 Agustus 2009</t>
        </is>
      </c>
      <c r="I297" s="2" t="n">
        <v>46312</v>
      </c>
      <c r="J297" t="inlineStr">
        <is>
          <t>Disetujui</t>
        </is>
      </c>
      <c r="K297" t="n">
        <v>60</v>
      </c>
      <c r="L297" t="inlineStr">
        <is>
          <t>17 Oktober 2026</t>
        </is>
      </c>
      <c r="M297" t="inlineStr">
        <is>
          <t>Jasa Rekayasa Pekerjaan Teknik Sipil Sumber Daya Air</t>
        </is>
      </c>
      <c r="N297" t="inlineStr">
        <is>
          <t>K</t>
        </is>
      </c>
      <c r="O297" t="inlineStr">
        <is>
          <t>20231003</t>
        </is>
      </c>
      <c r="P297" t="inlineStr">
        <is>
          <t>Nusa Tenggara Barat</t>
        </is>
      </c>
      <c r="Q297" t="inlineStr"/>
    </row>
    <row r="298">
      <c r="A298" t="inlineStr">
        <is>
          <t>DOA EMAK PERKASA</t>
        </is>
      </c>
      <c r="B298" t="inlineStr">
        <is>
          <t>Kab. Tangerang</t>
        </is>
      </c>
      <c r="C298" t="inlineStr">
        <is>
          <t>081295413440</t>
        </is>
      </c>
      <c r="D298" t="inlineStr">
        <is>
          <t>aimanhalimy@gmail.com</t>
        </is>
      </c>
      <c r="E298" t="inlineStr">
        <is>
          <t>https://lpjk.pu.go.id/search-badan-usaha-detail/RnQ3azhqRG1pNXhWa0JUK1N4ZE14dz09</t>
        </is>
      </c>
      <c r="F298" t="n">
        <v>2</v>
      </c>
      <c r="G298" t="inlineStr">
        <is>
          <t>BG005, BG009</t>
        </is>
      </c>
      <c r="H298" t="inlineStr">
        <is>
          <t>12 Januari 2018</t>
        </is>
      </c>
      <c r="I298" s="2" t="n">
        <v>46312</v>
      </c>
      <c r="J298" t="inlineStr">
        <is>
          <t>Disetujui</t>
        </is>
      </c>
      <c r="K298" t="n">
        <v>60</v>
      </c>
      <c r="L298" t="inlineStr">
        <is>
          <t>17 Oktober 2026</t>
        </is>
      </c>
      <c r="M298" t="inlineStr">
        <is>
          <t>Konstruksi Gedung Kesehatan, Konstruksi Gedung Lainnya</t>
        </is>
      </c>
      <c r="N298" t="inlineStr">
        <is>
          <t>K</t>
        </is>
      </c>
      <c r="O298" t="inlineStr">
        <is>
          <t>20230919, 20231011</t>
        </is>
      </c>
      <c r="P298" t="inlineStr">
        <is>
          <t>Banten</t>
        </is>
      </c>
      <c r="Q298" t="inlineStr"/>
    </row>
    <row r="299">
      <c r="A299" t="inlineStr">
        <is>
          <t>DUA MAHKOTA</t>
        </is>
      </c>
      <c r="B299" t="inlineStr">
        <is>
          <t>Kota Bandung</t>
        </is>
      </c>
      <c r="C299" t="inlineStr">
        <is>
          <t>081394498833</t>
        </is>
      </c>
      <c r="D299" t="inlineStr">
        <is>
          <t>dua.mahkota@yahoo.com</t>
        </is>
      </c>
      <c r="E299" t="inlineStr">
        <is>
          <t>https://lpjk.pu.go.id/search-badan-usaha-detail/QWR5MWZsWEZENGo4dXJnbjFxcEhPUT09</t>
        </is>
      </c>
      <c r="F299" t="n">
        <v>1</v>
      </c>
      <c r="G299" t="inlineStr">
        <is>
          <t>BG009</t>
        </is>
      </c>
      <c r="H299" t="inlineStr">
        <is>
          <t>23 Juni 2009</t>
        </is>
      </c>
      <c r="I299" s="2" t="n">
        <v>46312</v>
      </c>
      <c r="J299" t="inlineStr">
        <is>
          <t>Disetujui</t>
        </is>
      </c>
      <c r="K299" t="n">
        <v>60</v>
      </c>
      <c r="L299" t="inlineStr">
        <is>
          <t>17 Oktober 2026</t>
        </is>
      </c>
      <c r="M299" t="inlineStr">
        <is>
          <t>Konstruksi Gedung Lainnya</t>
        </is>
      </c>
      <c r="N299" t="inlineStr">
        <is>
          <t>K</t>
        </is>
      </c>
      <c r="O299" t="inlineStr">
        <is>
          <t>20230929</t>
        </is>
      </c>
      <c r="P299" t="inlineStr">
        <is>
          <t>Jawa Barat</t>
        </is>
      </c>
      <c r="Q299" t="inlineStr"/>
    </row>
    <row r="300">
      <c r="A300" t="inlineStr">
        <is>
          <t>DUA MAHKOTA ABADI</t>
        </is>
      </c>
      <c r="B300" t="inlineStr">
        <is>
          <t>Kab. Kutai Timur</t>
        </is>
      </c>
      <c r="C300" t="inlineStr">
        <is>
          <t>082153830383</t>
        </is>
      </c>
      <c r="D300" t="inlineStr">
        <is>
          <t>duamahkotaabadi@gmail.com</t>
        </is>
      </c>
      <c r="E300" t="inlineStr">
        <is>
          <t>https://lpjk.pu.go.id/search-badan-usaha-detail/Y2RZY3dxK1BrZHNMekphTUo5MTU5dz09</t>
        </is>
      </c>
      <c r="F300" t="n">
        <v>4</v>
      </c>
      <c r="G300" t="inlineStr">
        <is>
          <t>BG001, BG002, BG006, BG009</t>
        </is>
      </c>
      <c r="H300" t="inlineStr">
        <is>
          <t>4 September 2023</t>
        </is>
      </c>
      <c r="I300" s="2" t="n">
        <v>46313</v>
      </c>
      <c r="J300" t="inlineStr">
        <is>
          <t>Disetujui</t>
        </is>
      </c>
      <c r="K300" t="n">
        <v>60</v>
      </c>
      <c r="L300" t="inlineStr">
        <is>
          <t>18 Oktober 2026</t>
        </is>
      </c>
      <c r="M300" t="inlineStr">
        <is>
          <t>Konstruksi Gedung Hunian, Konstruksi Gedung Lainnya, Konstruksi Gedung Pendidikan, Konstruksi Gedung Perkantoran</t>
        </is>
      </c>
      <c r="N300" t="inlineStr">
        <is>
          <t>K</t>
        </is>
      </c>
      <c r="O300" t="inlineStr">
        <is>
          <t>20231019</t>
        </is>
      </c>
      <c r="P300" t="inlineStr">
        <is>
          <t>Kalimantan Timur</t>
        </is>
      </c>
      <c r="Q300" t="inlineStr"/>
    </row>
    <row r="301">
      <c r="A301" t="inlineStr">
        <is>
          <t>DUA PUTRA</t>
        </is>
      </c>
      <c r="B301" t="inlineStr">
        <is>
          <t>Kab. Lampung Tengah</t>
        </is>
      </c>
      <c r="C301" t="inlineStr">
        <is>
          <t>082179199933</t>
        </is>
      </c>
      <c r="D301" t="inlineStr">
        <is>
          <t>cvduaputra11@gmail.com</t>
        </is>
      </c>
      <c r="E301" t="inlineStr">
        <is>
          <t>https://lpjk.pu.go.id/search-badan-usaha-detail/YlV6TFdIam1PQU9pTlFwSHhnQUV4dz09</t>
        </is>
      </c>
      <c r="F301" t="n">
        <v>5</v>
      </c>
      <c r="G301" t="inlineStr">
        <is>
          <t>BG006, BG009, BS001, BS002, BS004</t>
        </is>
      </c>
      <c r="H301" t="inlineStr">
        <is>
          <t>28 April 2006</t>
        </is>
      </c>
      <c r="I301" s="2" t="n">
        <v>46307</v>
      </c>
      <c r="J301" t="inlineStr">
        <is>
          <t>Disetujui</t>
        </is>
      </c>
      <c r="K301" t="n">
        <v>60</v>
      </c>
      <c r="L301" t="inlineStr">
        <is>
          <t>12 Oktober 2026</t>
        </is>
      </c>
      <c r="M301" t="inlineStr">
        <is>
          <t>Bangunan Sipil Jembatan, Jalan Layang, Fly Over, dan Underpass, Konstruksi Bangunan Sipil Jalan, Konstruksi Gedung Lainnya, Konstruksi Gedung Pendidikan, Konstruksi Jaringan Irigasi dan Drainase</t>
        </is>
      </c>
      <c r="N301" t="inlineStr">
        <is>
          <t>K</t>
        </is>
      </c>
      <c r="O301" t="inlineStr">
        <is>
          <t>20231007</t>
        </is>
      </c>
      <c r="P301" t="inlineStr">
        <is>
          <t>Lampung</t>
        </is>
      </c>
      <c r="Q301" t="inlineStr"/>
    </row>
    <row r="302">
      <c r="A302" t="inlineStr">
        <is>
          <t>DUA PUTRA NDAO</t>
        </is>
      </c>
      <c r="B302" t="inlineStr">
        <is>
          <t>Kota Kupang</t>
        </is>
      </c>
      <c r="C302" t="inlineStr">
        <is>
          <t>081239894217</t>
        </is>
      </c>
      <c r="D302" t="inlineStr">
        <is>
          <t>duaputrandao18@gmail.com</t>
        </is>
      </c>
      <c r="E302" t="inlineStr">
        <is>
          <t>https://lpjk.pu.go.id/search-badan-usaha-detail/L1lCQk5IUk5oUzBleGFSUTVTWFZoUT09</t>
        </is>
      </c>
      <c r="F302" t="n">
        <v>1</v>
      </c>
      <c r="G302" t="inlineStr">
        <is>
          <t>BS001</t>
        </is>
      </c>
      <c r="H302" t="inlineStr">
        <is>
          <t>17 April 2023</t>
        </is>
      </c>
      <c r="I302" s="2" t="n">
        <v>46307</v>
      </c>
      <c r="J302" t="inlineStr">
        <is>
          <t>Disetujui</t>
        </is>
      </c>
      <c r="K302" t="n">
        <v>60</v>
      </c>
      <c r="L302" t="inlineStr">
        <is>
          <t>12 Oktober 2026</t>
        </is>
      </c>
      <c r="M302" t="inlineStr">
        <is>
          <t>Konstruksi Bangunan Sipil Jalan</t>
        </is>
      </c>
      <c r="N302" t="inlineStr">
        <is>
          <t>K</t>
        </is>
      </c>
      <c r="O302" t="inlineStr">
        <is>
          <t>20231013</t>
        </is>
      </c>
      <c r="P302" t="inlineStr">
        <is>
          <t>Nusa Tenggara Timur</t>
        </is>
      </c>
      <c r="Q302" t="inlineStr"/>
    </row>
    <row r="303">
      <c r="A303" t="inlineStr">
        <is>
          <t>DUMAI ANUGERAH PERKASA</t>
        </is>
      </c>
      <c r="B303" t="inlineStr">
        <is>
          <t>Kota Dumai</t>
        </is>
      </c>
      <c r="C303" t="inlineStr">
        <is>
          <t>085356525251</t>
        </is>
      </c>
      <c r="D303" t="inlineStr">
        <is>
          <t>dumaianugerahperkasa@gmail.com</t>
        </is>
      </c>
      <c r="E303" t="inlineStr">
        <is>
          <t>https://lpjk.pu.go.id/search-badan-usaha-detail/dWZFenYvNVNmWUhNNUFQa1REU1lZUT09</t>
        </is>
      </c>
      <c r="F303" t="n">
        <v>2</v>
      </c>
      <c r="G303" t="inlineStr">
        <is>
          <t>BG006</t>
        </is>
      </c>
      <c r="H303" t="inlineStr">
        <is>
          <t>30 Januari 2023</t>
        </is>
      </c>
      <c r="I303" s="2" t="n">
        <v>46307</v>
      </c>
      <c r="J303" t="inlineStr">
        <is>
          <t>Disetujui</t>
        </is>
      </c>
      <c r="K303" t="n">
        <v>60</v>
      </c>
      <c r="L303" t="inlineStr">
        <is>
          <t>12 Oktober 2026</t>
        </is>
      </c>
      <c r="M303" t="inlineStr">
        <is>
          <t>Konstruksi Gedung Pendidikan</t>
        </is>
      </c>
      <c r="N303" t="inlineStr">
        <is>
          <t>K</t>
        </is>
      </c>
      <c r="O303" t="inlineStr">
        <is>
          <t>20231011</t>
        </is>
      </c>
      <c r="P303" t="inlineStr">
        <is>
          <t>Riau</t>
        </is>
      </c>
      <c r="Q303" t="inlineStr"/>
    </row>
    <row r="304">
      <c r="A304" t="inlineStr">
        <is>
          <t>DUTA DIWA MANDIRI</t>
        </is>
      </c>
      <c r="B304" t="inlineStr">
        <is>
          <t>Kota Tangerang Selatan</t>
        </is>
      </c>
      <c r="C304" t="inlineStr">
        <is>
          <t>02127598708</t>
        </is>
      </c>
      <c r="D304" t="inlineStr">
        <is>
          <t>dutadiwa@gmail.com</t>
        </is>
      </c>
      <c r="E304" t="inlineStr">
        <is>
          <t>https://lpjk.pu.go.id/search-badan-usaha-detail/b085Vmg4b3dndWY4NzJtQVAxR3lQQT09</t>
        </is>
      </c>
      <c r="F304" t="n">
        <v>1</v>
      </c>
      <c r="G304" t="inlineStr">
        <is>
          <t>BS001</t>
        </is>
      </c>
      <c r="H304" t="inlineStr">
        <is>
          <t>27 Januari 2016</t>
        </is>
      </c>
      <c r="I304" s="2" t="n">
        <v>46313</v>
      </c>
      <c r="J304" t="inlineStr">
        <is>
          <t>Disetujui</t>
        </is>
      </c>
      <c r="K304" t="n">
        <v>60</v>
      </c>
      <c r="L304" t="inlineStr">
        <is>
          <t>18 Oktober 2026</t>
        </is>
      </c>
      <c r="M304" t="inlineStr">
        <is>
          <t>Konstruksi Bangunan Sipil Jalan</t>
        </is>
      </c>
      <c r="N304" t="inlineStr">
        <is>
          <t>K</t>
        </is>
      </c>
      <c r="O304" t="inlineStr">
        <is>
          <t>20231005</t>
        </is>
      </c>
      <c r="P304" t="inlineStr">
        <is>
          <t>Banten</t>
        </is>
      </c>
      <c r="Q304" t="inlineStr"/>
    </row>
    <row r="305">
      <c r="A305" t="inlineStr">
        <is>
          <t>DUTA KONSTRUKSI KHATULISTIWA</t>
        </is>
      </c>
      <c r="B305" t="inlineStr">
        <is>
          <t>Kab. Kubu Raya</t>
        </is>
      </c>
      <c r="C305" t="inlineStr">
        <is>
          <t>089510569889</t>
        </is>
      </c>
      <c r="D305" t="inlineStr">
        <is>
          <t>dutakonstruksikhatulistiwa@gmail.com</t>
        </is>
      </c>
      <c r="E305" t="inlineStr">
        <is>
          <t>https://lpjk.pu.go.id/search-badan-usaha-detail/NVE0cTExcU03TUt4bVZjTFBTeUhiUT09</t>
        </is>
      </c>
      <c r="F305" t="n">
        <v>1</v>
      </c>
      <c r="G305" t="inlineStr">
        <is>
          <t>BG002</t>
        </is>
      </c>
      <c r="H305" t="inlineStr">
        <is>
          <t>22 Desember 2021</t>
        </is>
      </c>
      <c r="I305" s="2" t="n">
        <v>46312</v>
      </c>
      <c r="J305" t="inlineStr">
        <is>
          <t>Disetujui</t>
        </is>
      </c>
      <c r="K305" t="n">
        <v>60</v>
      </c>
      <c r="L305" t="inlineStr">
        <is>
          <t>17 Oktober 2026</t>
        </is>
      </c>
      <c r="M305" t="inlineStr">
        <is>
          <t>Konstruksi Gedung Perkantoran</t>
        </is>
      </c>
      <c r="N305" t="inlineStr">
        <is>
          <t>K</t>
        </is>
      </c>
      <c r="O305" t="inlineStr">
        <is>
          <t>20231012</t>
        </is>
      </c>
      <c r="P305" t="inlineStr">
        <is>
          <t>Kalimantan Barat</t>
        </is>
      </c>
      <c r="Q305" t="inlineStr"/>
    </row>
    <row r="306">
      <c r="A306" t="inlineStr">
        <is>
          <t>DUTA MAS MANDIRI</t>
        </is>
      </c>
      <c r="B306" t="inlineStr">
        <is>
          <t>Kab. Deli Serdang</t>
        </is>
      </c>
      <c r="C306" t="inlineStr">
        <is>
          <t>082275831201</t>
        </is>
      </c>
      <c r="D306" t="inlineStr">
        <is>
          <t>cvdutamasmandiri15@gmail.com</t>
        </is>
      </c>
      <c r="E306" t="inlineStr">
        <is>
          <t>https://lpjk.pu.go.id/search-badan-usaha-detail/UjlmZjZuSGhPR0pMWTBrNnJ2ZnNsQT09</t>
        </is>
      </c>
      <c r="F306" t="n">
        <v>3</v>
      </c>
      <c r="G306" t="inlineStr">
        <is>
          <t>BG009, BS001, BS004</t>
        </is>
      </c>
      <c r="H306" t="inlineStr">
        <is>
          <t>23 Februari 2016</t>
        </is>
      </c>
      <c r="I306" s="2" t="n">
        <v>46310</v>
      </c>
      <c r="J306" t="inlineStr">
        <is>
          <t>Disetujui</t>
        </is>
      </c>
      <c r="K306" t="n">
        <v>60</v>
      </c>
      <c r="L306" t="inlineStr">
        <is>
          <t>15 Oktober 2026</t>
        </is>
      </c>
      <c r="M306" t="inlineStr">
        <is>
          <t>Konstruksi Bangunan Sipil Jalan, Konstruksi Gedung Lainnya, Konstruksi Jaringan Irigasi dan Drainase</t>
        </is>
      </c>
      <c r="N306" t="inlineStr">
        <is>
          <t>K</t>
        </is>
      </c>
      <c r="O306" t="inlineStr">
        <is>
          <t>20231013</t>
        </is>
      </c>
      <c r="P306" t="inlineStr">
        <is>
          <t>Sumatera Utara</t>
        </is>
      </c>
      <c r="Q306" t="inlineStr"/>
    </row>
    <row r="307">
      <c r="A307" t="inlineStr">
        <is>
          <t>DUTA UNGGUL</t>
        </is>
      </c>
      <c r="B307" t="inlineStr">
        <is>
          <t>Kab. Malang</t>
        </is>
      </c>
      <c r="C307" t="inlineStr">
        <is>
          <t>083834987465</t>
        </is>
      </c>
      <c r="D307" t="inlineStr">
        <is>
          <t>duta.unggul01@gmail.com</t>
        </is>
      </c>
      <c r="E307" t="inlineStr">
        <is>
          <t>https://lpjk.pu.go.id/search-badan-usaha-detail/M2hNUVgrdzJXV0FzU1NHcVhObHFiZz09</t>
        </is>
      </c>
      <c r="F307" t="n">
        <v>1</v>
      </c>
      <c r="G307" t="inlineStr">
        <is>
          <t>BS001</t>
        </is>
      </c>
      <c r="H307" t="inlineStr">
        <is>
          <t>25 September 2023</t>
        </is>
      </c>
      <c r="I307" s="2" t="n">
        <v>46311</v>
      </c>
      <c r="J307" t="inlineStr">
        <is>
          <t>Disetujui</t>
        </is>
      </c>
      <c r="K307" t="n">
        <v>60</v>
      </c>
      <c r="L307" t="inlineStr">
        <is>
          <t>16 Oktober 2026</t>
        </is>
      </c>
      <c r="M307" t="inlineStr">
        <is>
          <t>Konstruksi Bangunan Sipil Jalan</t>
        </is>
      </c>
      <c r="N307" t="inlineStr">
        <is>
          <t>K</t>
        </is>
      </c>
      <c r="O307" t="inlineStr">
        <is>
          <t>20231012</t>
        </is>
      </c>
      <c r="P307" t="inlineStr">
        <is>
          <t>Jawa Timur</t>
        </is>
      </c>
      <c r="Q307" t="inlineStr"/>
    </row>
    <row r="308">
      <c r="A308" t="inlineStr">
        <is>
          <t>DUTAJAYA KONSTRUKSI</t>
        </is>
      </c>
      <c r="B308" t="inlineStr">
        <is>
          <t>Kab. Kutai Kartanegara</t>
        </is>
      </c>
      <c r="C308" t="inlineStr">
        <is>
          <t>082154316629</t>
        </is>
      </c>
      <c r="D308" t="inlineStr">
        <is>
          <t>cvdutajayakonstruksi@gmail.com</t>
        </is>
      </c>
      <c r="E308" t="inlineStr">
        <is>
          <t>https://lpjk.pu.go.id/search-badan-usaha-detail/VzBXemdxajNiaFRUVE9ySWdXd01qQT09</t>
        </is>
      </c>
      <c r="F308" t="n">
        <v>1</v>
      </c>
      <c r="G308" t="inlineStr">
        <is>
          <t>BS001</t>
        </is>
      </c>
      <c r="H308" t="inlineStr">
        <is>
          <t>1 September 2023</t>
        </is>
      </c>
      <c r="I308" s="2" t="n">
        <v>46313</v>
      </c>
      <c r="J308" t="inlineStr">
        <is>
          <t>Disetujui</t>
        </is>
      </c>
      <c r="K308" t="n">
        <v>60</v>
      </c>
      <c r="L308" t="inlineStr">
        <is>
          <t>18 Oktober 2026</t>
        </is>
      </c>
      <c r="M308" t="inlineStr">
        <is>
          <t>Konstruksi Bangunan Sipil Jalan</t>
        </is>
      </c>
      <c r="N308" t="inlineStr">
        <is>
          <t>K</t>
        </is>
      </c>
      <c r="O308" t="inlineStr">
        <is>
          <t>20231017</t>
        </is>
      </c>
      <c r="P308" t="inlineStr">
        <is>
          <t>Kalimantan Timur</t>
        </is>
      </c>
      <c r="Q308" t="inlineStr"/>
    </row>
    <row r="309">
      <c r="A309" t="inlineStr">
        <is>
          <t>DYAH AYU</t>
        </is>
      </c>
      <c r="B309" t="inlineStr">
        <is>
          <t>Kota Bontang</t>
        </is>
      </c>
      <c r="C309" t="inlineStr">
        <is>
          <t>0811586668</t>
        </is>
      </c>
      <c r="D309" t="inlineStr">
        <is>
          <t>cv_dyahayu@yahoo.co.id</t>
        </is>
      </c>
      <c r="E309" t="inlineStr">
        <is>
          <t>https://lpjk.pu.go.id/search-badan-usaha-detail/TkN5a1hvM3dWV0ZTOVNMcTlJdWxtQT09</t>
        </is>
      </c>
      <c r="F309" t="n">
        <v>2</v>
      </c>
      <c r="G309" t="inlineStr">
        <is>
          <t>BG002, BG009</t>
        </is>
      </c>
      <c r="H309" t="inlineStr">
        <is>
          <t>11 April 2013</t>
        </is>
      </c>
      <c r="I309" s="2" t="n">
        <v>46312</v>
      </c>
      <c r="J309" t="inlineStr">
        <is>
          <t>Disetujui</t>
        </is>
      </c>
      <c r="K309" t="n">
        <v>60</v>
      </c>
      <c r="L309" t="inlineStr">
        <is>
          <t>17 Oktober 2026</t>
        </is>
      </c>
      <c r="M309" t="inlineStr">
        <is>
          <t>Konstruksi Gedung Lainnya, Konstruksi Gedung Perkantoran</t>
        </is>
      </c>
      <c r="N309" t="inlineStr">
        <is>
          <t>K</t>
        </is>
      </c>
      <c r="O309" t="inlineStr">
        <is>
          <t>20231016, 20231018</t>
        </is>
      </c>
      <c r="P309" t="inlineStr">
        <is>
          <t>Kalimantan Timur</t>
        </is>
      </c>
      <c r="Q309" t="inlineStr"/>
    </row>
    <row r="310">
      <c r="A310" t="inlineStr">
        <is>
          <t>DYTA UTAMA KONSTRUKSI</t>
        </is>
      </c>
      <c r="B310" t="inlineStr">
        <is>
          <t>Kota Palu</t>
        </is>
      </c>
      <c r="C310" t="inlineStr">
        <is>
          <t>082298316221</t>
        </is>
      </c>
      <c r="D310" t="inlineStr">
        <is>
          <t>dytautamakonstruksi@gmail.com</t>
        </is>
      </c>
      <c r="E310" t="inlineStr">
        <is>
          <t>https://lpjk.pu.go.id/search-badan-usaha-detail/Y0FlN3l5a3d1UHhiTlc4NVh3MTZvUT09</t>
        </is>
      </c>
      <c r="F310" t="n">
        <v>1</v>
      </c>
      <c r="G310" t="inlineStr">
        <is>
          <t>BG009</t>
        </is>
      </c>
      <c r="H310" t="inlineStr">
        <is>
          <t>13 Mei 2023</t>
        </is>
      </c>
      <c r="I310" s="2" t="n">
        <v>46309</v>
      </c>
      <c r="J310" t="inlineStr">
        <is>
          <t>Pencabutan</t>
        </is>
      </c>
      <c r="K310" t="n">
        <v>60</v>
      </c>
      <c r="L310" t="inlineStr">
        <is>
          <t>14 Oktober 2026</t>
        </is>
      </c>
      <c r="M310" t="inlineStr">
        <is>
          <t>Konstruksi Gedung Lainnya</t>
        </is>
      </c>
      <c r="N310" t="inlineStr">
        <is>
          <t>K</t>
        </is>
      </c>
      <c r="O310" t="inlineStr">
        <is>
          <t>20231014</t>
        </is>
      </c>
      <c r="P310" t="inlineStr">
        <is>
          <t>Sulawesi Tengah</t>
        </is>
      </c>
      <c r="Q310" t="inlineStr"/>
    </row>
    <row r="311">
      <c r="A311" t="inlineStr">
        <is>
          <t>EDI RANTI JAYA</t>
        </is>
      </c>
      <c r="B311" t="inlineStr">
        <is>
          <t>Kota Semarang</t>
        </is>
      </c>
      <c r="C311" t="inlineStr">
        <is>
          <t>085740797734</t>
        </is>
      </c>
      <c r="D311" t="inlineStr">
        <is>
          <t>ediranti18@gmail.com</t>
        </is>
      </c>
      <c r="E311" t="inlineStr">
        <is>
          <t>https://lpjk.pu.go.id/search-badan-usaha-detail/UEh3RWhqanVsZjl1c3ZhKzBzSnMxQT09</t>
        </is>
      </c>
      <c r="F311" t="n">
        <v>4</v>
      </c>
      <c r="G311" t="inlineStr">
        <is>
          <t>BG002, BG005, BG006, BS001</t>
        </is>
      </c>
      <c r="H311" t="inlineStr">
        <is>
          <t>4 Januari 2017</t>
        </is>
      </c>
      <c r="I311" s="2" t="n">
        <v>46311</v>
      </c>
      <c r="J311" t="inlineStr">
        <is>
          <t>Disetujui</t>
        </is>
      </c>
      <c r="K311" t="n">
        <v>60</v>
      </c>
      <c r="L311" t="inlineStr">
        <is>
          <t>16 Oktober 2026</t>
        </is>
      </c>
      <c r="M311" t="inlineStr">
        <is>
          <t>Konstruksi Bangunan Sipil Jalan, Konstruksi Gedung Kesehatan, Konstruksi Gedung Pendidikan, Konstruksi Gedung Perkantoran</t>
        </is>
      </c>
      <c r="N311" t="inlineStr">
        <is>
          <t>K</t>
        </is>
      </c>
      <c r="O311" t="inlineStr">
        <is>
          <t>20230927</t>
        </is>
      </c>
      <c r="P311" t="inlineStr">
        <is>
          <t>Jawa Tengah</t>
        </is>
      </c>
      <c r="Q311" t="inlineStr"/>
    </row>
    <row r="312">
      <c r="A312" t="inlineStr">
        <is>
          <t>EKA WIJAYA SURYA</t>
        </is>
      </c>
      <c r="B312" t="inlineStr">
        <is>
          <t>Kab. Karawang</t>
        </is>
      </c>
      <c r="C312" t="inlineStr">
        <is>
          <t>081384788666</t>
        </is>
      </c>
      <c r="D312" t="inlineStr">
        <is>
          <t>ekawijayasuryacv@gmail.com</t>
        </is>
      </c>
      <c r="E312" t="inlineStr">
        <is>
          <t>https://lpjk.pu.go.id/search-badan-usaha-detail/NUdrNmd3cW9RRU1uamczUkxKV21LZz09</t>
        </is>
      </c>
      <c r="F312" t="n">
        <v>1</v>
      </c>
      <c r="G312" t="inlineStr">
        <is>
          <t>BG009</t>
        </is>
      </c>
      <c r="H312" t="inlineStr">
        <is>
          <t>26 Maret 2015</t>
        </is>
      </c>
      <c r="I312" s="2" t="n">
        <v>46313</v>
      </c>
      <c r="J312" t="inlineStr">
        <is>
          <t>Disetujui</t>
        </is>
      </c>
      <c r="K312" t="n">
        <v>60</v>
      </c>
      <c r="L312" t="inlineStr">
        <is>
          <t>18 Oktober 2026</t>
        </is>
      </c>
      <c r="M312" t="inlineStr">
        <is>
          <t>Konstruksi Gedung Lainnya</t>
        </is>
      </c>
      <c r="N312" t="inlineStr">
        <is>
          <t>K</t>
        </is>
      </c>
      <c r="O312" t="inlineStr">
        <is>
          <t>20231019</t>
        </is>
      </c>
      <c r="P312" t="inlineStr">
        <is>
          <t>Jawa Barat</t>
        </is>
      </c>
      <c r="Q312" t="inlineStr"/>
    </row>
    <row r="313">
      <c r="A313" t="inlineStr">
        <is>
          <t>ELSA NUREGA</t>
        </is>
      </c>
      <c r="B313" t="inlineStr">
        <is>
          <t>Kab. Gunungkidul</t>
        </is>
      </c>
      <c r="C313" t="inlineStr">
        <is>
          <t>0882008379708</t>
        </is>
      </c>
      <c r="D313" t="inlineStr">
        <is>
          <t>enurega@yahoo.com</t>
        </is>
      </c>
      <c r="E313" t="inlineStr">
        <is>
          <t>https://lpjk.pu.go.id/search-badan-usaha-detail/eGxiYVc0M0xFMEJEWVhpNnpRcjg1QT09</t>
        </is>
      </c>
      <c r="F313" t="n">
        <v>1</v>
      </c>
      <c r="G313" t="inlineStr">
        <is>
          <t>PL003</t>
        </is>
      </c>
      <c r="H313" t="inlineStr">
        <is>
          <t>1 Mei 2007</t>
        </is>
      </c>
      <c r="I313" s="2" t="n">
        <v>46313</v>
      </c>
      <c r="J313" t="inlineStr">
        <is>
          <t>Disetujui</t>
        </is>
      </c>
      <c r="K313" t="n">
        <v>60</v>
      </c>
      <c r="L313" t="inlineStr">
        <is>
          <t>18 Oktober 2026</t>
        </is>
      </c>
      <c r="M313" t="inlineStr">
        <is>
          <t>Penyiapan Lahan Konstruksi</t>
        </is>
      </c>
      <c r="N313" t="inlineStr">
        <is>
          <t>Spesialis</t>
        </is>
      </c>
      <c r="O313" t="inlineStr">
        <is>
          <t>20220413</t>
        </is>
      </c>
      <c r="P313" t="inlineStr">
        <is>
          <t>DI Yogyakarta</t>
        </is>
      </c>
      <c r="Q313" t="inlineStr"/>
    </row>
    <row r="314">
      <c r="A314" t="inlineStr">
        <is>
          <t>ELURI GROUP</t>
        </is>
      </c>
      <c r="B314" t="inlineStr">
        <is>
          <t>Kab. Cianjur</t>
        </is>
      </c>
      <c r="C314" t="inlineStr">
        <is>
          <t>085216670766</t>
        </is>
      </c>
      <c r="D314" t="inlineStr">
        <is>
          <t>elurigroup@yahoo.com</t>
        </is>
      </c>
      <c r="E314" t="inlineStr">
        <is>
          <t>https://lpjk.pu.go.id/search-badan-usaha-detail/SnJ3SW5Gd3JTMWM5QWxvUTlNMWtxUT09</t>
        </is>
      </c>
      <c r="F314" t="n">
        <v>1</v>
      </c>
      <c r="G314" t="inlineStr">
        <is>
          <t>BG006</t>
        </is>
      </c>
      <c r="H314" t="inlineStr">
        <is>
          <t>1 Oktober 1993</t>
        </is>
      </c>
      <c r="I314" s="2" t="n">
        <v>46308</v>
      </c>
      <c r="J314" t="inlineStr">
        <is>
          <t>Disetujui</t>
        </is>
      </c>
      <c r="K314" t="n">
        <v>60</v>
      </c>
      <c r="L314" t="inlineStr">
        <is>
          <t>13 Oktober 2026</t>
        </is>
      </c>
      <c r="M314" t="inlineStr">
        <is>
          <t>Konstruksi Gedung Pendidikan</t>
        </is>
      </c>
      <c r="N314" t="inlineStr">
        <is>
          <t>K</t>
        </is>
      </c>
      <c r="O314" t="inlineStr">
        <is>
          <t>20231012</t>
        </is>
      </c>
      <c r="P314" t="inlineStr">
        <is>
          <t>Jawa Barat</t>
        </is>
      </c>
      <c r="Q314" t="inlineStr"/>
    </row>
    <row r="315">
      <c r="A315" t="inlineStr">
        <is>
          <t>ENAM ENAM PEMALANG</t>
        </is>
      </c>
      <c r="B315" t="inlineStr">
        <is>
          <t>Kab. Pemalang</t>
        </is>
      </c>
      <c r="C315" t="inlineStr">
        <is>
          <t>0284321472</t>
        </is>
      </c>
      <c r="D315" t="inlineStr">
        <is>
          <t>enamenam403@gmail.com</t>
        </is>
      </c>
      <c r="E315" t="inlineStr">
        <is>
          <t>https://lpjk.pu.go.id/search-badan-usaha-detail/azlsN1pJSVN4eUswK1g2Sm40N1E2UT09</t>
        </is>
      </c>
      <c r="F315" t="n">
        <v>3</v>
      </c>
      <c r="G315" t="inlineStr">
        <is>
          <t>BG006, BG009, BS001</t>
        </is>
      </c>
      <c r="H315" t="inlineStr">
        <is>
          <t>24 Maret 1997</t>
        </is>
      </c>
      <c r="I315" s="2" t="n">
        <v>46308</v>
      </c>
      <c r="J315" t="inlineStr">
        <is>
          <t>Disetujui</t>
        </is>
      </c>
      <c r="K315" t="n">
        <v>60</v>
      </c>
      <c r="L315" t="inlineStr">
        <is>
          <t>13 Oktober 2026</t>
        </is>
      </c>
      <c r="M315" t="inlineStr">
        <is>
          <t>Konstruksi Bangunan Sipil Jalan, Konstruksi Gedung Lainnya, Konstruksi Gedung Pendidikan</t>
        </is>
      </c>
      <c r="N315" t="inlineStr">
        <is>
          <t>K</t>
        </is>
      </c>
      <c r="O315" t="inlineStr">
        <is>
          <t>20231009</t>
        </is>
      </c>
      <c r="P315" t="inlineStr">
        <is>
          <t>Jawa Tengah</t>
        </is>
      </c>
      <c r="Q315" t="inlineStr"/>
    </row>
    <row r="316">
      <c r="A316" t="inlineStr">
        <is>
          <t>ENDIKO</t>
        </is>
      </c>
      <c r="B316" t="inlineStr">
        <is>
          <t>Kab. Subang</t>
        </is>
      </c>
      <c r="C316" t="inlineStr">
        <is>
          <t>085220973154</t>
        </is>
      </c>
      <c r="D316" t="inlineStr">
        <is>
          <t>cvendiko379@gmail.com</t>
        </is>
      </c>
      <c r="E316" t="inlineStr">
        <is>
          <t>https://lpjk.pu.go.id/search-badan-usaha-detail/WEY3R0IvdGs3N082eVdlN3ZVSmJHdz09</t>
        </is>
      </c>
      <c r="F316" t="n">
        <v>1</v>
      </c>
      <c r="G316" t="inlineStr">
        <is>
          <t>BS010</t>
        </is>
      </c>
      <c r="H316" t="inlineStr">
        <is>
          <t>22 Juni 2012</t>
        </is>
      </c>
      <c r="I316" s="2" t="n">
        <v>46311</v>
      </c>
      <c r="J316" t="inlineStr">
        <is>
          <t>Pencabutan</t>
        </is>
      </c>
      <c r="K316" t="n">
        <v>60</v>
      </c>
      <c r="L316" t="inlineStr">
        <is>
          <t>16 Oktober 2026</t>
        </is>
      </c>
      <c r="M316" t="inlineStr">
        <is>
          <t>Konstruksi Bangunan Prasarana Sumber Daya Air</t>
        </is>
      </c>
      <c r="N316" t="inlineStr">
        <is>
          <t>K</t>
        </is>
      </c>
      <c r="O316" t="inlineStr">
        <is>
          <t>20231015</t>
        </is>
      </c>
      <c r="P316" t="inlineStr">
        <is>
          <t>Jawa Barat</t>
        </is>
      </c>
      <c r="Q316" t="inlineStr"/>
    </row>
    <row r="317">
      <c r="A317" t="inlineStr">
        <is>
          <t>ENERGI TRADA NUSANTARA</t>
        </is>
      </c>
      <c r="B317" t="inlineStr">
        <is>
          <t>Kota Adm. Jakarta Pusat</t>
        </is>
      </c>
      <c r="C317" t="inlineStr">
        <is>
          <t>02122394907</t>
        </is>
      </c>
      <c r="D317" t="inlineStr">
        <is>
          <t>info@energitrans.com</t>
        </is>
      </c>
      <c r="E317" t="inlineStr">
        <is>
          <t>https://lpjk.pu.go.id/search-badan-usaha-detail/K0dPUkhWUFJTL1RlZWxpM25kK1hLZz09</t>
        </is>
      </c>
      <c r="F317" t="n">
        <v>1</v>
      </c>
      <c r="G317" t="inlineStr">
        <is>
          <t>IN007</t>
        </is>
      </c>
      <c r="H317" t="inlineStr">
        <is>
          <t>18 September 2012</t>
        </is>
      </c>
      <c r="I317" s="2" t="n">
        <v>46313</v>
      </c>
      <c r="J317" t="inlineStr">
        <is>
          <t>Disetujui</t>
        </is>
      </c>
      <c r="K317" t="n">
        <v>60</v>
      </c>
      <c r="L317" t="inlineStr">
        <is>
          <t>18 Oktober 2026</t>
        </is>
      </c>
      <c r="M317" t="inlineStr">
        <is>
          <t>Instalasi Saluran Air (Plambing)</t>
        </is>
      </c>
      <c r="N317" t="inlineStr">
        <is>
          <t>Spesialis</t>
        </is>
      </c>
      <c r="O317" t="inlineStr">
        <is>
          <t>20231010</t>
        </is>
      </c>
      <c r="P317" t="inlineStr">
        <is>
          <t>DKI Jakarta</t>
        </is>
      </c>
      <c r="Q317" t="inlineStr"/>
    </row>
    <row r="318">
      <c r="A318" t="inlineStr">
        <is>
          <t>ENVICON EKATAMA</t>
        </is>
      </c>
      <c r="B318" t="inlineStr">
        <is>
          <t>Kab. Karawang</t>
        </is>
      </c>
      <c r="C318" t="inlineStr">
        <is>
          <t>081514873003</t>
        </is>
      </c>
      <c r="D318" t="inlineStr">
        <is>
          <t>ndrtemas@gmail.com</t>
        </is>
      </c>
      <c r="E318" t="inlineStr">
        <is>
          <t>https://lpjk.pu.go.id/search-badan-usaha-detail/Ly9NYTlVenhsR2c2ZThoNmZPUklTQT09</t>
        </is>
      </c>
      <c r="F318" t="n">
        <v>2</v>
      </c>
      <c r="G318" t="inlineStr">
        <is>
          <t>IN001, IN004</t>
        </is>
      </c>
      <c r="H318" t="inlineStr">
        <is>
          <t>16 November 1990</t>
        </is>
      </c>
      <c r="I318" s="2" t="n">
        <v>46313</v>
      </c>
      <c r="J318" t="inlineStr">
        <is>
          <t>Disetujui</t>
        </is>
      </c>
      <c r="K318" t="n">
        <v>60</v>
      </c>
      <c r="L318" t="inlineStr">
        <is>
          <t>18 Oktober 2026</t>
        </is>
      </c>
      <c r="M318" t="inlineStr">
        <is>
          <t>Instalasi Mekanikal, Instalasi Minyak dan Gas</t>
        </is>
      </c>
      <c r="N318" t="inlineStr">
        <is>
          <t>Spesialis</t>
        </is>
      </c>
      <c r="O318" t="inlineStr">
        <is>
          <t>20231017</t>
        </is>
      </c>
      <c r="P318" t="inlineStr">
        <is>
          <t>Jawa Barat</t>
        </is>
      </c>
      <c r="Q318" t="inlineStr"/>
    </row>
    <row r="319">
      <c r="A319" t="inlineStr">
        <is>
          <t>ERINA WIJAYA</t>
        </is>
      </c>
      <c r="B319" t="inlineStr">
        <is>
          <t>Kab. Kudus</t>
        </is>
      </c>
      <c r="C319" t="inlineStr">
        <is>
          <t>085641537290</t>
        </is>
      </c>
      <c r="D319" t="inlineStr">
        <is>
          <t>erinawijayaconsult@gmail.com</t>
        </is>
      </c>
      <c r="E319" t="inlineStr">
        <is>
          <t>https://lpjk.pu.go.id/search-badan-usaha-detail/Z08xQ2UwNnEzdVpVUFA2Q0YxTzhVZjgvQVU3VURFK2ViZTc4SG5vYm5ldz0</t>
        </is>
      </c>
      <c r="F319" t="n">
        <v>1</v>
      </c>
      <c r="G319" t="inlineStr">
        <is>
          <t>RK001</t>
        </is>
      </c>
      <c r="H319" t="inlineStr">
        <is>
          <t>26 Januari 2026</t>
        </is>
      </c>
      <c r="I319" s="2" t="n">
        <v>46307</v>
      </c>
      <c r="J319" t="inlineStr">
        <is>
          <t>Disetujui</t>
        </is>
      </c>
      <c r="K319" t="n">
        <v>60</v>
      </c>
      <c r="L319" t="inlineStr">
        <is>
          <t>12 Oktober 2026</t>
        </is>
      </c>
      <c r="M319" t="inlineStr">
        <is>
          <t>Jasa Rekayasa Konstruksi Bangunan Gedung Hunian dan Non Hunian</t>
        </is>
      </c>
      <c r="N319" t="inlineStr">
        <is>
          <t>K</t>
        </is>
      </c>
      <c r="O319" t="inlineStr">
        <is>
          <t>20231010</t>
        </is>
      </c>
      <c r="P319" t="inlineStr">
        <is>
          <t>Jawa Tengah</t>
        </is>
      </c>
      <c r="Q319" t="inlineStr"/>
    </row>
    <row r="320">
      <c r="A320" t="inlineStr">
        <is>
          <t>ESA SWASTIKA SEMESTA</t>
        </is>
      </c>
      <c r="B320" t="inlineStr">
        <is>
          <t>Kota Denpasar</t>
        </is>
      </c>
      <c r="C320" t="inlineStr">
        <is>
          <t>0361487886</t>
        </is>
      </c>
      <c r="D320" t="inlineStr">
        <is>
          <t>ariekaryawati@gmail.com</t>
        </is>
      </c>
      <c r="E320" t="inlineStr">
        <is>
          <t>https://lpjk.pu.go.id/search-badan-usaha-detail/Ym53c2lUaGdFU09DSVd5K2xUdmlRQT09</t>
        </is>
      </c>
      <c r="F320" t="n">
        <v>1</v>
      </c>
      <c r="G320" t="inlineStr">
        <is>
          <t>AR001</t>
        </is>
      </c>
      <c r="H320" t="inlineStr">
        <is>
          <t>31 Mei 2022</t>
        </is>
      </c>
      <c r="I320" s="2" t="n">
        <v>46313</v>
      </c>
      <c r="J320" t="inlineStr">
        <is>
          <t>Disetujui</t>
        </is>
      </c>
      <c r="K320" t="n">
        <v>60</v>
      </c>
      <c r="L320" t="inlineStr">
        <is>
          <t>18 Oktober 2026</t>
        </is>
      </c>
      <c r="M320" t="inlineStr">
        <is>
          <t>Jasa Arsitektural Bangunan Gedung Hunian dan Non Hunian</t>
        </is>
      </c>
      <c r="N320" t="inlineStr">
        <is>
          <t>K</t>
        </is>
      </c>
      <c r="O320" t="inlineStr">
        <is>
          <t>20231010</t>
        </is>
      </c>
      <c r="P320" t="inlineStr">
        <is>
          <t>Bali</t>
        </is>
      </c>
      <c r="Q320" t="inlineStr"/>
    </row>
    <row r="321">
      <c r="A321" t="inlineStr">
        <is>
          <t>ESHAL GRIYATAMA</t>
        </is>
      </c>
      <c r="B321" t="inlineStr">
        <is>
          <t>Kab. Magelang</t>
        </is>
      </c>
      <c r="C321" t="inlineStr">
        <is>
          <t>085745222200</t>
        </is>
      </c>
      <c r="D321" t="inlineStr">
        <is>
          <t>eshalgriyatama@yahoo.com</t>
        </is>
      </c>
      <c r="E321" t="inlineStr">
        <is>
          <t>https://lpjk.pu.go.id/search-badan-usaha-detail/blR4YWlBVFlkVHVDL1c2dlkzZGxpZz09</t>
        </is>
      </c>
      <c r="F321" t="n">
        <v>2</v>
      </c>
      <c r="G321" t="inlineStr">
        <is>
          <t>BG002, BG004</t>
        </is>
      </c>
      <c r="H321" t="inlineStr">
        <is>
          <t>3 Februari 2021</t>
        </is>
      </c>
      <c r="I321" s="2" t="n">
        <v>46310</v>
      </c>
      <c r="J321" t="inlineStr">
        <is>
          <t>Disetujui</t>
        </is>
      </c>
      <c r="K321" t="n">
        <v>60</v>
      </c>
      <c r="L321" t="inlineStr">
        <is>
          <t>15 Oktober 2026</t>
        </is>
      </c>
      <c r="M321" t="inlineStr">
        <is>
          <t>Konstruksi Gedung Perbelanjaan, Konstruksi Gedung Perkantoran</t>
        </is>
      </c>
      <c r="N321" t="inlineStr">
        <is>
          <t>K</t>
        </is>
      </c>
      <c r="O321" t="inlineStr">
        <is>
          <t>20231011</t>
        </is>
      </c>
      <c r="P321" t="inlineStr">
        <is>
          <t>Jawa Tengah</t>
        </is>
      </c>
      <c r="Q321" t="inlineStr"/>
    </row>
    <row r="322">
      <c r="A322" t="inlineStr">
        <is>
          <t>FARHAN JASA PRATAMA</t>
        </is>
      </c>
      <c r="B322" t="inlineStr">
        <is>
          <t>Kota Ambon</t>
        </is>
      </c>
      <c r="C322" t="inlineStr">
        <is>
          <t>081247907424</t>
        </is>
      </c>
      <c r="D322" t="inlineStr">
        <is>
          <t>Pratamafarhanjasa@gmail.com</t>
        </is>
      </c>
      <c r="E322" t="inlineStr">
        <is>
          <t>https://lpjk.pu.go.id/search-badan-usaha-detail/NkJ6cmQ1SzBRVVZVT3hRYUtNYm9Edz09</t>
        </is>
      </c>
      <c r="F322" t="n">
        <v>3</v>
      </c>
      <c r="G322" t="inlineStr">
        <is>
          <t>BG005, BS004, BS010</t>
        </is>
      </c>
      <c r="H322" t="inlineStr">
        <is>
          <t>30 Agustus 2023</t>
        </is>
      </c>
      <c r="I322" s="2" t="n">
        <v>46312</v>
      </c>
      <c r="J322" t="inlineStr">
        <is>
          <t>Disetujui</t>
        </is>
      </c>
      <c r="K322" t="n">
        <v>60</v>
      </c>
      <c r="L322" t="inlineStr">
        <is>
          <t>17 Oktober 2026</t>
        </is>
      </c>
      <c r="M322" t="inlineStr">
        <is>
          <t>Konstruksi Bangunan Prasarana Sumber Daya Air, Konstruksi Gedung Kesehatan, Konstruksi Jaringan Irigasi dan Drainase</t>
        </is>
      </c>
      <c r="N322" t="inlineStr">
        <is>
          <t>K</t>
        </is>
      </c>
      <c r="O322" t="inlineStr">
        <is>
          <t>20231016</t>
        </is>
      </c>
      <c r="P322" t="inlineStr">
        <is>
          <t>Maluku</t>
        </is>
      </c>
      <c r="Q322" t="inlineStr"/>
    </row>
    <row r="323">
      <c r="A323" t="inlineStr">
        <is>
          <t>FARSYAH CIPTA BERSAMA</t>
        </is>
      </c>
      <c r="B323" t="inlineStr">
        <is>
          <t>Kota Bitung</t>
        </is>
      </c>
      <c r="C323" t="inlineStr">
        <is>
          <t>0</t>
        </is>
      </c>
      <c r="D323" t="inlineStr">
        <is>
          <t>cv.farsyahciptabersama@gmail.com</t>
        </is>
      </c>
      <c r="E323" t="inlineStr">
        <is>
          <t>https://lpjk.pu.go.id/search-badan-usaha-detail/bDY4VVl1MkwxMnZGNXRjaVp3Yzk5Zz09</t>
        </is>
      </c>
      <c r="F323" t="n">
        <v>6</v>
      </c>
      <c r="G323" t="inlineStr">
        <is>
          <t>BG002, BG005, BG006, BG009, BS001, BS004</t>
        </is>
      </c>
      <c r="H323" t="inlineStr">
        <is>
          <t>14 Januari 2020</t>
        </is>
      </c>
      <c r="I323" s="2" t="n">
        <v>46308</v>
      </c>
      <c r="J323" t="inlineStr">
        <is>
          <t>Disetujui</t>
        </is>
      </c>
      <c r="K323" t="n">
        <v>60</v>
      </c>
      <c r="L323" t="inlineStr">
        <is>
          <t>13 Oktober 2026</t>
        </is>
      </c>
      <c r="M323" t="inlineStr">
        <is>
          <t>Konstruksi Bangunan Sipil Jalan, Konstruksi Gedung Kesehatan, Konstruksi Gedung Lainnya, Konstruksi Gedung Pendidikan, Konstruksi Gedung Perkantoran, Konstruksi Jaringan Irigasi dan Drainase</t>
        </is>
      </c>
      <c r="N323" t="inlineStr">
        <is>
          <t>K</t>
        </is>
      </c>
      <c r="O323" t="inlineStr">
        <is>
          <t>20231011, 20231016</t>
        </is>
      </c>
      <c r="P323" t="inlineStr">
        <is>
          <t>Sulawesi Utara</t>
        </is>
      </c>
      <c r="Q323" t="inlineStr"/>
    </row>
    <row r="324">
      <c r="A324" t="inlineStr">
        <is>
          <t>FATIH BAROKAH ALFARIZKI</t>
        </is>
      </c>
      <c r="B324" t="inlineStr">
        <is>
          <t>Kab. Sukabumi</t>
        </is>
      </c>
      <c r="C324" t="inlineStr">
        <is>
          <t>085713169600</t>
        </is>
      </c>
      <c r="D324" t="inlineStr">
        <is>
          <t>cvfatihbarokahalfarizki@gmail.com</t>
        </is>
      </c>
      <c r="E324" t="inlineStr">
        <is>
          <t>https://lpjk.pu.go.id/search-badan-usaha-detail/LzQzNnZlOTJsTXloOWNYOHczSG1VQT09</t>
        </is>
      </c>
      <c r="F324" t="n">
        <v>1</v>
      </c>
      <c r="G324" t="inlineStr">
        <is>
          <t>BS001</t>
        </is>
      </c>
      <c r="H324" t="inlineStr">
        <is>
          <t>18 September 2023</t>
        </is>
      </c>
      <c r="I324" s="2" t="n">
        <v>46307</v>
      </c>
      <c r="J324" t="inlineStr">
        <is>
          <t>Disetujui</t>
        </is>
      </c>
      <c r="K324" t="n">
        <v>60</v>
      </c>
      <c r="L324" t="inlineStr">
        <is>
          <t>12 Oktober 2026</t>
        </is>
      </c>
      <c r="M324" t="inlineStr">
        <is>
          <t>Konstruksi Bangunan Sipil Jalan</t>
        </is>
      </c>
      <c r="N324" t="inlineStr">
        <is>
          <t>K</t>
        </is>
      </c>
      <c r="O324" t="inlineStr">
        <is>
          <t>20231012</t>
        </is>
      </c>
      <c r="P324" t="inlineStr">
        <is>
          <t>Jawa Barat</t>
        </is>
      </c>
      <c r="Q324" t="inlineStr"/>
    </row>
    <row r="325">
      <c r="A325" t="inlineStr">
        <is>
          <t>FLORA NATAMA KARYA</t>
        </is>
      </c>
      <c r="B325" t="inlineStr">
        <is>
          <t>Kota Medan</t>
        </is>
      </c>
      <c r="C325" t="inlineStr">
        <is>
          <t>0617353879</t>
        </is>
      </c>
      <c r="D325" t="inlineStr">
        <is>
          <t>floranatamakarya20@gmail.com</t>
        </is>
      </c>
      <c r="E325" t="inlineStr">
        <is>
          <t>https://lpjk.pu.go.id/search-badan-usaha-detail/RWlWa3E4NDBiNFFUS1g5UnFIVFUzQT09</t>
        </is>
      </c>
      <c r="F325" t="n">
        <v>7</v>
      </c>
      <c r="G325" t="inlineStr">
        <is>
          <t>BG001, BG002, BG006, BG009, BS002, BS004, BS010</t>
        </is>
      </c>
      <c r="H325" t="inlineStr">
        <is>
          <t>9 Januari 2008</t>
        </is>
      </c>
      <c r="I325" s="2" t="n">
        <v>46307</v>
      </c>
      <c r="J325" t="inlineStr">
        <is>
          <t>Disetujui</t>
        </is>
      </c>
      <c r="K325" t="n">
        <v>60</v>
      </c>
      <c r="L325" t="inlineStr">
        <is>
          <t>12 Oktober 2026</t>
        </is>
      </c>
      <c r="M325" t="inlineStr">
        <is>
          <t>Bangunan Sipil Jembatan, Jalan Layang, Fly Over, dan Underpass, Konstruksi Bangunan Prasarana Sumber Daya Air, Konstruksi Gedung Hunian, Konstruksi Gedung Lainnya, Konstruksi Gedung Pendidikan, Konstruksi Gedung Perkantoran, Konstruksi Jaringan Irigasi dan Drainase</t>
        </is>
      </c>
      <c r="N325" t="inlineStr">
        <is>
          <t>K</t>
        </is>
      </c>
      <c r="O325" t="inlineStr">
        <is>
          <t>20231009, 20231010</t>
        </is>
      </c>
      <c r="P325" t="inlineStr">
        <is>
          <t>Sumatera Utara</t>
        </is>
      </c>
      <c r="Q325" t="inlineStr"/>
    </row>
    <row r="326">
      <c r="A326" t="inlineStr">
        <is>
          <t>GABE PUTRA</t>
        </is>
      </c>
      <c r="B326" t="inlineStr">
        <is>
          <t>Kota Medan</t>
        </is>
      </c>
      <c r="C326" t="inlineStr">
        <is>
          <t>0618456980</t>
        </is>
      </c>
      <c r="D326" t="inlineStr">
        <is>
          <t>gabeputra150@gmail.com</t>
        </is>
      </c>
      <c r="E326" t="inlineStr">
        <is>
          <t>https://lpjk.pu.go.id/search-badan-usaha-detail/MDlvWlVnQ0lXM1BlRGc4N09lMU40UT09</t>
        </is>
      </c>
      <c r="F326" t="n">
        <v>2</v>
      </c>
      <c r="G326" t="inlineStr">
        <is>
          <t>BS001, BS004</t>
        </is>
      </c>
      <c r="H326" t="inlineStr">
        <is>
          <t>22 Januari 2005</t>
        </is>
      </c>
      <c r="I326" s="2" t="n">
        <v>46307</v>
      </c>
      <c r="J326" t="inlineStr">
        <is>
          <t>Disetujui</t>
        </is>
      </c>
      <c r="K326" t="n">
        <v>60</v>
      </c>
      <c r="L326" t="inlineStr">
        <is>
          <t>12 Oktober 2026</t>
        </is>
      </c>
      <c r="M326" t="inlineStr">
        <is>
          <t>Konstruksi Bangunan Sipil Jalan, Konstruksi Jaringan Irigasi dan Drainase</t>
        </is>
      </c>
      <c r="N326" t="inlineStr">
        <is>
          <t>K</t>
        </is>
      </c>
      <c r="O326" t="inlineStr">
        <is>
          <t>20231010</t>
        </is>
      </c>
      <c r="P326" t="inlineStr">
        <is>
          <t>Sumatera Utara</t>
        </is>
      </c>
      <c r="Q326" t="inlineStr"/>
    </row>
    <row r="327">
      <c r="A327" t="inlineStr">
        <is>
          <t>GAGAS</t>
        </is>
      </c>
      <c r="B327" t="inlineStr">
        <is>
          <t>Kab. Bengkayang</t>
        </is>
      </c>
      <c r="C327" t="inlineStr">
        <is>
          <t>081349380299</t>
        </is>
      </c>
      <c r="D327" t="inlineStr">
        <is>
          <t>cvgagas77@gmail.com</t>
        </is>
      </c>
      <c r="E327" t="inlineStr">
        <is>
          <t>https://lpjk.pu.go.id/search-badan-usaha-detail/eVFtRDJydTN2Z0FpZmlBVUZiY0EyUT09</t>
        </is>
      </c>
      <c r="F327" t="n">
        <v>1</v>
      </c>
      <c r="G327" t="inlineStr">
        <is>
          <t>BS010</t>
        </is>
      </c>
      <c r="H327" t="inlineStr">
        <is>
          <t>5 Desember 2003</t>
        </is>
      </c>
      <c r="I327" s="2" t="n">
        <v>46310</v>
      </c>
      <c r="J327" t="inlineStr">
        <is>
          <t>Pencabutan</t>
        </is>
      </c>
      <c r="K327" t="n">
        <v>60</v>
      </c>
      <c r="L327" t="inlineStr">
        <is>
          <t>15 Oktober 2026</t>
        </is>
      </c>
      <c r="M327" t="inlineStr">
        <is>
          <t>Konstruksi Bangunan Prasarana Sumber Daya Air</t>
        </is>
      </c>
      <c r="N327" t="inlineStr">
        <is>
          <t>K</t>
        </is>
      </c>
      <c r="O327" t="inlineStr">
        <is>
          <t>20231012</t>
        </is>
      </c>
      <c r="P327" t="inlineStr">
        <is>
          <t>Kalimantan Barat</t>
        </is>
      </c>
      <c r="Q327" t="inlineStr"/>
    </row>
    <row r="328">
      <c r="A328" t="inlineStr">
        <is>
          <t>GALAKSI</t>
        </is>
      </c>
      <c r="B328" t="inlineStr">
        <is>
          <t>Kab. Bondowoso</t>
        </is>
      </c>
      <c r="C328" t="inlineStr">
        <is>
          <t>082335360027</t>
        </is>
      </c>
      <c r="D328" t="inlineStr">
        <is>
          <t>cv_galaksi@yahoo.co.id</t>
        </is>
      </c>
      <c r="E328" t="inlineStr">
        <is>
          <t>https://lpjk.pu.go.id/search-badan-usaha-detail/RStaMHBPT1hHeldNVUpOU3RmazFwZz09</t>
        </is>
      </c>
      <c r="F328" t="n">
        <v>1</v>
      </c>
      <c r="G328" t="inlineStr">
        <is>
          <t>BG009</t>
        </is>
      </c>
      <c r="H328" t="inlineStr">
        <is>
          <t>9 September 1999</t>
        </is>
      </c>
      <c r="I328" s="2" t="n">
        <v>46311</v>
      </c>
      <c r="J328" t="inlineStr">
        <is>
          <t>Disetujui</t>
        </is>
      </c>
      <c r="K328" t="n">
        <v>60</v>
      </c>
      <c r="L328" t="inlineStr">
        <is>
          <t>16 Oktober 2026</t>
        </is>
      </c>
      <c r="M328" t="inlineStr">
        <is>
          <t>Konstruksi Gedung Lainnya</t>
        </is>
      </c>
      <c r="N328" t="inlineStr">
        <is>
          <t>K</t>
        </is>
      </c>
      <c r="O328" t="inlineStr">
        <is>
          <t>20231009</t>
        </is>
      </c>
      <c r="P328" t="inlineStr">
        <is>
          <t>Jawa Timur</t>
        </is>
      </c>
      <c r="Q328" t="inlineStr"/>
    </row>
    <row r="329">
      <c r="A329" t="inlineStr">
        <is>
          <t>GALUH PUSAKA</t>
        </is>
      </c>
      <c r="B329" t="inlineStr">
        <is>
          <t>Kab. Bandung Barat</t>
        </is>
      </c>
      <c r="C329" t="inlineStr">
        <is>
          <t>087821147394</t>
        </is>
      </c>
      <c r="D329" t="inlineStr">
        <is>
          <t>rasendria094@gmail.com</t>
        </is>
      </c>
      <c r="E329" t="inlineStr">
        <is>
          <t>https://lpjk.pu.go.id/search-badan-usaha-detail/QXgwdEN3QjJXVzd6RW1oSDdOOWNzUT09</t>
        </is>
      </c>
      <c r="F329" t="n">
        <v>1</v>
      </c>
      <c r="G329" t="inlineStr">
        <is>
          <t>BS001</t>
        </is>
      </c>
      <c r="H329" t="inlineStr">
        <is>
          <t>22 Juni 2012</t>
        </is>
      </c>
      <c r="I329" s="2" t="n">
        <v>46307</v>
      </c>
      <c r="J329" t="inlineStr">
        <is>
          <t>Disetujui</t>
        </is>
      </c>
      <c r="K329" t="n">
        <v>60</v>
      </c>
      <c r="L329" t="inlineStr">
        <is>
          <t>12 Oktober 2026</t>
        </is>
      </c>
      <c r="M329" t="inlineStr">
        <is>
          <t>Konstruksi Bangunan Sipil Jalan</t>
        </is>
      </c>
      <c r="N329" t="inlineStr">
        <is>
          <t>K</t>
        </is>
      </c>
      <c r="O329" t="inlineStr">
        <is>
          <t>20230731</t>
        </is>
      </c>
      <c r="P329" t="inlineStr">
        <is>
          <t>Jawa Barat</t>
        </is>
      </c>
      <c r="Q329" t="inlineStr"/>
    </row>
    <row r="330">
      <c r="A330" t="inlineStr">
        <is>
          <t>GARDA NUSANTARA MANDIRI</t>
        </is>
      </c>
      <c r="B330" t="inlineStr">
        <is>
          <t>Kota Medan</t>
        </is>
      </c>
      <c r="C330" t="inlineStr">
        <is>
          <t>081361200790</t>
        </is>
      </c>
      <c r="D330" t="inlineStr">
        <is>
          <t>ptgardanusantaramandiri2015@gmail.com</t>
        </is>
      </c>
      <c r="E330" t="inlineStr">
        <is>
          <t>https://lpjk.pu.go.id/search-badan-usaha-detail/a0JtK0VNTFFEMVhXTWhlcDBBVE41dz09</t>
        </is>
      </c>
      <c r="F330" t="n">
        <v>3</v>
      </c>
      <c r="G330" t="inlineStr">
        <is>
          <t>BS001, BS002, BS004</t>
        </is>
      </c>
      <c r="H330" t="inlineStr">
        <is>
          <t>23 Desember 2015</t>
        </is>
      </c>
      <c r="I330" s="2" t="n">
        <v>46309</v>
      </c>
      <c r="J330" t="inlineStr">
        <is>
          <t>Disetujui</t>
        </is>
      </c>
      <c r="K330" t="n">
        <v>60</v>
      </c>
      <c r="L330" t="inlineStr">
        <is>
          <t>14 Oktober 2026</t>
        </is>
      </c>
      <c r="M330" t="inlineStr">
        <is>
          <t>Bangunan Sipil Jembatan, Jalan Layang, Fly Over, dan Underpass, Konstruksi Bangunan Sipil Jalan, Konstruksi Jaringan Irigasi dan Drainase</t>
        </is>
      </c>
      <c r="N330" t="inlineStr">
        <is>
          <t>K</t>
        </is>
      </c>
      <c r="O330" t="inlineStr">
        <is>
          <t>20231013, 20231014, 20231017</t>
        </is>
      </c>
      <c r="P330" t="inlineStr">
        <is>
          <t>Sumatera Utara</t>
        </is>
      </c>
      <c r="Q330" t="inlineStr"/>
    </row>
    <row r="331">
      <c r="A331" t="inlineStr">
        <is>
          <t>GELANNY</t>
        </is>
      </c>
      <c r="B331" t="inlineStr">
        <is>
          <t>Kab. Jayawijaya</t>
        </is>
      </c>
      <c r="C331" t="inlineStr">
        <is>
          <t>081214840886</t>
        </is>
      </c>
      <c r="D331" t="inlineStr">
        <is>
          <t>cv.gelanny23@gmail.com</t>
        </is>
      </c>
      <c r="E331" t="inlineStr">
        <is>
          <t>https://lpjk.pu.go.id/search-badan-usaha-detail/blRvdU5aTFFkZnpZWmJjNGJmVGJnZz09</t>
        </is>
      </c>
      <c r="F331" t="n">
        <v>1</v>
      </c>
      <c r="G331" t="inlineStr">
        <is>
          <t>BS005</t>
        </is>
      </c>
      <c r="H331" t="inlineStr">
        <is>
          <t>29 Maret 2023</t>
        </is>
      </c>
      <c r="I331" s="2" t="n">
        <v>46308</v>
      </c>
      <c r="J331" t="inlineStr">
        <is>
          <t>Disetujui</t>
        </is>
      </c>
      <c r="K331" t="n">
        <v>60</v>
      </c>
      <c r="L331" t="inlineStr">
        <is>
          <t>13 Oktober 2026</t>
        </is>
      </c>
      <c r="M331" t="inlineStr">
        <is>
          <t>Konstruksi Bangunan Sipil Pengolahan Air Bersih</t>
        </is>
      </c>
      <c r="N331" t="inlineStr">
        <is>
          <t>K</t>
        </is>
      </c>
      <c r="O331" t="inlineStr">
        <is>
          <t>20231010</t>
        </is>
      </c>
      <c r="P331" t="inlineStr">
        <is>
          <t>Papua</t>
        </is>
      </c>
      <c r="Q331" t="inlineStr"/>
    </row>
    <row r="332">
      <c r="A332" t="inlineStr">
        <is>
          <t>GELORA CIPTA JAYA</t>
        </is>
      </c>
      <c r="B332" t="inlineStr">
        <is>
          <t>Kota Adm. Jakarta Utara</t>
        </is>
      </c>
      <c r="C332" t="inlineStr">
        <is>
          <t>0877884436354</t>
        </is>
      </c>
      <c r="D332" t="inlineStr">
        <is>
          <t>ptgeloraciptajaya@gmail.com</t>
        </is>
      </c>
      <c r="E332" t="inlineStr">
        <is>
          <t>https://lpjk.pu.go.id/search-badan-usaha-detail/a1hBcWQ1bE5FNFZBL21mZmVGdzZQdz09</t>
        </is>
      </c>
      <c r="F332" t="n">
        <v>8</v>
      </c>
      <c r="G332" t="inlineStr">
        <is>
          <t>BG002, BG005, BG006, BG007, BG009, BS001, BS004</t>
        </is>
      </c>
      <c r="H332" t="inlineStr">
        <is>
          <t>13 Juli 2023</t>
        </is>
      </c>
      <c r="I332" s="2" t="n">
        <v>46307</v>
      </c>
      <c r="J332" t="inlineStr">
        <is>
          <t>Disetujui</t>
        </is>
      </c>
      <c r="K332" t="n">
        <v>60</v>
      </c>
      <c r="L332" t="inlineStr">
        <is>
          <t>12 Oktober 2026</t>
        </is>
      </c>
      <c r="M332" t="inlineStr">
        <is>
          <t>Konstruksi Bangunan Sipil Jalan, Konstruksi Gedung Kesehatan, Konstruksi Gedung Lainnya, Konstruksi Gedung Pendidikan, Konstruksi Gedung Penginapan, Konstruksi Gedung Perkantoran, Konstruksi Jaringan Irigasi dan Drainase</t>
        </is>
      </c>
      <c r="N332" t="inlineStr">
        <is>
          <t>K</t>
        </is>
      </c>
      <c r="O332" t="inlineStr">
        <is>
          <t>20231005</t>
        </is>
      </c>
      <c r="P332" t="inlineStr">
        <is>
          <t>DKI Jakarta</t>
        </is>
      </c>
      <c r="Q332" t="inlineStr"/>
    </row>
    <row r="333">
      <c r="A333" t="inlineStr">
        <is>
          <t>GEMALA</t>
        </is>
      </c>
      <c r="B333" t="inlineStr">
        <is>
          <t>Kab. Cirebon</t>
        </is>
      </c>
      <c r="C333" t="inlineStr">
        <is>
          <t>087848112362</t>
        </is>
      </c>
      <c r="D333" t="inlineStr">
        <is>
          <t>msuyanthi@yahoo.com</t>
        </is>
      </c>
      <c r="E333" t="inlineStr">
        <is>
          <t>https://lpjk.pu.go.id/search-badan-usaha-detail/ZDRPQUN1dDNpOVhTOUVUZ2J0OHFyZz09</t>
        </is>
      </c>
      <c r="F333" t="n">
        <v>2</v>
      </c>
      <c r="G333" t="inlineStr">
        <is>
          <t>BG005, BS001</t>
        </is>
      </c>
      <c r="H333" t="inlineStr">
        <is>
          <t>23 Oktober 2002</t>
        </is>
      </c>
      <c r="I333" s="2" t="n">
        <v>46307</v>
      </c>
      <c r="J333" t="inlineStr">
        <is>
          <t>Disetujui</t>
        </is>
      </c>
      <c r="K333" t="n">
        <v>60</v>
      </c>
      <c r="L333" t="inlineStr">
        <is>
          <t>12 Oktober 2026</t>
        </is>
      </c>
      <c r="M333" t="inlineStr">
        <is>
          <t>Konstruksi Bangunan Sipil Jalan, Konstruksi Gedung Kesehatan</t>
        </is>
      </c>
      <c r="N333" t="inlineStr">
        <is>
          <t>K</t>
        </is>
      </c>
      <c r="O333" t="inlineStr">
        <is>
          <t>20231010, 20231011</t>
        </is>
      </c>
      <c r="P333" t="inlineStr">
        <is>
          <t>Jawa Barat</t>
        </is>
      </c>
      <c r="Q333" t="inlineStr"/>
    </row>
    <row r="334">
      <c r="A334" t="inlineStr">
        <is>
          <t>GENESIS BERKAT USAHA</t>
        </is>
      </c>
      <c r="B334" t="inlineStr">
        <is>
          <t>Kota Semarang</t>
        </is>
      </c>
      <c r="C334" t="inlineStr">
        <is>
          <t>0247619547</t>
        </is>
      </c>
      <c r="D334" t="inlineStr">
        <is>
          <t>genesis.gbu@gmail.com</t>
        </is>
      </c>
      <c r="E334" t="inlineStr">
        <is>
          <t>https://lpjk.pu.go.id/search-badan-usaha-detail/UnpJZ2phMG5ZY005MkJaU09YclA4UT09</t>
        </is>
      </c>
      <c r="F334" t="n">
        <v>1</v>
      </c>
      <c r="G334" t="inlineStr">
        <is>
          <t>BS009</t>
        </is>
      </c>
      <c r="H334" t="inlineStr">
        <is>
          <t>17 Juli 2019</t>
        </is>
      </c>
      <c r="I334" s="2" t="n">
        <v>46312</v>
      </c>
      <c r="J334" t="inlineStr">
        <is>
          <t>Disetujui</t>
        </is>
      </c>
      <c r="K334" t="n">
        <v>60</v>
      </c>
      <c r="L334" t="inlineStr">
        <is>
          <t>17 Oktober 2026</t>
        </is>
      </c>
      <c r="M334" t="inlineStr">
        <is>
          <t>Konstruksi Sentral Telekomunikasi</t>
        </is>
      </c>
      <c r="N334" t="inlineStr">
        <is>
          <t>K</t>
        </is>
      </c>
      <c r="O334" t="inlineStr">
        <is>
          <t>20230918</t>
        </is>
      </c>
      <c r="P334" t="inlineStr">
        <is>
          <t>Jawa Tengah</t>
        </is>
      </c>
      <c r="Q334" t="inlineStr"/>
    </row>
    <row r="335">
      <c r="A335" t="inlineStr">
        <is>
          <t>GENTA CEMERLANG PROPERTI</t>
        </is>
      </c>
      <c r="B335" t="inlineStr">
        <is>
          <t>Kab. Solok</t>
        </is>
      </c>
      <c r="C335" t="inlineStr">
        <is>
          <t>08116655665</t>
        </is>
      </c>
      <c r="D335" t="inlineStr">
        <is>
          <t>gentacemerlangproperti@gmail.com</t>
        </is>
      </c>
      <c r="E335" t="inlineStr">
        <is>
          <t>https://lpjk.pu.go.id/search-badan-usaha-detail/RXpjK3A2VVk3UDRvbk9UUUFBRjlXdz09</t>
        </is>
      </c>
      <c r="F335" t="n">
        <v>1</v>
      </c>
      <c r="G335" t="inlineStr">
        <is>
          <t>BG001</t>
        </is>
      </c>
      <c r="H335" t="inlineStr">
        <is>
          <t>8 Mei 2023</t>
        </is>
      </c>
      <c r="I335" s="2" t="n">
        <v>46307</v>
      </c>
      <c r="J335" t="inlineStr">
        <is>
          <t>Disetujui</t>
        </is>
      </c>
      <c r="K335" t="n">
        <v>60</v>
      </c>
      <c r="L335" t="inlineStr">
        <is>
          <t>12 Oktober 2026</t>
        </is>
      </c>
      <c r="M335" t="inlineStr">
        <is>
          <t>Konstruksi Gedung Hunian</t>
        </is>
      </c>
      <c r="N335" t="inlineStr">
        <is>
          <t>K</t>
        </is>
      </c>
      <c r="O335" t="inlineStr">
        <is>
          <t>20231010</t>
        </is>
      </c>
      <c r="P335" t="inlineStr">
        <is>
          <t>Sumatera Barat</t>
        </is>
      </c>
      <c r="Q335" t="inlineStr"/>
    </row>
    <row r="336">
      <c r="A336" t="inlineStr">
        <is>
          <t>GENTAJAYA AGUNGKARYA</t>
        </is>
      </c>
      <c r="B336" t="inlineStr">
        <is>
          <t>Kota Adm. Jakarta Barat</t>
        </is>
      </c>
      <c r="C336" t="inlineStr">
        <is>
          <t>0215657738</t>
        </is>
      </c>
      <c r="D336" t="inlineStr">
        <is>
          <t>gentajayaagungkarya1@gmail.com</t>
        </is>
      </c>
      <c r="E336" t="inlineStr">
        <is>
          <t>https://lpjk.pu.go.id/search-badan-usaha-detail/MWttcXI4Tml6QlRKNGpqd2pCd20vdz09</t>
        </is>
      </c>
      <c r="F336" t="n">
        <v>1</v>
      </c>
      <c r="G336" t="inlineStr">
        <is>
          <t>BG002</t>
        </is>
      </c>
      <c r="H336" t="inlineStr">
        <is>
          <t>30 Juni 1992</t>
        </is>
      </c>
      <c r="I336" s="2" t="n">
        <v>46313</v>
      </c>
      <c r="J336" t="inlineStr">
        <is>
          <t>Disetujui</t>
        </is>
      </c>
      <c r="K336" t="n">
        <v>60</v>
      </c>
      <c r="L336" t="inlineStr">
        <is>
          <t>18 Oktober 2026</t>
        </is>
      </c>
      <c r="M336" t="inlineStr">
        <is>
          <t>Konstruksi Gedung Perkantoran</t>
        </is>
      </c>
      <c r="N336" t="inlineStr">
        <is>
          <t>K</t>
        </is>
      </c>
      <c r="O336" t="inlineStr">
        <is>
          <t>20231016</t>
        </is>
      </c>
      <c r="P336" t="inlineStr">
        <is>
          <t>DKI Jakarta</t>
        </is>
      </c>
      <c r="Q336" t="inlineStr"/>
    </row>
    <row r="337">
      <c r="A337" t="inlineStr">
        <is>
          <t>GEUBRINA RACHMAT RIZKY</t>
        </is>
      </c>
      <c r="B337" t="inlineStr">
        <is>
          <t>Kota Medan</t>
        </is>
      </c>
      <c r="C337" t="inlineStr">
        <is>
          <t>085362246085</t>
        </is>
      </c>
      <c r="D337" t="inlineStr">
        <is>
          <t>geubrina.danarizky@gmail.com</t>
        </is>
      </c>
      <c r="E337" t="inlineStr">
        <is>
          <t>https://lpjk.pu.go.id/search-badan-usaha-detail/QWN2SHNlK2hHL1ptMGZ5Z1ZiR1VUUT09</t>
        </is>
      </c>
      <c r="F337" t="n">
        <v>2</v>
      </c>
      <c r="G337" t="inlineStr">
        <is>
          <t>BG009, BS005</t>
        </is>
      </c>
      <c r="H337" t="inlineStr">
        <is>
          <t>31 Mei 2006</t>
        </is>
      </c>
      <c r="I337" s="2" t="n">
        <v>46308</v>
      </c>
      <c r="J337" t="inlineStr">
        <is>
          <t>Disetujui</t>
        </is>
      </c>
      <c r="K337" t="n">
        <v>60</v>
      </c>
      <c r="L337" t="inlineStr">
        <is>
          <t>13 Oktober 2026</t>
        </is>
      </c>
      <c r="M337" t="inlineStr">
        <is>
          <t>Konstruksi Bangunan Sipil Pengolahan Air Bersih, Konstruksi Gedung Lainnya</t>
        </is>
      </c>
      <c r="N337" t="inlineStr">
        <is>
          <t>K</t>
        </is>
      </c>
      <c r="O337" t="inlineStr">
        <is>
          <t>20231012, 20231018</t>
        </is>
      </c>
      <c r="P337" t="inlineStr">
        <is>
          <t>Sumatera Utara</t>
        </is>
      </c>
      <c r="Q337" t="inlineStr"/>
    </row>
    <row r="338">
      <c r="A338" t="inlineStr">
        <is>
          <t>GITA AGUNG PERSADA</t>
        </is>
      </c>
      <c r="B338" t="inlineStr">
        <is>
          <t>Kota Adm. Jakarta Selatan</t>
        </is>
      </c>
      <c r="C338" t="inlineStr">
        <is>
          <t>0218353151</t>
        </is>
      </c>
      <c r="D338" t="inlineStr">
        <is>
          <t>cvgitaagungpersada@yahoo.co.id</t>
        </is>
      </c>
      <c r="E338" t="inlineStr">
        <is>
          <t>https://lpjk.pu.go.id/search-badan-usaha-detail/bDEyU3lET1ZsemFld25ZRk1RY2I2UT09</t>
        </is>
      </c>
      <c r="F338" t="n">
        <v>1</v>
      </c>
      <c r="G338" t="inlineStr">
        <is>
          <t>BS001</t>
        </is>
      </c>
      <c r="H338" t="inlineStr">
        <is>
          <t>23 Desember 2002</t>
        </is>
      </c>
      <c r="I338" s="2" t="n">
        <v>46308</v>
      </c>
      <c r="J338" t="inlineStr">
        <is>
          <t>Disetujui</t>
        </is>
      </c>
      <c r="K338" t="n">
        <v>60</v>
      </c>
      <c r="L338" t="inlineStr">
        <is>
          <t>13 Oktober 2026</t>
        </is>
      </c>
      <c r="M338" t="inlineStr">
        <is>
          <t>Konstruksi Bangunan Sipil Jalan</t>
        </is>
      </c>
      <c r="N338" t="inlineStr">
        <is>
          <t>K</t>
        </is>
      </c>
      <c r="O338" t="inlineStr">
        <is>
          <t>20231011</t>
        </is>
      </c>
      <c r="P338" t="inlineStr">
        <is>
          <t>DKI Jakarta</t>
        </is>
      </c>
      <c r="Q338" t="inlineStr"/>
    </row>
    <row r="339">
      <c r="A339" t="inlineStr">
        <is>
          <t>GITA NATA JAYA</t>
        </is>
      </c>
      <c r="B339" t="inlineStr">
        <is>
          <t>Kota Kendari</t>
        </is>
      </c>
      <c r="C339" t="inlineStr">
        <is>
          <t>08114034103</t>
        </is>
      </c>
      <c r="D339" t="inlineStr">
        <is>
          <t>gitanatajaya@gmail.com</t>
        </is>
      </c>
      <c r="E339" t="inlineStr">
        <is>
          <t>https://lpjk.pu.go.id/search-badan-usaha-detail/T1cxbjFVRWl1cjdycmRjUTV2SjRKUT09</t>
        </is>
      </c>
      <c r="F339" t="n">
        <v>1</v>
      </c>
      <c r="G339" t="inlineStr">
        <is>
          <t>BS001</t>
        </is>
      </c>
      <c r="H339" t="inlineStr">
        <is>
          <t>18 September 2023</t>
        </is>
      </c>
      <c r="I339" s="2" t="n">
        <v>46308</v>
      </c>
      <c r="J339" t="inlineStr">
        <is>
          <t>Disetujui</t>
        </is>
      </c>
      <c r="K339" t="n">
        <v>60</v>
      </c>
      <c r="L339" t="inlineStr">
        <is>
          <t>13 Oktober 2026</t>
        </is>
      </c>
      <c r="M339" t="inlineStr">
        <is>
          <t>Konstruksi Bangunan Sipil Jalan</t>
        </is>
      </c>
      <c r="N339" t="inlineStr">
        <is>
          <t>K</t>
        </is>
      </c>
      <c r="O339" t="inlineStr">
        <is>
          <t>20231010</t>
        </is>
      </c>
      <c r="P339" t="inlineStr">
        <is>
          <t>Sulawesi Tenggara</t>
        </is>
      </c>
      <c r="Q339" t="inlineStr"/>
    </row>
    <row r="340">
      <c r="A340" t="inlineStr">
        <is>
          <t>GLAGAHWANGI TEKNIK</t>
        </is>
      </c>
      <c r="B340" t="inlineStr">
        <is>
          <t>Kab. Demak</t>
        </is>
      </c>
      <c r="C340" t="inlineStr">
        <is>
          <t>08156534347</t>
        </is>
      </c>
      <c r="D340" t="inlineStr">
        <is>
          <t>cvglagahwangiteknik@gmail.com</t>
        </is>
      </c>
      <c r="E340" t="inlineStr">
        <is>
          <t>https://lpjk.pu.go.id/search-badan-usaha-detail/SUh4VithQlhvOElEWDZoUzV6Z3Vudz09</t>
        </is>
      </c>
      <c r="F340" t="n">
        <v>4</v>
      </c>
      <c r="G340" t="inlineStr">
        <is>
          <t>BG001, BG003, BG004, BG009</t>
        </is>
      </c>
      <c r="H340" t="inlineStr">
        <is>
          <t>22 Juni 2023</t>
        </is>
      </c>
      <c r="I340" s="2" t="n">
        <v>46310</v>
      </c>
      <c r="J340" t="inlineStr">
        <is>
          <t>Disetujui</t>
        </is>
      </c>
      <c r="K340" t="n">
        <v>60</v>
      </c>
      <c r="L340" t="inlineStr">
        <is>
          <t>15 Oktober 2026</t>
        </is>
      </c>
      <c r="M340" t="inlineStr">
        <is>
          <t>Konstruksi Gedung Hunian, Konstruksi Gedung Industri, Konstruksi Gedung Lainnya, Konstruksi Gedung Perbelanjaan</t>
        </is>
      </c>
      <c r="N340" t="inlineStr">
        <is>
          <t>K</t>
        </is>
      </c>
      <c r="O340" t="inlineStr">
        <is>
          <t>20231011</t>
        </is>
      </c>
      <c r="P340" t="inlineStr">
        <is>
          <t>Jawa Tengah</t>
        </is>
      </c>
      <c r="Q340" t="inlineStr"/>
    </row>
    <row r="341">
      <c r="A341" t="inlineStr">
        <is>
          <t>GLOBAL 09</t>
        </is>
      </c>
      <c r="B341" t="inlineStr">
        <is>
          <t>Kab. Kutai Kartanegara</t>
        </is>
      </c>
      <c r="C341" t="inlineStr">
        <is>
          <t>085393344867</t>
        </is>
      </c>
      <c r="D341" t="inlineStr">
        <is>
          <t>helda.purnamasari2012@gmail.com</t>
        </is>
      </c>
      <c r="E341" t="inlineStr">
        <is>
          <t>https://lpjk.pu.go.id/search-badan-usaha-detail/MG55UWlvcVNGUzhzS0k3dFV1K3BiQT09</t>
        </is>
      </c>
      <c r="F341" t="n">
        <v>1</v>
      </c>
      <c r="G341" t="inlineStr">
        <is>
          <t>BS004</t>
        </is>
      </c>
      <c r="H341" t="inlineStr">
        <is>
          <t>21 Februari 2012</t>
        </is>
      </c>
      <c r="I341" s="2" t="n">
        <v>46312</v>
      </c>
      <c r="J341" t="inlineStr">
        <is>
          <t>Disetujui</t>
        </is>
      </c>
      <c r="K341" t="n">
        <v>60</v>
      </c>
      <c r="L341" t="inlineStr">
        <is>
          <t>17 Oktober 2026</t>
        </is>
      </c>
      <c r="M341" t="inlineStr">
        <is>
          <t>Konstruksi Jaringan Irigasi dan Drainase</t>
        </is>
      </c>
      <c r="N341" t="inlineStr">
        <is>
          <t>K</t>
        </is>
      </c>
      <c r="O341" t="inlineStr">
        <is>
          <t>20231016</t>
        </is>
      </c>
      <c r="P341" t="inlineStr">
        <is>
          <t>Kalimantan Timur</t>
        </is>
      </c>
      <c r="Q341" t="inlineStr"/>
    </row>
    <row r="342">
      <c r="A342" t="inlineStr">
        <is>
          <t>GLOBAL KHATULISTIWA KONSULTAN</t>
        </is>
      </c>
      <c r="B342" t="inlineStr">
        <is>
          <t>Kota Pontianak</t>
        </is>
      </c>
      <c r="C342" t="inlineStr">
        <is>
          <t>085654537954</t>
        </is>
      </c>
      <c r="D342" t="inlineStr">
        <is>
          <t>globalkk@yahoo.co.id</t>
        </is>
      </c>
      <c r="E342" t="inlineStr">
        <is>
          <t>https://lpjk.pu.go.id/search-badan-usaha-detail/YnFrZ2d3eFNySWxlQmFuaEg3Vld4Zz09</t>
        </is>
      </c>
      <c r="F342" t="n">
        <v>1</v>
      </c>
      <c r="G342" t="inlineStr">
        <is>
          <t>RK003</t>
        </is>
      </c>
      <c r="H342" t="inlineStr">
        <is>
          <t>5 Juli 2005</t>
        </is>
      </c>
      <c r="I342" s="2" t="n">
        <v>46307</v>
      </c>
      <c r="J342" t="inlineStr">
        <is>
          <t>Disetujui</t>
        </is>
      </c>
      <c r="K342" t="n">
        <v>60</v>
      </c>
      <c r="L342" t="inlineStr">
        <is>
          <t>12 Oktober 2026</t>
        </is>
      </c>
      <c r="M342" t="inlineStr">
        <is>
          <t>Jasa Rekayasa Pekerjaan Teknik Sipil Transportasi</t>
        </is>
      </c>
      <c r="N342" t="inlineStr">
        <is>
          <t>K</t>
        </is>
      </c>
      <c r="O342" t="inlineStr">
        <is>
          <t>20231006</t>
        </is>
      </c>
      <c r="P342" t="inlineStr">
        <is>
          <t>Kalimantan Barat</t>
        </is>
      </c>
      <c r="Q342" t="inlineStr"/>
    </row>
    <row r="343">
      <c r="A343" t="inlineStr">
        <is>
          <t>GLOBAL KREASI DEVELOPMENT</t>
        </is>
      </c>
      <c r="B343" t="inlineStr">
        <is>
          <t>Kab. Jember</t>
        </is>
      </c>
      <c r="C343" t="inlineStr">
        <is>
          <t>082264522616</t>
        </is>
      </c>
      <c r="D343" t="inlineStr">
        <is>
          <t>globalkreasidevelopmentpt@gmail.com</t>
        </is>
      </c>
      <c r="E343" t="inlineStr">
        <is>
          <t>https://lpjk.pu.go.id/search-badan-usaha-detail/VGNPVkNYem9NR1lzWG8wSFVleEYxUT09</t>
        </is>
      </c>
      <c r="F343" t="n">
        <v>2</v>
      </c>
      <c r="G343" t="inlineStr">
        <is>
          <t>BS001, BS004</t>
        </is>
      </c>
      <c r="H343" t="inlineStr">
        <is>
          <t>3 April 2023</t>
        </is>
      </c>
      <c r="I343" s="2" t="n">
        <v>46312</v>
      </c>
      <c r="J343" t="inlineStr">
        <is>
          <t>Disetujui</t>
        </is>
      </c>
      <c r="K343" t="n">
        <v>60</v>
      </c>
      <c r="L343" t="inlineStr">
        <is>
          <t>17 Oktober 2026</t>
        </is>
      </c>
      <c r="M343" t="inlineStr">
        <is>
          <t>Konstruksi Bangunan Sipil Jalan, Konstruksi Jaringan Irigasi dan Drainase</t>
        </is>
      </c>
      <c r="N343" t="inlineStr">
        <is>
          <t>K</t>
        </is>
      </c>
      <c r="O343" t="inlineStr">
        <is>
          <t>20231003, 20231009</t>
        </is>
      </c>
      <c r="P343" t="inlineStr">
        <is>
          <t>Jawa Timur</t>
        </is>
      </c>
      <c r="Q343" t="inlineStr"/>
    </row>
    <row r="344">
      <c r="A344" t="inlineStr">
        <is>
          <t>GRAHA CIPTA BOJONEGORO</t>
        </is>
      </c>
      <c r="B344" t="inlineStr">
        <is>
          <t>Kab. Bojonegoro</t>
        </is>
      </c>
      <c r="C344" t="inlineStr">
        <is>
          <t>081232929990</t>
        </is>
      </c>
      <c r="D344" t="inlineStr">
        <is>
          <t>Grahaciptaku@gmail.com</t>
        </is>
      </c>
      <c r="E344" t="inlineStr">
        <is>
          <t>https://lpjk.pu.go.id/search-badan-usaha-detail/OUhXemVTS24yZDRQaGVwaGc2dHBWQT09</t>
        </is>
      </c>
      <c r="F344" t="n">
        <v>1</v>
      </c>
      <c r="G344" t="inlineStr">
        <is>
          <t>BS002</t>
        </is>
      </c>
      <c r="H344" t="inlineStr">
        <is>
          <t>28 Maret 2008</t>
        </is>
      </c>
      <c r="I344" s="2" t="n">
        <v>46308</v>
      </c>
      <c r="J344" t="inlineStr">
        <is>
          <t>Disetujui</t>
        </is>
      </c>
      <c r="K344" t="n">
        <v>60</v>
      </c>
      <c r="L344" t="inlineStr">
        <is>
          <t>13 Oktober 2026</t>
        </is>
      </c>
      <c r="M344" t="inlineStr">
        <is>
          <t>Bangunan Sipil Jembatan, Jalan Layang, Fly Over, dan Underpass</t>
        </is>
      </c>
      <c r="N344" t="inlineStr">
        <is>
          <t>K</t>
        </is>
      </c>
      <c r="O344" t="inlineStr">
        <is>
          <t>20231009</t>
        </is>
      </c>
      <c r="P344" t="inlineStr">
        <is>
          <t>Jawa Timur</t>
        </is>
      </c>
      <c r="Q344" t="inlineStr"/>
    </row>
    <row r="345">
      <c r="A345" t="inlineStr">
        <is>
          <t>GRAHA KONSTRUKSI INDONESIA</t>
        </is>
      </c>
      <c r="B345" t="inlineStr">
        <is>
          <t>Kab. Bandung</t>
        </is>
      </c>
      <c r="C345" t="inlineStr">
        <is>
          <t>087886258515</t>
        </is>
      </c>
      <c r="D345" t="inlineStr">
        <is>
          <t>ptgraha.konstruksi.indonesia@gmail.com</t>
        </is>
      </c>
      <c r="E345" t="inlineStr">
        <is>
          <t>https://lpjk.pu.go.id/search-badan-usaha-detail/OHlpMnkzM0ZxbUxVNmV5SXd1TVRQUT09</t>
        </is>
      </c>
      <c r="F345" t="n">
        <v>4</v>
      </c>
      <c r="G345" t="inlineStr">
        <is>
          <t>BG001, BG002, BG004, BG009</t>
        </is>
      </c>
      <c r="H345" t="inlineStr">
        <is>
          <t>5 Januari 2015</t>
        </is>
      </c>
      <c r="I345" s="2" t="n">
        <v>46308</v>
      </c>
      <c r="J345" t="inlineStr">
        <is>
          <t>Disetujui</t>
        </is>
      </c>
      <c r="K345" t="n">
        <v>60</v>
      </c>
      <c r="L345" t="inlineStr">
        <is>
          <t>13 Oktober 2026</t>
        </is>
      </c>
      <c r="M345" t="inlineStr">
        <is>
          <t>Konstruksi Gedung Hunian, Konstruksi Gedung Lainnya, Konstruksi Gedung Perbelanjaan, Konstruksi Gedung Perkantoran</t>
        </is>
      </c>
      <c r="N345" t="inlineStr">
        <is>
          <t>K</t>
        </is>
      </c>
      <c r="O345" t="inlineStr">
        <is>
          <t>20231012</t>
        </is>
      </c>
      <c r="P345" t="inlineStr">
        <is>
          <t>Jawa Barat</t>
        </is>
      </c>
      <c r="Q345" t="inlineStr"/>
    </row>
    <row r="346">
      <c r="A346" t="inlineStr">
        <is>
          <t>GRAHA NUSA GEMILANG</t>
        </is>
      </c>
      <c r="B346" t="inlineStr">
        <is>
          <t>Kota Mataram</t>
        </is>
      </c>
      <c r="C346" t="inlineStr">
        <is>
          <t>087761237430</t>
        </is>
      </c>
      <c r="D346" t="inlineStr">
        <is>
          <t>ptgrahanusagemilang@gmail.com</t>
        </is>
      </c>
      <c r="E346" t="inlineStr">
        <is>
          <t>https://lpjk.pu.go.id/search-badan-usaha-detail/bWNaY2s5YnpBeDdmRjg0Q0RlaVZ3dz09</t>
        </is>
      </c>
      <c r="F346" t="n">
        <v>2</v>
      </c>
      <c r="G346" t="inlineStr">
        <is>
          <t>BG001, BG009</t>
        </is>
      </c>
      <c r="H346" t="inlineStr">
        <is>
          <t>28 Desember 2022</t>
        </is>
      </c>
      <c r="I346" s="2" t="n">
        <v>46308</v>
      </c>
      <c r="J346" t="inlineStr">
        <is>
          <t>Disetujui</t>
        </is>
      </c>
      <c r="K346" t="n">
        <v>60</v>
      </c>
      <c r="L346" t="inlineStr">
        <is>
          <t>13 Oktober 2026</t>
        </is>
      </c>
      <c r="M346" t="inlineStr">
        <is>
          <t>Konstruksi Gedung Hunian, Konstruksi Gedung Lainnya</t>
        </is>
      </c>
      <c r="N346" t="inlineStr">
        <is>
          <t>K</t>
        </is>
      </c>
      <c r="O346" t="inlineStr">
        <is>
          <t>20231013</t>
        </is>
      </c>
      <c r="P346" t="inlineStr">
        <is>
          <t>Nusa Tenggara Barat</t>
        </is>
      </c>
      <c r="Q346" t="inlineStr"/>
    </row>
    <row r="347">
      <c r="A347" t="inlineStr">
        <is>
          <t>GRAHA SARANA KONSTRUKSI</t>
        </is>
      </c>
      <c r="B347" t="inlineStr">
        <is>
          <t>Kab. Tuban</t>
        </is>
      </c>
      <c r="C347" t="inlineStr">
        <is>
          <t>082336164748</t>
        </is>
      </c>
      <c r="D347" t="inlineStr">
        <is>
          <t>pt.grahasaranakonstruksi@gmail.com</t>
        </is>
      </c>
      <c r="E347" t="inlineStr">
        <is>
          <t>https://lpjk.pu.go.id/search-badan-usaha-detail/aDVTcVRNdGRYemZtdWxlTUt3M3RLZz09</t>
        </is>
      </c>
      <c r="F347" t="n">
        <v>1</v>
      </c>
      <c r="G347" t="inlineStr">
        <is>
          <t>BG001</t>
        </is>
      </c>
      <c r="H347" t="inlineStr">
        <is>
          <t>4 Januari 2023</t>
        </is>
      </c>
      <c r="I347" s="2" t="n">
        <v>46307</v>
      </c>
      <c r="J347" t="inlineStr">
        <is>
          <t>Disetujui</t>
        </is>
      </c>
      <c r="K347" t="n">
        <v>60</v>
      </c>
      <c r="L347" t="inlineStr">
        <is>
          <t>12 Oktober 2026</t>
        </is>
      </c>
      <c r="M347" t="inlineStr">
        <is>
          <t>Konstruksi Gedung Hunian</t>
        </is>
      </c>
      <c r="N347" t="inlineStr">
        <is>
          <t>K</t>
        </is>
      </c>
      <c r="O347" t="inlineStr">
        <is>
          <t>20231011</t>
        </is>
      </c>
      <c r="P347" t="inlineStr">
        <is>
          <t>Jawa Timur</t>
        </is>
      </c>
      <c r="Q347" t="inlineStr"/>
    </row>
    <row r="348">
      <c r="A348" t="inlineStr">
        <is>
          <t>GRAHA SOLUSINDO</t>
        </is>
      </c>
      <c r="B348" t="inlineStr">
        <is>
          <t>Kota Tangerang Selatan</t>
        </is>
      </c>
      <c r="C348" t="inlineStr">
        <is>
          <t>0</t>
        </is>
      </c>
      <c r="D348" t="inlineStr">
        <is>
          <t>grahakaruniapratama66@gmail.com</t>
        </is>
      </c>
      <c r="E348" t="inlineStr">
        <is>
          <t>https://lpjk.pu.go.id/search-badan-usaha-detail/VmljRVRMWjE3U0VuSkM0NkRxM2taZz09</t>
        </is>
      </c>
      <c r="F348" t="n">
        <v>1</v>
      </c>
      <c r="G348" t="inlineStr">
        <is>
          <t>BG001</t>
        </is>
      </c>
      <c r="H348" t="inlineStr">
        <is>
          <t>25 Agustus 2000</t>
        </is>
      </c>
      <c r="I348" s="2" t="n">
        <v>46312</v>
      </c>
      <c r="J348" t="inlineStr">
        <is>
          <t>Disetujui</t>
        </is>
      </c>
      <c r="K348" t="n">
        <v>60</v>
      </c>
      <c r="L348" t="inlineStr">
        <is>
          <t>17 Oktober 2026</t>
        </is>
      </c>
      <c r="M348" t="inlineStr">
        <is>
          <t>Konstruksi Gedung Hunian</t>
        </is>
      </c>
      <c r="N348" t="inlineStr">
        <is>
          <t>K</t>
        </is>
      </c>
      <c r="O348" t="inlineStr">
        <is>
          <t>20231010</t>
        </is>
      </c>
      <c r="P348" t="inlineStr">
        <is>
          <t>Banten</t>
        </is>
      </c>
      <c r="Q348" t="inlineStr"/>
    </row>
    <row r="349">
      <c r="A349" t="inlineStr">
        <is>
          <t>GRAHASINDO PRATAMA</t>
        </is>
      </c>
      <c r="B349" t="inlineStr">
        <is>
          <t>Kab. Bondowoso</t>
        </is>
      </c>
      <c r="C349" t="inlineStr">
        <is>
          <t>082228783413</t>
        </is>
      </c>
      <c r="D349" t="inlineStr">
        <is>
          <t>grahasindopratama@yahoo.com</t>
        </is>
      </c>
      <c r="E349" t="inlineStr">
        <is>
          <t>https://lpjk.pu.go.id/search-badan-usaha-detail/aEJkbFFlTXplQzBtN1VuZGhvbDNPQT09</t>
        </is>
      </c>
      <c r="F349" t="n">
        <v>1</v>
      </c>
      <c r="G349" t="inlineStr">
        <is>
          <t>BS005</t>
        </is>
      </c>
      <c r="H349" t="inlineStr">
        <is>
          <t>18 Oktober 2002</t>
        </is>
      </c>
      <c r="I349" s="2" t="n">
        <v>46313</v>
      </c>
      <c r="J349" t="inlineStr">
        <is>
          <t>Pencabutan</t>
        </is>
      </c>
      <c r="K349" t="n">
        <v>60</v>
      </c>
      <c r="L349" t="inlineStr">
        <is>
          <t>18 Oktober 2026</t>
        </is>
      </c>
      <c r="M349" t="inlineStr">
        <is>
          <t>Konstruksi Bangunan Sipil Pengolahan Air Bersih</t>
        </is>
      </c>
      <c r="N349" t="inlineStr">
        <is>
          <t>K</t>
        </is>
      </c>
      <c r="O349" t="inlineStr">
        <is>
          <t>20231017</t>
        </is>
      </c>
      <c r="P349" t="inlineStr">
        <is>
          <t>Jawa Timur</t>
        </is>
      </c>
      <c r="Q349" t="inlineStr"/>
    </row>
    <row r="350">
      <c r="A350" t="inlineStr">
        <is>
          <t>GRAHITA SEMBRANI KONSTRUKSI</t>
        </is>
      </c>
      <c r="B350" t="inlineStr">
        <is>
          <t>Kota Cimahi</t>
        </is>
      </c>
      <c r="C350" t="inlineStr">
        <is>
          <t>085222270411</t>
        </is>
      </c>
      <c r="D350" t="inlineStr">
        <is>
          <t>cv.grahitasembranikonstruksi@gmail.com</t>
        </is>
      </c>
      <c r="E350" t="inlineStr">
        <is>
          <t>https://lpjk.pu.go.id/search-badan-usaha-detail/OFRRSm5zMWRURFdzSFJuSzVCOEtsUT09</t>
        </is>
      </c>
      <c r="F350" t="n">
        <v>2</v>
      </c>
      <c r="G350" t="inlineStr">
        <is>
          <t>BG009, BS001</t>
        </is>
      </c>
      <c r="H350" t="inlineStr">
        <is>
          <t>2 Juni 2022</t>
        </is>
      </c>
      <c r="I350" s="2" t="n">
        <v>46307</v>
      </c>
      <c r="J350" t="inlineStr">
        <is>
          <t>Pencabutan</t>
        </is>
      </c>
      <c r="K350" t="n">
        <v>60</v>
      </c>
      <c r="L350" t="inlineStr">
        <is>
          <t>12 Oktober 2026</t>
        </is>
      </c>
      <c r="M350" t="inlineStr">
        <is>
          <t>Konstruksi Bangunan Sipil Jalan, Konstruksi Gedung Lainnya</t>
        </is>
      </c>
      <c r="N350" t="inlineStr">
        <is>
          <t>K</t>
        </is>
      </c>
      <c r="O350" t="inlineStr">
        <is>
          <t>20231013</t>
        </is>
      </c>
      <c r="P350" t="inlineStr">
        <is>
          <t>Jawa Barat</t>
        </is>
      </c>
      <c r="Q350" t="inlineStr"/>
    </row>
    <row r="351">
      <c r="A351" t="inlineStr">
        <is>
          <t>GRAND TIRTA TEKNIK</t>
        </is>
      </c>
      <c r="B351" t="inlineStr">
        <is>
          <t>Kab. Bantul</t>
        </is>
      </c>
      <c r="C351" t="inlineStr">
        <is>
          <t>081225247350</t>
        </is>
      </c>
      <c r="D351" t="inlineStr">
        <is>
          <t>gtt.teknik3@gmail.com</t>
        </is>
      </c>
      <c r="E351" t="inlineStr">
        <is>
          <t>https://lpjk.pu.go.id/search-badan-usaha-detail/VUJNM3lDOUo1cG9rNmhUeUExdWZtdz09</t>
        </is>
      </c>
      <c r="F351" t="n">
        <v>1</v>
      </c>
      <c r="G351" t="inlineStr">
        <is>
          <t>BG009</t>
        </is>
      </c>
      <c r="H351" t="inlineStr">
        <is>
          <t>6 Februari 2023</t>
        </is>
      </c>
      <c r="I351" s="2" t="n">
        <v>46313</v>
      </c>
      <c r="J351" t="inlineStr">
        <is>
          <t>Pencabutan</t>
        </is>
      </c>
      <c r="K351" t="n">
        <v>60</v>
      </c>
      <c r="L351" t="inlineStr">
        <is>
          <t>18 Oktober 2026</t>
        </is>
      </c>
      <c r="M351" t="inlineStr">
        <is>
          <t>Konstruksi Gedung Lainnya</t>
        </is>
      </c>
      <c r="N351" t="inlineStr">
        <is>
          <t>K</t>
        </is>
      </c>
      <c r="O351" t="inlineStr">
        <is>
          <t>20231019</t>
        </is>
      </c>
      <c r="P351" t="inlineStr">
        <is>
          <t>DI Yogyakarta</t>
        </is>
      </c>
      <c r="Q351" t="inlineStr"/>
    </row>
    <row r="352">
      <c r="A352" t="inlineStr">
        <is>
          <t>GRASIA PRIMA UTAMA</t>
        </is>
      </c>
      <c r="B352" t="inlineStr">
        <is>
          <t>Kab. Kutai Timur</t>
        </is>
      </c>
      <c r="C352" t="inlineStr">
        <is>
          <t>081346377931</t>
        </is>
      </c>
      <c r="D352" t="inlineStr">
        <is>
          <t>grasia_gpu@yahoo.com</t>
        </is>
      </c>
      <c r="E352" t="inlineStr">
        <is>
          <t>https://lpjk.pu.go.id/search-badan-usaha-detail/Njh4ek9KWjdWcUVBU3NSNWJmNjkyZz09</t>
        </is>
      </c>
      <c r="F352" t="n">
        <v>1</v>
      </c>
      <c r="G352" t="inlineStr">
        <is>
          <t>BG005</t>
        </is>
      </c>
      <c r="H352" t="inlineStr">
        <is>
          <t>2 Oktober 2023</t>
        </is>
      </c>
      <c r="I352" s="2" t="n">
        <v>46308</v>
      </c>
      <c r="J352" t="inlineStr">
        <is>
          <t>Disetujui</t>
        </is>
      </c>
      <c r="K352" t="n">
        <v>60</v>
      </c>
      <c r="L352" t="inlineStr">
        <is>
          <t>13 Oktober 2026</t>
        </is>
      </c>
      <c r="M352" t="inlineStr">
        <is>
          <t>Konstruksi Gedung Kesehatan</t>
        </is>
      </c>
      <c r="N352" t="inlineStr">
        <is>
          <t>K</t>
        </is>
      </c>
      <c r="O352" t="inlineStr">
        <is>
          <t>20231012</t>
        </is>
      </c>
      <c r="P352" t="inlineStr">
        <is>
          <t>Kalimantan Timur</t>
        </is>
      </c>
      <c r="Q352" t="inlineStr"/>
    </row>
    <row r="353">
      <c r="A353" t="inlineStr">
        <is>
          <t>GREEN AMOLE</t>
        </is>
      </c>
      <c r="B353" t="inlineStr">
        <is>
          <t>Kab. Kutai Timur</t>
        </is>
      </c>
      <c r="C353" t="inlineStr">
        <is>
          <t>085334778855</t>
        </is>
      </c>
      <c r="D353" t="inlineStr">
        <is>
          <t>Greenamolec@gmail.com</t>
        </is>
      </c>
      <c r="E353" t="inlineStr">
        <is>
          <t>https://lpjk.pu.go.id/search-badan-usaha-detail/RTVaTHVpUFJacDUwVGl0Yjh6YkxqQT09</t>
        </is>
      </c>
      <c r="F353" t="n">
        <v>2</v>
      </c>
      <c r="G353" t="inlineStr">
        <is>
          <t>BS001</t>
        </is>
      </c>
      <c r="H353" t="inlineStr">
        <is>
          <t>1 September 2023</t>
        </is>
      </c>
      <c r="I353" s="2" t="n">
        <v>46311</v>
      </c>
      <c r="J353" t="inlineStr">
        <is>
          <t>Disetujui</t>
        </is>
      </c>
      <c r="K353" t="n">
        <v>60</v>
      </c>
      <c r="L353" t="inlineStr">
        <is>
          <t>16 Oktober 2026</t>
        </is>
      </c>
      <c r="M353" t="inlineStr">
        <is>
          <t>Konstruksi Bangunan Sipil Jalan</t>
        </is>
      </c>
      <c r="N353" t="inlineStr">
        <is>
          <t>K</t>
        </is>
      </c>
      <c r="O353" t="inlineStr">
        <is>
          <t>20231017</t>
        </is>
      </c>
      <c r="P353" t="inlineStr">
        <is>
          <t>Kalimantan Timur</t>
        </is>
      </c>
      <c r="Q353" t="inlineStr"/>
    </row>
    <row r="354">
      <c r="A354" t="inlineStr">
        <is>
          <t>GREEN INDO STEEL</t>
        </is>
      </c>
      <c r="B354" t="inlineStr">
        <is>
          <t>Kota Adm. Jakarta Barat</t>
        </is>
      </c>
      <c r="C354" t="inlineStr">
        <is>
          <t>087775830304</t>
        </is>
      </c>
      <c r="D354" t="inlineStr">
        <is>
          <t>g.indosteel@gmail.com</t>
        </is>
      </c>
      <c r="E354" t="inlineStr">
        <is>
          <t>https://lpjk.pu.go.id/search-badan-usaha-detail/eHhUSHYyUk45d0poRlpBbHpMWHlZZz09</t>
        </is>
      </c>
      <c r="F354" t="n">
        <v>8</v>
      </c>
      <c r="G354" t="inlineStr">
        <is>
          <t>BG001, BG003, BG007, BG009</t>
        </is>
      </c>
      <c r="H354" t="inlineStr">
        <is>
          <t>10 Maret 2017</t>
        </is>
      </c>
      <c r="I354" s="2" t="n">
        <v>46310</v>
      </c>
      <c r="J354" t="inlineStr">
        <is>
          <t>Disetujui</t>
        </is>
      </c>
      <c r="K354" t="n">
        <v>60</v>
      </c>
      <c r="L354" t="inlineStr">
        <is>
          <t>15 Oktober 2026</t>
        </is>
      </c>
      <c r="M354" t="inlineStr">
        <is>
          <t>Konstruksi Gedung Hunian, Konstruksi Gedung Industri, Konstruksi Gedung Lainnya, Konstruksi Gedung Penginapan</t>
        </is>
      </c>
      <c r="N354" t="inlineStr">
        <is>
          <t>K</t>
        </is>
      </c>
      <c r="O354" t="inlineStr">
        <is>
          <t>20231009</t>
        </is>
      </c>
      <c r="P354" t="inlineStr">
        <is>
          <t>DKI Jakarta</t>
        </is>
      </c>
      <c r="Q354" t="inlineStr"/>
    </row>
    <row r="355">
      <c r="A355" t="inlineStr">
        <is>
          <t>GUMILANG SAJATI</t>
        </is>
      </c>
      <c r="B355" t="inlineStr">
        <is>
          <t>Kota Bandung</t>
        </is>
      </c>
      <c r="C355" t="inlineStr">
        <is>
          <t>0227107296</t>
        </is>
      </c>
      <c r="D355" t="inlineStr">
        <is>
          <t>gumilangsajati@yahoo.com</t>
        </is>
      </c>
      <c r="E355" t="inlineStr">
        <is>
          <t>https://lpjk.pu.go.id/search-badan-usaha-detail/elE1SXNrWkFXcTlLTzZNS2NhNXJzd1R1RTNjdlFjbUcwZzhrU1JpNUs0ST0</t>
        </is>
      </c>
      <c r="F355" t="n">
        <v>3</v>
      </c>
      <c r="G355" t="inlineStr">
        <is>
          <t>AL001, AL002, AL004</t>
        </is>
      </c>
      <c r="H355" t="inlineStr">
        <is>
          <t>17 Juli 2025</t>
        </is>
      </c>
      <c r="I355" s="2" t="n">
        <v>46312</v>
      </c>
      <c r="J355" t="inlineStr">
        <is>
          <t>Disetujui</t>
        </is>
      </c>
      <c r="K355" t="n">
        <v>60</v>
      </c>
      <c r="L355" t="inlineStr">
        <is>
          <t>17 Oktober 2026</t>
        </is>
      </c>
      <c r="M355" t="inlineStr">
        <is>
          <t>Jasa Pengembangan Lingkungan Bangunan dan Lanskap, Jasa Pengembangan Pemanfaatan Ruang, Jasa Pengembangan Wilayah</t>
        </is>
      </c>
      <c r="N355" t="inlineStr">
        <is>
          <t>K</t>
        </is>
      </c>
      <c r="O355" t="inlineStr">
        <is>
          <t>20231011</t>
        </is>
      </c>
      <c r="P355" t="inlineStr">
        <is>
          <t>Jawa Barat</t>
        </is>
      </c>
      <c r="Q355" t="inlineStr"/>
    </row>
    <row r="356">
      <c r="A356" t="inlineStr">
        <is>
          <t>GUNA KARYA MANDIRI</t>
        </is>
      </c>
      <c r="B356" t="inlineStr">
        <is>
          <t>Kab. Gianyar</t>
        </is>
      </c>
      <c r="C356" t="inlineStr">
        <is>
          <t>081246893060</t>
        </is>
      </c>
      <c r="D356" t="inlineStr">
        <is>
          <t>cv.gunakaryamandiri22@gmail.com</t>
        </is>
      </c>
      <c r="E356" t="inlineStr">
        <is>
          <t>https://lpjk.pu.go.id/search-badan-usaha-detail/N2JYSjBSV3JZRnhBVU53S0dpR0VTQT09</t>
        </is>
      </c>
      <c r="F356" t="n">
        <v>1</v>
      </c>
      <c r="G356" t="inlineStr">
        <is>
          <t>BG006</t>
        </is>
      </c>
      <c r="H356" t="inlineStr">
        <is>
          <t>16 Agustus 2007</t>
        </is>
      </c>
      <c r="I356" s="2" t="n">
        <v>46313</v>
      </c>
      <c r="J356" t="inlineStr">
        <is>
          <t>Disetujui</t>
        </is>
      </c>
      <c r="K356" t="n">
        <v>60</v>
      </c>
      <c r="L356" t="inlineStr">
        <is>
          <t>18 Oktober 2026</t>
        </is>
      </c>
      <c r="M356" t="inlineStr">
        <is>
          <t>Konstruksi Gedung Pendidikan</t>
        </is>
      </c>
      <c r="N356" t="inlineStr">
        <is>
          <t>K</t>
        </is>
      </c>
      <c r="O356" t="inlineStr">
        <is>
          <t>20231007</t>
        </is>
      </c>
      <c r="P356" t="inlineStr">
        <is>
          <t>Bali</t>
        </is>
      </c>
      <c r="Q356" t="inlineStr"/>
    </row>
    <row r="357">
      <c r="A357" t="inlineStr">
        <is>
          <t>GUNUNG JAMANSANI</t>
        </is>
      </c>
      <c r="B357" t="inlineStr">
        <is>
          <t>Kab. Kaimana</t>
        </is>
      </c>
      <c r="C357" t="inlineStr">
        <is>
          <t>082155767683</t>
        </is>
      </c>
      <c r="D357" t="inlineStr">
        <is>
          <t>slametsirfefa1982@gmail.com</t>
        </is>
      </c>
      <c r="E357" t="inlineStr">
        <is>
          <t>https://lpjk.pu.go.id/search-badan-usaha-detail/WkJ3ZThIMEFpSTlMMGxXbVAwbWNrUT09</t>
        </is>
      </c>
      <c r="F357" t="n">
        <v>1</v>
      </c>
      <c r="G357" t="inlineStr">
        <is>
          <t>BS002</t>
        </is>
      </c>
      <c r="H357" t="inlineStr">
        <is>
          <t>5 Desember 2006</t>
        </is>
      </c>
      <c r="I357" s="2" t="n">
        <v>46310</v>
      </c>
      <c r="J357" t="inlineStr">
        <is>
          <t>Disetujui</t>
        </is>
      </c>
      <c r="K357" t="n">
        <v>60</v>
      </c>
      <c r="L357" t="inlineStr">
        <is>
          <t>15 Oktober 2026</t>
        </is>
      </c>
      <c r="M357" t="inlineStr">
        <is>
          <t>Bangunan Sipil Jembatan, Jalan Layang, Fly Over, dan Underpass</t>
        </is>
      </c>
      <c r="N357" t="inlineStr">
        <is>
          <t>K</t>
        </is>
      </c>
      <c r="O357" t="inlineStr">
        <is>
          <t>20231010</t>
        </is>
      </c>
      <c r="P357" t="inlineStr">
        <is>
          <t>Papua Barat</t>
        </is>
      </c>
      <c r="Q357" t="inlineStr"/>
    </row>
    <row r="358">
      <c r="A358" t="inlineStr">
        <is>
          <t>GUSTI AYU BROTHER</t>
        </is>
      </c>
      <c r="B358" t="inlineStr">
        <is>
          <t>Kota Lubuk Linggau</t>
        </is>
      </c>
      <c r="C358" t="inlineStr">
        <is>
          <t>082282186073</t>
        </is>
      </c>
      <c r="D358" t="inlineStr">
        <is>
          <t>cvgustiayubrother@gmail.com</t>
        </is>
      </c>
      <c r="E358" t="inlineStr">
        <is>
          <t>https://lpjk.pu.go.id/search-badan-usaha-detail/bm9lbGJKMmhoVzJMeWtUL1lXMGJmZz09</t>
        </is>
      </c>
      <c r="F358" t="n">
        <v>4</v>
      </c>
      <c r="G358" t="inlineStr">
        <is>
          <t>BG006, BS001, BS002, BS004</t>
        </is>
      </c>
      <c r="H358" t="inlineStr">
        <is>
          <t>14 Agustus 2023</t>
        </is>
      </c>
      <c r="I358" s="2" t="n">
        <v>46308</v>
      </c>
      <c r="J358" t="inlineStr">
        <is>
          <t>Disetujui</t>
        </is>
      </c>
      <c r="K358" t="n">
        <v>60</v>
      </c>
      <c r="L358" t="inlineStr">
        <is>
          <t>13 Oktober 2026</t>
        </is>
      </c>
      <c r="M358" t="inlineStr">
        <is>
          <t>Bangunan Sipil Jembatan, Jalan Layang, Fly Over, dan Underpass, Konstruksi Bangunan Sipil Jalan, Konstruksi Gedung Pendidikan, Konstruksi Jaringan Irigasi dan Drainase</t>
        </is>
      </c>
      <c r="N358" t="inlineStr">
        <is>
          <t>K</t>
        </is>
      </c>
      <c r="O358" t="inlineStr">
        <is>
          <t>20231012, 20231013</t>
        </is>
      </c>
      <c r="P358" t="inlineStr">
        <is>
          <t>Sumatera Selatan</t>
        </is>
      </c>
      <c r="Q358" t="inlineStr"/>
    </row>
    <row r="359">
      <c r="A359" t="inlineStr">
        <is>
          <t>GUSTI MAJU MANDIRI</t>
        </is>
      </c>
      <c r="B359" t="inlineStr">
        <is>
          <t>Kota Lubuk Linggau</t>
        </is>
      </c>
      <c r="C359" t="inlineStr">
        <is>
          <t>082231891341</t>
        </is>
      </c>
      <c r="D359" t="inlineStr">
        <is>
          <t>cvgustimajumandiri@gmail.com</t>
        </is>
      </c>
      <c r="E359" t="inlineStr">
        <is>
          <t>https://lpjk.pu.go.id/search-badan-usaha-detail/dE5BVWI0NDVoS1R6ZHFlYVBsS3hqUT09</t>
        </is>
      </c>
      <c r="F359" t="n">
        <v>4</v>
      </c>
      <c r="G359" t="inlineStr">
        <is>
          <t>BG002, BG005, BS001, BS004</t>
        </is>
      </c>
      <c r="H359" t="inlineStr">
        <is>
          <t>15 September 2023</t>
        </is>
      </c>
      <c r="I359" s="2" t="n">
        <v>46308</v>
      </c>
      <c r="J359" t="inlineStr">
        <is>
          <t>Disetujui</t>
        </is>
      </c>
      <c r="K359" t="n">
        <v>60</v>
      </c>
      <c r="L359" t="inlineStr">
        <is>
          <t>13 Oktober 2026</t>
        </is>
      </c>
      <c r="M359" t="inlineStr">
        <is>
          <t>Konstruksi Bangunan Sipil Jalan, Konstruksi Gedung Kesehatan, Konstruksi Gedung Perkantoran, Konstruksi Jaringan Irigasi dan Drainase</t>
        </is>
      </c>
      <c r="N359" t="inlineStr">
        <is>
          <t>K</t>
        </is>
      </c>
      <c r="O359" t="inlineStr">
        <is>
          <t>20231012</t>
        </is>
      </c>
      <c r="P359" t="inlineStr">
        <is>
          <t>Sumatera Selatan</t>
        </is>
      </c>
      <c r="Q359" t="inlineStr"/>
    </row>
    <row r="360">
      <c r="A360" t="inlineStr">
        <is>
          <t>GUSTI RANDA</t>
        </is>
      </c>
      <c r="B360" t="inlineStr">
        <is>
          <t>Kab. Tanjung Jabung Barat</t>
        </is>
      </c>
      <c r="C360" t="inlineStr">
        <is>
          <t>085272601976</t>
        </is>
      </c>
      <c r="D360" t="inlineStr">
        <is>
          <t>gusti7880@gmail.com</t>
        </is>
      </c>
      <c r="E360" t="inlineStr">
        <is>
          <t>https://lpjk.pu.go.id/search-badan-usaha-detail/WExMaXZIQkNXR2dXTW9aYzJ2a0lJZz09</t>
        </is>
      </c>
      <c r="F360" t="n">
        <v>1</v>
      </c>
      <c r="G360" t="inlineStr">
        <is>
          <t>BS005</t>
        </is>
      </c>
      <c r="H360" t="inlineStr">
        <is>
          <t>31 Agustus 2021</t>
        </is>
      </c>
      <c r="I360" s="2" t="n">
        <v>46312</v>
      </c>
      <c r="J360" t="inlineStr">
        <is>
          <t>Disetujui</t>
        </is>
      </c>
      <c r="K360" t="n">
        <v>60</v>
      </c>
      <c r="L360" t="inlineStr">
        <is>
          <t>17 Oktober 2026</t>
        </is>
      </c>
      <c r="M360" t="inlineStr">
        <is>
          <t>Konstruksi Bangunan Sipil Pengolahan Air Bersih</t>
        </is>
      </c>
      <c r="N360" t="inlineStr">
        <is>
          <t>K</t>
        </is>
      </c>
      <c r="O360" t="inlineStr">
        <is>
          <t>20231016</t>
        </is>
      </c>
      <c r="P360" t="inlineStr">
        <is>
          <t>Jambi</t>
        </is>
      </c>
      <c r="Q360" t="inlineStr"/>
    </row>
    <row r="361">
      <c r="A361" t="inlineStr">
        <is>
          <t>HADED BARAKAT UTAMA</t>
        </is>
      </c>
      <c r="B361" t="inlineStr">
        <is>
          <t>Kab. Banjar</t>
        </is>
      </c>
      <c r="C361" t="inlineStr">
        <is>
          <t>081256673779</t>
        </is>
      </c>
      <c r="D361" t="inlineStr">
        <is>
          <t>hadedbarakat@gmail.com</t>
        </is>
      </c>
      <c r="E361" t="inlineStr">
        <is>
          <t>https://lpjk.pu.go.id/search-badan-usaha-detail/OHVuS1REK1ppa3JRaVJSQ2tYbnpXdz09</t>
        </is>
      </c>
      <c r="F361" t="n">
        <v>3</v>
      </c>
      <c r="G361" t="inlineStr">
        <is>
          <t>RK001, RK002, RK003</t>
        </is>
      </c>
      <c r="H361" t="inlineStr">
        <is>
          <t>17 Januari 2022</t>
        </is>
      </c>
      <c r="I361" s="2" t="n">
        <v>46307</v>
      </c>
      <c r="J361" t="inlineStr">
        <is>
          <t>Disetujui</t>
        </is>
      </c>
      <c r="K361" t="n">
        <v>60</v>
      </c>
      <c r="L361" t="inlineStr">
        <is>
          <t>12 Oktober 2026</t>
        </is>
      </c>
      <c r="M361" t="inlineStr">
        <is>
          <t>Jasa Rekayasa Konstruksi Bangunan Gedung Hunian dan Non Hunian, Jasa Rekayasa Pekerjaan Teknik Sipil Sumber Daya Air, Jasa Rekayasa Pekerjaan Teknik Sipil Transportasi</t>
        </is>
      </c>
      <c r="N361" t="inlineStr">
        <is>
          <t>K</t>
        </is>
      </c>
      <c r="O361" t="inlineStr">
        <is>
          <t>20230922</t>
        </is>
      </c>
      <c r="P361" t="inlineStr">
        <is>
          <t>Kalimantan Selatan</t>
        </is>
      </c>
      <c r="Q361" t="inlineStr"/>
    </row>
    <row r="362">
      <c r="A362" t="inlineStr">
        <is>
          <t>HADI MAKMUR</t>
        </is>
      </c>
      <c r="B362" t="inlineStr">
        <is>
          <t>Kab. Jombang</t>
        </is>
      </c>
      <c r="C362" t="inlineStr">
        <is>
          <t>085646120770</t>
        </is>
      </c>
      <c r="D362" t="inlineStr">
        <is>
          <t>arissafirotulf.ks115@gmail.com</t>
        </is>
      </c>
      <c r="E362" t="inlineStr">
        <is>
          <t>https://lpjk.pu.go.id/search-badan-usaha-detail/RDBWbU5YcDVhekxwTkRGVXNlVXkzUT09</t>
        </is>
      </c>
      <c r="F362" t="n">
        <v>1</v>
      </c>
      <c r="G362" t="inlineStr">
        <is>
          <t>BG006</t>
        </is>
      </c>
      <c r="H362" t="inlineStr">
        <is>
          <t>9 Maret 2019</t>
        </is>
      </c>
      <c r="I362" s="2" t="n">
        <v>46307</v>
      </c>
      <c r="J362" t="inlineStr">
        <is>
          <t>Pencabutan</t>
        </is>
      </c>
      <c r="K362" t="n">
        <v>60</v>
      </c>
      <c r="L362" t="inlineStr">
        <is>
          <t>12 Oktober 2026</t>
        </is>
      </c>
      <c r="M362" t="inlineStr">
        <is>
          <t>Konstruksi Gedung Pendidikan</t>
        </is>
      </c>
      <c r="N362" t="inlineStr">
        <is>
          <t>K</t>
        </is>
      </c>
      <c r="O362" t="inlineStr">
        <is>
          <t>20231011</t>
        </is>
      </c>
      <c r="P362" t="inlineStr">
        <is>
          <t>Jawa Timur</t>
        </is>
      </c>
      <c r="Q362" t="inlineStr"/>
    </row>
    <row r="363">
      <c r="A363" t="inlineStr">
        <is>
          <t>HANA HANIFA PERSADA</t>
        </is>
      </c>
      <c r="B363" t="inlineStr">
        <is>
          <t>Kab. Kolaka Utara</t>
        </is>
      </c>
      <c r="C363" t="inlineStr">
        <is>
          <t>085256002622</t>
        </is>
      </c>
      <c r="D363" t="inlineStr">
        <is>
          <t>cvhanahanifa@gmail.com</t>
        </is>
      </c>
      <c r="E363" t="inlineStr">
        <is>
          <t>https://lpjk.pu.go.id/search-badan-usaha-detail/cXB4Z09lWVE5UU9QSkJzN2xRYnhEUT09</t>
        </is>
      </c>
      <c r="F363" t="n">
        <v>4</v>
      </c>
      <c r="G363" t="inlineStr">
        <is>
          <t>BG002, BG006, BS001, BS004</t>
        </is>
      </c>
      <c r="H363" t="inlineStr">
        <is>
          <t>15 Februari 2022</t>
        </is>
      </c>
      <c r="I363" s="2" t="n">
        <v>46311</v>
      </c>
      <c r="J363" t="inlineStr">
        <is>
          <t>Disetujui</t>
        </is>
      </c>
      <c r="K363" t="n">
        <v>60</v>
      </c>
      <c r="L363" t="inlineStr">
        <is>
          <t>16 Oktober 2026</t>
        </is>
      </c>
      <c r="M363" t="inlineStr">
        <is>
          <t>Konstruksi Bangunan Sipil Jalan, Konstruksi Gedung Pendidikan, Konstruksi Gedung Perkantoran, Konstruksi Jaringan Irigasi dan Drainase</t>
        </is>
      </c>
      <c r="N363" t="inlineStr">
        <is>
          <t>K</t>
        </is>
      </c>
      <c r="O363" t="inlineStr">
        <is>
          <t>20231012, 20231013</t>
        </is>
      </c>
      <c r="P363" t="inlineStr">
        <is>
          <t>Sulawesi Tenggara</t>
        </is>
      </c>
      <c r="Q363" t="inlineStr"/>
    </row>
    <row r="364">
      <c r="A364" t="inlineStr">
        <is>
          <t>HANAN BERJAYA</t>
        </is>
      </c>
      <c r="B364" t="inlineStr">
        <is>
          <t>Kab. Morowali Utara</t>
        </is>
      </c>
      <c r="C364" t="inlineStr">
        <is>
          <t>082296064335</t>
        </is>
      </c>
      <c r="D364" t="inlineStr">
        <is>
          <t>mkamaruddin211178@gmail.com</t>
        </is>
      </c>
      <c r="E364" t="inlineStr">
        <is>
          <t>https://lpjk.pu.go.id/search-badan-usaha-detail/OUZ0d0pLdmZNRFRvNktYRUZSQktEZz09</t>
        </is>
      </c>
      <c r="F364" t="n">
        <v>2</v>
      </c>
      <c r="G364" t="inlineStr">
        <is>
          <t>BG009, BS001</t>
        </is>
      </c>
      <c r="H364" t="inlineStr">
        <is>
          <t>2 Maret 2022</t>
        </is>
      </c>
      <c r="I364" s="2" t="n">
        <v>46310</v>
      </c>
      <c r="J364" t="inlineStr">
        <is>
          <t>Disetujui</t>
        </is>
      </c>
      <c r="K364" t="n">
        <v>60</v>
      </c>
      <c r="L364" t="inlineStr">
        <is>
          <t>15 Oktober 2026</t>
        </is>
      </c>
      <c r="M364" t="inlineStr">
        <is>
          <t>Konstruksi Bangunan Sipil Jalan, Konstruksi Gedung Lainnya</t>
        </is>
      </c>
      <c r="N364" t="inlineStr">
        <is>
          <t>K</t>
        </is>
      </c>
      <c r="O364" t="inlineStr">
        <is>
          <t>20231010</t>
        </is>
      </c>
      <c r="P364" t="inlineStr">
        <is>
          <t>Sulawesi Tengah</t>
        </is>
      </c>
      <c r="Q364" t="inlineStr"/>
    </row>
    <row r="365">
      <c r="A365" t="inlineStr">
        <is>
          <t>HANATA</t>
        </is>
      </c>
      <c r="B365" t="inlineStr">
        <is>
          <t>Kota Samarinda</t>
        </is>
      </c>
      <c r="C365" t="inlineStr">
        <is>
          <t>08125803556</t>
        </is>
      </c>
      <c r="D365" t="inlineStr">
        <is>
          <t>hanataconsultant@gmail.com</t>
        </is>
      </c>
      <c r="E365" t="inlineStr">
        <is>
          <t>https://lpjk.pu.go.id/search-badan-usaha-detail/SnFUbDlvR2JTaThuUk5zcTgrS3RTZz09</t>
        </is>
      </c>
      <c r="F365" t="n">
        <v>1</v>
      </c>
      <c r="G365" t="inlineStr">
        <is>
          <t>RK003</t>
        </is>
      </c>
      <c r="H365" t="inlineStr">
        <is>
          <t>26 Januari 2005</t>
        </is>
      </c>
      <c r="I365" s="2" t="n">
        <v>46311</v>
      </c>
      <c r="J365" t="inlineStr">
        <is>
          <t>Disetujui</t>
        </is>
      </c>
      <c r="K365" t="n">
        <v>60</v>
      </c>
      <c r="L365" t="inlineStr">
        <is>
          <t>16 Oktober 2026</t>
        </is>
      </c>
      <c r="M365" t="inlineStr">
        <is>
          <t>Jasa Rekayasa Pekerjaan Teknik Sipil Transportasi</t>
        </is>
      </c>
      <c r="N365" t="inlineStr">
        <is>
          <t>B</t>
        </is>
      </c>
      <c r="O365" t="inlineStr">
        <is>
          <t>20231009</t>
        </is>
      </c>
      <c r="P365" t="inlineStr">
        <is>
          <t>Kalimantan Timur</t>
        </is>
      </c>
      <c r="Q365" t="inlineStr"/>
    </row>
    <row r="366">
      <c r="A366" t="inlineStr">
        <is>
          <t>HANI</t>
        </is>
      </c>
      <c r="B366" t="inlineStr">
        <is>
          <t>Kota Payakumbuh</t>
        </is>
      </c>
      <c r="C366" t="inlineStr">
        <is>
          <t>085274633860</t>
        </is>
      </c>
      <c r="D366" t="inlineStr">
        <is>
          <t>hanikontraktor@gmail.com</t>
        </is>
      </c>
      <c r="E366" t="inlineStr">
        <is>
          <t>https://lpjk.pu.go.id/search-badan-usaha-detail/MVBUaGlGV3U5cG5lTHYvb3RsVUM1UT09</t>
        </is>
      </c>
      <c r="F366" t="n">
        <v>1</v>
      </c>
      <c r="G366" t="inlineStr">
        <is>
          <t>BS004</t>
        </is>
      </c>
      <c r="H366" t="inlineStr">
        <is>
          <t>22 Januari 2008</t>
        </is>
      </c>
      <c r="I366" s="2" t="n">
        <v>46311</v>
      </c>
      <c r="J366" t="inlineStr">
        <is>
          <t>Disetujui</t>
        </is>
      </c>
      <c r="K366" t="n">
        <v>60</v>
      </c>
      <c r="L366" t="inlineStr">
        <is>
          <t>16 Oktober 2026</t>
        </is>
      </c>
      <c r="M366" t="inlineStr">
        <is>
          <t>Konstruksi Jaringan Irigasi dan Drainase</t>
        </is>
      </c>
      <c r="N366" t="inlineStr">
        <is>
          <t>K</t>
        </is>
      </c>
      <c r="O366" t="inlineStr">
        <is>
          <t>20231017</t>
        </is>
      </c>
      <c r="P366" t="inlineStr">
        <is>
          <t>Sumatera Barat</t>
        </is>
      </c>
      <c r="Q366" t="inlineStr"/>
    </row>
    <row r="367">
      <c r="A367" t="inlineStr">
        <is>
          <t>HARAPAN GROUP</t>
        </is>
      </c>
      <c r="B367" t="inlineStr">
        <is>
          <t>Kab. Tapin</t>
        </is>
      </c>
      <c r="C367" t="inlineStr">
        <is>
          <t>081348354635</t>
        </is>
      </c>
      <c r="D367" t="inlineStr">
        <is>
          <t>cvharapangroup4@gmail.com</t>
        </is>
      </c>
      <c r="E367" t="inlineStr">
        <is>
          <t>https://lpjk.pu.go.id/search-badan-usaha-detail/OXhRbkpTNVJ0aFJoM0ZqcThzQjJVdz09</t>
        </is>
      </c>
      <c r="F367" t="n">
        <v>5</v>
      </c>
      <c r="G367" t="inlineStr">
        <is>
          <t>BG006, BG009, BS001, BS004, BS010</t>
        </is>
      </c>
      <c r="H367" t="inlineStr">
        <is>
          <t>7 September 2023</t>
        </is>
      </c>
      <c r="I367" s="2" t="n">
        <v>46312</v>
      </c>
      <c r="J367" t="inlineStr">
        <is>
          <t>Disetujui</t>
        </is>
      </c>
      <c r="K367" t="n">
        <v>60</v>
      </c>
      <c r="L367" t="inlineStr">
        <is>
          <t>17 Oktober 2026</t>
        </is>
      </c>
      <c r="M367" t="inlineStr">
        <is>
          <t>Konstruksi Bangunan Prasarana Sumber Daya Air, Konstruksi Bangunan Sipil Jalan, Konstruksi Gedung Lainnya, Konstruksi Gedung Pendidikan, Konstruksi Jaringan Irigasi dan Drainase</t>
        </is>
      </c>
      <c r="N367" t="inlineStr">
        <is>
          <t>K</t>
        </is>
      </c>
      <c r="O367" t="inlineStr">
        <is>
          <t>20231017</t>
        </is>
      </c>
      <c r="P367" t="inlineStr">
        <is>
          <t>Kalimantan Selatan</t>
        </is>
      </c>
      <c r="Q367" t="inlineStr"/>
    </row>
    <row r="368">
      <c r="A368" t="inlineStr">
        <is>
          <t>HARAPAN KITA JAYA PERKASA</t>
        </is>
      </c>
      <c r="B368" t="inlineStr">
        <is>
          <t>Kota Surabaya</t>
        </is>
      </c>
      <c r="C368" t="inlineStr">
        <is>
          <t>0317388806</t>
        </is>
      </c>
      <c r="D368" t="inlineStr">
        <is>
          <t>harapankitajp@yahoo.com</t>
        </is>
      </c>
      <c r="E368" t="inlineStr">
        <is>
          <t>https://lpjk.pu.go.id/search-badan-usaha-detail/T01hZURLVWpYdzFVWlJ1Snovd0szZz09</t>
        </is>
      </c>
      <c r="F368" t="n">
        <v>2</v>
      </c>
      <c r="G368" t="inlineStr">
        <is>
          <t>BG002, BG007</t>
        </is>
      </c>
      <c r="H368" t="inlineStr">
        <is>
          <t>29 Oktober 2013</t>
        </is>
      </c>
      <c r="I368" s="2" t="n">
        <v>46313</v>
      </c>
      <c r="J368" t="inlineStr">
        <is>
          <t>Disetujui</t>
        </is>
      </c>
      <c r="K368" t="n">
        <v>60</v>
      </c>
      <c r="L368" t="inlineStr">
        <is>
          <t>18 Oktober 2026</t>
        </is>
      </c>
      <c r="M368" t="inlineStr">
        <is>
          <t>Konstruksi Gedung Penginapan, Konstruksi Gedung Perkantoran</t>
        </is>
      </c>
      <c r="N368" t="inlineStr">
        <is>
          <t>K</t>
        </is>
      </c>
      <c r="O368" t="inlineStr">
        <is>
          <t>20231019</t>
        </is>
      </c>
      <c r="P368" t="inlineStr">
        <is>
          <t>Jawa Timur</t>
        </is>
      </c>
      <c r="Q368" t="inlineStr"/>
    </row>
    <row r="369">
      <c r="A369" t="inlineStr">
        <is>
          <t>HARTA RAYA</t>
        </is>
      </c>
      <c r="B369" t="inlineStr">
        <is>
          <t>Kab. Bandung</t>
        </is>
      </c>
      <c r="C369" t="inlineStr">
        <is>
          <t>081312040415</t>
        </is>
      </c>
      <c r="D369" t="inlineStr">
        <is>
          <t>hartarayacv@gmail.com</t>
        </is>
      </c>
      <c r="E369" t="inlineStr">
        <is>
          <t>https://lpjk.pu.go.id/search-badan-usaha-detail/aUwxOE5IcTZxQTh4R3BFWjg3cS9EUT09</t>
        </is>
      </c>
      <c r="F369" t="n">
        <v>2</v>
      </c>
      <c r="G369" t="inlineStr">
        <is>
          <t>BS001, BS004</t>
        </is>
      </c>
      <c r="H369" t="inlineStr">
        <is>
          <t>18 Januari 2018</t>
        </is>
      </c>
      <c r="I369" s="2" t="n">
        <v>46311</v>
      </c>
      <c r="J369" t="inlineStr">
        <is>
          <t>Disetujui</t>
        </is>
      </c>
      <c r="K369" t="n">
        <v>60</v>
      </c>
      <c r="L369" t="inlineStr">
        <is>
          <t>16 Oktober 2026</t>
        </is>
      </c>
      <c r="M369" t="inlineStr">
        <is>
          <t>Konstruksi Bangunan Sipil Jalan, Konstruksi Jaringan Irigasi dan Drainase</t>
        </is>
      </c>
      <c r="N369" t="inlineStr">
        <is>
          <t>K</t>
        </is>
      </c>
      <c r="O369" t="inlineStr">
        <is>
          <t>20231015, 20231016</t>
        </is>
      </c>
      <c r="P369" t="inlineStr">
        <is>
          <t>Jawa Barat</t>
        </is>
      </c>
      <c r="Q369" t="inlineStr"/>
    </row>
    <row r="370">
      <c r="A370" t="inlineStr">
        <is>
          <t>HASILKARYA DELTANUGRAHA</t>
        </is>
      </c>
      <c r="B370" t="inlineStr">
        <is>
          <t>Kota Bandung</t>
        </is>
      </c>
      <c r="C370" t="inlineStr">
        <is>
          <t>08122013366</t>
        </is>
      </c>
      <c r="D370" t="inlineStr">
        <is>
          <t>hasilkaryadeltanugraha@yahoo.co.id</t>
        </is>
      </c>
      <c r="E370" t="inlineStr">
        <is>
          <t>https://lpjk.pu.go.id/search-badan-usaha-detail/Y1RkRzhOclNJVlpvNm5CQWlLYXBGQT09</t>
        </is>
      </c>
      <c r="F370" t="n">
        <v>3</v>
      </c>
      <c r="G370" t="inlineStr">
        <is>
          <t>BG003, BG005, BG009</t>
        </is>
      </c>
      <c r="H370" t="inlineStr">
        <is>
          <t>19 Mei 1994</t>
        </is>
      </c>
      <c r="I370" s="2" t="n">
        <v>46307</v>
      </c>
      <c r="J370" t="inlineStr">
        <is>
          <t>Disetujui</t>
        </is>
      </c>
      <c r="K370" t="n">
        <v>60</v>
      </c>
      <c r="L370" t="inlineStr">
        <is>
          <t>12 Oktober 2026</t>
        </is>
      </c>
      <c r="M370" t="inlineStr">
        <is>
          <t>Konstruksi Gedung Industri, Konstruksi Gedung Kesehatan, Konstruksi Gedung Lainnya</t>
        </is>
      </c>
      <c r="N370" t="inlineStr">
        <is>
          <t>K</t>
        </is>
      </c>
      <c r="O370" t="inlineStr">
        <is>
          <t>20231010</t>
        </is>
      </c>
      <c r="P370" t="inlineStr">
        <is>
          <t>Jawa Barat</t>
        </is>
      </c>
      <c r="Q370" t="inlineStr"/>
    </row>
    <row r="371">
      <c r="A371" t="inlineStr">
        <is>
          <t>HASTA DELI PERSADA</t>
        </is>
      </c>
      <c r="B371" t="inlineStr">
        <is>
          <t>Kota Medan</t>
        </is>
      </c>
      <c r="C371" t="inlineStr">
        <is>
          <t>082362928899</t>
        </is>
      </c>
      <c r="D371" t="inlineStr">
        <is>
          <t>siharianto@gmail.com</t>
        </is>
      </c>
      <c r="E371" t="inlineStr">
        <is>
          <t>https://lpjk.pu.go.id/search-badan-usaha-detail/Z01oYVlQeXpXVWJvd0t0bTA1RXpqdz09</t>
        </is>
      </c>
      <c r="F371" t="n">
        <v>1</v>
      </c>
      <c r="G371" t="inlineStr">
        <is>
          <t>BG001</t>
        </is>
      </c>
      <c r="H371" t="inlineStr">
        <is>
          <t>28 Februari 2018</t>
        </is>
      </c>
      <c r="I371" s="2" t="n">
        <v>46307</v>
      </c>
      <c r="J371" t="inlineStr">
        <is>
          <t>Disetujui</t>
        </is>
      </c>
      <c r="K371" t="n">
        <v>60</v>
      </c>
      <c r="L371" t="inlineStr">
        <is>
          <t>12 Oktober 2026</t>
        </is>
      </c>
      <c r="M371" t="inlineStr">
        <is>
          <t>Konstruksi Gedung Hunian</t>
        </is>
      </c>
      <c r="N371" t="inlineStr">
        <is>
          <t>K</t>
        </is>
      </c>
      <c r="O371" t="inlineStr">
        <is>
          <t>20230918</t>
        </is>
      </c>
      <c r="P371" t="inlineStr">
        <is>
          <t>Sumatera Utara</t>
        </is>
      </c>
      <c r="Q371" t="inlineStr"/>
    </row>
    <row r="372">
      <c r="A372" t="inlineStr">
        <is>
          <t>HASTA KONSTRUKSI</t>
        </is>
      </c>
      <c r="B372" t="inlineStr">
        <is>
          <t>Kab. Sintang</t>
        </is>
      </c>
      <c r="C372" t="inlineStr">
        <is>
          <t>085245888434</t>
        </is>
      </c>
      <c r="D372" t="inlineStr">
        <is>
          <t>hastakonstruksi@gmail.com</t>
        </is>
      </c>
      <c r="E372" t="inlineStr">
        <is>
          <t>https://lpjk.pu.go.id/search-badan-usaha-detail/Qi8rQUlqMEJ1ZlRxY2pveWlnQytPUT09</t>
        </is>
      </c>
      <c r="F372" t="n">
        <v>1</v>
      </c>
      <c r="G372" t="inlineStr">
        <is>
          <t>BS001</t>
        </is>
      </c>
      <c r="H372" t="inlineStr">
        <is>
          <t>28 Januari 2019</t>
        </is>
      </c>
      <c r="I372" s="2" t="n">
        <v>46310</v>
      </c>
      <c r="J372" t="inlineStr">
        <is>
          <t>Disetujui</t>
        </is>
      </c>
      <c r="K372" t="n">
        <v>60</v>
      </c>
      <c r="L372" t="inlineStr">
        <is>
          <t>15 Oktober 2026</t>
        </is>
      </c>
      <c r="M372" t="inlineStr">
        <is>
          <t>Konstruksi Bangunan Sipil Jalan</t>
        </is>
      </c>
      <c r="N372" t="inlineStr">
        <is>
          <t>K</t>
        </is>
      </c>
      <c r="O372" t="inlineStr">
        <is>
          <t>20231011</t>
        </is>
      </c>
      <c r="P372" t="inlineStr">
        <is>
          <t>Kalimantan Barat</t>
        </is>
      </c>
      <c r="Q372" t="inlineStr"/>
    </row>
    <row r="373">
      <c r="A373" t="inlineStr">
        <is>
          <t>HERANANDA SURYA PRATAMA</t>
        </is>
      </c>
      <c r="B373" t="inlineStr">
        <is>
          <t>Kota Samarinda</t>
        </is>
      </c>
      <c r="C373" t="inlineStr">
        <is>
          <t>081258380790</t>
        </is>
      </c>
      <c r="D373" t="inlineStr">
        <is>
          <t>heranandasuryapratamasmd@gmail.com</t>
        </is>
      </c>
      <c r="E373" t="inlineStr">
        <is>
          <t>https://lpjk.pu.go.id/search-badan-usaha-detail/RUcxakY3UjZpK3hub1g4UXVDbUc1UT09</t>
        </is>
      </c>
      <c r="F373" t="n">
        <v>2</v>
      </c>
      <c r="G373" t="inlineStr">
        <is>
          <t>BS001</t>
        </is>
      </c>
      <c r="H373" t="inlineStr">
        <is>
          <t>6 April 2017</t>
        </is>
      </c>
      <c r="I373" s="2" t="n">
        <v>46311</v>
      </c>
      <c r="J373" t="inlineStr">
        <is>
          <t>Disetujui</t>
        </is>
      </c>
      <c r="K373" t="n">
        <v>60</v>
      </c>
      <c r="L373" t="inlineStr">
        <is>
          <t>16 Oktober 2026</t>
        </is>
      </c>
      <c r="M373" t="inlineStr">
        <is>
          <t>Konstruksi Bangunan Sipil Jalan</t>
        </is>
      </c>
      <c r="N373" t="inlineStr">
        <is>
          <t>M</t>
        </is>
      </c>
      <c r="O373" t="inlineStr">
        <is>
          <t>20231012</t>
        </is>
      </c>
      <c r="P373" t="inlineStr">
        <is>
          <t>Kalimantan Timur</t>
        </is>
      </c>
      <c r="Q373" t="inlineStr"/>
    </row>
    <row r="374">
      <c r="A374" t="inlineStr">
        <is>
          <t>HIJAU DAMAI LESTARI</t>
        </is>
      </c>
      <c r="B374" t="inlineStr">
        <is>
          <t>Kab. Tapanuli Selatan</t>
        </is>
      </c>
      <c r="C374" t="inlineStr">
        <is>
          <t>081260513932</t>
        </is>
      </c>
      <c r="D374" t="inlineStr">
        <is>
          <t>cv.hdl.enterprise@gmail.com</t>
        </is>
      </c>
      <c r="E374" t="inlineStr">
        <is>
          <t>https://lpjk.pu.go.id/search-badan-usaha-detail/R0owcnhzMVFuU3RDMUFiZUdBUlJOdz09</t>
        </is>
      </c>
      <c r="F374" t="n">
        <v>4</v>
      </c>
      <c r="G374" t="inlineStr">
        <is>
          <t>BG002, BG003, BG008, BG009</t>
        </is>
      </c>
      <c r="H374" t="inlineStr">
        <is>
          <t>3 Maret 2018</t>
        </is>
      </c>
      <c r="I374" s="2" t="n">
        <v>46312</v>
      </c>
      <c r="J374" t="inlineStr">
        <is>
          <t>Pencabutan</t>
        </is>
      </c>
      <c r="K374" t="n">
        <v>60</v>
      </c>
      <c r="L374" t="inlineStr">
        <is>
          <t>17 Oktober 2026</t>
        </is>
      </c>
      <c r="M374" t="inlineStr">
        <is>
          <t>Konstruksi Gedung Industri, Konstruksi Gedung Lainnya, Konstruksi Gedung Perkantoran, Konstruksi Gedung Tempat Hiburan dan Olahraga</t>
        </is>
      </c>
      <c r="N374" t="inlineStr">
        <is>
          <t>K</t>
        </is>
      </c>
      <c r="O374" t="inlineStr">
        <is>
          <t>20231013, 20231016</t>
        </is>
      </c>
      <c r="P374" t="inlineStr">
        <is>
          <t>Sumatera Utara</t>
        </is>
      </c>
      <c r="Q374" t="inlineStr"/>
    </row>
    <row r="375">
      <c r="A375" t="inlineStr">
        <is>
          <t>HIJRA AMANAH PROPERTY</t>
        </is>
      </c>
      <c r="B375" t="inlineStr">
        <is>
          <t>Kab. Garut</t>
        </is>
      </c>
      <c r="C375" t="inlineStr">
        <is>
          <t>081296073172</t>
        </is>
      </c>
      <c r="D375" t="inlineStr">
        <is>
          <t>pt.hijraamanahproperty@gmail.com</t>
        </is>
      </c>
      <c r="E375" t="inlineStr">
        <is>
          <t>https://lpjk.pu.go.id/search-badan-usaha-detail/V2xlRUhISHpLdllJUzJTRjMralg1Zz09</t>
        </is>
      </c>
      <c r="F375" t="n">
        <v>1</v>
      </c>
      <c r="G375" t="inlineStr">
        <is>
          <t>BG001</t>
        </is>
      </c>
      <c r="H375" t="inlineStr">
        <is>
          <t>13 September 2023</t>
        </is>
      </c>
      <c r="I375" s="2" t="n">
        <v>46311</v>
      </c>
      <c r="J375" t="inlineStr">
        <is>
          <t>Disetujui</t>
        </is>
      </c>
      <c r="K375" t="n">
        <v>60</v>
      </c>
      <c r="L375" t="inlineStr">
        <is>
          <t>16 Oktober 2026</t>
        </is>
      </c>
      <c r="M375" t="inlineStr">
        <is>
          <t>Konstruksi Gedung Hunian</t>
        </is>
      </c>
      <c r="N375" t="inlineStr">
        <is>
          <t>K</t>
        </is>
      </c>
      <c r="O375" t="inlineStr">
        <is>
          <t>20231012</t>
        </is>
      </c>
      <c r="P375" t="inlineStr">
        <is>
          <t>Jawa Barat</t>
        </is>
      </c>
      <c r="Q375" t="inlineStr"/>
    </row>
    <row r="376">
      <c r="A376" t="inlineStr">
        <is>
          <t>HIKARI TEKNOLOGI INDONESIA</t>
        </is>
      </c>
      <c r="B376" t="inlineStr">
        <is>
          <t>Kab. Gresik</t>
        </is>
      </c>
      <c r="C376" t="inlineStr">
        <is>
          <t>081131141150</t>
        </is>
      </c>
      <c r="D376" t="inlineStr">
        <is>
          <t>hrd@pt-hikari.com</t>
        </is>
      </c>
      <c r="E376" t="inlineStr">
        <is>
          <t>https://lpjk.pu.go.id/search-badan-usaha-detail/WFpENFRXZFphaWJoTWtOa2ZRUm5VQT09</t>
        </is>
      </c>
      <c r="F376" t="n">
        <v>1</v>
      </c>
      <c r="G376" t="inlineStr">
        <is>
          <t>BG009</t>
        </is>
      </c>
      <c r="H376" t="inlineStr">
        <is>
          <t>6 November 2014</t>
        </is>
      </c>
      <c r="I376" s="2" t="n">
        <v>46313</v>
      </c>
      <c r="J376" t="inlineStr">
        <is>
          <t>Disetujui</t>
        </is>
      </c>
      <c r="K376" t="n">
        <v>60</v>
      </c>
      <c r="L376" t="inlineStr">
        <is>
          <t>18 Oktober 2026</t>
        </is>
      </c>
      <c r="M376" t="inlineStr">
        <is>
          <t>Konstruksi Gedung Lainnya</t>
        </is>
      </c>
      <c r="N376" t="inlineStr">
        <is>
          <t>M</t>
        </is>
      </c>
      <c r="O376" t="inlineStr">
        <is>
          <t>20231006</t>
        </is>
      </c>
      <c r="P376" t="inlineStr">
        <is>
          <t>Jawa Timur</t>
        </is>
      </c>
      <c r="Q376" t="inlineStr"/>
    </row>
    <row r="377">
      <c r="A377" t="inlineStr">
        <is>
          <t>HITA KARYA JASA</t>
        </is>
      </c>
      <c r="B377" t="inlineStr">
        <is>
          <t>Kota Pekalongan</t>
        </is>
      </c>
      <c r="C377" t="inlineStr">
        <is>
          <t>085742830877</t>
        </is>
      </c>
      <c r="D377" t="inlineStr">
        <is>
          <t>hitakaryajasa@gmail.com</t>
        </is>
      </c>
      <c r="E377" t="inlineStr">
        <is>
          <t>https://lpjk.pu.go.id/search-badan-usaha-detail/ZDNudDZicm0zL0lVeDhyNWd1SnFGMFRFQ1JNd0hqRmloRG4xMGxjamVRUT0</t>
        </is>
      </c>
      <c r="F377" t="n">
        <v>1</v>
      </c>
      <c r="G377" t="inlineStr">
        <is>
          <t>AR001</t>
        </is>
      </c>
      <c r="H377" t="inlineStr">
        <is>
          <t>23 Juli 2025</t>
        </is>
      </c>
      <c r="I377" s="2" t="n">
        <v>46312</v>
      </c>
      <c r="J377" t="inlineStr">
        <is>
          <t>Disetujui</t>
        </is>
      </c>
      <c r="K377" t="n">
        <v>60</v>
      </c>
      <c r="L377" t="inlineStr">
        <is>
          <t>17 Oktober 2026</t>
        </is>
      </c>
      <c r="M377" t="inlineStr">
        <is>
          <t>Jasa Arsitektural Bangunan Gedung Hunian dan Non Hunian</t>
        </is>
      </c>
      <c r="N377" t="inlineStr">
        <is>
          <t>K</t>
        </is>
      </c>
      <c r="O377" t="inlineStr">
        <is>
          <t>20231010</t>
        </is>
      </c>
      <c r="P377" t="inlineStr">
        <is>
          <t>Jawa Tengah</t>
        </is>
      </c>
      <c r="Q377" t="inlineStr"/>
    </row>
    <row r="378">
      <c r="A378" t="inlineStr">
        <is>
          <t>IDEA MANDIRI</t>
        </is>
      </c>
      <c r="B378" t="inlineStr">
        <is>
          <t>Kota Adm. Jakarta Barat</t>
        </is>
      </c>
      <c r="C378" t="inlineStr">
        <is>
          <t>081282007383</t>
        </is>
      </c>
      <c r="D378" t="inlineStr">
        <is>
          <t>ideamandiri@gmail.com</t>
        </is>
      </c>
      <c r="E378" t="inlineStr">
        <is>
          <t>https://lpjk.pu.go.id/search-badan-usaha-detail/QjkzM1hRcUNtYm9weFlzeXJWY0RrUT09</t>
        </is>
      </c>
      <c r="F378" t="n">
        <v>2</v>
      </c>
      <c r="G378" t="inlineStr">
        <is>
          <t>BG004, BG007</t>
        </is>
      </c>
      <c r="H378" t="inlineStr">
        <is>
          <t>23 Desember 2002</t>
        </is>
      </c>
      <c r="I378" s="2" t="n">
        <v>46310</v>
      </c>
      <c r="J378" t="inlineStr">
        <is>
          <t>Disetujui</t>
        </is>
      </c>
      <c r="K378" t="n">
        <v>60</v>
      </c>
      <c r="L378" t="inlineStr">
        <is>
          <t>15 Oktober 2026</t>
        </is>
      </c>
      <c r="M378" t="inlineStr">
        <is>
          <t>Konstruksi Gedung Penginapan, Konstruksi Gedung Perbelanjaan</t>
        </is>
      </c>
      <c r="N378" t="inlineStr">
        <is>
          <t>K</t>
        </is>
      </c>
      <c r="O378" t="inlineStr">
        <is>
          <t>20231010, 20231011</t>
        </is>
      </c>
      <c r="P378" t="inlineStr">
        <is>
          <t>DKI Jakarta</t>
        </is>
      </c>
      <c r="Q378" t="inlineStr"/>
    </row>
    <row r="379">
      <c r="A379" t="inlineStr">
        <is>
          <t>IDEAL KONSULTAN</t>
        </is>
      </c>
      <c r="B379" t="inlineStr">
        <is>
          <t>Kab. Kutai Timur</t>
        </is>
      </c>
      <c r="C379" t="inlineStr">
        <is>
          <t>082158421236</t>
        </is>
      </c>
      <c r="D379" t="inlineStr">
        <is>
          <t>ideal.kau1964@gmail.com</t>
        </is>
      </c>
      <c r="E379" t="inlineStr">
        <is>
          <t>https://lpjk.pu.go.id/search-badan-usaha-detail/VTdlOWpRVXJzb0tRTHpGTUZEMmRxZz09</t>
        </is>
      </c>
      <c r="F379" t="n">
        <v>2</v>
      </c>
      <c r="G379" t="inlineStr">
        <is>
          <t>RK001</t>
        </is>
      </c>
      <c r="H379" t="inlineStr">
        <is>
          <t>12 Desember 2002</t>
        </is>
      </c>
      <c r="I379" s="2" t="n">
        <v>46310</v>
      </c>
      <c r="J379" t="inlineStr">
        <is>
          <t>Disetujui</t>
        </is>
      </c>
      <c r="K379" t="n">
        <v>60</v>
      </c>
      <c r="L379" t="inlineStr">
        <is>
          <t>15 Oktober 2026</t>
        </is>
      </c>
      <c r="M379" t="inlineStr">
        <is>
          <t>Jasa Rekayasa Konstruksi Bangunan Gedung Hunian dan Non Hunian</t>
        </is>
      </c>
      <c r="N379" t="inlineStr">
        <is>
          <t>K</t>
        </is>
      </c>
      <c r="O379" t="inlineStr">
        <is>
          <t>20231009</t>
        </is>
      </c>
      <c r="P379" t="inlineStr">
        <is>
          <t>Kalimantan Timur</t>
        </is>
      </c>
      <c r="Q379" t="inlineStr"/>
    </row>
    <row r="380">
      <c r="A380" t="inlineStr">
        <is>
          <t>IKHLAS</t>
        </is>
      </c>
      <c r="B380" t="inlineStr">
        <is>
          <t>Kab. Bondowoso</t>
        </is>
      </c>
      <c r="C380" t="inlineStr">
        <is>
          <t>081334851291</t>
        </is>
      </c>
      <c r="D380" t="inlineStr">
        <is>
          <t>cv.ikhlas@yahoo.co.id</t>
        </is>
      </c>
      <c r="E380" t="inlineStr">
        <is>
          <t>https://lpjk.pu.go.id/search-badan-usaha-detail/VFlYcTBFT0RSd2dIT1UwaHB6bnE0UT09</t>
        </is>
      </c>
      <c r="F380" t="n">
        <v>3</v>
      </c>
      <c r="G380" t="inlineStr">
        <is>
          <t>BG006, BS001, BS004</t>
        </is>
      </c>
      <c r="H380" t="inlineStr">
        <is>
          <t>22 Juni 2012</t>
        </is>
      </c>
      <c r="I380" s="2" t="n">
        <v>46307</v>
      </c>
      <c r="J380" t="inlineStr">
        <is>
          <t>Disetujui</t>
        </is>
      </c>
      <c r="K380" t="n">
        <v>60</v>
      </c>
      <c r="L380" t="inlineStr">
        <is>
          <t>12 Oktober 2026</t>
        </is>
      </c>
      <c r="M380" t="inlineStr">
        <is>
          <t>Konstruksi Bangunan Sipil Jalan, Konstruksi Gedung Pendidikan, Konstruksi Jaringan Irigasi dan Drainase</t>
        </is>
      </c>
      <c r="N380" t="inlineStr">
        <is>
          <t>K</t>
        </is>
      </c>
      <c r="O380" t="inlineStr">
        <is>
          <t>20230619, 20231010</t>
        </is>
      </c>
      <c r="P380" t="inlineStr">
        <is>
          <t>Jawa Timur</t>
        </is>
      </c>
      <c r="Q380" t="inlineStr"/>
    </row>
    <row r="381">
      <c r="A381" t="inlineStr">
        <is>
          <t>IKHLAS</t>
        </is>
      </c>
      <c r="B381" t="inlineStr">
        <is>
          <t>Kota Langsa</t>
        </is>
      </c>
      <c r="C381" t="inlineStr">
        <is>
          <t>082165348683</t>
        </is>
      </c>
      <c r="D381" t="inlineStr">
        <is>
          <t>Ikhlas.cv123@gmail.com</t>
        </is>
      </c>
      <c r="E381" t="inlineStr">
        <is>
          <t>https://lpjk.pu.go.id/search-badan-usaha-detail/UjcvVDlpVzBNR3BWWXlFM0IzeDBuQT09</t>
        </is>
      </c>
      <c r="F381" t="n">
        <v>1</v>
      </c>
      <c r="G381" t="inlineStr">
        <is>
          <t>PL005</t>
        </is>
      </c>
      <c r="H381" t="inlineStr">
        <is>
          <t>30 Mei 2014</t>
        </is>
      </c>
      <c r="I381" s="2" t="n">
        <v>46313</v>
      </c>
      <c r="J381" t="inlineStr">
        <is>
          <t>Disetujui</t>
        </is>
      </c>
      <c r="K381" t="n">
        <v>60</v>
      </c>
      <c r="L381" t="inlineStr">
        <is>
          <t>18 Oktober 2026</t>
        </is>
      </c>
      <c r="M381" t="inlineStr">
        <is>
          <t>Pembuatan/Pengeboran Sumur Air Tanah</t>
        </is>
      </c>
      <c r="N381" t="inlineStr">
        <is>
          <t>Spesialis</t>
        </is>
      </c>
      <c r="O381" t="inlineStr">
        <is>
          <t>20231011</t>
        </is>
      </c>
      <c r="P381" t="inlineStr">
        <is>
          <t>Aceh</t>
        </is>
      </c>
      <c r="Q381" t="inlineStr"/>
    </row>
    <row r="382">
      <c r="A382" t="inlineStr">
        <is>
          <t>ILHAM RIZKY ABADI</t>
        </is>
      </c>
      <c r="B382" t="inlineStr">
        <is>
          <t>Kota Pontianak</t>
        </is>
      </c>
      <c r="C382" t="inlineStr">
        <is>
          <t>082253649369</t>
        </is>
      </c>
      <c r="D382" t="inlineStr">
        <is>
          <t>ilhamrizkyabadi@gmail.com</t>
        </is>
      </c>
      <c r="E382" t="inlineStr">
        <is>
          <t>https://lpjk.pu.go.id/search-badan-usaha-detail/Q29LYlhmNjUyWTFBSUFTSzdIckFZZz09</t>
        </is>
      </c>
      <c r="F382" t="n">
        <v>5</v>
      </c>
      <c r="G382" t="inlineStr">
        <is>
          <t>BG005, BG006, BG009, BS001, BS004</t>
        </is>
      </c>
      <c r="H382" t="inlineStr">
        <is>
          <t>24 November 2006</t>
        </is>
      </c>
      <c r="I382" s="2" t="n">
        <v>46308</v>
      </c>
      <c r="J382" t="inlineStr">
        <is>
          <t>Disetujui</t>
        </is>
      </c>
      <c r="K382" t="n">
        <v>60</v>
      </c>
      <c r="L382" t="inlineStr">
        <is>
          <t>13 Oktober 2026</t>
        </is>
      </c>
      <c r="M382" t="inlineStr">
        <is>
          <t>Konstruksi Bangunan Sipil Jalan, Konstruksi Gedung Kesehatan, Konstruksi Gedung Lainnya, Konstruksi Gedung Pendidikan, Konstruksi Jaringan Irigasi dan Drainase</t>
        </is>
      </c>
      <c r="N382" t="inlineStr">
        <is>
          <t>K</t>
        </is>
      </c>
      <c r="O382" t="inlineStr">
        <is>
          <t>20231010</t>
        </is>
      </c>
      <c r="P382" t="inlineStr">
        <is>
          <t>Kalimantan Barat</t>
        </is>
      </c>
      <c r="Q382" t="inlineStr"/>
    </row>
    <row r="383">
      <c r="A383" t="inlineStr">
        <is>
          <t>INDAH FLOWER</t>
        </is>
      </c>
      <c r="B383" t="inlineStr">
        <is>
          <t>Kab. Sidoarjo</t>
        </is>
      </c>
      <c r="C383" t="inlineStr">
        <is>
          <t>082266061513</t>
        </is>
      </c>
      <c r="D383" t="inlineStr">
        <is>
          <t>indahflower2020@gmail.com</t>
        </is>
      </c>
      <c r="E383" t="inlineStr">
        <is>
          <t>https://lpjk.pu.go.id/search-badan-usaha-detail/UDFDdG5hTFozRldOeDRYSHlBaDAwQT09</t>
        </is>
      </c>
      <c r="F383" t="n">
        <v>1</v>
      </c>
      <c r="G383" t="inlineStr">
        <is>
          <t>PB010</t>
        </is>
      </c>
      <c r="H383" t="inlineStr">
        <is>
          <t>16 Juni 2020</t>
        </is>
      </c>
      <c r="I383" s="2" t="n">
        <v>46307</v>
      </c>
      <c r="J383" t="inlineStr">
        <is>
          <t>Pembekuan</t>
        </is>
      </c>
      <c r="K383" t="n">
        <v>60</v>
      </c>
      <c r="L383" t="inlineStr">
        <is>
          <t>12 Oktober 2026</t>
        </is>
      </c>
      <c r="M383" t="inlineStr">
        <is>
          <t>Pekerjaan Lanskap, Pertamanan, dan Penanaman Vegetasi</t>
        </is>
      </c>
      <c r="N383" t="inlineStr">
        <is>
          <t>Spesialis</t>
        </is>
      </c>
      <c r="O383" t="inlineStr">
        <is>
          <t>20231013</t>
        </is>
      </c>
      <c r="P383" t="inlineStr">
        <is>
          <t>Jawa Timur</t>
        </is>
      </c>
      <c r="Q383" t="inlineStr"/>
    </row>
    <row r="384">
      <c r="A384" t="inlineStr">
        <is>
          <t>INDEPENDENT ENGINEERING CONSULTANT</t>
        </is>
      </c>
      <c r="B384" t="inlineStr">
        <is>
          <t>Kab. Luwu Utara</t>
        </is>
      </c>
      <c r="C384" t="inlineStr">
        <is>
          <t>081354974195</t>
        </is>
      </c>
      <c r="D384" t="inlineStr">
        <is>
          <t>independentconsult95@gmail.com</t>
        </is>
      </c>
      <c r="E384" t="inlineStr">
        <is>
          <t>https://lpjk.pu.go.id/search-badan-usaha-detail/UGhQczUyanFXc2dPUmREUmMwaU9oUT09</t>
        </is>
      </c>
      <c r="F384" t="n">
        <v>4</v>
      </c>
      <c r="G384" t="inlineStr">
        <is>
          <t>RK001, RK002, RK003, RK005</t>
        </is>
      </c>
      <c r="H384" t="inlineStr">
        <is>
          <t>7 Februari 2011</t>
        </is>
      </c>
      <c r="I384" s="2" t="n">
        <v>46312</v>
      </c>
      <c r="J384" t="inlineStr">
        <is>
          <t>Disetujui</t>
        </is>
      </c>
      <c r="K384" t="n">
        <v>60</v>
      </c>
      <c r="L384" t="inlineStr">
        <is>
          <t>17 Oktober 2026</t>
        </is>
      </c>
      <c r="M384" t="inlineStr">
        <is>
          <t>Jasa Rekayasa Konstruksi Bangunan Gedung Hunian dan Non Hunian, Jasa Rekayasa Lainnya, Jasa Rekayasa Pekerjaan Teknik Sipil Sumber Daya Air, Jasa Rekayasa Pekerjaan Teknik Sipil Transportasi</t>
        </is>
      </c>
      <c r="N384" t="inlineStr">
        <is>
          <t>K</t>
        </is>
      </c>
      <c r="O384" t="inlineStr">
        <is>
          <t>20231002</t>
        </is>
      </c>
      <c r="P384" t="inlineStr">
        <is>
          <t>Sulawesi Selatan</t>
        </is>
      </c>
      <c r="Q384" t="inlineStr"/>
    </row>
    <row r="385">
      <c r="A385" t="inlineStr">
        <is>
          <t>INDO PRATAMA</t>
        </is>
      </c>
      <c r="B385" t="inlineStr">
        <is>
          <t>Kab. Pasaman</t>
        </is>
      </c>
      <c r="C385" t="inlineStr">
        <is>
          <t>081277785025</t>
        </is>
      </c>
      <c r="D385" t="inlineStr">
        <is>
          <t>rezkihsb@gmail.com</t>
        </is>
      </c>
      <c r="E385" t="inlineStr">
        <is>
          <t>https://lpjk.pu.go.id/search-badan-usaha-detail/T3hieGszaFZ5YXh1ODFBNi9XRkFJUT09</t>
        </is>
      </c>
      <c r="F385" t="n">
        <v>2</v>
      </c>
      <c r="G385" t="inlineStr">
        <is>
          <t>BG005, BS004</t>
        </is>
      </c>
      <c r="H385" t="inlineStr">
        <is>
          <t>4 April 2012</t>
        </is>
      </c>
      <c r="I385" s="2" t="n">
        <v>46307</v>
      </c>
      <c r="J385" t="inlineStr">
        <is>
          <t>Disetujui</t>
        </is>
      </c>
      <c r="K385" t="n">
        <v>60</v>
      </c>
      <c r="L385" t="inlineStr">
        <is>
          <t>12 Oktober 2026</t>
        </is>
      </c>
      <c r="M385" t="inlineStr">
        <is>
          <t>Konstruksi Gedung Kesehatan, Konstruksi Jaringan Irigasi dan Drainase</t>
        </is>
      </c>
      <c r="N385" t="inlineStr">
        <is>
          <t>K</t>
        </is>
      </c>
      <c r="O385" t="inlineStr">
        <is>
          <t>20231012, 20231013</t>
        </is>
      </c>
      <c r="P385" t="inlineStr">
        <is>
          <t>Sumatera Barat</t>
        </is>
      </c>
      <c r="Q385" t="inlineStr"/>
    </row>
    <row r="386">
      <c r="A386" t="inlineStr">
        <is>
          <t>INDO SUPER TRAKTOR</t>
        </is>
      </c>
      <c r="B386" t="inlineStr">
        <is>
          <t>Kota Samarinda</t>
        </is>
      </c>
      <c r="C386" t="inlineStr">
        <is>
          <t>08115844124</t>
        </is>
      </c>
      <c r="D386" t="inlineStr">
        <is>
          <t>ptindosupertraktor@gmail.com</t>
        </is>
      </c>
      <c r="E386" t="inlineStr">
        <is>
          <t>https://lpjk.pu.go.id/search-badan-usaha-detail/MUp5Q2JXYm0zcHByblU2cmErcEZ0UT09</t>
        </is>
      </c>
      <c r="F386" t="n">
        <v>2</v>
      </c>
      <c r="G386" t="inlineStr">
        <is>
          <t>BS001, BS010</t>
        </is>
      </c>
      <c r="H386" t="inlineStr">
        <is>
          <t>11 Maret 2017</t>
        </is>
      </c>
      <c r="I386" s="2" t="n">
        <v>46307</v>
      </c>
      <c r="J386" t="inlineStr">
        <is>
          <t>Pencabutan</t>
        </is>
      </c>
      <c r="K386" t="n">
        <v>60</v>
      </c>
      <c r="L386" t="inlineStr">
        <is>
          <t>12 Oktober 2026</t>
        </is>
      </c>
      <c r="M386" t="inlineStr">
        <is>
          <t>Konstruksi Bangunan Prasarana Sumber Daya Air, Konstruksi Bangunan Sipil Jalan</t>
        </is>
      </c>
      <c r="N386" t="inlineStr">
        <is>
          <t>M</t>
        </is>
      </c>
      <c r="O386" t="inlineStr">
        <is>
          <t>20231012</t>
        </is>
      </c>
      <c r="P386" t="inlineStr">
        <is>
          <t>Kalimantan Timur</t>
        </is>
      </c>
      <c r="Q386" t="inlineStr"/>
    </row>
    <row r="387">
      <c r="A387" t="inlineStr">
        <is>
          <t>INDOJATI SARI TEKNOLOGI</t>
        </is>
      </c>
      <c r="B387" t="inlineStr">
        <is>
          <t>Kota Adm. Jakarta Selatan</t>
        </is>
      </c>
      <c r="C387" t="inlineStr">
        <is>
          <t>081218999980</t>
        </is>
      </c>
      <c r="D387" t="inlineStr">
        <is>
          <t>indojatisariteknologi@gmail.com</t>
        </is>
      </c>
      <c r="E387" t="inlineStr">
        <is>
          <t>https://lpjk.pu.go.id/search-badan-usaha-detail/RnpnRlYzdnoxQWpWZjAvSW93U1JKUT09</t>
        </is>
      </c>
      <c r="F387" t="n">
        <v>2</v>
      </c>
      <c r="G387" t="inlineStr">
        <is>
          <t>BS005, BS006</t>
        </is>
      </c>
      <c r="H387" t="inlineStr">
        <is>
          <t>9 Juni 2016</t>
        </is>
      </c>
      <c r="I387" s="2" t="n">
        <v>46310</v>
      </c>
      <c r="J387" t="inlineStr">
        <is>
          <t>Pencabutan</t>
        </is>
      </c>
      <c r="K387" t="n">
        <v>60</v>
      </c>
      <c r="L387" t="inlineStr">
        <is>
          <t>15 Oktober 2026</t>
        </is>
      </c>
      <c r="M387" t="inlineStr">
        <is>
          <t>Konstruksi Bangunan Sipil Pengolahan Air Bersih, Konstruksi Bangunan Sipil Prasarana dan Sarana Sistem Pengolahan Limbah Padat, Cair, dan Gas</t>
        </is>
      </c>
      <c r="N387" t="inlineStr">
        <is>
          <t>K</t>
        </is>
      </c>
      <c r="O387" t="inlineStr">
        <is>
          <t>20231013, 20231014</t>
        </is>
      </c>
      <c r="P387" t="inlineStr">
        <is>
          <t>DKI Jakarta</t>
        </is>
      </c>
      <c r="Q387" t="inlineStr"/>
    </row>
    <row r="388">
      <c r="A388" t="inlineStr">
        <is>
          <t>INDOKACA MITRA FORTUNA</t>
        </is>
      </c>
      <c r="B388" t="inlineStr">
        <is>
          <t>Kota Batam</t>
        </is>
      </c>
      <c r="C388" t="inlineStr">
        <is>
          <t>0778455582</t>
        </is>
      </c>
      <c r="D388" t="inlineStr">
        <is>
          <t>indokaca.batam@gmail.com</t>
        </is>
      </c>
      <c r="E388" t="inlineStr">
        <is>
          <t>https://lpjk.pu.go.id/search-badan-usaha-detail/VjJ4NFkyenVIdVdYcnpqNmEzbjFmUT09</t>
        </is>
      </c>
      <c r="F388" t="n">
        <v>1</v>
      </c>
      <c r="G388" t="inlineStr">
        <is>
          <t>BG003</t>
        </is>
      </c>
      <c r="H388" t="inlineStr">
        <is>
          <t>3 Mei 2013</t>
        </is>
      </c>
      <c r="I388" s="2" t="n">
        <v>46313</v>
      </c>
      <c r="J388" t="inlineStr">
        <is>
          <t>Disetujui</t>
        </is>
      </c>
      <c r="K388" t="n">
        <v>60</v>
      </c>
      <c r="L388" t="inlineStr">
        <is>
          <t>18 Oktober 2026</t>
        </is>
      </c>
      <c r="M388" t="inlineStr">
        <is>
          <t>Konstruksi Gedung Industri</t>
        </is>
      </c>
      <c r="N388" t="inlineStr">
        <is>
          <t>K</t>
        </is>
      </c>
      <c r="O388" t="inlineStr">
        <is>
          <t>20231016</t>
        </is>
      </c>
      <c r="P388" t="inlineStr">
        <is>
          <t>Kepulauan Riau</t>
        </is>
      </c>
      <c r="Q388" t="inlineStr"/>
    </row>
    <row r="389">
      <c r="A389" t="inlineStr">
        <is>
          <t>INDONAKANO</t>
        </is>
      </c>
      <c r="B389" t="inlineStr">
        <is>
          <t>Kota Adm. Jakarta Selatan</t>
        </is>
      </c>
      <c r="C389" t="inlineStr">
        <is>
          <t>021 39720897</t>
        </is>
      </c>
      <c r="D389" t="inlineStr">
        <is>
          <t>in01@indonakano.co.id</t>
        </is>
      </c>
      <c r="E389" t="inlineStr">
        <is>
          <t>https://lpjk.pu.go.id/search-badan-usaha-detail/MmVvSGsrS0lCRllIU3FYRFlXa0lLZz09</t>
        </is>
      </c>
      <c r="F389" t="n">
        <v>4</v>
      </c>
      <c r="G389" t="inlineStr">
        <is>
          <t>BG004</t>
        </is>
      </c>
      <c r="H389" t="inlineStr">
        <is>
          <t>19 September 1985</t>
        </is>
      </c>
      <c r="I389" s="2" t="n">
        <v>46307</v>
      </c>
      <c r="J389" t="inlineStr">
        <is>
          <t>Disetujui</t>
        </is>
      </c>
      <c r="K389" t="n">
        <v>60</v>
      </c>
      <c r="L389" t="inlineStr">
        <is>
          <t>12 Oktober 2026</t>
        </is>
      </c>
      <c r="M389" t="inlineStr">
        <is>
          <t>Konstruksi Gedung Perbelanjaan</t>
        </is>
      </c>
      <c r="N389" t="inlineStr">
        <is>
          <t>B</t>
        </is>
      </c>
      <c r="O389" t="inlineStr">
        <is>
          <t>20231002</t>
        </is>
      </c>
      <c r="P389" t="inlineStr">
        <is>
          <t>DKI Jakarta</t>
        </is>
      </c>
      <c r="Q389" t="inlineStr"/>
    </row>
    <row r="390">
      <c r="A390" t="inlineStr">
        <is>
          <t>INTERIOR DESIGN PRODUCT</t>
        </is>
      </c>
      <c r="B390" t="inlineStr">
        <is>
          <t>Kota Balikpapan</t>
        </is>
      </c>
      <c r="C390" t="inlineStr">
        <is>
          <t>085718259885</t>
        </is>
      </c>
      <c r="D390" t="inlineStr">
        <is>
          <t>pt.interiordesignproduct@gmail.com</t>
        </is>
      </c>
      <c r="E390" t="inlineStr">
        <is>
          <t>https://lpjk.pu.go.id/search-badan-usaha-detail/bzVyYVQwTmp5ajVscUhpN2x6VFlYZz09</t>
        </is>
      </c>
      <c r="F390" t="n">
        <v>3</v>
      </c>
      <c r="G390" t="inlineStr">
        <is>
          <t>BG001, BG009, PB004</t>
        </is>
      </c>
      <c r="H390" t="inlineStr">
        <is>
          <t>30 Oktober 2009</t>
        </is>
      </c>
      <c r="I390" s="2" t="n">
        <v>46311</v>
      </c>
      <c r="J390" t="inlineStr">
        <is>
          <t>Pembekuan, Pencabutan</t>
        </is>
      </c>
      <c r="K390" t="n">
        <v>60</v>
      </c>
      <c r="L390" t="inlineStr">
        <is>
          <t>16 Oktober 2026</t>
        </is>
      </c>
      <c r="M390" t="inlineStr">
        <is>
          <t>Dekorasi Interior, Konstruksi Gedung Hunian, Konstruksi Gedung Lainnya</t>
        </is>
      </c>
      <c r="N390" t="inlineStr">
        <is>
          <t>M, Spesialis</t>
        </is>
      </c>
      <c r="O390" t="inlineStr">
        <is>
          <t>20231006, 20231012</t>
        </is>
      </c>
      <c r="P390" t="inlineStr">
        <is>
          <t>Kalimantan Timur</t>
        </is>
      </c>
      <c r="Q390" t="inlineStr"/>
    </row>
    <row r="391">
      <c r="A391" t="inlineStr">
        <is>
          <t>INTRA MAJU INDONESIA</t>
        </is>
      </c>
      <c r="B391" t="inlineStr">
        <is>
          <t>Kota Tangerang</t>
        </is>
      </c>
      <c r="C391" t="inlineStr">
        <is>
          <t>7328999</t>
        </is>
      </c>
      <c r="D391" t="inlineStr">
        <is>
          <t>INTRAMAJU2007@gmail.com</t>
        </is>
      </c>
      <c r="E391" t="inlineStr">
        <is>
          <t>https://lpjk.pu.go.id/search-badan-usaha-detail/YWRqbWp5WFdkRnV5VzUrV1VteU5WQT09</t>
        </is>
      </c>
      <c r="F391" t="n">
        <v>1</v>
      </c>
      <c r="G391" t="inlineStr">
        <is>
          <t>BG004</t>
        </is>
      </c>
      <c r="H391" t="inlineStr">
        <is>
          <t>23 Februari 2007</t>
        </is>
      </c>
      <c r="I391" s="2" t="n">
        <v>46311</v>
      </c>
      <c r="J391" t="inlineStr">
        <is>
          <t>Disetujui</t>
        </is>
      </c>
      <c r="K391" t="n">
        <v>60</v>
      </c>
      <c r="L391" t="inlineStr">
        <is>
          <t>16 Oktober 2026</t>
        </is>
      </c>
      <c r="M391" t="inlineStr">
        <is>
          <t>Konstruksi Gedung Perbelanjaan</t>
        </is>
      </c>
      <c r="N391" t="inlineStr">
        <is>
          <t>K</t>
        </is>
      </c>
      <c r="O391" t="inlineStr">
        <is>
          <t>20231009</t>
        </is>
      </c>
      <c r="P391" t="inlineStr">
        <is>
          <t>Banten</t>
        </is>
      </c>
      <c r="Q391" t="inlineStr"/>
    </row>
    <row r="392">
      <c r="A392" t="inlineStr">
        <is>
          <t>JALAMAS SEBONE TELEKOMINDO</t>
        </is>
      </c>
      <c r="B392" t="inlineStr">
        <is>
          <t>Kota Adm. Jakarta Selatan</t>
        </is>
      </c>
      <c r="C392" t="inlineStr">
        <is>
          <t>081221220300</t>
        </is>
      </c>
      <c r="D392" t="inlineStr">
        <is>
          <t>jalamasstelekomindo@gmail.com</t>
        </is>
      </c>
      <c r="E392" t="inlineStr">
        <is>
          <t>https://lpjk.pu.go.id/search-badan-usaha-detail/dVpIajBrdDVmT1YvMWJaQUh4SmNrQT09</t>
        </is>
      </c>
      <c r="F392" t="n">
        <v>1</v>
      </c>
      <c r="G392" t="inlineStr">
        <is>
          <t>BS009</t>
        </is>
      </c>
      <c r="H392" t="inlineStr">
        <is>
          <t>31 Juli 2023</t>
        </is>
      </c>
      <c r="I392" s="2" t="n">
        <v>46307</v>
      </c>
      <c r="J392" t="inlineStr">
        <is>
          <t>Disetujui</t>
        </is>
      </c>
      <c r="K392" t="n">
        <v>60</v>
      </c>
      <c r="L392" t="inlineStr">
        <is>
          <t>12 Oktober 2026</t>
        </is>
      </c>
      <c r="M392" t="inlineStr">
        <is>
          <t>Konstruksi Sentral Telekomunikasi</t>
        </is>
      </c>
      <c r="N392" t="inlineStr">
        <is>
          <t>K</t>
        </is>
      </c>
      <c r="O392" t="inlineStr">
        <is>
          <t>20231011</t>
        </is>
      </c>
      <c r="P392" t="inlineStr">
        <is>
          <t>DKI Jakarta</t>
        </is>
      </c>
      <c r="Q392" t="inlineStr"/>
    </row>
    <row r="393">
      <c r="A393" t="inlineStr">
        <is>
          <t>JASA</t>
        </is>
      </c>
      <c r="B393" t="inlineStr">
        <is>
          <t>Kab. Grobogan</t>
        </is>
      </c>
      <c r="C393" t="inlineStr">
        <is>
          <t>081390660517</t>
        </is>
      </c>
      <c r="D393" t="inlineStr">
        <is>
          <t>cv.jasa@yahoo.com</t>
        </is>
      </c>
      <c r="E393" t="inlineStr">
        <is>
          <t>https://lpjk.pu.go.id/search-badan-usaha-detail/ZWVyV2U5NE84K1czVWZ3bmRMdk1IZz09</t>
        </is>
      </c>
      <c r="F393" t="n">
        <v>4</v>
      </c>
      <c r="G393" t="inlineStr">
        <is>
          <t>BG002, BG006, BS001, BS010</t>
        </is>
      </c>
      <c r="H393" t="inlineStr">
        <is>
          <t>17 Oktober 2001</t>
        </is>
      </c>
      <c r="I393" s="2" t="n">
        <v>46313</v>
      </c>
      <c r="J393" t="inlineStr">
        <is>
          <t>Disetujui</t>
        </is>
      </c>
      <c r="K393" t="n">
        <v>60</v>
      </c>
      <c r="L393" t="inlineStr">
        <is>
          <t>18 Oktober 2026</t>
        </is>
      </c>
      <c r="M393" t="inlineStr">
        <is>
          <t>Konstruksi Bangunan Prasarana Sumber Daya Air, Konstruksi Bangunan Sipil Jalan, Konstruksi Gedung Pendidikan, Konstruksi Gedung Perkantoran</t>
        </is>
      </c>
      <c r="N393" t="inlineStr">
        <is>
          <t>K</t>
        </is>
      </c>
      <c r="O393" t="inlineStr">
        <is>
          <t>20230611, 20231017</t>
        </is>
      </c>
      <c r="P393" t="inlineStr">
        <is>
          <t>Jawa Tengah</t>
        </is>
      </c>
      <c r="Q393" t="inlineStr"/>
    </row>
    <row r="394">
      <c r="A394" t="inlineStr">
        <is>
          <t>JASA ARTIFICIA KONSULTAN</t>
        </is>
      </c>
      <c r="B394" t="inlineStr">
        <is>
          <t>Kab. Tanah Bumbu</t>
        </is>
      </c>
      <c r="C394" t="inlineStr">
        <is>
          <t>082152865803</t>
        </is>
      </c>
      <c r="D394" t="inlineStr">
        <is>
          <t>cvjasaartificiakonsultan@gmail.com</t>
        </is>
      </c>
      <c r="E394" t="inlineStr">
        <is>
          <t>https://lpjk.pu.go.id/search-badan-usaha-detail/Nk5maGR5d090SWZSc2xUaXNESVM5Zz09</t>
        </is>
      </c>
      <c r="F394" t="n">
        <v>3</v>
      </c>
      <c r="G394" t="inlineStr">
        <is>
          <t>RK001, RK002, RK003</t>
        </is>
      </c>
      <c r="H394" t="inlineStr">
        <is>
          <t>4 September 2023</t>
        </is>
      </c>
      <c r="I394" s="2" t="n">
        <v>46313</v>
      </c>
      <c r="J394" t="inlineStr">
        <is>
          <t>Disetujui</t>
        </is>
      </c>
      <c r="K394" t="n">
        <v>60</v>
      </c>
      <c r="L394" t="inlineStr">
        <is>
          <t>18 Oktober 2026</t>
        </is>
      </c>
      <c r="M394" t="inlineStr">
        <is>
          <t>Jasa Rekayasa Konstruksi Bangunan Gedung Hunian dan Non Hunian, Jasa Rekayasa Pekerjaan Teknik Sipil Sumber Daya Air, Jasa Rekayasa Pekerjaan Teknik Sipil Transportasi</t>
        </is>
      </c>
      <c r="N394" t="inlineStr">
        <is>
          <t>K</t>
        </is>
      </c>
      <c r="O394" t="inlineStr">
        <is>
          <t>20230929</t>
        </is>
      </c>
      <c r="P394" t="inlineStr">
        <is>
          <t>Kalimantan Selatan</t>
        </is>
      </c>
      <c r="Q394" t="inlineStr"/>
    </row>
    <row r="395">
      <c r="A395" t="inlineStr">
        <is>
          <t>JASA FAMILI KONSTRUKSI</t>
        </is>
      </c>
      <c r="B395" t="inlineStr">
        <is>
          <t>Kota Langsa</t>
        </is>
      </c>
      <c r="C395" t="inlineStr">
        <is>
          <t>08116801605</t>
        </is>
      </c>
      <c r="D395" t="inlineStr">
        <is>
          <t>cvjfk18@gmail.com</t>
        </is>
      </c>
      <c r="E395" t="inlineStr">
        <is>
          <t>https://lpjk.pu.go.id/search-badan-usaha-detail/SCtnZjlkZFM5NlE2WUNYTW9kOXVEUT09</t>
        </is>
      </c>
      <c r="F395" t="n">
        <v>1</v>
      </c>
      <c r="G395" t="inlineStr">
        <is>
          <t>PB004</t>
        </is>
      </c>
      <c r="H395" t="inlineStr">
        <is>
          <t>1 Februari 2018</t>
        </is>
      </c>
      <c r="I395" s="2" t="n">
        <v>46307</v>
      </c>
      <c r="J395" t="inlineStr">
        <is>
          <t>Disetujui</t>
        </is>
      </c>
      <c r="K395" t="n">
        <v>60</v>
      </c>
      <c r="L395" t="inlineStr">
        <is>
          <t>12 Oktober 2026</t>
        </is>
      </c>
      <c r="M395" t="inlineStr">
        <is>
          <t>Dekorasi Interior</t>
        </is>
      </c>
      <c r="N395" t="inlineStr">
        <is>
          <t>Spesialis</t>
        </is>
      </c>
      <c r="O395" t="inlineStr">
        <is>
          <t>20231012</t>
        </is>
      </c>
      <c r="P395" t="inlineStr">
        <is>
          <t>Aceh</t>
        </is>
      </c>
      <c r="Q395" t="inlineStr"/>
    </row>
    <row r="396">
      <c r="A396" t="inlineStr">
        <is>
          <t>JASA KONSTRUKSI</t>
        </is>
      </c>
      <c r="B396" t="inlineStr">
        <is>
          <t>Kab. Sintang</t>
        </is>
      </c>
      <c r="C396" t="inlineStr">
        <is>
          <t>085725163547</t>
        </is>
      </c>
      <c r="D396" t="inlineStr">
        <is>
          <t>jasakonstruksi754@gmail.com</t>
        </is>
      </c>
      <c r="E396" t="inlineStr">
        <is>
          <t>https://lpjk.pu.go.id/search-badan-usaha-detail/WmNUc0VtNWFmblhxNURsZ1JZYUwvQT09</t>
        </is>
      </c>
      <c r="F396" t="n">
        <v>1</v>
      </c>
      <c r="G396" t="inlineStr">
        <is>
          <t>BS005</t>
        </is>
      </c>
      <c r="H396" t="inlineStr">
        <is>
          <t>23 Januari 2018</t>
        </is>
      </c>
      <c r="I396" s="2" t="n">
        <v>46307</v>
      </c>
      <c r="J396" t="inlineStr">
        <is>
          <t>Disetujui</t>
        </is>
      </c>
      <c r="K396" t="n">
        <v>60</v>
      </c>
      <c r="L396" t="inlineStr">
        <is>
          <t>12 Oktober 2026</t>
        </is>
      </c>
      <c r="M396" t="inlineStr">
        <is>
          <t>Konstruksi Bangunan Sipil Pengolahan Air Bersih</t>
        </is>
      </c>
      <c r="N396" t="inlineStr">
        <is>
          <t>K</t>
        </is>
      </c>
      <c r="O396" t="inlineStr">
        <is>
          <t>20231008</t>
        </is>
      </c>
      <c r="P396" t="inlineStr">
        <is>
          <t>Kalimantan Barat</t>
        </is>
      </c>
      <c r="Q396" t="inlineStr"/>
    </row>
    <row r="397">
      <c r="A397" t="inlineStr">
        <is>
          <t>JATI BARU</t>
        </is>
      </c>
      <c r="B397" t="inlineStr">
        <is>
          <t>Kab. Banjar</t>
        </is>
      </c>
      <c r="C397" t="inlineStr">
        <is>
          <t>05114720155</t>
        </is>
      </c>
      <c r="D397" t="inlineStr">
        <is>
          <t>ptjatibaru37@gmail.com</t>
        </is>
      </c>
      <c r="E397" t="inlineStr">
        <is>
          <t>https://lpjk.pu.go.id/search-badan-usaha-detail/YWpGb0R0Z3BVNy92R1puQTkwUFpCZz09</t>
        </is>
      </c>
      <c r="F397" t="n">
        <v>1</v>
      </c>
      <c r="G397" t="inlineStr">
        <is>
          <t>BS001</t>
        </is>
      </c>
      <c r="H397" t="inlineStr">
        <is>
          <t>15 Agustus 1985</t>
        </is>
      </c>
      <c r="I397" s="2" t="n">
        <v>46307</v>
      </c>
      <c r="J397" t="inlineStr">
        <is>
          <t>Disetujui</t>
        </is>
      </c>
      <c r="K397" t="n">
        <v>60</v>
      </c>
      <c r="L397" t="inlineStr">
        <is>
          <t>12 Oktober 2026</t>
        </is>
      </c>
      <c r="M397" t="inlineStr">
        <is>
          <t>Konstruksi Bangunan Sipil Jalan</t>
        </is>
      </c>
      <c r="N397" t="inlineStr">
        <is>
          <t>M</t>
        </is>
      </c>
      <c r="O397" t="inlineStr">
        <is>
          <t>20231010</t>
        </is>
      </c>
      <c r="P397" t="inlineStr">
        <is>
          <t>Kalimantan Selatan</t>
        </is>
      </c>
      <c r="Q397" t="inlineStr"/>
    </row>
    <row r="398">
      <c r="A398" t="inlineStr">
        <is>
          <t>JAVADWIPA DUTA MANDIRI</t>
        </is>
      </c>
      <c r="B398" t="inlineStr">
        <is>
          <t>Kota Surabaya</t>
        </is>
      </c>
      <c r="C398" t="inlineStr">
        <is>
          <t>083849539666</t>
        </is>
      </c>
      <c r="D398" t="inlineStr">
        <is>
          <t>divlegaljdm@gmail.com</t>
        </is>
      </c>
      <c r="E398" t="inlineStr">
        <is>
          <t>https://lpjk.pu.go.id/search-badan-usaha-detail/cC9POGwwMXFRUmxXMm9kSmkxY1RNNkRMYnNWT1dWMjBBTjB0NDRNTmE0QT0</t>
        </is>
      </c>
      <c r="F398" t="n">
        <v>1</v>
      </c>
      <c r="G398" t="inlineStr">
        <is>
          <t>BS009</t>
        </is>
      </c>
      <c r="H398" t="inlineStr">
        <is>
          <t>11 Januari 2022</t>
        </is>
      </c>
      <c r="I398" s="2" t="n">
        <v>46307</v>
      </c>
      <c r="J398" t="inlineStr">
        <is>
          <t>Disetujui</t>
        </is>
      </c>
      <c r="K398" t="n">
        <v>60</v>
      </c>
      <c r="L398" t="inlineStr">
        <is>
          <t>12 Oktober 2026</t>
        </is>
      </c>
      <c r="M398" t="inlineStr">
        <is>
          <t>Konstruksi Sentral Telekomunikasi</t>
        </is>
      </c>
      <c r="N398" t="inlineStr">
        <is>
          <t>M</t>
        </is>
      </c>
      <c r="O398" t="inlineStr">
        <is>
          <t>20231006</t>
        </is>
      </c>
      <c r="P398" t="inlineStr">
        <is>
          <t>Jawa Timur</t>
        </is>
      </c>
      <c r="Q398" t="inlineStr"/>
    </row>
    <row r="399">
      <c r="A399" t="inlineStr">
        <is>
          <t>JAYA ABADI ELECTRICA</t>
        </is>
      </c>
      <c r="B399" t="inlineStr">
        <is>
          <t>Kota Pekanbaru</t>
        </is>
      </c>
      <c r="C399" t="inlineStr">
        <is>
          <t>082169289696</t>
        </is>
      </c>
      <c r="D399" t="inlineStr">
        <is>
          <t>jayaabadielectrica@gmail.com</t>
        </is>
      </c>
      <c r="E399" t="inlineStr">
        <is>
          <t>https://lpjk.pu.go.id/search-badan-usaha-detail/VTFqV0tXekVlSnBxVEVaK3dnOFQ4UT09</t>
        </is>
      </c>
      <c r="F399" t="n">
        <v>2</v>
      </c>
      <c r="G399" t="inlineStr">
        <is>
          <t>BS009, IN002</t>
        </is>
      </c>
      <c r="H399" t="inlineStr">
        <is>
          <t>16 Agustus 2023</t>
        </is>
      </c>
      <c r="I399" s="2" t="n">
        <v>46307</v>
      </c>
      <c r="J399" t="inlineStr">
        <is>
          <t>Disetujui, Pembekuan</t>
        </is>
      </c>
      <c r="K399" t="n">
        <v>60</v>
      </c>
      <c r="L399" t="inlineStr">
        <is>
          <t>12 Oktober 2026</t>
        </is>
      </c>
      <c r="M399" t="inlineStr">
        <is>
          <t>Instalasi Telekomunikasi, Konstruksi Sentral Telekomunikasi</t>
        </is>
      </c>
      <c r="N399" t="inlineStr">
        <is>
          <t>K, Spesialis</t>
        </is>
      </c>
      <c r="O399" t="inlineStr">
        <is>
          <t>20231012</t>
        </is>
      </c>
      <c r="P399" t="inlineStr">
        <is>
          <t>Riau</t>
        </is>
      </c>
      <c r="Q399" t="inlineStr"/>
    </row>
    <row r="400">
      <c r="A400" t="inlineStr">
        <is>
          <t>JAYA ABADI MEMBANGUN</t>
        </is>
      </c>
      <c r="B400" t="inlineStr">
        <is>
          <t>Kota Palembang</t>
        </is>
      </c>
      <c r="C400" t="inlineStr">
        <is>
          <t>082177778983</t>
        </is>
      </c>
      <c r="D400" t="inlineStr">
        <is>
          <t>cvjayaabadimembangun@gmail.com</t>
        </is>
      </c>
      <c r="E400" t="inlineStr">
        <is>
          <t>https://lpjk.pu.go.id/search-badan-usaha-detail/MTRnRmwvTU9GMkowL3YwU3FVV2hOUT09</t>
        </is>
      </c>
      <c r="F400" t="n">
        <v>4</v>
      </c>
      <c r="G400" t="inlineStr">
        <is>
          <t>BG005, BG006, BG009, BS001</t>
        </is>
      </c>
      <c r="H400" t="inlineStr">
        <is>
          <t>11 Januari 2016</t>
        </is>
      </c>
      <c r="I400" s="2" t="n">
        <v>46307</v>
      </c>
      <c r="J400" t="inlineStr">
        <is>
          <t>Disetujui</t>
        </is>
      </c>
      <c r="K400" t="n">
        <v>60</v>
      </c>
      <c r="L400" t="inlineStr">
        <is>
          <t>12 Oktober 2026</t>
        </is>
      </c>
      <c r="M400" t="inlineStr">
        <is>
          <t>Konstruksi Bangunan Sipil Jalan, Konstruksi Gedung Kesehatan, Konstruksi Gedung Lainnya, Konstruksi Gedung Pendidikan</t>
        </is>
      </c>
      <c r="N400" t="inlineStr">
        <is>
          <t>K</t>
        </is>
      </c>
      <c r="O400" t="inlineStr">
        <is>
          <t>20231011</t>
        </is>
      </c>
      <c r="P400" t="inlineStr">
        <is>
          <t>Sumatera Selatan</t>
        </is>
      </c>
      <c r="Q400" t="inlineStr"/>
    </row>
    <row r="401">
      <c r="A401" t="inlineStr">
        <is>
          <t>JAYA EMPAT PENJURU</t>
        </is>
      </c>
      <c r="B401" t="inlineStr">
        <is>
          <t>Kab. Tangerang</t>
        </is>
      </c>
      <c r="C401" t="inlineStr">
        <is>
          <t>087777100727</t>
        </is>
      </c>
      <c r="D401" t="inlineStr">
        <is>
          <t>jaya4penjuru@gmail.com</t>
        </is>
      </c>
      <c r="E401" t="inlineStr">
        <is>
          <t>https://lpjk.pu.go.id/search-badan-usaha-detail/YTl2WHlmeFFHYmVOdXRGcExFTW00Zz09</t>
        </is>
      </c>
      <c r="F401" t="n">
        <v>1</v>
      </c>
      <c r="G401" t="inlineStr">
        <is>
          <t>BG009</t>
        </is>
      </c>
      <c r="H401" t="inlineStr">
        <is>
          <t>30 Juli 2016</t>
        </is>
      </c>
      <c r="I401" s="2" t="n">
        <v>46312</v>
      </c>
      <c r="J401" t="inlineStr">
        <is>
          <t>Disetujui</t>
        </is>
      </c>
      <c r="K401" t="n">
        <v>60</v>
      </c>
      <c r="L401" t="inlineStr">
        <is>
          <t>17 Oktober 2026</t>
        </is>
      </c>
      <c r="M401" t="inlineStr">
        <is>
          <t>Konstruksi Gedung Lainnya</t>
        </is>
      </c>
      <c r="N401" t="inlineStr">
        <is>
          <t>K</t>
        </is>
      </c>
      <c r="O401" t="inlineStr">
        <is>
          <t>20231011</t>
        </is>
      </c>
      <c r="P401" t="inlineStr">
        <is>
          <t>Banten</t>
        </is>
      </c>
      <c r="Q401" t="inlineStr"/>
    </row>
    <row r="402">
      <c r="A402" t="inlineStr">
        <is>
          <t>JAYA MANDIRI</t>
        </is>
      </c>
      <c r="B402" t="inlineStr">
        <is>
          <t>Kota Banjarmasin</t>
        </is>
      </c>
      <c r="C402" t="inlineStr">
        <is>
          <t>08125013434</t>
        </is>
      </c>
      <c r="D402" t="inlineStr">
        <is>
          <t>cvjayamandiri69@gmail.com</t>
        </is>
      </c>
      <c r="E402" t="inlineStr">
        <is>
          <t>https://lpjk.pu.go.id/search-badan-usaha-detail/NGlndnQzYVIvM3pLaWdWbzNXTm12dz09</t>
        </is>
      </c>
      <c r="F402" t="n">
        <v>1</v>
      </c>
      <c r="G402" t="inlineStr">
        <is>
          <t>BG001</t>
        </is>
      </c>
      <c r="H402" t="inlineStr">
        <is>
          <t>6 Januari 2020</t>
        </is>
      </c>
      <c r="I402" s="2" t="n">
        <v>46308</v>
      </c>
      <c r="J402" t="inlineStr">
        <is>
          <t>Pencabutan</t>
        </is>
      </c>
      <c r="K402" t="n">
        <v>60</v>
      </c>
      <c r="L402" t="inlineStr">
        <is>
          <t>13 Oktober 2026</t>
        </is>
      </c>
      <c r="M402" t="inlineStr">
        <is>
          <t>Konstruksi Gedung Hunian</t>
        </is>
      </c>
      <c r="N402" t="inlineStr">
        <is>
          <t>K</t>
        </is>
      </c>
      <c r="O402" t="inlineStr">
        <is>
          <t>20231012</t>
        </is>
      </c>
      <c r="P402" t="inlineStr">
        <is>
          <t>Kalimantan Selatan</t>
        </is>
      </c>
      <c r="Q402" t="inlineStr"/>
    </row>
    <row r="403">
      <c r="A403" t="inlineStr">
        <is>
          <t>JAYA RAFFA MANDIRI</t>
        </is>
      </c>
      <c r="B403" t="inlineStr">
        <is>
          <t>Kab. Jayawijaya</t>
        </is>
      </c>
      <c r="C403" t="inlineStr">
        <is>
          <t>082199063689</t>
        </is>
      </c>
      <c r="D403" t="inlineStr">
        <is>
          <t>lokobalserianus891@gmail.com</t>
        </is>
      </c>
      <c r="E403" t="inlineStr">
        <is>
          <t>https://lpjk.pu.go.id/search-badan-usaha-detail/N1cvR2JrT3Jyd1B0RFNEb05QajE4QT09</t>
        </is>
      </c>
      <c r="F403" t="n">
        <v>1</v>
      </c>
      <c r="G403" t="inlineStr">
        <is>
          <t>BS001</t>
        </is>
      </c>
      <c r="H403" t="inlineStr">
        <is>
          <t>22 Mei 2023</t>
        </is>
      </c>
      <c r="I403" s="2" t="n">
        <v>46307</v>
      </c>
      <c r="J403" t="inlineStr">
        <is>
          <t>Disetujui</t>
        </is>
      </c>
      <c r="K403" t="n">
        <v>60</v>
      </c>
      <c r="L403" t="inlineStr">
        <is>
          <t>12 Oktober 2026</t>
        </is>
      </c>
      <c r="M403" t="inlineStr">
        <is>
          <t>Konstruksi Bangunan Sipil Jalan</t>
        </is>
      </c>
      <c r="N403" t="inlineStr">
        <is>
          <t>K</t>
        </is>
      </c>
      <c r="O403" t="inlineStr">
        <is>
          <t>20231007</t>
        </is>
      </c>
      <c r="P403" t="inlineStr">
        <is>
          <t>Papua</t>
        </is>
      </c>
      <c r="Q403" t="inlineStr"/>
    </row>
    <row r="404">
      <c r="A404" t="inlineStr">
        <is>
          <t>JAYA RAYA SENTOSA TEHNIK</t>
        </is>
      </c>
      <c r="B404" t="inlineStr">
        <is>
          <t>Kota Adm. Jakarta Pusat</t>
        </is>
      </c>
      <c r="C404" t="inlineStr">
        <is>
          <t>02121476272</t>
        </is>
      </c>
      <c r="D404" t="inlineStr">
        <is>
          <t>jayarayasentosateknik@gmail.com</t>
        </is>
      </c>
      <c r="E404" t="inlineStr">
        <is>
          <t>https://lpjk.pu.go.id/search-badan-usaha-detail/R0lmL3R0a0dPcnpqcWxHeHlCQnZzQT09</t>
        </is>
      </c>
      <c r="F404" t="n">
        <v>2</v>
      </c>
      <c r="G404" t="inlineStr">
        <is>
          <t>BG001, BG009</t>
        </is>
      </c>
      <c r="H404" t="inlineStr">
        <is>
          <t>7 Desember 2016</t>
        </is>
      </c>
      <c r="I404" s="2" t="n">
        <v>46308</v>
      </c>
      <c r="J404" t="inlineStr">
        <is>
          <t>Disetujui</t>
        </is>
      </c>
      <c r="K404" t="n">
        <v>60</v>
      </c>
      <c r="L404" t="inlineStr">
        <is>
          <t>13 Oktober 2026</t>
        </is>
      </c>
      <c r="M404" t="inlineStr">
        <is>
          <t>Konstruksi Gedung Hunian, Konstruksi Gedung Lainnya</t>
        </is>
      </c>
      <c r="N404" t="inlineStr">
        <is>
          <t>K</t>
        </is>
      </c>
      <c r="O404" t="inlineStr">
        <is>
          <t>20231004, 20231008</t>
        </is>
      </c>
      <c r="P404" t="inlineStr">
        <is>
          <t>DKI Jakarta</t>
        </is>
      </c>
      <c r="Q404" t="inlineStr"/>
    </row>
    <row r="405">
      <c r="A405" t="inlineStr">
        <is>
          <t>JAYA SAKTI</t>
        </is>
      </c>
      <c r="B405" t="inlineStr">
        <is>
          <t>Kab. Nganjuk</t>
        </is>
      </c>
      <c r="C405" t="inlineStr">
        <is>
          <t>081230401680</t>
        </is>
      </c>
      <c r="D405" t="inlineStr">
        <is>
          <t>jayasakticv5@gmail.com</t>
        </is>
      </c>
      <c r="E405" t="inlineStr">
        <is>
          <t>https://lpjk.pu.go.id/search-badan-usaha-detail/SGtsRC94WWNVckpWK0lydmw2aE1MQT09</t>
        </is>
      </c>
      <c r="F405" t="n">
        <v>5</v>
      </c>
      <c r="G405" t="inlineStr">
        <is>
          <t>BG002, BG004, BG005, BG006, BG009</t>
        </is>
      </c>
      <c r="H405" t="inlineStr">
        <is>
          <t>9 Juli 2020</t>
        </is>
      </c>
      <c r="I405" s="2" t="n">
        <v>46308</v>
      </c>
      <c r="J405" t="inlineStr">
        <is>
          <t>Disetujui</t>
        </is>
      </c>
      <c r="K405" t="n">
        <v>60</v>
      </c>
      <c r="L405" t="inlineStr">
        <is>
          <t>13 Oktober 2026</t>
        </is>
      </c>
      <c r="M405" t="inlineStr">
        <is>
          <t>Konstruksi Gedung Kesehatan, Konstruksi Gedung Lainnya, Konstruksi Gedung Pendidikan, Konstruksi Gedung Perbelanjaan, Konstruksi Gedung Perkantoran</t>
        </is>
      </c>
      <c r="N405" t="inlineStr">
        <is>
          <t>K</t>
        </is>
      </c>
      <c r="O405" t="inlineStr">
        <is>
          <t>20231012</t>
        </is>
      </c>
      <c r="P405" t="inlineStr">
        <is>
          <t>Jawa Timur</t>
        </is>
      </c>
      <c r="Q405" t="inlineStr"/>
    </row>
    <row r="406">
      <c r="A406" t="inlineStr">
        <is>
          <t>JAYA SAMPURNA ABADI</t>
        </is>
      </c>
      <c r="B406" t="inlineStr">
        <is>
          <t>Kota Palembang</t>
        </is>
      </c>
      <c r="C406" t="inlineStr">
        <is>
          <t>082183966766</t>
        </is>
      </c>
      <c r="D406" t="inlineStr">
        <is>
          <t>jayasampurnabadi@yahoo.com</t>
        </is>
      </c>
      <c r="E406" t="inlineStr">
        <is>
          <t>https://lpjk.pu.go.id/search-badan-usaha-detail/a3pHL2pkNXlpdzhWM1ZWaTdEdXd1dz09</t>
        </is>
      </c>
      <c r="F406" t="n">
        <v>1</v>
      </c>
      <c r="G406" t="inlineStr">
        <is>
          <t>BG004</t>
        </is>
      </c>
      <c r="H406" t="inlineStr">
        <is>
          <t>27 Juli 2016</t>
        </is>
      </c>
      <c r="I406" s="2" t="n">
        <v>46310</v>
      </c>
      <c r="J406" t="inlineStr">
        <is>
          <t>Pencabutan</t>
        </is>
      </c>
      <c r="K406" t="n">
        <v>60</v>
      </c>
      <c r="L406" t="inlineStr">
        <is>
          <t>15 Oktober 2026</t>
        </is>
      </c>
      <c r="M406" t="inlineStr">
        <is>
          <t>Konstruksi Gedung Perbelanjaan</t>
        </is>
      </c>
      <c r="N406" t="inlineStr">
        <is>
          <t>K</t>
        </is>
      </c>
      <c r="O406" t="inlineStr">
        <is>
          <t>20231014</t>
        </is>
      </c>
      <c r="P406" t="inlineStr">
        <is>
          <t>Sumatera Selatan</t>
        </is>
      </c>
      <c r="Q406" t="inlineStr"/>
    </row>
    <row r="407">
      <c r="A407" t="inlineStr">
        <is>
          <t>JAYA UTAMA CILEGON</t>
        </is>
      </c>
      <c r="B407" t="inlineStr">
        <is>
          <t>Kota Cilegon</t>
        </is>
      </c>
      <c r="C407" t="inlineStr">
        <is>
          <t>081906445322</t>
        </is>
      </c>
      <c r="D407" t="inlineStr">
        <is>
          <t>jayautamacilegon@gmail.com</t>
        </is>
      </c>
      <c r="E407" t="inlineStr">
        <is>
          <t>https://lpjk.pu.go.id/search-badan-usaha-detail/eDhsS3gzbE8vZnF1ay96N3B1MTRuZz09</t>
        </is>
      </c>
      <c r="F407" t="n">
        <v>1</v>
      </c>
      <c r="G407" t="inlineStr">
        <is>
          <t>BG009</t>
        </is>
      </c>
      <c r="H407" t="inlineStr">
        <is>
          <t>18 Juli 2019</t>
        </is>
      </c>
      <c r="I407" s="2" t="n">
        <v>46313</v>
      </c>
      <c r="J407" t="inlineStr">
        <is>
          <t>Pencabutan</t>
        </is>
      </c>
      <c r="K407" t="n">
        <v>60</v>
      </c>
      <c r="L407" t="inlineStr">
        <is>
          <t>18 Oktober 2026</t>
        </is>
      </c>
      <c r="M407" t="inlineStr">
        <is>
          <t>Konstruksi Gedung Lainnya</t>
        </is>
      </c>
      <c r="N407" t="inlineStr">
        <is>
          <t>K</t>
        </is>
      </c>
      <c r="O407" t="inlineStr">
        <is>
          <t>20231018</t>
        </is>
      </c>
      <c r="P407" t="inlineStr">
        <is>
          <t>Banten</t>
        </is>
      </c>
      <c r="Q407" t="inlineStr"/>
    </row>
    <row r="408">
      <c r="A408" t="inlineStr">
        <is>
          <t>JAYAMIQEN KONSTRUKSI</t>
        </is>
      </c>
      <c r="B408" t="inlineStr">
        <is>
          <t>Kota Banjarmasin</t>
        </is>
      </c>
      <c r="C408" t="inlineStr">
        <is>
          <t>081349437597</t>
        </is>
      </c>
      <c r="D408" t="inlineStr">
        <is>
          <t>jayamiqen.cv@yahoo.com</t>
        </is>
      </c>
      <c r="E408" t="inlineStr">
        <is>
          <t>https://lpjk.pu.go.id/search-badan-usaha-detail/KzJnN25iUDVDV21uMkJmMTJINmtzQT09</t>
        </is>
      </c>
      <c r="F408" t="n">
        <v>5</v>
      </c>
      <c r="G408" t="inlineStr">
        <is>
          <t>BG001, BG002, BG005, BG006, BG009</t>
        </is>
      </c>
      <c r="H408" t="inlineStr">
        <is>
          <t>16 Januari 2016</t>
        </is>
      </c>
      <c r="I408" s="2" t="n">
        <v>46312</v>
      </c>
      <c r="J408" t="inlineStr">
        <is>
          <t>Disetujui</t>
        </is>
      </c>
      <c r="K408" t="n">
        <v>60</v>
      </c>
      <c r="L408" t="inlineStr">
        <is>
          <t>17 Oktober 2026</t>
        </is>
      </c>
      <c r="M408" t="inlineStr">
        <is>
          <t>Konstruksi Gedung Hunian, Konstruksi Gedung Kesehatan, Konstruksi Gedung Lainnya, Konstruksi Gedung Pendidikan, Konstruksi Gedung Perkantoran</t>
        </is>
      </c>
      <c r="N408" t="inlineStr">
        <is>
          <t>K</t>
        </is>
      </c>
      <c r="O408" t="inlineStr">
        <is>
          <t>20231006, 20231009</t>
        </is>
      </c>
      <c r="P408" t="inlineStr">
        <is>
          <t>Kalimantan Selatan</t>
        </is>
      </c>
      <c r="Q408" t="inlineStr"/>
    </row>
    <row r="409">
      <c r="A409" t="inlineStr">
        <is>
          <t>JEJAK TRIKARYA PERKASA</t>
        </is>
      </c>
      <c r="B409" t="inlineStr">
        <is>
          <t>Kota Adm. Jakarta Selatan</t>
        </is>
      </c>
      <c r="C409" t="inlineStr">
        <is>
          <t>081222617333</t>
        </is>
      </c>
      <c r="D409" t="inlineStr">
        <is>
          <t>rockyleroylumowa@gmail.com</t>
        </is>
      </c>
      <c r="E409" t="inlineStr">
        <is>
          <t>https://lpjk.pu.go.id/search-badan-usaha-detail/bnRIdWdpcWZUbU8zRlEyUTlYTHVpUT09</t>
        </is>
      </c>
      <c r="F409" t="n">
        <v>1</v>
      </c>
      <c r="G409" t="inlineStr">
        <is>
          <t>BG008</t>
        </is>
      </c>
      <c r="H409" t="inlineStr">
        <is>
          <t>24 Agustus 2023</t>
        </is>
      </c>
      <c r="I409" s="2" t="n">
        <v>46307</v>
      </c>
      <c r="J409" t="inlineStr">
        <is>
          <t>Pencabutan</t>
        </is>
      </c>
      <c r="K409" t="n">
        <v>60</v>
      </c>
      <c r="L409" t="inlineStr">
        <is>
          <t>12 Oktober 2026</t>
        </is>
      </c>
      <c r="M409" t="inlineStr">
        <is>
          <t>Konstruksi Gedung Tempat Hiburan dan Olahraga</t>
        </is>
      </c>
      <c r="N409" t="inlineStr">
        <is>
          <t>K</t>
        </is>
      </c>
      <c r="O409" t="inlineStr">
        <is>
          <t>20230930</t>
        </is>
      </c>
      <c r="P409" t="inlineStr">
        <is>
          <t>DKI Jakarta</t>
        </is>
      </c>
      <c r="Q409" t="inlineStr"/>
    </row>
    <row r="410">
      <c r="A410" t="inlineStr">
        <is>
          <t>JOINT BANGUN NEGERI</t>
        </is>
      </c>
      <c r="B410" t="inlineStr">
        <is>
          <t>Kota Ambon</t>
        </is>
      </c>
      <c r="C410" t="inlineStr">
        <is>
          <t>085243065306</t>
        </is>
      </c>
      <c r="D410" t="inlineStr">
        <is>
          <t>cv.jointbangunnegeri@gmail.com</t>
        </is>
      </c>
      <c r="E410" t="inlineStr">
        <is>
          <t>https://lpjk.pu.go.id/search-badan-usaha-detail/UFhFMnE3KzlkWGY2U29nWmJNMFlUQT09</t>
        </is>
      </c>
      <c r="F410" t="n">
        <v>2</v>
      </c>
      <c r="G410" t="inlineStr">
        <is>
          <t>BG005, BG006</t>
        </is>
      </c>
      <c r="H410" t="inlineStr">
        <is>
          <t>28 Juli 2023</t>
        </is>
      </c>
      <c r="I410" s="2" t="n">
        <v>46312</v>
      </c>
      <c r="J410" t="inlineStr">
        <is>
          <t>Disetujui</t>
        </is>
      </c>
      <c r="K410" t="n">
        <v>60</v>
      </c>
      <c r="L410" t="inlineStr">
        <is>
          <t>17 Oktober 2026</t>
        </is>
      </c>
      <c r="M410" t="inlineStr">
        <is>
          <t>Konstruksi Gedung Kesehatan, Konstruksi Gedung Pendidikan</t>
        </is>
      </c>
      <c r="N410" t="inlineStr">
        <is>
          <t>K</t>
        </is>
      </c>
      <c r="O410" t="inlineStr">
        <is>
          <t>20231018</t>
        </is>
      </c>
      <c r="P410" t="inlineStr">
        <is>
          <t>Maluku</t>
        </is>
      </c>
      <c r="Q410" t="inlineStr"/>
    </row>
    <row r="411">
      <c r="A411" t="inlineStr">
        <is>
          <t>KALIMAYA</t>
        </is>
      </c>
      <c r="B411" t="inlineStr">
        <is>
          <t>Kab. Barito Kuala</t>
        </is>
      </c>
      <c r="C411" t="inlineStr">
        <is>
          <t>081349080789</t>
        </is>
      </c>
      <c r="D411" t="inlineStr">
        <is>
          <t>effendibachtiar23@yahoo.co.id</t>
        </is>
      </c>
      <c r="E411" t="inlineStr">
        <is>
          <t>https://lpjk.pu.go.id/search-badan-usaha-detail/MVRFKzFYOVV1OWRsODNva2dLNnBnUT09</t>
        </is>
      </c>
      <c r="F411" t="n">
        <v>9</v>
      </c>
      <c r="G411" t="inlineStr">
        <is>
          <t>BG002, BS001, BS002</t>
        </is>
      </c>
      <c r="H411" t="inlineStr">
        <is>
          <t>13 Januari 2010</t>
        </is>
      </c>
      <c r="I411" s="2" t="n">
        <v>46311</v>
      </c>
      <c r="J411" t="inlineStr">
        <is>
          <t>Disetujui</t>
        </is>
      </c>
      <c r="K411" t="n">
        <v>60</v>
      </c>
      <c r="L411" t="inlineStr">
        <is>
          <t>16 Oktober 2026</t>
        </is>
      </c>
      <c r="M411" t="inlineStr">
        <is>
          <t>Bangunan Sipil Jembatan, Jalan Layang, Fly Over, dan Underpass, Konstruksi Bangunan Sipil Jalan, Konstruksi Gedung Perkantoran</t>
        </is>
      </c>
      <c r="N411" t="inlineStr">
        <is>
          <t>K</t>
        </is>
      </c>
      <c r="O411" t="inlineStr">
        <is>
          <t>20231007, 20231010</t>
        </is>
      </c>
      <c r="P411" t="inlineStr">
        <is>
          <t>Kalimantan Selatan</t>
        </is>
      </c>
      <c r="Q411" t="inlineStr"/>
    </row>
    <row r="412">
      <c r="A412" t="inlineStr">
        <is>
          <t>KANCA WALUYA INDONESIA</t>
        </is>
      </c>
      <c r="B412" t="inlineStr">
        <is>
          <t>Kab. Bandung Barat</t>
        </is>
      </c>
      <c r="C412" t="inlineStr">
        <is>
          <t>081395739252</t>
        </is>
      </c>
      <c r="D412" t="inlineStr">
        <is>
          <t>pt.kancawaluyaindonesia@hotmail.com</t>
        </is>
      </c>
      <c r="E412" t="inlineStr">
        <is>
          <t>https://lpjk.pu.go.id/search-badan-usaha-detail/VVJlVitwSE1lWWRLY0s4anUrTVd1Zz09</t>
        </is>
      </c>
      <c r="F412" t="n">
        <v>3</v>
      </c>
      <c r="G412" t="inlineStr">
        <is>
          <t>BG001, BG009, BS001</t>
        </is>
      </c>
      <c r="H412" t="inlineStr">
        <is>
          <t>10 April 2014</t>
        </is>
      </c>
      <c r="I412" s="2" t="n">
        <v>46311</v>
      </c>
      <c r="J412" t="inlineStr">
        <is>
          <t>Disetujui</t>
        </is>
      </c>
      <c r="K412" t="n">
        <v>60</v>
      </c>
      <c r="L412" t="inlineStr">
        <is>
          <t>16 Oktober 2026</t>
        </is>
      </c>
      <c r="M412" t="inlineStr">
        <is>
          <t>Konstruksi Bangunan Sipil Jalan, Konstruksi Gedung Hunian, Konstruksi Gedung Lainnya</t>
        </is>
      </c>
      <c r="N412" t="inlineStr">
        <is>
          <t>K</t>
        </is>
      </c>
      <c r="O412" t="inlineStr">
        <is>
          <t>20231016</t>
        </is>
      </c>
      <c r="P412" t="inlineStr">
        <is>
          <t>Jawa Barat</t>
        </is>
      </c>
      <c r="Q412" t="inlineStr"/>
    </row>
    <row r="413">
      <c r="A413" t="inlineStr">
        <is>
          <t>KARTA JAYA ABADI</t>
        </is>
      </c>
      <c r="B413" t="inlineStr">
        <is>
          <t>Kota Bandar Lampung</t>
        </is>
      </c>
      <c r="C413" t="inlineStr">
        <is>
          <t>085357266666</t>
        </is>
      </c>
      <c r="D413" t="inlineStr">
        <is>
          <t>kartajayaabadi.cv@yahoo.com</t>
        </is>
      </c>
      <c r="E413" t="inlineStr">
        <is>
          <t>https://lpjk.pu.go.id/search-badan-usaha-detail/RndEWlpWMm10eGJXN1lXYTFkMkkxUT09</t>
        </is>
      </c>
      <c r="F413" t="n">
        <v>2</v>
      </c>
      <c r="G413" t="inlineStr">
        <is>
          <t>BG005, BG006</t>
        </is>
      </c>
      <c r="H413" t="inlineStr">
        <is>
          <t>21 November 2016</t>
        </is>
      </c>
      <c r="I413" s="2" t="n">
        <v>46313</v>
      </c>
      <c r="J413" t="inlineStr">
        <is>
          <t>Disetujui</t>
        </is>
      </c>
      <c r="K413" t="n">
        <v>60</v>
      </c>
      <c r="L413" t="inlineStr">
        <is>
          <t>18 Oktober 2026</t>
        </is>
      </c>
      <c r="M413" t="inlineStr">
        <is>
          <t>Konstruksi Gedung Kesehatan, Konstruksi Gedung Pendidikan</t>
        </is>
      </c>
      <c r="N413" t="inlineStr">
        <is>
          <t>K</t>
        </is>
      </c>
      <c r="O413" t="inlineStr">
        <is>
          <t>20231016</t>
        </is>
      </c>
      <c r="P413" t="inlineStr">
        <is>
          <t>Lampung</t>
        </is>
      </c>
      <c r="Q413" t="inlineStr"/>
    </row>
    <row r="414">
      <c r="A414" t="inlineStr">
        <is>
          <t>KARTIKA INDAH JAYA</t>
        </is>
      </c>
      <c r="B414" t="inlineStr">
        <is>
          <t>Kota Tanjung Pinang</t>
        </is>
      </c>
      <c r="C414" t="inlineStr">
        <is>
          <t>082287055997</t>
        </is>
      </c>
      <c r="D414" t="inlineStr">
        <is>
          <t>syaifulrahman1972@gmail.com</t>
        </is>
      </c>
      <c r="E414" t="inlineStr">
        <is>
          <t>https://lpjk.pu.go.id/search-badan-usaha-detail/L3ZFMHdMOXBLUmpHTnl2RU5zU25sYmNhcTJJU2o5bmdIT1htaHhYdnEvcz0</t>
        </is>
      </c>
      <c r="F414" t="n">
        <v>1</v>
      </c>
      <c r="G414" t="inlineStr">
        <is>
          <t>BS001</t>
        </is>
      </c>
      <c r="H414" t="inlineStr">
        <is>
          <t>14 Juni 2021</t>
        </is>
      </c>
      <c r="I414" s="2" t="n">
        <v>46308</v>
      </c>
      <c r="J414" t="inlineStr">
        <is>
          <t>Disetujui</t>
        </is>
      </c>
      <c r="K414" t="n">
        <v>60</v>
      </c>
      <c r="L414" t="inlineStr">
        <is>
          <t>13 Oktober 2026</t>
        </is>
      </c>
      <c r="M414" t="inlineStr">
        <is>
          <t>Konstruksi Bangunan Sipil Jalan</t>
        </is>
      </c>
      <c r="N414" t="inlineStr">
        <is>
          <t>K</t>
        </is>
      </c>
      <c r="O414" t="inlineStr">
        <is>
          <t>20231011</t>
        </is>
      </c>
      <c r="P414" t="inlineStr">
        <is>
          <t>Kepulauan Riau</t>
        </is>
      </c>
      <c r="Q414" t="inlineStr"/>
    </row>
    <row r="415">
      <c r="A415" t="inlineStr">
        <is>
          <t>KARUNIA ANUGERAH PUTERA</t>
        </is>
      </c>
      <c r="B415" t="inlineStr">
        <is>
          <t>Kota Medan</t>
        </is>
      </c>
      <c r="C415" t="inlineStr">
        <is>
          <t>08115416491</t>
        </is>
      </c>
      <c r="D415" t="inlineStr">
        <is>
          <t>kappt08@gmail.com</t>
        </is>
      </c>
      <c r="E415" t="inlineStr">
        <is>
          <t>https://lpjk.pu.go.id/search-badan-usaha-detail/TUluRWg3K2NCNi9STlpRNjZudG5Cdz09</t>
        </is>
      </c>
      <c r="F415" t="n">
        <v>1</v>
      </c>
      <c r="G415" t="inlineStr">
        <is>
          <t>BG001</t>
        </is>
      </c>
      <c r="H415" t="inlineStr">
        <is>
          <t>17 September 2010</t>
        </is>
      </c>
      <c r="I415" s="2" t="n">
        <v>46308</v>
      </c>
      <c r="J415" t="inlineStr">
        <is>
          <t>Pencabutan</t>
        </is>
      </c>
      <c r="K415" t="n">
        <v>60</v>
      </c>
      <c r="L415" t="inlineStr">
        <is>
          <t>13 Oktober 2026</t>
        </is>
      </c>
      <c r="M415" t="inlineStr">
        <is>
          <t>Konstruksi Gedung Hunian</t>
        </is>
      </c>
      <c r="N415" t="inlineStr">
        <is>
          <t>K</t>
        </is>
      </c>
      <c r="O415" t="inlineStr">
        <is>
          <t>20231012</t>
        </is>
      </c>
      <c r="P415" t="inlineStr">
        <is>
          <t>Sumatera Utara</t>
        </is>
      </c>
      <c r="Q415" t="inlineStr"/>
    </row>
    <row r="416">
      <c r="A416" t="inlineStr">
        <is>
          <t>KARUNIA LAND</t>
        </is>
      </c>
      <c r="B416" t="inlineStr">
        <is>
          <t>Kab. Sidoarjo</t>
        </is>
      </c>
      <c r="C416" t="inlineStr">
        <is>
          <t>0318674460</t>
        </is>
      </c>
      <c r="D416" t="inlineStr">
        <is>
          <t>karunialandlegal@gmail.com</t>
        </is>
      </c>
      <c r="E416" t="inlineStr">
        <is>
          <t>https://lpjk.pu.go.id/search-badan-usaha-detail/WGpxTXlBdjFlcktxZ1pxYTJTTzhIQT09</t>
        </is>
      </c>
      <c r="F416" t="n">
        <v>1</v>
      </c>
      <c r="G416" t="inlineStr">
        <is>
          <t>BG001</t>
        </is>
      </c>
      <c r="H416" t="inlineStr">
        <is>
          <t>18 Agustus 2021</t>
        </is>
      </c>
      <c r="I416" s="2" t="n">
        <v>46313</v>
      </c>
      <c r="J416" t="inlineStr">
        <is>
          <t>Disetujui</t>
        </is>
      </c>
      <c r="K416" t="n">
        <v>60</v>
      </c>
      <c r="L416" t="inlineStr">
        <is>
          <t>18 Oktober 2026</t>
        </is>
      </c>
      <c r="M416" t="inlineStr">
        <is>
          <t>Konstruksi Gedung Hunian</t>
        </is>
      </c>
      <c r="N416" t="inlineStr">
        <is>
          <t>K</t>
        </is>
      </c>
      <c r="O416" t="inlineStr">
        <is>
          <t>20231012</t>
        </is>
      </c>
      <c r="P416" t="inlineStr">
        <is>
          <t>Jawa Timur</t>
        </is>
      </c>
      <c r="Q416" t="inlineStr"/>
    </row>
    <row r="417">
      <c r="A417" t="inlineStr">
        <is>
          <t>KARYA ABADI SENTOSA</t>
        </is>
      </c>
      <c r="B417" t="inlineStr">
        <is>
          <t>Kab. Kotawaringin Timur</t>
        </is>
      </c>
      <c r="C417" t="inlineStr">
        <is>
          <t>053123494</t>
        </is>
      </c>
      <c r="D417" t="inlineStr">
        <is>
          <t>kas.sampit@yahoo.com</t>
        </is>
      </c>
      <c r="E417" t="inlineStr">
        <is>
          <t>https://lpjk.pu.go.id/search-badan-usaha-detail/SlhSc3RLVG9UOFZybCszTFhvN1hwQT09</t>
        </is>
      </c>
      <c r="F417" t="n">
        <v>1</v>
      </c>
      <c r="G417" t="inlineStr">
        <is>
          <t>BS001</t>
        </is>
      </c>
      <c r="H417" t="inlineStr">
        <is>
          <t>7 Oktober 2015</t>
        </is>
      </c>
      <c r="I417" s="2" t="n">
        <v>46310</v>
      </c>
      <c r="J417" t="inlineStr">
        <is>
          <t>Disetujui</t>
        </is>
      </c>
      <c r="K417" t="n">
        <v>60</v>
      </c>
      <c r="L417" t="inlineStr">
        <is>
          <t>15 Oktober 2026</t>
        </is>
      </c>
      <c r="M417" t="inlineStr">
        <is>
          <t>Konstruksi Bangunan Sipil Jalan</t>
        </is>
      </c>
      <c r="N417" t="inlineStr">
        <is>
          <t>K</t>
        </is>
      </c>
      <c r="O417" t="inlineStr">
        <is>
          <t>20231011</t>
        </is>
      </c>
      <c r="P417" t="inlineStr">
        <is>
          <t>Kalimantan Tengah</t>
        </is>
      </c>
      <c r="Q417" t="inlineStr"/>
    </row>
    <row r="418">
      <c r="A418" t="inlineStr">
        <is>
          <t>KARYA AGI</t>
        </is>
      </c>
      <c r="B418" t="inlineStr">
        <is>
          <t>Kota Padang</t>
        </is>
      </c>
      <c r="C418" t="inlineStr">
        <is>
          <t>08126789604</t>
        </is>
      </c>
      <c r="D418" t="inlineStr">
        <is>
          <t>ptkaria_agi@yahoo.com</t>
        </is>
      </c>
      <c r="E418" t="inlineStr">
        <is>
          <t>https://lpjk.pu.go.id/search-badan-usaha-detail/ZEtZTC9HUmJBMCtKM1FsRkdGVEFyUT09</t>
        </is>
      </c>
      <c r="F418" t="n">
        <v>3</v>
      </c>
      <c r="G418" t="inlineStr">
        <is>
          <t>BG002, BG003, BG006</t>
        </is>
      </c>
      <c r="H418" t="inlineStr">
        <is>
          <t>23 Agustus 2011</t>
        </is>
      </c>
      <c r="I418" s="2" t="n">
        <v>46307</v>
      </c>
      <c r="J418" t="inlineStr">
        <is>
          <t>Pencabutan</t>
        </is>
      </c>
      <c r="K418" t="n">
        <v>60</v>
      </c>
      <c r="L418" t="inlineStr">
        <is>
          <t>12 Oktober 2026</t>
        </is>
      </c>
      <c r="M418" t="inlineStr">
        <is>
          <t>Konstruksi Gedung Industri, Konstruksi Gedung Pendidikan, Konstruksi Gedung Perkantoran</t>
        </is>
      </c>
      <c r="N418" t="inlineStr">
        <is>
          <t>K</t>
        </is>
      </c>
      <c r="O418" t="inlineStr">
        <is>
          <t>20230922</t>
        </is>
      </c>
      <c r="P418" t="inlineStr">
        <is>
          <t>Sumatera Barat</t>
        </is>
      </c>
      <c r="Q418" t="inlineStr"/>
    </row>
    <row r="419">
      <c r="A419" t="inlineStr">
        <is>
          <t>KARYA BAJATAMA RAYA</t>
        </is>
      </c>
      <c r="B419" t="inlineStr">
        <is>
          <t>Kota Adm. Jakarta Barat</t>
        </is>
      </c>
      <c r="C419" t="inlineStr">
        <is>
          <t>02154353070</t>
        </is>
      </c>
      <c r="D419" t="inlineStr">
        <is>
          <t>pt.karyabajatama.raya@gmail.com</t>
        </is>
      </c>
      <c r="E419" t="inlineStr">
        <is>
          <t>https://lpjk.pu.go.id/search-badan-usaha-detail/VXF2NVZwYzViRjZxcEE5WVg0UzRLUT09</t>
        </is>
      </c>
      <c r="F419" t="n">
        <v>3</v>
      </c>
      <c r="G419" t="inlineStr">
        <is>
          <t>BG001, BG002, BG003</t>
        </is>
      </c>
      <c r="H419" t="inlineStr">
        <is>
          <t>25 Februari 2009</t>
        </is>
      </c>
      <c r="I419" s="2" t="n">
        <v>46309</v>
      </c>
      <c r="J419" t="inlineStr">
        <is>
          <t>Pembekuan</t>
        </is>
      </c>
      <c r="K419" t="n">
        <v>60</v>
      </c>
      <c r="L419" t="inlineStr">
        <is>
          <t>14 Oktober 2026</t>
        </is>
      </c>
      <c r="M419" t="inlineStr">
        <is>
          <t>Konstruksi Gedung Hunian, Konstruksi Gedung Industri, Konstruksi Gedung Perkantoran</t>
        </is>
      </c>
      <c r="N419" t="inlineStr">
        <is>
          <t>M</t>
        </is>
      </c>
      <c r="O419" t="inlineStr">
        <is>
          <t>20231005</t>
        </is>
      </c>
      <c r="P419" t="inlineStr">
        <is>
          <t>DKI Jakarta</t>
        </is>
      </c>
      <c r="Q419" t="inlineStr"/>
    </row>
    <row r="420">
      <c r="A420" t="inlineStr">
        <is>
          <t>KARYA BANGUN NASIONAL</t>
        </is>
      </c>
      <c r="B420" t="inlineStr">
        <is>
          <t>Kota Pekalongan</t>
        </is>
      </c>
      <c r="C420" t="inlineStr">
        <is>
          <t>085729905066</t>
        </is>
      </c>
      <c r="D420" t="inlineStr">
        <is>
          <t>pt.Karyabangunnasional99@gmail.com</t>
        </is>
      </c>
      <c r="E420" t="inlineStr">
        <is>
          <t>https://lpjk.pu.go.id/search-badan-usaha-detail/ZFpSeThUNDI5YzVpZWRMa3BKUEJIZz09</t>
        </is>
      </c>
      <c r="F420" t="n">
        <v>1</v>
      </c>
      <c r="G420" t="inlineStr">
        <is>
          <t>BS010</t>
        </is>
      </c>
      <c r="H420" t="inlineStr">
        <is>
          <t>28 Agustus 2015</t>
        </is>
      </c>
      <c r="I420" s="2" t="n">
        <v>46312</v>
      </c>
      <c r="J420" t="inlineStr">
        <is>
          <t>Disetujui</t>
        </is>
      </c>
      <c r="K420" t="n">
        <v>60</v>
      </c>
      <c r="L420" t="inlineStr">
        <is>
          <t>17 Oktober 2026</t>
        </is>
      </c>
      <c r="M420" t="inlineStr">
        <is>
          <t>Konstruksi Bangunan Prasarana Sumber Daya Air</t>
        </is>
      </c>
      <c r="N420" t="inlineStr">
        <is>
          <t>K</t>
        </is>
      </c>
      <c r="O420" t="inlineStr">
        <is>
          <t>20231016</t>
        </is>
      </c>
      <c r="P420" t="inlineStr">
        <is>
          <t>Jawa Tengah</t>
        </is>
      </c>
      <c r="Q420" t="inlineStr"/>
    </row>
    <row r="421">
      <c r="A421" t="inlineStr">
        <is>
          <t>KARYA BERSAUDARA</t>
        </is>
      </c>
      <c r="B421" t="inlineStr">
        <is>
          <t>Kab. Kolaka Timur</t>
        </is>
      </c>
      <c r="C421" t="inlineStr">
        <is>
          <t>085299343310</t>
        </is>
      </c>
      <c r="D421" t="inlineStr">
        <is>
          <t>karyabersaudara3@gmail.com</t>
        </is>
      </c>
      <c r="E421" t="inlineStr">
        <is>
          <t>https://lpjk.pu.go.id/search-badan-usaha-detail/VXJIdEFiTmlwK0k1Yk9iMDVKUmZ4dz09</t>
        </is>
      </c>
      <c r="F421" t="n">
        <v>1</v>
      </c>
      <c r="G421" t="inlineStr">
        <is>
          <t>BG008</t>
        </is>
      </c>
      <c r="H421" t="inlineStr">
        <is>
          <t>1 Januari 2018</t>
        </is>
      </c>
      <c r="I421" s="2" t="n">
        <v>46313</v>
      </c>
      <c r="J421" t="inlineStr">
        <is>
          <t>Disetujui</t>
        </is>
      </c>
      <c r="K421" t="n">
        <v>60</v>
      </c>
      <c r="L421" t="inlineStr">
        <is>
          <t>18 Oktober 2026</t>
        </is>
      </c>
      <c r="M421" t="inlineStr">
        <is>
          <t>Konstruksi Gedung Tempat Hiburan dan Olahraga</t>
        </is>
      </c>
      <c r="N421" t="inlineStr">
        <is>
          <t>K</t>
        </is>
      </c>
      <c r="O421" t="inlineStr">
        <is>
          <t>20231014</t>
        </is>
      </c>
      <c r="P421" t="inlineStr">
        <is>
          <t>Sulawesi Tenggara</t>
        </is>
      </c>
      <c r="Q421" t="inlineStr"/>
    </row>
    <row r="422">
      <c r="A422" t="inlineStr">
        <is>
          <t>KARYA KASARI KONSULTAN</t>
        </is>
      </c>
      <c r="B422" t="inlineStr">
        <is>
          <t>Kab. Agam</t>
        </is>
      </c>
      <c r="C422" t="inlineStr">
        <is>
          <t>08126772662</t>
        </is>
      </c>
      <c r="D422" t="inlineStr">
        <is>
          <t>cv.karyakasarikonsultan@gmail.com</t>
        </is>
      </c>
      <c r="E422" t="inlineStr">
        <is>
          <t>https://lpjk.pu.go.id/search-badan-usaha-detail/VkhJZ0VqQ3lZeTNXdGZ3d01nZWlJQT09</t>
        </is>
      </c>
      <c r="F422" t="n">
        <v>2</v>
      </c>
      <c r="G422" t="inlineStr">
        <is>
          <t>RK001, RK002</t>
        </is>
      </c>
      <c r="H422" t="inlineStr">
        <is>
          <t>9 Januari 2012</t>
        </is>
      </c>
      <c r="I422" s="2" t="n">
        <v>46312</v>
      </c>
      <c r="J422" t="inlineStr">
        <is>
          <t>Disetujui</t>
        </is>
      </c>
      <c r="K422" t="n">
        <v>60</v>
      </c>
      <c r="L422" t="inlineStr">
        <is>
          <t>17 Oktober 2026</t>
        </is>
      </c>
      <c r="M422" t="inlineStr">
        <is>
          <t>Jasa Rekayasa Konstruksi Bangunan Gedung Hunian dan Non Hunian, Jasa Rekayasa Pekerjaan Teknik Sipil Sumber Daya Air</t>
        </is>
      </c>
      <c r="N422" t="inlineStr">
        <is>
          <t>K</t>
        </is>
      </c>
      <c r="O422" t="inlineStr">
        <is>
          <t>20230921</t>
        </is>
      </c>
      <c r="P422" t="inlineStr">
        <is>
          <t>Sumatera Barat</t>
        </is>
      </c>
      <c r="Q422" t="inlineStr"/>
    </row>
    <row r="423">
      <c r="A423" t="inlineStr">
        <is>
          <t>KARYA KHARISMA ENDAH</t>
        </is>
      </c>
      <c r="B423" t="inlineStr">
        <is>
          <t>Kab. Kotawaringin Barat</t>
        </is>
      </c>
      <c r="C423" t="inlineStr">
        <is>
          <t>082157754370</t>
        </is>
      </c>
      <c r="D423" t="inlineStr">
        <is>
          <t>karyakharismaendah21@gmail.com</t>
        </is>
      </c>
      <c r="E423" t="inlineStr">
        <is>
          <t>https://lpjk.pu.go.id/search-badan-usaha-detail/V0toK1duQTcrMkREWXh0SVF6dzh4UT09</t>
        </is>
      </c>
      <c r="F423" t="n">
        <v>1</v>
      </c>
      <c r="G423" t="inlineStr">
        <is>
          <t>BG009</t>
        </is>
      </c>
      <c r="H423" t="inlineStr">
        <is>
          <t>30 Juli 2013</t>
        </is>
      </c>
      <c r="I423" s="2" t="n">
        <v>46308</v>
      </c>
      <c r="J423" t="inlineStr">
        <is>
          <t>Disetujui</t>
        </is>
      </c>
      <c r="K423" t="n">
        <v>60</v>
      </c>
      <c r="L423" t="inlineStr">
        <is>
          <t>13 Oktober 2026</t>
        </is>
      </c>
      <c r="M423" t="inlineStr">
        <is>
          <t>Konstruksi Gedung Lainnya</t>
        </is>
      </c>
      <c r="N423" t="inlineStr">
        <is>
          <t>K</t>
        </is>
      </c>
      <c r="O423" t="inlineStr">
        <is>
          <t>20231013</t>
        </is>
      </c>
      <c r="P423" t="inlineStr">
        <is>
          <t>Kalimantan Tengah</t>
        </is>
      </c>
      <c r="Q423" t="inlineStr"/>
    </row>
    <row r="424">
      <c r="A424" t="inlineStr">
        <is>
          <t>KARYA MAJU UTAMA</t>
        </is>
      </c>
      <c r="B424" t="inlineStr">
        <is>
          <t>Kota Palembang</t>
        </is>
      </c>
      <c r="C424" t="inlineStr">
        <is>
          <t>081273724366</t>
        </is>
      </c>
      <c r="D424" t="inlineStr">
        <is>
          <t>ptkmupalembang@gmail.com</t>
        </is>
      </c>
      <c r="E424" t="inlineStr">
        <is>
          <t>https://lpjk.pu.go.id/search-badan-usaha-detail/RzB3KzA4empmemFmbWpiNWxIcUNGZz09</t>
        </is>
      </c>
      <c r="F424" t="n">
        <v>1</v>
      </c>
      <c r="G424" t="inlineStr">
        <is>
          <t>BS001</t>
        </is>
      </c>
      <c r="H424" t="inlineStr">
        <is>
          <t>19 Oktober 1984</t>
        </is>
      </c>
      <c r="I424" s="2" t="n">
        <v>46311</v>
      </c>
      <c r="J424" t="inlineStr">
        <is>
          <t>Pencabutan</t>
        </is>
      </c>
      <c r="K424" t="n">
        <v>60</v>
      </c>
      <c r="L424" t="inlineStr">
        <is>
          <t>16 Oktober 2026</t>
        </is>
      </c>
      <c r="M424" t="inlineStr">
        <is>
          <t>Konstruksi Bangunan Sipil Jalan</t>
        </is>
      </c>
      <c r="N424" t="inlineStr">
        <is>
          <t>M</t>
        </is>
      </c>
      <c r="O424" t="inlineStr">
        <is>
          <t>20220614</t>
        </is>
      </c>
      <c r="P424" t="inlineStr">
        <is>
          <t>Sumatera Selatan</t>
        </is>
      </c>
      <c r="Q424" t="inlineStr"/>
    </row>
    <row r="425">
      <c r="A425" t="inlineStr">
        <is>
          <t>KARYA MANDIRI VERANA</t>
        </is>
      </c>
      <c r="B425" t="inlineStr">
        <is>
          <t>Kab. Kutai Timur</t>
        </is>
      </c>
      <c r="C425" t="inlineStr">
        <is>
          <t>08122444506</t>
        </is>
      </c>
      <c r="D425" t="inlineStr">
        <is>
          <t>pt.karyamandiriverana@gmail.com</t>
        </is>
      </c>
      <c r="E425" t="inlineStr">
        <is>
          <t>https://lpjk.pu.go.id/search-badan-usaha-detail/Z2I3ZTZSUDc4RVdCdVduN0tZTjc5QT09</t>
        </is>
      </c>
      <c r="F425" t="n">
        <v>2</v>
      </c>
      <c r="G425" t="inlineStr">
        <is>
          <t>BG002, BG009</t>
        </is>
      </c>
      <c r="H425" t="inlineStr">
        <is>
          <t>17 Maret 2014</t>
        </is>
      </c>
      <c r="I425" s="2" t="n">
        <v>46310</v>
      </c>
      <c r="J425" t="inlineStr">
        <is>
          <t>Disetujui</t>
        </is>
      </c>
      <c r="K425" t="n">
        <v>60</v>
      </c>
      <c r="L425" t="inlineStr">
        <is>
          <t>15 Oktober 2026</t>
        </is>
      </c>
      <c r="M425" t="inlineStr">
        <is>
          <t>Konstruksi Gedung Lainnya, Konstruksi Gedung Perkantoran</t>
        </is>
      </c>
      <c r="N425" t="inlineStr">
        <is>
          <t>K</t>
        </is>
      </c>
      <c r="O425" t="inlineStr">
        <is>
          <t>20231012</t>
        </is>
      </c>
      <c r="P425" t="inlineStr">
        <is>
          <t>Kalimantan Timur</t>
        </is>
      </c>
      <c r="Q425" t="inlineStr"/>
    </row>
    <row r="426">
      <c r="A426" t="inlineStr">
        <is>
          <t>KARYA MANGLID</t>
        </is>
      </c>
      <c r="B426" t="inlineStr">
        <is>
          <t>Kab. Bandung</t>
        </is>
      </c>
      <c r="C426" t="inlineStr">
        <is>
          <t>082129120174</t>
        </is>
      </c>
      <c r="D426" t="inlineStr">
        <is>
          <t>karyamanglid.cv@yahoo.com</t>
        </is>
      </c>
      <c r="E426" t="inlineStr">
        <is>
          <t>https://lpjk.pu.go.id/search-badan-usaha-detail/VDM0Q0RSeU0vTTFQbU9qUFFHK0hsUT09</t>
        </is>
      </c>
      <c r="F426" t="n">
        <v>1</v>
      </c>
      <c r="G426" t="inlineStr">
        <is>
          <t>PL005</t>
        </is>
      </c>
      <c r="H426" t="inlineStr">
        <is>
          <t>26 Oktober 2016</t>
        </is>
      </c>
      <c r="I426" s="2" t="n">
        <v>46308</v>
      </c>
      <c r="J426" t="inlineStr">
        <is>
          <t>Pembekuan</t>
        </is>
      </c>
      <c r="K426" t="n">
        <v>60</v>
      </c>
      <c r="L426" t="inlineStr">
        <is>
          <t>13 Oktober 2026</t>
        </is>
      </c>
      <c r="M426" t="inlineStr">
        <is>
          <t>Pembuatan/Pengeboran Sumur Air Tanah</t>
        </is>
      </c>
      <c r="N426" t="inlineStr">
        <is>
          <t>Spesialis</t>
        </is>
      </c>
      <c r="O426" t="inlineStr">
        <is>
          <t>20231013</t>
        </is>
      </c>
      <c r="P426" t="inlineStr">
        <is>
          <t>Jawa Barat</t>
        </is>
      </c>
      <c r="Q426" t="inlineStr"/>
    </row>
    <row r="427">
      <c r="A427" t="inlineStr">
        <is>
          <t>KARYA MUKTI</t>
        </is>
      </c>
      <c r="B427" t="inlineStr">
        <is>
          <t>Kota Magelang</t>
        </is>
      </c>
      <c r="C427" t="inlineStr">
        <is>
          <t>0293312413</t>
        </is>
      </c>
      <c r="D427" t="inlineStr">
        <is>
          <t>cvkaryamukti2002@gmail.com</t>
        </is>
      </c>
      <c r="E427" t="inlineStr">
        <is>
          <t>https://lpjk.pu.go.id/search-badan-usaha-detail/bGlYYnh6TVBlK00zVUhiUllaM3dnQT09</t>
        </is>
      </c>
      <c r="F427" t="n">
        <v>5</v>
      </c>
      <c r="G427" t="inlineStr">
        <is>
          <t>BG002, BG006, BG009, BS001, BS004</t>
        </is>
      </c>
      <c r="H427" t="inlineStr">
        <is>
          <t>22 April 2002</t>
        </is>
      </c>
      <c r="I427" s="2" t="n">
        <v>46312</v>
      </c>
      <c r="J427" t="inlineStr">
        <is>
          <t>Disetujui</t>
        </is>
      </c>
      <c r="K427" t="n">
        <v>60</v>
      </c>
      <c r="L427" t="inlineStr">
        <is>
          <t>17 Oktober 2026</t>
        </is>
      </c>
      <c r="M427" t="inlineStr">
        <is>
          <t>Konstruksi Bangunan Sipil Jalan, Konstruksi Gedung Lainnya, Konstruksi Gedung Pendidikan, Konstruksi Gedung Perkantoran, Konstruksi Jaringan Irigasi dan Drainase</t>
        </is>
      </c>
      <c r="N427" t="inlineStr">
        <is>
          <t>K</t>
        </is>
      </c>
      <c r="O427" t="inlineStr">
        <is>
          <t>20231012</t>
        </is>
      </c>
      <c r="P427" t="inlineStr">
        <is>
          <t>Jawa Tengah</t>
        </is>
      </c>
      <c r="Q427" t="inlineStr"/>
    </row>
    <row r="428">
      <c r="A428" t="inlineStr">
        <is>
          <t>KARYA MUKTI</t>
        </is>
      </c>
      <c r="B428" t="inlineStr">
        <is>
          <t>Kab. Bojonegoro</t>
        </is>
      </c>
      <c r="C428" t="inlineStr">
        <is>
          <t>082233729676</t>
        </is>
      </c>
      <c r="D428" t="inlineStr">
        <is>
          <t>karya_mukticv@yahoo.co.id</t>
        </is>
      </c>
      <c r="E428" t="inlineStr">
        <is>
          <t>https://lpjk.pu.go.id/search-badan-usaha-detail/SFVEdkVrYURScFd1ZXdQQzZiY2Mrdz09</t>
        </is>
      </c>
      <c r="F428" t="n">
        <v>1</v>
      </c>
      <c r="G428" t="inlineStr">
        <is>
          <t>BS001</t>
        </is>
      </c>
      <c r="H428" t="inlineStr">
        <is>
          <t>21 November 2012</t>
        </is>
      </c>
      <c r="I428" s="2" t="n">
        <v>46313</v>
      </c>
      <c r="J428" t="inlineStr">
        <is>
          <t>Disetujui</t>
        </is>
      </c>
      <c r="K428" t="n">
        <v>60</v>
      </c>
      <c r="L428" t="inlineStr">
        <is>
          <t>18 Oktober 2026</t>
        </is>
      </c>
      <c r="M428" t="inlineStr">
        <is>
          <t>Konstruksi Bangunan Sipil Jalan</t>
        </is>
      </c>
      <c r="N428" t="inlineStr">
        <is>
          <t>K</t>
        </is>
      </c>
      <c r="O428" t="inlineStr">
        <is>
          <t>20231019</t>
        </is>
      </c>
      <c r="P428" t="inlineStr">
        <is>
          <t>Jawa Timur</t>
        </is>
      </c>
      <c r="Q428" t="inlineStr"/>
    </row>
    <row r="429">
      <c r="A429" t="inlineStr">
        <is>
          <t>KARYA MUKTI UTAMA</t>
        </is>
      </c>
      <c r="B429" t="inlineStr">
        <is>
          <t>Kab. Kuningan</t>
        </is>
      </c>
      <c r="C429" t="inlineStr">
        <is>
          <t>081222627772</t>
        </is>
      </c>
      <c r="D429" t="inlineStr">
        <is>
          <t>karyamuktiutama.pt@gmail.com</t>
        </is>
      </c>
      <c r="E429" t="inlineStr">
        <is>
          <t>https://lpjk.pu.go.id/search-badan-usaha-detail/ZDY2bXIxajNtV2hlRXlYdU10eGd4dz09</t>
        </is>
      </c>
      <c r="F429" t="n">
        <v>1</v>
      </c>
      <c r="G429" t="inlineStr">
        <is>
          <t>BG002</t>
        </is>
      </c>
      <c r="H429" t="inlineStr">
        <is>
          <t>3 Februari 1981</t>
        </is>
      </c>
      <c r="I429" s="2" t="n">
        <v>46311</v>
      </c>
      <c r="J429" t="inlineStr">
        <is>
          <t>Disetujui</t>
        </is>
      </c>
      <c r="K429" t="n">
        <v>60</v>
      </c>
      <c r="L429" t="inlineStr">
        <is>
          <t>16 Oktober 2026</t>
        </is>
      </c>
      <c r="M429" t="inlineStr">
        <is>
          <t>Konstruksi Gedung Perkantoran</t>
        </is>
      </c>
      <c r="N429" t="inlineStr">
        <is>
          <t>K</t>
        </is>
      </c>
      <c r="O429" t="inlineStr">
        <is>
          <t>20230614</t>
        </is>
      </c>
      <c r="P429" t="inlineStr">
        <is>
          <t>Jawa Barat</t>
        </is>
      </c>
      <c r="Q429" t="inlineStr"/>
    </row>
    <row r="430">
      <c r="A430" t="inlineStr">
        <is>
          <t>KARYA MULTI PRIMA</t>
        </is>
      </c>
      <c r="B430" t="inlineStr">
        <is>
          <t>Kota Adm. Jakarta Barat</t>
        </is>
      </c>
      <c r="C430" t="inlineStr">
        <is>
          <t>0215803280</t>
        </is>
      </c>
      <c r="D430" t="inlineStr">
        <is>
          <t>karyamultiprima.finance@gmail.com</t>
        </is>
      </c>
      <c r="E430" t="inlineStr">
        <is>
          <t>https://lpjk.pu.go.id/search-badan-usaha-detail/UjBBMzJHM25seXY5TGI5VzFYR3dRZz09</t>
        </is>
      </c>
      <c r="F430" t="n">
        <v>1</v>
      </c>
      <c r="G430" t="inlineStr">
        <is>
          <t>BS002</t>
        </is>
      </c>
      <c r="H430" t="inlineStr">
        <is>
          <t>18 Februari 2005</t>
        </is>
      </c>
      <c r="I430" s="2" t="n">
        <v>46307</v>
      </c>
      <c r="J430" t="inlineStr">
        <is>
          <t>Disetujui</t>
        </is>
      </c>
      <c r="K430" t="n">
        <v>60</v>
      </c>
      <c r="L430" t="inlineStr">
        <is>
          <t>12 Oktober 2026</t>
        </is>
      </c>
      <c r="M430" t="inlineStr">
        <is>
          <t>Bangunan Sipil Jembatan, Jalan Layang, Fly Over, dan Underpass</t>
        </is>
      </c>
      <c r="N430" t="inlineStr">
        <is>
          <t>K</t>
        </is>
      </c>
      <c r="O430" t="inlineStr">
        <is>
          <t>20231009</t>
        </is>
      </c>
      <c r="P430" t="inlineStr">
        <is>
          <t>DKI Jakarta</t>
        </is>
      </c>
      <c r="Q430" t="inlineStr"/>
    </row>
    <row r="431">
      <c r="A431" t="inlineStr">
        <is>
          <t>KARYA NATAMA</t>
        </is>
      </c>
      <c r="B431" t="inlineStr">
        <is>
          <t>Kota Medan</t>
        </is>
      </c>
      <c r="C431" t="inlineStr">
        <is>
          <t>082279856026</t>
        </is>
      </c>
      <c r="D431" t="inlineStr">
        <is>
          <t>ckaryanatama@gmail.com</t>
        </is>
      </c>
      <c r="E431" t="inlineStr">
        <is>
          <t>https://lpjk.pu.go.id/search-badan-usaha-detail/UUp3TFVQRzRyV3Y1WlJQb29hV2p6QT09</t>
        </is>
      </c>
      <c r="F431" t="n">
        <v>1</v>
      </c>
      <c r="G431" t="inlineStr">
        <is>
          <t>BS001</t>
        </is>
      </c>
      <c r="H431" t="inlineStr">
        <is>
          <t>17 September 2019</t>
        </is>
      </c>
      <c r="I431" s="2" t="n">
        <v>46312</v>
      </c>
      <c r="J431" t="inlineStr">
        <is>
          <t>Pencabutan</t>
        </is>
      </c>
      <c r="K431" t="n">
        <v>60</v>
      </c>
      <c r="L431" t="inlineStr">
        <is>
          <t>17 Oktober 2026</t>
        </is>
      </c>
      <c r="M431" t="inlineStr">
        <is>
          <t>Konstruksi Bangunan Sipil Jalan</t>
        </is>
      </c>
      <c r="N431" t="inlineStr">
        <is>
          <t>K</t>
        </is>
      </c>
      <c r="O431" t="inlineStr">
        <is>
          <t>20231017</t>
        </is>
      </c>
      <c r="P431" t="inlineStr">
        <is>
          <t>Sumatera Utara</t>
        </is>
      </c>
      <c r="Q431" t="inlineStr"/>
    </row>
    <row r="432">
      <c r="A432" t="inlineStr">
        <is>
          <t>KARYA PRIMA CIPTA UTAMA</t>
        </is>
      </c>
      <c r="B432" t="inlineStr">
        <is>
          <t>Kota Denpasar</t>
        </is>
      </c>
      <c r="C432" t="inlineStr">
        <is>
          <t>0361227279</t>
        </is>
      </c>
      <c r="D432" t="inlineStr">
        <is>
          <t>mail.kpcu@gmail.com</t>
        </is>
      </c>
      <c r="E432" t="inlineStr">
        <is>
          <t>https://lpjk.pu.go.id/search-badan-usaha-detail/ZkpRNnNOMkVvS0RsTERoQUUwTzZzdz09</t>
        </is>
      </c>
      <c r="F432" t="n">
        <v>1</v>
      </c>
      <c r="G432" t="inlineStr">
        <is>
          <t>KK014</t>
        </is>
      </c>
      <c r="H432" t="inlineStr">
        <is>
          <t>5 Juni 1999</t>
        </is>
      </c>
      <c r="I432" s="2" t="n">
        <v>46308</v>
      </c>
      <c r="J432" t="inlineStr">
        <is>
          <t>Disetujui</t>
        </is>
      </c>
      <c r="K432" t="n">
        <v>60</v>
      </c>
      <c r="L432" t="inlineStr">
        <is>
          <t>13 Oktober 2026</t>
        </is>
      </c>
      <c r="M432" t="inlineStr">
        <is>
          <t>Konstruksi Terowongan</t>
        </is>
      </c>
      <c r="N432" t="inlineStr">
        <is>
          <t>Spesialis</t>
        </is>
      </c>
      <c r="O432" t="inlineStr">
        <is>
          <t>20231011</t>
        </is>
      </c>
      <c r="P432" t="inlineStr">
        <is>
          <t>Bali</t>
        </is>
      </c>
      <c r="Q432" t="inlineStr"/>
    </row>
    <row r="433">
      <c r="A433" t="inlineStr">
        <is>
          <t>KARYA SEJATI</t>
        </is>
      </c>
      <c r="B433" t="inlineStr">
        <is>
          <t>Kab. Banyuwangi</t>
        </is>
      </c>
      <c r="C433" t="inlineStr">
        <is>
          <t>0812 5248 8488</t>
        </is>
      </c>
      <c r="D433" t="inlineStr">
        <is>
          <t>kary4.sejati@gmail.com</t>
        </is>
      </c>
      <c r="E433" t="inlineStr">
        <is>
          <t>https://lpjk.pu.go.id/search-badan-usaha-detail/YTlYR0RTRWhkRWxUc1oxc1B5QlNPdz09</t>
        </is>
      </c>
      <c r="F433" t="n">
        <v>1</v>
      </c>
      <c r="G433" t="inlineStr">
        <is>
          <t>BS001</t>
        </is>
      </c>
      <c r="H433" t="inlineStr">
        <is>
          <t>30 Mei 2000</t>
        </is>
      </c>
      <c r="I433" s="2" t="n">
        <v>46312</v>
      </c>
      <c r="J433" t="inlineStr">
        <is>
          <t>Disetujui</t>
        </is>
      </c>
      <c r="K433" t="n">
        <v>60</v>
      </c>
      <c r="L433" t="inlineStr">
        <is>
          <t>17 Oktober 2026</t>
        </is>
      </c>
      <c r="M433" t="inlineStr">
        <is>
          <t>Konstruksi Bangunan Sipil Jalan</t>
        </is>
      </c>
      <c r="N433" t="inlineStr">
        <is>
          <t>K</t>
        </is>
      </c>
      <c r="O433" t="inlineStr">
        <is>
          <t>20230906</t>
        </is>
      </c>
      <c r="P433" t="inlineStr">
        <is>
          <t>Jawa Timur</t>
        </is>
      </c>
      <c r="Q433" t="inlineStr"/>
    </row>
    <row r="434">
      <c r="A434" t="inlineStr">
        <is>
          <t>KARYA TAPAL BATAS</t>
        </is>
      </c>
      <c r="B434" t="inlineStr">
        <is>
          <t>Kab. Keerom</t>
        </is>
      </c>
      <c r="C434" t="inlineStr">
        <is>
          <t>085254566543</t>
        </is>
      </c>
      <c r="D434" t="inlineStr">
        <is>
          <t>tapalbatask@gmail.com</t>
        </is>
      </c>
      <c r="E434" t="inlineStr">
        <is>
          <t>https://lpjk.pu.go.id/search-badan-usaha-detail/TUt6OEhyTGRIVjN5LzFZSlJsTU03dz09</t>
        </is>
      </c>
      <c r="F434" t="n">
        <v>1</v>
      </c>
      <c r="G434" t="inlineStr">
        <is>
          <t>BG001</t>
        </is>
      </c>
      <c r="H434" t="inlineStr">
        <is>
          <t>16 Agustus 2023</t>
        </is>
      </c>
      <c r="I434" s="2" t="n">
        <v>46310</v>
      </c>
      <c r="J434" t="inlineStr">
        <is>
          <t>Disetujui</t>
        </is>
      </c>
      <c r="K434" t="n">
        <v>60</v>
      </c>
      <c r="L434" t="inlineStr">
        <is>
          <t>15 Oktober 2026</t>
        </is>
      </c>
      <c r="M434" t="inlineStr">
        <is>
          <t>Konstruksi Gedung Hunian</t>
        </is>
      </c>
      <c r="N434" t="inlineStr">
        <is>
          <t>K</t>
        </is>
      </c>
      <c r="O434" t="inlineStr">
        <is>
          <t>20231012</t>
        </is>
      </c>
      <c r="P434" t="inlineStr">
        <is>
          <t>Papua</t>
        </is>
      </c>
      <c r="Q434" t="inlineStr"/>
    </row>
    <row r="435">
      <c r="A435" t="inlineStr">
        <is>
          <t>KARYA UHS INDONESIA</t>
        </is>
      </c>
      <c r="B435" t="inlineStr">
        <is>
          <t>Kota Adm. Jakarta Selatan</t>
        </is>
      </c>
      <c r="C435" t="inlineStr">
        <is>
          <t>02150812002</t>
        </is>
      </c>
      <c r="D435" t="inlineStr">
        <is>
          <t>uhsindonesia@gmail.com</t>
        </is>
      </c>
      <c r="E435" t="inlineStr">
        <is>
          <t>https://lpjk.pu.go.id/search-badan-usaha-detail/ZERJT0liYktaQmFvbWZIWlNGQjNFUT09</t>
        </is>
      </c>
      <c r="F435" t="n">
        <v>1</v>
      </c>
      <c r="G435" t="inlineStr">
        <is>
          <t>PB004</t>
        </is>
      </c>
      <c r="H435" t="inlineStr">
        <is>
          <t>22 September 2021</t>
        </is>
      </c>
      <c r="I435" s="2" t="n">
        <v>46312</v>
      </c>
      <c r="J435" t="inlineStr">
        <is>
          <t>Pencabutan</t>
        </is>
      </c>
      <c r="K435" t="n">
        <v>60</v>
      </c>
      <c r="L435" t="inlineStr">
        <is>
          <t>17 Oktober 2026</t>
        </is>
      </c>
      <c r="M435" t="inlineStr">
        <is>
          <t>Dekorasi Interior</t>
        </is>
      </c>
      <c r="N435" t="inlineStr">
        <is>
          <t>Spesialis</t>
        </is>
      </c>
      <c r="O435" t="inlineStr">
        <is>
          <t>20231013</t>
        </is>
      </c>
      <c r="P435" t="inlineStr">
        <is>
          <t>DKI Jakarta</t>
        </is>
      </c>
      <c r="Q435" t="inlineStr"/>
    </row>
    <row r="436">
      <c r="A436" t="inlineStr">
        <is>
          <t>KAYAKAS GROUP</t>
        </is>
      </c>
      <c r="B436" t="inlineStr">
        <is>
          <t>Kab. Sukabumi</t>
        </is>
      </c>
      <c r="C436" t="inlineStr">
        <is>
          <t>081297298484</t>
        </is>
      </c>
      <c r="D436" t="inlineStr">
        <is>
          <t>kayakasgroup@gmail.com</t>
        </is>
      </c>
      <c r="E436" t="inlineStr">
        <is>
          <t>https://lpjk.pu.go.id/search-badan-usaha-detail/SGF1MjFKQWE2bmNMSTY3bFVMc0tVUT09</t>
        </is>
      </c>
      <c r="F436" t="n">
        <v>6</v>
      </c>
      <c r="G436" t="inlineStr">
        <is>
          <t>BG005, BG006, BS004</t>
        </is>
      </c>
      <c r="H436" t="inlineStr">
        <is>
          <t>17 Maret 2023</t>
        </is>
      </c>
      <c r="I436" s="2" t="n">
        <v>46308</v>
      </c>
      <c r="J436" t="inlineStr">
        <is>
          <t>Disetujui</t>
        </is>
      </c>
      <c r="K436" t="n">
        <v>60</v>
      </c>
      <c r="L436" t="inlineStr">
        <is>
          <t>13 Oktober 2026</t>
        </is>
      </c>
      <c r="M436" t="inlineStr">
        <is>
          <t>Konstruksi Gedung Kesehatan, Konstruksi Gedung Pendidikan, Konstruksi Jaringan Irigasi dan Drainase</t>
        </is>
      </c>
      <c r="N436" t="inlineStr">
        <is>
          <t>K</t>
        </is>
      </c>
      <c r="O436" t="inlineStr">
        <is>
          <t>20231003, 20231012</t>
        </is>
      </c>
      <c r="P436" t="inlineStr">
        <is>
          <t>Jawa Barat</t>
        </is>
      </c>
      <c r="Q436" t="inlineStr"/>
    </row>
    <row r="437">
      <c r="A437" t="inlineStr">
        <is>
          <t>KELUARGA JAYA</t>
        </is>
      </c>
      <c r="B437" t="inlineStr">
        <is>
          <t>Kab. Blora</t>
        </is>
      </c>
      <c r="C437" t="inlineStr">
        <is>
          <t>082136750715</t>
        </is>
      </c>
      <c r="D437" t="inlineStr">
        <is>
          <t>keluargajaya.blora@gmail.com</t>
        </is>
      </c>
      <c r="E437" t="inlineStr">
        <is>
          <t>https://lpjk.pu.go.id/search-badan-usaha-detail/WWZ5ZUs3ZGxIVUprcUQxdk5udVRzdz09</t>
        </is>
      </c>
      <c r="F437" t="n">
        <v>2</v>
      </c>
      <c r="G437" t="inlineStr">
        <is>
          <t>BS002, BS004</t>
        </is>
      </c>
      <c r="H437" t="inlineStr">
        <is>
          <t>24 Januari 1984</t>
        </is>
      </c>
      <c r="I437" s="2" t="n">
        <v>46312</v>
      </c>
      <c r="J437" t="inlineStr">
        <is>
          <t>Disetujui</t>
        </is>
      </c>
      <c r="K437" t="n">
        <v>60</v>
      </c>
      <c r="L437" t="inlineStr">
        <is>
          <t>17 Oktober 2026</t>
        </is>
      </c>
      <c r="M437" t="inlineStr">
        <is>
          <t>Bangunan Sipil Jembatan, Jalan Layang, Fly Over, dan Underpass, Konstruksi Jaringan Irigasi dan Drainase</t>
        </is>
      </c>
      <c r="N437" t="inlineStr">
        <is>
          <t>K</t>
        </is>
      </c>
      <c r="O437" t="inlineStr">
        <is>
          <t>20231013</t>
        </is>
      </c>
      <c r="P437" t="inlineStr">
        <is>
          <t>Jawa Tengah</t>
        </is>
      </c>
      <c r="Q437" t="inlineStr"/>
    </row>
    <row r="438">
      <c r="A438" t="inlineStr">
        <is>
          <t>KEMBANG PRANATA</t>
        </is>
      </c>
      <c r="B438" t="inlineStr">
        <is>
          <t>Kab. Boalemo</t>
        </is>
      </c>
      <c r="C438" t="inlineStr">
        <is>
          <t>085240307976</t>
        </is>
      </c>
      <c r="D438" t="inlineStr">
        <is>
          <t>kembangpranata@gmail.com</t>
        </is>
      </c>
      <c r="E438" t="inlineStr">
        <is>
          <t>https://lpjk.pu.go.id/search-badan-usaha-detail/RDBnWmRCcXUvS3VYaGVQOWdsS3lIQT09</t>
        </is>
      </c>
      <c r="F438" t="n">
        <v>1</v>
      </c>
      <c r="G438" t="inlineStr">
        <is>
          <t>BS001</t>
        </is>
      </c>
      <c r="H438" t="inlineStr">
        <is>
          <t>25 Agustus 2023</t>
        </is>
      </c>
      <c r="I438" s="2" t="n">
        <v>46312</v>
      </c>
      <c r="J438" t="inlineStr">
        <is>
          <t>Disetujui</t>
        </is>
      </c>
      <c r="K438" t="n">
        <v>60</v>
      </c>
      <c r="L438" t="inlineStr">
        <is>
          <t>17 Oktober 2026</t>
        </is>
      </c>
      <c r="M438" t="inlineStr">
        <is>
          <t>Konstruksi Bangunan Sipil Jalan</t>
        </is>
      </c>
      <c r="N438" t="inlineStr">
        <is>
          <t>K</t>
        </is>
      </c>
      <c r="O438" t="inlineStr">
        <is>
          <t>20231017</t>
        </is>
      </c>
      <c r="P438" t="inlineStr">
        <is>
          <t>Gorontalo</t>
        </is>
      </c>
      <c r="Q438" t="inlineStr"/>
    </row>
    <row r="439">
      <c r="A439" t="inlineStr">
        <is>
          <t>KEMBAR MENANTI</t>
        </is>
      </c>
      <c r="B439" t="inlineStr">
        <is>
          <t>Kota Palu</t>
        </is>
      </c>
      <c r="C439" t="inlineStr">
        <is>
          <t>085242535520</t>
        </is>
      </c>
      <c r="D439" t="inlineStr">
        <is>
          <t>kembarmenanti28@gmail.com</t>
        </is>
      </c>
      <c r="E439" t="inlineStr">
        <is>
          <t>https://lpjk.pu.go.id/search-badan-usaha-detail/a01LM1krd216amtIRFF3RzRGREp4UT09</t>
        </is>
      </c>
      <c r="F439" t="n">
        <v>1</v>
      </c>
      <c r="G439" t="inlineStr">
        <is>
          <t>BS001</t>
        </is>
      </c>
      <c r="H439" t="inlineStr">
        <is>
          <t>2 Oktober 2023</t>
        </is>
      </c>
      <c r="I439" s="2" t="n">
        <v>46310</v>
      </c>
      <c r="J439" t="inlineStr">
        <is>
          <t>Disetujui</t>
        </is>
      </c>
      <c r="K439" t="n">
        <v>60</v>
      </c>
      <c r="L439" t="inlineStr">
        <is>
          <t>15 Oktober 2026</t>
        </is>
      </c>
      <c r="M439" t="inlineStr">
        <is>
          <t>Konstruksi Bangunan Sipil Jalan</t>
        </is>
      </c>
      <c r="N439" t="inlineStr">
        <is>
          <t>K</t>
        </is>
      </c>
      <c r="O439" t="inlineStr">
        <is>
          <t>20231015</t>
        </is>
      </c>
      <c r="P439" t="inlineStr">
        <is>
          <t>Sulawesi Tengah</t>
        </is>
      </c>
      <c r="Q439" t="inlineStr"/>
    </row>
    <row r="440">
      <c r="A440" t="inlineStr">
        <is>
          <t>KEMUNING JAYA</t>
        </is>
      </c>
      <c r="B440" t="inlineStr">
        <is>
          <t>Kota Langsa</t>
        </is>
      </c>
      <c r="C440" t="inlineStr">
        <is>
          <t>085373119404</t>
        </is>
      </c>
      <c r="D440" t="inlineStr">
        <is>
          <t>jayakemuning.86@gmail.com</t>
        </is>
      </c>
      <c r="E440" t="inlineStr">
        <is>
          <t>https://lpjk.pu.go.id/search-badan-usaha-detail/dmZzNjhROFhMQ28rVjE3QVR6WHNGK2t6Yi9md0lTOFppWjVSU1lCZlpHWT0</t>
        </is>
      </c>
      <c r="F440" t="n">
        <v>1</v>
      </c>
      <c r="G440" t="inlineStr">
        <is>
          <t>BS001</t>
        </is>
      </c>
      <c r="H440" t="inlineStr">
        <is>
          <t>1 Maret 2023</t>
        </is>
      </c>
      <c r="I440" s="2" t="n">
        <v>46310</v>
      </c>
      <c r="J440" t="inlineStr">
        <is>
          <t>Disetujui</t>
        </is>
      </c>
      <c r="K440" t="n">
        <v>60</v>
      </c>
      <c r="L440" t="inlineStr">
        <is>
          <t>15 Oktober 2026</t>
        </is>
      </c>
      <c r="M440" t="inlineStr">
        <is>
          <t>Konstruksi Bangunan Sipil Jalan</t>
        </is>
      </c>
      <c r="N440" t="inlineStr">
        <is>
          <t>K</t>
        </is>
      </c>
      <c r="O440" t="inlineStr">
        <is>
          <t>20231016</t>
        </is>
      </c>
      <c r="P440" t="inlineStr">
        <is>
          <t>Aceh</t>
        </is>
      </c>
      <c r="Q440" t="inlineStr"/>
    </row>
    <row r="441">
      <c r="A441" t="inlineStr">
        <is>
          <t>KENCANA HUTAMA NUSANTARA</t>
        </is>
      </c>
      <c r="B441" t="inlineStr">
        <is>
          <t>Kab. Pelalawan</t>
        </is>
      </c>
      <c r="C441" t="inlineStr">
        <is>
          <t>085265806258</t>
        </is>
      </c>
      <c r="D441" t="inlineStr">
        <is>
          <t>khn_pt@yahoo.co.id</t>
        </is>
      </c>
      <c r="E441" t="inlineStr">
        <is>
          <t>https://lpjk.pu.go.id/search-badan-usaha-detail/UVFwUERCVlNPSHZaMFNUU09hSDFyZz09</t>
        </is>
      </c>
      <c r="F441" t="n">
        <v>3</v>
      </c>
      <c r="G441" t="inlineStr">
        <is>
          <t>BG001, BS001, BS004</t>
        </is>
      </c>
      <c r="H441" t="inlineStr">
        <is>
          <t>29 Februari 2012</t>
        </is>
      </c>
      <c r="I441" s="2" t="n">
        <v>46307</v>
      </c>
      <c r="J441" t="inlineStr">
        <is>
          <t>Disetujui</t>
        </is>
      </c>
      <c r="K441" t="n">
        <v>60</v>
      </c>
      <c r="L441" t="inlineStr">
        <is>
          <t>12 Oktober 2026</t>
        </is>
      </c>
      <c r="M441" t="inlineStr">
        <is>
          <t>Konstruksi Bangunan Sipil Jalan, Konstruksi Gedung Hunian, Konstruksi Jaringan Irigasi dan Drainase</t>
        </is>
      </c>
      <c r="N441" t="inlineStr">
        <is>
          <t>K</t>
        </is>
      </c>
      <c r="O441" t="inlineStr">
        <is>
          <t>20231005</t>
        </is>
      </c>
      <c r="P441" t="inlineStr">
        <is>
          <t>Riau</t>
        </is>
      </c>
      <c r="Q441" t="inlineStr"/>
    </row>
    <row r="442">
      <c r="A442" t="inlineStr">
        <is>
          <t>KENCANA MAS</t>
        </is>
      </c>
      <c r="B442" t="inlineStr">
        <is>
          <t>Kab. Indramayu</t>
        </is>
      </c>
      <c r="C442" t="inlineStr">
        <is>
          <t>08122218341</t>
        </is>
      </c>
      <c r="D442" t="inlineStr">
        <is>
          <t>kencanamascv13@gmail.com</t>
        </is>
      </c>
      <c r="E442" t="inlineStr">
        <is>
          <t>https://lpjk.pu.go.id/search-badan-usaha-detail/OExCcFBmOXlJRG9kYmt1UnhYVHRWZz09</t>
        </is>
      </c>
      <c r="F442" t="n">
        <v>1</v>
      </c>
      <c r="G442" t="inlineStr">
        <is>
          <t>BG006</t>
        </is>
      </c>
      <c r="H442" t="inlineStr">
        <is>
          <t>24 Januari 2002</t>
        </is>
      </c>
      <c r="I442" s="2" t="n">
        <v>46307</v>
      </c>
      <c r="J442" t="inlineStr">
        <is>
          <t>Disetujui</t>
        </is>
      </c>
      <c r="K442" t="n">
        <v>60</v>
      </c>
      <c r="L442" t="inlineStr">
        <is>
          <t>12 Oktober 2026</t>
        </is>
      </c>
      <c r="M442" t="inlineStr">
        <is>
          <t>Konstruksi Gedung Pendidikan</t>
        </is>
      </c>
      <c r="N442" t="inlineStr">
        <is>
          <t>K</t>
        </is>
      </c>
      <c r="O442" t="inlineStr">
        <is>
          <t>20230622</t>
        </is>
      </c>
      <c r="P442" t="inlineStr">
        <is>
          <t>Jawa Barat</t>
        </is>
      </c>
      <c r="Q442" t="inlineStr"/>
    </row>
    <row r="443">
      <c r="A443" t="inlineStr">
        <is>
          <t>KHAIRAT</t>
        </is>
      </c>
      <c r="B443" t="inlineStr">
        <is>
          <t>Kab. Pasaman Barat</t>
        </is>
      </c>
      <c r="C443" t="inlineStr">
        <is>
          <t>082285673013</t>
        </is>
      </c>
      <c r="D443" t="inlineStr">
        <is>
          <t>cv.khairatpasamanbarat@gmail.com</t>
        </is>
      </c>
      <c r="E443" t="inlineStr">
        <is>
          <t>https://lpjk.pu.go.id/search-badan-usaha-detail/bmdmMlUyWFdBVForN0o1TkZiTUNZUT09</t>
        </is>
      </c>
      <c r="F443" t="n">
        <v>3</v>
      </c>
      <c r="G443" t="inlineStr">
        <is>
          <t>BG001, BG005, BG006</t>
        </is>
      </c>
      <c r="H443" t="inlineStr">
        <is>
          <t>31 Mei 2017</t>
        </is>
      </c>
      <c r="I443" s="2" t="n">
        <v>46312</v>
      </c>
      <c r="J443" t="inlineStr">
        <is>
          <t>Pencabutan</t>
        </is>
      </c>
      <c r="K443" t="n">
        <v>60</v>
      </c>
      <c r="L443" t="inlineStr">
        <is>
          <t>17 Oktober 2026</t>
        </is>
      </c>
      <c r="M443" t="inlineStr">
        <is>
          <t>Konstruksi Gedung Hunian, Konstruksi Gedung Kesehatan, Konstruksi Gedung Pendidikan</t>
        </is>
      </c>
      <c r="N443" t="inlineStr">
        <is>
          <t>K</t>
        </is>
      </c>
      <c r="O443" t="inlineStr">
        <is>
          <t>20231016</t>
        </is>
      </c>
      <c r="P443" t="inlineStr">
        <is>
          <t>Sumatera Barat</t>
        </is>
      </c>
      <c r="Q443" t="inlineStr"/>
    </row>
    <row r="444">
      <c r="A444" t="inlineStr">
        <is>
          <t>KHARISMA MITRA SEJAJAR</t>
        </is>
      </c>
      <c r="B444" t="inlineStr">
        <is>
          <t>Kota Manado</t>
        </is>
      </c>
      <c r="C444" t="inlineStr">
        <is>
          <t>085240342620</t>
        </is>
      </c>
      <c r="D444" t="inlineStr">
        <is>
          <t>rumah.kharisma@yahoo.com</t>
        </is>
      </c>
      <c r="E444" t="inlineStr">
        <is>
          <t>https://lpjk.pu.go.id/search-badan-usaha-detail/bmZPUXNkV0tkZ0djV09UMzFPemJaZz09</t>
        </is>
      </c>
      <c r="F444" t="n">
        <v>4</v>
      </c>
      <c r="G444" t="inlineStr">
        <is>
          <t>BG001, BS001</t>
        </is>
      </c>
      <c r="H444" t="inlineStr">
        <is>
          <t>29 Maret 2007</t>
        </is>
      </c>
      <c r="I444" s="2" t="n">
        <v>46307</v>
      </c>
      <c r="J444" t="inlineStr">
        <is>
          <t>Disetujui</t>
        </is>
      </c>
      <c r="K444" t="n">
        <v>60</v>
      </c>
      <c r="L444" t="inlineStr">
        <is>
          <t>12 Oktober 2026</t>
        </is>
      </c>
      <c r="M444" t="inlineStr">
        <is>
          <t>Konstruksi Bangunan Sipil Jalan, Konstruksi Gedung Hunian</t>
        </is>
      </c>
      <c r="N444" t="inlineStr">
        <is>
          <t>K</t>
        </is>
      </c>
      <c r="O444" t="inlineStr">
        <is>
          <t>20230928, 20231006</t>
        </is>
      </c>
      <c r="P444" t="inlineStr">
        <is>
          <t>Sulawesi Utara</t>
        </is>
      </c>
      <c r="Q444" t="inlineStr"/>
    </row>
    <row r="445">
      <c r="A445" t="inlineStr">
        <is>
          <t>KHARISMA MULIA MANDIRI</t>
        </is>
      </c>
      <c r="B445" t="inlineStr">
        <is>
          <t>Kota Adm. Jakarta Barat</t>
        </is>
      </c>
      <c r="C445" t="inlineStr">
        <is>
          <t>082110689428</t>
        </is>
      </c>
      <c r="D445" t="inlineStr">
        <is>
          <t>kharismamuliamdr@gmail.com</t>
        </is>
      </c>
      <c r="E445" t="inlineStr">
        <is>
          <t>https://lpjk.pu.go.id/search-badan-usaha-detail/ZHBsV0JiT29JNk84NXp5ME50MzNidz09</t>
        </is>
      </c>
      <c r="F445" t="n">
        <v>8</v>
      </c>
      <c r="G445" t="inlineStr">
        <is>
          <t>BG001, BG003, BG004, BG009</t>
        </is>
      </c>
      <c r="H445" t="inlineStr">
        <is>
          <t>8 April 2003</t>
        </is>
      </c>
      <c r="I445" s="2" t="n">
        <v>46312</v>
      </c>
      <c r="J445" t="inlineStr">
        <is>
          <t>Disetujui</t>
        </is>
      </c>
      <c r="K445" t="n">
        <v>60</v>
      </c>
      <c r="L445" t="inlineStr">
        <is>
          <t>17 Oktober 2026</t>
        </is>
      </c>
      <c r="M445" t="inlineStr">
        <is>
          <t>Konstruksi Gedung Hunian, Konstruksi Gedung Industri, Konstruksi Gedung Lainnya, Konstruksi Gedung Perbelanjaan</t>
        </is>
      </c>
      <c r="N445" t="inlineStr">
        <is>
          <t>K</t>
        </is>
      </c>
      <c r="O445" t="inlineStr">
        <is>
          <t>20231015, 20231016</t>
        </is>
      </c>
      <c r="P445" t="inlineStr">
        <is>
          <t>DKI Jakarta</t>
        </is>
      </c>
      <c r="Q445" t="inlineStr"/>
    </row>
    <row r="446">
      <c r="A446" t="inlineStr">
        <is>
          <t>KHARISMAWIRA SURYAINTI</t>
        </is>
      </c>
      <c r="B446" t="inlineStr">
        <is>
          <t>Kota Adm. Jakarta Utara</t>
        </is>
      </c>
      <c r="C446" t="inlineStr">
        <is>
          <t>02145850709</t>
        </is>
      </c>
      <c r="D446" t="inlineStr">
        <is>
          <t>kharismawirasuryainti@gmail.com</t>
        </is>
      </c>
      <c r="E446" t="inlineStr">
        <is>
          <t>https://lpjk.pu.go.id/search-badan-usaha-detail/cWtLZ2k2NmZkcEFmR1h3WCtaWUM0dz09</t>
        </is>
      </c>
      <c r="F446" t="n">
        <v>2</v>
      </c>
      <c r="G446" t="inlineStr">
        <is>
          <t>BG004</t>
        </is>
      </c>
      <c r="H446" t="inlineStr">
        <is>
          <t>22 Desember 1990</t>
        </is>
      </c>
      <c r="I446" s="2" t="n">
        <v>46313</v>
      </c>
      <c r="J446" t="inlineStr">
        <is>
          <t>Disetujui</t>
        </is>
      </c>
      <c r="K446" t="n">
        <v>60</v>
      </c>
      <c r="L446" t="inlineStr">
        <is>
          <t>18 Oktober 2026</t>
        </is>
      </c>
      <c r="M446" t="inlineStr">
        <is>
          <t>Konstruksi Gedung Perbelanjaan</t>
        </is>
      </c>
      <c r="N446" t="inlineStr">
        <is>
          <t>K</t>
        </is>
      </c>
      <c r="O446" t="inlineStr">
        <is>
          <t>20230915</t>
        </is>
      </c>
      <c r="P446" t="inlineStr">
        <is>
          <t>DKI Jakarta</t>
        </is>
      </c>
      <c r="Q446" t="inlineStr"/>
    </row>
    <row r="447">
      <c r="A447" t="inlineStr">
        <is>
          <t>KOKOH OPTIMA INDONESIA</t>
        </is>
      </c>
      <c r="B447" t="inlineStr">
        <is>
          <t>Kota Adm. Jakarta Selatan</t>
        </is>
      </c>
      <c r="C447" t="inlineStr">
        <is>
          <t>081808012012</t>
        </is>
      </c>
      <c r="D447" t="inlineStr">
        <is>
          <t>kodrat89@gmail.com</t>
        </is>
      </c>
      <c r="E447" t="inlineStr">
        <is>
          <t>https://lpjk.pu.go.id/search-badan-usaha-detail/d0tGYlptU2hSOENZSGhRaWRTVzNKZz09</t>
        </is>
      </c>
      <c r="F447" t="n">
        <v>4</v>
      </c>
      <c r="G447" t="inlineStr">
        <is>
          <t>BG001, BG002, BG003, BG004</t>
        </is>
      </c>
      <c r="H447" t="inlineStr">
        <is>
          <t>25 Agustus 2023</t>
        </is>
      </c>
      <c r="I447" s="2" t="n">
        <v>46308</v>
      </c>
      <c r="J447" t="inlineStr">
        <is>
          <t>Disetujui</t>
        </is>
      </c>
      <c r="K447" t="n">
        <v>60</v>
      </c>
      <c r="L447" t="inlineStr">
        <is>
          <t>13 Oktober 2026</t>
        </is>
      </c>
      <c r="M447" t="inlineStr">
        <is>
          <t>Konstruksi Gedung Hunian, Konstruksi Gedung Industri, Konstruksi Gedung Perbelanjaan, Konstruksi Gedung Perkantoran</t>
        </is>
      </c>
      <c r="N447" t="inlineStr">
        <is>
          <t>K</t>
        </is>
      </c>
      <c r="O447" t="inlineStr">
        <is>
          <t>20231012</t>
        </is>
      </c>
      <c r="P447" t="inlineStr">
        <is>
          <t>DKI Jakarta</t>
        </is>
      </c>
      <c r="Q447" t="inlineStr"/>
    </row>
    <row r="448">
      <c r="A448" t="inlineStr">
        <is>
          <t>KOPRIMA SANDYSEJAHTERA</t>
        </is>
      </c>
      <c r="B448" t="inlineStr">
        <is>
          <t>Kota Bandung</t>
        </is>
      </c>
      <c r="C448" t="inlineStr">
        <is>
          <t>0227312369</t>
        </is>
      </c>
      <c r="D448" t="inlineStr">
        <is>
          <t>perijinan@kssproperti.co.id</t>
        </is>
      </c>
      <c r="E448" t="inlineStr">
        <is>
          <t>https://lpjk.pu.go.id/search-badan-usaha-detail/TlEyR1I0YmlqTE9PeHV6NnlBVURYZz09</t>
        </is>
      </c>
      <c r="F448" t="n">
        <v>4</v>
      </c>
      <c r="G448" t="inlineStr">
        <is>
          <t>BG001, BG003, BG004, BG009</t>
        </is>
      </c>
      <c r="H448" t="inlineStr">
        <is>
          <t>23 November 1990</t>
        </is>
      </c>
      <c r="I448" s="2" t="n">
        <v>46308</v>
      </c>
      <c r="J448" t="inlineStr">
        <is>
          <t>Disetujui</t>
        </is>
      </c>
      <c r="K448" t="n">
        <v>60</v>
      </c>
      <c r="L448" t="inlineStr">
        <is>
          <t>13 Oktober 2026</t>
        </is>
      </c>
      <c r="M448" t="inlineStr">
        <is>
          <t>Konstruksi Gedung Hunian, Konstruksi Gedung Industri, Konstruksi Gedung Lainnya, Konstruksi Gedung Perbelanjaan</t>
        </is>
      </c>
      <c r="N448" t="inlineStr">
        <is>
          <t>K</t>
        </is>
      </c>
      <c r="O448" t="inlineStr">
        <is>
          <t>20231009, 20231011, 20231012</t>
        </is>
      </c>
      <c r="P448" t="inlineStr">
        <is>
          <t>Jawa Barat</t>
        </is>
      </c>
      <c r="Q448" t="inlineStr"/>
    </row>
    <row r="449">
      <c r="A449" t="inlineStr">
        <is>
          <t>KOTAK TITIK BERSAMA</t>
        </is>
      </c>
      <c r="B449" t="inlineStr">
        <is>
          <t>Kab. Subang</t>
        </is>
      </c>
      <c r="C449" t="inlineStr">
        <is>
          <t>08563637717</t>
        </is>
      </c>
      <c r="D449" t="inlineStr">
        <is>
          <t>titikkotakbersama@gmail.com</t>
        </is>
      </c>
      <c r="E449" t="inlineStr">
        <is>
          <t>https://lpjk.pu.go.id/search-badan-usaha-detail/ckZiMFdPa0VtU1ppaHRWQjIzMHpSUT09</t>
        </is>
      </c>
      <c r="F449" t="n">
        <v>2</v>
      </c>
      <c r="G449" t="inlineStr">
        <is>
          <t>BG002, BG009</t>
        </is>
      </c>
      <c r="H449" t="inlineStr">
        <is>
          <t>21 September 2023</t>
        </is>
      </c>
      <c r="I449" s="2" t="n">
        <v>46310</v>
      </c>
      <c r="J449" t="inlineStr">
        <is>
          <t>Disetujui</t>
        </is>
      </c>
      <c r="K449" t="n">
        <v>60</v>
      </c>
      <c r="L449" t="inlineStr">
        <is>
          <t>15 Oktober 2026</t>
        </is>
      </c>
      <c r="M449" t="inlineStr">
        <is>
          <t>Konstruksi Gedung Lainnya, Konstruksi Gedung Perkantoran</t>
        </is>
      </c>
      <c r="N449" t="inlineStr">
        <is>
          <t>K</t>
        </is>
      </c>
      <c r="O449" t="inlineStr">
        <is>
          <t>20231016</t>
        </is>
      </c>
      <c r="P449" t="inlineStr">
        <is>
          <t>Jawa Barat</t>
        </is>
      </c>
      <c r="Q449" t="inlineStr"/>
    </row>
    <row r="450">
      <c r="A450" t="inlineStr">
        <is>
          <t>KREASI BANGUN SEJAHTERA</t>
        </is>
      </c>
      <c r="B450" t="inlineStr">
        <is>
          <t>Kota Kendari</t>
        </is>
      </c>
      <c r="C450" t="inlineStr">
        <is>
          <t>082367891442</t>
        </is>
      </c>
      <c r="D450" t="inlineStr">
        <is>
          <t>unifitland8@gmail.com</t>
        </is>
      </c>
      <c r="E450" t="inlineStr">
        <is>
          <t>https://lpjk.pu.go.id/search-badan-usaha-detail/VlZtNlFWOFJUN1cwSFlEcFhIc0t6Zz09</t>
        </is>
      </c>
      <c r="F450" t="n">
        <v>1</v>
      </c>
      <c r="G450" t="inlineStr">
        <is>
          <t>BS001</t>
        </is>
      </c>
      <c r="H450" t="inlineStr">
        <is>
          <t>3 Oktober 2023</t>
        </is>
      </c>
      <c r="I450" s="2" t="n">
        <v>46313</v>
      </c>
      <c r="J450" t="inlineStr">
        <is>
          <t>Disetujui</t>
        </is>
      </c>
      <c r="K450" t="n">
        <v>60</v>
      </c>
      <c r="L450" t="inlineStr">
        <is>
          <t>18 Oktober 2026</t>
        </is>
      </c>
      <c r="M450" t="inlineStr">
        <is>
          <t>Konstruksi Bangunan Sipil Jalan</t>
        </is>
      </c>
      <c r="N450" t="inlineStr">
        <is>
          <t>K</t>
        </is>
      </c>
      <c r="O450" t="inlineStr">
        <is>
          <t>20231011</t>
        </is>
      </c>
      <c r="P450" t="inlineStr">
        <is>
          <t>Sulawesi Tenggara</t>
        </is>
      </c>
      <c r="Q450" t="inlineStr"/>
    </row>
    <row r="451">
      <c r="A451" t="inlineStr">
        <is>
          <t>KREASI BARAHA UTAMA</t>
        </is>
      </c>
      <c r="B451" t="inlineStr">
        <is>
          <t>Kab. Tanah Bumbu</t>
        </is>
      </c>
      <c r="C451" t="inlineStr">
        <is>
          <t>085349994755</t>
        </is>
      </c>
      <c r="D451" t="inlineStr">
        <is>
          <t>kreasibarahautama@yahoo.co.id</t>
        </is>
      </c>
      <c r="E451" t="inlineStr">
        <is>
          <t>https://lpjk.pu.go.id/search-badan-usaha-detail/TGozNzZxZUpvYktYMDkzU1VsTlFIZz09</t>
        </is>
      </c>
      <c r="F451" t="n">
        <v>1</v>
      </c>
      <c r="G451" t="inlineStr">
        <is>
          <t>BG009</t>
        </is>
      </c>
      <c r="H451" t="inlineStr">
        <is>
          <t>18 Januari 2014</t>
        </is>
      </c>
      <c r="I451" s="2" t="n">
        <v>46313</v>
      </c>
      <c r="J451" t="inlineStr">
        <is>
          <t>Disetujui</t>
        </is>
      </c>
      <c r="K451" t="n">
        <v>60</v>
      </c>
      <c r="L451" t="inlineStr">
        <is>
          <t>18 Oktober 2026</t>
        </is>
      </c>
      <c r="M451" t="inlineStr">
        <is>
          <t>Konstruksi Gedung Lainnya</t>
        </is>
      </c>
      <c r="N451" t="inlineStr">
        <is>
          <t>K</t>
        </is>
      </c>
      <c r="O451" t="inlineStr">
        <is>
          <t>20231015</t>
        </is>
      </c>
      <c r="P451" t="inlineStr">
        <is>
          <t>Kalimantan Selatan</t>
        </is>
      </c>
      <c r="Q451" t="inlineStr"/>
    </row>
    <row r="452">
      <c r="A452" t="inlineStr">
        <is>
          <t>KREASI DISAIN</t>
        </is>
      </c>
      <c r="B452" t="inlineStr">
        <is>
          <t>Kab. Tangerang</t>
        </is>
      </c>
      <c r="C452" t="inlineStr">
        <is>
          <t>081272272373</t>
        </is>
      </c>
      <c r="D452" t="inlineStr">
        <is>
          <t>kreasidisain.adm@gmail.com</t>
        </is>
      </c>
      <c r="E452" t="inlineStr">
        <is>
          <t>https://lpjk.pu.go.id/search-badan-usaha-detail/US9pR0ZwUTExSVJ5UTZCdUNLNndjZz09</t>
        </is>
      </c>
      <c r="F452" t="n">
        <v>1</v>
      </c>
      <c r="G452" t="inlineStr">
        <is>
          <t>BG001</t>
        </is>
      </c>
      <c r="H452" t="inlineStr">
        <is>
          <t>26 Agustus 2023</t>
        </is>
      </c>
      <c r="I452" s="2" t="n">
        <v>46312</v>
      </c>
      <c r="J452" t="inlineStr">
        <is>
          <t>Disetujui</t>
        </is>
      </c>
      <c r="K452" t="n">
        <v>60</v>
      </c>
      <c r="L452" t="inlineStr">
        <is>
          <t>17 Oktober 2026</t>
        </is>
      </c>
      <c r="M452" t="inlineStr">
        <is>
          <t>Konstruksi Gedung Hunian</t>
        </is>
      </c>
      <c r="N452" t="inlineStr">
        <is>
          <t>K</t>
        </is>
      </c>
      <c r="O452" t="inlineStr">
        <is>
          <t>20231017</t>
        </is>
      </c>
      <c r="P452" t="inlineStr">
        <is>
          <t>Banten</t>
        </is>
      </c>
      <c r="Q452" t="inlineStr"/>
    </row>
    <row r="453">
      <c r="A453" t="inlineStr">
        <is>
          <t>KRISNA</t>
        </is>
      </c>
      <c r="B453" t="inlineStr">
        <is>
          <t>Kab. Blora</t>
        </is>
      </c>
      <c r="C453" t="inlineStr">
        <is>
          <t>082137241199</t>
        </is>
      </c>
      <c r="D453" t="inlineStr">
        <is>
          <t>mah877161@gmail.com</t>
        </is>
      </c>
      <c r="E453" t="inlineStr">
        <is>
          <t>https://lpjk.pu.go.id/search-badan-usaha-detail/VVZtcEdyK1gwOWpwencvRWpmeUxWdz09</t>
        </is>
      </c>
      <c r="F453" t="n">
        <v>1</v>
      </c>
      <c r="G453" t="inlineStr">
        <is>
          <t>BS001</t>
        </is>
      </c>
      <c r="H453" t="inlineStr">
        <is>
          <t>5 Mei 2001</t>
        </is>
      </c>
      <c r="I453" s="2" t="n">
        <v>46313</v>
      </c>
      <c r="J453" t="inlineStr">
        <is>
          <t>Disetujui</t>
        </is>
      </c>
      <c r="K453" t="n">
        <v>60</v>
      </c>
      <c r="L453" t="inlineStr">
        <is>
          <t>18 Oktober 2026</t>
        </is>
      </c>
      <c r="M453" t="inlineStr">
        <is>
          <t>Konstruksi Bangunan Sipil Jalan</t>
        </is>
      </c>
      <c r="N453" t="inlineStr">
        <is>
          <t>K</t>
        </is>
      </c>
      <c r="O453" t="inlineStr">
        <is>
          <t>20231017</t>
        </is>
      </c>
      <c r="P453" t="inlineStr">
        <is>
          <t>Jawa Tengah</t>
        </is>
      </c>
      <c r="Q453" t="inlineStr"/>
    </row>
    <row r="454">
      <c r="A454" t="inlineStr">
        <is>
          <t>KUNCI WIJAYA</t>
        </is>
      </c>
      <c r="B454" t="inlineStr">
        <is>
          <t>Kab. Cilacap</t>
        </is>
      </c>
      <c r="C454" t="inlineStr">
        <is>
          <t>081804990999</t>
        </is>
      </c>
      <c r="D454" t="inlineStr">
        <is>
          <t>kunciwijaya@gmail.com</t>
        </is>
      </c>
      <c r="E454" t="inlineStr">
        <is>
          <t>https://lpjk.pu.go.id/search-badan-usaha-detail/UEFZWVAvc2VNQ1F2Y2VocUF3S2lMZz09</t>
        </is>
      </c>
      <c r="F454" t="n">
        <v>1</v>
      </c>
      <c r="G454" t="inlineStr">
        <is>
          <t>BS001</t>
        </is>
      </c>
      <c r="H454" t="inlineStr">
        <is>
          <t>14 Juni 1982</t>
        </is>
      </c>
      <c r="I454" s="2" t="n">
        <v>46307</v>
      </c>
      <c r="J454" t="inlineStr">
        <is>
          <t>Disetujui</t>
        </is>
      </c>
      <c r="K454" t="n">
        <v>60</v>
      </c>
      <c r="L454" t="inlineStr">
        <is>
          <t>12 Oktober 2026</t>
        </is>
      </c>
      <c r="M454" t="inlineStr">
        <is>
          <t>Konstruksi Bangunan Sipil Jalan</t>
        </is>
      </c>
      <c r="N454" t="inlineStr">
        <is>
          <t>K</t>
        </is>
      </c>
      <c r="O454" t="inlineStr">
        <is>
          <t>20231005</t>
        </is>
      </c>
      <c r="P454" t="inlineStr">
        <is>
          <t>Jawa Tengah</t>
        </is>
      </c>
      <c r="Q454" t="inlineStr"/>
    </row>
    <row r="455">
      <c r="A455" t="inlineStr">
        <is>
          <t>KURNIA AKBAR</t>
        </is>
      </c>
      <c r="B455" t="inlineStr">
        <is>
          <t>Kab. Bangka Barat</t>
        </is>
      </c>
      <c r="C455" t="inlineStr">
        <is>
          <t>081994128908</t>
        </is>
      </c>
      <c r="D455" t="inlineStr">
        <is>
          <t>kurniaakbar1717@gmail.com</t>
        </is>
      </c>
      <c r="E455" t="inlineStr">
        <is>
          <t>https://lpjk.pu.go.id/search-badan-usaha-detail/c1NJMlVGSEFvVk55bjVRSGFkL1prdz09</t>
        </is>
      </c>
      <c r="F455" t="n">
        <v>2</v>
      </c>
      <c r="G455" t="inlineStr">
        <is>
          <t>BS001, BS004</t>
        </is>
      </c>
      <c r="H455" t="inlineStr">
        <is>
          <t>22 Oktober 2002</t>
        </is>
      </c>
      <c r="I455" s="2" t="n">
        <v>46307</v>
      </c>
      <c r="J455" t="inlineStr">
        <is>
          <t>Disetujui</t>
        </is>
      </c>
      <c r="K455" t="n">
        <v>60</v>
      </c>
      <c r="L455" t="inlineStr">
        <is>
          <t>12 Oktober 2026</t>
        </is>
      </c>
      <c r="M455" t="inlineStr">
        <is>
          <t>Konstruksi Bangunan Sipil Jalan, Konstruksi Jaringan Irigasi dan Drainase</t>
        </is>
      </c>
      <c r="N455" t="inlineStr">
        <is>
          <t>K</t>
        </is>
      </c>
      <c r="O455" t="inlineStr">
        <is>
          <t>20231005, 20231016</t>
        </is>
      </c>
      <c r="P455" t="inlineStr">
        <is>
          <t>Kepulauan Bangka Belitung</t>
        </is>
      </c>
      <c r="Q455" t="inlineStr"/>
    </row>
    <row r="456">
      <c r="A456" t="inlineStr">
        <is>
          <t>KUSUMA DEWI</t>
        </is>
      </c>
      <c r="B456" t="inlineStr">
        <is>
          <t>Kota Surabaya</t>
        </is>
      </c>
      <c r="C456" t="inlineStr">
        <is>
          <t>0315012363</t>
        </is>
      </c>
      <c r="D456" t="inlineStr">
        <is>
          <t>sbykusumadewi@gmail.com</t>
        </is>
      </c>
      <c r="E456" t="inlineStr">
        <is>
          <t>https://lpjk.pu.go.id/search-badan-usaha-detail/MXlmakh2TDVuZFFienJZcHk5emJrUT09</t>
        </is>
      </c>
      <c r="F456" t="n">
        <v>5</v>
      </c>
      <c r="G456" t="inlineStr">
        <is>
          <t>BG002, BG005, BG006, BG008, BG009</t>
        </is>
      </c>
      <c r="H456" t="inlineStr">
        <is>
          <t>8 Januari 2007</t>
        </is>
      </c>
      <c r="I456" s="2" t="n">
        <v>46308</v>
      </c>
      <c r="J456" t="inlineStr">
        <is>
          <t>Disetujui, Pencabutan</t>
        </is>
      </c>
      <c r="K456" t="n">
        <v>60</v>
      </c>
      <c r="L456" t="inlineStr">
        <is>
          <t>13 Oktober 2026</t>
        </is>
      </c>
      <c r="M456" t="inlineStr">
        <is>
          <t>Konstruksi Gedung Kesehatan, Konstruksi Gedung Lainnya, Konstruksi Gedung Pendidikan, Konstruksi Gedung Perkantoran, Konstruksi Gedung Tempat Hiburan dan Olahraga</t>
        </is>
      </c>
      <c r="N456" t="inlineStr">
        <is>
          <t>K</t>
        </is>
      </c>
      <c r="O456" t="inlineStr">
        <is>
          <t>20230510, 20231012</t>
        </is>
      </c>
      <c r="P456" t="inlineStr">
        <is>
          <t>Jawa Timur</t>
        </is>
      </c>
      <c r="Q456" t="inlineStr"/>
    </row>
    <row r="457">
      <c r="A457" t="inlineStr">
        <is>
          <t>KUSUMA KARYA</t>
        </is>
      </c>
      <c r="B457" t="inlineStr">
        <is>
          <t>Kota Yogyakarta</t>
        </is>
      </c>
      <c r="C457" t="inlineStr">
        <is>
          <t>0274 566062/0274 514</t>
        </is>
      </c>
      <c r="D457" t="inlineStr">
        <is>
          <t>kusumakarya@yahoo.co.id</t>
        </is>
      </c>
      <c r="E457" t="inlineStr">
        <is>
          <t>https://lpjk.pu.go.id/search-badan-usaha-detail/YzRCS0FDREphLzA2TFo0QWF2SUVGdz09</t>
        </is>
      </c>
      <c r="F457" t="n">
        <v>2</v>
      </c>
      <c r="G457" t="inlineStr">
        <is>
          <t>IN001</t>
        </is>
      </c>
      <c r="H457" t="inlineStr">
        <is>
          <t>6 November 2003</t>
        </is>
      </c>
      <c r="I457" s="2" t="n">
        <v>46313</v>
      </c>
      <c r="J457" t="inlineStr">
        <is>
          <t>Disetujui</t>
        </is>
      </c>
      <c r="K457" t="n">
        <v>60</v>
      </c>
      <c r="L457" t="inlineStr">
        <is>
          <t>18 Oktober 2026</t>
        </is>
      </c>
      <c r="M457" t="inlineStr">
        <is>
          <t>Instalasi Mekanikal</t>
        </is>
      </c>
      <c r="N457" t="inlineStr">
        <is>
          <t>Spesialis</t>
        </is>
      </c>
      <c r="O457" t="inlineStr">
        <is>
          <t>20230907</t>
        </is>
      </c>
      <c r="P457" t="inlineStr">
        <is>
          <t>DI Yogyakarta</t>
        </is>
      </c>
      <c r="Q457" t="inlineStr"/>
    </row>
    <row r="458">
      <c r="A458" t="inlineStr">
        <is>
          <t>LAMINAR ENGINEERING CONSULTANT</t>
        </is>
      </c>
      <c r="B458" t="inlineStr">
        <is>
          <t>Kota Adm. Jakarta Selatan</t>
        </is>
      </c>
      <c r="C458" t="inlineStr">
        <is>
          <t>085714610511</t>
        </is>
      </c>
      <c r="D458" t="inlineStr">
        <is>
          <t>service@laminar-consultant.com</t>
        </is>
      </c>
      <c r="E458" t="inlineStr">
        <is>
          <t>https://lpjk.pu.go.id/search-badan-usaha-detail/bmVmb3pweW43SEpEUjJWUkxxMWNiUT09</t>
        </is>
      </c>
      <c r="F458" t="n">
        <v>2</v>
      </c>
      <c r="G458" t="inlineStr">
        <is>
          <t>RK001, RK002</t>
        </is>
      </c>
      <c r="H458" t="inlineStr">
        <is>
          <t>4 September 2023</t>
        </is>
      </c>
      <c r="I458" s="2" t="n">
        <v>46312</v>
      </c>
      <c r="J458" t="inlineStr">
        <is>
          <t>Disetujui</t>
        </is>
      </c>
      <c r="K458" t="n">
        <v>60</v>
      </c>
      <c r="L458" t="inlineStr">
        <is>
          <t>17 Oktober 2026</t>
        </is>
      </c>
      <c r="M458" t="inlineStr">
        <is>
          <t>Jasa Rekayasa Konstruksi Bangunan Gedung Hunian dan Non Hunian, Jasa Rekayasa Pekerjaan Teknik Sipil Sumber Daya Air</t>
        </is>
      </c>
      <c r="N458" t="inlineStr">
        <is>
          <t>K</t>
        </is>
      </c>
      <c r="O458" t="inlineStr">
        <is>
          <t>20230929</t>
        </is>
      </c>
      <c r="P458" t="inlineStr">
        <is>
          <t>DKI Jakarta</t>
        </is>
      </c>
      <c r="Q458" t="inlineStr"/>
    </row>
    <row r="459">
      <c r="A459" t="inlineStr">
        <is>
          <t>LAMPOH SAYANG</t>
        </is>
      </c>
      <c r="B459" t="inlineStr">
        <is>
          <t>Kab. Aceh Besar</t>
        </is>
      </c>
      <c r="C459" t="inlineStr">
        <is>
          <t>085260093361</t>
        </is>
      </c>
      <c r="D459" t="inlineStr">
        <is>
          <t>lampohsyg@yahoo.com</t>
        </is>
      </c>
      <c r="E459" t="inlineStr">
        <is>
          <t>https://lpjk.pu.go.id/search-badan-usaha-detail/UHBsQ3dUcVRqNkpqV1pyKzJueXJCZz09</t>
        </is>
      </c>
      <c r="F459" t="n">
        <v>1</v>
      </c>
      <c r="G459" t="inlineStr">
        <is>
          <t>BS001</t>
        </is>
      </c>
      <c r="H459" t="inlineStr">
        <is>
          <t>13 September 2013</t>
        </is>
      </c>
      <c r="I459" s="2" t="n">
        <v>46313</v>
      </c>
      <c r="J459" t="inlineStr">
        <is>
          <t>Disetujui</t>
        </is>
      </c>
      <c r="K459" t="n">
        <v>60</v>
      </c>
      <c r="L459" t="inlineStr">
        <is>
          <t>18 Oktober 2026</t>
        </is>
      </c>
      <c r="M459" t="inlineStr">
        <is>
          <t>Konstruksi Bangunan Sipil Jalan</t>
        </is>
      </c>
      <c r="N459" t="inlineStr">
        <is>
          <t>K</t>
        </is>
      </c>
      <c r="O459" t="inlineStr">
        <is>
          <t>20231019</t>
        </is>
      </c>
      <c r="P459" t="inlineStr">
        <is>
          <t>Aceh</t>
        </is>
      </c>
      <c r="Q459" t="inlineStr"/>
    </row>
    <row r="460">
      <c r="A460" t="inlineStr">
        <is>
          <t>LINGGAJAYA PUTRA MANDIRI</t>
        </is>
      </c>
      <c r="B460" t="inlineStr">
        <is>
          <t>Kab. Serang</t>
        </is>
      </c>
      <c r="C460" t="inlineStr">
        <is>
          <t>081223277377</t>
        </is>
      </c>
      <c r="D460" t="inlineStr">
        <is>
          <t>ptlinggajaya_putramandiri@gmail.com</t>
        </is>
      </c>
      <c r="E460" t="inlineStr">
        <is>
          <t>https://lpjk.pu.go.id/search-badan-usaha-detail/SktxL3E1cUFhNnZ3R2RRZm1zVWM0UT09</t>
        </is>
      </c>
      <c r="F460" t="n">
        <v>1</v>
      </c>
      <c r="G460" t="inlineStr">
        <is>
          <t>IN001</t>
        </is>
      </c>
      <c r="H460" t="inlineStr">
        <is>
          <t>5 Mei 2014</t>
        </is>
      </c>
      <c r="I460" s="2" t="n">
        <v>46310</v>
      </c>
      <c r="J460" t="inlineStr">
        <is>
          <t>Disetujui</t>
        </is>
      </c>
      <c r="K460" t="n">
        <v>60</v>
      </c>
      <c r="L460" t="inlineStr">
        <is>
          <t>15 Oktober 2026</t>
        </is>
      </c>
      <c r="M460" t="inlineStr">
        <is>
          <t>Instalasi Mekanikal</t>
        </is>
      </c>
      <c r="N460" t="inlineStr">
        <is>
          <t>Spesialis</t>
        </is>
      </c>
      <c r="O460" t="inlineStr">
        <is>
          <t>20231002</t>
        </is>
      </c>
      <c r="P460" t="inlineStr">
        <is>
          <t>Banten</t>
        </is>
      </c>
      <c r="Q460" t="inlineStr"/>
    </row>
    <row r="461">
      <c r="A461" t="inlineStr">
        <is>
          <t>LINK AMERTA</t>
        </is>
      </c>
      <c r="B461" t="inlineStr">
        <is>
          <t>Kota Kendari</t>
        </is>
      </c>
      <c r="C461" t="inlineStr">
        <is>
          <t>082117375596</t>
        </is>
      </c>
      <c r="D461" t="inlineStr">
        <is>
          <t>linkamerta1@gmail.com</t>
        </is>
      </c>
      <c r="E461" t="inlineStr">
        <is>
          <t>https://lpjk.pu.go.id/search-badan-usaha-detail/T2prSXpuWExUM0c3SFJRUDU2KzFCUT09</t>
        </is>
      </c>
      <c r="F461" t="n">
        <v>2</v>
      </c>
      <c r="G461" t="inlineStr">
        <is>
          <t>BG006, BG009</t>
        </is>
      </c>
      <c r="H461" t="inlineStr">
        <is>
          <t>31 Agustus 2023</t>
        </is>
      </c>
      <c r="I461" s="2" t="n">
        <v>46307</v>
      </c>
      <c r="J461" t="inlineStr">
        <is>
          <t>Disetujui</t>
        </is>
      </c>
      <c r="K461" t="n">
        <v>60</v>
      </c>
      <c r="L461" t="inlineStr">
        <is>
          <t>12 Oktober 2026</t>
        </is>
      </c>
      <c r="M461" t="inlineStr">
        <is>
          <t>Konstruksi Gedung Lainnya, Konstruksi Gedung Pendidikan</t>
        </is>
      </c>
      <c r="N461" t="inlineStr">
        <is>
          <t>K</t>
        </is>
      </c>
      <c r="O461" t="inlineStr">
        <is>
          <t>20230923, 20230927</t>
        </is>
      </c>
      <c r="P461" t="inlineStr">
        <is>
          <t>Sulawesi Tenggara</t>
        </is>
      </c>
      <c r="Q461" t="inlineStr"/>
    </row>
    <row r="462">
      <c r="A462" t="inlineStr">
        <is>
          <t>LINTAS KAPUAS PERSADA</t>
        </is>
      </c>
      <c r="B462" t="inlineStr">
        <is>
          <t>Kab. Kapuas Hulu</t>
        </is>
      </c>
      <c r="C462" t="inlineStr">
        <is>
          <t>085245567116</t>
        </is>
      </c>
      <c r="D462" t="inlineStr">
        <is>
          <t>pt.lintaskapuaspersada123@gmail.com</t>
        </is>
      </c>
      <c r="E462" t="inlineStr">
        <is>
          <t>https://lpjk.pu.go.id/search-badan-usaha-detail/YWxqV2o4cy96K3BjN2xEWDJUaVpGZz09</t>
        </is>
      </c>
      <c r="F462" t="n">
        <v>1</v>
      </c>
      <c r="G462" t="inlineStr">
        <is>
          <t>BS010</t>
        </is>
      </c>
      <c r="H462" t="inlineStr">
        <is>
          <t>14 Maret 2003</t>
        </is>
      </c>
      <c r="I462" s="2" t="n">
        <v>46307</v>
      </c>
      <c r="J462" t="inlineStr">
        <is>
          <t>Disetujui</t>
        </is>
      </c>
      <c r="K462" t="n">
        <v>60</v>
      </c>
      <c r="L462" t="inlineStr">
        <is>
          <t>12 Oktober 2026</t>
        </is>
      </c>
      <c r="M462" t="inlineStr">
        <is>
          <t>Konstruksi Bangunan Prasarana Sumber Daya Air</t>
        </is>
      </c>
      <c r="N462" t="inlineStr">
        <is>
          <t>M</t>
        </is>
      </c>
      <c r="O462" t="inlineStr">
        <is>
          <t>20231009</t>
        </is>
      </c>
      <c r="P462" t="inlineStr">
        <is>
          <t>Kalimantan Barat</t>
        </is>
      </c>
      <c r="Q462" t="inlineStr"/>
    </row>
    <row r="463">
      <c r="A463" t="inlineStr">
        <is>
          <t>LINTAS NUSANTARA PERMAI</t>
        </is>
      </c>
      <c r="B463" t="inlineStr">
        <is>
          <t>Kab. Merauke</t>
        </is>
      </c>
      <c r="C463" t="inlineStr">
        <is>
          <t>085354547047</t>
        </is>
      </c>
      <c r="D463" t="inlineStr">
        <is>
          <t>lintasnusantarapermai@yahoo.com</t>
        </is>
      </c>
      <c r="E463" t="inlineStr">
        <is>
          <t>https://lpjk.pu.go.id/search-badan-usaha-detail/V3pyYWtVQkQ2Yno1T2M3Z09OcGZrQT09</t>
        </is>
      </c>
      <c r="F463" t="n">
        <v>1</v>
      </c>
      <c r="G463" t="inlineStr">
        <is>
          <t>BS010</t>
        </is>
      </c>
      <c r="H463" t="inlineStr">
        <is>
          <t>1 Oktober 2005</t>
        </is>
      </c>
      <c r="I463" s="2" t="n">
        <v>46309</v>
      </c>
      <c r="J463" t="inlineStr">
        <is>
          <t>Pembekuan</t>
        </is>
      </c>
      <c r="K463" t="n">
        <v>60</v>
      </c>
      <c r="L463" t="inlineStr">
        <is>
          <t>14 Oktober 2026</t>
        </is>
      </c>
      <c r="M463" t="inlineStr">
        <is>
          <t>Konstruksi Bangunan Prasarana Sumber Daya Air</t>
        </is>
      </c>
      <c r="N463" t="inlineStr">
        <is>
          <t>M</t>
        </is>
      </c>
      <c r="O463" t="inlineStr">
        <is>
          <t>20231013</t>
        </is>
      </c>
      <c r="P463" t="inlineStr">
        <is>
          <t>Papua Selatan</t>
        </is>
      </c>
      <c r="Q463" t="inlineStr"/>
    </row>
    <row r="464">
      <c r="A464" t="inlineStr">
        <is>
          <t>LOKAL UTAMA</t>
        </is>
      </c>
      <c r="B464" t="inlineStr">
        <is>
          <t>Kab. Sumbawa Barat</t>
        </is>
      </c>
      <c r="C464" t="inlineStr">
        <is>
          <t>081339639396</t>
        </is>
      </c>
      <c r="D464" t="inlineStr">
        <is>
          <t>lokalutama@yahoo.com</t>
        </is>
      </c>
      <c r="E464" t="inlineStr">
        <is>
          <t>https://lpjk.pu.go.id/search-badan-usaha-detail/M2czZ21PWHhLcHRuRW5XQ1VyZlpxUT09</t>
        </is>
      </c>
      <c r="F464" t="n">
        <v>1</v>
      </c>
      <c r="G464" t="inlineStr">
        <is>
          <t>BS004</t>
        </is>
      </c>
      <c r="H464" t="inlineStr">
        <is>
          <t>19 Oktober 2001</t>
        </is>
      </c>
      <c r="I464" s="2" t="n">
        <v>46312</v>
      </c>
      <c r="J464" t="inlineStr">
        <is>
          <t>Disetujui</t>
        </is>
      </c>
      <c r="K464" t="n">
        <v>60</v>
      </c>
      <c r="L464" t="inlineStr">
        <is>
          <t>17 Oktober 2026</t>
        </is>
      </c>
      <c r="M464" t="inlineStr">
        <is>
          <t>Konstruksi Jaringan Irigasi dan Drainase</t>
        </is>
      </c>
      <c r="N464" t="inlineStr">
        <is>
          <t>K</t>
        </is>
      </c>
      <c r="O464" t="inlineStr">
        <is>
          <t>20231006</t>
        </is>
      </c>
      <c r="P464" t="inlineStr">
        <is>
          <t>Nusa Tenggara Barat</t>
        </is>
      </c>
      <c r="Q464" t="inlineStr"/>
    </row>
    <row r="465">
      <c r="A465" t="inlineStr">
        <is>
          <t>LUCKYTA</t>
        </is>
      </c>
      <c r="B465" t="inlineStr">
        <is>
          <t>Kab. Kubu Raya</t>
        </is>
      </c>
      <c r="C465" t="inlineStr">
        <is>
          <t>081257702792</t>
        </is>
      </c>
      <c r="D465" t="inlineStr">
        <is>
          <t>cv.luckyta.2023@gmail.com</t>
        </is>
      </c>
      <c r="E465" t="inlineStr">
        <is>
          <t>https://lpjk.pu.go.id/search-badan-usaha-detail/QWY5WjlNOHljSXEvNEVhRXdnbWgrZz09</t>
        </is>
      </c>
      <c r="F465" t="n">
        <v>1</v>
      </c>
      <c r="G465" t="inlineStr">
        <is>
          <t>BS001</t>
        </is>
      </c>
      <c r="H465" t="inlineStr">
        <is>
          <t>22 Desember 2008</t>
        </is>
      </c>
      <c r="I465" s="2" t="n">
        <v>46311</v>
      </c>
      <c r="J465" t="inlineStr">
        <is>
          <t>Disetujui</t>
        </is>
      </c>
      <c r="K465" t="n">
        <v>60</v>
      </c>
      <c r="L465" t="inlineStr">
        <is>
          <t>16 Oktober 2026</t>
        </is>
      </c>
      <c r="M465" t="inlineStr">
        <is>
          <t>Konstruksi Bangunan Sipil Jalan</t>
        </is>
      </c>
      <c r="N465" t="inlineStr">
        <is>
          <t>K</t>
        </is>
      </c>
      <c r="O465" t="inlineStr">
        <is>
          <t>20231014</t>
        </is>
      </c>
      <c r="P465" t="inlineStr">
        <is>
          <t>Kalimantan Barat</t>
        </is>
      </c>
      <c r="Q465" t="inlineStr"/>
    </row>
    <row r="466">
      <c r="A466" t="inlineStr">
        <is>
          <t>MADYA ARZEN SEJAHTERA</t>
        </is>
      </c>
      <c r="B466" t="inlineStr">
        <is>
          <t>Kota Samarinda</t>
        </is>
      </c>
      <c r="C466" t="inlineStr">
        <is>
          <t>081347079777</t>
        </is>
      </c>
      <c r="D466" t="inlineStr">
        <is>
          <t>madyaarzensejahtera@gmail.com</t>
        </is>
      </c>
      <c r="E466" t="inlineStr">
        <is>
          <t>https://lpjk.pu.go.id/search-badan-usaha-detail/eUhzT2duMHNKa2ZMczNVaWJXWmVSQT09</t>
        </is>
      </c>
      <c r="F466" t="n">
        <v>1</v>
      </c>
      <c r="G466" t="inlineStr">
        <is>
          <t>BS004</t>
        </is>
      </c>
      <c r="H466" t="inlineStr">
        <is>
          <t>31 Januari 2023</t>
        </is>
      </c>
      <c r="I466" s="2" t="n">
        <v>46307</v>
      </c>
      <c r="J466" t="inlineStr">
        <is>
          <t>Pembekuan</t>
        </is>
      </c>
      <c r="K466" t="n">
        <v>60</v>
      </c>
      <c r="L466" t="inlineStr">
        <is>
          <t>12 Oktober 2026</t>
        </is>
      </c>
      <c r="M466" t="inlineStr">
        <is>
          <t>Konstruksi Jaringan Irigasi dan Drainase</t>
        </is>
      </c>
      <c r="N466" t="inlineStr">
        <is>
          <t>K</t>
        </is>
      </c>
      <c r="O466" t="inlineStr">
        <is>
          <t>20230909</t>
        </is>
      </c>
      <c r="P466" t="inlineStr">
        <is>
          <t>Kalimantan Timur</t>
        </is>
      </c>
      <c r="Q466" t="inlineStr"/>
    </row>
    <row r="467">
      <c r="A467" t="inlineStr">
        <is>
          <t>MAHA AKBAR SEJAHTERA</t>
        </is>
      </c>
      <c r="B467" t="inlineStr">
        <is>
          <t>Kota Medan</t>
        </is>
      </c>
      <c r="C467" t="inlineStr">
        <is>
          <t>06142784599</t>
        </is>
      </c>
      <c r="D467" t="inlineStr">
        <is>
          <t>admin@mahasejahtera.com</t>
        </is>
      </c>
      <c r="E467" t="inlineStr">
        <is>
          <t>https://lpjk.pu.go.id/search-badan-usaha-detail/enBJQkRBK0hoWXdEblNOeUxUMThGZz09</t>
        </is>
      </c>
      <c r="F467" t="n">
        <v>1</v>
      </c>
      <c r="G467" t="inlineStr">
        <is>
          <t>PB007</t>
        </is>
      </c>
      <c r="H467" t="inlineStr">
        <is>
          <t>16 Januari 2019</t>
        </is>
      </c>
      <c r="I467" s="2" t="n">
        <v>46308</v>
      </c>
      <c r="J467" t="inlineStr">
        <is>
          <t>Disetujui</t>
        </is>
      </c>
      <c r="K467" t="n">
        <v>60</v>
      </c>
      <c r="L467" t="inlineStr">
        <is>
          <t>13 Oktober 2026</t>
        </is>
      </c>
      <c r="M467" t="inlineStr">
        <is>
          <t>Pengecatan</t>
        </is>
      </c>
      <c r="N467" t="inlineStr">
        <is>
          <t>Spesialis</t>
        </is>
      </c>
      <c r="O467" t="inlineStr">
        <is>
          <t>20231010</t>
        </is>
      </c>
      <c r="P467" t="inlineStr">
        <is>
          <t>Sumatera Utara</t>
        </is>
      </c>
      <c r="Q467" t="inlineStr"/>
    </row>
    <row r="468">
      <c r="A468" t="inlineStr">
        <is>
          <t>MAHA PUTRI PERKASA</t>
        </is>
      </c>
      <c r="B468" t="inlineStr">
        <is>
          <t>Kab. Ketapang</t>
        </is>
      </c>
      <c r="C468" t="inlineStr">
        <is>
          <t>085245239636</t>
        </is>
      </c>
      <c r="D468" t="inlineStr">
        <is>
          <t>cvmahaputriperkasa@gmail.com</t>
        </is>
      </c>
      <c r="E468" t="inlineStr">
        <is>
          <t>https://lpjk.pu.go.id/search-badan-usaha-detail/NkFCSnF5R2tGVWxJS0w1TFF0Nzd1dz09</t>
        </is>
      </c>
      <c r="F468" t="n">
        <v>1</v>
      </c>
      <c r="G468" t="inlineStr">
        <is>
          <t>BS004</t>
        </is>
      </c>
      <c r="H468" t="inlineStr">
        <is>
          <t>2 Mei 2017</t>
        </is>
      </c>
      <c r="I468" s="2" t="n">
        <v>46307</v>
      </c>
      <c r="J468" t="inlineStr">
        <is>
          <t>Disetujui</t>
        </is>
      </c>
      <c r="K468" t="n">
        <v>60</v>
      </c>
      <c r="L468" t="inlineStr">
        <is>
          <t>12 Oktober 2026</t>
        </is>
      </c>
      <c r="M468" t="inlineStr">
        <is>
          <t>Konstruksi Jaringan Irigasi dan Drainase</t>
        </is>
      </c>
      <c r="N468" t="inlineStr">
        <is>
          <t>K</t>
        </is>
      </c>
      <c r="O468" t="inlineStr">
        <is>
          <t>20231011</t>
        </is>
      </c>
      <c r="P468" t="inlineStr">
        <is>
          <t>Kalimantan Barat</t>
        </is>
      </c>
      <c r="Q468" t="inlineStr"/>
    </row>
    <row r="469">
      <c r="A469" t="inlineStr">
        <is>
          <t>MAHAKARYA</t>
        </is>
      </c>
      <c r="B469" t="inlineStr">
        <is>
          <t>Kab. Blitar</t>
        </is>
      </c>
      <c r="C469" t="inlineStr">
        <is>
          <t>08123359554</t>
        </is>
      </c>
      <c r="D469" t="inlineStr">
        <is>
          <t>didikbudifariadi@yahoo.co.id</t>
        </is>
      </c>
      <c r="E469" t="inlineStr">
        <is>
          <t>https://lpjk.pu.go.id/search-badan-usaha-detail/M3lTZlVPem5wci9uWWU1bUhLVFJIdz09</t>
        </is>
      </c>
      <c r="F469" t="n">
        <v>3</v>
      </c>
      <c r="G469" t="inlineStr">
        <is>
          <t>BS006</t>
        </is>
      </c>
      <c r="H469" t="inlineStr">
        <is>
          <t>9 September 1999</t>
        </is>
      </c>
      <c r="I469" s="2" t="n">
        <v>46313</v>
      </c>
      <c r="J469" t="inlineStr">
        <is>
          <t>Disetujui</t>
        </is>
      </c>
      <c r="K469" t="n">
        <v>60</v>
      </c>
      <c r="L469" t="inlineStr">
        <is>
          <t>18 Oktober 2026</t>
        </is>
      </c>
      <c r="M469" t="inlineStr">
        <is>
          <t>Konstruksi Bangunan Sipil Prasarana dan Sarana Sistem Pengolahan Limbah Padat, Cair, dan Gas</t>
        </is>
      </c>
      <c r="N469" t="inlineStr">
        <is>
          <t>K</t>
        </is>
      </c>
      <c r="O469" t="inlineStr">
        <is>
          <t>20231012</t>
        </is>
      </c>
      <c r="P469" t="inlineStr">
        <is>
          <t>Jawa Timur</t>
        </is>
      </c>
      <c r="Q469" t="inlineStr"/>
    </row>
    <row r="470">
      <c r="A470" t="inlineStr">
        <is>
          <t>MAHAPRAJA BANGUN PERSADA</t>
        </is>
      </c>
      <c r="B470" t="inlineStr">
        <is>
          <t>Kota Adm. Jakarta Selatan</t>
        </is>
      </c>
      <c r="C470" t="inlineStr">
        <is>
          <t>081299948482</t>
        </is>
      </c>
      <c r="D470" t="inlineStr">
        <is>
          <t>mahaprajabangunpersada@gmail.com</t>
        </is>
      </c>
      <c r="E470" t="inlineStr">
        <is>
          <t>https://lpjk.pu.go.id/search-badan-usaha-detail/ZXJ4bzRzclRRQlJDOEZtOE0zUzM0Zz09</t>
        </is>
      </c>
      <c r="F470" t="n">
        <v>4</v>
      </c>
      <c r="G470" t="inlineStr">
        <is>
          <t>BG002, BG005, BG006, BG009</t>
        </is>
      </c>
      <c r="H470" t="inlineStr">
        <is>
          <t>8 Maret 2023</t>
        </is>
      </c>
      <c r="I470" s="2" t="n">
        <v>46313</v>
      </c>
      <c r="J470" t="inlineStr">
        <is>
          <t>Disetujui</t>
        </is>
      </c>
      <c r="K470" t="n">
        <v>60</v>
      </c>
      <c r="L470" t="inlineStr">
        <is>
          <t>18 Oktober 2026</t>
        </is>
      </c>
      <c r="M470" t="inlineStr">
        <is>
          <t>Konstruksi Gedung Kesehatan, Konstruksi Gedung Lainnya, Konstruksi Gedung Pendidikan, Konstruksi Gedung Perkantoran</t>
        </is>
      </c>
      <c r="N470" t="inlineStr">
        <is>
          <t>K</t>
        </is>
      </c>
      <c r="O470" t="inlineStr">
        <is>
          <t>20231017</t>
        </is>
      </c>
      <c r="P470" t="inlineStr">
        <is>
          <t>DKI Jakarta</t>
        </is>
      </c>
      <c r="Q470" t="inlineStr"/>
    </row>
    <row r="471">
      <c r="A471" t="inlineStr">
        <is>
          <t>MAHARANI KARYA MANDIRI</t>
        </is>
      </c>
      <c r="B471" t="inlineStr">
        <is>
          <t>Kota Tangerang</t>
        </is>
      </c>
      <c r="C471" t="inlineStr">
        <is>
          <t>08161155841</t>
        </is>
      </c>
      <c r="D471" t="inlineStr">
        <is>
          <t>maharani.karya99@gmail.com</t>
        </is>
      </c>
      <c r="E471" t="inlineStr">
        <is>
          <t>https://lpjk.pu.go.id/search-badan-usaha-detail/ZWZhRDRrMWFNT3JNZzZTNXdvNXNCUT09</t>
        </is>
      </c>
      <c r="F471" t="n">
        <v>10</v>
      </c>
      <c r="G471" t="inlineStr">
        <is>
          <t>BG006, BG009</t>
        </is>
      </c>
      <c r="H471" t="inlineStr">
        <is>
          <t>1 September 2023</t>
        </is>
      </c>
      <c r="I471" s="2" t="n">
        <v>46311</v>
      </c>
      <c r="J471" t="inlineStr">
        <is>
          <t>Disetujui</t>
        </is>
      </c>
      <c r="K471" t="n">
        <v>60</v>
      </c>
      <c r="L471" t="inlineStr">
        <is>
          <t>16 Oktober 2026</t>
        </is>
      </c>
      <c r="M471" t="inlineStr">
        <is>
          <t>Konstruksi Gedung Lainnya, Konstruksi Gedung Pendidikan</t>
        </is>
      </c>
      <c r="N471" t="inlineStr">
        <is>
          <t>K</t>
        </is>
      </c>
      <c r="O471" t="inlineStr">
        <is>
          <t>20231010, 20231014</t>
        </is>
      </c>
      <c r="P471" t="inlineStr">
        <is>
          <t>Banten</t>
        </is>
      </c>
      <c r="Q471" t="inlineStr"/>
    </row>
    <row r="472">
      <c r="A472" t="inlineStr">
        <is>
          <t>MAHARDIKA</t>
        </is>
      </c>
      <c r="B472" t="inlineStr">
        <is>
          <t>Kota Padang</t>
        </is>
      </c>
      <c r="C472" t="inlineStr">
        <is>
          <t>081363576633</t>
        </is>
      </c>
      <c r="D472" t="inlineStr">
        <is>
          <t>cvmahardika.padang@gmail.com</t>
        </is>
      </c>
      <c r="E472" t="inlineStr">
        <is>
          <t>https://lpjk.pu.go.id/search-badan-usaha-detail/elJIU05GcC83R0l4L0h4N0V3WFF0QT09</t>
        </is>
      </c>
      <c r="F472" t="n">
        <v>3</v>
      </c>
      <c r="G472" t="inlineStr">
        <is>
          <t>BG009</t>
        </is>
      </c>
      <c r="H472" t="inlineStr">
        <is>
          <t>12 Maret 2007</t>
        </is>
      </c>
      <c r="I472" s="2" t="n">
        <v>46307</v>
      </c>
      <c r="J472" t="inlineStr">
        <is>
          <t>Disetujui</t>
        </is>
      </c>
      <c r="K472" t="n">
        <v>60</v>
      </c>
      <c r="L472" t="inlineStr">
        <is>
          <t>12 Oktober 2026</t>
        </is>
      </c>
      <c r="M472" t="inlineStr">
        <is>
          <t>Konstruksi Gedung Lainnya</t>
        </is>
      </c>
      <c r="N472" t="inlineStr">
        <is>
          <t>K</t>
        </is>
      </c>
      <c r="O472" t="inlineStr">
        <is>
          <t>20231004</t>
        </is>
      </c>
      <c r="P472" t="inlineStr">
        <is>
          <t>Sumatera Barat</t>
        </is>
      </c>
      <c r="Q472" t="inlineStr"/>
    </row>
    <row r="473">
      <c r="A473" t="inlineStr">
        <is>
          <t>MAHARDIKA ARTHA GEMILANG</t>
        </is>
      </c>
      <c r="B473" t="inlineStr">
        <is>
          <t>Kab. Tangerang</t>
        </is>
      </c>
      <c r="C473" t="inlineStr">
        <is>
          <t>08129624591</t>
        </is>
      </c>
      <c r="D473" t="inlineStr">
        <is>
          <t>cvmahardikaarthag@gmail.com</t>
        </is>
      </c>
      <c r="E473" t="inlineStr">
        <is>
          <t>https://lpjk.pu.go.id/search-badan-usaha-detail/a21KUStCSm9Xd29NNmpLSWo1bzhYdz09</t>
        </is>
      </c>
      <c r="F473" t="n">
        <v>3</v>
      </c>
      <c r="G473" t="inlineStr">
        <is>
          <t>BS004</t>
        </is>
      </c>
      <c r="H473" t="inlineStr">
        <is>
          <t>4 Januari 2021</t>
        </is>
      </c>
      <c r="I473" s="2" t="n">
        <v>46307</v>
      </c>
      <c r="J473" t="inlineStr">
        <is>
          <t>Disetujui</t>
        </is>
      </c>
      <c r="K473" t="n">
        <v>60</v>
      </c>
      <c r="L473" t="inlineStr">
        <is>
          <t>12 Oktober 2026</t>
        </is>
      </c>
      <c r="M473" t="inlineStr">
        <is>
          <t>Konstruksi Jaringan Irigasi dan Drainase</t>
        </is>
      </c>
      <c r="N473" t="inlineStr">
        <is>
          <t>K</t>
        </is>
      </c>
      <c r="O473" t="inlineStr">
        <is>
          <t>20231003</t>
        </is>
      </c>
      <c r="P473" t="inlineStr">
        <is>
          <t>Banten</t>
        </is>
      </c>
      <c r="Q473" t="inlineStr"/>
    </row>
    <row r="474">
      <c r="A474" t="inlineStr">
        <is>
          <t>MAHIJA RAYA26</t>
        </is>
      </c>
      <c r="B474" t="inlineStr">
        <is>
          <t>Kab. Nganjuk</t>
        </is>
      </c>
      <c r="C474" t="inlineStr">
        <is>
          <t>081219590246</t>
        </is>
      </c>
      <c r="D474" t="inlineStr">
        <is>
          <t>cv.mahijaraya26@gmail.com</t>
        </is>
      </c>
      <c r="E474" t="inlineStr">
        <is>
          <t>https://lpjk.pu.go.id/search-badan-usaha-detail/OWcxWEp5bklIdmpHZFJ6UTBoRkNtUT09</t>
        </is>
      </c>
      <c r="F474" t="n">
        <v>2</v>
      </c>
      <c r="G474" t="inlineStr">
        <is>
          <t>BG009, BS005</t>
        </is>
      </c>
      <c r="H474" t="inlineStr">
        <is>
          <t>7 Februari 2023</t>
        </is>
      </c>
      <c r="I474" s="2" t="n">
        <v>46308</v>
      </c>
      <c r="J474" t="inlineStr">
        <is>
          <t>Disetujui</t>
        </is>
      </c>
      <c r="K474" t="n">
        <v>60</v>
      </c>
      <c r="L474" t="inlineStr">
        <is>
          <t>13 Oktober 2026</t>
        </is>
      </c>
      <c r="M474" t="inlineStr">
        <is>
          <t>Konstruksi Bangunan Sipil Pengolahan Air Bersih, Konstruksi Gedung Lainnya</t>
        </is>
      </c>
      <c r="N474" t="inlineStr">
        <is>
          <t>K</t>
        </is>
      </c>
      <c r="O474" t="inlineStr">
        <is>
          <t>20231013, 20231016</t>
        </is>
      </c>
      <c r="P474" t="inlineStr">
        <is>
          <t>Jawa Timur</t>
        </is>
      </c>
      <c r="Q474" t="inlineStr"/>
    </row>
    <row r="475">
      <c r="A475" t="inlineStr">
        <is>
          <t>MAHIRA BERJAYA</t>
        </is>
      </c>
      <c r="B475" t="inlineStr">
        <is>
          <t>Kota Semarang</t>
        </is>
      </c>
      <c r="C475" t="inlineStr">
        <is>
          <t>081229360740</t>
        </is>
      </c>
      <c r="D475" t="inlineStr">
        <is>
          <t>cvmahiraberjaya2021@gmail.com</t>
        </is>
      </c>
      <c r="E475" t="inlineStr">
        <is>
          <t>https://lpjk.pu.go.id/search-badan-usaha-detail/a1BkSi9JNnN0N1hCc2dzalNsYzE4Zz09</t>
        </is>
      </c>
      <c r="F475" t="n">
        <v>1</v>
      </c>
      <c r="G475" t="inlineStr">
        <is>
          <t>BG005</t>
        </is>
      </c>
      <c r="H475" t="inlineStr">
        <is>
          <t>1 Oktober 2021</t>
        </is>
      </c>
      <c r="I475" s="2" t="n">
        <v>46311</v>
      </c>
      <c r="J475" t="inlineStr">
        <is>
          <t>Disetujui</t>
        </is>
      </c>
      <c r="K475" t="n">
        <v>60</v>
      </c>
      <c r="L475" t="inlineStr">
        <is>
          <t>16 Oktober 2026</t>
        </is>
      </c>
      <c r="M475" t="inlineStr">
        <is>
          <t>Konstruksi Gedung Kesehatan</t>
        </is>
      </c>
      <c r="N475" t="inlineStr">
        <is>
          <t>K</t>
        </is>
      </c>
      <c r="O475" t="inlineStr">
        <is>
          <t>20231013</t>
        </is>
      </c>
      <c r="P475" t="inlineStr">
        <is>
          <t>Jawa Tengah</t>
        </is>
      </c>
      <c r="Q475" t="inlineStr"/>
    </row>
    <row r="476">
      <c r="A476" t="inlineStr">
        <is>
          <t>MAHKOTA CAHAYA MULIA ABADI</t>
        </is>
      </c>
      <c r="B476" t="inlineStr">
        <is>
          <t>Kab. Cilacap</t>
        </is>
      </c>
      <c r="C476" t="inlineStr">
        <is>
          <t>081804782476</t>
        </is>
      </c>
      <c r="D476" t="inlineStr">
        <is>
          <t>pt.mahkotacma@yahoo.co.id</t>
        </is>
      </c>
      <c r="E476" t="inlineStr">
        <is>
          <t>https://lpjk.pu.go.id/search-badan-usaha-detail/QTlyUkVwWjkvekNsbEhOUGlwQXJKUT09</t>
        </is>
      </c>
      <c r="F476" t="n">
        <v>1</v>
      </c>
      <c r="G476" t="inlineStr">
        <is>
          <t>BG001</t>
        </is>
      </c>
      <c r="H476" t="inlineStr">
        <is>
          <t>19 September 2012</t>
        </is>
      </c>
      <c r="I476" s="2" t="n">
        <v>46311</v>
      </c>
      <c r="J476" t="inlineStr">
        <is>
          <t>Pencabutan</t>
        </is>
      </c>
      <c r="K476" t="n">
        <v>60</v>
      </c>
      <c r="L476" t="inlineStr">
        <is>
          <t>16 Oktober 2026</t>
        </is>
      </c>
      <c r="M476" t="inlineStr">
        <is>
          <t>Konstruksi Gedung Hunian</t>
        </is>
      </c>
      <c r="N476" t="inlineStr">
        <is>
          <t>K</t>
        </is>
      </c>
      <c r="O476" t="inlineStr">
        <is>
          <t>20220930</t>
        </is>
      </c>
      <c r="P476" t="inlineStr">
        <is>
          <t>Jawa Tengah</t>
        </is>
      </c>
      <c r="Q476" t="inlineStr"/>
    </row>
    <row r="477">
      <c r="A477" t="inlineStr">
        <is>
          <t>MAJU BERSAUDARA</t>
        </is>
      </c>
      <c r="B477" t="inlineStr">
        <is>
          <t>Kab. Lahat</t>
        </is>
      </c>
      <c r="C477" t="inlineStr">
        <is>
          <t>085378111134</t>
        </is>
      </c>
      <c r="D477" t="inlineStr">
        <is>
          <t>cv.majubersaudara@gmail.com</t>
        </is>
      </c>
      <c r="E477" t="inlineStr">
        <is>
          <t>https://lpjk.pu.go.id/search-badan-usaha-detail/RTFob1Yvbm1oYXlzUWtOV0NaZTlmQT09</t>
        </is>
      </c>
      <c r="F477" t="n">
        <v>2</v>
      </c>
      <c r="G477" t="inlineStr">
        <is>
          <t>BS001, BS004</t>
        </is>
      </c>
      <c r="H477" t="inlineStr">
        <is>
          <t>3 Oktober 2019</t>
        </is>
      </c>
      <c r="I477" s="2" t="n">
        <v>46313</v>
      </c>
      <c r="J477" t="inlineStr">
        <is>
          <t>Disetujui</t>
        </is>
      </c>
      <c r="K477" t="n">
        <v>60</v>
      </c>
      <c r="L477" t="inlineStr">
        <is>
          <t>18 Oktober 2026</t>
        </is>
      </c>
      <c r="M477" t="inlineStr">
        <is>
          <t>Konstruksi Bangunan Sipil Jalan, Konstruksi Jaringan Irigasi dan Drainase</t>
        </is>
      </c>
      <c r="N477" t="inlineStr">
        <is>
          <t>K</t>
        </is>
      </c>
      <c r="O477" t="inlineStr">
        <is>
          <t>20231016</t>
        </is>
      </c>
      <c r="P477" t="inlineStr">
        <is>
          <t>Sumatera Selatan</t>
        </is>
      </c>
      <c r="Q477" t="inlineStr"/>
    </row>
    <row r="478">
      <c r="A478" t="inlineStr">
        <is>
          <t>MAJU MAPAN</t>
        </is>
      </c>
      <c r="B478" t="inlineStr">
        <is>
          <t>Kab. Banyuwangi</t>
        </is>
      </c>
      <c r="C478" t="inlineStr">
        <is>
          <t>082333255205</t>
        </is>
      </c>
      <c r="D478" t="inlineStr">
        <is>
          <t>majumapan53@yahoo.com</t>
        </is>
      </c>
      <c r="E478" t="inlineStr">
        <is>
          <t>https://lpjk.pu.go.id/search-badan-usaha-detail/dGxkbTBQeGl3c1ZDVzEvTTA5K2U0Zz09</t>
        </is>
      </c>
      <c r="F478" t="n">
        <v>4</v>
      </c>
      <c r="G478" t="inlineStr">
        <is>
          <t>BG005, BG006, BS001, BS002</t>
        </is>
      </c>
      <c r="H478" t="inlineStr">
        <is>
          <t>2 November 2017</t>
        </is>
      </c>
      <c r="I478" s="2" t="n">
        <v>46310</v>
      </c>
      <c r="J478" t="inlineStr">
        <is>
          <t>Disetujui</t>
        </is>
      </c>
      <c r="K478" t="n">
        <v>60</v>
      </c>
      <c r="L478" t="inlineStr">
        <is>
          <t>15 Oktober 2026</t>
        </is>
      </c>
      <c r="M478" t="inlineStr">
        <is>
          <t>Bangunan Sipil Jembatan, Jalan Layang, Fly Over, dan Underpass, Konstruksi Bangunan Sipil Jalan, Konstruksi Gedung Kesehatan, Konstruksi Gedung Pendidikan</t>
        </is>
      </c>
      <c r="N478" t="inlineStr">
        <is>
          <t>K</t>
        </is>
      </c>
      <c r="O478" t="inlineStr">
        <is>
          <t>20231013, 20231016</t>
        </is>
      </c>
      <c r="P478" t="inlineStr">
        <is>
          <t>Jawa Timur</t>
        </is>
      </c>
      <c r="Q478" t="inlineStr"/>
    </row>
    <row r="479">
      <c r="A479" t="inlineStr">
        <is>
          <t>MAKMUR HIDAYAH</t>
        </is>
      </c>
      <c r="B479" t="inlineStr">
        <is>
          <t>Kota Adm. Jakarta Utara</t>
        </is>
      </c>
      <c r="C479" t="inlineStr">
        <is>
          <t>08161877296</t>
        </is>
      </c>
      <c r="D479" t="inlineStr">
        <is>
          <t>makmurhidayahcv@gmail.com</t>
        </is>
      </c>
      <c r="E479" t="inlineStr">
        <is>
          <t>https://lpjk.pu.go.id/search-badan-usaha-detail/N1dFeFN4NGxwaXV3eGlzSnhZWU93Zz09</t>
        </is>
      </c>
      <c r="F479" t="n">
        <v>1</v>
      </c>
      <c r="G479" t="inlineStr">
        <is>
          <t>BS001</t>
        </is>
      </c>
      <c r="H479" t="inlineStr">
        <is>
          <t>13 November 2017</t>
        </is>
      </c>
      <c r="I479" s="2" t="n">
        <v>46310</v>
      </c>
      <c r="J479" t="inlineStr">
        <is>
          <t>Disetujui</t>
        </is>
      </c>
      <c r="K479" t="n">
        <v>60</v>
      </c>
      <c r="L479" t="inlineStr">
        <is>
          <t>15 Oktober 2026</t>
        </is>
      </c>
      <c r="M479" t="inlineStr">
        <is>
          <t>Konstruksi Bangunan Sipil Jalan</t>
        </is>
      </c>
      <c r="N479" t="inlineStr">
        <is>
          <t>K</t>
        </is>
      </c>
      <c r="O479" t="inlineStr">
        <is>
          <t>20231009</t>
        </is>
      </c>
      <c r="P479" t="inlineStr">
        <is>
          <t>DKI Jakarta</t>
        </is>
      </c>
      <c r="Q479" t="inlineStr"/>
    </row>
    <row r="480">
      <c r="A480" t="inlineStr">
        <is>
          <t>MAKMUR JAYA BERKAT KONTRAKTOR</t>
        </is>
      </c>
      <c r="B480" t="inlineStr">
        <is>
          <t>Kota Adm. Jakarta Utara</t>
        </is>
      </c>
      <c r="C480" t="inlineStr">
        <is>
          <t>02129745083</t>
        </is>
      </c>
      <c r="D480" t="inlineStr">
        <is>
          <t>ptmjbk.comp@yahoo.co.id</t>
        </is>
      </c>
      <c r="E480" t="inlineStr">
        <is>
          <t>https://lpjk.pu.go.id/search-badan-usaha-detail/M0J5TXRCdk5XbW5ya2pDK2ZXU2lUZz09</t>
        </is>
      </c>
      <c r="F480" t="n">
        <v>2</v>
      </c>
      <c r="G480" t="inlineStr">
        <is>
          <t>BG003, BG004</t>
        </is>
      </c>
      <c r="H480" t="inlineStr">
        <is>
          <t>20 September 2023</t>
        </is>
      </c>
      <c r="I480" s="2" t="n">
        <v>46307</v>
      </c>
      <c r="J480" t="inlineStr">
        <is>
          <t>Pencabutan</t>
        </is>
      </c>
      <c r="K480" t="n">
        <v>60</v>
      </c>
      <c r="L480" t="inlineStr">
        <is>
          <t>12 Oktober 2026</t>
        </is>
      </c>
      <c r="M480" t="inlineStr">
        <is>
          <t>Konstruksi Gedung Industri, Konstruksi Gedung Perbelanjaan</t>
        </is>
      </c>
      <c r="N480" t="inlineStr">
        <is>
          <t>B</t>
        </is>
      </c>
      <c r="O480" t="inlineStr">
        <is>
          <t>20231009, 20231010</t>
        </is>
      </c>
      <c r="P480" t="inlineStr">
        <is>
          <t>DKI Jakarta</t>
        </is>
      </c>
      <c r="Q480" t="inlineStr"/>
    </row>
    <row r="481">
      <c r="A481" t="inlineStr">
        <is>
          <t>MALABAR INTI KONSTRUKSI</t>
        </is>
      </c>
      <c r="B481" t="inlineStr">
        <is>
          <t>Kota Bandar Lampung</t>
        </is>
      </c>
      <c r="C481" t="inlineStr">
        <is>
          <t>085384227288</t>
        </is>
      </c>
      <c r="D481" t="inlineStr">
        <is>
          <t>konstruksimalabarinti@gmail.com</t>
        </is>
      </c>
      <c r="E481" t="inlineStr">
        <is>
          <t>https://lpjk.pu.go.id/search-badan-usaha-detail/YnA2enBzVWlFOVR1dktuK21ob2h2Zz09</t>
        </is>
      </c>
      <c r="F481" t="n">
        <v>1</v>
      </c>
      <c r="G481" t="inlineStr">
        <is>
          <t>BG009</t>
        </is>
      </c>
      <c r="H481" t="inlineStr">
        <is>
          <t>31 Desember 2018</t>
        </is>
      </c>
      <c r="I481" s="2" t="n">
        <v>46310</v>
      </c>
      <c r="J481" t="inlineStr">
        <is>
          <t>Disetujui</t>
        </is>
      </c>
      <c r="K481" t="n">
        <v>60</v>
      </c>
      <c r="L481" t="inlineStr">
        <is>
          <t>15 Oktober 2026</t>
        </is>
      </c>
      <c r="M481" t="inlineStr">
        <is>
          <t>Konstruksi Gedung Lainnya</t>
        </is>
      </c>
      <c r="N481" t="inlineStr">
        <is>
          <t>K</t>
        </is>
      </c>
      <c r="O481" t="inlineStr">
        <is>
          <t>20231013</t>
        </is>
      </c>
      <c r="P481" t="inlineStr">
        <is>
          <t>Lampung</t>
        </is>
      </c>
      <c r="Q481" t="inlineStr"/>
    </row>
    <row r="482">
      <c r="A482" t="inlineStr">
        <is>
          <t>MALIK JAYA KARYA CONS</t>
        </is>
      </c>
      <c r="B482" t="inlineStr">
        <is>
          <t>Kab. Kutai Timur</t>
        </is>
      </c>
      <c r="C482" t="inlineStr">
        <is>
          <t>081318479092</t>
        </is>
      </c>
      <c r="D482" t="inlineStr">
        <is>
          <t>malikjayakaryacons@gmail.com</t>
        </is>
      </c>
      <c r="E482" t="inlineStr">
        <is>
          <t>https://lpjk.pu.go.id/search-badan-usaha-detail/RHp6TDVaUUFmZWRZWTc0b3hCV2QyZz09</t>
        </is>
      </c>
      <c r="F482" t="n">
        <v>3</v>
      </c>
      <c r="G482" t="inlineStr">
        <is>
          <t>RK001, RK002, RK003</t>
        </is>
      </c>
      <c r="H482" t="inlineStr">
        <is>
          <t>16 Januari 2020</t>
        </is>
      </c>
      <c r="I482" s="2" t="n">
        <v>46310</v>
      </c>
      <c r="J482" t="inlineStr">
        <is>
          <t>Disetujui</t>
        </is>
      </c>
      <c r="K482" t="n">
        <v>60</v>
      </c>
      <c r="L482" t="inlineStr">
        <is>
          <t>15 Oktober 2026</t>
        </is>
      </c>
      <c r="M482" t="inlineStr">
        <is>
          <t>Jasa Rekayasa Konstruksi Bangunan Gedung Hunian dan Non Hunian, Jasa Rekayasa Pekerjaan Teknik Sipil Sumber Daya Air, Jasa Rekayasa Pekerjaan Teknik Sipil Transportasi</t>
        </is>
      </c>
      <c r="N482" t="inlineStr">
        <is>
          <t>K</t>
        </is>
      </c>
      <c r="O482" t="inlineStr">
        <is>
          <t>20231009</t>
        </is>
      </c>
      <c r="P482" t="inlineStr">
        <is>
          <t>Kalimantan Timur</t>
        </is>
      </c>
      <c r="Q482" t="inlineStr"/>
    </row>
    <row r="483">
      <c r="A483" t="inlineStr">
        <is>
          <t>MANDALA BARU</t>
        </is>
      </c>
      <c r="B483" t="inlineStr">
        <is>
          <t>Kab. Pasuruan</t>
        </is>
      </c>
      <c r="C483" t="inlineStr">
        <is>
          <t>082140029938</t>
        </is>
      </c>
      <c r="D483" t="inlineStr">
        <is>
          <t>mandalabaru2020@gmail.com</t>
        </is>
      </c>
      <c r="E483" t="inlineStr">
        <is>
          <t>https://lpjk.pu.go.id/search-badan-usaha-detail/dngyVG4xcGdQOU9Lc1ZIMndYM3p5Zz09</t>
        </is>
      </c>
      <c r="F483" t="n">
        <v>4</v>
      </c>
      <c r="G483" t="inlineStr">
        <is>
          <t>BG006, BS004</t>
        </is>
      </c>
      <c r="H483" t="inlineStr">
        <is>
          <t>5 Juni 2020</t>
        </is>
      </c>
      <c r="I483" s="2" t="n">
        <v>46310</v>
      </c>
      <c r="J483" t="inlineStr">
        <is>
          <t>Disetujui</t>
        </is>
      </c>
      <c r="K483" t="n">
        <v>60</v>
      </c>
      <c r="L483" t="inlineStr">
        <is>
          <t>15 Oktober 2026</t>
        </is>
      </c>
      <c r="M483" t="inlineStr">
        <is>
          <t>Konstruksi Gedung Pendidikan, Konstruksi Jaringan Irigasi dan Drainase</t>
        </is>
      </c>
      <c r="N483" t="inlineStr">
        <is>
          <t>K</t>
        </is>
      </c>
      <c r="O483" t="inlineStr">
        <is>
          <t>20231014</t>
        </is>
      </c>
      <c r="P483" t="inlineStr">
        <is>
          <t>Jawa Timur</t>
        </is>
      </c>
      <c r="Q483" t="inlineStr"/>
    </row>
    <row r="484">
      <c r="A484" t="inlineStr">
        <is>
          <t>MANDALA NUSA JAYA</t>
        </is>
      </c>
      <c r="B484" t="inlineStr">
        <is>
          <t>Kota Batam</t>
        </is>
      </c>
      <c r="C484" t="inlineStr">
        <is>
          <t>081260199262</t>
        </is>
      </c>
      <c r="D484" t="inlineStr">
        <is>
          <t>mandalanusajaya@gmail.com</t>
        </is>
      </c>
      <c r="E484" t="inlineStr">
        <is>
          <t>https://lpjk.pu.go.id/search-badan-usaha-detail/UmJVL1dmcy9NY1ZxZ01lKzlES1UrQT09</t>
        </is>
      </c>
      <c r="F484" t="n">
        <v>4</v>
      </c>
      <c r="G484" t="inlineStr">
        <is>
          <t>BS001, BS004</t>
        </is>
      </c>
      <c r="H484" t="inlineStr">
        <is>
          <t>12 November 2019</t>
        </is>
      </c>
      <c r="I484" s="2" t="n">
        <v>46311</v>
      </c>
      <c r="J484" t="inlineStr">
        <is>
          <t>Disetujui</t>
        </is>
      </c>
      <c r="K484" t="n">
        <v>60</v>
      </c>
      <c r="L484" t="inlineStr">
        <is>
          <t>16 Oktober 2026</t>
        </is>
      </c>
      <c r="M484" t="inlineStr">
        <is>
          <t>Konstruksi Bangunan Sipil Jalan, Konstruksi Jaringan Irigasi dan Drainase</t>
        </is>
      </c>
      <c r="N484" t="inlineStr">
        <is>
          <t>K</t>
        </is>
      </c>
      <c r="O484" t="inlineStr">
        <is>
          <t>20231016</t>
        </is>
      </c>
      <c r="P484" t="inlineStr">
        <is>
          <t>Kepulauan Riau</t>
        </is>
      </c>
      <c r="Q484" t="inlineStr"/>
    </row>
    <row r="485">
      <c r="A485" t="inlineStr">
        <is>
          <t>MANDIRI JAYA ABADI</t>
        </is>
      </c>
      <c r="B485" t="inlineStr">
        <is>
          <t>Kota Bandung</t>
        </is>
      </c>
      <c r="C485" t="inlineStr">
        <is>
          <t>02242690311</t>
        </is>
      </c>
      <c r="D485" t="inlineStr">
        <is>
          <t>mja.2008@yahoo.com</t>
        </is>
      </c>
      <c r="E485" t="inlineStr">
        <is>
          <t>https://lpjk.pu.go.id/search-badan-usaha-detail/bXUxNVR1WG9Ed2hyUERrZzZ2QzRvQT09</t>
        </is>
      </c>
      <c r="F485" t="n">
        <v>3</v>
      </c>
      <c r="G485" t="inlineStr">
        <is>
          <t>BG006, BS001, BS004</t>
        </is>
      </c>
      <c r="H485" t="inlineStr">
        <is>
          <t>22 Juni 2012</t>
        </is>
      </c>
      <c r="I485" s="2" t="n">
        <v>46307</v>
      </c>
      <c r="J485" t="inlineStr">
        <is>
          <t>Disetujui</t>
        </is>
      </c>
      <c r="K485" t="n">
        <v>60</v>
      </c>
      <c r="L485" t="inlineStr">
        <is>
          <t>12 Oktober 2026</t>
        </is>
      </c>
      <c r="M485" t="inlineStr">
        <is>
          <t>Konstruksi Bangunan Sipil Jalan, Konstruksi Gedung Pendidikan, Konstruksi Jaringan Irigasi dan Drainase</t>
        </is>
      </c>
      <c r="N485" t="inlineStr">
        <is>
          <t>K</t>
        </is>
      </c>
      <c r="O485" t="inlineStr">
        <is>
          <t>20231010</t>
        </is>
      </c>
      <c r="P485" t="inlineStr">
        <is>
          <t>Jawa Barat</t>
        </is>
      </c>
      <c r="Q485" t="inlineStr"/>
    </row>
    <row r="486">
      <c r="A486" t="inlineStr">
        <is>
          <t>MANDIRI MULIA</t>
        </is>
      </c>
      <c r="B486" t="inlineStr">
        <is>
          <t>Kota Yogyakarta</t>
        </is>
      </c>
      <c r="C486" t="inlineStr">
        <is>
          <t>082225452312</t>
        </is>
      </c>
      <c r="D486" t="inlineStr">
        <is>
          <t>mandirimulia3@gmail.com</t>
        </is>
      </c>
      <c r="E486" t="inlineStr">
        <is>
          <t>https://lpjk.pu.go.id/search-badan-usaha-detail/U2dwUWwzSVdnRndHUUlFc2NwTWtBQT09</t>
        </is>
      </c>
      <c r="F486" t="n">
        <v>1</v>
      </c>
      <c r="G486" t="inlineStr">
        <is>
          <t>BG009</t>
        </is>
      </c>
      <c r="H486" t="inlineStr">
        <is>
          <t>15 Agustus 2011</t>
        </is>
      </c>
      <c r="I486" s="2" t="n">
        <v>46308</v>
      </c>
      <c r="J486" t="inlineStr">
        <is>
          <t>Disetujui</t>
        </is>
      </c>
      <c r="K486" t="n">
        <v>60</v>
      </c>
      <c r="L486" t="inlineStr">
        <is>
          <t>13 Oktober 2026</t>
        </is>
      </c>
      <c r="M486" t="inlineStr">
        <is>
          <t>Konstruksi Gedung Lainnya</t>
        </is>
      </c>
      <c r="N486" t="inlineStr">
        <is>
          <t>K</t>
        </is>
      </c>
      <c r="O486" t="inlineStr">
        <is>
          <t>20230816</t>
        </is>
      </c>
      <c r="P486" t="inlineStr">
        <is>
          <t>DI Yogyakarta</t>
        </is>
      </c>
      <c r="Q486" t="inlineStr"/>
    </row>
    <row r="487">
      <c r="A487" t="inlineStr">
        <is>
          <t>MANDIRI TORIDA</t>
        </is>
      </c>
      <c r="B487" t="inlineStr">
        <is>
          <t>Kab. Tapanuli Tengah</t>
        </is>
      </c>
      <c r="C487" t="inlineStr">
        <is>
          <t>081375933660</t>
        </is>
      </c>
      <c r="D487" t="inlineStr">
        <is>
          <t>marlinatobing17@gmail.com</t>
        </is>
      </c>
      <c r="E487" t="inlineStr">
        <is>
          <t>https://lpjk.pu.go.id/search-badan-usaha-detail/ZW5RNEd6M3lCVEJUSXBKOXpWNUNtZz09</t>
        </is>
      </c>
      <c r="F487" t="n">
        <v>2</v>
      </c>
      <c r="G487" t="inlineStr">
        <is>
          <t>BG004, BS002</t>
        </is>
      </c>
      <c r="H487" t="inlineStr">
        <is>
          <t>23 Februari 2009</t>
        </is>
      </c>
      <c r="I487" s="2" t="n">
        <v>46309</v>
      </c>
      <c r="J487" t="inlineStr">
        <is>
          <t>Disetujui</t>
        </is>
      </c>
      <c r="K487" t="n">
        <v>60</v>
      </c>
      <c r="L487" t="inlineStr">
        <is>
          <t>14 Oktober 2026</t>
        </is>
      </c>
      <c r="M487" t="inlineStr">
        <is>
          <t>Bangunan Sipil Jembatan, Jalan Layang, Fly Over, dan Underpass, Konstruksi Gedung Perbelanjaan</t>
        </is>
      </c>
      <c r="N487" t="inlineStr">
        <is>
          <t>K</t>
        </is>
      </c>
      <c r="O487" t="inlineStr">
        <is>
          <t>20231014</t>
        </is>
      </c>
      <c r="P487" t="inlineStr">
        <is>
          <t>Sumatera Utara</t>
        </is>
      </c>
      <c r="Q487" t="inlineStr"/>
    </row>
    <row r="488">
      <c r="A488" t="inlineStr">
        <is>
          <t>MANGGALA</t>
        </is>
      </c>
      <c r="B488" t="inlineStr">
        <is>
          <t>Kota Denpasar</t>
        </is>
      </c>
      <c r="C488" t="inlineStr">
        <is>
          <t>081337324272</t>
        </is>
      </c>
      <c r="D488" t="inlineStr">
        <is>
          <t>cv.manggala20@ymail.com</t>
        </is>
      </c>
      <c r="E488" t="inlineStr">
        <is>
          <t>https://lpjk.pu.go.id/search-badan-usaha-detail/b3BtdTFYRG1kR1JDeHdNMzQrK2p4QT09</t>
        </is>
      </c>
      <c r="F488" t="n">
        <v>2</v>
      </c>
      <c r="G488" t="inlineStr">
        <is>
          <t>BG005, BG007</t>
        </is>
      </c>
      <c r="H488" t="inlineStr">
        <is>
          <t>31 Agustus 1984</t>
        </is>
      </c>
      <c r="I488" s="2" t="n">
        <v>46308</v>
      </c>
      <c r="J488" t="inlineStr">
        <is>
          <t>Disetujui</t>
        </is>
      </c>
      <c r="K488" t="n">
        <v>60</v>
      </c>
      <c r="L488" t="inlineStr">
        <is>
          <t>13 Oktober 2026</t>
        </is>
      </c>
      <c r="M488" t="inlineStr">
        <is>
          <t>Konstruksi Gedung Kesehatan, Konstruksi Gedung Penginapan</t>
        </is>
      </c>
      <c r="N488" t="inlineStr">
        <is>
          <t>K</t>
        </is>
      </c>
      <c r="O488" t="inlineStr">
        <is>
          <t>20231010, 20231013</t>
        </is>
      </c>
      <c r="P488" t="inlineStr">
        <is>
          <t>Bali</t>
        </is>
      </c>
      <c r="Q488" t="inlineStr"/>
    </row>
    <row r="489">
      <c r="A489" t="inlineStr">
        <is>
          <t>MANGKU JAGAD</t>
        </is>
      </c>
      <c r="B489" t="inlineStr">
        <is>
          <t>Kab. Nganjuk</t>
        </is>
      </c>
      <c r="C489" t="inlineStr">
        <is>
          <t>081233444244</t>
        </is>
      </c>
      <c r="D489" t="inlineStr">
        <is>
          <t>mangkujagad10@gmail.com</t>
        </is>
      </c>
      <c r="E489" t="inlineStr">
        <is>
          <t>https://lpjk.pu.go.id/search-badan-usaha-detail/dDlpRmpydXVKUzVIRFBTNlZrL0gyQT09</t>
        </is>
      </c>
      <c r="F489" t="n">
        <v>3</v>
      </c>
      <c r="G489" t="inlineStr">
        <is>
          <t>BG002, BG005, BG009</t>
        </is>
      </c>
      <c r="H489" t="inlineStr">
        <is>
          <t>2 Februari 2022</t>
        </is>
      </c>
      <c r="I489" s="2" t="n">
        <v>46307</v>
      </c>
      <c r="J489" t="inlineStr">
        <is>
          <t>Disetujui</t>
        </is>
      </c>
      <c r="K489" t="n">
        <v>60</v>
      </c>
      <c r="L489" t="inlineStr">
        <is>
          <t>12 Oktober 2026</t>
        </is>
      </c>
      <c r="M489" t="inlineStr">
        <is>
          <t>Konstruksi Gedung Kesehatan, Konstruksi Gedung Lainnya, Konstruksi Gedung Perkantoran</t>
        </is>
      </c>
      <c r="N489" t="inlineStr">
        <is>
          <t>K</t>
        </is>
      </c>
      <c r="O489" t="inlineStr">
        <is>
          <t>20231005, 20231006</t>
        </is>
      </c>
      <c r="P489" t="inlineStr">
        <is>
          <t>Jawa Timur</t>
        </is>
      </c>
      <c r="Q489" t="inlineStr"/>
    </row>
    <row r="490">
      <c r="A490" t="inlineStr">
        <is>
          <t>MANUNGGAL ANUGERAH PERKASA</t>
        </is>
      </c>
      <c r="B490" t="inlineStr">
        <is>
          <t>Kab. Tabanan</t>
        </is>
      </c>
      <c r="C490" t="inlineStr">
        <is>
          <t>0817389526</t>
        </is>
      </c>
      <c r="D490" t="inlineStr">
        <is>
          <t>manunggal.map@gmail.com</t>
        </is>
      </c>
      <c r="E490" t="inlineStr">
        <is>
          <t>https://lpjk.pu.go.id/search-badan-usaha-detail/NVB0VnJGaGxHVDZ1N1dxYmp3RnJ0UT09</t>
        </is>
      </c>
      <c r="F490" t="n">
        <v>8</v>
      </c>
      <c r="G490" t="inlineStr">
        <is>
          <t>BG001, BG002, BG008, BS016</t>
        </is>
      </c>
      <c r="H490" t="inlineStr">
        <is>
          <t>1 Desember 2020</t>
        </is>
      </c>
      <c r="I490" s="2" t="n">
        <v>46308</v>
      </c>
      <c r="J490" t="inlineStr">
        <is>
          <t>Disetujui, Pencabutan</t>
        </is>
      </c>
      <c r="K490" t="n">
        <v>60</v>
      </c>
      <c r="L490" t="inlineStr">
        <is>
          <t>13 Oktober 2026</t>
        </is>
      </c>
      <c r="M490" t="inlineStr">
        <is>
          <t>Konstruksi Bangunan Sipil Fasilitas Olah Raga, Konstruksi Gedung Hunian, Konstruksi Gedung Perkantoran, Konstruksi Gedung Tempat Hiburan dan Olahraga</t>
        </is>
      </c>
      <c r="N490" t="inlineStr">
        <is>
          <t>K</t>
        </is>
      </c>
      <c r="O490" t="inlineStr">
        <is>
          <t>20231013</t>
        </is>
      </c>
      <c r="P490" t="inlineStr">
        <is>
          <t>Bali</t>
        </is>
      </c>
      <c r="Q490" t="inlineStr"/>
    </row>
    <row r="491">
      <c r="A491" t="inlineStr">
        <is>
          <t>MARGA SARANA JAYA</t>
        </is>
      </c>
      <c r="B491" t="inlineStr">
        <is>
          <t>Kota Samarinda</t>
        </is>
      </c>
      <c r="C491" t="inlineStr">
        <is>
          <t>082250099006</t>
        </is>
      </c>
      <c r="D491" t="inlineStr">
        <is>
          <t>margasaranajaya@gmail.com</t>
        </is>
      </c>
      <c r="E491" t="inlineStr">
        <is>
          <t>https://lpjk.pu.go.id/search-badan-usaha-detail/djBUWjM5SzFOTUZtVUtNYVpmT1dxUT09</t>
        </is>
      </c>
      <c r="F491" t="n">
        <v>1</v>
      </c>
      <c r="G491" t="inlineStr">
        <is>
          <t>RK003</t>
        </is>
      </c>
      <c r="H491" t="inlineStr">
        <is>
          <t>5 Mei 1999</t>
        </is>
      </c>
      <c r="I491" s="2" t="n">
        <v>46311</v>
      </c>
      <c r="J491" t="inlineStr">
        <is>
          <t>Disetujui</t>
        </is>
      </c>
      <c r="K491" t="n">
        <v>60</v>
      </c>
      <c r="L491" t="inlineStr">
        <is>
          <t>16 Oktober 2026</t>
        </is>
      </c>
      <c r="M491" t="inlineStr">
        <is>
          <t>Jasa Rekayasa Pekerjaan Teknik Sipil Transportasi</t>
        </is>
      </c>
      <c r="N491" t="inlineStr">
        <is>
          <t>K</t>
        </is>
      </c>
      <c r="O491" t="inlineStr">
        <is>
          <t>20231006</t>
        </is>
      </c>
      <c r="P491" t="inlineStr">
        <is>
          <t>Kalimantan Timur</t>
        </is>
      </c>
      <c r="Q491" t="inlineStr"/>
    </row>
    <row r="492">
      <c r="A492" t="inlineStr">
        <is>
          <t>MARSHALL BABEL KARYA</t>
        </is>
      </c>
      <c r="B492" t="inlineStr">
        <is>
          <t>Kab. Bangka Barat</t>
        </is>
      </c>
      <c r="C492" t="inlineStr">
        <is>
          <t>081282675576</t>
        </is>
      </c>
      <c r="D492" t="inlineStr">
        <is>
          <t>marshallbabelkarya@gmail.com</t>
        </is>
      </c>
      <c r="E492" t="inlineStr">
        <is>
          <t>https://lpjk.pu.go.id/search-badan-usaha-detail/UnpqMFVGb0djQ1huZnFnMGZXZmUwZz09</t>
        </is>
      </c>
      <c r="F492" t="n">
        <v>2</v>
      </c>
      <c r="G492" t="inlineStr">
        <is>
          <t>RK002</t>
        </is>
      </c>
      <c r="H492" t="inlineStr">
        <is>
          <t>29 Agustus 2023</t>
        </is>
      </c>
      <c r="I492" s="2" t="n">
        <v>46311</v>
      </c>
      <c r="J492" t="inlineStr">
        <is>
          <t>Disetujui</t>
        </is>
      </c>
      <c r="K492" t="n">
        <v>60</v>
      </c>
      <c r="L492" t="inlineStr">
        <is>
          <t>16 Oktober 2026</t>
        </is>
      </c>
      <c r="M492" t="inlineStr">
        <is>
          <t>Jasa Rekayasa Pekerjaan Teknik Sipil Sumber Daya Air</t>
        </is>
      </c>
      <c r="N492" t="inlineStr">
        <is>
          <t>K</t>
        </is>
      </c>
      <c r="O492" t="inlineStr">
        <is>
          <t>20231005</t>
        </is>
      </c>
      <c r="P492" t="inlineStr">
        <is>
          <t>Kepulauan Bangka Belitung</t>
        </is>
      </c>
      <c r="Q492" t="inlineStr"/>
    </row>
    <row r="493">
      <c r="A493" t="inlineStr">
        <is>
          <t>MARTINA KARYA</t>
        </is>
      </c>
      <c r="B493" t="inlineStr">
        <is>
          <t>Kota Ambon</t>
        </is>
      </c>
      <c r="C493" t="inlineStr">
        <is>
          <t>085243924917</t>
        </is>
      </c>
      <c r="D493" t="inlineStr">
        <is>
          <t>nanulaittaberth@yahoo.co.id</t>
        </is>
      </c>
      <c r="E493" t="inlineStr">
        <is>
          <t>https://lpjk.pu.go.id/search-badan-usaha-detail/V1AxQWZYS0tEaUczT3A3dFpVVEVZUT09</t>
        </is>
      </c>
      <c r="F493" t="n">
        <v>1</v>
      </c>
      <c r="G493" t="inlineStr">
        <is>
          <t>BG009</t>
        </is>
      </c>
      <c r="H493" t="inlineStr">
        <is>
          <t>21 September 1990</t>
        </is>
      </c>
      <c r="I493" s="2" t="n">
        <v>46307</v>
      </c>
      <c r="J493" t="inlineStr">
        <is>
          <t>Disetujui</t>
        </is>
      </c>
      <c r="K493" t="n">
        <v>60</v>
      </c>
      <c r="L493" t="inlineStr">
        <is>
          <t>12 Oktober 2026</t>
        </is>
      </c>
      <c r="M493" t="inlineStr">
        <is>
          <t>Konstruksi Gedung Lainnya</t>
        </is>
      </c>
      <c r="N493" t="inlineStr">
        <is>
          <t>K</t>
        </is>
      </c>
      <c r="O493" t="inlineStr">
        <is>
          <t>20231009</t>
        </is>
      </c>
      <c r="P493" t="inlineStr">
        <is>
          <t>Maluku</t>
        </is>
      </c>
      <c r="Q493" t="inlineStr"/>
    </row>
    <row r="494">
      <c r="A494" t="inlineStr">
        <is>
          <t>MEDIA MULTI MITRA</t>
        </is>
      </c>
      <c r="B494" t="inlineStr">
        <is>
          <t>Kab. Tanah Laut</t>
        </is>
      </c>
      <c r="C494" t="inlineStr">
        <is>
          <t>085251039293</t>
        </is>
      </c>
      <c r="D494" t="inlineStr">
        <is>
          <t>mediamultimitra@yahoo.co.id</t>
        </is>
      </c>
      <c r="E494" t="inlineStr">
        <is>
          <t>https://lpjk.pu.go.id/search-badan-usaha-detail/TEV1enF6dG1IdktlRFU1U2xZYURjdz09</t>
        </is>
      </c>
      <c r="F494" t="n">
        <v>1</v>
      </c>
      <c r="G494" t="inlineStr">
        <is>
          <t>BS002</t>
        </is>
      </c>
      <c r="H494" t="inlineStr">
        <is>
          <t>20 November 2007</t>
        </is>
      </c>
      <c r="I494" s="2" t="n">
        <v>46311</v>
      </c>
      <c r="J494" t="inlineStr">
        <is>
          <t>Pencabutan</t>
        </is>
      </c>
      <c r="K494" t="n">
        <v>60</v>
      </c>
      <c r="L494" t="inlineStr">
        <is>
          <t>16 Oktober 2026</t>
        </is>
      </c>
      <c r="M494" t="inlineStr">
        <is>
          <t>Bangunan Sipil Jembatan, Jalan Layang, Fly Over, dan Underpass</t>
        </is>
      </c>
      <c r="N494" t="inlineStr">
        <is>
          <t>K</t>
        </is>
      </c>
      <c r="O494" t="inlineStr">
        <is>
          <t>20231010</t>
        </is>
      </c>
      <c r="P494" t="inlineStr">
        <is>
          <t>Kalimantan Selatan</t>
        </is>
      </c>
      <c r="Q494" t="inlineStr"/>
    </row>
    <row r="495">
      <c r="A495" t="inlineStr">
        <is>
          <t>MEGAH PAPUA JAYA</t>
        </is>
      </c>
      <c r="B495" t="inlineStr">
        <is>
          <t>Kab. Merauke</t>
        </is>
      </c>
      <c r="C495" t="inlineStr">
        <is>
          <t>081344070908</t>
        </is>
      </c>
      <c r="D495" t="inlineStr">
        <is>
          <t>pt.mpjmkq@gmail.com</t>
        </is>
      </c>
      <c r="E495" t="inlineStr">
        <is>
          <t>https://lpjk.pu.go.id/search-badan-usaha-detail/Wjh3MjZmQjE2dzlwWlBhMUJ4MmpzZz09</t>
        </is>
      </c>
      <c r="F495" t="n">
        <v>2</v>
      </c>
      <c r="G495" t="inlineStr">
        <is>
          <t>BG009</t>
        </is>
      </c>
      <c r="H495" t="inlineStr">
        <is>
          <t>29 Juli 2020</t>
        </is>
      </c>
      <c r="I495" s="2" t="n">
        <v>46311</v>
      </c>
      <c r="J495" t="inlineStr">
        <is>
          <t>Pembekuan</t>
        </is>
      </c>
      <c r="K495" t="n">
        <v>60</v>
      </c>
      <c r="L495" t="inlineStr">
        <is>
          <t>16 Oktober 2026</t>
        </is>
      </c>
      <c r="M495" t="inlineStr">
        <is>
          <t>Konstruksi Gedung Lainnya</t>
        </is>
      </c>
      <c r="N495" t="inlineStr">
        <is>
          <t>M</t>
        </is>
      </c>
      <c r="O495" t="inlineStr">
        <is>
          <t>20231013</t>
        </is>
      </c>
      <c r="P495" t="inlineStr">
        <is>
          <t>Papua</t>
        </is>
      </c>
      <c r="Q495" t="inlineStr"/>
    </row>
    <row r="496">
      <c r="A496" t="inlineStr">
        <is>
          <t>MEGAH SURYA</t>
        </is>
      </c>
      <c r="B496" t="inlineStr">
        <is>
          <t>Kab. Jombang</t>
        </is>
      </c>
      <c r="C496" t="inlineStr">
        <is>
          <t>085648744494</t>
        </is>
      </c>
      <c r="D496" t="inlineStr">
        <is>
          <t>izuhdimegahsurya@yahoo.com</t>
        </is>
      </c>
      <c r="E496" t="inlineStr">
        <is>
          <t>https://lpjk.pu.go.id/search-badan-usaha-detail/VVdWWUVMdzZYdzFyVU5tdUhBb2hkQT09</t>
        </is>
      </c>
      <c r="F496" t="n">
        <v>10</v>
      </c>
      <c r="G496" t="inlineStr">
        <is>
          <t>BG003, BG005, BG006, BG009</t>
        </is>
      </c>
      <c r="H496" t="inlineStr">
        <is>
          <t>22 Oktober 2009</t>
        </is>
      </c>
      <c r="I496" s="2" t="n">
        <v>46313</v>
      </c>
      <c r="J496" t="inlineStr">
        <is>
          <t>Disetujui</t>
        </is>
      </c>
      <c r="K496" t="n">
        <v>60</v>
      </c>
      <c r="L496" t="inlineStr">
        <is>
          <t>18 Oktober 2026</t>
        </is>
      </c>
      <c r="M496" t="inlineStr">
        <is>
          <t>Konstruksi Gedung Industri, Konstruksi Gedung Kesehatan, Konstruksi Gedung Lainnya, Konstruksi Gedung Pendidikan</t>
        </is>
      </c>
      <c r="N496" t="inlineStr">
        <is>
          <t>K</t>
        </is>
      </c>
      <c r="O496" t="inlineStr">
        <is>
          <t>20230911, 20231018</t>
        </is>
      </c>
      <c r="P496" t="inlineStr">
        <is>
          <t>Jawa Timur</t>
        </is>
      </c>
      <c r="Q496" t="inlineStr"/>
    </row>
    <row r="497">
      <c r="A497" t="inlineStr">
        <is>
          <t>MEGATRON MULTI KARYA</t>
        </is>
      </c>
      <c r="B497" t="inlineStr">
        <is>
          <t>Kab. Melawi</t>
        </is>
      </c>
      <c r="C497" t="inlineStr">
        <is>
          <t>082158467717</t>
        </is>
      </c>
      <c r="D497" t="inlineStr">
        <is>
          <t>megatronmultikarya.cv@gmail.com</t>
        </is>
      </c>
      <c r="E497" t="inlineStr">
        <is>
          <t>https://lpjk.pu.go.id/search-badan-usaha-detail/amxMT1lhbFlySFZseHlhcVA4cDJHdz09</t>
        </is>
      </c>
      <c r="F497" t="n">
        <v>1</v>
      </c>
      <c r="G497" t="inlineStr">
        <is>
          <t>BS001</t>
        </is>
      </c>
      <c r="H497" t="inlineStr">
        <is>
          <t>1 April 2020</t>
        </is>
      </c>
      <c r="I497" s="2" t="n">
        <v>46309</v>
      </c>
      <c r="J497" t="inlineStr">
        <is>
          <t>Disetujui</t>
        </is>
      </c>
      <c r="K497" t="n">
        <v>60</v>
      </c>
      <c r="L497" t="inlineStr">
        <is>
          <t>14 Oktober 2026</t>
        </is>
      </c>
      <c r="M497" t="inlineStr">
        <is>
          <t>Konstruksi Bangunan Sipil Jalan</t>
        </is>
      </c>
      <c r="N497" t="inlineStr">
        <is>
          <t>K</t>
        </is>
      </c>
      <c r="O497" t="inlineStr">
        <is>
          <t>20231014</t>
        </is>
      </c>
      <c r="P497" t="inlineStr">
        <is>
          <t>Kalimantan Barat</t>
        </is>
      </c>
      <c r="Q497" t="inlineStr"/>
    </row>
    <row r="498">
      <c r="A498" t="inlineStr">
        <is>
          <t>MEKANIKA DESIGN CONSULTANT</t>
        </is>
      </c>
      <c r="B498" t="inlineStr">
        <is>
          <t>Kota Kendari</t>
        </is>
      </c>
      <c r="C498" t="inlineStr">
        <is>
          <t>082187555327</t>
        </is>
      </c>
      <c r="D498" t="inlineStr">
        <is>
          <t>cv.mekanikadesaignconsultant@gmail.com</t>
        </is>
      </c>
      <c r="E498" t="inlineStr">
        <is>
          <t>https://lpjk.pu.go.id/search-badan-usaha-detail/WURqUEg1NUdKWjZ0UzBvSXJsZThoQT09</t>
        </is>
      </c>
      <c r="F498" t="n">
        <v>1</v>
      </c>
      <c r="G498" t="inlineStr">
        <is>
          <t>RK001</t>
        </is>
      </c>
      <c r="H498" t="inlineStr">
        <is>
          <t>13 September 2016</t>
        </is>
      </c>
      <c r="I498" s="2" t="n">
        <v>46307</v>
      </c>
      <c r="J498" t="inlineStr">
        <is>
          <t>Disetujui</t>
        </is>
      </c>
      <c r="K498" t="n">
        <v>60</v>
      </c>
      <c r="L498" t="inlineStr">
        <is>
          <t>12 Oktober 2026</t>
        </is>
      </c>
      <c r="M498" t="inlineStr">
        <is>
          <t>Jasa Rekayasa Konstruksi Bangunan Gedung Hunian dan Non Hunian</t>
        </is>
      </c>
      <c r="N498" t="inlineStr">
        <is>
          <t>K</t>
        </is>
      </c>
      <c r="O498" t="inlineStr">
        <is>
          <t>20230919</t>
        </is>
      </c>
      <c r="P498" t="inlineStr">
        <is>
          <t>Sulawesi Tenggara</t>
        </is>
      </c>
      <c r="Q498" t="inlineStr"/>
    </row>
    <row r="499">
      <c r="A499" t="inlineStr">
        <is>
          <t>MEKAR JAYA ANUGRAH</t>
        </is>
      </c>
      <c r="B499" t="inlineStr">
        <is>
          <t>Kota Pekanbaru</t>
        </is>
      </c>
      <c r="C499" t="inlineStr">
        <is>
          <t>082284383254</t>
        </is>
      </c>
      <c r="D499" t="inlineStr">
        <is>
          <t>jayacvmekar5@gmail.com</t>
        </is>
      </c>
      <c r="E499" t="inlineStr">
        <is>
          <t>https://lpjk.pu.go.id/search-badan-usaha-detail/djVMSWRVY2NFSWpOYkZtQSttaWZVUT09</t>
        </is>
      </c>
      <c r="F499" t="n">
        <v>2</v>
      </c>
      <c r="G499" t="inlineStr">
        <is>
          <t>BG005</t>
        </is>
      </c>
      <c r="H499" t="inlineStr">
        <is>
          <t>4 Juli 2023</t>
        </is>
      </c>
      <c r="I499" s="2" t="n">
        <v>46313</v>
      </c>
      <c r="J499" t="inlineStr">
        <is>
          <t>Disetujui</t>
        </is>
      </c>
      <c r="K499" t="n">
        <v>60</v>
      </c>
      <c r="L499" t="inlineStr">
        <is>
          <t>18 Oktober 2026</t>
        </is>
      </c>
      <c r="M499" t="inlineStr">
        <is>
          <t>Konstruksi Gedung Kesehatan</t>
        </is>
      </c>
      <c r="N499" t="inlineStr">
        <is>
          <t>K</t>
        </is>
      </c>
      <c r="O499" t="inlineStr">
        <is>
          <t>20231018</t>
        </is>
      </c>
      <c r="P499" t="inlineStr">
        <is>
          <t>Riau</t>
        </is>
      </c>
      <c r="Q499" t="inlineStr"/>
    </row>
    <row r="500">
      <c r="A500" t="inlineStr">
        <is>
          <t>MEKAR JAYA LESTARI UTAMA</t>
        </is>
      </c>
      <c r="B500" t="inlineStr">
        <is>
          <t>Kota Tangerang</t>
        </is>
      </c>
      <c r="C500" t="inlineStr">
        <is>
          <t>0215582552</t>
        </is>
      </c>
      <c r="D500" t="inlineStr">
        <is>
          <t>mjlu1689@gmail.com</t>
        </is>
      </c>
      <c r="E500" t="inlineStr">
        <is>
          <t>https://lpjk.pu.go.id/search-badan-usaha-detail/M0RMNDVnRGhPeW1zK1ZjNHQwbHZvdz09</t>
        </is>
      </c>
      <c r="F500" t="n">
        <v>2</v>
      </c>
      <c r="G500" t="inlineStr">
        <is>
          <t>BS001</t>
        </is>
      </c>
      <c r="H500" t="inlineStr">
        <is>
          <t>26 Juli 2007</t>
        </is>
      </c>
      <c r="I500" s="2" t="n">
        <v>46310</v>
      </c>
      <c r="J500" t="inlineStr">
        <is>
          <t>Disetujui</t>
        </is>
      </c>
      <c r="K500" t="n">
        <v>60</v>
      </c>
      <c r="L500" t="inlineStr">
        <is>
          <t>15 Oktober 2026</t>
        </is>
      </c>
      <c r="M500" t="inlineStr">
        <is>
          <t>Konstruksi Bangunan Sipil Jalan</t>
        </is>
      </c>
      <c r="N500" t="inlineStr">
        <is>
          <t>K</t>
        </is>
      </c>
      <c r="O500" t="inlineStr">
        <is>
          <t>20231015</t>
        </is>
      </c>
      <c r="P500" t="inlineStr">
        <is>
          <t>Banten</t>
        </is>
      </c>
      <c r="Q500" t="inlineStr"/>
    </row>
    <row r="501">
      <c r="A501" t="inlineStr">
        <is>
          <t>META VISIO INDONESIA</t>
        </is>
      </c>
      <c r="B501" t="inlineStr">
        <is>
          <t>Kota Adm. Jakarta Selatan</t>
        </is>
      </c>
      <c r="C501" t="inlineStr">
        <is>
          <t>081293742797</t>
        </is>
      </c>
      <c r="D501" t="inlineStr">
        <is>
          <t>info@mevisindo.com</t>
        </is>
      </c>
      <c r="E501" t="inlineStr">
        <is>
          <t>https://lpjk.pu.go.id/search-badan-usaha-detail/OHVQSzNIT1FudC9jZ3luUUszVlZhQT09</t>
        </is>
      </c>
      <c r="F501" t="n">
        <v>3</v>
      </c>
      <c r="G501" t="inlineStr">
        <is>
          <t>RK002, RK005</t>
        </is>
      </c>
      <c r="H501" t="inlineStr">
        <is>
          <t>11 Desember 2017</t>
        </is>
      </c>
      <c r="I501" s="2" t="n">
        <v>46307</v>
      </c>
      <c r="J501" t="inlineStr">
        <is>
          <t>Disetujui</t>
        </is>
      </c>
      <c r="K501" t="n">
        <v>60</v>
      </c>
      <c r="L501" t="inlineStr">
        <is>
          <t>12 Oktober 2026</t>
        </is>
      </c>
      <c r="M501" t="inlineStr">
        <is>
          <t>Jasa Rekayasa Lainnya, Jasa Rekayasa Pekerjaan Teknik Sipil Sumber Daya Air</t>
        </is>
      </c>
      <c r="N501" t="inlineStr">
        <is>
          <t>K</t>
        </is>
      </c>
      <c r="O501" t="inlineStr">
        <is>
          <t>20230927</t>
        </is>
      </c>
      <c r="P501" t="inlineStr">
        <is>
          <t>DKI Jakarta</t>
        </is>
      </c>
      <c r="Q501" t="inlineStr"/>
    </row>
    <row r="502">
      <c r="A502" t="inlineStr">
        <is>
          <t>MILENIALS</t>
        </is>
      </c>
      <c r="B502" t="inlineStr">
        <is>
          <t>Kab. Barito Utara</t>
        </is>
      </c>
      <c r="C502" t="inlineStr">
        <is>
          <t>085220996878</t>
        </is>
      </c>
      <c r="D502" t="inlineStr">
        <is>
          <t>cv.milenials25@gmail.com</t>
        </is>
      </c>
      <c r="E502" t="inlineStr">
        <is>
          <t>https://lpjk.pu.go.id/search-badan-usaha-detail/YkRmallONTdBNjljOWhzakxsaVY5UT09</t>
        </is>
      </c>
      <c r="F502" t="n">
        <v>2</v>
      </c>
      <c r="G502" t="inlineStr">
        <is>
          <t>BS002</t>
        </is>
      </c>
      <c r="H502" t="inlineStr">
        <is>
          <t>25 Agustus 2023</t>
        </is>
      </c>
      <c r="I502" s="2" t="n">
        <v>46311</v>
      </c>
      <c r="J502" t="inlineStr">
        <is>
          <t>Disetujui</t>
        </is>
      </c>
      <c r="K502" t="n">
        <v>60</v>
      </c>
      <c r="L502" t="inlineStr">
        <is>
          <t>16 Oktober 2026</t>
        </is>
      </c>
      <c r="M502" t="inlineStr">
        <is>
          <t>Bangunan Sipil Jembatan, Jalan Layang, Fly Over, dan Underpass</t>
        </is>
      </c>
      <c r="N502" t="inlineStr">
        <is>
          <t>K</t>
        </is>
      </c>
      <c r="O502" t="inlineStr">
        <is>
          <t>20231013</t>
        </is>
      </c>
      <c r="P502" t="inlineStr">
        <is>
          <t>Kalimantan Tengah</t>
        </is>
      </c>
      <c r="Q502" t="inlineStr"/>
    </row>
    <row r="503">
      <c r="A503" t="inlineStr">
        <is>
          <t>MINA UTAMA</t>
        </is>
      </c>
      <c r="B503" t="inlineStr">
        <is>
          <t>Kota Makassar</t>
        </is>
      </c>
      <c r="C503" t="inlineStr">
        <is>
          <t>085299550889</t>
        </is>
      </c>
      <c r="D503" t="inlineStr">
        <is>
          <t>cvminautama@gmail.com</t>
        </is>
      </c>
      <c r="E503" t="inlineStr">
        <is>
          <t>https://lpjk.pu.go.id/search-badan-usaha-detail/eDRVT1NoakpVNkkwRVlTN3M4bmxIdz09</t>
        </is>
      </c>
      <c r="F503" t="n">
        <v>1</v>
      </c>
      <c r="G503" t="inlineStr">
        <is>
          <t>BG006</t>
        </is>
      </c>
      <c r="H503" t="inlineStr">
        <is>
          <t>22 Juni 2012</t>
        </is>
      </c>
      <c r="I503" s="2" t="n">
        <v>46307</v>
      </c>
      <c r="J503" t="inlineStr">
        <is>
          <t>Disetujui</t>
        </is>
      </c>
      <c r="K503" t="n">
        <v>60</v>
      </c>
      <c r="L503" t="inlineStr">
        <is>
          <t>12 Oktober 2026</t>
        </is>
      </c>
      <c r="M503" t="inlineStr">
        <is>
          <t>Konstruksi Gedung Pendidikan</t>
        </is>
      </c>
      <c r="N503" t="inlineStr">
        <is>
          <t>K</t>
        </is>
      </c>
      <c r="O503" t="inlineStr">
        <is>
          <t>20230822</t>
        </is>
      </c>
      <c r="P503" t="inlineStr">
        <is>
          <t>Sulawesi Selatan</t>
        </is>
      </c>
      <c r="Q503" t="inlineStr"/>
    </row>
    <row r="504">
      <c r="A504" t="inlineStr">
        <is>
          <t>MITRA ASIATAMA</t>
        </is>
      </c>
      <c r="B504" t="inlineStr">
        <is>
          <t>Kab. Bandung Barat</t>
        </is>
      </c>
      <c r="C504" t="inlineStr">
        <is>
          <t>081221686945</t>
        </is>
      </c>
      <c r="D504" t="inlineStr">
        <is>
          <t>perizinan.mitraasiatama@gmail.com</t>
        </is>
      </c>
      <c r="E504" t="inlineStr">
        <is>
          <t>https://lpjk.pu.go.id/search-badan-usaha-detail/QVJMMGM4eUkrV2NmZU1LM2o2QzdCdz09</t>
        </is>
      </c>
      <c r="F504" t="n">
        <v>1</v>
      </c>
      <c r="G504" t="inlineStr">
        <is>
          <t>BG009</t>
        </is>
      </c>
      <c r="H504" t="inlineStr">
        <is>
          <t>30 Desember 2020</t>
        </is>
      </c>
      <c r="I504" s="2" t="n">
        <v>46308</v>
      </c>
      <c r="J504" t="inlineStr">
        <is>
          <t>Disetujui</t>
        </is>
      </c>
      <c r="K504" t="n">
        <v>60</v>
      </c>
      <c r="L504" t="inlineStr">
        <is>
          <t>13 Oktober 2026</t>
        </is>
      </c>
      <c r="M504" t="inlineStr">
        <is>
          <t>Konstruksi Gedung Lainnya</t>
        </is>
      </c>
      <c r="N504" t="inlineStr">
        <is>
          <t>K</t>
        </is>
      </c>
      <c r="O504" t="inlineStr">
        <is>
          <t>20231005</t>
        </is>
      </c>
      <c r="P504" t="inlineStr">
        <is>
          <t>Jawa Barat</t>
        </is>
      </c>
      <c r="Q504" t="inlineStr"/>
    </row>
    <row r="505">
      <c r="A505" t="inlineStr">
        <is>
          <t>MITRA BERINGIN</t>
        </is>
      </c>
      <c r="B505" t="inlineStr">
        <is>
          <t>Kota Makassar</t>
        </is>
      </c>
      <c r="C505" t="inlineStr">
        <is>
          <t>0811413357</t>
        </is>
      </c>
      <c r="D505" t="inlineStr">
        <is>
          <t>cv.mitraberingin1@gmail.com</t>
        </is>
      </c>
      <c r="E505" t="inlineStr">
        <is>
          <t>https://lpjk.pu.go.id/search-badan-usaha-detail/SEV2NGgxU3ZqbHBFM2FWU2xJV3RRdz09</t>
        </is>
      </c>
      <c r="F505" t="n">
        <v>1</v>
      </c>
      <c r="G505" t="inlineStr">
        <is>
          <t>BG001</t>
        </is>
      </c>
      <c r="H505" t="inlineStr">
        <is>
          <t>29 November 1994</t>
        </is>
      </c>
      <c r="I505" s="2" t="n">
        <v>46312</v>
      </c>
      <c r="J505" t="inlineStr">
        <is>
          <t>Disetujui</t>
        </is>
      </c>
      <c r="K505" t="n">
        <v>60</v>
      </c>
      <c r="L505" t="inlineStr">
        <is>
          <t>17 Oktober 2026</t>
        </is>
      </c>
      <c r="M505" t="inlineStr">
        <is>
          <t>Konstruksi Gedung Hunian</t>
        </is>
      </c>
      <c r="N505" t="inlineStr">
        <is>
          <t>K</t>
        </is>
      </c>
      <c r="O505" t="inlineStr">
        <is>
          <t>20231018</t>
        </is>
      </c>
      <c r="P505" t="inlineStr">
        <is>
          <t>Sulawesi Selatan</t>
        </is>
      </c>
      <c r="Q505" t="inlineStr"/>
    </row>
    <row r="506">
      <c r="A506" t="inlineStr">
        <is>
          <t>MITRA DINAMIS</t>
        </is>
      </c>
      <c r="B506" t="inlineStr">
        <is>
          <t>Kota Batam</t>
        </is>
      </c>
      <c r="C506" t="inlineStr">
        <is>
          <t>082277513388</t>
        </is>
      </c>
      <c r="D506" t="inlineStr">
        <is>
          <t>berthaprananda48@gmail.com</t>
        </is>
      </c>
      <c r="E506" t="inlineStr">
        <is>
          <t>https://lpjk.pu.go.id/search-badan-usaha-detail/aHd2MkRCaGRzSGlTQWNVNXFrNzZlQT09</t>
        </is>
      </c>
      <c r="F506" t="n">
        <v>1</v>
      </c>
      <c r="G506" t="inlineStr">
        <is>
          <t>IN007</t>
        </is>
      </c>
      <c r="H506" t="inlineStr">
        <is>
          <t>18 November 1995</t>
        </is>
      </c>
      <c r="I506" s="2" t="n">
        <v>46312</v>
      </c>
      <c r="J506" t="inlineStr">
        <is>
          <t>Disetujui</t>
        </is>
      </c>
      <c r="K506" t="n">
        <v>60</v>
      </c>
      <c r="L506" t="inlineStr">
        <is>
          <t>17 Oktober 2026</t>
        </is>
      </c>
      <c r="M506" t="inlineStr">
        <is>
          <t>Instalasi Saluran Air (Plambing)</t>
        </is>
      </c>
      <c r="N506" t="inlineStr">
        <is>
          <t>Spesialis</t>
        </is>
      </c>
      <c r="O506" t="inlineStr">
        <is>
          <t>20231012</t>
        </is>
      </c>
      <c r="P506" t="inlineStr">
        <is>
          <t>Kepulauan Riau</t>
        </is>
      </c>
      <c r="Q506" t="inlineStr"/>
    </row>
    <row r="507">
      <c r="A507" t="inlineStr">
        <is>
          <t>MITRA JAYA LUTHFINDO</t>
        </is>
      </c>
      <c r="B507" t="inlineStr">
        <is>
          <t>Kota Mataram</t>
        </is>
      </c>
      <c r="C507" t="inlineStr">
        <is>
          <t>081917490627</t>
        </is>
      </c>
      <c r="D507" t="inlineStr">
        <is>
          <t>mitrajayaluthfindo@gmail.com</t>
        </is>
      </c>
      <c r="E507" t="inlineStr">
        <is>
          <t>https://lpjk.pu.go.id/search-badan-usaha-detail/elZnVFArbTdocEM1QlB0NnhGNW1xZz09</t>
        </is>
      </c>
      <c r="F507" t="n">
        <v>1</v>
      </c>
      <c r="G507" t="inlineStr">
        <is>
          <t>BG004</t>
        </is>
      </c>
      <c r="H507" t="inlineStr">
        <is>
          <t>19 Desember 2008</t>
        </is>
      </c>
      <c r="I507" s="2" t="n">
        <v>46310</v>
      </c>
      <c r="J507" t="inlineStr">
        <is>
          <t>Disetujui</t>
        </is>
      </c>
      <c r="K507" t="n">
        <v>60</v>
      </c>
      <c r="L507" t="inlineStr">
        <is>
          <t>15 Oktober 2026</t>
        </is>
      </c>
      <c r="M507" t="inlineStr">
        <is>
          <t>Konstruksi Gedung Perbelanjaan</t>
        </is>
      </c>
      <c r="N507" t="inlineStr">
        <is>
          <t>K</t>
        </is>
      </c>
      <c r="O507" t="inlineStr">
        <is>
          <t>20231012</t>
        </is>
      </c>
      <c r="P507" t="inlineStr">
        <is>
          <t>Nusa Tenggara Barat</t>
        </is>
      </c>
      <c r="Q507" t="inlineStr"/>
    </row>
    <row r="508">
      <c r="A508" t="inlineStr">
        <is>
          <t>MITRA KARYA BERSAMA</t>
        </is>
      </c>
      <c r="B508" t="inlineStr">
        <is>
          <t>Kab. Kutai Timur</t>
        </is>
      </c>
      <c r="C508" t="inlineStr">
        <is>
          <t>085391939663</t>
        </is>
      </c>
      <c r="D508" t="inlineStr">
        <is>
          <t>mkb.sangatta@gmail.com</t>
        </is>
      </c>
      <c r="E508" t="inlineStr">
        <is>
          <t>https://lpjk.pu.go.id/search-badan-usaha-detail/OGxRcWlhaEdaMFZCa2lrc0Q4WW41UT09</t>
        </is>
      </c>
      <c r="F508" t="n">
        <v>1</v>
      </c>
      <c r="G508" t="inlineStr">
        <is>
          <t>BG009</t>
        </is>
      </c>
      <c r="H508" t="inlineStr">
        <is>
          <t>23 Mei 2014</t>
        </is>
      </c>
      <c r="I508" s="2" t="n">
        <v>46307</v>
      </c>
      <c r="J508" t="inlineStr">
        <is>
          <t>Disetujui</t>
        </is>
      </c>
      <c r="K508" t="n">
        <v>60</v>
      </c>
      <c r="L508" t="inlineStr">
        <is>
          <t>12 Oktober 2026</t>
        </is>
      </c>
      <c r="M508" t="inlineStr">
        <is>
          <t>Konstruksi Gedung Lainnya</t>
        </is>
      </c>
      <c r="N508" t="inlineStr">
        <is>
          <t>K</t>
        </is>
      </c>
      <c r="O508" t="inlineStr">
        <is>
          <t>20231009</t>
        </is>
      </c>
      <c r="P508" t="inlineStr">
        <is>
          <t>Kalimantan Timur</t>
        </is>
      </c>
      <c r="Q508" t="inlineStr"/>
    </row>
    <row r="509">
      <c r="A509" t="inlineStr">
        <is>
          <t>MITRA PENGABUAN</t>
        </is>
      </c>
      <c r="B509" t="inlineStr">
        <is>
          <t>Kab. Tanjung Jabung Barat</t>
        </is>
      </c>
      <c r="C509" t="inlineStr">
        <is>
          <t>085266663336</t>
        </is>
      </c>
      <c r="D509" t="inlineStr">
        <is>
          <t>yoyonhariyanto174@gmail.com</t>
        </is>
      </c>
      <c r="E509" t="inlineStr">
        <is>
          <t>https://lpjk.pu.go.id/search-badan-usaha-detail/aXVpTXBXcEY2d0huSW9naklrQUdldz09</t>
        </is>
      </c>
      <c r="F509" t="n">
        <v>1</v>
      </c>
      <c r="G509" t="inlineStr">
        <is>
          <t>BS001</t>
        </is>
      </c>
      <c r="H509" t="inlineStr">
        <is>
          <t>29 Juli 2002</t>
        </is>
      </c>
      <c r="I509" s="2" t="n">
        <v>46307</v>
      </c>
      <c r="J509" t="inlineStr">
        <is>
          <t>Pencabutan</t>
        </is>
      </c>
      <c r="K509" t="n">
        <v>60</v>
      </c>
      <c r="L509" t="inlineStr">
        <is>
          <t>12 Oktober 2026</t>
        </is>
      </c>
      <c r="M509" t="inlineStr">
        <is>
          <t>Konstruksi Bangunan Sipil Jalan</t>
        </is>
      </c>
      <c r="N509" t="inlineStr">
        <is>
          <t>K</t>
        </is>
      </c>
      <c r="O509" t="inlineStr">
        <is>
          <t>20231011</t>
        </is>
      </c>
      <c r="P509" t="inlineStr">
        <is>
          <t>Jambi</t>
        </is>
      </c>
      <c r="Q509" t="inlineStr"/>
    </row>
    <row r="510">
      <c r="A510" t="inlineStr">
        <is>
          <t>MITRA RULISA</t>
        </is>
      </c>
      <c r="B510" t="inlineStr">
        <is>
          <t>Kota Pekalongan</t>
        </is>
      </c>
      <c r="C510" t="inlineStr">
        <is>
          <t>081542056842</t>
        </is>
      </c>
      <c r="D510" t="inlineStr">
        <is>
          <t>ira.santoso2022@gmail.com</t>
        </is>
      </c>
      <c r="E510" t="inlineStr">
        <is>
          <t>https://lpjk.pu.go.id/search-badan-usaha-detail/TXZjQ3Y4SE1GNFhxMXRJVGFGUEZSQT09</t>
        </is>
      </c>
      <c r="F510" t="n">
        <v>2</v>
      </c>
      <c r="G510" t="inlineStr">
        <is>
          <t>BG002, BG009</t>
        </is>
      </c>
      <c r="H510" t="inlineStr">
        <is>
          <t>16 September 2015</t>
        </is>
      </c>
      <c r="I510" s="2" t="n">
        <v>46311</v>
      </c>
      <c r="J510" t="inlineStr">
        <is>
          <t>Disetujui</t>
        </is>
      </c>
      <c r="K510" t="n">
        <v>60</v>
      </c>
      <c r="L510" t="inlineStr">
        <is>
          <t>16 Oktober 2026</t>
        </is>
      </c>
      <c r="M510" t="inlineStr">
        <is>
          <t>Konstruksi Gedung Lainnya, Konstruksi Gedung Perkantoran</t>
        </is>
      </c>
      <c r="N510" t="inlineStr">
        <is>
          <t>K</t>
        </is>
      </c>
      <c r="O510" t="inlineStr">
        <is>
          <t>20231011, 20231017</t>
        </is>
      </c>
      <c r="P510" t="inlineStr">
        <is>
          <t>Jawa Tengah</t>
        </is>
      </c>
      <c r="Q510" t="inlineStr"/>
    </row>
    <row r="511">
      <c r="A511" t="inlineStr">
        <is>
          <t>MITRA SARANA KARYA BANGSA</t>
        </is>
      </c>
      <c r="B511" t="inlineStr">
        <is>
          <t>Kota Adm. Jakarta Pusat</t>
        </is>
      </c>
      <c r="C511" t="inlineStr">
        <is>
          <t>02180631657</t>
        </is>
      </c>
      <c r="D511" t="inlineStr">
        <is>
          <t>miska@mitrakaryabangsa.com</t>
        </is>
      </c>
      <c r="E511" t="inlineStr">
        <is>
          <t>https://lpjk.pu.go.id/search-badan-usaha-detail/aldmMXBUTVY3R2tneml5N3BKSVdmZz09</t>
        </is>
      </c>
      <c r="F511" t="n">
        <v>1</v>
      </c>
      <c r="G511" t="inlineStr">
        <is>
          <t>BS009</t>
        </is>
      </c>
      <c r="H511" t="inlineStr">
        <is>
          <t>7 Agustus 2017</t>
        </is>
      </c>
      <c r="I511" s="2" t="n">
        <v>46312</v>
      </c>
      <c r="J511" t="inlineStr">
        <is>
          <t>Disetujui</t>
        </is>
      </c>
      <c r="K511" t="n">
        <v>60</v>
      </c>
      <c r="L511" t="inlineStr">
        <is>
          <t>17 Oktober 2026</t>
        </is>
      </c>
      <c r="M511" t="inlineStr">
        <is>
          <t>Konstruksi Sentral Telekomunikasi</t>
        </is>
      </c>
      <c r="N511" t="inlineStr">
        <is>
          <t>K</t>
        </is>
      </c>
      <c r="O511" t="inlineStr">
        <is>
          <t>20231018</t>
        </is>
      </c>
      <c r="P511" t="inlineStr">
        <is>
          <t>DKI Jakarta</t>
        </is>
      </c>
      <c r="Q511" t="inlineStr"/>
    </row>
    <row r="512">
      <c r="A512" t="inlineStr">
        <is>
          <t>MITRA TEKNIK BAROKAH</t>
        </is>
      </c>
      <c r="B512" t="inlineStr">
        <is>
          <t>Kota Samarinda</t>
        </is>
      </c>
      <c r="C512" t="inlineStr">
        <is>
          <t>085840099036</t>
        </is>
      </c>
      <c r="D512" t="inlineStr">
        <is>
          <t>cv.mitrateknikbarokah@gmail.com</t>
        </is>
      </c>
      <c r="E512" t="inlineStr">
        <is>
          <t>https://lpjk.pu.go.id/search-badan-usaha-detail/WHN1cDVPelFWVXhYZmN2YWIzdEo4dz09</t>
        </is>
      </c>
      <c r="F512" t="n">
        <v>5</v>
      </c>
      <c r="G512" t="inlineStr">
        <is>
          <t>BG002, BG006, BG009, BS001, BS004</t>
        </is>
      </c>
      <c r="H512" t="inlineStr">
        <is>
          <t>10 Juli 2020</t>
        </is>
      </c>
      <c r="I512" s="2" t="n">
        <v>46307</v>
      </c>
      <c r="J512" t="inlineStr">
        <is>
          <t>Disetujui</t>
        </is>
      </c>
      <c r="K512" t="n">
        <v>60</v>
      </c>
      <c r="L512" t="inlineStr">
        <is>
          <t>12 Oktober 2026</t>
        </is>
      </c>
      <c r="M512" t="inlineStr">
        <is>
          <t>Konstruksi Bangunan Sipil Jalan, Konstruksi Gedung Lainnya, Konstruksi Gedung Pendidikan, Konstruksi Gedung Perkantoran, Konstruksi Jaringan Irigasi dan Drainase</t>
        </is>
      </c>
      <c r="N512" t="inlineStr">
        <is>
          <t>K</t>
        </is>
      </c>
      <c r="O512" t="inlineStr">
        <is>
          <t>20231011</t>
        </is>
      </c>
      <c r="P512" t="inlineStr">
        <is>
          <t>Kalimantan Timur</t>
        </is>
      </c>
      <c r="Q512" t="inlineStr"/>
    </row>
    <row r="513">
      <c r="A513" t="inlineStr">
        <is>
          <t>MITRA TEKNIK UTAMA</t>
        </is>
      </c>
      <c r="B513" t="inlineStr">
        <is>
          <t>Kota Denpasar</t>
        </is>
      </c>
      <c r="C513" t="inlineStr">
        <is>
          <t>03618461811</t>
        </is>
      </c>
      <c r="D513" t="inlineStr">
        <is>
          <t>mitrateknikutama@yahoo.com</t>
        </is>
      </c>
      <c r="E513" t="inlineStr">
        <is>
          <t>https://lpjk.pu.go.id/search-badan-usaha-detail/dml0RjBBdEJDcmFuODJZWmVkN2R6dz09</t>
        </is>
      </c>
      <c r="F513" t="n">
        <v>4</v>
      </c>
      <c r="G513" t="inlineStr">
        <is>
          <t>BG002, BG008, BG009, BS001</t>
        </is>
      </c>
      <c r="H513" t="inlineStr">
        <is>
          <t>6 Juni 1995</t>
        </is>
      </c>
      <c r="I513" s="2" t="n">
        <v>46307</v>
      </c>
      <c r="J513" t="inlineStr">
        <is>
          <t>Disetujui</t>
        </is>
      </c>
      <c r="K513" t="n">
        <v>60</v>
      </c>
      <c r="L513" t="inlineStr">
        <is>
          <t>12 Oktober 2026</t>
        </is>
      </c>
      <c r="M513" t="inlineStr">
        <is>
          <t>Konstruksi Bangunan Sipil Jalan, Konstruksi Gedung Lainnya, Konstruksi Gedung Perkantoran, Konstruksi Gedung Tempat Hiburan dan Olahraga</t>
        </is>
      </c>
      <c r="N513" t="inlineStr">
        <is>
          <t>K</t>
        </is>
      </c>
      <c r="O513" t="inlineStr">
        <is>
          <t>20231002, 20231009</t>
        </is>
      </c>
      <c r="P513" t="inlineStr">
        <is>
          <t>Bali</t>
        </is>
      </c>
      <c r="Q513" t="inlineStr"/>
    </row>
    <row r="514">
      <c r="A514" t="inlineStr">
        <is>
          <t>MUHAMMAD ARIL JAYA</t>
        </is>
      </c>
      <c r="B514" t="inlineStr">
        <is>
          <t>Kab. Kutai Kartanegara</t>
        </is>
      </c>
      <c r="C514" t="inlineStr">
        <is>
          <t>08125345584</t>
        </is>
      </c>
      <c r="D514" t="inlineStr">
        <is>
          <t>mariljaya.cv@gmail.com</t>
        </is>
      </c>
      <c r="E514" t="inlineStr">
        <is>
          <t>https://lpjk.pu.go.id/search-badan-usaha-detail/NThqVjBnc0cwWVpoL2VCUXBXNU84UT09</t>
        </is>
      </c>
      <c r="F514" t="n">
        <v>2</v>
      </c>
      <c r="G514" t="inlineStr">
        <is>
          <t>BS001, BS004</t>
        </is>
      </c>
      <c r="H514" t="inlineStr">
        <is>
          <t>2 Juli 2020</t>
        </is>
      </c>
      <c r="I514" s="2" t="n">
        <v>46309</v>
      </c>
      <c r="J514" t="inlineStr">
        <is>
          <t>Disetujui</t>
        </is>
      </c>
      <c r="K514" t="n">
        <v>60</v>
      </c>
      <c r="L514" t="inlineStr">
        <is>
          <t>14 Oktober 2026</t>
        </is>
      </c>
      <c r="M514" t="inlineStr">
        <is>
          <t>Konstruksi Bangunan Sipil Jalan, Konstruksi Jaringan Irigasi dan Drainase</t>
        </is>
      </c>
      <c r="N514" t="inlineStr">
        <is>
          <t>K</t>
        </is>
      </c>
      <c r="O514" t="inlineStr">
        <is>
          <t>20231013</t>
        </is>
      </c>
      <c r="P514" t="inlineStr">
        <is>
          <t>Kalimantan Timur</t>
        </is>
      </c>
      <c r="Q514" t="inlineStr"/>
    </row>
    <row r="515">
      <c r="A515" t="inlineStr">
        <is>
          <t>MULTI HABITAT ENGINEERING CONSULTANT</t>
        </is>
      </c>
      <c r="B515" t="inlineStr">
        <is>
          <t>Kota Surabaya</t>
        </is>
      </c>
      <c r="C515" t="inlineStr">
        <is>
          <t>081233851985</t>
        </is>
      </c>
      <c r="D515" t="inlineStr">
        <is>
          <t>multihabitat@yahoo.co.id</t>
        </is>
      </c>
      <c r="E515" t="inlineStr">
        <is>
          <t>https://lpjk.pu.go.id/search-badan-usaha-detail/eDVtMS9DWGhEbUpBUjNQVlkzbE1NUT09</t>
        </is>
      </c>
      <c r="F515" t="n">
        <v>5</v>
      </c>
      <c r="G515" t="inlineStr">
        <is>
          <t>AR001, AR002, RK001, RK002, RK003</t>
        </is>
      </c>
      <c r="H515" t="inlineStr">
        <is>
          <t>7 Oktober 1987</t>
        </is>
      </c>
      <c r="I515" s="2" t="n">
        <v>46311</v>
      </c>
      <c r="J515" t="inlineStr">
        <is>
          <t>Disetujui</t>
        </is>
      </c>
      <c r="K515" t="n">
        <v>60</v>
      </c>
      <c r="L515" t="inlineStr">
        <is>
          <t>16 Oktober 2026</t>
        </is>
      </c>
      <c r="M515" t="inlineStr">
        <is>
          <t>Jasa Arsitektural Bangunan Gedung Hunian dan Non Hunian, Jasa Arsitektural Lainnya, Jasa Rekayasa Konstruksi Bangunan Gedung Hunian dan Non Hunian, Jasa Rekayasa Pekerjaan Teknik Sipil Sumber Daya Air, Jasa Rekayasa Pekerjaan Teknik Sipil Transportasi</t>
        </is>
      </c>
      <c r="N515" t="inlineStr">
        <is>
          <t>K</t>
        </is>
      </c>
      <c r="O515" t="inlineStr">
        <is>
          <t>20231004</t>
        </is>
      </c>
      <c r="P515" t="inlineStr">
        <is>
          <t>Jawa Timur</t>
        </is>
      </c>
      <c r="Q515" t="inlineStr"/>
    </row>
    <row r="516">
      <c r="A516" t="inlineStr">
        <is>
          <t>MULTI MATRA</t>
        </is>
      </c>
      <c r="B516" t="inlineStr">
        <is>
          <t>Kota Manado</t>
        </is>
      </c>
      <c r="C516" t="inlineStr">
        <is>
          <t>081340432890</t>
        </is>
      </c>
      <c r="D516" t="inlineStr">
        <is>
          <t>multimatramdo@gmail.com</t>
        </is>
      </c>
      <c r="E516" t="inlineStr">
        <is>
          <t>https://lpjk.pu.go.id/search-badan-usaha-detail/a21CcS9ES3pLcGh1TG9qTWtCVXdHQT09</t>
        </is>
      </c>
      <c r="F516" t="n">
        <v>2</v>
      </c>
      <c r="G516" t="inlineStr">
        <is>
          <t>BG009, BS001</t>
        </is>
      </c>
      <c r="H516" t="inlineStr">
        <is>
          <t>30 Juli 1991</t>
        </is>
      </c>
      <c r="I516" s="2" t="n">
        <v>46310</v>
      </c>
      <c r="J516" t="inlineStr">
        <is>
          <t>Disetujui</t>
        </is>
      </c>
      <c r="K516" t="n">
        <v>60</v>
      </c>
      <c r="L516" t="inlineStr">
        <is>
          <t>15 Oktober 2026</t>
        </is>
      </c>
      <c r="M516" t="inlineStr">
        <is>
          <t>Konstruksi Bangunan Sipil Jalan, Konstruksi Gedung Lainnya</t>
        </is>
      </c>
      <c r="N516" t="inlineStr">
        <is>
          <t>K</t>
        </is>
      </c>
      <c r="O516" t="inlineStr">
        <is>
          <t>20231013, 20231017</t>
        </is>
      </c>
      <c r="P516" t="inlineStr">
        <is>
          <t>Sulawesi Utara</t>
        </is>
      </c>
      <c r="Q516" t="inlineStr"/>
    </row>
    <row r="517">
      <c r="A517" t="inlineStr">
        <is>
          <t>MULTI PLANNING CONSULTANT</t>
        </is>
      </c>
      <c r="B517" t="inlineStr">
        <is>
          <t>Kota Kendari</t>
        </is>
      </c>
      <c r="C517" t="inlineStr">
        <is>
          <t>082344334717</t>
        </is>
      </c>
      <c r="D517" t="inlineStr">
        <is>
          <t>multiplan.co@gmail.com</t>
        </is>
      </c>
      <c r="E517" t="inlineStr">
        <is>
          <t>https://lpjk.pu.go.id/search-badan-usaha-detail/cmR2WEZPdWQrZkI0SHFYS2FnUUZUdz09</t>
        </is>
      </c>
      <c r="F517" t="n">
        <v>2</v>
      </c>
      <c r="G517" t="inlineStr">
        <is>
          <t>RK001, RK003</t>
        </is>
      </c>
      <c r="H517" t="inlineStr">
        <is>
          <t>1 September 2016</t>
        </is>
      </c>
      <c r="I517" s="2" t="n">
        <v>46307</v>
      </c>
      <c r="J517" t="inlineStr">
        <is>
          <t>Disetujui</t>
        </is>
      </c>
      <c r="K517" t="n">
        <v>60</v>
      </c>
      <c r="L517" t="inlineStr">
        <is>
          <t>12 Oktober 2026</t>
        </is>
      </c>
      <c r="M517" t="inlineStr">
        <is>
          <t>Jasa Rekayasa Konstruksi Bangunan Gedung Hunian dan Non Hunian, Jasa Rekayasa Pekerjaan Teknik Sipil Transportasi</t>
        </is>
      </c>
      <c r="N517" t="inlineStr">
        <is>
          <t>K</t>
        </is>
      </c>
      <c r="O517" t="inlineStr">
        <is>
          <t>20230112, 20230912</t>
        </is>
      </c>
      <c r="P517" t="inlineStr">
        <is>
          <t>Sulawesi Tenggara</t>
        </is>
      </c>
      <c r="Q517" t="inlineStr"/>
    </row>
    <row r="518">
      <c r="A518" t="inlineStr">
        <is>
          <t>MULTIBANGUN KARYA BERSAMA</t>
        </is>
      </c>
      <c r="B518" t="inlineStr">
        <is>
          <t>Kota Surabaya</t>
        </is>
      </c>
      <c r="C518" t="inlineStr">
        <is>
          <t>0317480101</t>
        </is>
      </c>
      <c r="D518" t="inlineStr">
        <is>
          <t>multibangun.karyabersama2023@gmail.com</t>
        </is>
      </c>
      <c r="E518" t="inlineStr">
        <is>
          <t>https://lpjk.pu.go.id/search-badan-usaha-detail/STQ1cHJidDRqeDFZUlBjWEhJT1Q2Zz09</t>
        </is>
      </c>
      <c r="F518" t="n">
        <v>3</v>
      </c>
      <c r="G518" t="inlineStr">
        <is>
          <t>BG002, BG003, BG009</t>
        </is>
      </c>
      <c r="H518" t="inlineStr">
        <is>
          <t>22 Februari 2023</t>
        </is>
      </c>
      <c r="I518" s="2" t="n">
        <v>46308</v>
      </c>
      <c r="J518" t="inlineStr">
        <is>
          <t>Disetujui</t>
        </is>
      </c>
      <c r="K518" t="n">
        <v>60</v>
      </c>
      <c r="L518" t="inlineStr">
        <is>
          <t>13 Oktober 2026</t>
        </is>
      </c>
      <c r="M518" t="inlineStr">
        <is>
          <t>Konstruksi Gedung Industri, Konstruksi Gedung Lainnya, Konstruksi Gedung Perkantoran</t>
        </is>
      </c>
      <c r="N518" t="inlineStr">
        <is>
          <t>K</t>
        </is>
      </c>
      <c r="O518" t="inlineStr">
        <is>
          <t>20231012</t>
        </is>
      </c>
      <c r="P518" t="inlineStr">
        <is>
          <t>Jawa Timur</t>
        </is>
      </c>
      <c r="Q518" t="inlineStr"/>
    </row>
    <row r="519">
      <c r="A519" t="inlineStr">
        <is>
          <t>MULYA PRATAMA ABADI</t>
        </is>
      </c>
      <c r="B519" t="inlineStr">
        <is>
          <t>Kab. Sukabumi</t>
        </is>
      </c>
      <c r="C519" t="inlineStr">
        <is>
          <t>085523960136</t>
        </is>
      </c>
      <c r="D519" t="inlineStr">
        <is>
          <t>cvmulyapratamaabadi@gmail.com</t>
        </is>
      </c>
      <c r="E519" t="inlineStr">
        <is>
          <t>https://lpjk.pu.go.id/search-badan-usaha-detail/enE2YmRaQ1ZvNzFkZThIVlM0WXVVUT09</t>
        </is>
      </c>
      <c r="F519" t="n">
        <v>1</v>
      </c>
      <c r="G519" t="inlineStr">
        <is>
          <t>BG001</t>
        </is>
      </c>
      <c r="H519" t="inlineStr">
        <is>
          <t>17 November 2021</t>
        </is>
      </c>
      <c r="I519" s="2" t="n">
        <v>46307</v>
      </c>
      <c r="J519" t="inlineStr">
        <is>
          <t>Disetujui</t>
        </is>
      </c>
      <c r="K519" t="n">
        <v>60</v>
      </c>
      <c r="L519" t="inlineStr">
        <is>
          <t>12 Oktober 2026</t>
        </is>
      </c>
      <c r="M519" t="inlineStr">
        <is>
          <t>Konstruksi Gedung Hunian</t>
        </is>
      </c>
      <c r="N519" t="inlineStr">
        <is>
          <t>K</t>
        </is>
      </c>
      <c r="O519" t="inlineStr">
        <is>
          <t>20231012</t>
        </is>
      </c>
      <c r="P519" t="inlineStr">
        <is>
          <t>Jawa Barat</t>
        </is>
      </c>
      <c r="Q519" t="inlineStr"/>
    </row>
    <row r="520">
      <c r="A520" t="inlineStr">
        <is>
          <t>MUSTIKA PADJADJARAN</t>
        </is>
      </c>
      <c r="B520" t="inlineStr">
        <is>
          <t>Kota Bandung</t>
        </is>
      </c>
      <c r="C520" t="inlineStr">
        <is>
          <t>081312164234</t>
        </is>
      </c>
      <c r="D520" t="inlineStr">
        <is>
          <t>mustikapadjadjaran16@gmail.com</t>
        </is>
      </c>
      <c r="E520" t="inlineStr">
        <is>
          <t>https://lpjk.pu.go.id/search-badan-usaha-detail/bmdXdlhncHlZeWZ5bHlhRTA5eXorUT09</t>
        </is>
      </c>
      <c r="F520" t="n">
        <v>2</v>
      </c>
      <c r="G520" t="inlineStr">
        <is>
          <t>BG002, BG009</t>
        </is>
      </c>
      <c r="H520" t="inlineStr">
        <is>
          <t>3 Februari 2020</t>
        </is>
      </c>
      <c r="I520" s="2" t="n">
        <v>46312</v>
      </c>
      <c r="J520" t="inlineStr">
        <is>
          <t>Disetujui</t>
        </is>
      </c>
      <c r="K520" t="n">
        <v>60</v>
      </c>
      <c r="L520" t="inlineStr">
        <is>
          <t>17 Oktober 2026</t>
        </is>
      </c>
      <c r="M520" t="inlineStr">
        <is>
          <t>Konstruksi Gedung Lainnya, Konstruksi Gedung Perkantoran</t>
        </is>
      </c>
      <c r="N520" t="inlineStr">
        <is>
          <t>K</t>
        </is>
      </c>
      <c r="O520" t="inlineStr">
        <is>
          <t>20231010</t>
        </is>
      </c>
      <c r="P520" t="inlineStr">
        <is>
          <t>Jawa Barat</t>
        </is>
      </c>
      <c r="Q520" t="inlineStr"/>
    </row>
    <row r="521">
      <c r="A521" t="inlineStr">
        <is>
          <t>MUTIARA</t>
        </is>
      </c>
      <c r="B521" t="inlineStr">
        <is>
          <t>Kab. Wonosobo</t>
        </is>
      </c>
      <c r="C521" t="inlineStr">
        <is>
          <t>081328506825</t>
        </is>
      </c>
      <c r="D521" t="inlineStr">
        <is>
          <t>mutiaracv12@yahoo.com</t>
        </is>
      </c>
      <c r="E521" t="inlineStr">
        <is>
          <t>https://lpjk.pu.go.id/search-badan-usaha-detail/aStFY1BrMkd6T25lZU42MmVROHMydz09</t>
        </is>
      </c>
      <c r="F521" t="n">
        <v>4</v>
      </c>
      <c r="G521" t="inlineStr">
        <is>
          <t>BG009, BS001</t>
        </is>
      </c>
      <c r="H521" t="inlineStr">
        <is>
          <t>12 November 2007</t>
        </is>
      </c>
      <c r="I521" s="2" t="n">
        <v>46307</v>
      </c>
      <c r="J521" t="inlineStr">
        <is>
          <t>Disetujui</t>
        </is>
      </c>
      <c r="K521" t="n">
        <v>60</v>
      </c>
      <c r="L521" t="inlineStr">
        <is>
          <t>12 Oktober 2026</t>
        </is>
      </c>
      <c r="M521" t="inlineStr">
        <is>
          <t>Konstruksi Bangunan Sipil Jalan, Konstruksi Gedung Lainnya</t>
        </is>
      </c>
      <c r="N521" t="inlineStr">
        <is>
          <t>K</t>
        </is>
      </c>
      <c r="O521" t="inlineStr">
        <is>
          <t>20231006, 20231014</t>
        </is>
      </c>
      <c r="P521" t="inlineStr">
        <is>
          <t>Jawa Tengah</t>
        </is>
      </c>
      <c r="Q521" t="inlineStr"/>
    </row>
    <row r="522">
      <c r="A522" t="inlineStr">
        <is>
          <t>MUTIARA MITRA MANDIRI SAROHA</t>
        </is>
      </c>
      <c r="B522" t="inlineStr">
        <is>
          <t>Kab. Cilacap</t>
        </is>
      </c>
      <c r="C522" t="inlineStr">
        <is>
          <t>0282542062</t>
        </is>
      </c>
      <c r="D522" t="inlineStr">
        <is>
          <t>mutiara.mitra@gmail.com</t>
        </is>
      </c>
      <c r="E522" t="inlineStr">
        <is>
          <t>https://lpjk.pu.go.id/search-badan-usaha-detail/NFdQS2ZRZlgwSUlnMTlmYWlVeFpWUT09</t>
        </is>
      </c>
      <c r="F522" t="n">
        <v>10</v>
      </c>
      <c r="G522" t="inlineStr">
        <is>
          <t>BG001, BG006, BG009, BS001, BS004</t>
        </is>
      </c>
      <c r="H522" t="inlineStr">
        <is>
          <t>14 Maret 2000</t>
        </is>
      </c>
      <c r="I522" s="2" t="n">
        <v>46312</v>
      </c>
      <c r="J522" t="inlineStr">
        <is>
          <t>Disetujui</t>
        </is>
      </c>
      <c r="K522" t="n">
        <v>60</v>
      </c>
      <c r="L522" t="inlineStr">
        <is>
          <t>17 Oktober 2026</t>
        </is>
      </c>
      <c r="M522" t="inlineStr">
        <is>
          <t>Konstruksi Bangunan Sipil Jalan, Konstruksi Gedung Hunian, Konstruksi Gedung Lainnya, Konstruksi Gedung Pendidikan, Konstruksi Jaringan Irigasi dan Drainase</t>
        </is>
      </c>
      <c r="N522" t="inlineStr">
        <is>
          <t>K</t>
        </is>
      </c>
      <c r="O522" t="inlineStr">
        <is>
          <t>20231012</t>
        </is>
      </c>
      <c r="P522" t="inlineStr">
        <is>
          <t>Jawa Tengah</t>
        </is>
      </c>
      <c r="Q522" t="inlineStr"/>
    </row>
    <row r="523">
      <c r="A523" t="inlineStr">
        <is>
          <t>NAGA MAS PERKASA</t>
        </is>
      </c>
      <c r="B523" t="inlineStr">
        <is>
          <t>Kota Binjai</t>
        </is>
      </c>
      <c r="C523" t="inlineStr">
        <is>
          <t>081377185027</t>
        </is>
      </c>
      <c r="D523" t="inlineStr">
        <is>
          <t>cvnagamas981@gmail.com</t>
        </is>
      </c>
      <c r="E523" t="inlineStr">
        <is>
          <t>https://lpjk.pu.go.id/search-badan-usaha-detail/YnU3ZEQyb21LbExHTVo2S3lqWSsrZz09</t>
        </is>
      </c>
      <c r="F523" t="n">
        <v>1</v>
      </c>
      <c r="G523" t="inlineStr">
        <is>
          <t>BS001</t>
        </is>
      </c>
      <c r="H523" t="inlineStr">
        <is>
          <t>29 April 2019</t>
        </is>
      </c>
      <c r="I523" s="2" t="n">
        <v>46311</v>
      </c>
      <c r="J523" t="inlineStr">
        <is>
          <t>Disetujui</t>
        </is>
      </c>
      <c r="K523" t="n">
        <v>60</v>
      </c>
      <c r="L523" t="inlineStr">
        <is>
          <t>16 Oktober 2026</t>
        </is>
      </c>
      <c r="M523" t="inlineStr">
        <is>
          <t>Konstruksi Bangunan Sipil Jalan</t>
        </is>
      </c>
      <c r="N523" t="inlineStr">
        <is>
          <t>K</t>
        </is>
      </c>
      <c r="O523" t="inlineStr">
        <is>
          <t>20230908</t>
        </is>
      </c>
      <c r="P523" t="inlineStr">
        <is>
          <t>Sumatera Utara</t>
        </is>
      </c>
      <c r="Q523" t="inlineStr"/>
    </row>
    <row r="524">
      <c r="A524" t="inlineStr">
        <is>
          <t>NANO CONSTRUCTIONS</t>
        </is>
      </c>
      <c r="B524" t="inlineStr">
        <is>
          <t>Kab. Sragen</t>
        </is>
      </c>
      <c r="C524" t="inlineStr">
        <is>
          <t>081280804300</t>
        </is>
      </c>
      <c r="D524" t="inlineStr">
        <is>
          <t>cvnanoconstructions@gmail.com</t>
        </is>
      </c>
      <c r="E524" t="inlineStr">
        <is>
          <t>https://lpjk.pu.go.id/search-badan-usaha-detail/aWI0eC9SKy9CU3VCMDU1N1VMR29yQT09</t>
        </is>
      </c>
      <c r="F524" t="n">
        <v>1</v>
      </c>
      <c r="G524" t="inlineStr">
        <is>
          <t>BS001</t>
        </is>
      </c>
      <c r="H524" t="inlineStr">
        <is>
          <t>14 Oktober 2023</t>
        </is>
      </c>
      <c r="I524" s="2" t="n">
        <v>46312</v>
      </c>
      <c r="J524" t="inlineStr">
        <is>
          <t>Pencabutan</t>
        </is>
      </c>
      <c r="K524" t="n">
        <v>60</v>
      </c>
      <c r="L524" t="inlineStr">
        <is>
          <t>17 Oktober 2026</t>
        </is>
      </c>
      <c r="M524" t="inlineStr">
        <is>
          <t>Konstruksi Bangunan Sipil Jalan</t>
        </is>
      </c>
      <c r="N524" t="inlineStr">
        <is>
          <t>K</t>
        </is>
      </c>
      <c r="O524" t="inlineStr">
        <is>
          <t>20231017</t>
        </is>
      </c>
      <c r="P524" t="inlineStr">
        <is>
          <t>Jawa Tengah</t>
        </is>
      </c>
      <c r="Q524" t="inlineStr"/>
    </row>
    <row r="525">
      <c r="A525" t="inlineStr">
        <is>
          <t>NATAMA KARYA JAYA</t>
        </is>
      </c>
      <c r="B525" t="inlineStr">
        <is>
          <t>Kota Medan</t>
        </is>
      </c>
      <c r="C525" t="inlineStr">
        <is>
          <t>0617861651</t>
        </is>
      </c>
      <c r="D525" t="inlineStr">
        <is>
          <t>natamakaryajaya@gmail.com</t>
        </is>
      </c>
      <c r="E525" t="inlineStr">
        <is>
          <t>https://lpjk.pu.go.id/search-badan-usaha-detail/V2d0N2RnZGp4U3AvR1kxMFBFSFZYUT09</t>
        </is>
      </c>
      <c r="F525" t="n">
        <v>1</v>
      </c>
      <c r="G525" t="inlineStr">
        <is>
          <t>BS004</t>
        </is>
      </c>
      <c r="H525" t="inlineStr">
        <is>
          <t>13 April 2007</t>
        </is>
      </c>
      <c r="I525" s="2" t="n">
        <v>46309</v>
      </c>
      <c r="J525" t="inlineStr">
        <is>
          <t>Pembekuan</t>
        </is>
      </c>
      <c r="K525" t="n">
        <v>60</v>
      </c>
      <c r="L525" t="inlineStr">
        <is>
          <t>14 Oktober 2026</t>
        </is>
      </c>
      <c r="M525" t="inlineStr">
        <is>
          <t>Konstruksi Jaringan Irigasi dan Drainase</t>
        </is>
      </c>
      <c r="N525" t="inlineStr">
        <is>
          <t>M</t>
        </is>
      </c>
      <c r="O525" t="inlineStr">
        <is>
          <t>20231013</t>
        </is>
      </c>
      <c r="P525" t="inlineStr">
        <is>
          <t>Sumatera Utara</t>
        </is>
      </c>
      <c r="Q525" t="inlineStr"/>
    </row>
    <row r="526">
      <c r="A526" t="inlineStr">
        <is>
          <t>NAULI BINTUNI JAYA</t>
        </is>
      </c>
      <c r="B526" t="inlineStr">
        <is>
          <t>Kab. Teluk Bintuni</t>
        </is>
      </c>
      <c r="C526" t="inlineStr">
        <is>
          <t>085255553991</t>
        </is>
      </c>
      <c r="D526" t="inlineStr">
        <is>
          <t>eghynathawong@gmail.com</t>
        </is>
      </c>
      <c r="E526" t="inlineStr">
        <is>
          <t>https://lpjk.pu.go.id/search-badan-usaha-detail/NEpaMzJCaHhOME5PQXZxdUYzUzhNUT09</t>
        </is>
      </c>
      <c r="F526" t="n">
        <v>1</v>
      </c>
      <c r="G526" t="inlineStr">
        <is>
          <t>BG001</t>
        </is>
      </c>
      <c r="H526" t="inlineStr">
        <is>
          <t>20 September 2023</t>
        </is>
      </c>
      <c r="I526" s="2" t="n">
        <v>46311</v>
      </c>
      <c r="J526" t="inlineStr">
        <is>
          <t>Pencabutan</t>
        </is>
      </c>
      <c r="K526" t="n">
        <v>60</v>
      </c>
      <c r="L526" t="inlineStr">
        <is>
          <t>16 Oktober 2026</t>
        </is>
      </c>
      <c r="M526" t="inlineStr">
        <is>
          <t>Konstruksi Gedung Hunian</t>
        </is>
      </c>
      <c r="N526" t="inlineStr">
        <is>
          <t>K</t>
        </is>
      </c>
      <c r="O526" t="inlineStr">
        <is>
          <t>20230703</t>
        </is>
      </c>
      <c r="P526" t="inlineStr">
        <is>
          <t>Papua Barat</t>
        </is>
      </c>
      <c r="Q526" t="inlineStr"/>
    </row>
    <row r="527">
      <c r="A527" t="inlineStr">
        <is>
          <t>NAWASENA POWER PERKASA</t>
        </is>
      </c>
      <c r="B527" t="inlineStr">
        <is>
          <t>Kab. Tapanuli Tengah</t>
        </is>
      </c>
      <c r="C527" t="inlineStr">
        <is>
          <t>081262054877</t>
        </is>
      </c>
      <c r="D527" t="inlineStr">
        <is>
          <t>nawasenapowerperkasa@gmail.com</t>
        </is>
      </c>
      <c r="E527" t="inlineStr">
        <is>
          <t>https://lpjk.pu.go.id/search-badan-usaha-detail/TWFNbEZuZnZpbXNta2l0S3N6eVZxZz09</t>
        </is>
      </c>
      <c r="F527" t="n">
        <v>2</v>
      </c>
      <c r="G527" t="inlineStr">
        <is>
          <t>BS007</t>
        </is>
      </c>
      <c r="H527" t="inlineStr">
        <is>
          <t>9 Juni 2023</t>
        </is>
      </c>
      <c r="I527" s="2" t="n">
        <v>46313</v>
      </c>
      <c r="J527" t="inlineStr">
        <is>
          <t>Disetujui</t>
        </is>
      </c>
      <c r="K527" t="n">
        <v>60</v>
      </c>
      <c r="L527" t="inlineStr">
        <is>
          <t>18 Oktober 2026</t>
        </is>
      </c>
      <c r="M527" t="inlineStr">
        <is>
          <t>Konstruksi Bangunan Sipil Elektrikal</t>
        </is>
      </c>
      <c r="N527" t="inlineStr">
        <is>
          <t>K</t>
        </is>
      </c>
      <c r="O527" t="inlineStr">
        <is>
          <t>20231018</t>
        </is>
      </c>
      <c r="P527" t="inlineStr">
        <is>
          <t>Sumatera Utara</t>
        </is>
      </c>
      <c r="Q527" t="inlineStr"/>
    </row>
    <row r="528">
      <c r="A528" t="inlineStr">
        <is>
          <t>NIAGA NUSANTARA DIVA</t>
        </is>
      </c>
      <c r="B528" t="inlineStr">
        <is>
          <t>Kota Banda Aceh</t>
        </is>
      </c>
      <c r="C528" t="inlineStr">
        <is>
          <t>081260574744</t>
        </is>
      </c>
      <c r="D528" t="inlineStr">
        <is>
          <t>niaganusantaradiva@gmail.com</t>
        </is>
      </c>
      <c r="E528" t="inlineStr">
        <is>
          <t>https://lpjk.pu.go.id/search-badan-usaha-detail/SmhpOEtjaGV6ODBZbmtNQzBFdjNHdz09</t>
        </is>
      </c>
      <c r="F528" t="n">
        <v>1</v>
      </c>
      <c r="G528" t="inlineStr">
        <is>
          <t>BS009</t>
        </is>
      </c>
      <c r="H528" t="inlineStr">
        <is>
          <t>30 Januari 2020</t>
        </is>
      </c>
      <c r="I528" s="2" t="n">
        <v>46313</v>
      </c>
      <c r="J528" t="inlineStr">
        <is>
          <t>Disetujui</t>
        </is>
      </c>
      <c r="K528" t="n">
        <v>60</v>
      </c>
      <c r="L528" t="inlineStr">
        <is>
          <t>18 Oktober 2026</t>
        </is>
      </c>
      <c r="M528" t="inlineStr">
        <is>
          <t>Konstruksi Sentral Telekomunikasi</t>
        </is>
      </c>
      <c r="N528" t="inlineStr">
        <is>
          <t>K</t>
        </is>
      </c>
      <c r="O528" t="inlineStr">
        <is>
          <t>20231018</t>
        </is>
      </c>
      <c r="P528" t="inlineStr">
        <is>
          <t>Aceh</t>
        </is>
      </c>
      <c r="Q528" t="inlineStr"/>
    </row>
    <row r="529">
      <c r="A529" t="inlineStr">
        <is>
          <t>NILA NASRA NINA</t>
        </is>
      </c>
      <c r="B529" t="inlineStr">
        <is>
          <t>Kab. Aceh Jaya</t>
        </is>
      </c>
      <c r="C529" t="inlineStr">
        <is>
          <t>085277919989</t>
        </is>
      </c>
      <c r="D529" t="inlineStr">
        <is>
          <t>pt.griya09@gmail.com</t>
        </is>
      </c>
      <c r="E529" t="inlineStr">
        <is>
          <t>https://lpjk.pu.go.id/search-badan-usaha-detail/ZXBjK0hWQi9oWGh6eGI4c3lZMzAvUT09</t>
        </is>
      </c>
      <c r="F529" t="n">
        <v>2</v>
      </c>
      <c r="G529" t="inlineStr">
        <is>
          <t>BG002, BG009</t>
        </is>
      </c>
      <c r="H529" t="inlineStr">
        <is>
          <t>14 Maret 2012</t>
        </is>
      </c>
      <c r="I529" s="2" t="n">
        <v>46307</v>
      </c>
      <c r="J529" t="inlineStr">
        <is>
          <t>Pembekuan</t>
        </is>
      </c>
      <c r="K529" t="n">
        <v>60</v>
      </c>
      <c r="L529" t="inlineStr">
        <is>
          <t>12 Oktober 2026</t>
        </is>
      </c>
      <c r="M529" t="inlineStr">
        <is>
          <t>Konstruksi Gedung Lainnya, Konstruksi Gedung Perkantoran</t>
        </is>
      </c>
      <c r="N529" t="inlineStr">
        <is>
          <t>M</t>
        </is>
      </c>
      <c r="O529" t="inlineStr">
        <is>
          <t>20230925, 20231011</t>
        </is>
      </c>
      <c r="P529" t="inlineStr">
        <is>
          <t>Aceh</t>
        </is>
      </c>
      <c r="Q529" t="inlineStr"/>
    </row>
    <row r="530">
      <c r="A530" t="inlineStr">
        <is>
          <t>NISCALA INDO RAYA</t>
        </is>
      </c>
      <c r="B530" t="inlineStr">
        <is>
          <t>Kota Kendari</t>
        </is>
      </c>
      <c r="C530" t="inlineStr">
        <is>
          <t>082130000611</t>
        </is>
      </c>
      <c r="D530" t="inlineStr">
        <is>
          <t>cv.niscalaindoraya@gmail.com</t>
        </is>
      </c>
      <c r="E530" t="inlineStr">
        <is>
          <t>https://lpjk.pu.go.id/search-badan-usaha-detail/aFhSVndyYmpjZGorTjBhOWNZcStaQT09</t>
        </is>
      </c>
      <c r="F530" t="n">
        <v>1</v>
      </c>
      <c r="G530" t="inlineStr">
        <is>
          <t>BG006</t>
        </is>
      </c>
      <c r="H530" t="inlineStr">
        <is>
          <t>18 Januari 2022</t>
        </is>
      </c>
      <c r="I530" s="2" t="n">
        <v>46313</v>
      </c>
      <c r="J530" t="inlineStr">
        <is>
          <t>Disetujui</t>
        </is>
      </c>
      <c r="K530" t="n">
        <v>60</v>
      </c>
      <c r="L530" t="inlineStr">
        <is>
          <t>18 Oktober 2026</t>
        </is>
      </c>
      <c r="M530" t="inlineStr">
        <is>
          <t>Konstruksi Gedung Pendidikan</t>
        </is>
      </c>
      <c r="N530" t="inlineStr">
        <is>
          <t>K</t>
        </is>
      </c>
      <c r="O530" t="inlineStr">
        <is>
          <t>20231011</t>
        </is>
      </c>
      <c r="P530" t="inlineStr">
        <is>
          <t>Sulawesi Tenggara</t>
        </is>
      </c>
      <c r="Q530" t="inlineStr"/>
    </row>
    <row r="531">
      <c r="A531" t="inlineStr">
        <is>
          <t>NUSANTARA MEGAH</t>
        </is>
      </c>
      <c r="B531" t="inlineStr">
        <is>
          <t>Kab. Malang</t>
        </is>
      </c>
      <c r="C531" t="inlineStr">
        <is>
          <t>083834987465</t>
        </is>
      </c>
      <c r="D531" t="inlineStr">
        <is>
          <t>nusantara.megah01@gmail.com</t>
        </is>
      </c>
      <c r="E531" t="inlineStr">
        <is>
          <t>https://lpjk.pu.go.id/search-badan-usaha-detail/NVMrOWhycGtDdEsvQXpuZVhwY1I5UT09</t>
        </is>
      </c>
      <c r="F531" t="n">
        <v>1</v>
      </c>
      <c r="G531" t="inlineStr">
        <is>
          <t>BS001</t>
        </is>
      </c>
      <c r="H531" t="inlineStr">
        <is>
          <t>25 September 2023</t>
        </is>
      </c>
      <c r="I531" s="2" t="n">
        <v>46313</v>
      </c>
      <c r="J531" t="inlineStr">
        <is>
          <t>Disetujui</t>
        </is>
      </c>
      <c r="K531" t="n">
        <v>60</v>
      </c>
      <c r="L531" t="inlineStr">
        <is>
          <t>18 Oktober 2026</t>
        </is>
      </c>
      <c r="M531" t="inlineStr">
        <is>
          <t>Konstruksi Bangunan Sipil Jalan</t>
        </is>
      </c>
      <c r="N531" t="inlineStr">
        <is>
          <t>K</t>
        </is>
      </c>
      <c r="O531" t="inlineStr">
        <is>
          <t>20231012</t>
        </is>
      </c>
      <c r="P531" t="inlineStr">
        <is>
          <t>Jawa Timur</t>
        </is>
      </c>
      <c r="Q531" t="inlineStr"/>
    </row>
    <row r="532">
      <c r="A532" t="inlineStr">
        <is>
          <t>NUSANTARA SATU BERDIKARI</t>
        </is>
      </c>
      <c r="B532" t="inlineStr">
        <is>
          <t>Kota Adm. Jakarta Selatan</t>
        </is>
      </c>
      <c r="C532" t="inlineStr">
        <is>
          <t>081383786331</t>
        </is>
      </c>
      <c r="D532" t="inlineStr">
        <is>
          <t>ptnusantarasatuberdikari@gmail.com</t>
        </is>
      </c>
      <c r="E532" t="inlineStr">
        <is>
          <t>https://lpjk.pu.go.id/search-badan-usaha-detail/SjN3SHFiYnBRUTZPWFplaFl1U0E5dz09</t>
        </is>
      </c>
      <c r="F532" t="n">
        <v>4</v>
      </c>
      <c r="G532" t="inlineStr">
        <is>
          <t>BG005, BG006, BS001, BS004</t>
        </is>
      </c>
      <c r="H532" t="inlineStr">
        <is>
          <t>14 Agustus 2023</t>
        </is>
      </c>
      <c r="I532" s="2" t="n">
        <v>46311</v>
      </c>
      <c r="J532" t="inlineStr">
        <is>
          <t>Disetujui</t>
        </is>
      </c>
      <c r="K532" t="n">
        <v>60</v>
      </c>
      <c r="L532" t="inlineStr">
        <is>
          <t>16 Oktober 2026</t>
        </is>
      </c>
      <c r="M532" t="inlineStr">
        <is>
          <t>Konstruksi Bangunan Sipil Jalan, Konstruksi Gedung Kesehatan, Konstruksi Gedung Pendidikan, Konstruksi Jaringan Irigasi dan Drainase</t>
        </is>
      </c>
      <c r="N532" t="inlineStr">
        <is>
          <t>K</t>
        </is>
      </c>
      <c r="O532" t="inlineStr">
        <is>
          <t>20231012</t>
        </is>
      </c>
      <c r="P532" t="inlineStr">
        <is>
          <t>DKI Jakarta</t>
        </is>
      </c>
      <c r="Q532" t="inlineStr"/>
    </row>
    <row r="533">
      <c r="A533" t="inlineStr">
        <is>
          <t>OPTIMA MITRA PERKASA</t>
        </is>
      </c>
      <c r="B533" t="inlineStr">
        <is>
          <t>Kota Tangerang</t>
        </is>
      </c>
      <c r="C533" t="inlineStr">
        <is>
          <t>087878424322</t>
        </is>
      </c>
      <c r="D533" t="inlineStr">
        <is>
          <t>optimamitraperkasa@yahoo.com</t>
        </is>
      </c>
      <c r="E533" t="inlineStr">
        <is>
          <t>https://lpjk.pu.go.id/search-badan-usaha-detail/VEQxZEJtRktmTUFYK3JMNmE1M0Jndz09</t>
        </is>
      </c>
      <c r="F533" t="n">
        <v>3</v>
      </c>
      <c r="G533" t="inlineStr">
        <is>
          <t>BG001, BG002, BG009</t>
        </is>
      </c>
      <c r="H533" t="inlineStr">
        <is>
          <t>16 Juni 2016</t>
        </is>
      </c>
      <c r="I533" s="2" t="n">
        <v>46312</v>
      </c>
      <c r="J533" t="inlineStr">
        <is>
          <t>Disetujui</t>
        </is>
      </c>
      <c r="K533" t="n">
        <v>60</v>
      </c>
      <c r="L533" t="inlineStr">
        <is>
          <t>17 Oktober 2026</t>
        </is>
      </c>
      <c r="M533" t="inlineStr">
        <is>
          <t>Konstruksi Gedung Hunian, Konstruksi Gedung Lainnya, Konstruksi Gedung Perkantoran</t>
        </is>
      </c>
      <c r="N533" t="inlineStr">
        <is>
          <t>K</t>
        </is>
      </c>
      <c r="O533" t="inlineStr">
        <is>
          <t>20231018</t>
        </is>
      </c>
      <c r="P533" t="inlineStr">
        <is>
          <t>Banten</t>
        </is>
      </c>
      <c r="Q533" t="inlineStr"/>
    </row>
    <row r="534">
      <c r="A534" t="inlineStr">
        <is>
          <t>PADI PADI TAMAN</t>
        </is>
      </c>
      <c r="B534" t="inlineStr">
        <is>
          <t>Kab. Sampang</t>
        </is>
      </c>
      <c r="C534" t="inlineStr">
        <is>
          <t>081937222151</t>
        </is>
      </c>
      <c r="D534" t="inlineStr">
        <is>
          <t>cv.paditaman@yahoo.com</t>
        </is>
      </c>
      <c r="E534" t="inlineStr">
        <is>
          <t>https://lpjk.pu.go.id/search-badan-usaha-detail/MDAwUVBFSnhwRFhYOU1wblkxZmhkdz09</t>
        </is>
      </c>
      <c r="F534" t="n">
        <v>1</v>
      </c>
      <c r="G534" t="inlineStr">
        <is>
          <t>BG006</t>
        </is>
      </c>
      <c r="H534" t="inlineStr">
        <is>
          <t>26 September 2023</t>
        </is>
      </c>
      <c r="I534" s="2" t="n">
        <v>46311</v>
      </c>
      <c r="J534" t="inlineStr">
        <is>
          <t>Disetujui</t>
        </is>
      </c>
      <c r="K534" t="n">
        <v>60</v>
      </c>
      <c r="L534" t="inlineStr">
        <is>
          <t>16 Oktober 2026</t>
        </is>
      </c>
      <c r="M534" t="inlineStr">
        <is>
          <t>Konstruksi Gedung Pendidikan</t>
        </is>
      </c>
      <c r="N534" t="inlineStr">
        <is>
          <t>K</t>
        </is>
      </c>
      <c r="O534" t="inlineStr">
        <is>
          <t>20231016</t>
        </is>
      </c>
      <c r="P534" t="inlineStr">
        <is>
          <t>Jawa Timur</t>
        </is>
      </c>
      <c r="Q534" t="inlineStr"/>
    </row>
    <row r="535">
      <c r="A535" t="inlineStr">
        <is>
          <t>PALUTA JAYA KONSTRUKSI</t>
        </is>
      </c>
      <c r="B535" t="inlineStr">
        <is>
          <t>Kab. Pasaman</t>
        </is>
      </c>
      <c r="C535" t="inlineStr">
        <is>
          <t>085213231466</t>
        </is>
      </c>
      <c r="D535" t="inlineStr">
        <is>
          <t>palutajayakonstruksi@gmail.com</t>
        </is>
      </c>
      <c r="E535" t="inlineStr">
        <is>
          <t>https://lpjk.pu.go.id/search-badan-usaha-detail/eVBtdE5XSi9OV3B4SVZCTFA1czdKdz09</t>
        </is>
      </c>
      <c r="F535" t="n">
        <v>1</v>
      </c>
      <c r="G535" t="inlineStr">
        <is>
          <t>BS004</t>
        </is>
      </c>
      <c r="H535" t="inlineStr">
        <is>
          <t>22 Januari 2020</t>
        </is>
      </c>
      <c r="I535" s="2" t="n">
        <v>46311</v>
      </c>
      <c r="J535" t="inlineStr">
        <is>
          <t>Pencabutan</t>
        </is>
      </c>
      <c r="K535" t="n">
        <v>60</v>
      </c>
      <c r="L535" t="inlineStr">
        <is>
          <t>16 Oktober 2026</t>
        </is>
      </c>
      <c r="M535" t="inlineStr">
        <is>
          <t>Konstruksi Jaringan Irigasi dan Drainase</t>
        </is>
      </c>
      <c r="N535" t="inlineStr">
        <is>
          <t>K</t>
        </is>
      </c>
      <c r="O535" t="inlineStr">
        <is>
          <t>20231016</t>
        </is>
      </c>
      <c r="P535" t="inlineStr">
        <is>
          <t>Sumatera Barat</t>
        </is>
      </c>
      <c r="Q535" t="inlineStr"/>
    </row>
    <row r="536">
      <c r="A536" t="inlineStr">
        <is>
          <t>PANCA ARYA SADANANDA</t>
        </is>
      </c>
      <c r="B536" t="inlineStr">
        <is>
          <t>Kota Medan</t>
        </is>
      </c>
      <c r="C536" t="inlineStr">
        <is>
          <t>082166350992</t>
        </is>
      </c>
      <c r="D536" t="inlineStr">
        <is>
          <t>pancaaryasadananda@gmail.com</t>
        </is>
      </c>
      <c r="E536" t="inlineStr">
        <is>
          <t>https://lpjk.pu.go.id/search-badan-usaha-detail/NHQxUnMxaGYvTjFKcHAwblF0dEpoUT09</t>
        </is>
      </c>
      <c r="F536" t="n">
        <v>1</v>
      </c>
      <c r="G536" t="inlineStr">
        <is>
          <t>BG001</t>
        </is>
      </c>
      <c r="H536" t="inlineStr">
        <is>
          <t>21 September 2021</t>
        </is>
      </c>
      <c r="I536" s="2" t="n">
        <v>46311</v>
      </c>
      <c r="J536" t="inlineStr">
        <is>
          <t>Disetujui</t>
        </is>
      </c>
      <c r="K536" t="n">
        <v>60</v>
      </c>
      <c r="L536" t="inlineStr">
        <is>
          <t>16 Oktober 2026</t>
        </is>
      </c>
      <c r="M536" t="inlineStr">
        <is>
          <t>Konstruksi Gedung Hunian</t>
        </is>
      </c>
      <c r="N536" t="inlineStr">
        <is>
          <t>K</t>
        </is>
      </c>
      <c r="O536" t="inlineStr">
        <is>
          <t>20231017</t>
        </is>
      </c>
      <c r="P536" t="inlineStr">
        <is>
          <t>Sumatera Utara</t>
        </is>
      </c>
      <c r="Q536" t="inlineStr"/>
    </row>
    <row r="537">
      <c r="A537" t="inlineStr">
        <is>
          <t>PANCORA JAYA</t>
        </is>
      </c>
      <c r="B537" t="inlineStr">
        <is>
          <t>Kab. Indramayu</t>
        </is>
      </c>
      <c r="C537" t="inlineStr">
        <is>
          <t>081246800234</t>
        </is>
      </c>
      <c r="D537" t="inlineStr">
        <is>
          <t>pancorajaya.cv@gmail.com</t>
        </is>
      </c>
      <c r="E537" t="inlineStr">
        <is>
          <t>https://lpjk.pu.go.id/search-badan-usaha-detail/Y3dhcXFSRjltcjl0MHFQWDg3Vmc2UT09</t>
        </is>
      </c>
      <c r="F537" t="n">
        <v>5</v>
      </c>
      <c r="G537" t="inlineStr">
        <is>
          <t>BG002, BG004, BG005, BG007, BG008</t>
        </is>
      </c>
      <c r="H537" t="inlineStr">
        <is>
          <t>7 Desember 2016</t>
        </is>
      </c>
      <c r="I537" s="2" t="n">
        <v>46311</v>
      </c>
      <c r="J537" t="inlineStr">
        <is>
          <t>Disetujui</t>
        </is>
      </c>
      <c r="K537" t="n">
        <v>60</v>
      </c>
      <c r="L537" t="inlineStr">
        <is>
          <t>16 Oktober 2026</t>
        </is>
      </c>
      <c r="M537" t="inlineStr">
        <is>
          <t>Konstruksi Gedung Kesehatan, Konstruksi Gedung Penginapan, Konstruksi Gedung Perbelanjaan, Konstruksi Gedung Perkantoran, Konstruksi Gedung Tempat Hiburan dan Olahraga</t>
        </is>
      </c>
      <c r="N537" t="inlineStr">
        <is>
          <t>K</t>
        </is>
      </c>
      <c r="O537" t="inlineStr">
        <is>
          <t>20231012</t>
        </is>
      </c>
      <c r="P537" t="inlineStr">
        <is>
          <t>Jawa Barat</t>
        </is>
      </c>
      <c r="Q537" t="inlineStr"/>
    </row>
    <row r="538">
      <c r="A538" t="inlineStr">
        <is>
          <t>PANDAN JAYA INDONESIA</t>
        </is>
      </c>
      <c r="B538" t="inlineStr">
        <is>
          <t>Kota Surabaya</t>
        </is>
      </c>
      <c r="C538" t="inlineStr">
        <is>
          <t>0317314954</t>
        </is>
      </c>
      <c r="D538" t="inlineStr">
        <is>
          <t>pandanjaya2@gmail.com</t>
        </is>
      </c>
      <c r="E538" t="inlineStr">
        <is>
          <t>https://lpjk.pu.go.id/search-badan-usaha-detail/TzFjRlpKeTlDUTJmS2NONkZmd040dz09</t>
        </is>
      </c>
      <c r="F538" t="n">
        <v>2</v>
      </c>
      <c r="G538" t="inlineStr">
        <is>
          <t>BG004</t>
        </is>
      </c>
      <c r="H538" t="inlineStr">
        <is>
          <t>12 Februari 2016</t>
        </is>
      </c>
      <c r="I538" s="2" t="n">
        <v>46308</v>
      </c>
      <c r="J538" t="inlineStr">
        <is>
          <t>Disetujui</t>
        </is>
      </c>
      <c r="K538" t="n">
        <v>60</v>
      </c>
      <c r="L538" t="inlineStr">
        <is>
          <t>13 Oktober 2026</t>
        </is>
      </c>
      <c r="M538" t="inlineStr">
        <is>
          <t>Konstruksi Gedung Perbelanjaan</t>
        </is>
      </c>
      <c r="N538" t="inlineStr">
        <is>
          <t>M</t>
        </is>
      </c>
      <c r="O538" t="inlineStr">
        <is>
          <t>20231012</t>
        </is>
      </c>
      <c r="P538" t="inlineStr">
        <is>
          <t>Jawa Timur</t>
        </is>
      </c>
      <c r="Q538" t="inlineStr"/>
    </row>
    <row r="539">
      <c r="A539" t="inlineStr">
        <is>
          <t>PANDAWA NADIMPU</t>
        </is>
      </c>
      <c r="B539" t="inlineStr">
        <is>
          <t>Kota Padang Sidempuan</t>
        </is>
      </c>
      <c r="C539" t="inlineStr">
        <is>
          <t>082278270029</t>
        </is>
      </c>
      <c r="D539" t="inlineStr">
        <is>
          <t>cvpandawanadimpu@gmail.com</t>
        </is>
      </c>
      <c r="E539" t="inlineStr">
        <is>
          <t>https://lpjk.pu.go.id/search-badan-usaha-detail/TGFQSlpiRDlNaklzMW42OWo0SVZDUT09</t>
        </is>
      </c>
      <c r="F539" t="n">
        <v>2</v>
      </c>
      <c r="G539" t="inlineStr">
        <is>
          <t>BS010</t>
        </is>
      </c>
      <c r="H539" t="inlineStr">
        <is>
          <t>27 September 2023</t>
        </is>
      </c>
      <c r="I539" s="2" t="n">
        <v>46311</v>
      </c>
      <c r="J539" t="inlineStr">
        <is>
          <t>Pencabutan</t>
        </is>
      </c>
      <c r="K539" t="n">
        <v>60</v>
      </c>
      <c r="L539" t="inlineStr">
        <is>
          <t>16 Oktober 2026</t>
        </is>
      </c>
      <c r="M539" t="inlineStr">
        <is>
          <t>Konstruksi Bangunan Prasarana Sumber Daya Air</t>
        </is>
      </c>
      <c r="N539" t="inlineStr">
        <is>
          <t>K</t>
        </is>
      </c>
      <c r="O539" t="inlineStr">
        <is>
          <t>20231017</t>
        </is>
      </c>
      <c r="P539" t="inlineStr">
        <is>
          <t>Sumatera Utara</t>
        </is>
      </c>
      <c r="Q539" t="inlineStr"/>
    </row>
    <row r="540">
      <c r="A540" t="inlineStr">
        <is>
          <t>PANDORA</t>
        </is>
      </c>
      <c r="B540" t="inlineStr">
        <is>
          <t>Kota Sorong</t>
        </is>
      </c>
      <c r="C540" t="inlineStr">
        <is>
          <t>081385976073</t>
        </is>
      </c>
      <c r="D540" t="inlineStr">
        <is>
          <t>dolfisworot@gmail.com</t>
        </is>
      </c>
      <c r="E540" t="inlineStr">
        <is>
          <t>https://lpjk.pu.go.id/search-badan-usaha-detail/TlVyN3pYMVdhNnErekxrZEt2d005Zz09</t>
        </is>
      </c>
      <c r="F540" t="n">
        <v>1</v>
      </c>
      <c r="G540" t="inlineStr">
        <is>
          <t>BG005</t>
        </is>
      </c>
      <c r="H540" t="inlineStr">
        <is>
          <t>5 April 2016</t>
        </is>
      </c>
      <c r="I540" s="2" t="n">
        <v>46312</v>
      </c>
      <c r="J540" t="inlineStr">
        <is>
          <t>Disetujui</t>
        </is>
      </c>
      <c r="K540" t="n">
        <v>60</v>
      </c>
      <c r="L540" t="inlineStr">
        <is>
          <t>17 Oktober 2026</t>
        </is>
      </c>
      <c r="M540" t="inlineStr">
        <is>
          <t>Konstruksi Gedung Kesehatan</t>
        </is>
      </c>
      <c r="N540" t="inlineStr">
        <is>
          <t>K</t>
        </is>
      </c>
      <c r="O540" t="inlineStr">
        <is>
          <t>20231009</t>
        </is>
      </c>
      <c r="P540" t="inlineStr">
        <is>
          <t>Papua Barat</t>
        </is>
      </c>
      <c r="Q540" t="inlineStr"/>
    </row>
    <row r="541">
      <c r="A541" t="inlineStr">
        <is>
          <t>PANORAMA FAJAR</t>
        </is>
      </c>
      <c r="B541" t="inlineStr">
        <is>
          <t>Kab. Cianjur</t>
        </is>
      </c>
      <c r="C541" t="inlineStr">
        <is>
          <t>087756144001</t>
        </is>
      </c>
      <c r="D541" t="inlineStr">
        <is>
          <t>panoramafajar.cjr@gmail.com</t>
        </is>
      </c>
      <c r="E541" t="inlineStr">
        <is>
          <t>https://lpjk.pu.go.id/search-badan-usaha-detail/cVAwcUticEdjK0d4U3h3QzE0aE1Zdz09</t>
        </is>
      </c>
      <c r="F541" t="n">
        <v>1</v>
      </c>
      <c r="G541" t="inlineStr">
        <is>
          <t>BS001</t>
        </is>
      </c>
      <c r="H541" t="inlineStr">
        <is>
          <t>14 Februari 2002</t>
        </is>
      </c>
      <c r="I541" s="2" t="n">
        <v>46307</v>
      </c>
      <c r="J541" t="inlineStr">
        <is>
          <t>Disetujui</t>
        </is>
      </c>
      <c r="K541" t="n">
        <v>60</v>
      </c>
      <c r="L541" t="inlineStr">
        <is>
          <t>12 Oktober 2026</t>
        </is>
      </c>
      <c r="M541" t="inlineStr">
        <is>
          <t>Konstruksi Bangunan Sipil Jalan</t>
        </is>
      </c>
      <c r="N541" t="inlineStr">
        <is>
          <t>K</t>
        </is>
      </c>
      <c r="O541" t="inlineStr">
        <is>
          <t>20231010</t>
        </is>
      </c>
      <c r="P541" t="inlineStr">
        <is>
          <t>Jawa Barat</t>
        </is>
      </c>
      <c r="Q541" t="inlineStr"/>
    </row>
    <row r="542">
      <c r="A542" t="inlineStr">
        <is>
          <t>PEMBANGUNAN SEJATI PRIMA</t>
        </is>
      </c>
      <c r="B542" t="inlineStr">
        <is>
          <t>Kota Adm. Jakarta Barat</t>
        </is>
      </c>
      <c r="C542" t="inlineStr">
        <is>
          <t>0215607725</t>
        </is>
      </c>
      <c r="D542" t="inlineStr">
        <is>
          <t>pt_psp@yahoo.com</t>
        </is>
      </c>
      <c r="E542" t="inlineStr">
        <is>
          <t>https://lpjk.pu.go.id/search-badan-usaha-detail/Mm4wbW5rQ2xSdG9wRDFyY1lubVpnUT09</t>
        </is>
      </c>
      <c r="F542" t="n">
        <v>1</v>
      </c>
      <c r="G542" t="inlineStr">
        <is>
          <t>IN006</t>
        </is>
      </c>
      <c r="H542" t="inlineStr">
        <is>
          <t>8 Januari 1996</t>
        </is>
      </c>
      <c r="I542" s="2" t="n">
        <v>46313</v>
      </c>
      <c r="J542" t="inlineStr">
        <is>
          <t>Disetujui</t>
        </is>
      </c>
      <c r="K542" t="n">
        <v>60</v>
      </c>
      <c r="L542" t="inlineStr">
        <is>
          <t>18 Oktober 2026</t>
        </is>
      </c>
      <c r="M542" t="inlineStr">
        <is>
          <t>Instalasi Elektronika</t>
        </is>
      </c>
      <c r="N542" t="inlineStr">
        <is>
          <t>Spesialis</t>
        </is>
      </c>
      <c r="O542" t="inlineStr">
        <is>
          <t>20231017</t>
        </is>
      </c>
      <c r="P542" t="inlineStr">
        <is>
          <t>DKI Jakarta</t>
        </is>
      </c>
      <c r="Q542" t="inlineStr"/>
    </row>
    <row r="543">
      <c r="A543" t="inlineStr">
        <is>
          <t>PERDANA</t>
        </is>
      </c>
      <c r="B543" t="inlineStr">
        <is>
          <t>Kab. Bojonegoro</t>
        </is>
      </c>
      <c r="C543" t="inlineStr">
        <is>
          <t>082234869197</t>
        </is>
      </c>
      <c r="D543" t="inlineStr">
        <is>
          <t>cv.perdana50@yahoo.co.id</t>
        </is>
      </c>
      <c r="E543" t="inlineStr">
        <is>
          <t>https://lpjk.pu.go.id/search-badan-usaha-detail/L0kzdmxJTGNSWTJXT25jK1dNMUNFUT09</t>
        </is>
      </c>
      <c r="F543" t="n">
        <v>1</v>
      </c>
      <c r="G543" t="inlineStr">
        <is>
          <t>BS010</t>
        </is>
      </c>
      <c r="H543" t="inlineStr">
        <is>
          <t>22 September 1986</t>
        </is>
      </c>
      <c r="I543" s="2" t="n">
        <v>46312</v>
      </c>
      <c r="J543" t="inlineStr">
        <is>
          <t>Disetujui</t>
        </is>
      </c>
      <c r="K543" t="n">
        <v>60</v>
      </c>
      <c r="L543" t="inlineStr">
        <is>
          <t>17 Oktober 2026</t>
        </is>
      </c>
      <c r="M543" t="inlineStr">
        <is>
          <t>Konstruksi Bangunan Prasarana Sumber Daya Air</t>
        </is>
      </c>
      <c r="N543" t="inlineStr">
        <is>
          <t>K</t>
        </is>
      </c>
      <c r="O543" t="inlineStr">
        <is>
          <t>20231009</t>
        </is>
      </c>
      <c r="P543" t="inlineStr">
        <is>
          <t>Jawa Timur</t>
        </is>
      </c>
      <c r="Q543" t="inlineStr"/>
    </row>
    <row r="544">
      <c r="A544" t="inlineStr">
        <is>
          <t>PERDANA KARYA</t>
        </is>
      </c>
      <c r="B544" t="inlineStr">
        <is>
          <t>Kab. Belu</t>
        </is>
      </c>
      <c r="C544" t="inlineStr">
        <is>
          <t>081336553333</t>
        </is>
      </c>
      <c r="D544" t="inlineStr">
        <is>
          <t>ptperdanakarya@gmail.com</t>
        </is>
      </c>
      <c r="E544" t="inlineStr">
        <is>
          <t>https://lpjk.pu.go.id/search-badan-usaha-detail/NDREd3Q4SGZXaWttbFVMZ1NDeVVSdz09</t>
        </is>
      </c>
      <c r="F544" t="n">
        <v>1</v>
      </c>
      <c r="G544" t="inlineStr">
        <is>
          <t>BS001</t>
        </is>
      </c>
      <c r="H544" t="inlineStr">
        <is>
          <t>20 Februari 2004</t>
        </is>
      </c>
      <c r="I544" s="2" t="n">
        <v>46312</v>
      </c>
      <c r="J544" t="inlineStr">
        <is>
          <t>Pembekuan</t>
        </is>
      </c>
      <c r="K544" t="n">
        <v>60</v>
      </c>
      <c r="L544" t="inlineStr">
        <is>
          <t>17 Oktober 2026</t>
        </is>
      </c>
      <c r="M544" t="inlineStr">
        <is>
          <t>Konstruksi Bangunan Sipil Jalan</t>
        </is>
      </c>
      <c r="N544" t="inlineStr">
        <is>
          <t>M</t>
        </is>
      </c>
      <c r="O544" t="inlineStr">
        <is>
          <t>20231018</t>
        </is>
      </c>
      <c r="P544" t="inlineStr">
        <is>
          <t>Nusa Tenggara Timur</t>
        </is>
      </c>
      <c r="Q544" t="inlineStr"/>
    </row>
    <row r="545">
      <c r="A545" t="inlineStr">
        <is>
          <t>PERMATA</t>
        </is>
      </c>
      <c r="B545" t="inlineStr">
        <is>
          <t>Kab. Bandung Barat</t>
        </is>
      </c>
      <c r="C545" t="inlineStr">
        <is>
          <t>082121206969</t>
        </is>
      </c>
      <c r="D545" t="inlineStr">
        <is>
          <t>cvpermatakbb@gmail.com</t>
        </is>
      </c>
      <c r="E545" t="inlineStr">
        <is>
          <t>https://lpjk.pu.go.id/search-badan-usaha-detail/UHdEdzQrcHJnZmpzY2tYSmk5ZWFMUT09</t>
        </is>
      </c>
      <c r="F545" t="n">
        <v>1</v>
      </c>
      <c r="G545" t="inlineStr">
        <is>
          <t>BS006</t>
        </is>
      </c>
      <c r="H545" t="inlineStr">
        <is>
          <t>31 Januari 2011</t>
        </is>
      </c>
      <c r="I545" s="2" t="n">
        <v>46312</v>
      </c>
      <c r="J545" t="inlineStr">
        <is>
          <t>Disetujui</t>
        </is>
      </c>
      <c r="K545" t="n">
        <v>60</v>
      </c>
      <c r="L545" t="inlineStr">
        <is>
          <t>17 Oktober 2026</t>
        </is>
      </c>
      <c r="M545" t="inlineStr">
        <is>
          <t>Konstruksi Bangunan Sipil Prasarana dan Sarana Sistem Pengolahan Limbah Padat, Cair, dan Gas</t>
        </is>
      </c>
      <c r="N545" t="inlineStr">
        <is>
          <t>K</t>
        </is>
      </c>
      <c r="O545" t="inlineStr">
        <is>
          <t>20231016</t>
        </is>
      </c>
      <c r="P545" t="inlineStr">
        <is>
          <t>Jawa Barat</t>
        </is>
      </c>
      <c r="Q545" t="inlineStr"/>
    </row>
    <row r="546">
      <c r="A546" t="inlineStr">
        <is>
          <t>PERMATA MANDIRI SAKTI</t>
        </is>
      </c>
      <c r="B546" t="inlineStr">
        <is>
          <t>Kota Palembang</t>
        </is>
      </c>
      <c r="C546" t="inlineStr">
        <is>
          <t>0711814055</t>
        </is>
      </c>
      <c r="D546" t="inlineStr">
        <is>
          <t>permatamandirisakti@yahoo.com</t>
        </is>
      </c>
      <c r="E546" t="inlineStr">
        <is>
          <t>https://lpjk.pu.go.id/search-badan-usaha-detail/OC9PRFJSbnlEMVBWTFljVUUrV21xZz09</t>
        </is>
      </c>
      <c r="F546" t="n">
        <v>1</v>
      </c>
      <c r="G546" t="inlineStr">
        <is>
          <t>BS001</t>
        </is>
      </c>
      <c r="H546" t="inlineStr">
        <is>
          <t>5 September 2012</t>
        </is>
      </c>
      <c r="I546" s="2" t="n">
        <v>46310</v>
      </c>
      <c r="J546" t="inlineStr">
        <is>
          <t>Pembekuan</t>
        </is>
      </c>
      <c r="K546" t="n">
        <v>60</v>
      </c>
      <c r="L546" t="inlineStr">
        <is>
          <t>15 Oktober 2026</t>
        </is>
      </c>
      <c r="M546" t="inlineStr">
        <is>
          <t>Konstruksi Bangunan Sipil Jalan</t>
        </is>
      </c>
      <c r="N546" t="inlineStr">
        <is>
          <t>M</t>
        </is>
      </c>
      <c r="O546" t="inlineStr">
        <is>
          <t>20231014</t>
        </is>
      </c>
      <c r="P546" t="inlineStr">
        <is>
          <t>Sumatera Selatan</t>
        </is>
      </c>
      <c r="Q546" t="inlineStr"/>
    </row>
    <row r="547">
      <c r="A547" t="inlineStr">
        <is>
          <t>PERMATA WAMBONA GROUP</t>
        </is>
      </c>
      <c r="B547" t="inlineStr">
        <is>
          <t>Kota Kendari</t>
        </is>
      </c>
      <c r="C547" t="inlineStr">
        <is>
          <t>082216375552</t>
        </is>
      </c>
      <c r="D547" t="inlineStr">
        <is>
          <t>Permatawambona@gmail.com</t>
        </is>
      </c>
      <c r="E547" t="inlineStr">
        <is>
          <t>https://lpjk.pu.go.id/search-badan-usaha-detail/ZVBLdjc2MUZlM0s4OUVyczFsUjAvZz09</t>
        </is>
      </c>
      <c r="F547" t="n">
        <v>1</v>
      </c>
      <c r="G547" t="inlineStr">
        <is>
          <t>BS004</t>
        </is>
      </c>
      <c r="H547" t="inlineStr">
        <is>
          <t>26 Desember 2022</t>
        </is>
      </c>
      <c r="I547" s="2" t="n">
        <v>46313</v>
      </c>
      <c r="J547" t="inlineStr">
        <is>
          <t>Disetujui</t>
        </is>
      </c>
      <c r="K547" t="n">
        <v>60</v>
      </c>
      <c r="L547" t="inlineStr">
        <is>
          <t>18 Oktober 2026</t>
        </is>
      </c>
      <c r="M547" t="inlineStr">
        <is>
          <t>Konstruksi Jaringan Irigasi dan Drainase</t>
        </is>
      </c>
      <c r="N547" t="inlineStr">
        <is>
          <t>K</t>
        </is>
      </c>
      <c r="O547" t="inlineStr">
        <is>
          <t>20231016</t>
        </is>
      </c>
      <c r="P547" t="inlineStr">
        <is>
          <t>Sulawesi Tenggara</t>
        </is>
      </c>
      <c r="Q547" t="inlineStr"/>
    </row>
    <row r="548">
      <c r="A548" t="inlineStr">
        <is>
          <t>PETRA KONSTRUKSI INDONESIA</t>
        </is>
      </c>
      <c r="B548" t="inlineStr">
        <is>
          <t>Kota Tangerang</t>
        </is>
      </c>
      <c r="C548" t="inlineStr">
        <is>
          <t>081802532929</t>
        </is>
      </c>
      <c r="D548" t="inlineStr">
        <is>
          <t>petrakonindonesia@gmail.com</t>
        </is>
      </c>
      <c r="E548" t="inlineStr">
        <is>
          <t>https://lpjk.pu.go.id/search-badan-usaha-detail/R1kza2NkR05aOUFMalVIWUhVeFAzUT09</t>
        </is>
      </c>
      <c r="F548" t="n">
        <v>3</v>
      </c>
      <c r="G548" t="inlineStr">
        <is>
          <t>BG001, BG002, BG004</t>
        </is>
      </c>
      <c r="H548" t="inlineStr">
        <is>
          <t>27 Oktober 2021</t>
        </is>
      </c>
      <c r="I548" s="2" t="n">
        <v>46310</v>
      </c>
      <c r="J548" t="inlineStr">
        <is>
          <t>Disetujui</t>
        </is>
      </c>
      <c r="K548" t="n">
        <v>60</v>
      </c>
      <c r="L548" t="inlineStr">
        <is>
          <t>15 Oktober 2026</t>
        </is>
      </c>
      <c r="M548" t="inlineStr">
        <is>
          <t>Konstruksi Gedung Hunian, Konstruksi Gedung Perbelanjaan, Konstruksi Gedung Perkantoran</t>
        </is>
      </c>
      <c r="N548" t="inlineStr">
        <is>
          <t>K</t>
        </is>
      </c>
      <c r="O548" t="inlineStr">
        <is>
          <t>20230808</t>
        </is>
      </c>
      <c r="P548" t="inlineStr">
        <is>
          <t>Banten</t>
        </is>
      </c>
      <c r="Q548" t="inlineStr"/>
    </row>
    <row r="549">
      <c r="A549" t="inlineStr">
        <is>
          <t>PILAR BANGUN</t>
        </is>
      </c>
      <c r="B549" t="inlineStr">
        <is>
          <t>Kab. Trenggalek</t>
        </is>
      </c>
      <c r="C549" t="inlineStr">
        <is>
          <t>081335337337</t>
        </is>
      </c>
      <c r="D549" t="inlineStr">
        <is>
          <t>ridwanpilar1980@gmail.com</t>
        </is>
      </c>
      <c r="E549" t="inlineStr">
        <is>
          <t>https://lpjk.pu.go.id/search-badan-usaha-detail/SGVDZHFzQVR0aC9jdThtUCtlbW42Zz09</t>
        </is>
      </c>
      <c r="F549" t="n">
        <v>2</v>
      </c>
      <c r="G549" t="inlineStr">
        <is>
          <t>BG006, BG009</t>
        </is>
      </c>
      <c r="H549" t="inlineStr">
        <is>
          <t>15 Januari 2018</t>
        </is>
      </c>
      <c r="I549" s="2" t="n">
        <v>46312</v>
      </c>
      <c r="J549" t="inlineStr">
        <is>
          <t>Disetujui</t>
        </is>
      </c>
      <c r="K549" t="n">
        <v>60</v>
      </c>
      <c r="L549" t="inlineStr">
        <is>
          <t>17 Oktober 2026</t>
        </is>
      </c>
      <c r="M549" t="inlineStr">
        <is>
          <t>Konstruksi Gedung Lainnya, Konstruksi Gedung Pendidikan</t>
        </is>
      </c>
      <c r="N549" t="inlineStr">
        <is>
          <t>K</t>
        </is>
      </c>
      <c r="O549" t="inlineStr">
        <is>
          <t>20231011, 20231012</t>
        </is>
      </c>
      <c r="P549" t="inlineStr">
        <is>
          <t>Jawa Timur</t>
        </is>
      </c>
      <c r="Q549" t="inlineStr"/>
    </row>
    <row r="550">
      <c r="A550" t="inlineStr">
        <is>
          <t>PILAR JAYA KONSTRUKSI</t>
        </is>
      </c>
      <c r="B550" t="inlineStr">
        <is>
          <t>Kab. Tabalong</t>
        </is>
      </c>
      <c r="C550" t="inlineStr">
        <is>
          <t>081257058447</t>
        </is>
      </c>
      <c r="D550" t="inlineStr">
        <is>
          <t>pilar_jk@yahoo.co.id</t>
        </is>
      </c>
      <c r="E550" t="inlineStr">
        <is>
          <t>https://lpjk.pu.go.id/search-badan-usaha-detail/L01aTzVNNTYrVS9LcEM5K2g0WGxLQT09</t>
        </is>
      </c>
      <c r="F550" t="n">
        <v>1</v>
      </c>
      <c r="G550" t="inlineStr">
        <is>
          <t>BS002</t>
        </is>
      </c>
      <c r="H550" t="inlineStr">
        <is>
          <t>19 Januari 2005</t>
        </is>
      </c>
      <c r="I550" s="2" t="n">
        <v>46310</v>
      </c>
      <c r="J550" t="inlineStr">
        <is>
          <t>Disetujui</t>
        </is>
      </c>
      <c r="K550" t="n">
        <v>60</v>
      </c>
      <c r="L550" t="inlineStr">
        <is>
          <t>15 Oktober 2026</t>
        </is>
      </c>
      <c r="M550" t="inlineStr">
        <is>
          <t>Bangunan Sipil Jembatan, Jalan Layang, Fly Over, dan Underpass</t>
        </is>
      </c>
      <c r="N550" t="inlineStr">
        <is>
          <t>M</t>
        </is>
      </c>
      <c r="O550" t="inlineStr">
        <is>
          <t>20231007</t>
        </is>
      </c>
      <c r="P550" t="inlineStr">
        <is>
          <t>Kalimantan Selatan</t>
        </is>
      </c>
      <c r="Q550" t="inlineStr"/>
    </row>
    <row r="551">
      <c r="A551" t="inlineStr">
        <is>
          <t>PIRA KONSULTAN ENJINIRING</t>
        </is>
      </c>
      <c r="B551" t="inlineStr">
        <is>
          <t>Kota Bandung</t>
        </is>
      </c>
      <c r="C551" t="inlineStr">
        <is>
          <t>081919231082</t>
        </is>
      </c>
      <c r="D551" t="inlineStr">
        <is>
          <t>pirakonsultan@gmail.com</t>
        </is>
      </c>
      <c r="E551" t="inlineStr">
        <is>
          <t>https://lpjk.pu.go.id/search-badan-usaha-detail/Ui9CNEVoUlRjQnljUzJiTFZVcHhzUT09</t>
        </is>
      </c>
      <c r="F551" t="n">
        <v>1</v>
      </c>
      <c r="G551" t="inlineStr">
        <is>
          <t>AR001</t>
        </is>
      </c>
      <c r="H551" t="inlineStr">
        <is>
          <t>15 September 2021</t>
        </is>
      </c>
      <c r="I551" s="2" t="n">
        <v>46313</v>
      </c>
      <c r="J551" t="inlineStr">
        <is>
          <t>Pencabutan</t>
        </is>
      </c>
      <c r="K551" t="n">
        <v>60</v>
      </c>
      <c r="L551" t="inlineStr">
        <is>
          <t>18 Oktober 2026</t>
        </is>
      </c>
      <c r="M551" t="inlineStr">
        <is>
          <t>Jasa Arsitektural Bangunan Gedung Hunian dan Non Hunian</t>
        </is>
      </c>
      <c r="N551" t="inlineStr">
        <is>
          <t>K</t>
        </is>
      </c>
      <c r="O551" t="inlineStr">
        <is>
          <t>20221018</t>
        </is>
      </c>
      <c r="P551" t="inlineStr">
        <is>
          <t>Jawa Barat</t>
        </is>
      </c>
      <c r="Q551" t="inlineStr"/>
    </row>
    <row r="552">
      <c r="A552" t="inlineStr">
        <is>
          <t>PRAKARSA CIPTA CONSULINDO</t>
        </is>
      </c>
      <c r="B552" t="inlineStr">
        <is>
          <t>Kota Samarinda</t>
        </is>
      </c>
      <c r="C552" t="inlineStr">
        <is>
          <t>082234313371</t>
        </is>
      </c>
      <c r="D552" t="inlineStr">
        <is>
          <t>prakarsa.cipta.consulindo@gmail.com</t>
        </is>
      </c>
      <c r="E552" t="inlineStr">
        <is>
          <t>https://lpjk.pu.go.id/search-badan-usaha-detail/dTh6RU5uLzZ5ZjJnLzd6K3A1aGVOdz09</t>
        </is>
      </c>
      <c r="F552" t="n">
        <v>2</v>
      </c>
      <c r="G552" t="inlineStr">
        <is>
          <t>AR002, AR003</t>
        </is>
      </c>
      <c r="H552" t="inlineStr">
        <is>
          <t>2 Februari 2021</t>
        </is>
      </c>
      <c r="I552" s="2" t="n">
        <v>46311</v>
      </c>
      <c r="J552" t="inlineStr">
        <is>
          <t>Disetujui</t>
        </is>
      </c>
      <c r="K552" t="n">
        <v>60</v>
      </c>
      <c r="L552" t="inlineStr">
        <is>
          <t>16 Oktober 2026</t>
        </is>
      </c>
      <c r="M552" t="inlineStr">
        <is>
          <t>Jasa Arsitektural Lainnya, Jasa Desain Interior pada Bangunan Gedung dan Bangunan Sipil</t>
        </is>
      </c>
      <c r="N552" t="inlineStr">
        <is>
          <t>K</t>
        </is>
      </c>
      <c r="O552" t="inlineStr">
        <is>
          <t>20231002</t>
        </is>
      </c>
      <c r="P552" t="inlineStr">
        <is>
          <t>Kalimantan Timur</t>
        </is>
      </c>
      <c r="Q552" t="inlineStr"/>
    </row>
    <row r="553">
      <c r="A553" t="inlineStr">
        <is>
          <t>PRIMA BANGKIT GEMILANG</t>
        </is>
      </c>
      <c r="B553" t="inlineStr">
        <is>
          <t>Kota Adm. Jakarta Selatan</t>
        </is>
      </c>
      <c r="C553" t="inlineStr">
        <is>
          <t>02122832757</t>
        </is>
      </c>
      <c r="D553" t="inlineStr">
        <is>
          <t>cv.primabangkitgemilang@gmail.com</t>
        </is>
      </c>
      <c r="E553" t="inlineStr">
        <is>
          <t>https://lpjk.pu.go.id/search-badan-usaha-detail/V0d3NEw2L3RHN0EwZk1SZU02ZEszUT09</t>
        </is>
      </c>
      <c r="F553" t="n">
        <v>6</v>
      </c>
      <c r="G553" t="inlineStr">
        <is>
          <t>BG001, BG002, BG005, BG006, BS001, BS004</t>
        </is>
      </c>
      <c r="H553" t="inlineStr">
        <is>
          <t>12 September 2012</t>
        </is>
      </c>
      <c r="I553" s="2" t="n">
        <v>46312</v>
      </c>
      <c r="J553" t="inlineStr">
        <is>
          <t>Disetujui</t>
        </is>
      </c>
      <c r="K553" t="n">
        <v>60</v>
      </c>
      <c r="L553" t="inlineStr">
        <is>
          <t>17 Oktober 2026</t>
        </is>
      </c>
      <c r="M553" t="inlineStr">
        <is>
          <t>Konstruksi Bangunan Sipil Jalan, Konstruksi Gedung Hunian, Konstruksi Gedung Kesehatan, Konstruksi Gedung Pendidikan, Konstruksi Gedung Perkantoran, Konstruksi Jaringan Irigasi dan Drainase</t>
        </is>
      </c>
      <c r="N553" t="inlineStr">
        <is>
          <t>K</t>
        </is>
      </c>
      <c r="O553" t="inlineStr">
        <is>
          <t>20231010</t>
        </is>
      </c>
      <c r="P553" t="inlineStr">
        <is>
          <t>DKI Jakarta</t>
        </is>
      </c>
      <c r="Q553" t="inlineStr"/>
    </row>
    <row r="554">
      <c r="A554" t="inlineStr">
        <is>
          <t>PRIMA INDO PERSADA</t>
        </is>
      </c>
      <c r="B554" t="inlineStr">
        <is>
          <t>Kota Metro</t>
        </is>
      </c>
      <c r="C554" t="inlineStr">
        <is>
          <t>082184163658</t>
        </is>
      </c>
      <c r="D554" t="inlineStr">
        <is>
          <t>primaindopcv@gmail.com</t>
        </is>
      </c>
      <c r="E554" t="inlineStr">
        <is>
          <t>https://lpjk.pu.go.id/search-badan-usaha-detail/NWJDb1ZqWk5rU1dBdGN6QVY3TDRQdz09</t>
        </is>
      </c>
      <c r="F554" t="n">
        <v>1</v>
      </c>
      <c r="G554" t="inlineStr">
        <is>
          <t>BS001</t>
        </is>
      </c>
      <c r="H554" t="inlineStr">
        <is>
          <t>11 Juli 2017</t>
        </is>
      </c>
      <c r="I554" s="2" t="n">
        <v>46308</v>
      </c>
      <c r="J554" t="inlineStr">
        <is>
          <t>Disetujui</t>
        </is>
      </c>
      <c r="K554" t="n">
        <v>60</v>
      </c>
      <c r="L554" t="inlineStr">
        <is>
          <t>13 Oktober 2026</t>
        </is>
      </c>
      <c r="M554" t="inlineStr">
        <is>
          <t>Konstruksi Bangunan Sipil Jalan</t>
        </is>
      </c>
      <c r="N554" t="inlineStr">
        <is>
          <t>K</t>
        </is>
      </c>
      <c r="O554" t="inlineStr">
        <is>
          <t>20231011</t>
        </is>
      </c>
      <c r="P554" t="inlineStr">
        <is>
          <t>Lampung</t>
        </is>
      </c>
      <c r="Q554" t="inlineStr"/>
    </row>
    <row r="555">
      <c r="A555" t="inlineStr">
        <is>
          <t>PRIMA VOKA KENCANA</t>
        </is>
      </c>
      <c r="B555" t="inlineStr">
        <is>
          <t>Kota Padang</t>
        </is>
      </c>
      <c r="C555" t="inlineStr">
        <is>
          <t>08116677469</t>
        </is>
      </c>
      <c r="D555" t="inlineStr">
        <is>
          <t>primavokakencana@gmail.com</t>
        </is>
      </c>
      <c r="E555" t="inlineStr">
        <is>
          <t>https://lpjk.pu.go.id/search-badan-usaha-detail/MmxTMWQzRmNwTDRyR1YrOVI4Y0FmUT09</t>
        </is>
      </c>
      <c r="F555" t="n">
        <v>1</v>
      </c>
      <c r="G555" t="inlineStr">
        <is>
          <t>BS004</t>
        </is>
      </c>
      <c r="H555" t="inlineStr">
        <is>
          <t>6 September 2023</t>
        </is>
      </c>
      <c r="I555" s="2" t="n">
        <v>46307</v>
      </c>
      <c r="J555" t="inlineStr">
        <is>
          <t>Disetujui</t>
        </is>
      </c>
      <c r="K555" t="n">
        <v>60</v>
      </c>
      <c r="L555" t="inlineStr">
        <is>
          <t>12 Oktober 2026</t>
        </is>
      </c>
      <c r="M555" t="inlineStr">
        <is>
          <t>Konstruksi Jaringan Irigasi dan Drainase</t>
        </is>
      </c>
      <c r="N555" t="inlineStr">
        <is>
          <t>K</t>
        </is>
      </c>
      <c r="O555" t="inlineStr">
        <is>
          <t>20231012</t>
        </is>
      </c>
      <c r="P555" t="inlineStr">
        <is>
          <t>Sumatera Barat</t>
        </is>
      </c>
      <c r="Q555" t="inlineStr"/>
    </row>
    <row r="556">
      <c r="A556" t="inlineStr">
        <is>
          <t>PRISMA ASKARA LOKA</t>
        </is>
      </c>
      <c r="B556" t="inlineStr">
        <is>
          <t>Kota Adm. Jakarta Selatan</t>
        </is>
      </c>
      <c r="C556" t="inlineStr">
        <is>
          <t>085691299065</t>
        </is>
      </c>
      <c r="D556" t="inlineStr">
        <is>
          <t>prismaskaraloka@gmail.com</t>
        </is>
      </c>
      <c r="E556" t="inlineStr">
        <is>
          <t>https://lpjk.pu.go.id/search-badan-usaha-detail/WEtjdWdCcnNuc0dlUUw2bEh3Sjd0UT09</t>
        </is>
      </c>
      <c r="F556" t="n">
        <v>1</v>
      </c>
      <c r="G556" t="inlineStr">
        <is>
          <t>BS010</t>
        </is>
      </c>
      <c r="H556" t="inlineStr">
        <is>
          <t>10 November 2020</t>
        </is>
      </c>
      <c r="I556" s="2" t="n">
        <v>46311</v>
      </c>
      <c r="J556" t="inlineStr">
        <is>
          <t>Disetujui</t>
        </is>
      </c>
      <c r="K556" t="n">
        <v>60</v>
      </c>
      <c r="L556" t="inlineStr">
        <is>
          <t>16 Oktober 2026</t>
        </is>
      </c>
      <c r="M556" t="inlineStr">
        <is>
          <t>Konstruksi Bangunan Prasarana Sumber Daya Air</t>
        </is>
      </c>
      <c r="N556" t="inlineStr">
        <is>
          <t>K</t>
        </is>
      </c>
      <c r="O556" t="inlineStr">
        <is>
          <t>20231017</t>
        </is>
      </c>
      <c r="P556" t="inlineStr">
        <is>
          <t>DKI Jakarta</t>
        </is>
      </c>
      <c r="Q556" t="inlineStr"/>
    </row>
    <row r="557">
      <c r="A557" t="inlineStr">
        <is>
          <t>PUJA ANDALAS</t>
        </is>
      </c>
      <c r="B557" t="inlineStr">
        <is>
          <t>Kota Jambi</t>
        </is>
      </c>
      <c r="C557" t="inlineStr">
        <is>
          <t>085266061401</t>
        </is>
      </c>
      <c r="D557" t="inlineStr">
        <is>
          <t>cv.pujaandalas2021@gmail.com</t>
        </is>
      </c>
      <c r="E557" t="inlineStr">
        <is>
          <t>https://lpjk.pu.go.id/search-badan-usaha-detail/QUdJdWxKbEQzUjBIZ1JIaHZPa1gvdz09</t>
        </is>
      </c>
      <c r="F557" t="n">
        <v>1</v>
      </c>
      <c r="G557" t="inlineStr">
        <is>
          <t>BS007</t>
        </is>
      </c>
      <c r="H557" t="inlineStr">
        <is>
          <t>21 Oktober 2021</t>
        </is>
      </c>
      <c r="I557" s="2" t="n">
        <v>46312</v>
      </c>
      <c r="J557" t="inlineStr">
        <is>
          <t>Disetujui</t>
        </is>
      </c>
      <c r="K557" t="n">
        <v>60</v>
      </c>
      <c r="L557" t="inlineStr">
        <is>
          <t>17 Oktober 2026</t>
        </is>
      </c>
      <c r="M557" t="inlineStr">
        <is>
          <t>Konstruksi Bangunan Sipil Elektrikal</t>
        </is>
      </c>
      <c r="N557" t="inlineStr">
        <is>
          <t>K</t>
        </is>
      </c>
      <c r="O557" t="inlineStr">
        <is>
          <t>20231016</t>
        </is>
      </c>
      <c r="P557" t="inlineStr">
        <is>
          <t>Jambi</t>
        </is>
      </c>
      <c r="Q557" t="inlineStr"/>
    </row>
    <row r="558">
      <c r="A558" t="inlineStr">
        <is>
          <t>PULAU AIR CEMERLANG</t>
        </is>
      </c>
      <c r="B558" t="inlineStr">
        <is>
          <t>Kota Padang</t>
        </is>
      </c>
      <c r="C558" t="inlineStr">
        <is>
          <t>08116604040</t>
        </is>
      </c>
      <c r="D558" t="inlineStr">
        <is>
          <t>pt.pulauaircemerlang@gmail.com</t>
        </is>
      </c>
      <c r="E558" t="inlineStr">
        <is>
          <t>https://lpjk.pu.go.id/search-badan-usaha-detail/ZDluaGpVOU1WSy9YV2ZZdXdUUEdhdz09</t>
        </is>
      </c>
      <c r="F558" t="n">
        <v>1</v>
      </c>
      <c r="G558" t="inlineStr">
        <is>
          <t>BG002</t>
        </is>
      </c>
      <c r="H558" t="inlineStr">
        <is>
          <t>5 Juni 1997</t>
        </is>
      </c>
      <c r="I558" s="2" t="n">
        <v>46308</v>
      </c>
      <c r="J558" t="inlineStr">
        <is>
          <t>Disetujui</t>
        </is>
      </c>
      <c r="K558" t="n">
        <v>60</v>
      </c>
      <c r="L558" t="inlineStr">
        <is>
          <t>13 Oktober 2026</t>
        </is>
      </c>
      <c r="M558" t="inlineStr">
        <is>
          <t>Konstruksi Gedung Perkantoran</t>
        </is>
      </c>
      <c r="N558" t="inlineStr">
        <is>
          <t>M</t>
        </is>
      </c>
      <c r="O558" t="inlineStr">
        <is>
          <t>20231013</t>
        </is>
      </c>
      <c r="P558" t="inlineStr">
        <is>
          <t>Sumatera Barat</t>
        </is>
      </c>
      <c r="Q558" t="inlineStr"/>
    </row>
    <row r="559">
      <c r="A559" t="inlineStr">
        <is>
          <t>PURNAMA RAYA</t>
        </is>
      </c>
      <c r="B559" t="inlineStr">
        <is>
          <t>Kab. Sumbawa</t>
        </is>
      </c>
      <c r="C559" t="inlineStr">
        <is>
          <t>082341241280</t>
        </is>
      </c>
      <c r="D559" t="inlineStr">
        <is>
          <t>purnamaraya.cv@yahoo.com</t>
        </is>
      </c>
      <c r="E559" t="inlineStr">
        <is>
          <t>https://lpjk.pu.go.id/search-badan-usaha-detail/clVUVWN2aVRobGpnUHl6aWN2YjBvUT09</t>
        </is>
      </c>
      <c r="F559" t="n">
        <v>8</v>
      </c>
      <c r="G559" t="inlineStr">
        <is>
          <t>BG005, BG006, BS004, BS005</t>
        </is>
      </c>
      <c r="H559" t="inlineStr">
        <is>
          <t>1 Desember 2014</t>
        </is>
      </c>
      <c r="I559" s="2" t="n">
        <v>46307</v>
      </c>
      <c r="J559" t="inlineStr">
        <is>
          <t>Disetujui</t>
        </is>
      </c>
      <c r="K559" t="n">
        <v>60</v>
      </c>
      <c r="L559" t="inlineStr">
        <is>
          <t>12 Oktober 2026</t>
        </is>
      </c>
      <c r="M559" t="inlineStr">
        <is>
          <t>Konstruksi Bangunan Sipil Pengolahan Air Bersih, Konstruksi Gedung Kesehatan, Konstruksi Gedung Pendidikan, Konstruksi Jaringan Irigasi dan Drainase</t>
        </is>
      </c>
      <c r="N559" t="inlineStr">
        <is>
          <t>K</t>
        </is>
      </c>
      <c r="O559" t="inlineStr">
        <is>
          <t>20231011, 20231012</t>
        </is>
      </c>
      <c r="P559" t="inlineStr">
        <is>
          <t>Nusa Tenggara Barat</t>
        </is>
      </c>
      <c r="Q559" t="inlineStr"/>
    </row>
    <row r="560">
      <c r="A560" t="inlineStr">
        <is>
          <t>PUSAT KOPERASI PEGAWAI REPUBLIK INDONESIA</t>
        </is>
      </c>
      <c r="B560" t="inlineStr">
        <is>
          <t>Kab. Trenggalek</t>
        </is>
      </c>
      <c r="C560" t="inlineStr">
        <is>
          <t>081336686629</t>
        </is>
      </c>
      <c r="D560" t="inlineStr">
        <is>
          <t>cvpkpri@gmail.com</t>
        </is>
      </c>
      <c r="E560" t="inlineStr">
        <is>
          <t>https://lpjk.pu.go.id/search-badan-usaha-detail/UU1LWktiM25IRy9yWGJ2aDUyckpKUT09</t>
        </is>
      </c>
      <c r="F560" t="n">
        <v>1</v>
      </c>
      <c r="G560" t="inlineStr">
        <is>
          <t>BG002</t>
        </is>
      </c>
      <c r="H560" t="inlineStr">
        <is>
          <t>16 Juli 1996</t>
        </is>
      </c>
      <c r="I560" s="2" t="n">
        <v>46311</v>
      </c>
      <c r="J560" t="inlineStr">
        <is>
          <t>Disetujui</t>
        </is>
      </c>
      <c r="K560" t="n">
        <v>60</v>
      </c>
      <c r="L560" t="inlineStr">
        <is>
          <t>16 Oktober 2026</t>
        </is>
      </c>
      <c r="M560" t="inlineStr">
        <is>
          <t>Konstruksi Gedung Perkantoran</t>
        </is>
      </c>
      <c r="N560" t="inlineStr">
        <is>
          <t>K</t>
        </is>
      </c>
      <c r="O560" t="inlineStr">
        <is>
          <t>20231010</t>
        </is>
      </c>
      <c r="P560" t="inlineStr">
        <is>
          <t>Jawa Timur</t>
        </is>
      </c>
      <c r="Q560" t="inlineStr"/>
    </row>
    <row r="561">
      <c r="A561" t="inlineStr">
        <is>
          <t>PUTRA AKSA MULYA</t>
        </is>
      </c>
      <c r="B561" t="inlineStr">
        <is>
          <t>Kab. Tuban</t>
        </is>
      </c>
      <c r="C561" t="inlineStr">
        <is>
          <t>081332741111</t>
        </is>
      </c>
      <c r="D561" t="inlineStr">
        <is>
          <t>putraaksamulya@gmail.com</t>
        </is>
      </c>
      <c r="E561" t="inlineStr">
        <is>
          <t>https://lpjk.pu.go.id/search-badan-usaha-detail/S3AydVA1NTRjQ3c2Z3RyaUV1Q0t0dz09</t>
        </is>
      </c>
      <c r="F561" t="n">
        <v>6</v>
      </c>
      <c r="G561" t="inlineStr">
        <is>
          <t>BG005, BG006, BG008, BG009, BS001, BS004</t>
        </is>
      </c>
      <c r="H561" t="inlineStr">
        <is>
          <t>16 September 2023</t>
        </is>
      </c>
      <c r="I561" s="2" t="n">
        <v>46308</v>
      </c>
      <c r="J561" t="inlineStr">
        <is>
          <t>Disetujui</t>
        </is>
      </c>
      <c r="K561" t="n">
        <v>60</v>
      </c>
      <c r="L561" t="inlineStr">
        <is>
          <t>13 Oktober 2026</t>
        </is>
      </c>
      <c r="M561" t="inlineStr">
        <is>
          <t>Konstruksi Bangunan Sipil Jalan, Konstruksi Gedung Kesehatan, Konstruksi Gedung Lainnya, Konstruksi Gedung Pendidikan, Konstruksi Gedung Tempat Hiburan dan Olahraga, Konstruksi Jaringan Irigasi dan Drainase</t>
        </is>
      </c>
      <c r="N561" t="inlineStr">
        <is>
          <t>K</t>
        </is>
      </c>
      <c r="O561" t="inlineStr">
        <is>
          <t>20231013, 20231015, 20231017</t>
        </is>
      </c>
      <c r="P561" t="inlineStr">
        <is>
          <t>Jawa Timur</t>
        </is>
      </c>
      <c r="Q561" t="inlineStr"/>
    </row>
    <row r="562">
      <c r="A562" t="inlineStr">
        <is>
          <t>PUTRA BANGSA</t>
        </is>
      </c>
      <c r="B562" t="inlineStr">
        <is>
          <t>Kab. Bondowoso</t>
        </is>
      </c>
      <c r="C562" t="inlineStr">
        <is>
          <t>6282334061317</t>
        </is>
      </c>
      <c r="D562" t="inlineStr">
        <is>
          <t>p.bangsa@yahoo.co.id</t>
        </is>
      </c>
      <c r="E562" t="inlineStr">
        <is>
          <t>https://lpjk.pu.go.id/search-badan-usaha-detail/dVVBTC8rRjlFOTJLY2Vjck1kS1Rvdz09</t>
        </is>
      </c>
      <c r="F562" t="n">
        <v>2</v>
      </c>
      <c r="G562" t="inlineStr">
        <is>
          <t>BG006, BS001</t>
        </is>
      </c>
      <c r="H562" t="inlineStr">
        <is>
          <t>29 November 2000</t>
        </is>
      </c>
      <c r="I562" s="2" t="n">
        <v>46308</v>
      </c>
      <c r="J562" t="inlineStr">
        <is>
          <t>Disetujui</t>
        </is>
      </c>
      <c r="K562" t="n">
        <v>60</v>
      </c>
      <c r="L562" t="inlineStr">
        <is>
          <t>13 Oktober 2026</t>
        </is>
      </c>
      <c r="M562" t="inlineStr">
        <is>
          <t>Konstruksi Bangunan Sipil Jalan, Konstruksi Gedung Pendidikan</t>
        </is>
      </c>
      <c r="N562" t="inlineStr">
        <is>
          <t>K</t>
        </is>
      </c>
      <c r="O562" t="inlineStr">
        <is>
          <t>20231010, 20231013</t>
        </is>
      </c>
      <c r="P562" t="inlineStr">
        <is>
          <t>Jawa Timur</t>
        </is>
      </c>
      <c r="Q562" t="inlineStr"/>
    </row>
    <row r="563">
      <c r="A563" t="inlineStr">
        <is>
          <t>PUTRA BUNGFUI</t>
        </is>
      </c>
      <c r="B563" t="inlineStr">
        <is>
          <t>Kab. Aceh Besar</t>
        </is>
      </c>
      <c r="C563" t="inlineStr">
        <is>
          <t>085261701642</t>
        </is>
      </c>
      <c r="D563" t="inlineStr">
        <is>
          <t>putrabungfui@gmail.com</t>
        </is>
      </c>
      <c r="E563" t="inlineStr">
        <is>
          <t>https://lpjk.pu.go.id/search-badan-usaha-detail/aFVkWXlxK2VOTGFYMEhRZk9YcWVWZz09</t>
        </is>
      </c>
      <c r="F563" t="n">
        <v>2</v>
      </c>
      <c r="G563" t="inlineStr">
        <is>
          <t>BS001, BS004</t>
        </is>
      </c>
      <c r="H563" t="inlineStr">
        <is>
          <t>12 Januari 2023</t>
        </is>
      </c>
      <c r="I563" s="2" t="n">
        <v>46310</v>
      </c>
      <c r="J563" t="inlineStr">
        <is>
          <t>Disetujui</t>
        </is>
      </c>
      <c r="K563" t="n">
        <v>60</v>
      </c>
      <c r="L563" t="inlineStr">
        <is>
          <t>15 Oktober 2026</t>
        </is>
      </c>
      <c r="M563" t="inlineStr">
        <is>
          <t>Konstruksi Bangunan Sipil Jalan, Konstruksi Jaringan Irigasi dan Drainase</t>
        </is>
      </c>
      <c r="N563" t="inlineStr">
        <is>
          <t>K</t>
        </is>
      </c>
      <c r="O563" t="inlineStr">
        <is>
          <t>20231016</t>
        </is>
      </c>
      <c r="P563" t="inlineStr">
        <is>
          <t>Aceh</t>
        </is>
      </c>
      <c r="Q563" t="inlineStr"/>
    </row>
    <row r="564">
      <c r="A564" t="inlineStr">
        <is>
          <t>PUTRA DEWATA</t>
        </is>
      </c>
      <c r="B564" t="inlineStr">
        <is>
          <t>Kota Blitar</t>
        </is>
      </c>
      <c r="C564" t="inlineStr">
        <is>
          <t>0</t>
        </is>
      </c>
      <c r="D564" t="inlineStr">
        <is>
          <t>putradewata_cv@yahoo.co.id</t>
        </is>
      </c>
      <c r="E564" t="inlineStr">
        <is>
          <t>https://lpjk.pu.go.id/search-badan-usaha-detail/SDkzTHJ6YVFjcm9DamJuWDVaVkNldz09</t>
        </is>
      </c>
      <c r="F564" t="n">
        <v>2</v>
      </c>
      <c r="G564" t="inlineStr">
        <is>
          <t>BG002, BG004</t>
        </is>
      </c>
      <c r="H564" t="inlineStr">
        <is>
          <t>10 April 2001</t>
        </is>
      </c>
      <c r="I564" s="2" t="n">
        <v>46307</v>
      </c>
      <c r="J564" t="inlineStr">
        <is>
          <t>Disetujui</t>
        </is>
      </c>
      <c r="K564" t="n">
        <v>60</v>
      </c>
      <c r="L564" t="inlineStr">
        <is>
          <t>12 Oktober 2026</t>
        </is>
      </c>
      <c r="M564" t="inlineStr">
        <is>
          <t>Konstruksi Gedung Perbelanjaan, Konstruksi Gedung Perkantoran</t>
        </is>
      </c>
      <c r="N564" t="inlineStr">
        <is>
          <t>K</t>
        </is>
      </c>
      <c r="O564" t="inlineStr">
        <is>
          <t>20230714, 20230804</t>
        </is>
      </c>
      <c r="P564" t="inlineStr">
        <is>
          <t>Jawa Timur</t>
        </is>
      </c>
      <c r="Q564" t="inlineStr"/>
    </row>
    <row r="565">
      <c r="A565" t="inlineStr">
        <is>
          <t>PUTRA DIVRADJA</t>
        </is>
      </c>
      <c r="B565" t="inlineStr">
        <is>
          <t>Kab. Garut</t>
        </is>
      </c>
      <c r="C565" t="inlineStr">
        <is>
          <t>0262</t>
        </is>
      </c>
      <c r="D565" t="inlineStr">
        <is>
          <t>divradja_cv@yahoo.com</t>
        </is>
      </c>
      <c r="E565" t="inlineStr">
        <is>
          <t>https://lpjk.pu.go.id/search-badan-usaha-detail/bG9DZjF5dnF2cHlaa1VYcVhHTFFNQT09</t>
        </is>
      </c>
      <c r="F565" t="n">
        <v>3</v>
      </c>
      <c r="G565" t="inlineStr">
        <is>
          <t>BG006, BG009, BS001</t>
        </is>
      </c>
      <c r="H565" t="inlineStr">
        <is>
          <t>18 Desember 2012</t>
        </is>
      </c>
      <c r="I565" s="2" t="n">
        <v>46310</v>
      </c>
      <c r="J565" t="inlineStr">
        <is>
          <t>Disetujui</t>
        </is>
      </c>
      <c r="K565" t="n">
        <v>60</v>
      </c>
      <c r="L565" t="inlineStr">
        <is>
          <t>15 Oktober 2026</t>
        </is>
      </c>
      <c r="M565" t="inlineStr">
        <is>
          <t>Konstruksi Bangunan Sipil Jalan, Konstruksi Gedung Lainnya, Konstruksi Gedung Pendidikan</t>
        </is>
      </c>
      <c r="N565" t="inlineStr">
        <is>
          <t>K</t>
        </is>
      </c>
      <c r="O565" t="inlineStr">
        <is>
          <t>20231010, 20231014</t>
        </is>
      </c>
      <c r="P565" t="inlineStr">
        <is>
          <t>Jawa Barat</t>
        </is>
      </c>
      <c r="Q565" t="inlineStr"/>
    </row>
    <row r="566">
      <c r="A566" t="inlineStr">
        <is>
          <t>PUTRA DIWA ADYATAMA</t>
        </is>
      </c>
      <c r="B566" t="inlineStr">
        <is>
          <t>Kota Tangerang Selatan</t>
        </is>
      </c>
      <c r="C566" t="inlineStr">
        <is>
          <t>081322223421</t>
        </is>
      </c>
      <c r="D566" t="inlineStr">
        <is>
          <t>pd.adyatama@gmail.com</t>
        </is>
      </c>
      <c r="E566" t="inlineStr">
        <is>
          <t>https://lpjk.pu.go.id/search-badan-usaha-detail/M01oMzFQcStqa1FKSURmV3BGTEhRZz09</t>
        </is>
      </c>
      <c r="F566" t="n">
        <v>1</v>
      </c>
      <c r="G566" t="inlineStr">
        <is>
          <t>BS001</t>
        </is>
      </c>
      <c r="H566" t="inlineStr">
        <is>
          <t>27 Januari 2016</t>
        </is>
      </c>
      <c r="I566" s="2" t="n">
        <v>46313</v>
      </c>
      <c r="J566" t="inlineStr">
        <is>
          <t>Disetujui</t>
        </is>
      </c>
      <c r="K566" t="n">
        <v>60</v>
      </c>
      <c r="L566" t="inlineStr">
        <is>
          <t>18 Oktober 2026</t>
        </is>
      </c>
      <c r="M566" t="inlineStr">
        <is>
          <t>Konstruksi Bangunan Sipil Jalan</t>
        </is>
      </c>
      <c r="N566" t="inlineStr">
        <is>
          <t>K</t>
        </is>
      </c>
      <c r="O566" t="inlineStr">
        <is>
          <t>20231005</t>
        </is>
      </c>
      <c r="P566" t="inlineStr">
        <is>
          <t>Banten</t>
        </is>
      </c>
      <c r="Q566" t="inlineStr"/>
    </row>
    <row r="567">
      <c r="A567" t="inlineStr">
        <is>
          <t>PUTRA GUNUNG LESTARI</t>
        </is>
      </c>
      <c r="B567" t="inlineStr">
        <is>
          <t>Kab. Belitung Timur</t>
        </is>
      </c>
      <c r="C567" t="inlineStr">
        <is>
          <t>082280656266</t>
        </is>
      </c>
      <c r="D567" t="inlineStr">
        <is>
          <t>putralestaripgl@gmail.com</t>
        </is>
      </c>
      <c r="E567" t="inlineStr">
        <is>
          <t>https://lpjk.pu.go.id/search-badan-usaha-detail/MDVzRlEyNnhXR1JPWFR5QjBhamJ6Zz09</t>
        </is>
      </c>
      <c r="F567" t="n">
        <v>1</v>
      </c>
      <c r="G567" t="inlineStr">
        <is>
          <t>BS001</t>
        </is>
      </c>
      <c r="H567" t="inlineStr">
        <is>
          <t>6 Januari 2016</t>
        </is>
      </c>
      <c r="I567" s="2" t="n">
        <v>46313</v>
      </c>
      <c r="J567" t="inlineStr">
        <is>
          <t>Disetujui</t>
        </is>
      </c>
      <c r="K567" t="n">
        <v>60</v>
      </c>
      <c r="L567" t="inlineStr">
        <is>
          <t>18 Oktober 2026</t>
        </is>
      </c>
      <c r="M567" t="inlineStr">
        <is>
          <t>Konstruksi Bangunan Sipil Jalan</t>
        </is>
      </c>
      <c r="N567" t="inlineStr">
        <is>
          <t>K</t>
        </is>
      </c>
      <c r="O567" t="inlineStr">
        <is>
          <t>20230609</t>
        </is>
      </c>
      <c r="P567" t="inlineStr">
        <is>
          <t>Kepulauan Bangka Belitung</t>
        </is>
      </c>
      <c r="Q567" t="inlineStr"/>
    </row>
    <row r="568">
      <c r="A568" t="inlineStr">
        <is>
          <t>PUTRA MANDIRI</t>
        </is>
      </c>
      <c r="B568" t="inlineStr">
        <is>
          <t>Kab. Pamekasan</t>
        </is>
      </c>
      <c r="C568" t="inlineStr">
        <is>
          <t>0324324736</t>
        </is>
      </c>
      <c r="D568" t="inlineStr">
        <is>
          <t>putra_mandiri2007@yahoo.com</t>
        </is>
      </c>
      <c r="E568" t="inlineStr">
        <is>
          <t>https://lpjk.pu.go.id/search-badan-usaha-detail/QXA0YWhhWGpRdC94VnlmWVpiZkRZdz09</t>
        </is>
      </c>
      <c r="F568" t="n">
        <v>1</v>
      </c>
      <c r="G568" t="inlineStr">
        <is>
          <t>BS001</t>
        </is>
      </c>
      <c r="H568" t="inlineStr">
        <is>
          <t>12 Februari 2007</t>
        </is>
      </c>
      <c r="I568" s="2" t="n">
        <v>46313</v>
      </c>
      <c r="J568" t="inlineStr">
        <is>
          <t>Pencabutan</t>
        </is>
      </c>
      <c r="K568" t="n">
        <v>60</v>
      </c>
      <c r="L568" t="inlineStr">
        <is>
          <t>18 Oktober 2026</t>
        </is>
      </c>
      <c r="M568" t="inlineStr">
        <is>
          <t>Konstruksi Bangunan Sipil Jalan</t>
        </is>
      </c>
      <c r="N568" t="inlineStr">
        <is>
          <t>K</t>
        </is>
      </c>
      <c r="O568" t="inlineStr">
        <is>
          <t>20230617</t>
        </is>
      </c>
      <c r="P568" t="inlineStr">
        <is>
          <t>Jawa Timur</t>
        </is>
      </c>
      <c r="Q568" t="inlineStr"/>
    </row>
    <row r="569">
      <c r="A569" t="inlineStr">
        <is>
          <t>PUTRA NUSANTARA</t>
        </is>
      </c>
      <c r="B569" t="inlineStr">
        <is>
          <t>Kab. Klaten</t>
        </is>
      </c>
      <c r="C569" t="inlineStr">
        <is>
          <t>085290157293</t>
        </is>
      </c>
      <c r="D569" t="inlineStr">
        <is>
          <t>putranusantara520@ymail.com</t>
        </is>
      </c>
      <c r="E569" t="inlineStr">
        <is>
          <t>https://lpjk.pu.go.id/search-badan-usaha-detail/ejUwcnBwQnlOSlUrSWtxcHBxYVg2Zz09</t>
        </is>
      </c>
      <c r="F569" t="n">
        <v>1</v>
      </c>
      <c r="G569" t="inlineStr">
        <is>
          <t>BS001</t>
        </is>
      </c>
      <c r="H569" t="inlineStr">
        <is>
          <t>14 September 2012</t>
        </is>
      </c>
      <c r="I569" s="2" t="n">
        <v>46307</v>
      </c>
      <c r="J569" t="inlineStr">
        <is>
          <t>Disetujui</t>
        </is>
      </c>
      <c r="K569" t="n">
        <v>60</v>
      </c>
      <c r="L569" t="inlineStr">
        <is>
          <t>12 Oktober 2026</t>
        </is>
      </c>
      <c r="M569" t="inlineStr">
        <is>
          <t>Konstruksi Bangunan Sipil Jalan</t>
        </is>
      </c>
      <c r="N569" t="inlineStr">
        <is>
          <t>K</t>
        </is>
      </c>
      <c r="O569" t="inlineStr">
        <is>
          <t>20231011</t>
        </is>
      </c>
      <c r="P569" t="inlineStr">
        <is>
          <t>Jawa Tengah</t>
        </is>
      </c>
      <c r="Q569" t="inlineStr"/>
    </row>
    <row r="570">
      <c r="A570" t="inlineStr">
        <is>
          <t>PUTRA PHOENNA</t>
        </is>
      </c>
      <c r="B570" t="inlineStr">
        <is>
          <t>Kab. Aceh Timur</t>
        </is>
      </c>
      <c r="C570" t="inlineStr">
        <is>
          <t>085277608843</t>
        </is>
      </c>
      <c r="D570" t="inlineStr">
        <is>
          <t>cvputraphoenna@yahoo.com</t>
        </is>
      </c>
      <c r="E570" t="inlineStr">
        <is>
          <t>https://lpjk.pu.go.id/search-badan-usaha-detail/L2haSTlISGI0RjNuZ09ISk90RzhPZz09</t>
        </is>
      </c>
      <c r="F570" t="n">
        <v>4</v>
      </c>
      <c r="G570" t="inlineStr">
        <is>
          <t>BG002, BG005, BG006, BG009</t>
        </is>
      </c>
      <c r="H570" t="inlineStr">
        <is>
          <t>28 Juli 2020</t>
        </is>
      </c>
      <c r="I570" s="2" t="n">
        <v>46308</v>
      </c>
      <c r="J570" t="inlineStr">
        <is>
          <t>Disetujui</t>
        </is>
      </c>
      <c r="K570" t="n">
        <v>60</v>
      </c>
      <c r="L570" t="inlineStr">
        <is>
          <t>13 Oktober 2026</t>
        </is>
      </c>
      <c r="M570" t="inlineStr">
        <is>
          <t>Konstruksi Gedung Kesehatan, Konstruksi Gedung Lainnya, Konstruksi Gedung Pendidikan, Konstruksi Gedung Perkantoran</t>
        </is>
      </c>
      <c r="N570" t="inlineStr">
        <is>
          <t>K</t>
        </is>
      </c>
      <c r="O570" t="inlineStr">
        <is>
          <t>20231008</t>
        </is>
      </c>
      <c r="P570" t="inlineStr">
        <is>
          <t>Aceh</t>
        </is>
      </c>
      <c r="Q570" t="inlineStr"/>
    </row>
    <row r="571">
      <c r="A571" t="inlineStr">
        <is>
          <t>PUTRA TECHNIK</t>
        </is>
      </c>
      <c r="B571" t="inlineStr">
        <is>
          <t>Kab. Nganjuk</t>
        </is>
      </c>
      <c r="C571" t="inlineStr">
        <is>
          <t>085257642442</t>
        </is>
      </c>
      <c r="D571" t="inlineStr">
        <is>
          <t>putratehnik_77@yahoo.co.id</t>
        </is>
      </c>
      <c r="E571" t="inlineStr">
        <is>
          <t>https://lpjk.pu.go.id/search-badan-usaha-detail/R2pNMG91bDYwKzRsZkxGTFRydVNpdz09</t>
        </is>
      </c>
      <c r="F571" t="n">
        <v>8</v>
      </c>
      <c r="G571" t="inlineStr">
        <is>
          <t>BG002, BG004, BG005, BG006, BG009, BS001, BS002, BS004</t>
        </is>
      </c>
      <c r="H571" t="inlineStr">
        <is>
          <t>19 Januari 2008</t>
        </is>
      </c>
      <c r="I571" s="2" t="n">
        <v>46308</v>
      </c>
      <c r="J571" t="inlineStr">
        <is>
          <t>Disetujui</t>
        </is>
      </c>
      <c r="K571" t="n">
        <v>60</v>
      </c>
      <c r="L571" t="inlineStr">
        <is>
          <t>13 Oktober 2026</t>
        </is>
      </c>
      <c r="M571" t="inlineStr">
        <is>
          <t>Bangunan Sipil Jembatan, Jalan Layang, Fly Over, dan Underpass, Konstruksi Bangunan Sipil Jalan, Konstruksi Gedung Kesehatan, Konstruksi Gedung Lainnya, Konstruksi Gedung Pendidikan, Konstruksi Gedung Perbelanjaan, Konstruksi Gedung Perkantoran, Konstruksi Jaringan Irigasi dan Drainase</t>
        </is>
      </c>
      <c r="N571" t="inlineStr">
        <is>
          <t>K</t>
        </is>
      </c>
      <c r="O571" t="inlineStr">
        <is>
          <t>20231011</t>
        </is>
      </c>
      <c r="P571" t="inlineStr">
        <is>
          <t>Jawa Timur</t>
        </is>
      </c>
      <c r="Q571" t="inlineStr"/>
    </row>
    <row r="572">
      <c r="A572" t="inlineStr">
        <is>
          <t>PUTRA TRI DATU</t>
        </is>
      </c>
      <c r="B572" t="inlineStr">
        <is>
          <t>Kab. Gianyar</t>
        </is>
      </c>
      <c r="C572" t="inlineStr">
        <is>
          <t>081337576373</t>
        </is>
      </c>
      <c r="D572" t="inlineStr">
        <is>
          <t>pt.ptd@yahoo.com</t>
        </is>
      </c>
      <c r="E572" t="inlineStr">
        <is>
          <t>https://lpjk.pu.go.id/search-badan-usaha-detail/RjZaeTlHM3VSdGN3WlY4U0dBNnNDdz09</t>
        </is>
      </c>
      <c r="F572" t="n">
        <v>2</v>
      </c>
      <c r="G572" t="inlineStr">
        <is>
          <t>BG007, BG009</t>
        </is>
      </c>
      <c r="H572" t="inlineStr">
        <is>
          <t>2 Januari 2020</t>
        </is>
      </c>
      <c r="I572" s="2" t="n">
        <v>46310</v>
      </c>
      <c r="J572" t="inlineStr">
        <is>
          <t>Disetujui</t>
        </is>
      </c>
      <c r="K572" t="n">
        <v>60</v>
      </c>
      <c r="L572" t="inlineStr">
        <is>
          <t>15 Oktober 2026</t>
        </is>
      </c>
      <c r="M572" t="inlineStr">
        <is>
          <t>Konstruksi Gedung Lainnya, Konstruksi Gedung Penginapan</t>
        </is>
      </c>
      <c r="N572" t="inlineStr">
        <is>
          <t>K</t>
        </is>
      </c>
      <c r="O572" t="inlineStr">
        <is>
          <t>20231010, 20231016</t>
        </is>
      </c>
      <c r="P572" t="inlineStr">
        <is>
          <t>Bali</t>
        </is>
      </c>
      <c r="Q572" t="inlineStr"/>
    </row>
    <row r="573">
      <c r="A573" t="inlineStr">
        <is>
          <t>PUTRA TUNGGAL</t>
        </is>
      </c>
      <c r="B573" t="inlineStr">
        <is>
          <t>Kab. Banyuasin</t>
        </is>
      </c>
      <c r="C573" t="inlineStr">
        <is>
          <t>0711430626</t>
        </is>
      </c>
      <c r="D573" t="inlineStr">
        <is>
          <t>cv.putra_t@yahoo.com</t>
        </is>
      </c>
      <c r="E573" t="inlineStr">
        <is>
          <t>https://lpjk.pu.go.id/search-badan-usaha-detail/Qjk3WXI2Y2treGE2Q05Way9PT2o2Zz09</t>
        </is>
      </c>
      <c r="F573" t="n">
        <v>1</v>
      </c>
      <c r="G573" t="inlineStr">
        <is>
          <t>BS004</t>
        </is>
      </c>
      <c r="H573" t="inlineStr">
        <is>
          <t>8 November 2002</t>
        </is>
      </c>
      <c r="I573" s="2" t="n">
        <v>46308</v>
      </c>
      <c r="J573" t="inlineStr">
        <is>
          <t>Disetujui</t>
        </is>
      </c>
      <c r="K573" t="n">
        <v>60</v>
      </c>
      <c r="L573" t="inlineStr">
        <is>
          <t>13 Oktober 2026</t>
        </is>
      </c>
      <c r="M573" t="inlineStr">
        <is>
          <t>Konstruksi Jaringan Irigasi dan Drainase</t>
        </is>
      </c>
      <c r="N573" t="inlineStr">
        <is>
          <t>K</t>
        </is>
      </c>
      <c r="O573" t="inlineStr">
        <is>
          <t>20230720</t>
        </is>
      </c>
      <c r="P573" t="inlineStr">
        <is>
          <t>Sumatera Selatan</t>
        </is>
      </c>
      <c r="Q573" t="inlineStr"/>
    </row>
    <row r="574">
      <c r="A574" t="inlineStr">
        <is>
          <t>PUTRA WIJAYA</t>
        </is>
      </c>
      <c r="B574" t="inlineStr">
        <is>
          <t>Kab. Semarang</t>
        </is>
      </c>
      <c r="C574" t="inlineStr">
        <is>
          <t>0246922182</t>
        </is>
      </c>
      <c r="D574" t="inlineStr">
        <is>
          <t>putrawijaya1518@gmail.com</t>
        </is>
      </c>
      <c r="E574" t="inlineStr">
        <is>
          <t>https://lpjk.pu.go.id/search-badan-usaha-detail/VFkrMnpHS0U2SitTWlZSbFFmdFZhUT09</t>
        </is>
      </c>
      <c r="F574" t="n">
        <v>1</v>
      </c>
      <c r="G574" t="inlineStr">
        <is>
          <t>BS004</t>
        </is>
      </c>
      <c r="H574" t="inlineStr">
        <is>
          <t>22 Juni 2012</t>
        </is>
      </c>
      <c r="I574" s="2" t="n">
        <v>46308</v>
      </c>
      <c r="J574" t="inlineStr">
        <is>
          <t>Disetujui</t>
        </is>
      </c>
      <c r="K574" t="n">
        <v>60</v>
      </c>
      <c r="L574" t="inlineStr">
        <is>
          <t>13 Oktober 2026</t>
        </is>
      </c>
      <c r="M574" t="inlineStr">
        <is>
          <t>Konstruksi Jaringan Irigasi dan Drainase</t>
        </is>
      </c>
      <c r="N574" t="inlineStr">
        <is>
          <t>K</t>
        </is>
      </c>
      <c r="O574" t="inlineStr">
        <is>
          <t>20231006</t>
        </is>
      </c>
      <c r="P574" t="inlineStr">
        <is>
          <t>Jawa Tengah</t>
        </is>
      </c>
      <c r="Q574" t="inlineStr"/>
    </row>
    <row r="575">
      <c r="A575" t="inlineStr">
        <is>
          <t>PUTRI AJI</t>
        </is>
      </c>
      <c r="B575" t="inlineStr">
        <is>
          <t>Kab. Semarang</t>
        </is>
      </c>
      <c r="C575" t="inlineStr">
        <is>
          <t>0246929698</t>
        </is>
      </c>
      <c r="D575" t="inlineStr">
        <is>
          <t>cv.putriaji@gmail.com</t>
        </is>
      </c>
      <c r="E575" t="inlineStr">
        <is>
          <t>https://lpjk.pu.go.id/search-badan-usaha-detail/OVg5UkNnUzFUM1Y1ZzdwcVh1amtmdz09</t>
        </is>
      </c>
      <c r="F575" t="n">
        <v>6</v>
      </c>
      <c r="G575" t="inlineStr">
        <is>
          <t>BG002, BG005, BG006, BG009, BS001, BS004</t>
        </is>
      </c>
      <c r="H575" t="inlineStr">
        <is>
          <t>5 Juli 2000</t>
        </is>
      </c>
      <c r="I575" s="2" t="n">
        <v>46310</v>
      </c>
      <c r="J575" t="inlineStr">
        <is>
          <t>Disetujui</t>
        </is>
      </c>
      <c r="K575" t="n">
        <v>60</v>
      </c>
      <c r="L575" t="inlineStr">
        <is>
          <t>15 Oktober 2026</t>
        </is>
      </c>
      <c r="M575" t="inlineStr">
        <is>
          <t>Konstruksi Bangunan Sipil Jalan, Konstruksi Gedung Kesehatan, Konstruksi Gedung Lainnya, Konstruksi Gedung Pendidikan, Konstruksi Gedung Perkantoran, Konstruksi Jaringan Irigasi dan Drainase</t>
        </is>
      </c>
      <c r="N575" t="inlineStr">
        <is>
          <t>K</t>
        </is>
      </c>
      <c r="O575" t="inlineStr">
        <is>
          <t>20231010, 20231011</t>
        </is>
      </c>
      <c r="P575" t="inlineStr">
        <is>
          <t>Jawa Tengah</t>
        </is>
      </c>
      <c r="Q575" t="inlineStr"/>
    </row>
    <row r="576">
      <c r="A576" t="inlineStr">
        <is>
          <t>PUTRI JAYA SEJAHTERA</t>
        </is>
      </c>
      <c r="B576" t="inlineStr">
        <is>
          <t>Kab. Subang</t>
        </is>
      </c>
      <c r="C576" t="inlineStr">
        <is>
          <t>087735031329</t>
        </is>
      </c>
      <c r="D576" t="inlineStr">
        <is>
          <t>cv.putrijayasejahtera@outlook.com</t>
        </is>
      </c>
      <c r="E576" t="inlineStr">
        <is>
          <t>https://lpjk.pu.go.id/search-badan-usaha-detail/U1NERzFvUUoxdVNTYXptcUMySmw5dz09</t>
        </is>
      </c>
      <c r="F576" t="n">
        <v>2</v>
      </c>
      <c r="G576" t="inlineStr">
        <is>
          <t>BS002, BS004</t>
        </is>
      </c>
      <c r="H576" t="inlineStr">
        <is>
          <t>9 September 2015</t>
        </is>
      </c>
      <c r="I576" s="2" t="n">
        <v>46311</v>
      </c>
      <c r="J576" t="inlineStr">
        <is>
          <t>Disetujui</t>
        </is>
      </c>
      <c r="K576" t="n">
        <v>60</v>
      </c>
      <c r="L576" t="inlineStr">
        <is>
          <t>16 Oktober 2026</t>
        </is>
      </c>
      <c r="M576" t="inlineStr">
        <is>
          <t>Bangunan Sipil Jembatan, Jalan Layang, Fly Over, dan Underpass, Konstruksi Jaringan Irigasi dan Drainase</t>
        </is>
      </c>
      <c r="N576" t="inlineStr">
        <is>
          <t>K</t>
        </is>
      </c>
      <c r="O576" t="inlineStr">
        <is>
          <t>20231016</t>
        </is>
      </c>
      <c r="P576" t="inlineStr">
        <is>
          <t>Jawa Barat</t>
        </is>
      </c>
      <c r="Q576" t="inlineStr"/>
    </row>
    <row r="577">
      <c r="A577" t="inlineStr">
        <is>
          <t>PUTRI KEDUA MANDIRI</t>
        </is>
      </c>
      <c r="B577" t="inlineStr">
        <is>
          <t>Kota Balikpapan</t>
        </is>
      </c>
      <c r="C577" t="inlineStr">
        <is>
          <t>081299429999</t>
        </is>
      </c>
      <c r="D577" t="inlineStr">
        <is>
          <t>putrikeduamandiri.cv@gmail.com</t>
        </is>
      </c>
      <c r="E577" t="inlineStr">
        <is>
          <t>https://lpjk.pu.go.id/search-badan-usaha-detail/WVl3WXJnSkk4QTJZVlRFS3NiZFB5QT09</t>
        </is>
      </c>
      <c r="F577" t="n">
        <v>2</v>
      </c>
      <c r="G577" t="inlineStr">
        <is>
          <t>BG005, BG006</t>
        </is>
      </c>
      <c r="H577" t="inlineStr">
        <is>
          <t>8 Agustus 2019</t>
        </is>
      </c>
      <c r="I577" s="2" t="n">
        <v>46312</v>
      </c>
      <c r="J577" t="inlineStr">
        <is>
          <t>Disetujui</t>
        </is>
      </c>
      <c r="K577" t="n">
        <v>60</v>
      </c>
      <c r="L577" t="inlineStr">
        <is>
          <t>17 Oktober 2026</t>
        </is>
      </c>
      <c r="M577" t="inlineStr">
        <is>
          <t>Konstruksi Gedung Kesehatan, Konstruksi Gedung Pendidikan</t>
        </is>
      </c>
      <c r="N577" t="inlineStr">
        <is>
          <t>K</t>
        </is>
      </c>
      <c r="O577" t="inlineStr">
        <is>
          <t>20231018</t>
        </is>
      </c>
      <c r="P577" t="inlineStr">
        <is>
          <t>Kalimantan Timur</t>
        </is>
      </c>
      <c r="Q577" t="inlineStr"/>
    </row>
    <row r="578">
      <c r="A578" t="inlineStr">
        <is>
          <t>PUTRI KENCANA</t>
        </is>
      </c>
      <c r="B578" t="inlineStr">
        <is>
          <t>Kab. Sumenep</t>
        </is>
      </c>
      <c r="C578" t="inlineStr">
        <is>
          <t>082330700075</t>
        </is>
      </c>
      <c r="D578" t="inlineStr">
        <is>
          <t>cvputrikencana11@gmail.com</t>
        </is>
      </c>
      <c r="E578" t="inlineStr">
        <is>
          <t>https://lpjk.pu.go.id/search-badan-usaha-detail/YVQrakh0VXA4MUNvRVNQcUdCMm1ZUT09</t>
        </is>
      </c>
      <c r="F578" t="n">
        <v>1</v>
      </c>
      <c r="G578" t="inlineStr">
        <is>
          <t>BS004</t>
        </is>
      </c>
      <c r="H578" t="inlineStr">
        <is>
          <t>6 Januari 2011</t>
        </is>
      </c>
      <c r="I578" s="2" t="n">
        <v>46310</v>
      </c>
      <c r="J578" t="inlineStr">
        <is>
          <t>Disetujui</t>
        </is>
      </c>
      <c r="K578" t="n">
        <v>60</v>
      </c>
      <c r="L578" t="inlineStr">
        <is>
          <t>15 Oktober 2026</t>
        </is>
      </c>
      <c r="M578" t="inlineStr">
        <is>
          <t>Konstruksi Jaringan Irigasi dan Drainase</t>
        </is>
      </c>
      <c r="N578" t="inlineStr">
        <is>
          <t>K</t>
        </is>
      </c>
      <c r="O578" t="inlineStr">
        <is>
          <t>20231012</t>
        </is>
      </c>
      <c r="P578" t="inlineStr">
        <is>
          <t>Jawa Timur</t>
        </is>
      </c>
      <c r="Q578" t="inlineStr"/>
    </row>
    <row r="579">
      <c r="A579" t="inlineStr">
        <is>
          <t>PUTRI PRINGGA BAYA</t>
        </is>
      </c>
      <c r="B579" t="inlineStr">
        <is>
          <t>Kab. Indramayu</t>
        </is>
      </c>
      <c r="C579" t="inlineStr">
        <is>
          <t>08122077031</t>
        </is>
      </c>
      <c r="D579" t="inlineStr">
        <is>
          <t>putri_pringgabaya.pt@yahoo.com</t>
        </is>
      </c>
      <c r="E579" t="inlineStr">
        <is>
          <t>https://lpjk.pu.go.id/search-badan-usaha-detail/eFNSSWhBSjJhNVFJNUQvOU9GdVdKdz09</t>
        </is>
      </c>
      <c r="F579" t="n">
        <v>1</v>
      </c>
      <c r="G579" t="inlineStr">
        <is>
          <t>BS002</t>
        </is>
      </c>
      <c r="H579" t="inlineStr">
        <is>
          <t>17 Desember 2014</t>
        </is>
      </c>
      <c r="I579" s="2" t="n">
        <v>46311</v>
      </c>
      <c r="J579" t="inlineStr">
        <is>
          <t>Disetujui</t>
        </is>
      </c>
      <c r="K579" t="n">
        <v>60</v>
      </c>
      <c r="L579" t="inlineStr">
        <is>
          <t>16 Oktober 2026</t>
        </is>
      </c>
      <c r="M579" t="inlineStr">
        <is>
          <t>Bangunan Sipil Jembatan, Jalan Layang, Fly Over, dan Underpass</t>
        </is>
      </c>
      <c r="N579" t="inlineStr">
        <is>
          <t>K</t>
        </is>
      </c>
      <c r="O579" t="inlineStr">
        <is>
          <t>20231010</t>
        </is>
      </c>
      <c r="P579" t="inlineStr">
        <is>
          <t>Jawa Barat</t>
        </is>
      </c>
      <c r="Q579" t="inlineStr"/>
    </row>
    <row r="580">
      <c r="A580" t="inlineStr">
        <is>
          <t>QALIAN</t>
        </is>
      </c>
      <c r="B580" t="inlineStr">
        <is>
          <t>Kab. Subang</t>
        </is>
      </c>
      <c r="C580" t="inlineStr">
        <is>
          <t>082315339328</t>
        </is>
      </c>
      <c r="D580" t="inlineStr">
        <is>
          <t>cvqalian@gmail.com</t>
        </is>
      </c>
      <c r="E580" t="inlineStr">
        <is>
          <t>https://lpjk.pu.go.id/search-badan-usaha-detail/SkhlajdWNlQ4YjNRb0lBT0FJN3EvUT09</t>
        </is>
      </c>
      <c r="F580" t="n">
        <v>4</v>
      </c>
      <c r="G580" t="inlineStr">
        <is>
          <t>BG002, BG009, BS004, BS005</t>
        </is>
      </c>
      <c r="H580" t="inlineStr">
        <is>
          <t>12 Februari 2020</t>
        </is>
      </c>
      <c r="I580" s="2" t="n">
        <v>46308</v>
      </c>
      <c r="J580" t="inlineStr">
        <is>
          <t>Disetujui</t>
        </is>
      </c>
      <c r="K580" t="n">
        <v>60</v>
      </c>
      <c r="L580" t="inlineStr">
        <is>
          <t>13 Oktober 2026</t>
        </is>
      </c>
      <c r="M580" t="inlineStr">
        <is>
          <t>Konstruksi Bangunan Sipil Pengolahan Air Bersih, Konstruksi Gedung Lainnya, Konstruksi Gedung Perkantoran, Konstruksi Jaringan Irigasi dan Drainase</t>
        </is>
      </c>
      <c r="N580" t="inlineStr">
        <is>
          <t>K</t>
        </is>
      </c>
      <c r="O580" t="inlineStr">
        <is>
          <t>20231012, 20231013</t>
        </is>
      </c>
      <c r="P580" t="inlineStr">
        <is>
          <t>Jawa Barat</t>
        </is>
      </c>
      <c r="Q580" t="inlineStr"/>
    </row>
    <row r="581">
      <c r="A581" t="inlineStr">
        <is>
          <t>QANITA DEWI</t>
        </is>
      </c>
      <c r="B581" t="inlineStr">
        <is>
          <t>Kab. Cirebon</t>
        </is>
      </c>
      <c r="C581" t="inlineStr">
        <is>
          <t>08112444542</t>
        </is>
      </c>
      <c r="D581" t="inlineStr">
        <is>
          <t>qanitadewi3@gmail.com</t>
        </is>
      </c>
      <c r="E581" t="inlineStr">
        <is>
          <t>https://lpjk.pu.go.id/search-badan-usaha-detail/K2FBdkxaQk9uTHh1TDlqTW9COGkydz09</t>
        </is>
      </c>
      <c r="F581" t="n">
        <v>1</v>
      </c>
      <c r="G581" t="inlineStr">
        <is>
          <t>BS005</t>
        </is>
      </c>
      <c r="H581" t="inlineStr">
        <is>
          <t>10 Januari 2015</t>
        </is>
      </c>
      <c r="I581" s="2" t="n">
        <v>46312</v>
      </c>
      <c r="J581" t="inlineStr">
        <is>
          <t>Disetujui</t>
        </is>
      </c>
      <c r="K581" t="n">
        <v>60</v>
      </c>
      <c r="L581" t="inlineStr">
        <is>
          <t>17 Oktober 2026</t>
        </is>
      </c>
      <c r="M581" t="inlineStr">
        <is>
          <t>Konstruksi Bangunan Sipil Pengolahan Air Bersih</t>
        </is>
      </c>
      <c r="N581" t="inlineStr">
        <is>
          <t>K</t>
        </is>
      </c>
      <c r="O581" t="inlineStr">
        <is>
          <t>20231015</t>
        </is>
      </c>
      <c r="P581" t="inlineStr">
        <is>
          <t>Jawa Barat</t>
        </is>
      </c>
      <c r="Q581" t="inlineStr"/>
    </row>
    <row r="582">
      <c r="A582" t="inlineStr">
        <is>
          <t>RADEN SRIWIJAYA SUKSES</t>
        </is>
      </c>
      <c r="B582" t="inlineStr">
        <is>
          <t>Kota Palembang</t>
        </is>
      </c>
      <c r="C582" t="inlineStr">
        <is>
          <t>-</t>
        </is>
      </c>
      <c r="D582" t="inlineStr">
        <is>
          <t>cv.radensriwijayasukses@gmail.com</t>
        </is>
      </c>
      <c r="E582" t="inlineStr">
        <is>
          <t>https://lpjk.pu.go.id/search-badan-usaha-detail/ZWVaN3V2TWtXWmJDSnZlUGZkVFdIZz09</t>
        </is>
      </c>
      <c r="F582" t="n">
        <v>2</v>
      </c>
      <c r="G582" t="inlineStr">
        <is>
          <t>BS001, BS004</t>
        </is>
      </c>
      <c r="H582" t="inlineStr">
        <is>
          <t>21 Mei 2021</t>
        </is>
      </c>
      <c r="I582" s="2" t="n">
        <v>46312</v>
      </c>
      <c r="J582" t="inlineStr">
        <is>
          <t>Disetujui</t>
        </is>
      </c>
      <c r="K582" t="n">
        <v>60</v>
      </c>
      <c r="L582" t="inlineStr">
        <is>
          <t>17 Oktober 2026</t>
        </is>
      </c>
      <c r="M582" t="inlineStr">
        <is>
          <t>Konstruksi Bangunan Sipil Jalan, Konstruksi Jaringan Irigasi dan Drainase</t>
        </is>
      </c>
      <c r="N582" t="inlineStr">
        <is>
          <t>K</t>
        </is>
      </c>
      <c r="O582" t="inlineStr">
        <is>
          <t>20231012</t>
        </is>
      </c>
      <c r="P582" t="inlineStr">
        <is>
          <t>Sumatera Selatan</t>
        </is>
      </c>
      <c r="Q582" t="inlineStr"/>
    </row>
    <row r="583">
      <c r="A583" t="inlineStr">
        <is>
          <t>RADJASA</t>
        </is>
      </c>
      <c r="B583" t="inlineStr">
        <is>
          <t>Kab. Lampung Selatan</t>
        </is>
      </c>
      <c r="C583" t="inlineStr">
        <is>
          <t>-</t>
        </is>
      </c>
      <c r="D583" t="inlineStr">
        <is>
          <t>cv.radjasa@gmail.com</t>
        </is>
      </c>
      <c r="E583" t="inlineStr">
        <is>
          <t>https://lpjk.pu.go.id/search-badan-usaha-detail/cmRvUzBRNGY2MzZHazQ1VmN6b2hPdz09</t>
        </is>
      </c>
      <c r="F583" t="n">
        <v>2</v>
      </c>
      <c r="G583" t="inlineStr">
        <is>
          <t>BG002</t>
        </is>
      </c>
      <c r="H583" t="inlineStr">
        <is>
          <t>26 Mei 2023</t>
        </is>
      </c>
      <c r="I583" s="2" t="n">
        <v>46312</v>
      </c>
      <c r="J583" t="inlineStr">
        <is>
          <t>Disetujui</t>
        </is>
      </c>
      <c r="K583" t="n">
        <v>60</v>
      </c>
      <c r="L583" t="inlineStr">
        <is>
          <t>17 Oktober 2026</t>
        </is>
      </c>
      <c r="M583" t="inlineStr">
        <is>
          <t>Konstruksi Gedung Perkantoran</t>
        </is>
      </c>
      <c r="N583" t="inlineStr">
        <is>
          <t>K</t>
        </is>
      </c>
      <c r="O583" t="inlineStr">
        <is>
          <t>20231016</t>
        </is>
      </c>
      <c r="P583" t="inlineStr">
        <is>
          <t>Lampung</t>
        </is>
      </c>
      <c r="Q583" t="inlineStr"/>
    </row>
    <row r="584">
      <c r="A584" t="inlineStr">
        <is>
          <t>RAFA BERDIKARI JAYA</t>
        </is>
      </c>
      <c r="B584" t="inlineStr">
        <is>
          <t>Kota Ambon</t>
        </is>
      </c>
      <c r="C584" t="inlineStr">
        <is>
          <t>081527132854</t>
        </is>
      </c>
      <c r="D584" t="inlineStr">
        <is>
          <t>ravaberdikarijaya@gmail.com</t>
        </is>
      </c>
      <c r="E584" t="inlineStr">
        <is>
          <t>https://lpjk.pu.go.id/search-badan-usaha-detail/VXUyWk55NjZjdldHcDF5anpma0hTdz09</t>
        </is>
      </c>
      <c r="F584" t="n">
        <v>2</v>
      </c>
      <c r="G584" t="inlineStr">
        <is>
          <t>BS004, BS005</t>
        </is>
      </c>
      <c r="H584" t="inlineStr">
        <is>
          <t>4 Oktober 2023</t>
        </is>
      </c>
      <c r="I584" s="2" t="n">
        <v>46310</v>
      </c>
      <c r="J584" t="inlineStr">
        <is>
          <t>Disetujui</t>
        </is>
      </c>
      <c r="K584" t="n">
        <v>60</v>
      </c>
      <c r="L584" t="inlineStr">
        <is>
          <t>15 Oktober 2026</t>
        </is>
      </c>
      <c r="M584" t="inlineStr">
        <is>
          <t>Konstruksi Bangunan Sipil Pengolahan Air Bersih, Konstruksi Jaringan Irigasi dan Drainase</t>
        </is>
      </c>
      <c r="N584" t="inlineStr">
        <is>
          <t>K</t>
        </is>
      </c>
      <c r="O584" t="inlineStr">
        <is>
          <t>20231011</t>
        </is>
      </c>
      <c r="P584" t="inlineStr">
        <is>
          <t>Maluku</t>
        </is>
      </c>
      <c r="Q584" t="inlineStr"/>
    </row>
    <row r="585">
      <c r="A585" t="inlineStr">
        <is>
          <t>RAFA JAYA</t>
        </is>
      </c>
      <c r="B585" t="inlineStr">
        <is>
          <t>Kab. Tuban</t>
        </is>
      </c>
      <c r="C585" t="inlineStr">
        <is>
          <t>081235699934</t>
        </is>
      </c>
      <c r="D585" t="inlineStr">
        <is>
          <t>alif.rafandra27@gmail.com</t>
        </is>
      </c>
      <c r="E585" t="inlineStr">
        <is>
          <t>https://lpjk.pu.go.id/search-badan-usaha-detail/Z1hHdkxnV3p0V0FQd1A1a1hhQmxGdz09</t>
        </is>
      </c>
      <c r="F585" t="n">
        <v>4</v>
      </c>
      <c r="G585" t="inlineStr">
        <is>
          <t>BG005, BG006, BS001, BS004</t>
        </is>
      </c>
      <c r="H585" t="inlineStr">
        <is>
          <t>1 Januari 2018</t>
        </is>
      </c>
      <c r="I585" s="2" t="n">
        <v>46313</v>
      </c>
      <c r="J585" t="inlineStr">
        <is>
          <t>Disetujui</t>
        </is>
      </c>
      <c r="K585" t="n">
        <v>60</v>
      </c>
      <c r="L585" t="inlineStr">
        <is>
          <t>18 Oktober 2026</t>
        </is>
      </c>
      <c r="M585" t="inlineStr">
        <is>
          <t>Konstruksi Bangunan Sipil Jalan, Konstruksi Gedung Kesehatan, Konstruksi Gedung Pendidikan, Konstruksi Jaringan Irigasi dan Drainase</t>
        </is>
      </c>
      <c r="N585" t="inlineStr">
        <is>
          <t>K</t>
        </is>
      </c>
      <c r="O585" t="inlineStr">
        <is>
          <t>20231016</t>
        </is>
      </c>
      <c r="P585" t="inlineStr">
        <is>
          <t>Jawa Timur</t>
        </is>
      </c>
      <c r="Q585" t="inlineStr"/>
    </row>
    <row r="586">
      <c r="A586" t="inlineStr">
        <is>
          <t>RAFA MANDIRI GROUP</t>
        </is>
      </c>
      <c r="B586" t="inlineStr">
        <is>
          <t>Kab. Bengkalis</t>
        </is>
      </c>
      <c r="C586" t="inlineStr">
        <is>
          <t>082260343869</t>
        </is>
      </c>
      <c r="D586" t="inlineStr">
        <is>
          <t>cvrafamandiri79@gmail.com</t>
        </is>
      </c>
      <c r="E586" t="inlineStr">
        <is>
          <t>https://lpjk.pu.go.id/search-badan-usaha-detail/aVVPSFhyOGh0Q1J3YWZmbGlYV1RFQT09</t>
        </is>
      </c>
      <c r="F586" t="n">
        <v>1</v>
      </c>
      <c r="G586" t="inlineStr">
        <is>
          <t>BS004</t>
        </is>
      </c>
      <c r="H586" t="inlineStr">
        <is>
          <t>31 Januari 2017</t>
        </is>
      </c>
      <c r="I586" s="2" t="n">
        <v>46311</v>
      </c>
      <c r="J586" t="inlineStr">
        <is>
          <t>Disetujui</t>
        </is>
      </c>
      <c r="K586" t="n">
        <v>60</v>
      </c>
      <c r="L586" t="inlineStr">
        <is>
          <t>16 Oktober 2026</t>
        </is>
      </c>
      <c r="M586" t="inlineStr">
        <is>
          <t>Konstruksi Jaringan Irigasi dan Drainase</t>
        </is>
      </c>
      <c r="N586" t="inlineStr">
        <is>
          <t>K</t>
        </is>
      </c>
      <c r="O586" t="inlineStr">
        <is>
          <t>20231016</t>
        </is>
      </c>
      <c r="P586" t="inlineStr">
        <is>
          <t>Riau</t>
        </is>
      </c>
      <c r="Q586" t="inlineStr"/>
    </row>
    <row r="587">
      <c r="A587" t="inlineStr">
        <is>
          <t>RAFAREZEL KONSTRUKSI</t>
        </is>
      </c>
      <c r="B587" t="inlineStr">
        <is>
          <t>Kab. Muaro Jambi</t>
        </is>
      </c>
      <c r="C587" t="inlineStr">
        <is>
          <t>082179919104</t>
        </is>
      </c>
      <c r="D587" t="inlineStr">
        <is>
          <t>rafarezelkonstruksijbi@gmail.com</t>
        </is>
      </c>
      <c r="E587" t="inlineStr">
        <is>
          <t>https://lpjk.pu.go.id/search-badan-usaha-detail/aVR6RzhzY3FQYjN1WS8xZ0s3VlJJdz09</t>
        </is>
      </c>
      <c r="F587" t="n">
        <v>1</v>
      </c>
      <c r="G587" t="inlineStr">
        <is>
          <t>BS004</t>
        </is>
      </c>
      <c r="H587" t="inlineStr">
        <is>
          <t>20 Juli 2023</t>
        </is>
      </c>
      <c r="I587" s="2" t="n">
        <v>46311</v>
      </c>
      <c r="J587" t="inlineStr">
        <is>
          <t>Disetujui</t>
        </is>
      </c>
      <c r="K587" t="n">
        <v>60</v>
      </c>
      <c r="L587" t="inlineStr">
        <is>
          <t>16 Oktober 2026</t>
        </is>
      </c>
      <c r="M587" t="inlineStr">
        <is>
          <t>Konstruksi Jaringan Irigasi dan Drainase</t>
        </is>
      </c>
      <c r="N587" t="inlineStr">
        <is>
          <t>K</t>
        </is>
      </c>
      <c r="O587" t="inlineStr">
        <is>
          <t>20231010</t>
        </is>
      </c>
      <c r="P587" t="inlineStr">
        <is>
          <t>Jambi</t>
        </is>
      </c>
      <c r="Q587" t="inlineStr"/>
    </row>
    <row r="588">
      <c r="A588" t="inlineStr">
        <is>
          <t>RAFFASYA</t>
        </is>
      </c>
      <c r="B588" t="inlineStr">
        <is>
          <t>Kab. Tanjung Jabung Barat</t>
        </is>
      </c>
      <c r="C588" t="inlineStr">
        <is>
          <t>082281042835</t>
        </is>
      </c>
      <c r="D588" t="inlineStr">
        <is>
          <t>raffasyacv@gmail.com</t>
        </is>
      </c>
      <c r="E588" t="inlineStr">
        <is>
          <t>https://lpjk.pu.go.id/search-badan-usaha-detail/Y0ZCdHNtOXFWRmRUWXQ0UHZya21HUT09</t>
        </is>
      </c>
      <c r="F588" t="n">
        <v>2</v>
      </c>
      <c r="G588" t="inlineStr">
        <is>
          <t>BS001</t>
        </is>
      </c>
      <c r="H588" t="inlineStr">
        <is>
          <t>26 Januari 2022</t>
        </is>
      </c>
      <c r="I588" s="2" t="n">
        <v>46311</v>
      </c>
      <c r="J588" t="inlineStr">
        <is>
          <t>Disetujui</t>
        </is>
      </c>
      <c r="K588" t="n">
        <v>60</v>
      </c>
      <c r="L588" t="inlineStr">
        <is>
          <t>16 Oktober 2026</t>
        </is>
      </c>
      <c r="M588" t="inlineStr">
        <is>
          <t>Konstruksi Bangunan Sipil Jalan</t>
        </is>
      </c>
      <c r="N588" t="inlineStr">
        <is>
          <t>K</t>
        </is>
      </c>
      <c r="O588" t="inlineStr">
        <is>
          <t>20230922</t>
        </is>
      </c>
      <c r="P588" t="inlineStr">
        <is>
          <t>Jambi</t>
        </is>
      </c>
      <c r="Q588" t="inlineStr"/>
    </row>
    <row r="589">
      <c r="A589" t="inlineStr">
        <is>
          <t>RAIHAN ANUGRAH PRATAMA</t>
        </is>
      </c>
      <c r="B589" t="inlineStr">
        <is>
          <t>Kota Adm. Jakarta Pusat</t>
        </is>
      </c>
      <c r="C589" t="inlineStr">
        <is>
          <t>02129578330</t>
        </is>
      </c>
      <c r="D589" t="inlineStr">
        <is>
          <t>pt.raihananugerahpratama@gmail.com</t>
        </is>
      </c>
      <c r="E589" t="inlineStr">
        <is>
          <t>https://lpjk.pu.go.id/search-badan-usaha-detail/RDNyZVV6UVYwNkd5cVJ1Ylpwb2R6UT09</t>
        </is>
      </c>
      <c r="F589" t="n">
        <v>2</v>
      </c>
      <c r="G589" t="inlineStr">
        <is>
          <t>BG001</t>
        </is>
      </c>
      <c r="H589" t="inlineStr">
        <is>
          <t>9 Maret 2022</t>
        </is>
      </c>
      <c r="I589" s="2" t="n">
        <v>46311</v>
      </c>
      <c r="J589" t="inlineStr">
        <is>
          <t>Disetujui</t>
        </is>
      </c>
      <c r="K589" t="n">
        <v>60</v>
      </c>
      <c r="L589" t="inlineStr">
        <is>
          <t>16 Oktober 2026</t>
        </is>
      </c>
      <c r="M589" t="inlineStr">
        <is>
          <t>Konstruksi Gedung Hunian</t>
        </is>
      </c>
      <c r="N589" t="inlineStr">
        <is>
          <t>K</t>
        </is>
      </c>
      <c r="O589" t="inlineStr">
        <is>
          <t>20231013</t>
        </is>
      </c>
      <c r="P589" t="inlineStr">
        <is>
          <t>DKI Jakarta</t>
        </is>
      </c>
      <c r="Q589" t="inlineStr"/>
    </row>
    <row r="590">
      <c r="A590" t="inlineStr">
        <is>
          <t>RAIHAN PRIMA MANDIRI</t>
        </is>
      </c>
      <c r="B590" t="inlineStr">
        <is>
          <t>Kab. Kotawaringin Barat</t>
        </is>
      </c>
      <c r="C590" t="inlineStr">
        <is>
          <t>08125157941</t>
        </is>
      </c>
      <c r="D590" t="inlineStr">
        <is>
          <t>raihanprimamandiri@yahoo.co.id</t>
        </is>
      </c>
      <c r="E590" t="inlineStr">
        <is>
          <t>https://lpjk.pu.go.id/search-badan-usaha-detail/M1JjQVNWRDBJbW9DR0VMd1VIS1dUdz09</t>
        </is>
      </c>
      <c r="F590" t="n">
        <v>2</v>
      </c>
      <c r="G590" t="inlineStr">
        <is>
          <t>BG003</t>
        </is>
      </c>
      <c r="H590" t="inlineStr">
        <is>
          <t>21 Juni 2012</t>
        </is>
      </c>
      <c r="I590" s="2" t="n">
        <v>46313</v>
      </c>
      <c r="J590" t="inlineStr">
        <is>
          <t>Disetujui</t>
        </is>
      </c>
      <c r="K590" t="n">
        <v>60</v>
      </c>
      <c r="L590" t="inlineStr">
        <is>
          <t>18 Oktober 2026</t>
        </is>
      </c>
      <c r="M590" t="inlineStr">
        <is>
          <t>Konstruksi Gedung Industri</t>
        </is>
      </c>
      <c r="N590" t="inlineStr">
        <is>
          <t>K</t>
        </is>
      </c>
      <c r="O590" t="inlineStr">
        <is>
          <t>20231003</t>
        </is>
      </c>
      <c r="P590" t="inlineStr">
        <is>
          <t>Kalimantan Tengah</t>
        </is>
      </c>
      <c r="Q590" t="inlineStr"/>
    </row>
    <row r="591">
      <c r="A591" t="inlineStr">
        <is>
          <t>RAJAWALI MITRA KONSULTAN</t>
        </is>
      </c>
      <c r="B591" t="inlineStr">
        <is>
          <t>Kota Jambi</t>
        </is>
      </c>
      <c r="C591" t="inlineStr">
        <is>
          <t>085267025526</t>
        </is>
      </c>
      <c r="D591" t="inlineStr">
        <is>
          <t>cv.rajawalimitrakonsultan@gmail.com</t>
        </is>
      </c>
      <c r="E591" t="inlineStr">
        <is>
          <t>https://lpjk.pu.go.id/search-badan-usaha-detail/UVF2T2d2cXo3V1lvN1dmR2J2cmg2UT09</t>
        </is>
      </c>
      <c r="F591" t="n">
        <v>6</v>
      </c>
      <c r="G591" t="inlineStr">
        <is>
          <t>RK001, RK002, RK003</t>
        </is>
      </c>
      <c r="H591" t="inlineStr">
        <is>
          <t>20 Februari 2020</t>
        </is>
      </c>
      <c r="I591" s="2" t="n">
        <v>46312</v>
      </c>
      <c r="J591" t="inlineStr">
        <is>
          <t>Disetujui</t>
        </is>
      </c>
      <c r="K591" t="n">
        <v>60</v>
      </c>
      <c r="L591" t="inlineStr">
        <is>
          <t>17 Oktober 2026</t>
        </is>
      </c>
      <c r="M591" t="inlineStr">
        <is>
          <t>Jasa Rekayasa Konstruksi Bangunan Gedung Hunian dan Non Hunian, Jasa Rekayasa Pekerjaan Teknik Sipil Sumber Daya Air, Jasa Rekayasa Pekerjaan Teknik Sipil Transportasi</t>
        </is>
      </c>
      <c r="N591" t="inlineStr">
        <is>
          <t>K</t>
        </is>
      </c>
      <c r="O591" t="inlineStr">
        <is>
          <t>20230928, 20230929</t>
        </is>
      </c>
      <c r="P591" t="inlineStr">
        <is>
          <t>Jambi</t>
        </is>
      </c>
      <c r="Q591" t="inlineStr"/>
    </row>
    <row r="592">
      <c r="A592" t="inlineStr">
        <is>
          <t>RAKA JAYA</t>
        </is>
      </c>
      <c r="B592" t="inlineStr">
        <is>
          <t>Kab. Sleman</t>
        </is>
      </c>
      <c r="C592" t="inlineStr">
        <is>
          <t>0817265163</t>
        </is>
      </c>
      <c r="D592" t="inlineStr">
        <is>
          <t>cv_rakajaya@yahoo.co.id</t>
        </is>
      </c>
      <c r="E592" t="inlineStr">
        <is>
          <t>https://lpjk.pu.go.id/search-badan-usaha-detail/V2dHZExoTGd5NWRqTDJ3VWVyR2IwQT09</t>
        </is>
      </c>
      <c r="F592" t="n">
        <v>4</v>
      </c>
      <c r="G592" t="inlineStr">
        <is>
          <t>BG002, BG006, BS002, BS004</t>
        </is>
      </c>
      <c r="H592" t="inlineStr">
        <is>
          <t>5 Oktober 2010</t>
        </is>
      </c>
      <c r="I592" s="2" t="n">
        <v>46307</v>
      </c>
      <c r="J592" t="inlineStr">
        <is>
          <t>Disetujui, Pencabutan</t>
        </is>
      </c>
      <c r="K592" t="n">
        <v>60</v>
      </c>
      <c r="L592" t="inlineStr">
        <is>
          <t>12 Oktober 2026</t>
        </is>
      </c>
      <c r="M592" t="inlineStr">
        <is>
          <t>Bangunan Sipil Jembatan, Jalan Layang, Fly Over, dan Underpass, Konstruksi Gedung Pendidikan, Konstruksi Gedung Perkantoran, Konstruksi Jaringan Irigasi dan Drainase</t>
        </is>
      </c>
      <c r="N592" t="inlineStr">
        <is>
          <t>K</t>
        </is>
      </c>
      <c r="O592" t="inlineStr">
        <is>
          <t>20231012</t>
        </is>
      </c>
      <c r="P592" t="inlineStr">
        <is>
          <t>DI Yogyakarta</t>
        </is>
      </c>
      <c r="Q592" t="inlineStr"/>
    </row>
    <row r="593">
      <c r="A593" t="inlineStr">
        <is>
          <t>RAMA PUTERA JAYA</t>
        </is>
      </c>
      <c r="B593" t="inlineStr">
        <is>
          <t>Kab. Majalengka</t>
        </is>
      </c>
      <c r="C593" t="inlineStr">
        <is>
          <t>081321927350</t>
        </is>
      </c>
      <c r="D593" t="inlineStr">
        <is>
          <t>ramaputrajaya09@gmail.com</t>
        </is>
      </c>
      <c r="E593" t="inlineStr">
        <is>
          <t>https://lpjk.pu.go.id/search-badan-usaha-detail/OGRPMy9tSGZNZllKWlNhYkJITXFWZz09</t>
        </is>
      </c>
      <c r="F593" t="n">
        <v>2</v>
      </c>
      <c r="G593" t="inlineStr">
        <is>
          <t>BS001, BS004</t>
        </is>
      </c>
      <c r="H593" t="inlineStr">
        <is>
          <t>24 Januari 1996</t>
        </is>
      </c>
      <c r="I593" s="2" t="n">
        <v>46313</v>
      </c>
      <c r="J593" t="inlineStr">
        <is>
          <t>Disetujui</t>
        </is>
      </c>
      <c r="K593" t="n">
        <v>60</v>
      </c>
      <c r="L593" t="inlineStr">
        <is>
          <t>18 Oktober 2026</t>
        </is>
      </c>
      <c r="M593" t="inlineStr">
        <is>
          <t>Konstruksi Bangunan Sipil Jalan, Konstruksi Jaringan Irigasi dan Drainase</t>
        </is>
      </c>
      <c r="N593" t="inlineStr">
        <is>
          <t>K</t>
        </is>
      </c>
      <c r="O593" t="inlineStr">
        <is>
          <t>20231016</t>
        </is>
      </c>
      <c r="P593" t="inlineStr">
        <is>
          <t>Jawa Barat</t>
        </is>
      </c>
      <c r="Q593" t="inlineStr"/>
    </row>
    <row r="594">
      <c r="A594" t="inlineStr">
        <is>
          <t>RANCANGAN KARYA WIJAYA</t>
        </is>
      </c>
      <c r="B594" t="inlineStr">
        <is>
          <t>Kota Adm. Jakarta Selatan</t>
        </is>
      </c>
      <c r="C594" t="inlineStr">
        <is>
          <t>081322222738</t>
        </is>
      </c>
      <c r="D594" t="inlineStr">
        <is>
          <t>rancangankaryawijaya@gmail.com</t>
        </is>
      </c>
      <c r="E594" t="inlineStr">
        <is>
          <t>https://lpjk.pu.go.id/search-badan-usaha-detail/Mi9wQkllbCtPbXZZNW1zMXZHRE9lUT09</t>
        </is>
      </c>
      <c r="F594" t="n">
        <v>4</v>
      </c>
      <c r="G594" t="inlineStr">
        <is>
          <t>BG001, BG004</t>
        </is>
      </c>
      <c r="H594" t="inlineStr">
        <is>
          <t>8 Juni 2023</t>
        </is>
      </c>
      <c r="I594" s="2" t="n">
        <v>46311</v>
      </c>
      <c r="J594" t="inlineStr">
        <is>
          <t>Disetujui</t>
        </is>
      </c>
      <c r="K594" t="n">
        <v>60</v>
      </c>
      <c r="L594" t="inlineStr">
        <is>
          <t>16 Oktober 2026</t>
        </is>
      </c>
      <c r="M594" t="inlineStr">
        <is>
          <t>Konstruksi Gedung Hunian, Konstruksi Gedung Perbelanjaan</t>
        </is>
      </c>
      <c r="N594" t="inlineStr">
        <is>
          <t>K</t>
        </is>
      </c>
      <c r="O594" t="inlineStr">
        <is>
          <t>20231010, 20231016</t>
        </is>
      </c>
      <c r="P594" t="inlineStr">
        <is>
          <t>DKI Jakarta</t>
        </is>
      </c>
      <c r="Q594" t="inlineStr"/>
    </row>
    <row r="595">
      <c r="A595" t="inlineStr">
        <is>
          <t>RAPIMIX</t>
        </is>
      </c>
      <c r="B595" t="inlineStr">
        <is>
          <t>Kota Medan</t>
        </is>
      </c>
      <c r="C595" t="inlineStr">
        <is>
          <t>081311335858</t>
        </is>
      </c>
      <c r="D595" t="inlineStr">
        <is>
          <t>cvrapimix32@gmail.com</t>
        </is>
      </c>
      <c r="E595" t="inlineStr">
        <is>
          <t>https://lpjk.pu.go.id/search-badan-usaha-detail/RDVoRVEyTHlDUHJXelpTd2NBQzllaU51VmVvc2hHV0tqMHdtaUxoQ2J5dz0</t>
        </is>
      </c>
      <c r="F595" t="n">
        <v>2</v>
      </c>
      <c r="G595" t="inlineStr">
        <is>
          <t>BS001, BS002</t>
        </is>
      </c>
      <c r="H595" t="inlineStr">
        <is>
          <t>19 Januari 2026</t>
        </is>
      </c>
      <c r="I595" s="2" t="n">
        <v>46312</v>
      </c>
      <c r="J595" t="inlineStr">
        <is>
          <t>Disetujui</t>
        </is>
      </c>
      <c r="K595" t="n">
        <v>60</v>
      </c>
      <c r="L595" t="inlineStr">
        <is>
          <t>17 Oktober 2026</t>
        </is>
      </c>
      <c r="M595" t="inlineStr">
        <is>
          <t>Bangunan Sipil Jembatan, Jalan Layang, Fly Over, dan Underpass, Konstruksi Bangunan Sipil Jalan</t>
        </is>
      </c>
      <c r="N595" t="inlineStr">
        <is>
          <t>K</t>
        </is>
      </c>
      <c r="O595" t="inlineStr">
        <is>
          <t>20231012</t>
        </is>
      </c>
      <c r="P595" t="inlineStr">
        <is>
          <t>Sumatera Utara</t>
        </is>
      </c>
      <c r="Q595" t="inlineStr"/>
    </row>
    <row r="596">
      <c r="A596" t="inlineStr">
        <is>
          <t>RATU SUMBER MAKMUR</t>
        </is>
      </c>
      <c r="B596" t="inlineStr">
        <is>
          <t>Kota Bandar Lampung</t>
        </is>
      </c>
      <c r="C596" t="inlineStr">
        <is>
          <t>082281337001</t>
        </is>
      </c>
      <c r="D596" t="inlineStr">
        <is>
          <t>makmurptratusumber@gmail.com</t>
        </is>
      </c>
      <c r="E596" t="inlineStr">
        <is>
          <t>https://lpjk.pu.go.id/search-badan-usaha-detail/eEEvbEd5MHNQK2ttaGo3TVdpZDZVdz09</t>
        </is>
      </c>
      <c r="F596" t="n">
        <v>1</v>
      </c>
      <c r="G596" t="inlineStr">
        <is>
          <t>BG002</t>
        </is>
      </c>
      <c r="H596" t="inlineStr">
        <is>
          <t>23 September 2023</t>
        </is>
      </c>
      <c r="I596" s="2" t="n">
        <v>46313</v>
      </c>
      <c r="J596" t="inlineStr">
        <is>
          <t>Disetujui</t>
        </is>
      </c>
      <c r="K596" t="n">
        <v>60</v>
      </c>
      <c r="L596" t="inlineStr">
        <is>
          <t>18 Oktober 2026</t>
        </is>
      </c>
      <c r="M596" t="inlineStr">
        <is>
          <t>Konstruksi Gedung Perkantoran</t>
        </is>
      </c>
      <c r="N596" t="inlineStr">
        <is>
          <t>K</t>
        </is>
      </c>
      <c r="O596" t="inlineStr">
        <is>
          <t>20231018</t>
        </is>
      </c>
      <c r="P596" t="inlineStr">
        <is>
          <t>Lampung</t>
        </is>
      </c>
      <c r="Q596" t="inlineStr"/>
    </row>
    <row r="597">
      <c r="A597" t="inlineStr">
        <is>
          <t>RAYHAN PUTRA PERDANA</t>
        </is>
      </c>
      <c r="B597" t="inlineStr">
        <is>
          <t>Kota Bandar Lampung</t>
        </is>
      </c>
      <c r="C597" t="inlineStr">
        <is>
          <t>081379243166</t>
        </is>
      </c>
      <c r="D597" t="inlineStr">
        <is>
          <t>rayhanputraperdana.pt@yahoo.com</t>
        </is>
      </c>
      <c r="E597" t="inlineStr">
        <is>
          <t>https://lpjk.pu.go.id/search-badan-usaha-detail/djcvaTcwdlBGTkEvRXZTWVN4SHdoZz09</t>
        </is>
      </c>
      <c r="F597" t="n">
        <v>2</v>
      </c>
      <c r="G597" t="inlineStr">
        <is>
          <t>BS004, BS010</t>
        </is>
      </c>
      <c r="H597" t="inlineStr">
        <is>
          <t>30 Januari 1990</t>
        </is>
      </c>
      <c r="I597" s="2" t="n">
        <v>46312</v>
      </c>
      <c r="J597" t="inlineStr">
        <is>
          <t>Disetujui</t>
        </is>
      </c>
      <c r="K597" t="n">
        <v>60</v>
      </c>
      <c r="L597" t="inlineStr">
        <is>
          <t>17 Oktober 2026</t>
        </is>
      </c>
      <c r="M597" t="inlineStr">
        <is>
          <t>Konstruksi Bangunan Prasarana Sumber Daya Air, Konstruksi Jaringan Irigasi dan Drainase</t>
        </is>
      </c>
      <c r="N597" t="inlineStr">
        <is>
          <t>M</t>
        </is>
      </c>
      <c r="O597" t="inlineStr">
        <is>
          <t>20231006</t>
        </is>
      </c>
      <c r="P597" t="inlineStr">
        <is>
          <t>Lampung</t>
        </is>
      </c>
      <c r="Q597" t="inlineStr"/>
    </row>
    <row r="598">
      <c r="A598" t="inlineStr">
        <is>
          <t>REKA CIPTA INOVASI</t>
        </is>
      </c>
      <c r="B598" t="inlineStr">
        <is>
          <t>Kota Medan</t>
        </is>
      </c>
      <c r="C598" t="inlineStr">
        <is>
          <t>0618086220</t>
        </is>
      </c>
      <c r="D598" t="inlineStr">
        <is>
          <t>arridhan.pranoto1@gmail.com</t>
        </is>
      </c>
      <c r="E598" t="inlineStr">
        <is>
          <t>https://lpjk.pu.go.id/search-badan-usaha-detail/RkRmeHc0b3Y0eGx3S2xWNHBranBXdz09</t>
        </is>
      </c>
      <c r="F598" t="n">
        <v>1</v>
      </c>
      <c r="G598" t="inlineStr">
        <is>
          <t>PL007</t>
        </is>
      </c>
      <c r="H598" t="inlineStr">
        <is>
          <t>30 November 2018</t>
        </is>
      </c>
      <c r="I598" s="2" t="n">
        <v>46311</v>
      </c>
      <c r="J598" t="inlineStr">
        <is>
          <t>Pencabutan</t>
        </is>
      </c>
      <c r="K598" t="n">
        <v>60</v>
      </c>
      <c r="L598" t="inlineStr">
        <is>
          <t>16 Oktober 2026</t>
        </is>
      </c>
      <c r="M598" t="inlineStr">
        <is>
          <t>Survei Penyelidikan Lapangan</t>
        </is>
      </c>
      <c r="N598" t="inlineStr">
        <is>
          <t>Spesialis</t>
        </is>
      </c>
      <c r="O598" t="inlineStr">
        <is>
          <t>20231010</t>
        </is>
      </c>
      <c r="P598" t="inlineStr">
        <is>
          <t>Sumatera Utara</t>
        </is>
      </c>
      <c r="Q598" t="inlineStr"/>
    </row>
    <row r="599">
      <c r="A599" t="inlineStr">
        <is>
          <t>REKA LARAS MULIA</t>
        </is>
      </c>
      <c r="B599" t="inlineStr">
        <is>
          <t>Kota Adm. Jakarta Selatan</t>
        </is>
      </c>
      <c r="C599" t="inlineStr">
        <is>
          <t>081318844508</t>
        </is>
      </c>
      <c r="D599" t="inlineStr">
        <is>
          <t>ptrekalarasmulia@gmail.com</t>
        </is>
      </c>
      <c r="E599" t="inlineStr">
        <is>
          <t>https://lpjk.pu.go.id/search-badan-usaha-detail/SWtyVU5DS2lqbHlkcktyUDhUR2ZSdz09</t>
        </is>
      </c>
      <c r="F599" t="n">
        <v>1</v>
      </c>
      <c r="G599" t="inlineStr">
        <is>
          <t>BS001</t>
        </is>
      </c>
      <c r="H599" t="inlineStr">
        <is>
          <t>20 Juli 2023</t>
        </is>
      </c>
      <c r="I599" s="2" t="n">
        <v>46308</v>
      </c>
      <c r="J599" t="inlineStr">
        <is>
          <t>Disetujui</t>
        </is>
      </c>
      <c r="K599" t="n">
        <v>60</v>
      </c>
      <c r="L599" t="inlineStr">
        <is>
          <t>13 Oktober 2026</t>
        </is>
      </c>
      <c r="M599" t="inlineStr">
        <is>
          <t>Konstruksi Bangunan Sipil Jalan</t>
        </is>
      </c>
      <c r="N599" t="inlineStr">
        <is>
          <t>K</t>
        </is>
      </c>
      <c r="O599" t="inlineStr">
        <is>
          <t>20231013</t>
        </is>
      </c>
      <c r="P599" t="inlineStr">
        <is>
          <t>DKI Jakarta</t>
        </is>
      </c>
      <c r="Q599" t="inlineStr"/>
    </row>
    <row r="600">
      <c r="A600" t="inlineStr">
        <is>
          <t>REKAYASA UTAMA</t>
        </is>
      </c>
      <c r="B600" t="inlineStr">
        <is>
          <t>Kab. Tabanan</t>
        </is>
      </c>
      <c r="C600" t="inlineStr">
        <is>
          <t>0361814164</t>
        </is>
      </c>
      <c r="D600" t="inlineStr">
        <is>
          <t>rekayasautamautama@yahoo.co.id</t>
        </is>
      </c>
      <c r="E600" t="inlineStr">
        <is>
          <t>https://lpjk.pu.go.id/search-badan-usaha-detail/ci9sQWlnTjBHUGo1aGI0bFN5Z0VOZz09</t>
        </is>
      </c>
      <c r="F600" t="n">
        <v>2</v>
      </c>
      <c r="G600" t="inlineStr">
        <is>
          <t>BS001</t>
        </is>
      </c>
      <c r="H600" t="inlineStr">
        <is>
          <t>23 Juni 1994</t>
        </is>
      </c>
      <c r="I600" s="2" t="n">
        <v>46310</v>
      </c>
      <c r="J600" t="inlineStr">
        <is>
          <t>Disetujui</t>
        </is>
      </c>
      <c r="K600" t="n">
        <v>60</v>
      </c>
      <c r="L600" t="inlineStr">
        <is>
          <t>15 Oktober 2026</t>
        </is>
      </c>
      <c r="M600" t="inlineStr">
        <is>
          <t>Konstruksi Bangunan Sipil Jalan</t>
        </is>
      </c>
      <c r="N600" t="inlineStr">
        <is>
          <t>K</t>
        </is>
      </c>
      <c r="O600" t="inlineStr">
        <is>
          <t>20231011</t>
        </is>
      </c>
      <c r="P600" t="inlineStr">
        <is>
          <t>Bali</t>
        </is>
      </c>
      <c r="Q600" t="inlineStr"/>
    </row>
    <row r="601">
      <c r="A601" t="inlineStr">
        <is>
          <t>REKSA ABADI BERSAMA</t>
        </is>
      </c>
      <c r="B601" t="inlineStr">
        <is>
          <t>Kab. Sidoarjo</t>
        </is>
      </c>
      <c r="C601" t="inlineStr">
        <is>
          <t>081938400978</t>
        </is>
      </c>
      <c r="D601" t="inlineStr">
        <is>
          <t>reksaabadigroup@yahoo.co.id</t>
        </is>
      </c>
      <c r="E601" t="inlineStr">
        <is>
          <t>https://lpjk.pu.go.id/search-badan-usaha-detail/eDk2RkFBbVpvZ3VVc1IzRmFQRnh4Zz09</t>
        </is>
      </c>
      <c r="F601" t="n">
        <v>1</v>
      </c>
      <c r="G601" t="inlineStr">
        <is>
          <t>BS004</t>
        </is>
      </c>
      <c r="H601" t="inlineStr">
        <is>
          <t>6 Agustus 2014</t>
        </is>
      </c>
      <c r="I601" s="2" t="n">
        <v>46313</v>
      </c>
      <c r="J601" t="inlineStr">
        <is>
          <t>Disetujui</t>
        </is>
      </c>
      <c r="K601" t="n">
        <v>60</v>
      </c>
      <c r="L601" t="inlineStr">
        <is>
          <t>18 Oktober 2026</t>
        </is>
      </c>
      <c r="M601" t="inlineStr">
        <is>
          <t>Konstruksi Jaringan Irigasi dan Drainase</t>
        </is>
      </c>
      <c r="N601" t="inlineStr">
        <is>
          <t>K</t>
        </is>
      </c>
      <c r="O601" t="inlineStr">
        <is>
          <t>20231017</t>
        </is>
      </c>
      <c r="P601" t="inlineStr">
        <is>
          <t>Jawa Timur</t>
        </is>
      </c>
      <c r="Q601" t="inlineStr"/>
    </row>
    <row r="602">
      <c r="A602" t="inlineStr">
        <is>
          <t>RESTU BUMI</t>
        </is>
      </c>
      <c r="B602" t="inlineStr">
        <is>
          <t>Kab. Kudus</t>
        </is>
      </c>
      <c r="C602" t="inlineStr">
        <is>
          <t>085226694491</t>
        </is>
      </c>
      <c r="D602" t="inlineStr">
        <is>
          <t>restu_bumicv@yahoo.com</t>
        </is>
      </c>
      <c r="E602" t="inlineStr">
        <is>
          <t>https://lpjk.pu.go.id/search-badan-usaha-detail/M1NZMkgwb0svQklCNWlIWTlaQ3JFN3RQcTNoTXZaZTI5d2FUTVpuUlNrST0</t>
        </is>
      </c>
      <c r="F602" t="n">
        <v>4</v>
      </c>
      <c r="G602" t="inlineStr">
        <is>
          <t>BG005, BG009, BS001, BS004</t>
        </is>
      </c>
      <c r="H602" t="inlineStr">
        <is>
          <t>12 Agustus 2025</t>
        </is>
      </c>
      <c r="I602" s="2" t="n">
        <v>46308</v>
      </c>
      <c r="J602" t="inlineStr">
        <is>
          <t>Disetujui</t>
        </is>
      </c>
      <c r="K602" t="n">
        <v>60</v>
      </c>
      <c r="L602" t="inlineStr">
        <is>
          <t>13 Oktober 2026</t>
        </is>
      </c>
      <c r="M602" t="inlineStr">
        <is>
          <t>Konstruksi Bangunan Sipil Jalan, Konstruksi Gedung Kesehatan, Konstruksi Gedung Lainnya, Konstruksi Jaringan Irigasi dan Drainase</t>
        </is>
      </c>
      <c r="N602" t="inlineStr">
        <is>
          <t>K</t>
        </is>
      </c>
      <c r="O602" t="inlineStr">
        <is>
          <t>20231013</t>
        </is>
      </c>
      <c r="P602" t="inlineStr">
        <is>
          <t>Jawa Tengah</t>
        </is>
      </c>
      <c r="Q602" t="inlineStr"/>
    </row>
    <row r="603">
      <c r="A603" t="inlineStr">
        <is>
          <t>REVORMA NUSATAMA ABADI</t>
        </is>
      </c>
      <c r="B603" t="inlineStr">
        <is>
          <t>Kota Samarinda</t>
        </is>
      </c>
      <c r="C603" t="inlineStr">
        <is>
          <t>081377549777</t>
        </is>
      </c>
      <c r="D603" t="inlineStr">
        <is>
          <t>revormanusatama.abadi@gmail.com</t>
        </is>
      </c>
      <c r="E603" t="inlineStr">
        <is>
          <t>https://lpjk.pu.go.id/search-badan-usaha-detail/VXFTN3hBOTB2KzBOcFpLT05BMjh3Zz09</t>
        </is>
      </c>
      <c r="F603" t="n">
        <v>1</v>
      </c>
      <c r="G603" t="inlineStr">
        <is>
          <t>BS010</t>
        </is>
      </c>
      <c r="H603" t="inlineStr">
        <is>
          <t>23 Maret 2020</t>
        </is>
      </c>
      <c r="I603" s="2" t="n">
        <v>46308</v>
      </c>
      <c r="J603" t="inlineStr">
        <is>
          <t>Disetujui</t>
        </is>
      </c>
      <c r="K603" t="n">
        <v>60</v>
      </c>
      <c r="L603" t="inlineStr">
        <is>
          <t>13 Oktober 2026</t>
        </is>
      </c>
      <c r="M603" t="inlineStr">
        <is>
          <t>Konstruksi Bangunan Prasarana Sumber Daya Air</t>
        </is>
      </c>
      <c r="N603" t="inlineStr">
        <is>
          <t>K</t>
        </is>
      </c>
      <c r="O603" t="inlineStr">
        <is>
          <t>20231014</t>
        </is>
      </c>
      <c r="P603" t="inlineStr">
        <is>
          <t>Kalimantan Timur</t>
        </is>
      </c>
      <c r="Q603" t="inlineStr"/>
    </row>
    <row r="604">
      <c r="A604" t="inlineStr">
        <is>
          <t>REYHAN PUTRA PERKASA</t>
        </is>
      </c>
      <c r="B604" t="inlineStr">
        <is>
          <t>Kota Banjarmasin</t>
        </is>
      </c>
      <c r="C604" t="inlineStr">
        <is>
          <t>085251622999</t>
        </is>
      </c>
      <c r="D604" t="inlineStr">
        <is>
          <t>cvreyhanputrap@gmail.com</t>
        </is>
      </c>
      <c r="E604" t="inlineStr">
        <is>
          <t>https://lpjk.pu.go.id/search-badan-usaha-detail/dXlOSTZuNXZWU2lNWlJlY0xEVldJZz09</t>
        </is>
      </c>
      <c r="F604" t="n">
        <v>1</v>
      </c>
      <c r="G604" t="inlineStr">
        <is>
          <t>BS002</t>
        </is>
      </c>
      <c r="H604" t="inlineStr">
        <is>
          <t>23 Oktober 2021</t>
        </is>
      </c>
      <c r="I604" s="2" t="n">
        <v>46308</v>
      </c>
      <c r="J604" t="inlineStr">
        <is>
          <t>Disetujui</t>
        </is>
      </c>
      <c r="K604" t="n">
        <v>60</v>
      </c>
      <c r="L604" t="inlineStr">
        <is>
          <t>13 Oktober 2026</t>
        </is>
      </c>
      <c r="M604" t="inlineStr">
        <is>
          <t>Bangunan Sipil Jembatan, Jalan Layang, Fly Over, dan Underpass</t>
        </is>
      </c>
      <c r="N604" t="inlineStr">
        <is>
          <t>K</t>
        </is>
      </c>
      <c r="O604" t="inlineStr">
        <is>
          <t>20231012</t>
        </is>
      </c>
      <c r="P604" t="inlineStr">
        <is>
          <t>Kalimantan Selatan</t>
        </is>
      </c>
      <c r="Q604" t="inlineStr"/>
    </row>
    <row r="605">
      <c r="A605" t="inlineStr">
        <is>
          <t>REZKY UTAMA KONSTRUKSI</t>
        </is>
      </c>
      <c r="B605" t="inlineStr">
        <is>
          <t>Kab. Nunukan</t>
        </is>
      </c>
      <c r="C605" t="inlineStr">
        <is>
          <t>081347474023</t>
        </is>
      </c>
      <c r="D605" t="inlineStr">
        <is>
          <t>rezkyutamakonstruksi@yahoo.com</t>
        </is>
      </c>
      <c r="E605" t="inlineStr">
        <is>
          <t>https://lpjk.pu.go.id/search-badan-usaha-detail/WENZZWVzK2tCckxEdmtqalRzTWpOQT09</t>
        </is>
      </c>
      <c r="F605" t="n">
        <v>5</v>
      </c>
      <c r="G605" t="inlineStr">
        <is>
          <t>BG001, BG002, BG005, BG006, BG009</t>
        </is>
      </c>
      <c r="H605" t="inlineStr">
        <is>
          <t>15 November 2019</t>
        </is>
      </c>
      <c r="I605" s="2" t="n">
        <v>46307</v>
      </c>
      <c r="J605" t="inlineStr">
        <is>
          <t>Disetujui</t>
        </is>
      </c>
      <c r="K605" t="n">
        <v>60</v>
      </c>
      <c r="L605" t="inlineStr">
        <is>
          <t>12 Oktober 2026</t>
        </is>
      </c>
      <c r="M605" t="inlineStr">
        <is>
          <t>Konstruksi Gedung Hunian, Konstruksi Gedung Kesehatan, Konstruksi Gedung Lainnya, Konstruksi Gedung Pendidikan, Konstruksi Gedung Perkantoran</t>
        </is>
      </c>
      <c r="N605" t="inlineStr">
        <is>
          <t>K</t>
        </is>
      </c>
      <c r="O605" t="inlineStr">
        <is>
          <t>20231009</t>
        </is>
      </c>
      <c r="P605" t="inlineStr">
        <is>
          <t>Kalimantan Utara</t>
        </is>
      </c>
      <c r="Q605" t="inlineStr"/>
    </row>
    <row r="606">
      <c r="A606" t="inlineStr">
        <is>
          <t>RIANA PUTRA ABADI</t>
        </is>
      </c>
      <c r="B606" t="inlineStr">
        <is>
          <t>Kota Palangkaraya</t>
        </is>
      </c>
      <c r="C606" t="inlineStr">
        <is>
          <t>082255518888</t>
        </is>
      </c>
      <c r="D606" t="inlineStr">
        <is>
          <t>ptrianaputrabiaslayar@gmail.com</t>
        </is>
      </c>
      <c r="E606" t="inlineStr">
        <is>
          <t>https://lpjk.pu.go.id/search-badan-usaha-detail/YlRpN25oanpnSnVyMkIyTWExTTc1UT09</t>
        </is>
      </c>
      <c r="F606" t="n">
        <v>3</v>
      </c>
      <c r="G606" t="inlineStr">
        <is>
          <t>BS001, BS002, BS004</t>
        </is>
      </c>
      <c r="H606" t="inlineStr">
        <is>
          <t>7 Agustus 2010</t>
        </is>
      </c>
      <c r="I606" s="2" t="n">
        <v>46311</v>
      </c>
      <c r="J606" t="inlineStr">
        <is>
          <t>Pencabutan</t>
        </is>
      </c>
      <c r="K606" t="n">
        <v>60</v>
      </c>
      <c r="L606" t="inlineStr">
        <is>
          <t>16 Oktober 2026</t>
        </is>
      </c>
      <c r="M606" t="inlineStr">
        <is>
          <t>Bangunan Sipil Jembatan, Jalan Layang, Fly Over, dan Underpass, Konstruksi Bangunan Sipil Jalan, Konstruksi Jaringan Irigasi dan Drainase</t>
        </is>
      </c>
      <c r="N606" t="inlineStr">
        <is>
          <t>K, M</t>
        </is>
      </c>
      <c r="O606" t="inlineStr">
        <is>
          <t>20231017</t>
        </is>
      </c>
      <c r="P606" t="inlineStr">
        <is>
          <t>Kalimantan Tengah</t>
        </is>
      </c>
      <c r="Q606" t="inlineStr"/>
    </row>
    <row r="607">
      <c r="A607" t="inlineStr">
        <is>
          <t>RIZKA SYABILA</t>
        </is>
      </c>
      <c r="B607" t="inlineStr">
        <is>
          <t>Kab. Hulu Sungai Utara</t>
        </is>
      </c>
      <c r="C607" t="inlineStr">
        <is>
          <t>085248263663</t>
        </is>
      </c>
      <c r="D607" t="inlineStr">
        <is>
          <t>cvrizkasyabila7@gmail.com</t>
        </is>
      </c>
      <c r="E607" t="inlineStr">
        <is>
          <t>https://lpjk.pu.go.id/search-badan-usaha-detail/dmF6d1RocC9lODJRdDY3SWZ6ejBZUT09</t>
        </is>
      </c>
      <c r="F607" t="n">
        <v>2</v>
      </c>
      <c r="G607" t="inlineStr">
        <is>
          <t>BS001, BS004</t>
        </is>
      </c>
      <c r="H607" t="inlineStr">
        <is>
          <t>4 Mei 2015</t>
        </is>
      </c>
      <c r="I607" s="2" t="n">
        <v>46311</v>
      </c>
      <c r="J607" t="inlineStr">
        <is>
          <t>Disetujui</t>
        </is>
      </c>
      <c r="K607" t="n">
        <v>60</v>
      </c>
      <c r="L607" t="inlineStr">
        <is>
          <t>16 Oktober 2026</t>
        </is>
      </c>
      <c r="M607" t="inlineStr">
        <is>
          <t>Konstruksi Bangunan Sipil Jalan, Konstruksi Jaringan Irigasi dan Drainase</t>
        </is>
      </c>
      <c r="N607" t="inlineStr">
        <is>
          <t>K</t>
        </is>
      </c>
      <c r="O607" t="inlineStr">
        <is>
          <t>20231013</t>
        </is>
      </c>
      <c r="P607" t="inlineStr">
        <is>
          <t>Kalimantan Selatan</t>
        </is>
      </c>
      <c r="Q607" t="inlineStr"/>
    </row>
    <row r="608">
      <c r="A608" t="inlineStr">
        <is>
          <t>RIZKI AGUNG</t>
        </is>
      </c>
      <c r="B608" t="inlineStr">
        <is>
          <t>Kab. Gunungkidul</t>
        </is>
      </c>
      <c r="C608" t="inlineStr">
        <is>
          <t>0811295198</t>
        </is>
      </c>
      <c r="D608" t="inlineStr">
        <is>
          <t>cvrizki_agung@yahoo.co.id</t>
        </is>
      </c>
      <c r="E608" t="inlineStr">
        <is>
          <t>https://lpjk.pu.go.id/search-badan-usaha-detail/czBSTDdOSlZzTzNqYUVrNnd2VW9Gdz09</t>
        </is>
      </c>
      <c r="F608" t="n">
        <v>1</v>
      </c>
      <c r="G608" t="inlineStr">
        <is>
          <t>BS001</t>
        </is>
      </c>
      <c r="H608" t="inlineStr">
        <is>
          <t>8 Januari 2008</t>
        </is>
      </c>
      <c r="I608" s="2" t="n">
        <v>46308</v>
      </c>
      <c r="J608" t="inlineStr">
        <is>
          <t>Disetujui</t>
        </is>
      </c>
      <c r="K608" t="n">
        <v>60</v>
      </c>
      <c r="L608" t="inlineStr">
        <is>
          <t>13 Oktober 2026</t>
        </is>
      </c>
      <c r="M608" t="inlineStr">
        <is>
          <t>Konstruksi Bangunan Sipil Jalan</t>
        </is>
      </c>
      <c r="N608" t="inlineStr">
        <is>
          <t>K</t>
        </is>
      </c>
      <c r="O608" t="inlineStr">
        <is>
          <t>20231011</t>
        </is>
      </c>
      <c r="P608" t="inlineStr">
        <is>
          <t>DI Yogyakarta</t>
        </is>
      </c>
      <c r="Q608" t="inlineStr"/>
    </row>
    <row r="609">
      <c r="A609" t="inlineStr">
        <is>
          <t>ROMIZA</t>
        </is>
      </c>
      <c r="B609" t="inlineStr">
        <is>
          <t>Kota Tasikmalaya</t>
        </is>
      </c>
      <c r="C609" t="inlineStr">
        <is>
          <t>0895383179802</t>
        </is>
      </c>
      <c r="D609" t="inlineStr">
        <is>
          <t>1.romiza.cv@gmail.com</t>
        </is>
      </c>
      <c r="E609" t="inlineStr">
        <is>
          <t>https://lpjk.pu.go.id/search-badan-usaha-detail/VFdxMnRzRnVyOVZlYTl1ckYwOStwQT09</t>
        </is>
      </c>
      <c r="F609" t="n">
        <v>6</v>
      </c>
      <c r="G609" t="inlineStr">
        <is>
          <t>BG001, BG004, BG005, BG006, BG009</t>
        </is>
      </c>
      <c r="H609" t="inlineStr">
        <is>
          <t>16 Agustus 2011</t>
        </is>
      </c>
      <c r="I609" s="2" t="n">
        <v>46307</v>
      </c>
      <c r="J609" t="inlineStr">
        <is>
          <t>Disetujui</t>
        </is>
      </c>
      <c r="K609" t="n">
        <v>60</v>
      </c>
      <c r="L609" t="inlineStr">
        <is>
          <t>12 Oktober 2026</t>
        </is>
      </c>
      <c r="M609" t="inlineStr">
        <is>
          <t>Konstruksi Gedung Hunian, Konstruksi Gedung Kesehatan, Konstruksi Gedung Lainnya, Konstruksi Gedung Pendidikan, Konstruksi Gedung Perbelanjaan</t>
        </is>
      </c>
      <c r="N609" t="inlineStr">
        <is>
          <t>K</t>
        </is>
      </c>
      <c r="O609" t="inlineStr">
        <is>
          <t>20230920</t>
        </is>
      </c>
      <c r="P609" t="inlineStr">
        <is>
          <t>Jawa Barat</t>
        </is>
      </c>
      <c r="Q609" t="inlineStr"/>
    </row>
    <row r="610">
      <c r="A610" t="inlineStr">
        <is>
          <t>SADA BORNAS</t>
        </is>
      </c>
      <c r="B610" t="inlineStr">
        <is>
          <t>Kab. Deli Serdang</t>
        </is>
      </c>
      <c r="C610" t="inlineStr">
        <is>
          <t>081375966435</t>
        </is>
      </c>
      <c r="D610" t="inlineStr">
        <is>
          <t>sada.bornas12@gmail.com</t>
        </is>
      </c>
      <c r="E610" t="inlineStr">
        <is>
          <t>https://lpjk.pu.go.id/search-badan-usaha-detail/TFBEYVRuTTBHRXVxbGpWcDhGdGF4UT09</t>
        </is>
      </c>
      <c r="F610" t="n">
        <v>5</v>
      </c>
      <c r="G610" t="inlineStr">
        <is>
          <t>BS004, BS006</t>
        </is>
      </c>
      <c r="H610" t="inlineStr">
        <is>
          <t>15 Januari 2024</t>
        </is>
      </c>
      <c r="I610" s="2" t="n">
        <v>46312</v>
      </c>
      <c r="J610" t="inlineStr">
        <is>
          <t>Disetujui</t>
        </is>
      </c>
      <c r="K610" t="n">
        <v>60</v>
      </c>
      <c r="L610" t="inlineStr">
        <is>
          <t>17 Oktober 2026</t>
        </is>
      </c>
      <c r="M610" t="inlineStr">
        <is>
          <t>Konstruksi Bangunan Sipil Prasarana dan Sarana Sistem Pengolahan Limbah Padat, Cair, dan Gas, Konstruksi Jaringan Irigasi dan Drainase</t>
        </is>
      </c>
      <c r="N610" t="inlineStr">
        <is>
          <t>K</t>
        </is>
      </c>
      <c r="O610" t="inlineStr">
        <is>
          <t>20231003, 20231005</t>
        </is>
      </c>
      <c r="P610" t="inlineStr">
        <is>
          <t>Sumatera Utara</t>
        </is>
      </c>
      <c r="Q610" t="inlineStr"/>
    </row>
    <row r="611">
      <c r="A611" t="inlineStr">
        <is>
          <t>SAFANTRI</t>
        </is>
      </c>
      <c r="B611" t="inlineStr">
        <is>
          <t>Kab. Ende</t>
        </is>
      </c>
      <c r="C611" t="inlineStr">
        <is>
          <t>081261257828</t>
        </is>
      </c>
      <c r="D611" t="inlineStr">
        <is>
          <t>safantricv20@gmail.com</t>
        </is>
      </c>
      <c r="E611" t="inlineStr">
        <is>
          <t>https://lpjk.pu.go.id/search-badan-usaha-detail/Mm01LzNLTE4xS3RvcmdoNFZNYUJmQT09</t>
        </is>
      </c>
      <c r="F611" t="n">
        <v>1</v>
      </c>
      <c r="G611" t="inlineStr">
        <is>
          <t>BS004</t>
        </is>
      </c>
      <c r="H611" t="inlineStr">
        <is>
          <t>1 September 2020</t>
        </is>
      </c>
      <c r="I611" s="2" t="n">
        <v>46311</v>
      </c>
      <c r="J611" t="inlineStr">
        <is>
          <t>Disetujui</t>
        </is>
      </c>
      <c r="K611" t="n">
        <v>60</v>
      </c>
      <c r="L611" t="inlineStr">
        <is>
          <t>16 Oktober 2026</t>
        </is>
      </c>
      <c r="M611" t="inlineStr">
        <is>
          <t>Konstruksi Jaringan Irigasi dan Drainase</t>
        </is>
      </c>
      <c r="N611" t="inlineStr">
        <is>
          <t>K</t>
        </is>
      </c>
      <c r="O611" t="inlineStr">
        <is>
          <t>20231017</t>
        </is>
      </c>
      <c r="P611" t="inlineStr">
        <is>
          <t>Nusa Tenggara Timur</t>
        </is>
      </c>
      <c r="Q611" t="inlineStr"/>
    </row>
    <row r="612">
      <c r="A612" t="inlineStr">
        <is>
          <t>SAGITA ANDAL UTAMA</t>
        </is>
      </c>
      <c r="B612" t="inlineStr">
        <is>
          <t>Kab. Cirebon</t>
        </is>
      </c>
      <c r="C612" t="inlineStr">
        <is>
          <t>081223069993</t>
        </is>
      </c>
      <c r="D612" t="inlineStr">
        <is>
          <t>sagitaandalutama@yahoo.co.id</t>
        </is>
      </c>
      <c r="E612" t="inlineStr">
        <is>
          <t>https://lpjk.pu.go.id/search-badan-usaha-detail/OTFhaUd5WUxxeS9LeVJGdktqWmhjQT09</t>
        </is>
      </c>
      <c r="F612" t="n">
        <v>2</v>
      </c>
      <c r="G612" t="inlineStr">
        <is>
          <t>BG009, BS001</t>
        </is>
      </c>
      <c r="H612" t="inlineStr">
        <is>
          <t>23 Oktober 2002</t>
        </is>
      </c>
      <c r="I612" s="2" t="n">
        <v>46312</v>
      </c>
      <c r="J612" t="inlineStr">
        <is>
          <t>Disetujui</t>
        </is>
      </c>
      <c r="K612" t="n">
        <v>60</v>
      </c>
      <c r="L612" t="inlineStr">
        <is>
          <t>17 Oktober 2026</t>
        </is>
      </c>
      <c r="M612" t="inlineStr">
        <is>
          <t>Konstruksi Bangunan Sipil Jalan, Konstruksi Gedung Lainnya</t>
        </is>
      </c>
      <c r="N612" t="inlineStr">
        <is>
          <t>K</t>
        </is>
      </c>
      <c r="O612" t="inlineStr">
        <is>
          <t>20231017</t>
        </is>
      </c>
      <c r="P612" t="inlineStr">
        <is>
          <t>Jawa Barat</t>
        </is>
      </c>
      <c r="Q612" t="inlineStr"/>
    </row>
    <row r="613">
      <c r="A613" t="inlineStr">
        <is>
          <t>SAHABAT 02</t>
        </is>
      </c>
      <c r="B613" t="inlineStr">
        <is>
          <t>Kab. Melawi</t>
        </is>
      </c>
      <c r="C613" t="inlineStr">
        <is>
          <t>085252129881</t>
        </is>
      </c>
      <c r="D613" t="inlineStr">
        <is>
          <t>sahabatkota2@gmail.com</t>
        </is>
      </c>
      <c r="E613" t="inlineStr">
        <is>
          <t>https://lpjk.pu.go.id/search-badan-usaha-detail/anRRVnhYenhtb01tQ0d0Zzl1SkNBUT09</t>
        </is>
      </c>
      <c r="F613" t="n">
        <v>2</v>
      </c>
      <c r="G613" t="inlineStr">
        <is>
          <t>BS001, BS002</t>
        </is>
      </c>
      <c r="H613" t="inlineStr">
        <is>
          <t>20 Januari 2015</t>
        </is>
      </c>
      <c r="I613" s="2" t="n">
        <v>46308</v>
      </c>
      <c r="J613" t="inlineStr">
        <is>
          <t>Disetujui</t>
        </is>
      </c>
      <c r="K613" t="n">
        <v>60</v>
      </c>
      <c r="L613" t="inlineStr">
        <is>
          <t>13 Oktober 2026</t>
        </is>
      </c>
      <c r="M613" t="inlineStr">
        <is>
          <t>Bangunan Sipil Jembatan, Jalan Layang, Fly Over, dan Underpass, Konstruksi Bangunan Sipil Jalan</t>
        </is>
      </c>
      <c r="N613" t="inlineStr">
        <is>
          <t>K</t>
        </is>
      </c>
      <c r="O613" t="inlineStr">
        <is>
          <t>20231013</t>
        </is>
      </c>
      <c r="P613" t="inlineStr">
        <is>
          <t>Kalimantan Barat</t>
        </is>
      </c>
      <c r="Q613" t="inlineStr"/>
    </row>
    <row r="614">
      <c r="A614" t="inlineStr">
        <is>
          <t>SAHABAT KARYA MANDIRI</t>
        </is>
      </c>
      <c r="B614" t="inlineStr">
        <is>
          <t>Kota Pontianak</t>
        </is>
      </c>
      <c r="C614" t="inlineStr">
        <is>
          <t>08115771129</t>
        </is>
      </c>
      <c r="D614" t="inlineStr">
        <is>
          <t>cvsahabat81@gmail.com</t>
        </is>
      </c>
      <c r="E614" t="inlineStr">
        <is>
          <t>https://lpjk.pu.go.id/search-badan-usaha-detail/YkFhUzJKSEZNS2tJVER6U05kOFAzQT09</t>
        </is>
      </c>
      <c r="F614" t="n">
        <v>1</v>
      </c>
      <c r="G614" t="inlineStr">
        <is>
          <t>BS005</t>
        </is>
      </c>
      <c r="H614" t="inlineStr">
        <is>
          <t>1 Agustus 2007</t>
        </is>
      </c>
      <c r="I614" s="2" t="n">
        <v>46310</v>
      </c>
      <c r="J614" t="inlineStr">
        <is>
          <t>Disetujui</t>
        </is>
      </c>
      <c r="K614" t="n">
        <v>60</v>
      </c>
      <c r="L614" t="inlineStr">
        <is>
          <t>15 Oktober 2026</t>
        </is>
      </c>
      <c r="M614" t="inlineStr">
        <is>
          <t>Konstruksi Bangunan Sipil Pengolahan Air Bersih</t>
        </is>
      </c>
      <c r="N614" t="inlineStr">
        <is>
          <t>K</t>
        </is>
      </c>
      <c r="O614" t="inlineStr">
        <is>
          <t>20231016</t>
        </is>
      </c>
      <c r="P614" t="inlineStr">
        <is>
          <t>Kalimantan Barat</t>
        </is>
      </c>
      <c r="Q614" t="inlineStr"/>
    </row>
    <row r="615">
      <c r="A615" t="inlineStr">
        <is>
          <t>SAHABAT SEJATI NADA</t>
        </is>
      </c>
      <c r="B615" t="inlineStr">
        <is>
          <t>Kota Banjarmasin</t>
        </is>
      </c>
      <c r="C615" t="inlineStr">
        <is>
          <t>081239480555</t>
        </is>
      </c>
      <c r="D615" t="inlineStr">
        <is>
          <t>sahabatsejatinada@gmail.com</t>
        </is>
      </c>
      <c r="E615" t="inlineStr">
        <is>
          <t>https://lpjk.pu.go.id/search-badan-usaha-detail/cERLeDA1dUk3SWMzTEcyZHhzR2FzUT09</t>
        </is>
      </c>
      <c r="F615" t="n">
        <v>5</v>
      </c>
      <c r="G615" t="inlineStr">
        <is>
          <t>BG001, BG002, BG005, BS001, BS004</t>
        </is>
      </c>
      <c r="H615" t="inlineStr">
        <is>
          <t>15 Agustus 2019</t>
        </is>
      </c>
      <c r="I615" s="2" t="n">
        <v>46307</v>
      </c>
      <c r="J615" t="inlineStr">
        <is>
          <t>Disetujui</t>
        </is>
      </c>
      <c r="K615" t="n">
        <v>60</v>
      </c>
      <c r="L615" t="inlineStr">
        <is>
          <t>12 Oktober 2026</t>
        </is>
      </c>
      <c r="M615" t="inlineStr">
        <is>
          <t>Konstruksi Bangunan Sipil Jalan, Konstruksi Gedung Hunian, Konstruksi Gedung Kesehatan, Konstruksi Gedung Perkantoran, Konstruksi Jaringan Irigasi dan Drainase</t>
        </is>
      </c>
      <c r="N615" t="inlineStr">
        <is>
          <t>K</t>
        </is>
      </c>
      <c r="O615" t="inlineStr">
        <is>
          <t>20231011, 20231012, 20231013</t>
        </is>
      </c>
      <c r="P615" t="inlineStr">
        <is>
          <t>Kalimantan Selatan</t>
        </is>
      </c>
      <c r="Q615" t="inlineStr"/>
    </row>
    <row r="616">
      <c r="A616" t="inlineStr">
        <is>
          <t>SAKANEERING</t>
        </is>
      </c>
      <c r="B616" t="inlineStr">
        <is>
          <t>Kota Makassar</t>
        </is>
      </c>
      <c r="C616" t="inlineStr">
        <is>
          <t>08114604278</t>
        </is>
      </c>
      <c r="D616" t="inlineStr">
        <is>
          <t>sakaneering48@gmail.com</t>
        </is>
      </c>
      <c r="E616" t="inlineStr">
        <is>
          <t>https://lpjk.pu.go.id/search-badan-usaha-detail/TFhoYVoyTTJFYUNVWFJYR2M2bUxRUT09</t>
        </is>
      </c>
      <c r="F616" t="n">
        <v>3</v>
      </c>
      <c r="G616" t="inlineStr">
        <is>
          <t>BG002, BG008, BG009</t>
        </is>
      </c>
      <c r="H616" t="inlineStr">
        <is>
          <t>14 Juni 2019</t>
        </is>
      </c>
      <c r="I616" s="2" t="n">
        <v>46312</v>
      </c>
      <c r="J616" t="inlineStr">
        <is>
          <t>Disetujui</t>
        </is>
      </c>
      <c r="K616" t="n">
        <v>60</v>
      </c>
      <c r="L616" t="inlineStr">
        <is>
          <t>17 Oktober 2026</t>
        </is>
      </c>
      <c r="M616" t="inlineStr">
        <is>
          <t>Konstruksi Gedung Lainnya, Konstruksi Gedung Perkantoran, Konstruksi Gedung Tempat Hiburan dan Olahraga</t>
        </is>
      </c>
      <c r="N616" t="inlineStr">
        <is>
          <t>K</t>
        </is>
      </c>
      <c r="O616" t="inlineStr">
        <is>
          <t>20230519, 20231012</t>
        </is>
      </c>
      <c r="P616" t="inlineStr">
        <is>
          <t>Sulawesi Selatan</t>
        </is>
      </c>
      <c r="Q616" t="inlineStr"/>
    </row>
    <row r="617">
      <c r="A617" t="inlineStr">
        <is>
          <t>SALAREA INTI PERKASA</t>
        </is>
      </c>
      <c r="B617" t="inlineStr">
        <is>
          <t>Kota Bandung</t>
        </is>
      </c>
      <c r="C617" t="inlineStr">
        <is>
          <t>081802281798</t>
        </is>
      </c>
      <c r="D617" t="inlineStr">
        <is>
          <t>salareaintiperkasa@gmail.com</t>
        </is>
      </c>
      <c r="E617" t="inlineStr">
        <is>
          <t>https://lpjk.pu.go.id/search-badan-usaha-detail/SUQzczA0M3NuUllDK3k1Umg0N3BaUT09</t>
        </is>
      </c>
      <c r="F617" t="n">
        <v>1</v>
      </c>
      <c r="G617" t="inlineStr">
        <is>
          <t>BS001</t>
        </is>
      </c>
      <c r="H617" t="inlineStr">
        <is>
          <t>22 Desember 2022</t>
        </is>
      </c>
      <c r="I617" s="2" t="n">
        <v>46310</v>
      </c>
      <c r="J617" t="inlineStr">
        <is>
          <t>Disetujui</t>
        </is>
      </c>
      <c r="K617" t="n">
        <v>60</v>
      </c>
      <c r="L617" t="inlineStr">
        <is>
          <t>15 Oktober 2026</t>
        </is>
      </c>
      <c r="M617" t="inlineStr">
        <is>
          <t>Konstruksi Bangunan Sipil Jalan</t>
        </is>
      </c>
      <c r="N617" t="inlineStr">
        <is>
          <t>K</t>
        </is>
      </c>
      <c r="O617" t="inlineStr">
        <is>
          <t>20231016</t>
        </is>
      </c>
      <c r="P617" t="inlineStr">
        <is>
          <t>Jawa Barat</t>
        </is>
      </c>
      <c r="Q617" t="inlineStr"/>
    </row>
    <row r="618">
      <c r="A618" t="inlineStr">
        <is>
          <t>SALSABILA USAHA BERSAMA</t>
        </is>
      </c>
      <c r="B618" t="inlineStr">
        <is>
          <t>Kota Jambi</t>
        </is>
      </c>
      <c r="C618" t="inlineStr">
        <is>
          <t>085355539123</t>
        </is>
      </c>
      <c r="D618" t="inlineStr">
        <is>
          <t>cv.salsabilausahabersama@gmail.com</t>
        </is>
      </c>
      <c r="E618" t="inlineStr">
        <is>
          <t>https://lpjk.pu.go.id/search-badan-usaha-detail/d25mMXVlVGppVzlKYzRqZzBjRE9Ddz09</t>
        </is>
      </c>
      <c r="F618" t="n">
        <v>2</v>
      </c>
      <c r="G618" t="inlineStr">
        <is>
          <t>BG006, BG009</t>
        </is>
      </c>
      <c r="H618" t="inlineStr">
        <is>
          <t>2 Agustus 2023</t>
        </is>
      </c>
      <c r="I618" s="2" t="n">
        <v>46311</v>
      </c>
      <c r="J618" t="inlineStr">
        <is>
          <t>Disetujui</t>
        </is>
      </c>
      <c r="K618" t="n">
        <v>60</v>
      </c>
      <c r="L618" t="inlineStr">
        <is>
          <t>16 Oktober 2026</t>
        </is>
      </c>
      <c r="M618" t="inlineStr">
        <is>
          <t>Konstruksi Gedung Lainnya, Konstruksi Gedung Pendidikan</t>
        </is>
      </c>
      <c r="N618" t="inlineStr">
        <is>
          <t>K</t>
        </is>
      </c>
      <c r="O618" t="inlineStr">
        <is>
          <t>20231011</t>
        </is>
      </c>
      <c r="P618" t="inlineStr">
        <is>
          <t>Jambi</t>
        </is>
      </c>
      <c r="Q618" t="inlineStr"/>
    </row>
    <row r="619">
      <c r="A619" t="inlineStr">
        <is>
          <t>SAM KONTRAKTOR</t>
        </is>
      </c>
      <c r="B619" t="inlineStr">
        <is>
          <t>Kab. Magetan</t>
        </is>
      </c>
      <c r="C619" t="inlineStr">
        <is>
          <t>0856 4588 7076</t>
        </is>
      </c>
      <c r="D619" t="inlineStr">
        <is>
          <t>samconts@yahoo.co.id</t>
        </is>
      </c>
      <c r="E619" t="inlineStr">
        <is>
          <t>https://lpjk.pu.go.id/search-badan-usaha-detail/WWs5akwrZmdkZnlqOTdmdmR5ZzI5dz09</t>
        </is>
      </c>
      <c r="F619" t="n">
        <v>5</v>
      </c>
      <c r="G619" t="inlineStr">
        <is>
          <t>BG001, BG002, BG005, BG006, BS001</t>
        </is>
      </c>
      <c r="H619" t="inlineStr">
        <is>
          <t>19 Januari 2006</t>
        </is>
      </c>
      <c r="I619" s="2" t="n">
        <v>46311</v>
      </c>
      <c r="J619" t="inlineStr">
        <is>
          <t>Disetujui</t>
        </is>
      </c>
      <c r="K619" t="n">
        <v>60</v>
      </c>
      <c r="L619" t="inlineStr">
        <is>
          <t>16 Oktober 2026</t>
        </is>
      </c>
      <c r="M619" t="inlineStr">
        <is>
          <t>Konstruksi Bangunan Sipil Jalan, Konstruksi Gedung Hunian, Konstruksi Gedung Kesehatan, Konstruksi Gedung Pendidikan, Konstruksi Gedung Perkantoran</t>
        </is>
      </c>
      <c r="N619" t="inlineStr">
        <is>
          <t>K</t>
        </is>
      </c>
      <c r="O619" t="inlineStr">
        <is>
          <t>20231004, 20231009</t>
        </is>
      </c>
      <c r="P619" t="inlineStr">
        <is>
          <t>Jawa Timur</t>
        </is>
      </c>
      <c r="Q619" t="inlineStr"/>
    </row>
    <row r="620">
      <c r="A620" t="inlineStr">
        <is>
          <t>SAMUDRA BERKAH</t>
        </is>
      </c>
      <c r="B620" t="inlineStr">
        <is>
          <t>Kab. Cilacap</t>
        </is>
      </c>
      <c r="C620" t="inlineStr">
        <is>
          <t>082747875566</t>
        </is>
      </c>
      <c r="D620" t="inlineStr">
        <is>
          <t>cv.samudraberkah82@gmail.com</t>
        </is>
      </c>
      <c r="E620" t="inlineStr">
        <is>
          <t>https://lpjk.pu.go.id/search-badan-usaha-detail/ang3V2pHN3AycUZ3NENBTTVHUU9BQT09</t>
        </is>
      </c>
      <c r="F620" t="n">
        <v>1</v>
      </c>
      <c r="G620" t="inlineStr">
        <is>
          <t>BG006</t>
        </is>
      </c>
      <c r="H620" t="inlineStr">
        <is>
          <t>1 Februari 2016</t>
        </is>
      </c>
      <c r="I620" s="2" t="n">
        <v>46311</v>
      </c>
      <c r="J620" t="inlineStr">
        <is>
          <t>Disetujui</t>
        </is>
      </c>
      <c r="K620" t="n">
        <v>60</v>
      </c>
      <c r="L620" t="inlineStr">
        <is>
          <t>16 Oktober 2026</t>
        </is>
      </c>
      <c r="M620" t="inlineStr">
        <is>
          <t>Konstruksi Gedung Pendidikan</t>
        </is>
      </c>
      <c r="N620" t="inlineStr">
        <is>
          <t>K</t>
        </is>
      </c>
      <c r="O620" t="inlineStr">
        <is>
          <t>20231013</t>
        </is>
      </c>
      <c r="P620" t="inlineStr">
        <is>
          <t>Jawa Tengah</t>
        </is>
      </c>
      <c r="Q620" t="inlineStr"/>
    </row>
    <row r="621">
      <c r="A621" t="inlineStr">
        <is>
          <t>SAPUTRA RAMBANG</t>
        </is>
      </c>
      <c r="B621" t="inlineStr">
        <is>
          <t>Kota Prabumulih</t>
        </is>
      </c>
      <c r="C621" t="inlineStr">
        <is>
          <t>081292323064</t>
        </is>
      </c>
      <c r="D621" t="inlineStr">
        <is>
          <t>saputrarambangcv@ymail.com</t>
        </is>
      </c>
      <c r="E621" t="inlineStr">
        <is>
          <t>https://lpjk.pu.go.id/search-badan-usaha-detail/OXlueGlVM0ZETG1HUjIwYkE5SzRMQT09</t>
        </is>
      </c>
      <c r="F621" t="n">
        <v>4</v>
      </c>
      <c r="G621" t="inlineStr">
        <is>
          <t>BG005, BG006</t>
        </is>
      </c>
      <c r="H621" t="inlineStr">
        <is>
          <t>12 Februari 2002</t>
        </is>
      </c>
      <c r="I621" s="2" t="n">
        <v>46311</v>
      </c>
      <c r="J621" t="inlineStr">
        <is>
          <t>Disetujui</t>
        </is>
      </c>
      <c r="K621" t="n">
        <v>60</v>
      </c>
      <c r="L621" t="inlineStr">
        <is>
          <t>16 Oktober 2026</t>
        </is>
      </c>
      <c r="M621" t="inlineStr">
        <is>
          <t>Konstruksi Gedung Kesehatan, Konstruksi Gedung Pendidikan</t>
        </is>
      </c>
      <c r="N621" t="inlineStr">
        <is>
          <t>K</t>
        </is>
      </c>
      <c r="O621" t="inlineStr">
        <is>
          <t>20231015</t>
        </is>
      </c>
      <c r="P621" t="inlineStr">
        <is>
          <t>Sumatera Selatan</t>
        </is>
      </c>
      <c r="Q621" t="inlineStr"/>
    </row>
    <row r="622">
      <c r="A622" t="inlineStr">
        <is>
          <t>SARAH PERMATA KHATULISTIWA</t>
        </is>
      </c>
      <c r="B622" t="inlineStr">
        <is>
          <t>Kota Pontianak</t>
        </is>
      </c>
      <c r="C622" t="inlineStr">
        <is>
          <t>082153212100</t>
        </is>
      </c>
      <c r="D622" t="inlineStr">
        <is>
          <t>sarahpermata2021@gmail.com</t>
        </is>
      </c>
      <c r="E622" t="inlineStr">
        <is>
          <t>https://lpjk.pu.go.id/search-badan-usaha-detail/TktWa09LRC9CTktsT2NZRytVaTdWZz09</t>
        </is>
      </c>
      <c r="F622" t="n">
        <v>1</v>
      </c>
      <c r="G622" t="inlineStr">
        <is>
          <t>BS001</t>
        </is>
      </c>
      <c r="H622" t="inlineStr">
        <is>
          <t>10 Desember 2009</t>
        </is>
      </c>
      <c r="I622" s="2" t="n">
        <v>46308</v>
      </c>
      <c r="J622" t="inlineStr">
        <is>
          <t>Pencabutan</t>
        </is>
      </c>
      <c r="K622" t="n">
        <v>60</v>
      </c>
      <c r="L622" t="inlineStr">
        <is>
          <t>13 Oktober 2026</t>
        </is>
      </c>
      <c r="M622" t="inlineStr">
        <is>
          <t>Konstruksi Bangunan Sipil Jalan</t>
        </is>
      </c>
      <c r="N622" t="inlineStr">
        <is>
          <t>K</t>
        </is>
      </c>
      <c r="O622" t="inlineStr">
        <is>
          <t>20231013</t>
        </is>
      </c>
      <c r="P622" t="inlineStr">
        <is>
          <t>Kalimantan Barat</t>
        </is>
      </c>
      <c r="Q622" t="inlineStr"/>
    </row>
    <row r="623">
      <c r="A623" t="inlineStr">
        <is>
          <t>SARANA BAJA PERKASA</t>
        </is>
      </c>
      <c r="B623" t="inlineStr">
        <is>
          <t>Kota Medan</t>
        </is>
      </c>
      <c r="C623" t="inlineStr">
        <is>
          <t>82362689147</t>
        </is>
      </c>
      <c r="D623" t="inlineStr">
        <is>
          <t>rina@sbpmdn.com</t>
        </is>
      </c>
      <c r="E623" t="inlineStr">
        <is>
          <t>https://lpjk.pu.go.id/search-badan-usaha-detail/Qmx0enZybFJrVVVYTFlhY3FnV0J3UT09</t>
        </is>
      </c>
      <c r="F623" t="n">
        <v>1</v>
      </c>
      <c r="G623" t="inlineStr">
        <is>
          <t>PL003</t>
        </is>
      </c>
      <c r="H623" t="inlineStr">
        <is>
          <t>31 Mei 1994</t>
        </is>
      </c>
      <c r="I623" s="2" t="n">
        <v>46312</v>
      </c>
      <c r="J623" t="inlineStr">
        <is>
          <t>Pembekuan</t>
        </is>
      </c>
      <c r="K623" t="n">
        <v>60</v>
      </c>
      <c r="L623" t="inlineStr">
        <is>
          <t>17 Oktober 2026</t>
        </is>
      </c>
      <c r="M623" t="inlineStr">
        <is>
          <t>Penyiapan Lahan Konstruksi</t>
        </is>
      </c>
      <c r="N623" t="inlineStr">
        <is>
          <t>Spesialis</t>
        </is>
      </c>
      <c r="O623" t="inlineStr">
        <is>
          <t>20231013</t>
        </is>
      </c>
      <c r="P623" t="inlineStr">
        <is>
          <t>Sumatera Utara</t>
        </is>
      </c>
      <c r="Q623" t="inlineStr"/>
    </row>
    <row r="624">
      <c r="A624" t="inlineStr">
        <is>
          <t>SARANA DEOCON PERSADA</t>
        </is>
      </c>
      <c r="B624" t="inlineStr">
        <is>
          <t>Kab. Ngawi</t>
        </is>
      </c>
      <c r="C624" t="inlineStr">
        <is>
          <t>08123402208</t>
        </is>
      </c>
      <c r="D624" t="inlineStr">
        <is>
          <t>cv.saranadeoconpersada@gmail.com</t>
        </is>
      </c>
      <c r="E624" t="inlineStr">
        <is>
          <t>https://lpjk.pu.go.id/search-badan-usaha-detail/cU1BV25uS280eGZaZHhtSHRYM3NUdz09</t>
        </is>
      </c>
      <c r="F624" t="n">
        <v>4</v>
      </c>
      <c r="G624" t="inlineStr">
        <is>
          <t>BG004, BG005, BG006, BG009</t>
        </is>
      </c>
      <c r="H624" t="inlineStr">
        <is>
          <t>16 Januari 2017</t>
        </is>
      </c>
      <c r="I624" s="2" t="n">
        <v>46311</v>
      </c>
      <c r="J624" t="inlineStr">
        <is>
          <t>Disetujui</t>
        </is>
      </c>
      <c r="K624" t="n">
        <v>60</v>
      </c>
      <c r="L624" t="inlineStr">
        <is>
          <t>16 Oktober 2026</t>
        </is>
      </c>
      <c r="M624" t="inlineStr">
        <is>
          <t>Konstruksi Gedung Kesehatan, Konstruksi Gedung Lainnya, Konstruksi Gedung Pendidikan, Konstruksi Gedung Perbelanjaan</t>
        </is>
      </c>
      <c r="N624" t="inlineStr">
        <is>
          <t>K</t>
        </is>
      </c>
      <c r="O624" t="inlineStr">
        <is>
          <t>20231010, 20231016, 20231017</t>
        </is>
      </c>
      <c r="P624" t="inlineStr">
        <is>
          <t>Jawa Timur</t>
        </is>
      </c>
      <c r="Q624" t="inlineStr"/>
    </row>
    <row r="625">
      <c r="A625" t="inlineStr">
        <is>
          <t>SARANA GRIYA</t>
        </is>
      </c>
      <c r="B625" t="inlineStr">
        <is>
          <t>Kab. Karawang</t>
        </is>
      </c>
      <c r="C625" t="inlineStr">
        <is>
          <t>081232676163</t>
        </is>
      </c>
      <c r="D625" t="inlineStr">
        <is>
          <t>sarana.griya26@gmail.com</t>
        </is>
      </c>
      <c r="E625" t="inlineStr">
        <is>
          <t>https://lpjk.pu.go.id/search-badan-usaha-detail/dmJJczB4Y1phVFp4Z3J0NlkvRU94dz09</t>
        </is>
      </c>
      <c r="F625" t="n">
        <v>1</v>
      </c>
      <c r="G625" t="inlineStr">
        <is>
          <t>BG003</t>
        </is>
      </c>
      <c r="H625" t="inlineStr">
        <is>
          <t>21 September 2016</t>
        </is>
      </c>
      <c r="I625" s="2" t="n">
        <v>46313</v>
      </c>
      <c r="J625" t="inlineStr">
        <is>
          <t>Disetujui</t>
        </is>
      </c>
      <c r="K625" t="n">
        <v>60</v>
      </c>
      <c r="L625" t="inlineStr">
        <is>
          <t>18 Oktober 2026</t>
        </is>
      </c>
      <c r="M625" t="inlineStr">
        <is>
          <t>Konstruksi Gedung Industri</t>
        </is>
      </c>
      <c r="N625" t="inlineStr">
        <is>
          <t>K</t>
        </is>
      </c>
      <c r="O625" t="inlineStr">
        <is>
          <t>20231009</t>
        </is>
      </c>
      <c r="P625" t="inlineStr">
        <is>
          <t>Jawa Barat</t>
        </is>
      </c>
      <c r="Q625" t="inlineStr"/>
    </row>
    <row r="626">
      <c r="A626" t="inlineStr">
        <is>
          <t>SARANA PERKASA</t>
        </is>
      </c>
      <c r="B626" t="inlineStr">
        <is>
          <t>Kota Palembang</t>
        </is>
      </c>
      <c r="C626" t="inlineStr">
        <is>
          <t>082179008791</t>
        </is>
      </c>
      <c r="D626" t="inlineStr">
        <is>
          <t>suharyantoo1009@gmail.com</t>
        </is>
      </c>
      <c r="E626" t="inlineStr">
        <is>
          <t>https://lpjk.pu.go.id/search-badan-usaha-detail/UU5Tb1lCcGZxUGljWGpxN1BWaks0dz09</t>
        </is>
      </c>
      <c r="F626" t="n">
        <v>1</v>
      </c>
      <c r="G626" t="inlineStr">
        <is>
          <t>BS001</t>
        </is>
      </c>
      <c r="H626" t="inlineStr">
        <is>
          <t>9 September 2005</t>
        </is>
      </c>
      <c r="I626" s="2" t="n">
        <v>46312</v>
      </c>
      <c r="J626" t="inlineStr">
        <is>
          <t>Disetujui</t>
        </is>
      </c>
      <c r="K626" t="n">
        <v>60</v>
      </c>
      <c r="L626" t="inlineStr">
        <is>
          <t>17 Oktober 2026</t>
        </is>
      </c>
      <c r="M626" t="inlineStr">
        <is>
          <t>Konstruksi Bangunan Sipil Jalan</t>
        </is>
      </c>
      <c r="N626" t="inlineStr">
        <is>
          <t>K</t>
        </is>
      </c>
      <c r="O626" t="inlineStr">
        <is>
          <t>20231013</t>
        </is>
      </c>
      <c r="P626" t="inlineStr">
        <is>
          <t>Sumatera Selatan</t>
        </is>
      </c>
      <c r="Q626" t="inlineStr"/>
    </row>
    <row r="627">
      <c r="A627" t="inlineStr">
        <is>
          <t>SATRIA JAYA MANDIRI</t>
        </is>
      </c>
      <c r="B627" t="inlineStr">
        <is>
          <t>Kab. Kapuas Hulu</t>
        </is>
      </c>
      <c r="C627" t="inlineStr">
        <is>
          <t>082148836635</t>
        </is>
      </c>
      <c r="D627" t="inlineStr">
        <is>
          <t>satriajayamandiri219@gmail.com</t>
        </is>
      </c>
      <c r="E627" t="inlineStr">
        <is>
          <t>https://lpjk.pu.go.id/search-badan-usaha-detail/UllJd0JHdVcxRHJwVXpCVGUwMTVtZz09</t>
        </is>
      </c>
      <c r="F627" t="n">
        <v>1</v>
      </c>
      <c r="G627" t="inlineStr">
        <is>
          <t>BS004</t>
        </is>
      </c>
      <c r="H627" t="inlineStr">
        <is>
          <t>4 Maret 2020</t>
        </is>
      </c>
      <c r="I627" s="2" t="n">
        <v>46310</v>
      </c>
      <c r="J627" t="inlineStr">
        <is>
          <t>Disetujui</t>
        </is>
      </c>
      <c r="K627" t="n">
        <v>60</v>
      </c>
      <c r="L627" t="inlineStr">
        <is>
          <t>15 Oktober 2026</t>
        </is>
      </c>
      <c r="M627" t="inlineStr">
        <is>
          <t>Konstruksi Jaringan Irigasi dan Drainase</t>
        </is>
      </c>
      <c r="N627" t="inlineStr">
        <is>
          <t>K</t>
        </is>
      </c>
      <c r="O627" t="inlineStr">
        <is>
          <t>20231014</t>
        </is>
      </c>
      <c r="P627" t="inlineStr">
        <is>
          <t>Kalimantan Barat</t>
        </is>
      </c>
      <c r="Q627" t="inlineStr"/>
    </row>
    <row r="628">
      <c r="A628" t="inlineStr">
        <is>
          <t>SATRIA PRATAMA PERKASA</t>
        </is>
      </c>
      <c r="B628" t="inlineStr">
        <is>
          <t>Kab. Musi Rawas</t>
        </is>
      </c>
      <c r="C628" t="inlineStr">
        <is>
          <t>082179479823</t>
        </is>
      </c>
      <c r="D628" t="inlineStr">
        <is>
          <t>cv.satriapratamaperkasa@yahoo.com</t>
        </is>
      </c>
      <c r="E628" t="inlineStr">
        <is>
          <t>https://lpjk.pu.go.id/search-badan-usaha-detail/S045bmJyWWVERTJlVlZPdCtNOFNEdz09</t>
        </is>
      </c>
      <c r="F628" t="n">
        <v>1</v>
      </c>
      <c r="G628" t="inlineStr">
        <is>
          <t>BG009</t>
        </is>
      </c>
      <c r="H628" t="inlineStr">
        <is>
          <t>28 Agustus 2023</t>
        </is>
      </c>
      <c r="I628" s="2" t="n">
        <v>46312</v>
      </c>
      <c r="J628" t="inlineStr">
        <is>
          <t>Disetujui</t>
        </is>
      </c>
      <c r="K628" t="n">
        <v>60</v>
      </c>
      <c r="L628" t="inlineStr">
        <is>
          <t>17 Oktober 2026</t>
        </is>
      </c>
      <c r="M628" t="inlineStr">
        <is>
          <t>Konstruksi Gedung Lainnya</t>
        </is>
      </c>
      <c r="N628" t="inlineStr">
        <is>
          <t>K</t>
        </is>
      </c>
      <c r="O628" t="inlineStr">
        <is>
          <t>20231017</t>
        </is>
      </c>
      <c r="P628" t="inlineStr">
        <is>
          <t>Sumatera Selatan</t>
        </is>
      </c>
      <c r="Q628" t="inlineStr"/>
    </row>
    <row r="629">
      <c r="A629" t="inlineStr">
        <is>
          <t>SATRIAMAS KARYATAMA</t>
        </is>
      </c>
      <c r="B629" t="inlineStr">
        <is>
          <t>Kota Semarang</t>
        </is>
      </c>
      <c r="C629" t="inlineStr">
        <is>
          <t>0243580362</t>
        </is>
      </c>
      <c r="D629" t="inlineStr">
        <is>
          <t>satriamas.karyatama@yahoo.com</t>
        </is>
      </c>
      <c r="E629" t="inlineStr">
        <is>
          <t>https://lpjk.pu.go.id/search-badan-usaha-detail/UFVtb21rZWprZGlRNGtyMlgzZldzdz09</t>
        </is>
      </c>
      <c r="F629" t="n">
        <v>1</v>
      </c>
      <c r="G629" t="inlineStr">
        <is>
          <t>BG001</t>
        </is>
      </c>
      <c r="H629" t="inlineStr">
        <is>
          <t>21 Juni 2003</t>
        </is>
      </c>
      <c r="I629" s="2" t="n">
        <v>46313</v>
      </c>
      <c r="J629" t="inlineStr">
        <is>
          <t>Disetujui</t>
        </is>
      </c>
      <c r="K629" t="n">
        <v>60</v>
      </c>
      <c r="L629" t="inlineStr">
        <is>
          <t>18 Oktober 2026</t>
        </is>
      </c>
      <c r="M629" t="inlineStr">
        <is>
          <t>Konstruksi Gedung Hunian</t>
        </is>
      </c>
      <c r="N629" t="inlineStr">
        <is>
          <t>M</t>
        </is>
      </c>
      <c r="O629" t="inlineStr">
        <is>
          <t>20231013</t>
        </is>
      </c>
      <c r="P629" t="inlineStr">
        <is>
          <t>Jawa Tengah</t>
        </is>
      </c>
      <c r="Q629" t="inlineStr"/>
    </row>
    <row r="630">
      <c r="A630" t="inlineStr">
        <is>
          <t>SATRIO GIRI MULYO</t>
        </is>
      </c>
      <c r="B630" t="inlineStr">
        <is>
          <t>Kab. Grobogan</t>
        </is>
      </c>
      <c r="C630" t="inlineStr">
        <is>
          <t>082332138588</t>
        </is>
      </c>
      <c r="D630" t="inlineStr">
        <is>
          <t>CVSATRIOGIRIMULYO@GMAIL.COM</t>
        </is>
      </c>
      <c r="E630" t="inlineStr">
        <is>
          <t>https://lpjk.pu.go.id/search-badan-usaha-detail/WFBubkh5MlAreVR3ZElpMFZ5ZEt1QT09</t>
        </is>
      </c>
      <c r="F630" t="n">
        <v>1</v>
      </c>
      <c r="G630" t="inlineStr">
        <is>
          <t>PL003</t>
        </is>
      </c>
      <c r="H630" t="inlineStr">
        <is>
          <t>29 Agustus 2023</t>
        </is>
      </c>
      <c r="I630" s="2" t="n">
        <v>46313</v>
      </c>
      <c r="J630" t="inlineStr">
        <is>
          <t>Pencabutan</t>
        </is>
      </c>
      <c r="K630" t="n">
        <v>60</v>
      </c>
      <c r="L630" t="inlineStr">
        <is>
          <t>18 Oktober 2026</t>
        </is>
      </c>
      <c r="M630" t="inlineStr">
        <is>
          <t>Penyiapan Lahan Konstruksi</t>
        </is>
      </c>
      <c r="N630" t="inlineStr">
        <is>
          <t>Spesialis</t>
        </is>
      </c>
      <c r="O630" t="inlineStr">
        <is>
          <t>20231018</t>
        </is>
      </c>
      <c r="P630" t="inlineStr">
        <is>
          <t>Jawa Tengah</t>
        </is>
      </c>
      <c r="Q630" t="inlineStr"/>
    </row>
    <row r="631">
      <c r="A631" t="inlineStr">
        <is>
          <t>SEBELAS MEI</t>
        </is>
      </c>
      <c r="B631" t="inlineStr">
        <is>
          <t>Kab. Demak</t>
        </is>
      </c>
      <c r="C631" t="inlineStr">
        <is>
          <t>082221045326</t>
        </is>
      </c>
      <c r="D631" t="inlineStr">
        <is>
          <t>cv.sebelasmei@yahoo.com</t>
        </is>
      </c>
      <c r="E631" t="inlineStr">
        <is>
          <t>https://lpjk.pu.go.id/search-badan-usaha-detail/Vkxwc1NWQzhYTGFoZHRYM1F5cXlvZz09</t>
        </is>
      </c>
      <c r="F631" t="n">
        <v>1</v>
      </c>
      <c r="G631" t="inlineStr">
        <is>
          <t>BG009</t>
        </is>
      </c>
      <c r="H631" t="inlineStr">
        <is>
          <t>19 Agustus 2013</t>
        </is>
      </c>
      <c r="I631" s="2" t="n">
        <v>46312</v>
      </c>
      <c r="J631" t="inlineStr">
        <is>
          <t>Disetujui</t>
        </is>
      </c>
      <c r="K631" t="n">
        <v>60</v>
      </c>
      <c r="L631" t="inlineStr">
        <is>
          <t>17 Oktober 2026</t>
        </is>
      </c>
      <c r="M631" t="inlineStr">
        <is>
          <t>Konstruksi Gedung Lainnya</t>
        </is>
      </c>
      <c r="N631" t="inlineStr">
        <is>
          <t>K</t>
        </is>
      </c>
      <c r="O631" t="inlineStr">
        <is>
          <t>20231016</t>
        </is>
      </c>
      <c r="P631" t="inlineStr">
        <is>
          <t>Jawa Tengah</t>
        </is>
      </c>
      <c r="Q631" t="inlineStr"/>
    </row>
    <row r="632">
      <c r="A632" t="inlineStr">
        <is>
          <t>SEJAHTERA KREASI</t>
        </is>
      </c>
      <c r="B632" t="inlineStr">
        <is>
          <t>Kota Pontianak</t>
        </is>
      </c>
      <c r="C632" t="inlineStr">
        <is>
          <t>081351226226</t>
        </is>
      </c>
      <c r="D632" t="inlineStr">
        <is>
          <t>cvsejahtereakreasi@gmail.com</t>
        </is>
      </c>
      <c r="E632" t="inlineStr">
        <is>
          <t>https://lpjk.pu.go.id/search-badan-usaha-detail/SmpLREhPcTcwZU45MnI2OFFOdFBRdz09</t>
        </is>
      </c>
      <c r="F632" t="n">
        <v>5</v>
      </c>
      <c r="G632" t="inlineStr">
        <is>
          <t>BG002, BG004, BG005, BG006, BG009</t>
        </is>
      </c>
      <c r="H632" t="inlineStr">
        <is>
          <t>14 Januari 2020</t>
        </is>
      </c>
      <c r="I632" s="2" t="n">
        <v>46307</v>
      </c>
      <c r="J632" t="inlineStr">
        <is>
          <t>Disetujui</t>
        </is>
      </c>
      <c r="K632" t="n">
        <v>60</v>
      </c>
      <c r="L632" t="inlineStr">
        <is>
          <t>12 Oktober 2026</t>
        </is>
      </c>
      <c r="M632" t="inlineStr">
        <is>
          <t>Konstruksi Gedung Kesehatan, Konstruksi Gedung Lainnya, Konstruksi Gedung Pendidikan, Konstruksi Gedung Perbelanjaan, Konstruksi Gedung Perkantoran</t>
        </is>
      </c>
      <c r="N632" t="inlineStr">
        <is>
          <t>K</t>
        </is>
      </c>
      <c r="O632" t="inlineStr">
        <is>
          <t>20231012</t>
        </is>
      </c>
      <c r="P632" t="inlineStr">
        <is>
          <t>Kalimantan Barat</t>
        </is>
      </c>
      <c r="Q632" t="inlineStr"/>
    </row>
    <row r="633">
      <c r="A633" t="inlineStr">
        <is>
          <t>SEKAR JAGAD INDO RAYA</t>
        </is>
      </c>
      <c r="B633" t="inlineStr">
        <is>
          <t>Kab. Kudus</t>
        </is>
      </c>
      <c r="C633" t="inlineStr">
        <is>
          <t>081227454343</t>
        </is>
      </c>
      <c r="D633" t="inlineStr">
        <is>
          <t>sekarjagadindorayacv@gmail.com</t>
        </is>
      </c>
      <c r="E633" t="inlineStr">
        <is>
          <t>https://lpjk.pu.go.id/search-badan-usaha-detail/d1U5elliZElua0hkaDF4QTJUYUQ2dz09</t>
        </is>
      </c>
      <c r="F633" t="n">
        <v>10</v>
      </c>
      <c r="G633" t="inlineStr">
        <is>
          <t>BG001, BG002, BG005, BG006, BG009</t>
        </is>
      </c>
      <c r="H633" t="inlineStr">
        <is>
          <t>15 Februari 2023</t>
        </is>
      </c>
      <c r="I633" s="2" t="n">
        <v>46312</v>
      </c>
      <c r="J633" t="inlineStr">
        <is>
          <t>Disetujui</t>
        </is>
      </c>
      <c r="K633" t="n">
        <v>60</v>
      </c>
      <c r="L633" t="inlineStr">
        <is>
          <t>17 Oktober 2026</t>
        </is>
      </c>
      <c r="M633" t="inlineStr">
        <is>
          <t>Konstruksi Gedung Hunian, Konstruksi Gedung Kesehatan, Konstruksi Gedung Lainnya, Konstruksi Gedung Pendidikan, Konstruksi Gedung Perkantoran</t>
        </is>
      </c>
      <c r="N633" t="inlineStr">
        <is>
          <t>K</t>
        </is>
      </c>
      <c r="O633" t="inlineStr">
        <is>
          <t>20231016</t>
        </is>
      </c>
      <c r="P633" t="inlineStr">
        <is>
          <t>Jawa Tengah</t>
        </is>
      </c>
      <c r="Q633" t="inlineStr"/>
    </row>
    <row r="634">
      <c r="A634" t="inlineStr">
        <is>
          <t>SEKAR WANGI</t>
        </is>
      </c>
      <c r="B634" t="inlineStr">
        <is>
          <t>Kab. Bandung Barat</t>
        </is>
      </c>
      <c r="C634" t="inlineStr">
        <is>
          <t>087714445552</t>
        </is>
      </c>
      <c r="D634" t="inlineStr">
        <is>
          <t>cvsekarw@gmail.com</t>
        </is>
      </c>
      <c r="E634" t="inlineStr">
        <is>
          <t>https://lpjk.pu.go.id/search-badan-usaha-detail/UlE2Sk9kRXhrMHR6Zlg4K0NLN0RSdz09</t>
        </is>
      </c>
      <c r="F634" t="n">
        <v>2</v>
      </c>
      <c r="G634" t="inlineStr">
        <is>
          <t>BG004</t>
        </is>
      </c>
      <c r="H634" t="inlineStr">
        <is>
          <t>6 Maret 2017</t>
        </is>
      </c>
      <c r="I634" s="2" t="n">
        <v>46310</v>
      </c>
      <c r="J634" t="inlineStr">
        <is>
          <t>Disetujui</t>
        </is>
      </c>
      <c r="K634" t="n">
        <v>60</v>
      </c>
      <c r="L634" t="inlineStr">
        <is>
          <t>15 Oktober 2026</t>
        </is>
      </c>
      <c r="M634" t="inlineStr">
        <is>
          <t>Konstruksi Gedung Perbelanjaan</t>
        </is>
      </c>
      <c r="N634" t="inlineStr">
        <is>
          <t>K</t>
        </is>
      </c>
      <c r="O634" t="inlineStr">
        <is>
          <t>20231012</t>
        </is>
      </c>
      <c r="P634" t="inlineStr">
        <is>
          <t>Jawa Barat</t>
        </is>
      </c>
      <c r="Q634" t="inlineStr"/>
    </row>
    <row r="635">
      <c r="A635" t="inlineStr">
        <is>
          <t>SEKATA</t>
        </is>
      </c>
      <c r="B635" t="inlineStr">
        <is>
          <t>Kab. Labuhanbatu</t>
        </is>
      </c>
      <c r="C635" t="inlineStr">
        <is>
          <t>0812 6223 659_</t>
        </is>
      </c>
      <c r="D635" t="inlineStr">
        <is>
          <t>sekatakontraktor@yahoo.com</t>
        </is>
      </c>
      <c r="E635" t="inlineStr">
        <is>
          <t>https://lpjk.pu.go.id/search-badan-usaha-detail/Y1BYLzVvTkpvR2NzOXVWRmtIeFcyQT09</t>
        </is>
      </c>
      <c r="F635" t="n">
        <v>1</v>
      </c>
      <c r="G635" t="inlineStr">
        <is>
          <t>BG009</t>
        </is>
      </c>
      <c r="H635" t="inlineStr">
        <is>
          <t>17 November 1993</t>
        </is>
      </c>
      <c r="I635" s="2" t="n">
        <v>46313</v>
      </c>
      <c r="J635" t="inlineStr">
        <is>
          <t>Disetujui</t>
        </is>
      </c>
      <c r="K635" t="n">
        <v>60</v>
      </c>
      <c r="L635" t="inlineStr">
        <is>
          <t>18 Oktober 2026</t>
        </is>
      </c>
      <c r="M635" t="inlineStr">
        <is>
          <t>Konstruksi Gedung Lainnya</t>
        </is>
      </c>
      <c r="N635" t="inlineStr">
        <is>
          <t>K</t>
        </is>
      </c>
      <c r="O635" t="inlineStr">
        <is>
          <t>20231015</t>
        </is>
      </c>
      <c r="P635" t="inlineStr">
        <is>
          <t>Sumatera Utara</t>
        </is>
      </c>
      <c r="Q635" t="inlineStr"/>
    </row>
    <row r="636">
      <c r="A636" t="inlineStr">
        <is>
          <t>SELAMAT KARYA BERSAMA</t>
        </is>
      </c>
      <c r="B636" t="inlineStr">
        <is>
          <t>Kab. Kutai Timur</t>
        </is>
      </c>
      <c r="C636" t="inlineStr">
        <is>
          <t>082148347685</t>
        </is>
      </c>
      <c r="D636" t="inlineStr">
        <is>
          <t>cv.selamatkaryabersama@gmail.com</t>
        </is>
      </c>
      <c r="E636" t="inlineStr">
        <is>
          <t>https://lpjk.pu.go.id/search-badan-usaha-detail/Y3kzem9zUXJvUkxWS1oxaUQ3MUFKUT09</t>
        </is>
      </c>
      <c r="F636" t="n">
        <v>1</v>
      </c>
      <c r="G636" t="inlineStr">
        <is>
          <t>BS001</t>
        </is>
      </c>
      <c r="H636" t="inlineStr">
        <is>
          <t>24 Juli 2023</t>
        </is>
      </c>
      <c r="I636" s="2" t="n">
        <v>46312</v>
      </c>
      <c r="J636" t="inlineStr">
        <is>
          <t>Disetujui</t>
        </is>
      </c>
      <c r="K636" t="n">
        <v>60</v>
      </c>
      <c r="L636" t="inlineStr">
        <is>
          <t>17 Oktober 2026</t>
        </is>
      </c>
      <c r="M636" t="inlineStr">
        <is>
          <t>Konstruksi Bangunan Sipil Jalan</t>
        </is>
      </c>
      <c r="N636" t="inlineStr">
        <is>
          <t>K</t>
        </is>
      </c>
      <c r="O636" t="inlineStr">
        <is>
          <t>20231016</t>
        </is>
      </c>
      <c r="P636" t="inlineStr">
        <is>
          <t>Kalimantan Timur</t>
        </is>
      </c>
      <c r="Q636" t="inlineStr"/>
    </row>
    <row r="637">
      <c r="A637" t="inlineStr">
        <is>
          <t>SEMBILAN HAKIM NUSANTARA</t>
        </is>
      </c>
      <c r="B637" t="inlineStr">
        <is>
          <t>Kota Bandar Lampung</t>
        </is>
      </c>
      <c r="C637" t="inlineStr">
        <is>
          <t>08117290909</t>
        </is>
      </c>
      <c r="D637" t="inlineStr">
        <is>
          <t>9hnusantara@gmail.com</t>
        </is>
      </c>
      <c r="E637" t="inlineStr">
        <is>
          <t>https://lpjk.pu.go.id/search-badan-usaha-detail/MGhvdWFkbzB6MVRZQzg2MlNBSTF6Zz09</t>
        </is>
      </c>
      <c r="F637" t="n">
        <v>2</v>
      </c>
      <c r="G637" t="inlineStr">
        <is>
          <t>BG007, BS001</t>
        </is>
      </c>
      <c r="H637" t="inlineStr">
        <is>
          <t>19 Juni 2009</t>
        </is>
      </c>
      <c r="I637" s="2" t="n">
        <v>46307</v>
      </c>
      <c r="J637" t="inlineStr">
        <is>
          <t>Disetujui</t>
        </is>
      </c>
      <c r="K637" t="n">
        <v>60</v>
      </c>
      <c r="L637" t="inlineStr">
        <is>
          <t>12 Oktober 2026</t>
        </is>
      </c>
      <c r="M637" t="inlineStr">
        <is>
          <t>Konstruksi Bangunan Sipil Jalan, Konstruksi Gedung Penginapan</t>
        </is>
      </c>
      <c r="N637" t="inlineStr">
        <is>
          <t>K</t>
        </is>
      </c>
      <c r="O637" t="inlineStr">
        <is>
          <t>20231012, 20231013</t>
        </is>
      </c>
      <c r="P637" t="inlineStr">
        <is>
          <t>Lampung</t>
        </is>
      </c>
      <c r="Q637" t="inlineStr"/>
    </row>
    <row r="638">
      <c r="A638" t="inlineStr">
        <is>
          <t>SEMOGA SENANTIASA BERKAH</t>
        </is>
      </c>
      <c r="B638" t="inlineStr">
        <is>
          <t>Kab. Pelalawan</t>
        </is>
      </c>
      <c r="C638" t="inlineStr">
        <is>
          <t>082288944488</t>
        </is>
      </c>
      <c r="D638" t="inlineStr">
        <is>
          <t>semogasenantiasa@gmail.com</t>
        </is>
      </c>
      <c r="E638" t="inlineStr">
        <is>
          <t>https://lpjk.pu.go.id/search-badan-usaha-detail/bmRnM1pKL1V0OC9ld0gxL3JjVGdJQT09</t>
        </is>
      </c>
      <c r="F638" t="n">
        <v>1</v>
      </c>
      <c r="G638" t="inlineStr">
        <is>
          <t>PB010</t>
        </is>
      </c>
      <c r="H638" t="inlineStr">
        <is>
          <t>23 November 2022</t>
        </is>
      </c>
      <c r="I638" s="2" t="n">
        <v>46313</v>
      </c>
      <c r="J638" t="inlineStr">
        <is>
          <t>Disetujui</t>
        </is>
      </c>
      <c r="K638" t="n">
        <v>60</v>
      </c>
      <c r="L638" t="inlineStr">
        <is>
          <t>18 Oktober 2026</t>
        </is>
      </c>
      <c r="M638" t="inlineStr">
        <is>
          <t>Pekerjaan Lanskap, Pertamanan, dan Penanaman Vegetasi</t>
        </is>
      </c>
      <c r="N638" t="inlineStr">
        <is>
          <t>Spesialis</t>
        </is>
      </c>
      <c r="O638" t="inlineStr">
        <is>
          <t>20231012</t>
        </is>
      </c>
      <c r="P638" t="inlineStr">
        <is>
          <t>Riau</t>
        </is>
      </c>
      <c r="Q638" t="inlineStr"/>
    </row>
    <row r="639">
      <c r="A639" t="inlineStr">
        <is>
          <t>SENI MEMBANGUN MAHAKARYA</t>
        </is>
      </c>
      <c r="B639" t="inlineStr">
        <is>
          <t>Kota Bandung</t>
        </is>
      </c>
      <c r="C639" t="inlineStr">
        <is>
          <t>08112187601</t>
        </is>
      </c>
      <c r="D639" t="inlineStr">
        <is>
          <t>senimembangunmahakarya@gmail.com</t>
        </is>
      </c>
      <c r="E639" t="inlineStr">
        <is>
          <t>https://lpjk.pu.go.id/search-badan-usaha-detail/QVhRS0hFdjdkZ2J4SDdTUHJFLytGQT09</t>
        </is>
      </c>
      <c r="F639" t="n">
        <v>2</v>
      </c>
      <c r="G639" t="inlineStr">
        <is>
          <t>BG002, PB004</t>
        </is>
      </c>
      <c r="H639" t="inlineStr">
        <is>
          <t>11 September 2023</t>
        </is>
      </c>
      <c r="I639" s="2" t="n">
        <v>46311</v>
      </c>
      <c r="J639" t="inlineStr">
        <is>
          <t>Disetujui, Pembekuan</t>
        </is>
      </c>
      <c r="K639" t="n">
        <v>60</v>
      </c>
      <c r="L639" t="inlineStr">
        <is>
          <t>16 Oktober 2026</t>
        </is>
      </c>
      <c r="M639" t="inlineStr">
        <is>
          <t>Dekorasi Interior, Konstruksi Gedung Perkantoran</t>
        </is>
      </c>
      <c r="N639" t="inlineStr">
        <is>
          <t>K, Spesialis</t>
        </is>
      </c>
      <c r="O639" t="inlineStr">
        <is>
          <t>20231006</t>
        </is>
      </c>
      <c r="P639" t="inlineStr">
        <is>
          <t>Jawa Barat</t>
        </is>
      </c>
      <c r="Q639" t="inlineStr"/>
    </row>
    <row r="640">
      <c r="A640" t="inlineStr">
        <is>
          <t>SENTOSA LAJU SEJAHTERA</t>
        </is>
      </c>
      <c r="B640" t="inlineStr">
        <is>
          <t>Kab. Sidoarjo</t>
        </is>
      </c>
      <c r="C640" t="inlineStr">
        <is>
          <t>0317879848</t>
        </is>
      </c>
      <c r="D640" t="inlineStr">
        <is>
          <t>sentosalajusejahterapt@gmail.com</t>
        </is>
      </c>
      <c r="E640" t="inlineStr">
        <is>
          <t>https://lpjk.pu.go.id/search-badan-usaha-detail/Y2E5Lzg5OEEvZVdYMzU5cDdmakpndz09</t>
        </is>
      </c>
      <c r="F640" t="n">
        <v>1</v>
      </c>
      <c r="G640" t="inlineStr">
        <is>
          <t>PA001</t>
        </is>
      </c>
      <c r="H640" t="inlineStr">
        <is>
          <t>24 Juli 2023</t>
        </is>
      </c>
      <c r="I640" s="2" t="n">
        <v>46312</v>
      </c>
      <c r="J640" t="inlineStr">
        <is>
          <t>Pembekuan</t>
        </is>
      </c>
      <c r="K640" t="n">
        <v>60</v>
      </c>
      <c r="L640" t="inlineStr">
        <is>
          <t>17 Oktober 2026</t>
        </is>
      </c>
      <c r="M640" t="inlineStr">
        <is>
          <t>Penyewaan Peralatan Konstruksi</t>
        </is>
      </c>
      <c r="N640" t="inlineStr">
        <is>
          <t>Spesialis</t>
        </is>
      </c>
      <c r="O640" t="inlineStr">
        <is>
          <t>20231017</t>
        </is>
      </c>
      <c r="P640" t="inlineStr">
        <is>
          <t>Jawa Timur</t>
        </is>
      </c>
      <c r="Q640" t="inlineStr"/>
    </row>
    <row r="641">
      <c r="A641" t="inlineStr">
        <is>
          <t>SEPAKAT SEBELAS DUA BELAS</t>
        </is>
      </c>
      <c r="B641" t="inlineStr">
        <is>
          <t>Kab. Indramayu</t>
        </is>
      </c>
      <c r="C641" t="inlineStr">
        <is>
          <t>081223808789</t>
        </is>
      </c>
      <c r="D641" t="inlineStr">
        <is>
          <t>cv.sepakat1112@gmail.com</t>
        </is>
      </c>
      <c r="E641" t="inlineStr">
        <is>
          <t>https://lpjk.pu.go.id/search-badan-usaha-detail/MzRacDlvWmVwdXJrQnBmbXZkNS84Zz09</t>
        </is>
      </c>
      <c r="F641" t="n">
        <v>2</v>
      </c>
      <c r="G641" t="inlineStr">
        <is>
          <t>BS001, BS004</t>
        </is>
      </c>
      <c r="H641" t="inlineStr">
        <is>
          <t>22 Januari 2021</t>
        </is>
      </c>
      <c r="I641" s="2" t="n">
        <v>46307</v>
      </c>
      <c r="J641" t="inlineStr">
        <is>
          <t>Disetujui</t>
        </is>
      </c>
      <c r="K641" t="n">
        <v>60</v>
      </c>
      <c r="L641" t="inlineStr">
        <is>
          <t>12 Oktober 2026</t>
        </is>
      </c>
      <c r="M641" t="inlineStr">
        <is>
          <t>Konstruksi Bangunan Sipil Jalan, Konstruksi Jaringan Irigasi dan Drainase</t>
        </is>
      </c>
      <c r="N641" t="inlineStr">
        <is>
          <t>K</t>
        </is>
      </c>
      <c r="O641" t="inlineStr">
        <is>
          <t>20230915, 20231011</t>
        </is>
      </c>
      <c r="P641" t="inlineStr">
        <is>
          <t>Jawa Barat</t>
        </is>
      </c>
      <c r="Q641" t="inlineStr"/>
    </row>
    <row r="642">
      <c r="A642" t="inlineStr">
        <is>
          <t>SHINTA MAKMUR</t>
        </is>
      </c>
      <c r="B642" t="inlineStr">
        <is>
          <t>Kab. Bojonegoro</t>
        </is>
      </c>
      <c r="C642" t="inlineStr">
        <is>
          <t>085336633333</t>
        </is>
      </c>
      <c r="D642" t="inlineStr">
        <is>
          <t>shintamakmurcv@gmail.com</t>
        </is>
      </c>
      <c r="E642" t="inlineStr">
        <is>
          <t>https://lpjk.pu.go.id/search-badan-usaha-detail/d2VtOC92R0xlKzZ1N1VaWU1PMUNQZz09</t>
        </is>
      </c>
      <c r="F642" t="n">
        <v>2</v>
      </c>
      <c r="G642" t="inlineStr">
        <is>
          <t>BG001, BG006</t>
        </is>
      </c>
      <c r="H642" t="inlineStr">
        <is>
          <t>24 November 2014</t>
        </is>
      </c>
      <c r="I642" s="2" t="n">
        <v>46313</v>
      </c>
      <c r="J642" t="inlineStr">
        <is>
          <t>Disetujui</t>
        </is>
      </c>
      <c r="K642" t="n">
        <v>60</v>
      </c>
      <c r="L642" t="inlineStr">
        <is>
          <t>18 Oktober 2026</t>
        </is>
      </c>
      <c r="M642" t="inlineStr">
        <is>
          <t>Konstruksi Gedung Hunian, Konstruksi Gedung Pendidikan</t>
        </is>
      </c>
      <c r="N642" t="inlineStr">
        <is>
          <t>K</t>
        </is>
      </c>
      <c r="O642" t="inlineStr">
        <is>
          <t>20231017</t>
        </is>
      </c>
      <c r="P642" t="inlineStr">
        <is>
          <t>Jawa Timur</t>
        </is>
      </c>
      <c r="Q642" t="inlineStr"/>
    </row>
    <row r="643">
      <c r="A643" t="inlineStr">
        <is>
          <t>SIMANG SAKTI</t>
        </is>
      </c>
      <c r="B643" t="inlineStr">
        <is>
          <t>Kab. Barito Selatan</t>
        </is>
      </c>
      <c r="C643" t="inlineStr">
        <is>
          <t>085249999289</t>
        </is>
      </c>
      <c r="D643" t="inlineStr">
        <is>
          <t>cv.simangsakti@gmail.com</t>
        </is>
      </c>
      <c r="E643" t="inlineStr">
        <is>
          <t>https://lpjk.pu.go.id/search-badan-usaha-detail/UitUYW5OdHdoamJnckE5c20zTXkydz09</t>
        </is>
      </c>
      <c r="F643" t="n">
        <v>6</v>
      </c>
      <c r="G643" t="inlineStr">
        <is>
          <t>BG009</t>
        </is>
      </c>
      <c r="H643" t="inlineStr">
        <is>
          <t>28 Juni 2023</t>
        </is>
      </c>
      <c r="I643" s="2" t="n">
        <v>46313</v>
      </c>
      <c r="J643" t="inlineStr">
        <is>
          <t>Disetujui</t>
        </is>
      </c>
      <c r="K643" t="n">
        <v>60</v>
      </c>
      <c r="L643" t="inlineStr">
        <is>
          <t>18 Oktober 2026</t>
        </is>
      </c>
      <c r="M643" t="inlineStr">
        <is>
          <t>Konstruksi Gedung Lainnya</t>
        </is>
      </c>
      <c r="N643" t="inlineStr">
        <is>
          <t>K</t>
        </is>
      </c>
      <c r="O643" t="inlineStr">
        <is>
          <t>20231005</t>
        </is>
      </c>
      <c r="P643" t="inlineStr">
        <is>
          <t>Kalimantan Tengah</t>
        </is>
      </c>
      <c r="Q643" t="inlineStr"/>
    </row>
    <row r="644">
      <c r="A644" t="inlineStr">
        <is>
          <t>SIMPANG LIDO SENTOSA</t>
        </is>
      </c>
      <c r="B644" t="inlineStr">
        <is>
          <t>Kota Pontianak</t>
        </is>
      </c>
      <c r="C644" t="inlineStr">
        <is>
          <t>089520365354</t>
        </is>
      </c>
      <c r="D644" t="inlineStr">
        <is>
          <t>simpanglidosentosa@gmail.com</t>
        </is>
      </c>
      <c r="E644" t="inlineStr">
        <is>
          <t>https://lpjk.pu.go.id/search-badan-usaha-detail/WUFDdDhaOEYxM1dWZWxhRUlQSG9IZz09</t>
        </is>
      </c>
      <c r="F644" t="n">
        <v>5</v>
      </c>
      <c r="G644" t="inlineStr">
        <is>
          <t>BG002, BG005, BG006, BG008, BG009</t>
        </is>
      </c>
      <c r="H644" t="inlineStr">
        <is>
          <t>3 Agustus 2023</t>
        </is>
      </c>
      <c r="I644" s="2" t="n">
        <v>46313</v>
      </c>
      <c r="J644" t="inlineStr">
        <is>
          <t>Disetujui</t>
        </is>
      </c>
      <c r="K644" t="n">
        <v>60</v>
      </c>
      <c r="L644" t="inlineStr">
        <is>
          <t>18 Oktober 2026</t>
        </is>
      </c>
      <c r="M644" t="inlineStr">
        <is>
          <t>Konstruksi Gedung Kesehatan, Konstruksi Gedung Lainnya, Konstruksi Gedung Pendidikan, Konstruksi Gedung Perkantoran, Konstruksi Gedung Tempat Hiburan dan Olahraga</t>
        </is>
      </c>
      <c r="N644" t="inlineStr">
        <is>
          <t>K</t>
        </is>
      </c>
      <c r="O644" t="inlineStr">
        <is>
          <t>20231016</t>
        </is>
      </c>
      <c r="P644" t="inlineStr">
        <is>
          <t>Kalimantan Barat</t>
        </is>
      </c>
      <c r="Q644" t="inlineStr"/>
    </row>
    <row r="645">
      <c r="A645" t="inlineStr">
        <is>
          <t>SINAR ABADI MANDIRI</t>
        </is>
      </c>
      <c r="B645" t="inlineStr">
        <is>
          <t>Kota Bandung</t>
        </is>
      </c>
      <c r="C645" t="inlineStr">
        <is>
          <t>022</t>
        </is>
      </c>
      <c r="D645" t="inlineStr">
        <is>
          <t>sinarabadimandiri0@gmail.com</t>
        </is>
      </c>
      <c r="E645" t="inlineStr">
        <is>
          <t>https://lpjk.pu.go.id/search-badan-usaha-detail/a3RjeUtDSTRPYTZzZlNPL3J0L2lFQT09</t>
        </is>
      </c>
      <c r="F645" t="n">
        <v>2</v>
      </c>
      <c r="G645" t="inlineStr">
        <is>
          <t>BG001, BG002</t>
        </is>
      </c>
      <c r="H645" t="inlineStr">
        <is>
          <t>28 Januari 2020</t>
        </is>
      </c>
      <c r="I645" s="2" t="n">
        <v>46310</v>
      </c>
      <c r="J645" t="inlineStr">
        <is>
          <t>Disetujui</t>
        </is>
      </c>
      <c r="K645" t="n">
        <v>60</v>
      </c>
      <c r="L645" t="inlineStr">
        <is>
          <t>15 Oktober 2026</t>
        </is>
      </c>
      <c r="M645" t="inlineStr">
        <is>
          <t>Konstruksi Gedung Hunian, Konstruksi Gedung Perkantoran</t>
        </is>
      </c>
      <c r="N645" t="inlineStr">
        <is>
          <t>K</t>
        </is>
      </c>
      <c r="O645" t="inlineStr">
        <is>
          <t>20231012, 20231016</t>
        </is>
      </c>
      <c r="P645" t="inlineStr">
        <is>
          <t>Jawa Barat</t>
        </is>
      </c>
      <c r="Q645" t="inlineStr"/>
    </row>
    <row r="646">
      <c r="A646" t="inlineStr">
        <is>
          <t>SINAR ADAM</t>
        </is>
      </c>
      <c r="B646" t="inlineStr">
        <is>
          <t>Kota Metro</t>
        </is>
      </c>
      <c r="C646" t="inlineStr">
        <is>
          <t>082380777790</t>
        </is>
      </c>
      <c r="D646" t="inlineStr">
        <is>
          <t>sinaradam77@gmail.com</t>
        </is>
      </c>
      <c r="E646" t="inlineStr">
        <is>
          <t>https://lpjk.pu.go.id/search-badan-usaha-detail/RUEzQ3VYSGs0dEc2MGNPSStWYmtCQT09</t>
        </is>
      </c>
      <c r="F646" t="n">
        <v>2</v>
      </c>
      <c r="G646" t="inlineStr">
        <is>
          <t>BS001, BS004</t>
        </is>
      </c>
      <c r="H646" t="inlineStr">
        <is>
          <t>26 Oktober 2001</t>
        </is>
      </c>
      <c r="I646" s="2" t="n">
        <v>46307</v>
      </c>
      <c r="J646" t="inlineStr">
        <is>
          <t>Disetujui, Permohonan Perubahan Non Asesmen</t>
        </is>
      </c>
      <c r="K646" t="n">
        <v>60</v>
      </c>
      <c r="L646" t="inlineStr">
        <is>
          <t>12 Oktober 2026</t>
        </is>
      </c>
      <c r="M646" t="inlineStr">
        <is>
          <t>Konstruksi Bangunan Sipil Jalan, Konstruksi Jaringan Irigasi dan Drainase</t>
        </is>
      </c>
      <c r="N646" t="inlineStr">
        <is>
          <t>K</t>
        </is>
      </c>
      <c r="O646" t="inlineStr">
        <is>
          <t>20231012</t>
        </is>
      </c>
      <c r="P646" t="inlineStr">
        <is>
          <t>Lampung</t>
        </is>
      </c>
      <c r="Q646" t="inlineStr"/>
    </row>
    <row r="647">
      <c r="A647" t="inlineStr">
        <is>
          <t>SINAR JAYA</t>
        </is>
      </c>
      <c r="B647" t="inlineStr">
        <is>
          <t>Kota Medan</t>
        </is>
      </c>
      <c r="C647" t="inlineStr">
        <is>
          <t>085830287900</t>
        </is>
      </c>
      <c r="D647" t="inlineStr">
        <is>
          <t>cvsinarjaya@rocketmail.com</t>
        </is>
      </c>
      <c r="E647" t="inlineStr">
        <is>
          <t>https://lpjk.pu.go.id/search-badan-usaha-detail/WnpQSC81alljdE1GeC9BUWZ6RG9NZz09</t>
        </is>
      </c>
      <c r="F647" t="n">
        <v>1</v>
      </c>
      <c r="G647" t="inlineStr">
        <is>
          <t>BG009</t>
        </is>
      </c>
      <c r="H647" t="inlineStr">
        <is>
          <t>18 Oktober 2005</t>
        </is>
      </c>
      <c r="I647" s="2" t="n">
        <v>46310</v>
      </c>
      <c r="J647" t="inlineStr">
        <is>
          <t>Disetujui</t>
        </is>
      </c>
      <c r="K647" t="n">
        <v>60</v>
      </c>
      <c r="L647" t="inlineStr">
        <is>
          <t>15 Oktober 2026</t>
        </is>
      </c>
      <c r="M647" t="inlineStr">
        <is>
          <t>Konstruksi Gedung Lainnya</t>
        </is>
      </c>
      <c r="N647" t="inlineStr">
        <is>
          <t>K</t>
        </is>
      </c>
      <c r="O647" t="inlineStr">
        <is>
          <t>20231016</t>
        </is>
      </c>
      <c r="P647" t="inlineStr">
        <is>
          <t>Sumatera Utara</t>
        </is>
      </c>
      <c r="Q647" t="inlineStr"/>
    </row>
    <row r="648">
      <c r="A648" t="inlineStr">
        <is>
          <t>SINAR LAWU</t>
        </is>
      </c>
      <c r="B648" t="inlineStr">
        <is>
          <t>Kab. Ngawi</t>
        </is>
      </c>
      <c r="C648" t="inlineStr">
        <is>
          <t>81335681849</t>
        </is>
      </c>
      <c r="D648" t="inlineStr">
        <is>
          <t>sinar.lawu@gmail.com</t>
        </is>
      </c>
      <c r="E648" t="inlineStr">
        <is>
          <t>https://lpjk.pu.go.id/search-badan-usaha-detail/cGljbHM2VWdocGlMR2hpV1pxanRDZz09</t>
        </is>
      </c>
      <c r="F648" t="n">
        <v>2</v>
      </c>
      <c r="G648" t="inlineStr">
        <is>
          <t>BG002, BG005</t>
        </is>
      </c>
      <c r="H648" t="inlineStr">
        <is>
          <t>2 November 1994</t>
        </is>
      </c>
      <c r="I648" s="2" t="n">
        <v>46313</v>
      </c>
      <c r="J648" t="inlineStr">
        <is>
          <t>Disetujui</t>
        </is>
      </c>
      <c r="K648" t="n">
        <v>60</v>
      </c>
      <c r="L648" t="inlineStr">
        <is>
          <t>18 Oktober 2026</t>
        </is>
      </c>
      <c r="M648" t="inlineStr">
        <is>
          <t>Konstruksi Gedung Kesehatan, Konstruksi Gedung Perkantoran</t>
        </is>
      </c>
      <c r="N648" t="inlineStr">
        <is>
          <t>K</t>
        </is>
      </c>
      <c r="O648" t="inlineStr">
        <is>
          <t>20231007, 20231008</t>
        </is>
      </c>
      <c r="P648" t="inlineStr">
        <is>
          <t>Jawa Timur</t>
        </is>
      </c>
      <c r="Q648" t="inlineStr"/>
    </row>
    <row r="649">
      <c r="A649" t="inlineStr">
        <is>
          <t>SINAR MENTARI</t>
        </is>
      </c>
      <c r="B649" t="inlineStr">
        <is>
          <t>Kota Bandung</t>
        </is>
      </c>
      <c r="C649" t="inlineStr">
        <is>
          <t>08122059695</t>
        </is>
      </c>
      <c r="D649" t="inlineStr">
        <is>
          <t>mentaricvsinar@gmail.com</t>
        </is>
      </c>
      <c r="E649" t="inlineStr">
        <is>
          <t>https://lpjk.pu.go.id/search-badan-usaha-detail/dE9PdzEyYlptVEFXblNhR01xakZ5UT09</t>
        </is>
      </c>
      <c r="F649" t="n">
        <v>1</v>
      </c>
      <c r="G649" t="inlineStr">
        <is>
          <t>BG006</t>
        </is>
      </c>
      <c r="H649" t="inlineStr">
        <is>
          <t>24 Januari 2023</t>
        </is>
      </c>
      <c r="I649" s="2" t="n">
        <v>46312</v>
      </c>
      <c r="J649" t="inlineStr">
        <is>
          <t>Disetujui</t>
        </is>
      </c>
      <c r="K649" t="n">
        <v>60</v>
      </c>
      <c r="L649" t="inlineStr">
        <is>
          <t>17 Oktober 2026</t>
        </is>
      </c>
      <c r="M649" t="inlineStr">
        <is>
          <t>Konstruksi Gedung Pendidikan</t>
        </is>
      </c>
      <c r="N649" t="inlineStr">
        <is>
          <t>K</t>
        </is>
      </c>
      <c r="O649" t="inlineStr">
        <is>
          <t>20231017</t>
        </is>
      </c>
      <c r="P649" t="inlineStr">
        <is>
          <t>Jawa Barat</t>
        </is>
      </c>
      <c r="Q649" t="inlineStr"/>
    </row>
    <row r="650">
      <c r="A650" t="inlineStr">
        <is>
          <t>SINDO WAHANA</t>
        </is>
      </c>
      <c r="B650" t="inlineStr">
        <is>
          <t>Kota Adm. Jakarta Barat</t>
        </is>
      </c>
      <c r="C650" t="inlineStr">
        <is>
          <t>0216926636</t>
        </is>
      </c>
      <c r="D650" t="inlineStr">
        <is>
          <t>sindowahana72@gmail.com</t>
        </is>
      </c>
      <c r="E650" t="inlineStr">
        <is>
          <t>https://lpjk.pu.go.id/search-badan-usaha-detail/WUttT3o0ZE1GQmRoUkZSdWdKQURqdz09</t>
        </is>
      </c>
      <c r="F650" t="n">
        <v>2</v>
      </c>
      <c r="G650" t="inlineStr">
        <is>
          <t>IN001, IN007</t>
        </is>
      </c>
      <c r="H650" t="inlineStr">
        <is>
          <t>3 Maret 1992</t>
        </is>
      </c>
      <c r="I650" s="2" t="n">
        <v>46312</v>
      </c>
      <c r="J650" t="inlineStr">
        <is>
          <t>Pembekuan</t>
        </is>
      </c>
      <c r="K650" t="n">
        <v>60</v>
      </c>
      <c r="L650" t="inlineStr">
        <is>
          <t>17 Oktober 2026</t>
        </is>
      </c>
      <c r="M650" t="inlineStr">
        <is>
          <t>Instalasi Mekanikal, Instalasi Saluran Air (Plambing)</t>
        </is>
      </c>
      <c r="N650" t="inlineStr">
        <is>
          <t>Spesialis</t>
        </is>
      </c>
      <c r="O650" t="inlineStr">
        <is>
          <t>20231012, 20231017</t>
        </is>
      </c>
      <c r="P650" t="inlineStr">
        <is>
          <t>DKI Jakarta</t>
        </is>
      </c>
      <c r="Q650" t="inlineStr"/>
    </row>
    <row r="651">
      <c r="A651" t="inlineStr">
        <is>
          <t>SINERGI LESTARI KARYA</t>
        </is>
      </c>
      <c r="B651" t="inlineStr">
        <is>
          <t>Kab. Siak</t>
        </is>
      </c>
      <c r="C651" t="inlineStr">
        <is>
          <t>082384386285</t>
        </is>
      </c>
      <c r="D651" t="inlineStr">
        <is>
          <t>sinergilestarikarya@gmail.com</t>
        </is>
      </c>
      <c r="E651" t="inlineStr">
        <is>
          <t>https://lpjk.pu.go.id/search-badan-usaha-detail/L0IwMlF6VzlkLyttWStNZlRiR1pIZz09</t>
        </is>
      </c>
      <c r="F651" t="n">
        <v>1</v>
      </c>
      <c r="G651" t="inlineStr">
        <is>
          <t>AR001</t>
        </is>
      </c>
      <c r="H651" t="inlineStr">
        <is>
          <t>6 Juli 2023</t>
        </is>
      </c>
      <c r="I651" s="2" t="n">
        <v>46313</v>
      </c>
      <c r="J651" t="inlineStr">
        <is>
          <t>Pencabutan</t>
        </is>
      </c>
      <c r="K651" t="n">
        <v>60</v>
      </c>
      <c r="L651" t="inlineStr">
        <is>
          <t>18 Oktober 2026</t>
        </is>
      </c>
      <c r="M651" t="inlineStr">
        <is>
          <t>Jasa Arsitektural Bangunan Gedung Hunian dan Non Hunian</t>
        </is>
      </c>
      <c r="N651" t="inlineStr">
        <is>
          <t>K</t>
        </is>
      </c>
      <c r="O651" t="inlineStr">
        <is>
          <t>20231013</t>
        </is>
      </c>
      <c r="P651" t="inlineStr">
        <is>
          <t>Riau</t>
        </is>
      </c>
      <c r="Q651" t="inlineStr"/>
    </row>
    <row r="652">
      <c r="A652" t="inlineStr">
        <is>
          <t>SINERGITAS BANGUN GRAHA</t>
        </is>
      </c>
      <c r="B652" t="inlineStr">
        <is>
          <t>Kota Adm. Jakarta Utara</t>
        </is>
      </c>
      <c r="C652" t="inlineStr">
        <is>
          <t>08159365289</t>
        </is>
      </c>
      <c r="D652" t="inlineStr">
        <is>
          <t>sinergitasbangungraha@gmail.com</t>
        </is>
      </c>
      <c r="E652" t="inlineStr">
        <is>
          <t>https://lpjk.pu.go.id/search-badan-usaha-detail/OTdOdW0rbE1RRkxoRU9HcTRmR1puZz09</t>
        </is>
      </c>
      <c r="F652" t="n">
        <v>3</v>
      </c>
      <c r="G652" t="inlineStr">
        <is>
          <t>BG001, BG003, BG009</t>
        </is>
      </c>
      <c r="H652" t="inlineStr">
        <is>
          <t>24 Maret 2020</t>
        </is>
      </c>
      <c r="I652" s="2" t="n">
        <v>46312</v>
      </c>
      <c r="J652" t="inlineStr">
        <is>
          <t>Disetujui</t>
        </is>
      </c>
      <c r="K652" t="n">
        <v>60</v>
      </c>
      <c r="L652" t="inlineStr">
        <is>
          <t>17 Oktober 2026</t>
        </is>
      </c>
      <c r="M652" t="inlineStr">
        <is>
          <t>Konstruksi Gedung Hunian, Konstruksi Gedung Industri, Konstruksi Gedung Lainnya</t>
        </is>
      </c>
      <c r="N652" t="inlineStr">
        <is>
          <t>K</t>
        </is>
      </c>
      <c r="O652" t="inlineStr">
        <is>
          <t>20231010</t>
        </is>
      </c>
      <c r="P652" t="inlineStr">
        <is>
          <t>DKI Jakarta</t>
        </is>
      </c>
      <c r="Q652" t="inlineStr"/>
    </row>
    <row r="653">
      <c r="A653" t="inlineStr">
        <is>
          <t>SINERGY BERSAMA MANDIRI</t>
        </is>
      </c>
      <c r="B653" t="inlineStr">
        <is>
          <t>Kab. Tangerang</t>
        </is>
      </c>
      <c r="C653" t="inlineStr">
        <is>
          <t>087772461717</t>
        </is>
      </c>
      <c r="D653" t="inlineStr">
        <is>
          <t>-</t>
        </is>
      </c>
      <c r="E653" t="inlineStr">
        <is>
          <t>https://lpjk.pu.go.id/search-badan-usaha-detail/UVhUS3Qrems1Sjh4MlBQNFdvTTArUT09</t>
        </is>
      </c>
      <c r="F653" t="n">
        <v>1</v>
      </c>
      <c r="G653" t="inlineStr">
        <is>
          <t>BS002</t>
        </is>
      </c>
      <c r="H653" t="inlineStr">
        <is>
          <t>24 Januari 2014</t>
        </is>
      </c>
      <c r="I653" s="2" t="n">
        <v>46313</v>
      </c>
      <c r="J653" t="inlineStr">
        <is>
          <t>Pencabutan</t>
        </is>
      </c>
      <c r="K653" t="n">
        <v>60</v>
      </c>
      <c r="L653" t="inlineStr">
        <is>
          <t>18 Oktober 2026</t>
        </is>
      </c>
      <c r="M653" t="inlineStr">
        <is>
          <t>Bangunan Sipil Jembatan, Jalan Layang, Fly Over, dan Underpass</t>
        </is>
      </c>
      <c r="N653" t="inlineStr">
        <is>
          <t>K</t>
        </is>
      </c>
      <c r="O653" t="inlineStr">
        <is>
          <t>20231018</t>
        </is>
      </c>
      <c r="P653" t="inlineStr">
        <is>
          <t>Banten</t>
        </is>
      </c>
      <c r="Q653" t="inlineStr"/>
    </row>
    <row r="654">
      <c r="A654" t="inlineStr">
        <is>
          <t>SINERGY JAYA</t>
        </is>
      </c>
      <c r="B654" t="inlineStr">
        <is>
          <t>Kab. Bojonegoro</t>
        </is>
      </c>
      <c r="C654" t="inlineStr">
        <is>
          <t>085236661793</t>
        </is>
      </c>
      <c r="D654" t="inlineStr">
        <is>
          <t>sinergyjaya@gmail.com</t>
        </is>
      </c>
      <c r="E654" t="inlineStr">
        <is>
          <t>https://lpjk.pu.go.id/search-badan-usaha-detail/bGJIUmlsVFFXMTF2eXVkV3hRTExVQT09</t>
        </is>
      </c>
      <c r="F654" t="n">
        <v>3</v>
      </c>
      <c r="G654" t="inlineStr">
        <is>
          <t>BG005, BG006, BG009</t>
        </is>
      </c>
      <c r="H654" t="inlineStr">
        <is>
          <t>24 Januari 2019</t>
        </is>
      </c>
      <c r="I654" s="2" t="n">
        <v>46313</v>
      </c>
      <c r="J654" t="inlineStr">
        <is>
          <t>Disetujui</t>
        </is>
      </c>
      <c r="K654" t="n">
        <v>60</v>
      </c>
      <c r="L654" t="inlineStr">
        <is>
          <t>18 Oktober 2026</t>
        </is>
      </c>
      <c r="M654" t="inlineStr">
        <is>
          <t>Konstruksi Gedung Kesehatan, Konstruksi Gedung Lainnya, Konstruksi Gedung Pendidikan</t>
        </is>
      </c>
      <c r="N654" t="inlineStr">
        <is>
          <t>K</t>
        </is>
      </c>
      <c r="O654" t="inlineStr">
        <is>
          <t>20231016, 20231017</t>
        </is>
      </c>
      <c r="P654" t="inlineStr">
        <is>
          <t>Jawa Timur</t>
        </is>
      </c>
      <c r="Q654" t="inlineStr"/>
    </row>
    <row r="655">
      <c r="A655" t="inlineStr">
        <is>
          <t>SINTESA NARAJAYA</t>
        </is>
      </c>
      <c r="B655" t="inlineStr">
        <is>
          <t>Kota Serang</t>
        </is>
      </c>
      <c r="C655" t="inlineStr">
        <is>
          <t>08176952608</t>
        </is>
      </c>
      <c r="D655" t="inlineStr">
        <is>
          <t>sintesanarajaya@gmail.com</t>
        </is>
      </c>
      <c r="E655" t="inlineStr">
        <is>
          <t>https://lpjk.pu.go.id/search-badan-usaha-detail/N1dxRWhtTTZRR21MUjlRQ3VLRkg5Zz09</t>
        </is>
      </c>
      <c r="F655" t="n">
        <v>1</v>
      </c>
      <c r="G655" t="inlineStr">
        <is>
          <t>BG009</t>
        </is>
      </c>
      <c r="H655" t="inlineStr">
        <is>
          <t>21 Juni 2019</t>
        </is>
      </c>
      <c r="I655" s="2" t="n">
        <v>46307</v>
      </c>
      <c r="J655" t="inlineStr">
        <is>
          <t>Disetujui</t>
        </is>
      </c>
      <c r="K655" t="n">
        <v>60</v>
      </c>
      <c r="L655" t="inlineStr">
        <is>
          <t>12 Oktober 2026</t>
        </is>
      </c>
      <c r="M655" t="inlineStr">
        <is>
          <t>Konstruksi Gedung Lainnya</t>
        </is>
      </c>
      <c r="N655" t="inlineStr">
        <is>
          <t>K</t>
        </is>
      </c>
      <c r="O655" t="inlineStr">
        <is>
          <t>20231009</t>
        </is>
      </c>
      <c r="P655" t="inlineStr">
        <is>
          <t>Banten</t>
        </is>
      </c>
      <c r="Q655" t="inlineStr"/>
    </row>
    <row r="656">
      <c r="A656" t="inlineStr">
        <is>
          <t>SIWA KARYATAMA</t>
        </is>
      </c>
      <c r="B656" t="inlineStr">
        <is>
          <t>Kota Kendari</t>
        </is>
      </c>
      <c r="C656" t="inlineStr">
        <is>
          <t>085343598808</t>
        </is>
      </c>
      <c r="D656" t="inlineStr">
        <is>
          <t>siwakaryatama.cv@gmail.com</t>
        </is>
      </c>
      <c r="E656" t="inlineStr">
        <is>
          <t>https://lpjk.pu.go.id/search-badan-usaha-detail/NVVuNEhwdDZpK1ZQZElHRnR0bGx2dz09</t>
        </is>
      </c>
      <c r="F656" t="n">
        <v>5</v>
      </c>
      <c r="G656" t="inlineStr">
        <is>
          <t>BG002, BG005, BG009, BS001, BS004</t>
        </is>
      </c>
      <c r="H656" t="inlineStr">
        <is>
          <t>8 Januari 2019</t>
        </is>
      </c>
      <c r="I656" s="2" t="n">
        <v>46312</v>
      </c>
      <c r="J656" t="inlineStr">
        <is>
          <t>Disetujui</t>
        </is>
      </c>
      <c r="K656" t="n">
        <v>60</v>
      </c>
      <c r="L656" t="inlineStr">
        <is>
          <t>17 Oktober 2026</t>
        </is>
      </c>
      <c r="M656" t="inlineStr">
        <is>
          <t>Konstruksi Bangunan Sipil Jalan, Konstruksi Gedung Kesehatan, Konstruksi Gedung Lainnya, Konstruksi Gedung Perkantoran, Konstruksi Jaringan Irigasi dan Drainase</t>
        </is>
      </c>
      <c r="N656" t="inlineStr">
        <is>
          <t>K</t>
        </is>
      </c>
      <c r="O656" t="inlineStr">
        <is>
          <t>20231004, 20231011</t>
        </is>
      </c>
      <c r="P656" t="inlineStr">
        <is>
          <t>Sulawesi Tenggara</t>
        </is>
      </c>
      <c r="Q656" t="inlineStr"/>
    </row>
    <row r="657">
      <c r="A657" t="inlineStr">
        <is>
          <t>SKALA MAKNA RUANG</t>
        </is>
      </c>
      <c r="B657" t="inlineStr">
        <is>
          <t>Kota Adm. Jakarta Selatan</t>
        </is>
      </c>
      <c r="C657" t="inlineStr">
        <is>
          <t>0217362639</t>
        </is>
      </c>
      <c r="D657" t="inlineStr">
        <is>
          <t>ptskalamaknaruang@gmail.com</t>
        </is>
      </c>
      <c r="E657" t="inlineStr">
        <is>
          <t>https://lpjk.pu.go.id/search-badan-usaha-detail/MWJrM1NxcTRzRDVSVmxNdDRxbDdqQT09</t>
        </is>
      </c>
      <c r="F657" t="n">
        <v>1</v>
      </c>
      <c r="G657" t="inlineStr">
        <is>
          <t>AR001</t>
        </is>
      </c>
      <c r="H657" t="inlineStr">
        <is>
          <t>28 Juli 2023</t>
        </is>
      </c>
      <c r="I657" s="2" t="n">
        <v>46310</v>
      </c>
      <c r="J657" t="inlineStr">
        <is>
          <t>Disetujui</t>
        </is>
      </c>
      <c r="K657" t="n">
        <v>60</v>
      </c>
      <c r="L657" t="inlineStr">
        <is>
          <t>15 Oktober 2026</t>
        </is>
      </c>
      <c r="M657" t="inlineStr">
        <is>
          <t>Jasa Arsitektural Bangunan Gedung Hunian dan Non Hunian</t>
        </is>
      </c>
      <c r="N657" t="inlineStr">
        <is>
          <t>K</t>
        </is>
      </c>
      <c r="O657" t="inlineStr">
        <is>
          <t>20231005</t>
        </is>
      </c>
      <c r="P657" t="inlineStr">
        <is>
          <t>DKI Jakarta</t>
        </is>
      </c>
      <c r="Q657" t="inlineStr"/>
    </row>
    <row r="658">
      <c r="A658" t="inlineStr">
        <is>
          <t>SOLATA MAKMUR</t>
        </is>
      </c>
      <c r="B658" t="inlineStr">
        <is>
          <t>Kab. Nunukan</t>
        </is>
      </c>
      <c r="C658" t="inlineStr">
        <is>
          <t>082349046166</t>
        </is>
      </c>
      <c r="D658" t="inlineStr">
        <is>
          <t>solatamakmur@gmail.com</t>
        </is>
      </c>
      <c r="E658" t="inlineStr">
        <is>
          <t>https://lpjk.pu.go.id/search-badan-usaha-detail/dWhxc1RmQzF4T0h3UU52UjFZeWtOQT09</t>
        </is>
      </c>
      <c r="F658" t="n">
        <v>2</v>
      </c>
      <c r="G658" t="inlineStr">
        <is>
          <t>BG009</t>
        </is>
      </c>
      <c r="H658" t="inlineStr">
        <is>
          <t>14 September 2020</t>
        </is>
      </c>
      <c r="I658" s="2" t="n">
        <v>46307</v>
      </c>
      <c r="J658" t="inlineStr">
        <is>
          <t>Disetujui</t>
        </is>
      </c>
      <c r="K658" t="n">
        <v>60</v>
      </c>
      <c r="L658" t="inlineStr">
        <is>
          <t>12 Oktober 2026</t>
        </is>
      </c>
      <c r="M658" t="inlineStr">
        <is>
          <t>Konstruksi Gedung Lainnya</t>
        </is>
      </c>
      <c r="N658" t="inlineStr">
        <is>
          <t>K</t>
        </is>
      </c>
      <c r="O658" t="inlineStr">
        <is>
          <t>20231010</t>
        </is>
      </c>
      <c r="P658" t="inlineStr">
        <is>
          <t>Kalimantan Utara</t>
        </is>
      </c>
      <c r="Q658" t="inlineStr"/>
    </row>
    <row r="659">
      <c r="A659" t="inlineStr">
        <is>
          <t>STAR MITRA SULAWESI</t>
        </is>
      </c>
      <c r="B659" t="inlineStr">
        <is>
          <t>Kota Makassar</t>
        </is>
      </c>
      <c r="C659" t="inlineStr">
        <is>
          <t>085227641192</t>
        </is>
      </c>
      <c r="D659" t="inlineStr">
        <is>
          <t>pt_sms@yahoo.com</t>
        </is>
      </c>
      <c r="E659" t="inlineStr">
        <is>
          <t>https://lpjk.pu.go.id/search-badan-usaha-detail/VkVjdzc1SEYwWVRBZTZuOUFhd0xBZz09</t>
        </is>
      </c>
      <c r="F659" t="n">
        <v>3</v>
      </c>
      <c r="G659" t="inlineStr">
        <is>
          <t>BG004, BG005, BG006</t>
        </is>
      </c>
      <c r="H659" t="inlineStr">
        <is>
          <t>4 Januari 2008</t>
        </is>
      </c>
      <c r="I659" s="2" t="n">
        <v>46311</v>
      </c>
      <c r="J659" t="inlineStr">
        <is>
          <t>Disetujui</t>
        </is>
      </c>
      <c r="K659" t="n">
        <v>60</v>
      </c>
      <c r="L659" t="inlineStr">
        <is>
          <t>16 Oktober 2026</t>
        </is>
      </c>
      <c r="M659" t="inlineStr">
        <is>
          <t>Konstruksi Gedung Kesehatan, Konstruksi Gedung Pendidikan, Konstruksi Gedung Perbelanjaan</t>
        </is>
      </c>
      <c r="N659" t="inlineStr">
        <is>
          <t>K</t>
        </is>
      </c>
      <c r="O659" t="inlineStr">
        <is>
          <t>20231011</t>
        </is>
      </c>
      <c r="P659" t="inlineStr">
        <is>
          <t>Sulawesi Selatan</t>
        </is>
      </c>
      <c r="Q659" t="inlineStr"/>
    </row>
    <row r="660">
      <c r="A660" t="inlineStr">
        <is>
          <t>SUCI TRI LESTARI</t>
        </is>
      </c>
      <c r="B660" t="inlineStr">
        <is>
          <t>Kota Pekanbaru</t>
        </is>
      </c>
      <c r="C660" t="inlineStr">
        <is>
          <t>082385599944</t>
        </is>
      </c>
      <c r="D660" t="inlineStr">
        <is>
          <t>cvsucitrilestari@gmail.com</t>
        </is>
      </c>
      <c r="E660" t="inlineStr">
        <is>
          <t>https://lpjk.pu.go.id/search-badan-usaha-detail/b1I5bERyS2VScVBIcHlpaDFBYkZTZz09</t>
        </is>
      </c>
      <c r="F660" t="n">
        <v>2</v>
      </c>
      <c r="G660" t="inlineStr">
        <is>
          <t>BG002, BS010</t>
        </is>
      </c>
      <c r="H660" t="inlineStr">
        <is>
          <t>19 Agustus 2023</t>
        </is>
      </c>
      <c r="I660" s="2" t="n">
        <v>46307</v>
      </c>
      <c r="J660" t="inlineStr">
        <is>
          <t>Pencabutan</t>
        </is>
      </c>
      <c r="K660" t="n">
        <v>60</v>
      </c>
      <c r="L660" t="inlineStr">
        <is>
          <t>12 Oktober 2026</t>
        </is>
      </c>
      <c r="M660" t="inlineStr">
        <is>
          <t>Konstruksi Bangunan Prasarana Sumber Daya Air, Konstruksi Gedung Perkantoran</t>
        </is>
      </c>
      <c r="N660" t="inlineStr">
        <is>
          <t>K</t>
        </is>
      </c>
      <c r="O660" t="inlineStr">
        <is>
          <t>20231012</t>
        </is>
      </c>
      <c r="P660" t="inlineStr">
        <is>
          <t>Riau</t>
        </is>
      </c>
      <c r="Q660" t="inlineStr"/>
    </row>
    <row r="661">
      <c r="A661" t="inlineStr">
        <is>
          <t>SUMBER ANUGRAH MANDIRI</t>
        </is>
      </c>
      <c r="B661" t="inlineStr">
        <is>
          <t>Kab. Magetan</t>
        </is>
      </c>
      <c r="C661" t="inlineStr">
        <is>
          <t>081235598057</t>
        </is>
      </c>
      <c r="D661" t="inlineStr">
        <is>
          <t>cv.sumberanugrahmandiri@gmail.com</t>
        </is>
      </c>
      <c r="E661" t="inlineStr">
        <is>
          <t>https://lpjk.pu.go.id/search-badan-usaha-detail/SXhnOWFNVnByeXFqWXMrYllsbE90QT09</t>
        </is>
      </c>
      <c r="F661" t="n">
        <v>1</v>
      </c>
      <c r="G661" t="inlineStr">
        <is>
          <t>BS004</t>
        </is>
      </c>
      <c r="H661" t="inlineStr">
        <is>
          <t>15 Juli 2011</t>
        </is>
      </c>
      <c r="I661" s="2" t="n">
        <v>46313</v>
      </c>
      <c r="J661" t="inlineStr">
        <is>
          <t>Pencabutan</t>
        </is>
      </c>
      <c r="K661" t="n">
        <v>60</v>
      </c>
      <c r="L661" t="inlineStr">
        <is>
          <t>18 Oktober 2026</t>
        </is>
      </c>
      <c r="M661" t="inlineStr">
        <is>
          <t>Konstruksi Jaringan Irigasi dan Drainase</t>
        </is>
      </c>
      <c r="N661" t="inlineStr">
        <is>
          <t>K</t>
        </is>
      </c>
      <c r="O661" t="inlineStr">
        <is>
          <t>20221101</t>
        </is>
      </c>
      <c r="P661" t="inlineStr">
        <is>
          <t>Jawa Timur</t>
        </is>
      </c>
      <c r="Q661" t="inlineStr"/>
    </row>
    <row r="662">
      <c r="A662" t="inlineStr">
        <is>
          <t>SUMBER JATI</t>
        </is>
      </c>
      <c r="B662" t="inlineStr">
        <is>
          <t>Kab. Kediri</t>
        </is>
      </c>
      <c r="C662" t="inlineStr">
        <is>
          <t>085856768882</t>
        </is>
      </c>
      <c r="D662" t="inlineStr">
        <is>
          <t>sumberjaticv.kediri@yahoo.com</t>
        </is>
      </c>
      <c r="E662" t="inlineStr">
        <is>
          <t>https://lpjk.pu.go.id/search-badan-usaha-detail/elFSREV4OUVpV2F3YWUrdXVqcjZadz09</t>
        </is>
      </c>
      <c r="F662" t="n">
        <v>1</v>
      </c>
      <c r="G662" t="inlineStr">
        <is>
          <t>BS004</t>
        </is>
      </c>
      <c r="H662" t="inlineStr">
        <is>
          <t>22 Juni 1976</t>
        </is>
      </c>
      <c r="I662" s="2" t="n">
        <v>46312</v>
      </c>
      <c r="J662" t="inlineStr">
        <is>
          <t>Disetujui</t>
        </is>
      </c>
      <c r="K662" t="n">
        <v>60</v>
      </c>
      <c r="L662" t="inlineStr">
        <is>
          <t>17 Oktober 2026</t>
        </is>
      </c>
      <c r="M662" t="inlineStr">
        <is>
          <t>Konstruksi Jaringan Irigasi dan Drainase</t>
        </is>
      </c>
      <c r="N662" t="inlineStr">
        <is>
          <t>K</t>
        </is>
      </c>
      <c r="O662" t="inlineStr">
        <is>
          <t>20231010</t>
        </is>
      </c>
      <c r="P662" t="inlineStr">
        <is>
          <t>Jawa Timur</t>
        </is>
      </c>
      <c r="Q662" t="inlineStr"/>
    </row>
    <row r="663">
      <c r="A663" t="inlineStr">
        <is>
          <t>SUMBER JAYA</t>
        </is>
      </c>
      <c r="B663" t="inlineStr">
        <is>
          <t>Kota Surabaya</t>
        </is>
      </c>
      <c r="C663" t="inlineStr">
        <is>
          <t>0315673911</t>
        </is>
      </c>
      <c r="D663" t="inlineStr">
        <is>
          <t>sumberjaya_cv@gmail.com</t>
        </is>
      </c>
      <c r="E663" t="inlineStr">
        <is>
          <t>https://lpjk.pu.go.id/search-badan-usaha-detail/OVR2RnBocXVHODV4a2FaTThrREpNZz09</t>
        </is>
      </c>
      <c r="F663" t="n">
        <v>1</v>
      </c>
      <c r="G663" t="inlineStr">
        <is>
          <t>BS002</t>
        </is>
      </c>
      <c r="H663" t="inlineStr">
        <is>
          <t>17 Oktober 2002</t>
        </is>
      </c>
      <c r="I663" s="2" t="n">
        <v>46311</v>
      </c>
      <c r="J663" t="inlineStr">
        <is>
          <t>Disetujui</t>
        </is>
      </c>
      <c r="K663" t="n">
        <v>60</v>
      </c>
      <c r="L663" t="inlineStr">
        <is>
          <t>16 Oktober 2026</t>
        </is>
      </c>
      <c r="M663" t="inlineStr">
        <is>
          <t>Bangunan Sipil Jembatan, Jalan Layang, Fly Over, dan Underpass</t>
        </is>
      </c>
      <c r="N663" t="inlineStr">
        <is>
          <t>K</t>
        </is>
      </c>
      <c r="O663" t="inlineStr">
        <is>
          <t>20230929</t>
        </is>
      </c>
      <c r="P663" t="inlineStr">
        <is>
          <t>Jawa Timur</t>
        </is>
      </c>
      <c r="Q663" t="inlineStr"/>
    </row>
    <row r="664">
      <c r="A664" t="inlineStr">
        <is>
          <t>SUMBER REZEKY</t>
        </is>
      </c>
      <c r="B664" t="inlineStr">
        <is>
          <t>Kab. Ogan Komering Ulu</t>
        </is>
      </c>
      <c r="C664" t="inlineStr">
        <is>
          <t>085366702222</t>
        </is>
      </c>
      <c r="D664" t="inlineStr">
        <is>
          <t>hamdanancap17@gmail.com</t>
        </is>
      </c>
      <c r="E664" t="inlineStr">
        <is>
          <t>https://lpjk.pu.go.id/search-badan-usaha-detail/dGlCNlNnVzJxb29PY2tBZ2NOeHlvZz09</t>
        </is>
      </c>
      <c r="F664" t="n">
        <v>2</v>
      </c>
      <c r="G664" t="inlineStr">
        <is>
          <t>BS002, BS004</t>
        </is>
      </c>
      <c r="H664" t="inlineStr">
        <is>
          <t>30 Desember 2014</t>
        </is>
      </c>
      <c r="I664" s="2" t="n">
        <v>46313</v>
      </c>
      <c r="J664" t="inlineStr">
        <is>
          <t>Disetujui</t>
        </is>
      </c>
      <c r="K664" t="n">
        <v>60</v>
      </c>
      <c r="L664" t="inlineStr">
        <is>
          <t>18 Oktober 2026</t>
        </is>
      </c>
      <c r="M664" t="inlineStr">
        <is>
          <t>Bangunan Sipil Jembatan, Jalan Layang, Fly Over, dan Underpass, Konstruksi Jaringan Irigasi dan Drainase</t>
        </is>
      </c>
      <c r="N664" t="inlineStr">
        <is>
          <t>K</t>
        </is>
      </c>
      <c r="O664" t="inlineStr">
        <is>
          <t>20231016</t>
        </is>
      </c>
      <c r="P664" t="inlineStr">
        <is>
          <t>Sumatera Selatan</t>
        </is>
      </c>
      <c r="Q664" t="inlineStr"/>
    </row>
    <row r="665">
      <c r="A665" t="inlineStr">
        <is>
          <t>SUMUR BANUA</t>
        </is>
      </c>
      <c r="B665" t="inlineStr">
        <is>
          <t>Kota Banjarmasin</t>
        </is>
      </c>
      <c r="C665" t="inlineStr">
        <is>
          <t>085100214919</t>
        </is>
      </c>
      <c r="D665" t="inlineStr">
        <is>
          <t>cv_sumurbanua@yahoo.com</t>
        </is>
      </c>
      <c r="E665" t="inlineStr">
        <is>
          <t>https://lpjk.pu.go.id/search-badan-usaha-detail/Zm92TTYvY2ZpS3lwY2JZZFZINkFmZz09</t>
        </is>
      </c>
      <c r="F665" t="n">
        <v>1</v>
      </c>
      <c r="G665" t="inlineStr">
        <is>
          <t>BS005</t>
        </is>
      </c>
      <c r="H665" t="inlineStr">
        <is>
          <t>6 Januari 2010</t>
        </is>
      </c>
      <c r="I665" s="2" t="n">
        <v>46313</v>
      </c>
      <c r="J665" t="inlineStr">
        <is>
          <t>Pencabutan</t>
        </is>
      </c>
      <c r="K665" t="n">
        <v>60</v>
      </c>
      <c r="L665" t="inlineStr">
        <is>
          <t>18 Oktober 2026</t>
        </is>
      </c>
      <c r="M665" t="inlineStr">
        <is>
          <t>Konstruksi Bangunan Sipil Pengolahan Air Bersih</t>
        </is>
      </c>
      <c r="N665" t="inlineStr">
        <is>
          <t>K</t>
        </is>
      </c>
      <c r="O665" t="inlineStr">
        <is>
          <t>20231018</t>
        </is>
      </c>
      <c r="P665" t="inlineStr">
        <is>
          <t>Kalimantan Selatan</t>
        </is>
      </c>
      <c r="Q665" t="inlineStr"/>
    </row>
    <row r="666">
      <c r="A666" t="inlineStr">
        <is>
          <t>SUN JAYA</t>
        </is>
      </c>
      <c r="B666" t="inlineStr">
        <is>
          <t>Kota Semarang</t>
        </is>
      </c>
      <c r="C666" t="inlineStr">
        <is>
          <t>085741048199</t>
        </is>
      </c>
      <c r="D666" t="inlineStr">
        <is>
          <t>cvsunjaya2023@gmail.com</t>
        </is>
      </c>
      <c r="E666" t="inlineStr">
        <is>
          <t>https://lpjk.pu.go.id/search-badan-usaha-detail/NVRDUlJVUFF4eWpDUCttSlp6NEJRUT09</t>
        </is>
      </c>
      <c r="F666" t="n">
        <v>3</v>
      </c>
      <c r="G666" t="inlineStr">
        <is>
          <t>BG002, BG005, BG009</t>
        </is>
      </c>
      <c r="H666" t="inlineStr">
        <is>
          <t>9 November 2016</t>
        </is>
      </c>
      <c r="I666" s="2" t="n">
        <v>46307</v>
      </c>
      <c r="J666" t="inlineStr">
        <is>
          <t>Disetujui</t>
        </is>
      </c>
      <c r="K666" t="n">
        <v>60</v>
      </c>
      <c r="L666" t="inlineStr">
        <is>
          <t>12 Oktober 2026</t>
        </is>
      </c>
      <c r="M666" t="inlineStr">
        <is>
          <t>Konstruksi Gedung Kesehatan, Konstruksi Gedung Lainnya, Konstruksi Gedung Perkantoran</t>
        </is>
      </c>
      <c r="N666" t="inlineStr">
        <is>
          <t>K</t>
        </is>
      </c>
      <c r="O666" t="inlineStr">
        <is>
          <t>20231010</t>
        </is>
      </c>
      <c r="P666" t="inlineStr">
        <is>
          <t>Jawa Tengah</t>
        </is>
      </c>
      <c r="Q666" t="inlineStr"/>
    </row>
    <row r="667">
      <c r="A667" t="inlineStr">
        <is>
          <t>SUNRISE PRO LANDSKAP</t>
        </is>
      </c>
      <c r="B667" t="inlineStr">
        <is>
          <t>Kab. Cirebon</t>
        </is>
      </c>
      <c r="C667" t="inlineStr">
        <is>
          <t>08562206085</t>
        </is>
      </c>
      <c r="D667" t="inlineStr">
        <is>
          <t>rekom.landskap@gmail.com</t>
        </is>
      </c>
      <c r="E667" t="inlineStr">
        <is>
          <t>https://lpjk.pu.go.id/search-badan-usaha-detail/aWxNZFlPdjhHY1FFc0NjV3ZYTVlvUT09</t>
        </is>
      </c>
      <c r="F667" t="n">
        <v>3</v>
      </c>
      <c r="G667" t="inlineStr">
        <is>
          <t>BG005, BG006, BG009</t>
        </is>
      </c>
      <c r="H667" t="inlineStr">
        <is>
          <t>30 Juli 2019</t>
        </is>
      </c>
      <c r="I667" s="2" t="n">
        <v>46311</v>
      </c>
      <c r="J667" t="inlineStr">
        <is>
          <t>Disetujui, Pencabutan</t>
        </is>
      </c>
      <c r="K667" t="n">
        <v>60</v>
      </c>
      <c r="L667" t="inlineStr">
        <is>
          <t>16 Oktober 2026</t>
        </is>
      </c>
      <c r="M667" t="inlineStr">
        <is>
          <t>Konstruksi Gedung Kesehatan, Konstruksi Gedung Lainnya, Konstruksi Gedung Pendidikan</t>
        </is>
      </c>
      <c r="N667" t="inlineStr">
        <is>
          <t>K</t>
        </is>
      </c>
      <c r="O667" t="inlineStr">
        <is>
          <t>20230603, 20231015</t>
        </is>
      </c>
      <c r="P667" t="inlineStr">
        <is>
          <t>Jawa Barat</t>
        </is>
      </c>
      <c r="Q667" t="inlineStr"/>
    </row>
    <row r="668">
      <c r="A668" t="inlineStr">
        <is>
          <t>SURYA JAYA KONSTRUKSI</t>
        </is>
      </c>
      <c r="B668" t="inlineStr">
        <is>
          <t>Kota Samarinda</t>
        </is>
      </c>
      <c r="C668" t="inlineStr">
        <is>
          <t>082250080809</t>
        </is>
      </c>
      <c r="D668" t="inlineStr">
        <is>
          <t>cvsuryajayakonstruksi2022@gmail.com</t>
        </is>
      </c>
      <c r="E668" t="inlineStr">
        <is>
          <t>https://lpjk.pu.go.id/search-badan-usaha-detail/UnpZZWJSVUUyMVdFRXVmdzFrdFA4Zz09</t>
        </is>
      </c>
      <c r="F668" t="n">
        <v>2</v>
      </c>
      <c r="G668" t="inlineStr">
        <is>
          <t>BG001, BG009</t>
        </is>
      </c>
      <c r="H668" t="inlineStr">
        <is>
          <t>15 Agustus 2013</t>
        </is>
      </c>
      <c r="I668" s="2" t="n">
        <v>46312</v>
      </c>
      <c r="J668" t="inlineStr">
        <is>
          <t>Disetujui</t>
        </is>
      </c>
      <c r="K668" t="n">
        <v>60</v>
      </c>
      <c r="L668" t="inlineStr">
        <is>
          <t>17 Oktober 2026</t>
        </is>
      </c>
      <c r="M668" t="inlineStr">
        <is>
          <t>Konstruksi Gedung Hunian, Konstruksi Gedung Lainnya</t>
        </is>
      </c>
      <c r="N668" t="inlineStr">
        <is>
          <t>K</t>
        </is>
      </c>
      <c r="O668" t="inlineStr">
        <is>
          <t>20231014</t>
        </is>
      </c>
      <c r="P668" t="inlineStr">
        <is>
          <t>Kalimantan Timur</t>
        </is>
      </c>
      <c r="Q668" t="inlineStr"/>
    </row>
    <row r="669">
      <c r="A669" t="inlineStr">
        <is>
          <t>SURYA MANDIRI</t>
        </is>
      </c>
      <c r="B669" t="inlineStr">
        <is>
          <t>Kab. Trenggalek</t>
        </is>
      </c>
      <c r="C669" t="inlineStr">
        <is>
          <t>081232880624</t>
        </is>
      </c>
      <c r="D669" t="inlineStr">
        <is>
          <t>cvsuryamandiri2000@gmail.com</t>
        </is>
      </c>
      <c r="E669" t="inlineStr">
        <is>
          <t>https://lpjk.pu.go.id/search-badan-usaha-detail/Qm0yRDBadm9HS2c0WUQ1THVMU0hJUT09</t>
        </is>
      </c>
      <c r="F669" t="n">
        <v>1</v>
      </c>
      <c r="G669" t="inlineStr">
        <is>
          <t>BS001</t>
        </is>
      </c>
      <c r="H669" t="inlineStr">
        <is>
          <t>26 Februari 2001</t>
        </is>
      </c>
      <c r="I669" s="2" t="n">
        <v>46310</v>
      </c>
      <c r="J669" t="inlineStr">
        <is>
          <t>Disetujui</t>
        </is>
      </c>
      <c r="K669" t="n">
        <v>60</v>
      </c>
      <c r="L669" t="inlineStr">
        <is>
          <t>15 Oktober 2026</t>
        </is>
      </c>
      <c r="M669" t="inlineStr">
        <is>
          <t>Konstruksi Bangunan Sipil Jalan</t>
        </is>
      </c>
      <c r="N669" t="inlineStr">
        <is>
          <t>K</t>
        </is>
      </c>
      <c r="O669" t="inlineStr">
        <is>
          <t>20231011</t>
        </is>
      </c>
      <c r="P669" t="inlineStr">
        <is>
          <t>Jawa Timur</t>
        </is>
      </c>
      <c r="Q669" t="inlineStr"/>
    </row>
    <row r="670">
      <c r="A670" t="inlineStr">
        <is>
          <t>TABINA JAYA MANDIRI</t>
        </is>
      </c>
      <c r="B670" t="inlineStr">
        <is>
          <t>Kota Banda Aceh</t>
        </is>
      </c>
      <c r="C670" t="inlineStr">
        <is>
          <t>082363848767</t>
        </is>
      </c>
      <c r="D670" t="inlineStr">
        <is>
          <t>tabinajayamandiri@gmail.com</t>
        </is>
      </c>
      <c r="E670" t="inlineStr">
        <is>
          <t>https://lpjk.pu.go.id/search-badan-usaha-detail/SEdRamlTeHdkRmJNenM2eTNPeEo5QT09</t>
        </is>
      </c>
      <c r="F670" t="n">
        <v>2</v>
      </c>
      <c r="G670" t="inlineStr">
        <is>
          <t>PB004, PB010</t>
        </is>
      </c>
      <c r="H670" t="inlineStr">
        <is>
          <t>7 September 2023</t>
        </is>
      </c>
      <c r="I670" s="2" t="n">
        <v>46307</v>
      </c>
      <c r="J670" t="inlineStr">
        <is>
          <t>Disetujui</t>
        </is>
      </c>
      <c r="K670" t="n">
        <v>60</v>
      </c>
      <c r="L670" t="inlineStr">
        <is>
          <t>12 Oktober 2026</t>
        </is>
      </c>
      <c r="M670" t="inlineStr">
        <is>
          <t>Dekorasi Interior, Pekerjaan Lanskap, Pertamanan, dan Penanaman Vegetasi</t>
        </is>
      </c>
      <c r="N670" t="inlineStr">
        <is>
          <t>Spesialis</t>
        </is>
      </c>
      <c r="O670" t="inlineStr">
        <is>
          <t>20230922, 20231009</t>
        </is>
      </c>
      <c r="P670" t="inlineStr">
        <is>
          <t>Aceh</t>
        </is>
      </c>
      <c r="Q670" t="inlineStr"/>
    </row>
    <row r="671">
      <c r="A671" t="inlineStr">
        <is>
          <t>TAHASAK JAYA KONSTRUKSI</t>
        </is>
      </c>
      <c r="B671" t="inlineStr">
        <is>
          <t>Kota Palangkaraya</t>
        </is>
      </c>
      <c r="C671" t="inlineStr">
        <is>
          <t>081250122116</t>
        </is>
      </c>
      <c r="D671" t="inlineStr">
        <is>
          <t>TAHASAKJ@gmail.com</t>
        </is>
      </c>
      <c r="E671" t="inlineStr">
        <is>
          <t>https://lpjk.pu.go.id/search-badan-usaha-detail/YkRNSDN3MXBXa2F5Mk5FdnQzOVBuZz09</t>
        </is>
      </c>
      <c r="F671" t="n">
        <v>1</v>
      </c>
      <c r="G671" t="inlineStr">
        <is>
          <t>BS004</t>
        </is>
      </c>
      <c r="H671" t="inlineStr">
        <is>
          <t>8 September 2023</t>
        </is>
      </c>
      <c r="I671" s="2" t="n">
        <v>46308</v>
      </c>
      <c r="J671" t="inlineStr">
        <is>
          <t>Disetujui</t>
        </is>
      </c>
      <c r="K671" t="n">
        <v>60</v>
      </c>
      <c r="L671" t="inlineStr">
        <is>
          <t>13 Oktober 2026</t>
        </is>
      </c>
      <c r="M671" t="inlineStr">
        <is>
          <t>Konstruksi Jaringan Irigasi dan Drainase</t>
        </is>
      </c>
      <c r="N671" t="inlineStr">
        <is>
          <t>K</t>
        </is>
      </c>
      <c r="O671" t="inlineStr">
        <is>
          <t>20231013</t>
        </is>
      </c>
      <c r="P671" t="inlineStr">
        <is>
          <t>Kalimantan Tengah</t>
        </is>
      </c>
      <c r="Q671" t="inlineStr"/>
    </row>
    <row r="672">
      <c r="A672" t="inlineStr">
        <is>
          <t>TARUNA KARYA MANDIRI</t>
        </is>
      </c>
      <c r="B672" t="inlineStr">
        <is>
          <t>Kab. Cirebon</t>
        </is>
      </c>
      <c r="C672" t="inlineStr">
        <is>
          <t>02313385136</t>
        </is>
      </c>
      <c r="D672" t="inlineStr">
        <is>
          <t>taruna_karya@yahoo.com</t>
        </is>
      </c>
      <c r="E672" t="inlineStr">
        <is>
          <t>https://lpjk.pu.go.id/search-badan-usaha-detail/WTVPYWF2d0xtQTNIREgvaGNueTZlQT09</t>
        </is>
      </c>
      <c r="F672" t="n">
        <v>6</v>
      </c>
      <c r="G672" t="inlineStr">
        <is>
          <t>BG005, BG006, BG009, BS001, BS004, BS010</t>
        </is>
      </c>
      <c r="H672" t="inlineStr">
        <is>
          <t>18 September 2002</t>
        </is>
      </c>
      <c r="I672" s="2" t="n">
        <v>46311</v>
      </c>
      <c r="J672" t="inlineStr">
        <is>
          <t>Disetujui</t>
        </is>
      </c>
      <c r="K672" t="n">
        <v>60</v>
      </c>
      <c r="L672" t="inlineStr">
        <is>
          <t>16 Oktober 2026</t>
        </is>
      </c>
      <c r="M672" t="inlineStr">
        <is>
          <t>Konstruksi Bangunan Prasarana Sumber Daya Air, Konstruksi Bangunan Sipil Jalan, Konstruksi Gedung Kesehatan, Konstruksi Gedung Lainnya, Konstruksi Gedung Pendidikan, Konstruksi Jaringan Irigasi dan Drainase</t>
        </is>
      </c>
      <c r="N672" t="inlineStr">
        <is>
          <t>K</t>
        </is>
      </c>
      <c r="O672" t="inlineStr">
        <is>
          <t>20230929, 20231005</t>
        </is>
      </c>
      <c r="P672" t="inlineStr">
        <is>
          <t>Jawa Barat</t>
        </is>
      </c>
      <c r="Q672" t="inlineStr"/>
    </row>
    <row r="673">
      <c r="A673" t="inlineStr">
        <is>
          <t>TATA BANGUN PERKASA</t>
        </is>
      </c>
      <c r="B673" t="inlineStr">
        <is>
          <t>Kab. Polewali Mandar</t>
        </is>
      </c>
      <c r="C673" t="inlineStr">
        <is>
          <t>085293437333</t>
        </is>
      </c>
      <c r="D673" t="inlineStr">
        <is>
          <t>cvtatabangunperkasa@gmail.com</t>
        </is>
      </c>
      <c r="E673" t="inlineStr">
        <is>
          <t>https://lpjk.pu.go.id/search-badan-usaha-detail/UWFEL0pCMmFxZnVMV2M4TkptaEJYZz09</t>
        </is>
      </c>
      <c r="F673" t="n">
        <v>2</v>
      </c>
      <c r="G673" t="inlineStr">
        <is>
          <t>BS001, BS004</t>
        </is>
      </c>
      <c r="H673" t="inlineStr">
        <is>
          <t>9 Januari 2020</t>
        </is>
      </c>
      <c r="I673" s="2" t="n">
        <v>46311</v>
      </c>
      <c r="J673" t="inlineStr">
        <is>
          <t>Disetujui</t>
        </is>
      </c>
      <c r="K673" t="n">
        <v>60</v>
      </c>
      <c r="L673" t="inlineStr">
        <is>
          <t>16 Oktober 2026</t>
        </is>
      </c>
      <c r="M673" t="inlineStr">
        <is>
          <t>Konstruksi Bangunan Sipil Jalan, Konstruksi Jaringan Irigasi dan Drainase</t>
        </is>
      </c>
      <c r="N673" t="inlineStr">
        <is>
          <t>K</t>
        </is>
      </c>
      <c r="O673" t="inlineStr">
        <is>
          <t>20231016</t>
        </is>
      </c>
      <c r="P673" t="inlineStr">
        <is>
          <t>Sulawesi Barat</t>
        </is>
      </c>
      <c r="Q673" t="inlineStr"/>
    </row>
    <row r="674">
      <c r="A674" t="inlineStr">
        <is>
          <t>TAUCO INTEGRA TELEKOMUNIKASII</t>
        </is>
      </c>
      <c r="B674" t="inlineStr">
        <is>
          <t>Kab. Cianjur</t>
        </is>
      </c>
      <c r="C674" t="inlineStr">
        <is>
          <t>087816007447</t>
        </is>
      </c>
      <c r="D674" t="inlineStr">
        <is>
          <t>taucointegratl2023@gmail.com</t>
        </is>
      </c>
      <c r="E674" t="inlineStr">
        <is>
          <t>https://lpjk.pu.go.id/search-badan-usaha-detail/WmhEOU52Uk43N0dISmZIRU50a2RYdz09</t>
        </is>
      </c>
      <c r="F674" t="n">
        <v>1</v>
      </c>
      <c r="G674" t="inlineStr">
        <is>
          <t>BS009</t>
        </is>
      </c>
      <c r="H674" t="inlineStr">
        <is>
          <t>10 Oktober 2023</t>
        </is>
      </c>
      <c r="I674" s="2" t="n">
        <v>46308</v>
      </c>
      <c r="J674" t="inlineStr">
        <is>
          <t>Disetujui</t>
        </is>
      </c>
      <c r="K674" t="n">
        <v>60</v>
      </c>
      <c r="L674" t="inlineStr">
        <is>
          <t>13 Oktober 2026</t>
        </is>
      </c>
      <c r="M674" t="inlineStr">
        <is>
          <t>Konstruksi Sentral Telekomunikasi</t>
        </is>
      </c>
      <c r="N674" t="inlineStr">
        <is>
          <t>K</t>
        </is>
      </c>
      <c r="O674" t="inlineStr">
        <is>
          <t>20231013</t>
        </is>
      </c>
      <c r="P674" t="inlineStr">
        <is>
          <t>Jawa Barat</t>
        </is>
      </c>
      <c r="Q674" t="inlineStr"/>
    </row>
    <row r="675">
      <c r="A675" t="inlineStr">
        <is>
          <t>TAUFIK AKBAR</t>
        </is>
      </c>
      <c r="B675" t="inlineStr">
        <is>
          <t>Kota Pontianak</t>
        </is>
      </c>
      <c r="C675" t="inlineStr">
        <is>
          <t>05617557909</t>
        </is>
      </c>
      <c r="D675" t="inlineStr">
        <is>
          <t>yufita78@yahoo.co.id</t>
        </is>
      </c>
      <c r="E675" t="inlineStr">
        <is>
          <t>https://lpjk.pu.go.id/search-badan-usaha-detail/Wk5tNEhoMGFWRnNCWVFYN0dCeXg3Zz09</t>
        </is>
      </c>
      <c r="F675" t="n">
        <v>1</v>
      </c>
      <c r="G675" t="inlineStr">
        <is>
          <t>BS001</t>
        </is>
      </c>
      <c r="H675" t="inlineStr">
        <is>
          <t>3 Juni 2008</t>
        </is>
      </c>
      <c r="I675" s="2" t="n">
        <v>46310</v>
      </c>
      <c r="J675" t="inlineStr">
        <is>
          <t>Disetujui</t>
        </is>
      </c>
      <c r="K675" t="n">
        <v>60</v>
      </c>
      <c r="L675" t="inlineStr">
        <is>
          <t>15 Oktober 2026</t>
        </is>
      </c>
      <c r="M675" t="inlineStr">
        <is>
          <t>Konstruksi Bangunan Sipil Jalan</t>
        </is>
      </c>
      <c r="N675" t="inlineStr">
        <is>
          <t>K</t>
        </is>
      </c>
      <c r="O675" t="inlineStr">
        <is>
          <t>20231012</t>
        </is>
      </c>
      <c r="P675" t="inlineStr">
        <is>
          <t>Kalimantan Barat</t>
        </is>
      </c>
      <c r="Q675" t="inlineStr"/>
    </row>
    <row r="676">
      <c r="A676" t="inlineStr">
        <is>
          <t>TEGAR</t>
        </is>
      </c>
      <c r="B676" t="inlineStr">
        <is>
          <t>Kab. Sukabumi</t>
        </is>
      </c>
      <c r="C676" t="inlineStr">
        <is>
          <t>085721880444</t>
        </is>
      </c>
      <c r="D676" t="inlineStr">
        <is>
          <t>cvtegar@gmail.com</t>
        </is>
      </c>
      <c r="E676" t="inlineStr">
        <is>
          <t>https://lpjk.pu.go.id/search-badan-usaha-detail/SGF1SkhSTUk3UCtzalNIdmVoY1Q2QT09</t>
        </is>
      </c>
      <c r="F676" t="n">
        <v>1</v>
      </c>
      <c r="G676" t="inlineStr">
        <is>
          <t>BG009</t>
        </is>
      </c>
      <c r="H676" t="inlineStr">
        <is>
          <t>13 November 2001</t>
        </is>
      </c>
      <c r="I676" s="2" t="n">
        <v>46310</v>
      </c>
      <c r="J676" t="inlineStr">
        <is>
          <t>Disetujui</t>
        </is>
      </c>
      <c r="K676" t="n">
        <v>60</v>
      </c>
      <c r="L676" t="inlineStr">
        <is>
          <t>15 Oktober 2026</t>
        </is>
      </c>
      <c r="M676" t="inlineStr">
        <is>
          <t>Konstruksi Gedung Lainnya</t>
        </is>
      </c>
      <c r="N676" t="inlineStr">
        <is>
          <t>K</t>
        </is>
      </c>
      <c r="O676" t="inlineStr">
        <is>
          <t>20231006</t>
        </is>
      </c>
      <c r="P676" t="inlineStr">
        <is>
          <t>Jawa Barat</t>
        </is>
      </c>
      <c r="Q676" t="inlineStr"/>
    </row>
    <row r="677">
      <c r="A677" t="inlineStr">
        <is>
          <t>TERA KARYA MULIATAMA</t>
        </is>
      </c>
      <c r="B677" t="inlineStr">
        <is>
          <t>Kota Adm. Jakarta Barat</t>
        </is>
      </c>
      <c r="C677" t="inlineStr">
        <is>
          <t>0816101140</t>
        </is>
      </c>
      <c r="D677" t="inlineStr">
        <is>
          <t>terakarya@gmail.com</t>
        </is>
      </c>
      <c r="E677" t="inlineStr">
        <is>
          <t>https://lpjk.pu.go.id/search-badan-usaha-detail/K1pUbFY3c1ZrTWdSaGZjVTZOSHNidz09</t>
        </is>
      </c>
      <c r="F677" t="n">
        <v>3</v>
      </c>
      <c r="G677" t="inlineStr">
        <is>
          <t>BG002, BG004, BG009</t>
        </is>
      </c>
      <c r="H677" t="inlineStr">
        <is>
          <t>23 Agustus 2023</t>
        </is>
      </c>
      <c r="I677" s="2" t="n">
        <v>46311</v>
      </c>
      <c r="J677" t="inlineStr">
        <is>
          <t>Disetujui</t>
        </is>
      </c>
      <c r="K677" t="n">
        <v>60</v>
      </c>
      <c r="L677" t="inlineStr">
        <is>
          <t>16 Oktober 2026</t>
        </is>
      </c>
      <c r="M677" t="inlineStr">
        <is>
          <t>Konstruksi Gedung Lainnya, Konstruksi Gedung Perbelanjaan, Konstruksi Gedung Perkantoran</t>
        </is>
      </c>
      <c r="N677" t="inlineStr">
        <is>
          <t>K</t>
        </is>
      </c>
      <c r="O677" t="inlineStr">
        <is>
          <t>20231016</t>
        </is>
      </c>
      <c r="P677" t="inlineStr">
        <is>
          <t>DKI Jakarta</t>
        </is>
      </c>
      <c r="Q677" t="inlineStr"/>
    </row>
    <row r="678">
      <c r="A678" t="inlineStr">
        <is>
          <t>THAN PRIMA JAYA</t>
        </is>
      </c>
      <c r="B678" t="inlineStr">
        <is>
          <t>Kab. Kutai Barat</t>
        </is>
      </c>
      <c r="C678" t="inlineStr">
        <is>
          <t>081255467762</t>
        </is>
      </c>
      <c r="D678" t="inlineStr">
        <is>
          <t>cvthanprimajaya44@gmail.com</t>
        </is>
      </c>
      <c r="E678" t="inlineStr">
        <is>
          <t>https://lpjk.pu.go.id/search-badan-usaha-detail/THROWk02U3o3RStUa1BnQ0diNUh0QT09</t>
        </is>
      </c>
      <c r="F678" t="n">
        <v>1</v>
      </c>
      <c r="G678" t="inlineStr">
        <is>
          <t>BS001</t>
        </is>
      </c>
      <c r="H678" t="inlineStr">
        <is>
          <t>19 September 2023</t>
        </is>
      </c>
      <c r="I678" s="2" t="n">
        <v>46312</v>
      </c>
      <c r="J678" t="inlineStr">
        <is>
          <t>Disetujui</t>
        </is>
      </c>
      <c r="K678" t="n">
        <v>60</v>
      </c>
      <c r="L678" t="inlineStr">
        <is>
          <t>17 Oktober 2026</t>
        </is>
      </c>
      <c r="M678" t="inlineStr">
        <is>
          <t>Konstruksi Bangunan Sipil Jalan</t>
        </is>
      </c>
      <c r="N678" t="inlineStr">
        <is>
          <t>K</t>
        </is>
      </c>
      <c r="O678" t="inlineStr">
        <is>
          <t>20231012</t>
        </is>
      </c>
      <c r="P678" t="inlineStr">
        <is>
          <t>Kalimantan Timur</t>
        </is>
      </c>
      <c r="Q678" t="inlineStr"/>
    </row>
    <row r="679">
      <c r="A679" t="inlineStr">
        <is>
          <t>THREE CAHAYA ABADI</t>
        </is>
      </c>
      <c r="B679" t="inlineStr">
        <is>
          <t>Kota Kupang</t>
        </is>
      </c>
      <c r="C679" t="inlineStr">
        <is>
          <t>081239098472</t>
        </is>
      </c>
      <c r="D679" t="inlineStr">
        <is>
          <t>cvthreecahayaabadi@gmail.com</t>
        </is>
      </c>
      <c r="E679" t="inlineStr">
        <is>
          <t>https://lpjk.pu.go.id/search-badan-usaha-detail/QWN0TGhBRnNCZ1h4aDdsSjJubnVFZz09</t>
        </is>
      </c>
      <c r="F679" t="n">
        <v>4</v>
      </c>
      <c r="G679" t="inlineStr">
        <is>
          <t>BG002, BG004, BG005, BG006</t>
        </is>
      </c>
      <c r="H679" t="inlineStr">
        <is>
          <t>18 Oktober 2022</t>
        </is>
      </c>
      <c r="I679" s="2" t="n">
        <v>46307</v>
      </c>
      <c r="J679" t="inlineStr">
        <is>
          <t>Disetujui</t>
        </is>
      </c>
      <c r="K679" t="n">
        <v>60</v>
      </c>
      <c r="L679" t="inlineStr">
        <is>
          <t>12 Oktober 2026</t>
        </is>
      </c>
      <c r="M679" t="inlineStr">
        <is>
          <t>Konstruksi Gedung Kesehatan, Konstruksi Gedung Pendidikan, Konstruksi Gedung Perbelanjaan, Konstruksi Gedung Perkantoran</t>
        </is>
      </c>
      <c r="N679" t="inlineStr">
        <is>
          <t>K</t>
        </is>
      </c>
      <c r="O679" t="inlineStr">
        <is>
          <t>20231006, 20231010</t>
        </is>
      </c>
      <c r="P679" t="inlineStr">
        <is>
          <t>Nusa Tenggara Timur</t>
        </is>
      </c>
      <c r="Q679" t="inlineStr"/>
    </row>
    <row r="680">
      <c r="A680" t="inlineStr">
        <is>
          <t>THREE HARD KEPRI</t>
        </is>
      </c>
      <c r="B680" t="inlineStr">
        <is>
          <t>Kota Tanjung Pinang</t>
        </is>
      </c>
      <c r="C680" t="inlineStr">
        <is>
          <t>081364950888</t>
        </is>
      </c>
      <c r="D680" t="inlineStr">
        <is>
          <t>bendry.hardja@gmail.com</t>
        </is>
      </c>
      <c r="E680" t="inlineStr">
        <is>
          <t>https://lpjk.pu.go.id/search-badan-usaha-detail/VldXYndTQldPNHhqWFQ5Uk5makNsZz09</t>
        </is>
      </c>
      <c r="F680" t="n">
        <v>4</v>
      </c>
      <c r="G680" t="inlineStr">
        <is>
          <t>BG002, BG005, BG009, BS001</t>
        </is>
      </c>
      <c r="H680" t="inlineStr">
        <is>
          <t>8 November 2014</t>
        </is>
      </c>
      <c r="I680" s="2" t="n">
        <v>46311</v>
      </c>
      <c r="J680" t="inlineStr">
        <is>
          <t>Disetujui</t>
        </is>
      </c>
      <c r="K680" t="n">
        <v>60</v>
      </c>
      <c r="L680" t="inlineStr">
        <is>
          <t>16 Oktober 2026</t>
        </is>
      </c>
      <c r="M680" t="inlineStr">
        <is>
          <t>Konstruksi Bangunan Sipil Jalan, Konstruksi Gedung Kesehatan, Konstruksi Gedung Lainnya, Konstruksi Gedung Perkantoran</t>
        </is>
      </c>
      <c r="N680" t="inlineStr">
        <is>
          <t>K</t>
        </is>
      </c>
      <c r="O680" t="inlineStr">
        <is>
          <t>20231013, 20231016</t>
        </is>
      </c>
      <c r="P680" t="inlineStr">
        <is>
          <t>Kepulauan Riau</t>
        </is>
      </c>
      <c r="Q680" t="inlineStr"/>
    </row>
    <row r="681">
      <c r="A681" t="inlineStr">
        <is>
          <t>TIARA JAYA BERKAH</t>
        </is>
      </c>
      <c r="B681" t="inlineStr">
        <is>
          <t>Kab. Tanah Bumbu</t>
        </is>
      </c>
      <c r="C681" t="inlineStr">
        <is>
          <t>0</t>
        </is>
      </c>
      <c r="D681" t="inlineStr">
        <is>
          <t>tiarajayaberkah@gmail.com</t>
        </is>
      </c>
      <c r="E681" t="inlineStr">
        <is>
          <t>https://lpjk.pu.go.id/search-badan-usaha-detail/dklVbmdZMW9EUGNwM1hiVnREY2xDZz09</t>
        </is>
      </c>
      <c r="F681" t="n">
        <v>2</v>
      </c>
      <c r="G681" t="inlineStr">
        <is>
          <t>BG006, BS002</t>
        </is>
      </c>
      <c r="H681" t="inlineStr">
        <is>
          <t>9 September 2019</t>
        </is>
      </c>
      <c r="I681" s="2" t="n">
        <v>46310</v>
      </c>
      <c r="J681" t="inlineStr">
        <is>
          <t>Disetujui</t>
        </is>
      </c>
      <c r="K681" t="n">
        <v>60</v>
      </c>
      <c r="L681" t="inlineStr">
        <is>
          <t>15 Oktober 2026</t>
        </is>
      </c>
      <c r="M681" t="inlineStr">
        <is>
          <t>Bangunan Sipil Jembatan, Jalan Layang, Fly Over, dan Underpass, Konstruksi Gedung Pendidikan</t>
        </is>
      </c>
      <c r="N681" t="inlineStr">
        <is>
          <t>K</t>
        </is>
      </c>
      <c r="O681" t="inlineStr">
        <is>
          <t>20231014, 20231015</t>
        </is>
      </c>
      <c r="P681" t="inlineStr">
        <is>
          <t>Kalimantan Selatan</t>
        </is>
      </c>
      <c r="Q681" t="inlineStr"/>
    </row>
    <row r="682">
      <c r="A682" t="inlineStr">
        <is>
          <t>TIARA MULTI TEKNIK</t>
        </is>
      </c>
      <c r="B682" t="inlineStr">
        <is>
          <t>Kota Surabaya</t>
        </is>
      </c>
      <c r="C682" t="inlineStr">
        <is>
          <t>0318288763</t>
        </is>
      </c>
      <c r="D682" t="inlineStr">
        <is>
          <t>tiaramultek@ymail.com</t>
        </is>
      </c>
      <c r="E682" t="inlineStr">
        <is>
          <t>https://lpjk.pu.go.id/search-badan-usaha-detail/SXhLdVNYb0ZaM1YycTh6NllsaUt1dz09</t>
        </is>
      </c>
      <c r="F682" t="n">
        <v>1</v>
      </c>
      <c r="G682" t="inlineStr">
        <is>
          <t>GT002</t>
        </is>
      </c>
      <c r="H682" t="inlineStr">
        <is>
          <t>29 Maret 2006</t>
        </is>
      </c>
      <c r="I682" s="2" t="n">
        <v>46310</v>
      </c>
      <c r="J682" t="inlineStr">
        <is>
          <t>Disetujui</t>
        </is>
      </c>
      <c r="K682" t="n">
        <v>60</v>
      </c>
      <c r="L682" t="inlineStr">
        <is>
          <t>15 Oktober 2026</t>
        </is>
      </c>
      <c r="M682" t="inlineStr">
        <is>
          <t>Konstruksi Gedung Perkantoran</t>
        </is>
      </c>
      <c r="N682" t="inlineStr">
        <is>
          <t>B</t>
        </is>
      </c>
      <c r="O682" t="inlineStr">
        <is>
          <t>20231007</t>
        </is>
      </c>
      <c r="P682" t="inlineStr">
        <is>
          <t>Jawa Timur</t>
        </is>
      </c>
      <c r="Q682" t="inlineStr"/>
    </row>
    <row r="683">
      <c r="A683" t="inlineStr">
        <is>
          <t>TIARA PRATAMA MANDIRI</t>
        </is>
      </c>
      <c r="B683" t="inlineStr">
        <is>
          <t>Kota Samarinda</t>
        </is>
      </c>
      <c r="C683" t="inlineStr">
        <is>
          <t>082298222281</t>
        </is>
      </c>
      <c r="D683" t="inlineStr">
        <is>
          <t>tiarapratamamandiri.smd@gmail.com</t>
        </is>
      </c>
      <c r="E683" t="inlineStr">
        <is>
          <t>https://lpjk.pu.go.id/search-badan-usaha-detail/aGVNSGlYSFJNWWlOVmpyQURlenBrdz09</t>
        </is>
      </c>
      <c r="F683" t="n">
        <v>1</v>
      </c>
      <c r="G683" t="inlineStr">
        <is>
          <t>BG009</t>
        </is>
      </c>
      <c r="H683" t="inlineStr">
        <is>
          <t>12 Juni 2020</t>
        </is>
      </c>
      <c r="I683" s="2" t="n">
        <v>46311</v>
      </c>
      <c r="J683" t="inlineStr">
        <is>
          <t>Disetujui</t>
        </is>
      </c>
      <c r="K683" t="n">
        <v>60</v>
      </c>
      <c r="L683" t="inlineStr">
        <is>
          <t>16 Oktober 2026</t>
        </is>
      </c>
      <c r="M683" t="inlineStr">
        <is>
          <t>Konstruksi Gedung Lainnya</t>
        </is>
      </c>
      <c r="N683" t="inlineStr">
        <is>
          <t>K</t>
        </is>
      </c>
      <c r="O683" t="inlineStr">
        <is>
          <t>20231011</t>
        </is>
      </c>
      <c r="P683" t="inlineStr">
        <is>
          <t>Kalimantan Timur</t>
        </is>
      </c>
      <c r="Q683" t="inlineStr"/>
    </row>
    <row r="684">
      <c r="A684" t="inlineStr">
        <is>
          <t>TIGA PERMATA KONSTRUKSI</t>
        </is>
      </c>
      <c r="B684" t="inlineStr">
        <is>
          <t>Kota Bandar Lampung</t>
        </is>
      </c>
      <c r="C684" t="inlineStr">
        <is>
          <t>085329666631</t>
        </is>
      </c>
      <c r="D684" t="inlineStr">
        <is>
          <t>tigapermata31@gmail.com</t>
        </is>
      </c>
      <c r="E684" t="inlineStr">
        <is>
          <t>https://lpjk.pu.go.id/search-badan-usaha-detail/aWlIbExPdWt6Uy9iMFU4bnRaSFpMQT09</t>
        </is>
      </c>
      <c r="F684" t="n">
        <v>1</v>
      </c>
      <c r="G684" t="inlineStr">
        <is>
          <t>BS001</t>
        </is>
      </c>
      <c r="H684" t="inlineStr">
        <is>
          <t>8 Januari 2020</t>
        </is>
      </c>
      <c r="I684" s="2" t="n">
        <v>46311</v>
      </c>
      <c r="J684" t="inlineStr">
        <is>
          <t>Disetujui</t>
        </is>
      </c>
      <c r="K684" t="n">
        <v>60</v>
      </c>
      <c r="L684" t="inlineStr">
        <is>
          <t>16 Oktober 2026</t>
        </is>
      </c>
      <c r="M684" t="inlineStr">
        <is>
          <t>Konstruksi Bangunan Sipil Jalan</t>
        </is>
      </c>
      <c r="N684" t="inlineStr">
        <is>
          <t>K</t>
        </is>
      </c>
      <c r="O684" t="inlineStr">
        <is>
          <t>20231013</t>
        </is>
      </c>
      <c r="P684" t="inlineStr">
        <is>
          <t>Lampung</t>
        </is>
      </c>
      <c r="Q684" t="inlineStr"/>
    </row>
    <row r="685">
      <c r="A685" t="inlineStr">
        <is>
          <t>TIGA PILAR SELARAS</t>
        </is>
      </c>
      <c r="B685" t="inlineStr">
        <is>
          <t>Kota Batam</t>
        </is>
      </c>
      <c r="C685" t="inlineStr">
        <is>
          <t>081267085109</t>
        </is>
      </c>
      <c r="D685" t="inlineStr">
        <is>
          <t>cvtigapilarselaras@gmail.com</t>
        </is>
      </c>
      <c r="E685" t="inlineStr">
        <is>
          <t>https://lpjk.pu.go.id/search-badan-usaha-detail/K3lEOXFKTkN3dGRTeDBYY2d3WDNDdz09</t>
        </is>
      </c>
      <c r="F685" t="n">
        <v>4</v>
      </c>
      <c r="G685" t="inlineStr">
        <is>
          <t>BG006, BG009, BS001, BS004</t>
        </is>
      </c>
      <c r="H685" t="inlineStr">
        <is>
          <t>7 September 2023</t>
        </is>
      </c>
      <c r="I685" s="2" t="n">
        <v>46312</v>
      </c>
      <c r="J685" t="inlineStr">
        <is>
          <t>Disetujui</t>
        </is>
      </c>
      <c r="K685" t="n">
        <v>60</v>
      </c>
      <c r="L685" t="inlineStr">
        <is>
          <t>17 Oktober 2026</t>
        </is>
      </c>
      <c r="M685" t="inlineStr">
        <is>
          <t>Konstruksi Bangunan Sipil Jalan, Konstruksi Gedung Lainnya, Konstruksi Gedung Pendidikan, Konstruksi Jaringan Irigasi dan Drainase</t>
        </is>
      </c>
      <c r="N685" t="inlineStr">
        <is>
          <t>K</t>
        </is>
      </c>
      <c r="O685" t="inlineStr">
        <is>
          <t>20231012, 20231016, 20231018</t>
        </is>
      </c>
      <c r="P685" t="inlineStr">
        <is>
          <t>Kepulauan Riau</t>
        </is>
      </c>
      <c r="Q685" t="inlineStr"/>
    </row>
    <row r="686">
      <c r="A686" t="inlineStr">
        <is>
          <t>TIGA PUTRI</t>
        </is>
      </c>
      <c r="B686" t="inlineStr">
        <is>
          <t>Kab. Lebak</t>
        </is>
      </c>
      <c r="C686" t="inlineStr">
        <is>
          <t>087773339929</t>
        </is>
      </c>
      <c r="D686" t="inlineStr">
        <is>
          <t>kettysu123@gmail.com</t>
        </is>
      </c>
      <c r="E686" t="inlineStr">
        <is>
          <t>https://lpjk.pu.go.id/search-badan-usaha-detail/VmdUNnB4b2owTFcyT1BnWGdRM3VNUT09</t>
        </is>
      </c>
      <c r="F686" t="n">
        <v>1</v>
      </c>
      <c r="G686" t="inlineStr">
        <is>
          <t>BG005</t>
        </is>
      </c>
      <c r="H686" t="inlineStr">
        <is>
          <t>5 Desember 2013</t>
        </is>
      </c>
      <c r="I686" s="2" t="n">
        <v>46312</v>
      </c>
      <c r="J686" t="inlineStr">
        <is>
          <t>Disetujui</t>
        </is>
      </c>
      <c r="K686" t="n">
        <v>60</v>
      </c>
      <c r="L686" t="inlineStr">
        <is>
          <t>17 Oktober 2026</t>
        </is>
      </c>
      <c r="M686" t="inlineStr">
        <is>
          <t>Konstruksi Gedung Kesehatan</t>
        </is>
      </c>
      <c r="N686" t="inlineStr">
        <is>
          <t>K</t>
        </is>
      </c>
      <c r="O686" t="inlineStr">
        <is>
          <t>20231006</t>
        </is>
      </c>
      <c r="P686" t="inlineStr">
        <is>
          <t>Banten</t>
        </is>
      </c>
      <c r="Q686" t="inlineStr"/>
    </row>
    <row r="687">
      <c r="A687" t="inlineStr">
        <is>
          <t>TIGA SUKU INDONESIA</t>
        </is>
      </c>
      <c r="B687" t="inlineStr">
        <is>
          <t>Kota Tangerang</t>
        </is>
      </c>
      <c r="C687" t="inlineStr">
        <is>
          <t>0811925981</t>
        </is>
      </c>
      <c r="D687" t="inlineStr">
        <is>
          <t>Info@tigasuku.com</t>
        </is>
      </c>
      <c r="E687" t="inlineStr">
        <is>
          <t>https://lpjk.pu.go.id/search-badan-usaha-detail/RmwwWTF5ay9FM2FVU0RqVHgyaEdrdz09</t>
        </is>
      </c>
      <c r="F687" t="n">
        <v>1</v>
      </c>
      <c r="G687" t="inlineStr">
        <is>
          <t>BS001</t>
        </is>
      </c>
      <c r="H687" t="inlineStr">
        <is>
          <t>15 November 2022</t>
        </is>
      </c>
      <c r="I687" s="2" t="n">
        <v>46307</v>
      </c>
      <c r="J687" t="inlineStr">
        <is>
          <t>Disetujui</t>
        </is>
      </c>
      <c r="K687" t="n">
        <v>60</v>
      </c>
      <c r="L687" t="inlineStr">
        <is>
          <t>12 Oktober 2026</t>
        </is>
      </c>
      <c r="M687" t="inlineStr">
        <is>
          <t>Konstruksi Bangunan Sipil Jalan</t>
        </is>
      </c>
      <c r="N687" t="inlineStr">
        <is>
          <t>K</t>
        </is>
      </c>
      <c r="O687" t="inlineStr">
        <is>
          <t>20231010</t>
        </is>
      </c>
      <c r="P687" t="inlineStr">
        <is>
          <t>Banten</t>
        </is>
      </c>
      <c r="Q687" t="inlineStr"/>
    </row>
    <row r="688">
      <c r="A688" t="inlineStr">
        <is>
          <t>TIRTA MAS DUA</t>
        </is>
      </c>
      <c r="B688" t="inlineStr">
        <is>
          <t>Kab. Bojonegoro</t>
        </is>
      </c>
      <c r="C688" t="inlineStr">
        <is>
          <t>081333301875</t>
        </is>
      </c>
      <c r="D688" t="inlineStr">
        <is>
          <t>cvtirtamasduaa@gmail.com</t>
        </is>
      </c>
      <c r="E688" t="inlineStr">
        <is>
          <t>https://lpjk.pu.go.id/search-badan-usaha-detail/T3VoU0lkUHlPdG5pTUVxWFpWU2lFZz09</t>
        </is>
      </c>
      <c r="F688" t="n">
        <v>1</v>
      </c>
      <c r="G688" t="inlineStr">
        <is>
          <t>BS002</t>
        </is>
      </c>
      <c r="H688" t="inlineStr">
        <is>
          <t>6 Juni 2023</t>
        </is>
      </c>
      <c r="I688" s="2" t="n">
        <v>46307</v>
      </c>
      <c r="J688" t="inlineStr">
        <is>
          <t>Pencabutan</t>
        </is>
      </c>
      <c r="K688" t="n">
        <v>60</v>
      </c>
      <c r="L688" t="inlineStr">
        <is>
          <t>12 Oktober 2026</t>
        </is>
      </c>
      <c r="M688" t="inlineStr">
        <is>
          <t>Bangunan Sipil Jembatan, Jalan Layang, Fly Over, dan Underpass</t>
        </is>
      </c>
      <c r="N688" t="inlineStr">
        <is>
          <t>K</t>
        </is>
      </c>
      <c r="O688" t="inlineStr">
        <is>
          <t>20231010</t>
        </is>
      </c>
      <c r="P688" t="inlineStr">
        <is>
          <t>Jawa Timur</t>
        </is>
      </c>
      <c r="Q688" t="inlineStr"/>
    </row>
    <row r="689">
      <c r="A689" t="inlineStr">
        <is>
          <t>TITIAN JATI</t>
        </is>
      </c>
      <c r="B689" t="inlineStr">
        <is>
          <t>Kab. Lombok Barat</t>
        </is>
      </c>
      <c r="C689" t="inlineStr">
        <is>
          <t>081907066440</t>
        </is>
      </c>
      <c r="D689" t="inlineStr">
        <is>
          <t>titianjati.cv@gmail.com</t>
        </is>
      </c>
      <c r="E689" t="inlineStr">
        <is>
          <t>https://lpjk.pu.go.id/search-badan-usaha-detail/K3dieVJrMW53eGdKMFNmY0lZLzQ2dz09</t>
        </is>
      </c>
      <c r="F689" t="n">
        <v>4</v>
      </c>
      <c r="G689" t="inlineStr">
        <is>
          <t>BS001, BS005</t>
        </is>
      </c>
      <c r="H689" t="inlineStr">
        <is>
          <t>12 Desember 1998</t>
        </is>
      </c>
      <c r="I689" s="2" t="n">
        <v>46313</v>
      </c>
      <c r="J689" t="inlineStr">
        <is>
          <t>Disetujui</t>
        </is>
      </c>
      <c r="K689" t="n">
        <v>60</v>
      </c>
      <c r="L689" t="inlineStr">
        <is>
          <t>18 Oktober 2026</t>
        </is>
      </c>
      <c r="M689" t="inlineStr">
        <is>
          <t>Konstruksi Bangunan Sipil Jalan, Konstruksi Bangunan Sipil Pengolahan Air Bersih</t>
        </is>
      </c>
      <c r="N689" t="inlineStr">
        <is>
          <t>K</t>
        </is>
      </c>
      <c r="O689" t="inlineStr">
        <is>
          <t>20231017, 20231018</t>
        </is>
      </c>
      <c r="P689" t="inlineStr">
        <is>
          <t>Nusa Tenggara Barat</t>
        </is>
      </c>
      <c r="Q689" t="inlineStr"/>
    </row>
    <row r="690">
      <c r="A690" t="inlineStr">
        <is>
          <t>TJAKRA CONSTRUCTION</t>
        </is>
      </c>
      <c r="B690" t="inlineStr">
        <is>
          <t>Kota Semarang</t>
        </is>
      </c>
      <c r="C690" t="inlineStr">
        <is>
          <t>087832838399</t>
        </is>
      </c>
      <c r="D690" t="inlineStr">
        <is>
          <t>tjakraconstruction@gmail.com</t>
        </is>
      </c>
      <c r="E690" t="inlineStr">
        <is>
          <t>https://lpjk.pu.go.id/search-badan-usaha-detail/MDBNYmFLRzNLaHM5S3JiKzBTOWpvZz09</t>
        </is>
      </c>
      <c r="F690" t="n">
        <v>4</v>
      </c>
      <c r="G690" t="inlineStr">
        <is>
          <t>BG002, BG005, BG006, BG009</t>
        </is>
      </c>
      <c r="H690" t="inlineStr">
        <is>
          <t>4 September 2023</t>
        </is>
      </c>
      <c r="I690" s="2" t="n">
        <v>46313</v>
      </c>
      <c r="J690" t="inlineStr">
        <is>
          <t>Pencabutan</t>
        </is>
      </c>
      <c r="K690" t="n">
        <v>60</v>
      </c>
      <c r="L690" t="inlineStr">
        <is>
          <t>18 Oktober 2026</t>
        </is>
      </c>
      <c r="M690" t="inlineStr">
        <is>
          <t>Konstruksi Gedung Kesehatan, Konstruksi Gedung Lainnya, Konstruksi Gedung Pendidikan, Konstruksi Gedung Perkantoran</t>
        </is>
      </c>
      <c r="N690" t="inlineStr">
        <is>
          <t>K</t>
        </is>
      </c>
      <c r="O690" t="inlineStr">
        <is>
          <t>20231018</t>
        </is>
      </c>
      <c r="P690" t="inlineStr">
        <is>
          <t>Jawa Tengah</t>
        </is>
      </c>
      <c r="Q690" t="inlineStr"/>
    </row>
    <row r="691">
      <c r="A691" t="inlineStr">
        <is>
          <t>TONY PUTRA</t>
        </is>
      </c>
      <c r="B691" t="inlineStr">
        <is>
          <t>Kab. Trenggalek</t>
        </is>
      </c>
      <c r="C691" t="inlineStr">
        <is>
          <t>085204566540</t>
        </is>
      </c>
      <c r="D691" t="inlineStr">
        <is>
          <t>cvtonyputra@gmail.com</t>
        </is>
      </c>
      <c r="E691" t="inlineStr">
        <is>
          <t>https://lpjk.pu.go.id/search-badan-usaha-detail/RkVYbFk2bmcya2pLbWR5aVpLdjMwZz09</t>
        </is>
      </c>
      <c r="F691" t="n">
        <v>1</v>
      </c>
      <c r="G691" t="inlineStr">
        <is>
          <t>BS001</t>
        </is>
      </c>
      <c r="H691" t="inlineStr">
        <is>
          <t>7 Januari 2015</t>
        </is>
      </c>
      <c r="I691" s="2" t="n">
        <v>46313</v>
      </c>
      <c r="J691" t="inlineStr">
        <is>
          <t>Disetujui</t>
        </is>
      </c>
      <c r="K691" t="n">
        <v>60</v>
      </c>
      <c r="L691" t="inlineStr">
        <is>
          <t>18 Oktober 2026</t>
        </is>
      </c>
      <c r="M691" t="inlineStr">
        <is>
          <t>Konstruksi Bangunan Sipil Jalan</t>
        </is>
      </c>
      <c r="N691" t="inlineStr">
        <is>
          <t>K</t>
        </is>
      </c>
      <c r="O691" t="inlineStr">
        <is>
          <t>20230717</t>
        </is>
      </c>
      <c r="P691" t="inlineStr">
        <is>
          <t>Jawa Timur</t>
        </is>
      </c>
      <c r="Q691" t="inlineStr"/>
    </row>
    <row r="692">
      <c r="A692" t="inlineStr">
        <is>
          <t>TRI BARAKAT JAYA</t>
        </is>
      </c>
      <c r="B692" t="inlineStr">
        <is>
          <t>Kota Adm. Jakarta Selatan</t>
        </is>
      </c>
      <c r="C692" t="inlineStr">
        <is>
          <t>08111874860</t>
        </is>
      </c>
      <c r="D692" t="inlineStr">
        <is>
          <t>tribarakatjaya@gmail.com</t>
        </is>
      </c>
      <c r="E692" t="inlineStr">
        <is>
          <t>https://lpjk.pu.go.id/search-badan-usaha-detail/amdneTZnZ2hmMkNsL2hnZXd2SWtCdz09</t>
        </is>
      </c>
      <c r="F692" t="n">
        <v>2</v>
      </c>
      <c r="G692" t="inlineStr">
        <is>
          <t>BG009, BS002</t>
        </is>
      </c>
      <c r="H692" t="inlineStr">
        <is>
          <t>13 September 2023</t>
        </is>
      </c>
      <c r="I692" s="2" t="n">
        <v>46308</v>
      </c>
      <c r="J692" t="inlineStr">
        <is>
          <t>Disetujui</t>
        </is>
      </c>
      <c r="K692" t="n">
        <v>60</v>
      </c>
      <c r="L692" t="inlineStr">
        <is>
          <t>13 Oktober 2026</t>
        </is>
      </c>
      <c r="M692" t="inlineStr">
        <is>
          <t>Bangunan Sipil Jembatan, Jalan Layang, Fly Over, dan Underpass, Konstruksi Gedung Lainnya</t>
        </is>
      </c>
      <c r="N692" t="inlineStr">
        <is>
          <t>M</t>
        </is>
      </c>
      <c r="O692" t="inlineStr">
        <is>
          <t>20231013</t>
        </is>
      </c>
      <c r="P692" t="inlineStr">
        <is>
          <t>DKI Jakarta</t>
        </is>
      </c>
      <c r="Q692" t="inlineStr"/>
    </row>
    <row r="693">
      <c r="A693" t="inlineStr">
        <is>
          <t>TRI BUANA KARYA INDONESIA</t>
        </is>
      </c>
      <c r="B693" t="inlineStr">
        <is>
          <t>Kab. Pacitan</t>
        </is>
      </c>
      <c r="C693" t="inlineStr">
        <is>
          <t>087758921777</t>
        </is>
      </c>
      <c r="D693" t="inlineStr">
        <is>
          <t>tribuanakaryapct@gmail.com</t>
        </is>
      </c>
      <c r="E693" t="inlineStr">
        <is>
          <t>https://lpjk.pu.go.id/search-badan-usaha-detail/OUl3enNnZllJVnFZbVNDMU1SRzFLdz09</t>
        </is>
      </c>
      <c r="F693" t="n">
        <v>2</v>
      </c>
      <c r="G693" t="inlineStr">
        <is>
          <t>RK001, RK003</t>
        </is>
      </c>
      <c r="H693" t="inlineStr">
        <is>
          <t>13 Januari 2023</t>
        </is>
      </c>
      <c r="I693" s="2" t="n">
        <v>46311</v>
      </c>
      <c r="J693" t="inlineStr">
        <is>
          <t>Disetujui</t>
        </is>
      </c>
      <c r="K693" t="n">
        <v>60</v>
      </c>
      <c r="L693" t="inlineStr">
        <is>
          <t>16 Oktober 2026</t>
        </is>
      </c>
      <c r="M693" t="inlineStr">
        <is>
          <t>Jasa Rekayasa Konstruksi Bangunan Gedung Hunian dan Non Hunian, Jasa Rekayasa Pekerjaan Teknik Sipil Transportasi</t>
        </is>
      </c>
      <c r="N693" t="inlineStr">
        <is>
          <t>K</t>
        </is>
      </c>
      <c r="O693" t="inlineStr">
        <is>
          <t>20231004</t>
        </is>
      </c>
      <c r="P693" t="inlineStr">
        <is>
          <t>Jawa Timur</t>
        </is>
      </c>
      <c r="Q693" t="inlineStr"/>
    </row>
    <row r="694">
      <c r="A694" t="inlineStr">
        <is>
          <t>TRI DAYA</t>
        </is>
      </c>
      <c r="B694" t="inlineStr">
        <is>
          <t>Kab. Banyuwangi</t>
        </is>
      </c>
      <c r="C694" t="inlineStr">
        <is>
          <t>081252488488</t>
        </is>
      </c>
      <c r="D694" t="inlineStr">
        <is>
          <t>triday4.cv@gmail.com</t>
        </is>
      </c>
      <c r="E694" t="inlineStr">
        <is>
          <t>https://lpjk.pu.go.id/search-badan-usaha-detail/aW5CeW1FR0F3WlUzcUFWOWdXY2trdz09</t>
        </is>
      </c>
      <c r="F694" t="n">
        <v>1</v>
      </c>
      <c r="G694" t="inlineStr">
        <is>
          <t>BS001</t>
        </is>
      </c>
      <c r="H694" t="inlineStr">
        <is>
          <t>23 Maret 1985</t>
        </is>
      </c>
      <c r="I694" s="2" t="n">
        <v>46313</v>
      </c>
      <c r="J694" t="inlineStr">
        <is>
          <t>Disetujui</t>
        </is>
      </c>
      <c r="K694" t="n">
        <v>60</v>
      </c>
      <c r="L694" t="inlineStr">
        <is>
          <t>18 Oktober 2026</t>
        </is>
      </c>
      <c r="M694" t="inlineStr">
        <is>
          <t>Konstruksi Bangunan Sipil Jalan</t>
        </is>
      </c>
      <c r="N694" t="inlineStr">
        <is>
          <t>K</t>
        </is>
      </c>
      <c r="O694" t="inlineStr">
        <is>
          <t>20231016</t>
        </is>
      </c>
      <c r="P694" t="inlineStr">
        <is>
          <t>Jawa Timur</t>
        </is>
      </c>
      <c r="Q694" t="inlineStr"/>
    </row>
    <row r="695">
      <c r="A695" t="inlineStr">
        <is>
          <t>TRI EKA USAHA</t>
        </is>
      </c>
      <c r="B695" t="inlineStr">
        <is>
          <t>Kota Pematangsiantar</t>
        </is>
      </c>
      <c r="C695" t="inlineStr">
        <is>
          <t>081370946809</t>
        </is>
      </c>
      <c r="D695" t="inlineStr">
        <is>
          <t>cv.triekausaha2019@gmail.com</t>
        </is>
      </c>
      <c r="E695" t="inlineStr">
        <is>
          <t>https://lpjk.pu.go.id/search-badan-usaha-detail/SzhabmxmTEtNUkNrVFJsY1RqSUh2QT09</t>
        </is>
      </c>
      <c r="F695" t="n">
        <v>1</v>
      </c>
      <c r="G695" t="inlineStr">
        <is>
          <t>BG009</t>
        </is>
      </c>
      <c r="H695" t="inlineStr">
        <is>
          <t>20 November 2019</t>
        </is>
      </c>
      <c r="I695" s="2" t="n">
        <v>46307</v>
      </c>
      <c r="J695" t="inlineStr">
        <is>
          <t>Disetujui</t>
        </is>
      </c>
      <c r="K695" t="n">
        <v>60</v>
      </c>
      <c r="L695" t="inlineStr">
        <is>
          <t>12 Oktober 2026</t>
        </is>
      </c>
      <c r="M695" t="inlineStr">
        <is>
          <t>Konstruksi Gedung Lainnya</t>
        </is>
      </c>
      <c r="N695" t="inlineStr">
        <is>
          <t>K</t>
        </is>
      </c>
      <c r="O695" t="inlineStr">
        <is>
          <t>20230715</t>
        </is>
      </c>
      <c r="P695" t="inlineStr">
        <is>
          <t>Sumatera Utara</t>
        </is>
      </c>
      <c r="Q695" t="inlineStr"/>
    </row>
    <row r="696">
      <c r="A696" t="inlineStr">
        <is>
          <t>TRI JAYA FAMILY</t>
        </is>
      </c>
      <c r="B696" t="inlineStr">
        <is>
          <t>Kota Banda Aceh</t>
        </is>
      </c>
      <c r="C696" t="inlineStr">
        <is>
          <t>081261619911</t>
        </is>
      </c>
      <c r="D696" t="inlineStr">
        <is>
          <t>trijayafamili@gmail.com</t>
        </is>
      </c>
      <c r="E696" t="inlineStr">
        <is>
          <t>https://lpjk.pu.go.id/search-badan-usaha-detail/TFZIdzAxay9ZanA2bHZTbG12eFVUdz09</t>
        </is>
      </c>
      <c r="F696" t="n">
        <v>1</v>
      </c>
      <c r="G696" t="inlineStr">
        <is>
          <t>BS005</t>
        </is>
      </c>
      <c r="H696" t="inlineStr">
        <is>
          <t>20 September 2012</t>
        </is>
      </c>
      <c r="I696" s="2" t="n">
        <v>46311</v>
      </c>
      <c r="J696" t="inlineStr">
        <is>
          <t>Disetujui</t>
        </is>
      </c>
      <c r="K696" t="n">
        <v>60</v>
      </c>
      <c r="L696" t="inlineStr">
        <is>
          <t>16 Oktober 2026</t>
        </is>
      </c>
      <c r="M696" t="inlineStr">
        <is>
          <t>Konstruksi Bangunan Sipil Pengolahan Air Bersih</t>
        </is>
      </c>
      <c r="N696" t="inlineStr">
        <is>
          <t>K</t>
        </is>
      </c>
      <c r="O696" t="inlineStr">
        <is>
          <t>20231016</t>
        </is>
      </c>
      <c r="P696" t="inlineStr">
        <is>
          <t>Aceh</t>
        </is>
      </c>
      <c r="Q696" t="inlineStr"/>
    </row>
    <row r="697">
      <c r="A697" t="inlineStr">
        <is>
          <t>TRI MANUNGGAL SAKTI</t>
        </is>
      </c>
      <c r="B697" t="inlineStr">
        <is>
          <t>Kota Denpasar</t>
        </is>
      </c>
      <c r="C697" t="inlineStr">
        <is>
          <t>0361226517</t>
        </is>
      </c>
      <c r="D697" t="inlineStr">
        <is>
          <t>trimanunggal.marketing@gmail.com</t>
        </is>
      </c>
      <c r="E697" t="inlineStr">
        <is>
          <t>https://lpjk.pu.go.id/search-badan-usaha-detail/NytkSUUrd04rSGFDL2JSUXRUK0xRQT09</t>
        </is>
      </c>
      <c r="F697" t="n">
        <v>1</v>
      </c>
      <c r="G697" t="inlineStr">
        <is>
          <t>BS010</t>
        </is>
      </c>
      <c r="H697" t="inlineStr">
        <is>
          <t>4 Februari 2002</t>
        </is>
      </c>
      <c r="I697" s="2" t="n">
        <v>46312</v>
      </c>
      <c r="J697" t="inlineStr">
        <is>
          <t>Pencabutan</t>
        </is>
      </c>
      <c r="K697" t="n">
        <v>60</v>
      </c>
      <c r="L697" t="inlineStr">
        <is>
          <t>17 Oktober 2026</t>
        </is>
      </c>
      <c r="M697" t="inlineStr">
        <is>
          <t>Konstruksi Bangunan Prasarana Sumber Daya Air</t>
        </is>
      </c>
      <c r="N697" t="inlineStr">
        <is>
          <t>M</t>
        </is>
      </c>
      <c r="O697" t="inlineStr">
        <is>
          <t>20230921</t>
        </is>
      </c>
      <c r="P697" t="inlineStr">
        <is>
          <t>Bali</t>
        </is>
      </c>
      <c r="Q697" t="inlineStr"/>
    </row>
    <row r="698">
      <c r="A698" t="inlineStr">
        <is>
          <t>TRI PUTRA KARYA</t>
        </is>
      </c>
      <c r="B698" t="inlineStr">
        <is>
          <t>Kab. Tabanan</t>
        </is>
      </c>
      <c r="C698" t="inlineStr">
        <is>
          <t>08123615074</t>
        </is>
      </c>
      <c r="D698" t="inlineStr">
        <is>
          <t>cv.triputrakarya908@gmail.com</t>
        </is>
      </c>
      <c r="E698" t="inlineStr">
        <is>
          <t>https://lpjk.pu.go.id/search-badan-usaha-detail/NmR1SEQyb3RPUGxOYUN3TDJGcUhtQT09</t>
        </is>
      </c>
      <c r="F698" t="n">
        <v>1</v>
      </c>
      <c r="G698" t="inlineStr">
        <is>
          <t>BG002</t>
        </is>
      </c>
      <c r="H698" t="inlineStr">
        <is>
          <t>21 Februari 2002</t>
        </is>
      </c>
      <c r="I698" s="2" t="n">
        <v>46313</v>
      </c>
      <c r="J698" t="inlineStr">
        <is>
          <t>Disetujui</t>
        </is>
      </c>
      <c r="K698" t="n">
        <v>60</v>
      </c>
      <c r="L698" t="inlineStr">
        <is>
          <t>18 Oktober 2026</t>
        </is>
      </c>
      <c r="M698" t="inlineStr">
        <is>
          <t>Konstruksi Gedung Perkantoran</t>
        </is>
      </c>
      <c r="N698" t="inlineStr">
        <is>
          <t>K</t>
        </is>
      </c>
      <c r="O698" t="inlineStr">
        <is>
          <t>20231016</t>
        </is>
      </c>
      <c r="P698" t="inlineStr">
        <is>
          <t>Bali</t>
        </is>
      </c>
      <c r="Q698" t="inlineStr"/>
    </row>
    <row r="699">
      <c r="A699" t="inlineStr">
        <is>
          <t>TRI ROMEO</t>
        </is>
      </c>
      <c r="B699" t="inlineStr">
        <is>
          <t>Kota Bandar Lampung</t>
        </is>
      </c>
      <c r="C699" t="inlineStr">
        <is>
          <t>0812 7172 2016</t>
        </is>
      </c>
      <c r="D699" t="inlineStr">
        <is>
          <t>cv.triromeo@gmail.com</t>
        </is>
      </c>
      <c r="E699" t="inlineStr">
        <is>
          <t>https://lpjk.pu.go.id/search-badan-usaha-detail/SitQdSsybjZsZmxCNDV3c05ZQldOdz09</t>
        </is>
      </c>
      <c r="F699" t="n">
        <v>2</v>
      </c>
      <c r="G699" t="inlineStr">
        <is>
          <t>BG002, BG009</t>
        </is>
      </c>
      <c r="H699" t="inlineStr">
        <is>
          <t>8 Mei 2020</t>
        </is>
      </c>
      <c r="I699" s="2" t="n">
        <v>46308</v>
      </c>
      <c r="J699" t="inlineStr">
        <is>
          <t>Disetujui</t>
        </is>
      </c>
      <c r="K699" t="n">
        <v>60</v>
      </c>
      <c r="L699" t="inlineStr">
        <is>
          <t>13 Oktober 2026</t>
        </is>
      </c>
      <c r="M699" t="inlineStr">
        <is>
          <t>Konstruksi Gedung Lainnya, Konstruksi Gedung Perkantoran</t>
        </is>
      </c>
      <c r="N699" t="inlineStr">
        <is>
          <t>K</t>
        </is>
      </c>
      <c r="O699" t="inlineStr">
        <is>
          <t>20231010, 20231011</t>
        </is>
      </c>
      <c r="P699" t="inlineStr">
        <is>
          <t>Lampung</t>
        </is>
      </c>
      <c r="Q699" t="inlineStr"/>
    </row>
    <row r="700">
      <c r="A700" t="inlineStr">
        <is>
          <t>TRI SAKTI MULIA</t>
        </is>
      </c>
      <c r="B700" t="inlineStr">
        <is>
          <t>Kab. Bandung</t>
        </is>
      </c>
      <c r="C700" t="inlineStr">
        <is>
          <t>081321061388</t>
        </is>
      </c>
      <c r="D700" t="inlineStr">
        <is>
          <t>trisaktimulia@gmail.com</t>
        </is>
      </c>
      <c r="E700" t="inlineStr">
        <is>
          <t>https://lpjk.pu.go.id/search-badan-usaha-detail/OUVmeVJpakd3NnFBT1l4eW1Bam9Wdz09</t>
        </is>
      </c>
      <c r="F700" t="n">
        <v>1</v>
      </c>
      <c r="G700" t="inlineStr">
        <is>
          <t>BG003</t>
        </is>
      </c>
      <c r="H700" t="inlineStr">
        <is>
          <t>6 Juni 2023</t>
        </is>
      </c>
      <c r="I700" s="2" t="n">
        <v>46310</v>
      </c>
      <c r="J700" t="inlineStr">
        <is>
          <t>Disetujui</t>
        </is>
      </c>
      <c r="K700" t="n">
        <v>60</v>
      </c>
      <c r="L700" t="inlineStr">
        <is>
          <t>15 Oktober 2026</t>
        </is>
      </c>
      <c r="M700" t="inlineStr">
        <is>
          <t>Konstruksi Gedung Industri</t>
        </is>
      </c>
      <c r="N700" t="inlineStr">
        <is>
          <t>K</t>
        </is>
      </c>
      <c r="O700" t="inlineStr">
        <is>
          <t>20231016</t>
        </is>
      </c>
      <c r="P700" t="inlineStr">
        <is>
          <t>Jawa Barat</t>
        </is>
      </c>
      <c r="Q700" t="inlineStr"/>
    </row>
    <row r="701">
      <c r="A701" t="inlineStr">
        <is>
          <t>TRI TUNGGAL SAKTI</t>
        </is>
      </c>
      <c r="B701" t="inlineStr">
        <is>
          <t>Kab. Sidoarjo</t>
        </is>
      </c>
      <c r="C701" t="inlineStr">
        <is>
          <t>082132257528</t>
        </is>
      </c>
      <c r="D701" t="inlineStr">
        <is>
          <t>tritunggalsakti86@gmail.com</t>
        </is>
      </c>
      <c r="E701" t="inlineStr">
        <is>
          <t>https://lpjk.pu.go.id/search-badan-usaha-detail/S2NJeXh2cjFDM3FrQUo4U2dLZmpCQT09</t>
        </is>
      </c>
      <c r="F701" t="n">
        <v>2</v>
      </c>
      <c r="G701" t="inlineStr">
        <is>
          <t>BG005, BS001</t>
        </is>
      </c>
      <c r="H701" t="inlineStr">
        <is>
          <t>7 Agustus 2019</t>
        </is>
      </c>
      <c r="I701" s="2" t="n">
        <v>46307</v>
      </c>
      <c r="J701" t="inlineStr">
        <is>
          <t>Disetujui</t>
        </is>
      </c>
      <c r="K701" t="n">
        <v>60</v>
      </c>
      <c r="L701" t="inlineStr">
        <is>
          <t>12 Oktober 2026</t>
        </is>
      </c>
      <c r="M701" t="inlineStr">
        <is>
          <t>Konstruksi Bangunan Sipil Jalan, Konstruksi Gedung Kesehatan</t>
        </is>
      </c>
      <c r="N701" t="inlineStr">
        <is>
          <t>K</t>
        </is>
      </c>
      <c r="O701" t="inlineStr">
        <is>
          <t>20231012</t>
        </is>
      </c>
      <c r="P701" t="inlineStr">
        <is>
          <t>Jawa Timur</t>
        </is>
      </c>
      <c r="Q701" t="inlineStr"/>
    </row>
    <row r="702">
      <c r="A702" t="inlineStr">
        <is>
          <t>TRIARTHA GRAHA</t>
        </is>
      </c>
      <c r="B702" t="inlineStr">
        <is>
          <t>Kab. Badung</t>
        </is>
      </c>
      <c r="C702" t="inlineStr">
        <is>
          <t>085103008812</t>
        </is>
      </c>
      <c r="D702" t="inlineStr">
        <is>
          <t>cv.triarthagraha@gmail.com</t>
        </is>
      </c>
      <c r="E702" t="inlineStr">
        <is>
          <t>https://lpjk.pu.go.id/search-badan-usaha-detail/M2VWaDZMTWpNSmVJWk9qL1BYYjhuUT09</t>
        </is>
      </c>
      <c r="F702" t="n">
        <v>1</v>
      </c>
      <c r="G702" t="inlineStr">
        <is>
          <t>BS001</t>
        </is>
      </c>
      <c r="H702" t="inlineStr">
        <is>
          <t>4 Januari 2006</t>
        </is>
      </c>
      <c r="I702" s="2" t="n">
        <v>46308</v>
      </c>
      <c r="J702" t="inlineStr">
        <is>
          <t>Disetujui</t>
        </is>
      </c>
      <c r="K702" t="n">
        <v>60</v>
      </c>
      <c r="L702" t="inlineStr">
        <is>
          <t>13 Oktober 2026</t>
        </is>
      </c>
      <c r="M702" t="inlineStr">
        <is>
          <t>Konstruksi Bangunan Sipil Jalan</t>
        </is>
      </c>
      <c r="N702" t="inlineStr">
        <is>
          <t>K</t>
        </is>
      </c>
      <c r="O702" t="inlineStr">
        <is>
          <t>20231011</t>
        </is>
      </c>
      <c r="P702" t="inlineStr">
        <is>
          <t>Bali</t>
        </is>
      </c>
      <c r="Q702" t="inlineStr"/>
    </row>
    <row r="703">
      <c r="A703" t="inlineStr">
        <is>
          <t>TRIDAYA BAKTI NUSA</t>
        </is>
      </c>
      <c r="B703" t="inlineStr">
        <is>
          <t>Kota Adm. Jakarta Selatan</t>
        </is>
      </c>
      <c r="C703" t="inlineStr">
        <is>
          <t>081283780827</t>
        </is>
      </c>
      <c r="D703" t="inlineStr">
        <is>
          <t>pttridayabaktinusa@gmail.com</t>
        </is>
      </c>
      <c r="E703" t="inlineStr">
        <is>
          <t>https://lpjk.pu.go.id/search-badan-usaha-detail/dHdKSmxDZjU2SlFucmp2VTlNa2NIZz09</t>
        </is>
      </c>
      <c r="F703" t="n">
        <v>3</v>
      </c>
      <c r="G703" t="inlineStr">
        <is>
          <t>BG001, BG005, BG006</t>
        </is>
      </c>
      <c r="H703" t="inlineStr">
        <is>
          <t>31 Juli 2023</t>
        </is>
      </c>
      <c r="I703" s="2" t="n">
        <v>46312</v>
      </c>
      <c r="J703" t="inlineStr">
        <is>
          <t>Pencabutan</t>
        </is>
      </c>
      <c r="K703" t="n">
        <v>60</v>
      </c>
      <c r="L703" t="inlineStr">
        <is>
          <t>17 Oktober 2026</t>
        </is>
      </c>
      <c r="M703" t="inlineStr">
        <is>
          <t>Konstruksi Gedung Hunian, Konstruksi Gedung Kesehatan, Konstruksi Gedung Pendidikan</t>
        </is>
      </c>
      <c r="N703" t="inlineStr">
        <is>
          <t>K</t>
        </is>
      </c>
      <c r="O703" t="inlineStr">
        <is>
          <t>20230822, 20231015</t>
        </is>
      </c>
      <c r="P703" t="inlineStr">
        <is>
          <t>DKI Jakarta</t>
        </is>
      </c>
      <c r="Q703" t="inlineStr"/>
    </row>
    <row r="704">
      <c r="A704" t="inlineStr">
        <is>
          <t>TRIDUTA MITRAPARAMA</t>
        </is>
      </c>
      <c r="B704" t="inlineStr">
        <is>
          <t>Kota Adm. Jakarta Selatan</t>
        </is>
      </c>
      <c r="C704" t="inlineStr">
        <is>
          <t>02127871763</t>
        </is>
      </c>
      <c r="D704" t="inlineStr">
        <is>
          <t>triduta_pt@yahoo.com</t>
        </is>
      </c>
      <c r="E704" t="inlineStr">
        <is>
          <t>https://lpjk.pu.go.id/search-badan-usaha-detail/VHdKb1ZPOTQ5SUR2SWhoLzRuRWdZQT09</t>
        </is>
      </c>
      <c r="F704" t="n">
        <v>2</v>
      </c>
      <c r="G704" t="inlineStr">
        <is>
          <t>RK003, RT001</t>
        </is>
      </c>
      <c r="H704" t="inlineStr">
        <is>
          <t>29 Juni 1992</t>
        </is>
      </c>
      <c r="I704" s="2" t="n">
        <v>46312</v>
      </c>
      <c r="J704" t="inlineStr">
        <is>
          <t>Disetujui</t>
        </is>
      </c>
      <c r="K704" t="n">
        <v>60</v>
      </c>
      <c r="L704" t="inlineStr">
        <is>
          <t>17 Oktober 2026</t>
        </is>
      </c>
      <c r="M704" t="inlineStr">
        <is>
          <t>Jasa Pelayanan Studi Investasi Infrastruktur, Jasa Rekayasa Pekerjaan Teknik Sipil Transportasi</t>
        </is>
      </c>
      <c r="N704" t="inlineStr">
        <is>
          <t>K, M</t>
        </is>
      </c>
      <c r="O704" t="inlineStr">
        <is>
          <t>20231011</t>
        </is>
      </c>
      <c r="P704" t="inlineStr">
        <is>
          <t>DKI Jakarta</t>
        </is>
      </c>
      <c r="Q704" t="inlineStr"/>
    </row>
    <row r="705">
      <c r="A705" t="inlineStr">
        <is>
          <t>TRIGUNA INTERNUSA PRATAMA</t>
        </is>
      </c>
      <c r="B705" t="inlineStr">
        <is>
          <t>Kota Adm. Jakarta Pusat</t>
        </is>
      </c>
      <c r="C705" t="inlineStr">
        <is>
          <t>02123579802</t>
        </is>
      </c>
      <c r="D705" t="inlineStr">
        <is>
          <t>tip@trigunainternusa.com</t>
        </is>
      </c>
      <c r="E705" t="inlineStr">
        <is>
          <t>https://lpjk.pu.go.id/search-badan-usaha-detail/dXNTZGROWXpNMUlaOHpselhBanNJZz09</t>
        </is>
      </c>
      <c r="F705" t="n">
        <v>1</v>
      </c>
      <c r="G705" t="inlineStr">
        <is>
          <t>IN004</t>
        </is>
      </c>
      <c r="H705" t="inlineStr">
        <is>
          <t>20 Januari 2003</t>
        </is>
      </c>
      <c r="I705" s="2" t="n">
        <v>46312</v>
      </c>
      <c r="J705" t="inlineStr">
        <is>
          <t>Pembekuan</t>
        </is>
      </c>
      <c r="K705" t="n">
        <v>60</v>
      </c>
      <c r="L705" t="inlineStr">
        <is>
          <t>17 Oktober 2026</t>
        </is>
      </c>
      <c r="M705" t="inlineStr">
        <is>
          <t>Instalasi Minyak dan Gas</t>
        </is>
      </c>
      <c r="N705" t="inlineStr">
        <is>
          <t>Spesialis</t>
        </is>
      </c>
      <c r="O705" t="inlineStr">
        <is>
          <t>20231011</t>
        </is>
      </c>
      <c r="P705" t="inlineStr">
        <is>
          <t>DKI Jakarta</t>
        </is>
      </c>
      <c r="Q705" t="inlineStr"/>
    </row>
    <row r="706">
      <c r="A706" t="inlineStr">
        <is>
          <t>TRIMITRA SELARAS RAHARJA</t>
        </is>
      </c>
      <c r="B706" t="inlineStr">
        <is>
          <t>Kota Adm. Jakarta Utara</t>
        </is>
      </c>
      <c r="C706" t="inlineStr">
        <is>
          <t>02166690617</t>
        </is>
      </c>
      <c r="D706" t="inlineStr">
        <is>
          <t>trimitra_sr@yahoo.com</t>
        </is>
      </c>
      <c r="E706" t="inlineStr">
        <is>
          <t>https://lpjk.pu.go.id/search-badan-usaha-detail/Z29mSFNBdEw1ck5oTlF3MjYzSytUUT09</t>
        </is>
      </c>
      <c r="F706" t="n">
        <v>4</v>
      </c>
      <c r="G706" t="inlineStr">
        <is>
          <t>BG003, PB004</t>
        </is>
      </c>
      <c r="H706" t="inlineStr">
        <is>
          <t>10 Juli 2023</t>
        </is>
      </c>
      <c r="I706" s="2" t="n">
        <v>46308</v>
      </c>
      <c r="J706" t="inlineStr">
        <is>
          <t>Disetujui</t>
        </is>
      </c>
      <c r="K706" t="n">
        <v>60</v>
      </c>
      <c r="L706" t="inlineStr">
        <is>
          <t>13 Oktober 2026</t>
        </is>
      </c>
      <c r="M706" t="inlineStr">
        <is>
          <t>Dekorasi Interior, Konstruksi Gedung Industri</t>
        </is>
      </c>
      <c r="N706" t="inlineStr">
        <is>
          <t>K, Spesialis</t>
        </is>
      </c>
      <c r="O706" t="inlineStr">
        <is>
          <t>20230808, 20230824</t>
        </is>
      </c>
      <c r="P706" t="inlineStr">
        <is>
          <t>DKI Jakarta</t>
        </is>
      </c>
      <c r="Q706" t="inlineStr"/>
    </row>
    <row r="707">
      <c r="A707" t="inlineStr">
        <is>
          <t>TRINDO KONSTRUKSI UTAMA</t>
        </is>
      </c>
      <c r="B707" t="inlineStr">
        <is>
          <t>Kota Surabaya</t>
        </is>
      </c>
      <c r="C707" t="inlineStr">
        <is>
          <t>0811330355</t>
        </is>
      </c>
      <c r="D707" t="inlineStr">
        <is>
          <t>trindokonstruksiutama@gmail.com</t>
        </is>
      </c>
      <c r="E707" t="inlineStr">
        <is>
          <t>https://lpjk.pu.go.id/search-badan-usaha-detail/dTF0d2kyTTM4ZEFYWlZWY0hNN3ZCQT09</t>
        </is>
      </c>
      <c r="F707" t="n">
        <v>2</v>
      </c>
      <c r="G707" t="inlineStr">
        <is>
          <t>BS007, BS017</t>
        </is>
      </c>
      <c r="H707" t="inlineStr">
        <is>
          <t>4 September 2023</t>
        </is>
      </c>
      <c r="I707" s="2" t="n">
        <v>46313</v>
      </c>
      <c r="J707" t="inlineStr">
        <is>
          <t>Disetujui</t>
        </is>
      </c>
      <c r="K707" t="n">
        <v>60</v>
      </c>
      <c r="L707" t="inlineStr">
        <is>
          <t>18 Oktober 2026</t>
        </is>
      </c>
      <c r="M707" t="inlineStr">
        <is>
          <t>Konstruksi Bangunan Sipil Elektrikal, Konstruksi Bangunan Sipil Lainnya Ytdl</t>
        </is>
      </c>
      <c r="N707" t="inlineStr">
        <is>
          <t>K</t>
        </is>
      </c>
      <c r="O707" t="inlineStr">
        <is>
          <t>20231018</t>
        </is>
      </c>
      <c r="P707" t="inlineStr">
        <is>
          <t>Jawa Timur</t>
        </is>
      </c>
      <c r="Q707" t="inlineStr"/>
    </row>
    <row r="708">
      <c r="A708" t="inlineStr">
        <is>
          <t>TRION KARYA OPTIMIS</t>
        </is>
      </c>
      <c r="B708" t="inlineStr">
        <is>
          <t>Kota Palembang</t>
        </is>
      </c>
      <c r="C708" t="inlineStr">
        <is>
          <t>08111600024</t>
        </is>
      </c>
      <c r="D708" t="inlineStr">
        <is>
          <t>trionkarya@yahoo.com</t>
        </is>
      </c>
      <c r="E708" t="inlineStr">
        <is>
          <t>https://lpjk.pu.go.id/search-badan-usaha-detail/d0o1b1JlaWZ2OVNhVGEyS0lKY3IrQT09</t>
        </is>
      </c>
      <c r="F708" t="n">
        <v>1</v>
      </c>
      <c r="G708" t="inlineStr">
        <is>
          <t>BS001</t>
        </is>
      </c>
      <c r="H708" t="inlineStr">
        <is>
          <t>2 Oktober 2019</t>
        </is>
      </c>
      <c r="I708" s="2" t="n">
        <v>46312</v>
      </c>
      <c r="J708" t="inlineStr">
        <is>
          <t>Disetujui</t>
        </is>
      </c>
      <c r="K708" t="n">
        <v>60</v>
      </c>
      <c r="L708" t="inlineStr">
        <is>
          <t>17 Oktober 2026</t>
        </is>
      </c>
      <c r="M708" t="inlineStr">
        <is>
          <t>Konstruksi Bangunan Sipil Jalan</t>
        </is>
      </c>
      <c r="N708" t="inlineStr">
        <is>
          <t>K</t>
        </is>
      </c>
      <c r="O708" t="inlineStr">
        <is>
          <t>20231018</t>
        </is>
      </c>
      <c r="P708" t="inlineStr">
        <is>
          <t>Sumatera Selatan</t>
        </is>
      </c>
      <c r="Q708" t="inlineStr"/>
    </row>
    <row r="709">
      <c r="A709" t="inlineStr">
        <is>
          <t>TRIPLE ASEJAHTERA</t>
        </is>
      </c>
      <c r="B709" t="inlineStr">
        <is>
          <t>Kab. Lamongan</t>
        </is>
      </c>
      <c r="C709" t="inlineStr">
        <is>
          <t>0895378792255</t>
        </is>
      </c>
      <c r="D709" t="inlineStr">
        <is>
          <t>hj.musjrifah@gmail.com</t>
        </is>
      </c>
      <c r="E709" t="inlineStr">
        <is>
          <t>https://lpjk.pu.go.id/search-badan-usaha-detail/TWNqS0VUYUZMaW02TWRhdFJOR3ZwQT09</t>
        </is>
      </c>
      <c r="F709" t="n">
        <v>2</v>
      </c>
      <c r="G709" t="inlineStr">
        <is>
          <t>BG005, BG006</t>
        </is>
      </c>
      <c r="H709" t="inlineStr">
        <is>
          <t>23 Juli 2018</t>
        </is>
      </c>
      <c r="I709" s="2" t="n">
        <v>46312</v>
      </c>
      <c r="J709" t="inlineStr">
        <is>
          <t>Disetujui</t>
        </is>
      </c>
      <c r="K709" t="n">
        <v>60</v>
      </c>
      <c r="L709" t="inlineStr">
        <is>
          <t>17 Oktober 2026</t>
        </is>
      </c>
      <c r="M709" t="inlineStr">
        <is>
          <t>Konstruksi Gedung Kesehatan, Konstruksi Gedung Pendidikan</t>
        </is>
      </c>
      <c r="N709" t="inlineStr">
        <is>
          <t>K</t>
        </is>
      </c>
      <c r="O709" t="inlineStr">
        <is>
          <t>20231011</t>
        </is>
      </c>
      <c r="P709" t="inlineStr">
        <is>
          <t>Jawa Timur</t>
        </is>
      </c>
      <c r="Q709" t="inlineStr"/>
    </row>
    <row r="710">
      <c r="A710" t="inlineStr">
        <is>
          <t>TRISULA JAYA SAKTI</t>
        </is>
      </c>
      <c r="B710" t="inlineStr">
        <is>
          <t>Kab. Cianjur</t>
        </is>
      </c>
      <c r="C710" t="inlineStr">
        <is>
          <t>081312554513</t>
        </is>
      </c>
      <c r="D710" t="inlineStr">
        <is>
          <t>cvtrisulajayasakti23@gmail.com</t>
        </is>
      </c>
      <c r="E710" t="inlineStr">
        <is>
          <t>https://lpjk.pu.go.id/search-badan-usaha-detail/Qm9VbjltRzFIVmF1WVNkTjJXY2JWZz09</t>
        </is>
      </c>
      <c r="F710" t="n">
        <v>3</v>
      </c>
      <c r="G710" t="inlineStr">
        <is>
          <t>BG005, BG006, BG009</t>
        </is>
      </c>
      <c r="H710" t="inlineStr"/>
      <c r="I710" s="2" t="n">
        <v>46313</v>
      </c>
      <c r="J710" t="inlineStr">
        <is>
          <t>Pencabutan</t>
        </is>
      </c>
      <c r="K710" t="n">
        <v>60</v>
      </c>
      <c r="L710" t="inlineStr">
        <is>
          <t>18 Oktober 2026</t>
        </is>
      </c>
      <c r="M710" t="inlineStr">
        <is>
          <t>Konstruksi Gedung Kesehatan, Konstruksi Gedung Lainnya, Konstruksi Gedung Pendidikan</t>
        </is>
      </c>
      <c r="N710" t="inlineStr">
        <is>
          <t>K</t>
        </is>
      </c>
      <c r="O710" t="inlineStr">
        <is>
          <t>20231019</t>
        </is>
      </c>
      <c r="P710" t="inlineStr">
        <is>
          <t>Jawa Barat</t>
        </is>
      </c>
      <c r="Q710" t="inlineStr"/>
    </row>
    <row r="711">
      <c r="A711" t="inlineStr">
        <is>
          <t>TUAH AGUNG ANUGRAH</t>
        </is>
      </c>
      <c r="B711" t="inlineStr">
        <is>
          <t>Kota Pekanbaru</t>
        </is>
      </c>
      <c r="C711" t="inlineStr">
        <is>
          <t>-</t>
        </is>
      </c>
      <c r="D711" t="inlineStr">
        <is>
          <t>tuahagunganugrah@gmail.com</t>
        </is>
      </c>
      <c r="E711" t="inlineStr">
        <is>
          <t>https://lpjk.pu.go.id/search-badan-usaha-detail/a1RJSUhOSkFqTDhNcjJ1bEo3RVhSZz09</t>
        </is>
      </c>
      <c r="F711" t="n">
        <v>1</v>
      </c>
      <c r="G711" t="inlineStr">
        <is>
          <t>RK002</t>
        </is>
      </c>
      <c r="H711" t="inlineStr">
        <is>
          <t>6 Februari 2001</t>
        </is>
      </c>
      <c r="I711" s="2" t="n">
        <v>46312</v>
      </c>
      <c r="J711" t="inlineStr">
        <is>
          <t>Disetujui</t>
        </is>
      </c>
      <c r="K711" t="n">
        <v>60</v>
      </c>
      <c r="L711" t="inlineStr">
        <is>
          <t>17 Oktober 2026</t>
        </is>
      </c>
      <c r="M711" t="inlineStr">
        <is>
          <t>Jasa Rekayasa Pekerjaan Teknik Sipil Sumber Daya Air</t>
        </is>
      </c>
      <c r="N711" t="inlineStr">
        <is>
          <t>B</t>
        </is>
      </c>
      <c r="O711" t="inlineStr">
        <is>
          <t>20231011</t>
        </is>
      </c>
      <c r="P711" t="inlineStr">
        <is>
          <t>Riau</t>
        </is>
      </c>
      <c r="Q711" t="inlineStr"/>
    </row>
    <row r="712">
      <c r="A712" t="inlineStr">
        <is>
          <t>TUGU MAS</t>
        </is>
      </c>
      <c r="B712" t="inlineStr">
        <is>
          <t>Kab. Nganjuk</t>
        </is>
      </c>
      <c r="C712" t="inlineStr">
        <is>
          <t>081249254492</t>
        </is>
      </c>
      <c r="D712" t="inlineStr">
        <is>
          <t>cv_tugumas@yahoo.com</t>
        </is>
      </c>
      <c r="E712" t="inlineStr">
        <is>
          <t>https://lpjk.pu.go.id/search-badan-usaha-detail/a1hlUjNoc05BOWIvaGk4SmUvdEVHQT09</t>
        </is>
      </c>
      <c r="F712" t="n">
        <v>1</v>
      </c>
      <c r="G712" t="inlineStr">
        <is>
          <t>BG009</t>
        </is>
      </c>
      <c r="H712" t="inlineStr">
        <is>
          <t>9 Januari 2006</t>
        </is>
      </c>
      <c r="I712" s="2" t="n">
        <v>46313</v>
      </c>
      <c r="J712" t="inlineStr">
        <is>
          <t>Disetujui</t>
        </is>
      </c>
      <c r="K712" t="n">
        <v>60</v>
      </c>
      <c r="L712" t="inlineStr">
        <is>
          <t>18 Oktober 2026</t>
        </is>
      </c>
      <c r="M712" t="inlineStr">
        <is>
          <t>Konstruksi Gedung Lainnya</t>
        </is>
      </c>
      <c r="N712" t="inlineStr">
        <is>
          <t>K</t>
        </is>
      </c>
      <c r="O712" t="inlineStr">
        <is>
          <t>20231017</t>
        </is>
      </c>
      <c r="P712" t="inlineStr">
        <is>
          <t>Jawa Timur</t>
        </is>
      </c>
      <c r="Q712" t="inlineStr"/>
    </row>
    <row r="713">
      <c r="A713" t="inlineStr">
        <is>
          <t>TUJUH TUJUH</t>
        </is>
      </c>
      <c r="B713" t="inlineStr">
        <is>
          <t>Kab. Blitar</t>
        </is>
      </c>
      <c r="C713" t="inlineStr">
        <is>
          <t>082233886906</t>
        </is>
      </c>
      <c r="D713" t="inlineStr">
        <is>
          <t>tujuhtujuh.cv@gmail.com</t>
        </is>
      </c>
      <c r="E713" t="inlineStr">
        <is>
          <t>https://lpjk.pu.go.id/search-badan-usaha-detail/UVlKMFExM0c2bS8rblNmY0FkbUk1QT09</t>
        </is>
      </c>
      <c r="F713" t="n">
        <v>1</v>
      </c>
      <c r="G713" t="inlineStr">
        <is>
          <t>BS001</t>
        </is>
      </c>
      <c r="H713" t="inlineStr">
        <is>
          <t>23 September 2006</t>
        </is>
      </c>
      <c r="I713" s="2" t="n">
        <v>46313</v>
      </c>
      <c r="J713" t="inlineStr">
        <is>
          <t>Disetujui</t>
        </is>
      </c>
      <c r="K713" t="n">
        <v>60</v>
      </c>
      <c r="L713" t="inlineStr">
        <is>
          <t>18 Oktober 2026</t>
        </is>
      </c>
      <c r="M713" t="inlineStr">
        <is>
          <t>Konstruksi Bangunan Sipil Jalan</t>
        </is>
      </c>
      <c r="N713" t="inlineStr">
        <is>
          <t>K</t>
        </is>
      </c>
      <c r="O713" t="inlineStr">
        <is>
          <t>20231016</t>
        </is>
      </c>
      <c r="P713" t="inlineStr">
        <is>
          <t>Jawa Timur</t>
        </is>
      </c>
      <c r="Q713" t="inlineStr"/>
    </row>
    <row r="714">
      <c r="A714" t="inlineStr">
        <is>
          <t>TUNAS BHAKTI SARANA</t>
        </is>
      </c>
      <c r="B714" t="inlineStr">
        <is>
          <t>Kab. Purbalingga</t>
        </is>
      </c>
      <c r="C714" t="inlineStr">
        <is>
          <t>081327670047</t>
        </is>
      </c>
      <c r="D714" t="inlineStr">
        <is>
          <t>pttunasbhaktisarana@gmail.com</t>
        </is>
      </c>
      <c r="E714" t="inlineStr">
        <is>
          <t>https://lpjk.pu.go.id/search-badan-usaha-detail/OEtZRi9kSU1iQlpoRWt0akpOU1lRZz09</t>
        </is>
      </c>
      <c r="F714" t="n">
        <v>1</v>
      </c>
      <c r="G714" t="inlineStr">
        <is>
          <t>BS001</t>
        </is>
      </c>
      <c r="H714" t="inlineStr">
        <is>
          <t>22 Juni 2012</t>
        </is>
      </c>
      <c r="I714" s="2" t="n">
        <v>46313</v>
      </c>
      <c r="J714" t="inlineStr">
        <is>
          <t>Disetujui</t>
        </is>
      </c>
      <c r="K714" t="n">
        <v>60</v>
      </c>
      <c r="L714" t="inlineStr">
        <is>
          <t>18 Oktober 2026</t>
        </is>
      </c>
      <c r="M714" t="inlineStr">
        <is>
          <t>Konstruksi Bangunan Sipil Jalan</t>
        </is>
      </c>
      <c r="N714" t="inlineStr">
        <is>
          <t>K</t>
        </is>
      </c>
      <c r="O714" t="inlineStr">
        <is>
          <t>20231017</t>
        </is>
      </c>
      <c r="P714" t="inlineStr">
        <is>
          <t>Jawa Tengah</t>
        </is>
      </c>
      <c r="Q714" t="inlineStr"/>
    </row>
    <row r="715">
      <c r="A715" t="inlineStr">
        <is>
          <t>TUNAS KARYA</t>
        </is>
      </c>
      <c r="B715" t="inlineStr">
        <is>
          <t>Kab. Banyumas</t>
        </is>
      </c>
      <c r="C715" t="inlineStr">
        <is>
          <t>082236937788</t>
        </is>
      </c>
      <c r="D715" t="inlineStr">
        <is>
          <t>tunaskaryacv5@gmail.com</t>
        </is>
      </c>
      <c r="E715" t="inlineStr">
        <is>
          <t>https://lpjk.pu.go.id/search-badan-usaha-detail/bFd1UllIWFJ0Vm9CVlBoSUZXaWxRQT09</t>
        </is>
      </c>
      <c r="F715" t="n">
        <v>5</v>
      </c>
      <c r="G715" t="inlineStr">
        <is>
          <t>BG003, BG004, BG005, BG006, BG009</t>
        </is>
      </c>
      <c r="H715" t="inlineStr">
        <is>
          <t>29 Maret 2017</t>
        </is>
      </c>
      <c r="I715" s="2" t="n">
        <v>46311</v>
      </c>
      <c r="J715" t="inlineStr">
        <is>
          <t>Disetujui</t>
        </is>
      </c>
      <c r="K715" t="n">
        <v>60</v>
      </c>
      <c r="L715" t="inlineStr">
        <is>
          <t>16 Oktober 2026</t>
        </is>
      </c>
      <c r="M715" t="inlineStr">
        <is>
          <t>Konstruksi Gedung Industri, Konstruksi Gedung Kesehatan, Konstruksi Gedung Lainnya, Konstruksi Gedung Pendidikan, Konstruksi Gedung Perbelanjaan</t>
        </is>
      </c>
      <c r="N715" t="inlineStr">
        <is>
          <t>K</t>
        </is>
      </c>
      <c r="O715" t="inlineStr">
        <is>
          <t>20231012, 20231015</t>
        </is>
      </c>
      <c r="P715" t="inlineStr">
        <is>
          <t>Jawa Tengah</t>
        </is>
      </c>
      <c r="Q715" t="inlineStr"/>
    </row>
    <row r="716">
      <c r="A716" t="inlineStr">
        <is>
          <t>TUNAS KONSTRUKSI MANDIRI</t>
        </is>
      </c>
      <c r="B716" t="inlineStr">
        <is>
          <t>Kota Padang</t>
        </is>
      </c>
      <c r="C716" t="inlineStr">
        <is>
          <t>0811762235</t>
        </is>
      </c>
      <c r="D716" t="inlineStr">
        <is>
          <t>tunaskonstruksimandiri@gmail.com</t>
        </is>
      </c>
      <c r="E716" t="inlineStr">
        <is>
          <t>https://lpjk.pu.go.id/search-badan-usaha-detail/SmJMTFZJK3Uva3BVVnM0WUpkZnprZz09</t>
        </is>
      </c>
      <c r="F716" t="n">
        <v>3</v>
      </c>
      <c r="G716" t="inlineStr">
        <is>
          <t>BG002</t>
        </is>
      </c>
      <c r="H716" t="inlineStr">
        <is>
          <t>24 Januari 2020</t>
        </is>
      </c>
      <c r="I716" s="2" t="n">
        <v>46308</v>
      </c>
      <c r="J716" t="inlineStr">
        <is>
          <t>Disetujui</t>
        </is>
      </c>
      <c r="K716" t="n">
        <v>60</v>
      </c>
      <c r="L716" t="inlineStr">
        <is>
          <t>13 Oktober 2026</t>
        </is>
      </c>
      <c r="M716" t="inlineStr">
        <is>
          <t>Konstruksi Gedung Perkantoran</t>
        </is>
      </c>
      <c r="N716" t="inlineStr">
        <is>
          <t>M</t>
        </is>
      </c>
      <c r="O716" t="inlineStr">
        <is>
          <t>20230927</t>
        </is>
      </c>
      <c r="P716" t="inlineStr">
        <is>
          <t>Sumatera Barat</t>
        </is>
      </c>
      <c r="Q716" t="inlineStr"/>
    </row>
    <row r="717">
      <c r="A717" t="inlineStr">
        <is>
          <t>TUNAS KREATIF SEJAHTERA</t>
        </is>
      </c>
      <c r="B717" t="inlineStr">
        <is>
          <t>Kab. Majalengka</t>
        </is>
      </c>
      <c r="C717" t="inlineStr">
        <is>
          <t>081221038380</t>
        </is>
      </c>
      <c r="D717" t="inlineStr">
        <is>
          <t>cvtunaskreatifsejahteraizin@gmail.com</t>
        </is>
      </c>
      <c r="E717" t="inlineStr">
        <is>
          <t>https://lpjk.pu.go.id/search-badan-usaha-detail/aDJYbTJUeU02a0szaWhmbE5NZVZSQT09</t>
        </is>
      </c>
      <c r="F717" t="n">
        <v>1</v>
      </c>
      <c r="G717" t="inlineStr">
        <is>
          <t>BS001</t>
        </is>
      </c>
      <c r="H717" t="inlineStr">
        <is>
          <t>26 Juli 2010</t>
        </is>
      </c>
      <c r="I717" s="2" t="n">
        <v>46308</v>
      </c>
      <c r="J717" t="inlineStr">
        <is>
          <t>Disetujui</t>
        </is>
      </c>
      <c r="K717" t="n">
        <v>60</v>
      </c>
      <c r="L717" t="inlineStr">
        <is>
          <t>13 Oktober 2026</t>
        </is>
      </c>
      <c r="M717" t="inlineStr">
        <is>
          <t>Konstruksi Bangunan Sipil Jalan</t>
        </is>
      </c>
      <c r="N717" t="inlineStr">
        <is>
          <t>K</t>
        </is>
      </c>
      <c r="O717" t="inlineStr">
        <is>
          <t>20231006</t>
        </is>
      </c>
      <c r="P717" t="inlineStr">
        <is>
          <t>Jawa Barat</t>
        </is>
      </c>
      <c r="Q717" t="inlineStr"/>
    </row>
    <row r="718">
      <c r="A718" t="inlineStr">
        <is>
          <t>TUNAS SATRIA MULTI KARYA</t>
        </is>
      </c>
      <c r="B718" t="inlineStr">
        <is>
          <t>Kab. Banyumas</t>
        </is>
      </c>
      <c r="C718" t="inlineStr">
        <is>
          <t>0281626249</t>
        </is>
      </c>
      <c r="D718" t="inlineStr">
        <is>
          <t>tunassatriamultikarya@gmail.com</t>
        </is>
      </c>
      <c r="E718" t="inlineStr">
        <is>
          <t>https://lpjk.pu.go.id/search-badan-usaha-detail/TWpYUTFwYU5tMmQwSWRGdGd6Q1BVdz09</t>
        </is>
      </c>
      <c r="F718" t="n">
        <v>1</v>
      </c>
      <c r="G718" t="inlineStr">
        <is>
          <t>RK001</t>
        </is>
      </c>
      <c r="H718" t="inlineStr">
        <is>
          <t>30 September 2013</t>
        </is>
      </c>
      <c r="I718" s="2" t="n">
        <v>46312</v>
      </c>
      <c r="J718" t="inlineStr">
        <is>
          <t>Disetujui</t>
        </is>
      </c>
      <c r="K718" t="n">
        <v>60</v>
      </c>
      <c r="L718" t="inlineStr">
        <is>
          <t>17 Oktober 2026</t>
        </is>
      </c>
      <c r="M718" t="inlineStr">
        <is>
          <t>Jasa Rekayasa Konstruksi Bangunan Gedung Hunian dan Non Hunian</t>
        </is>
      </c>
      <c r="N718" t="inlineStr">
        <is>
          <t>K</t>
        </is>
      </c>
      <c r="O718" t="inlineStr">
        <is>
          <t>20231009</t>
        </is>
      </c>
      <c r="P718" t="inlineStr">
        <is>
          <t>Jawa Tengah</t>
        </is>
      </c>
      <c r="Q718" t="inlineStr"/>
    </row>
    <row r="719">
      <c r="A719" t="inlineStr">
        <is>
          <t>UNGGUL CIPTA</t>
        </is>
      </c>
      <c r="B719" t="inlineStr">
        <is>
          <t>Kab. Cilacap</t>
        </is>
      </c>
      <c r="C719" t="inlineStr">
        <is>
          <t>087737040364</t>
        </is>
      </c>
      <c r="D719" t="inlineStr">
        <is>
          <t>unggulciptamajenang@gmail.com</t>
        </is>
      </c>
      <c r="E719" t="inlineStr">
        <is>
          <t>https://lpjk.pu.go.id/search-badan-usaha-detail/empXNHVhSXJXNEhUZjZ5THlldkJzZz09</t>
        </is>
      </c>
      <c r="F719" t="n">
        <v>1</v>
      </c>
      <c r="G719" t="inlineStr">
        <is>
          <t>BS004</t>
        </is>
      </c>
      <c r="H719" t="inlineStr">
        <is>
          <t>23 Desember 1992</t>
        </is>
      </c>
      <c r="I719" s="2" t="n">
        <v>46311</v>
      </c>
      <c r="J719" t="inlineStr">
        <is>
          <t>Disetujui</t>
        </is>
      </c>
      <c r="K719" t="n">
        <v>60</v>
      </c>
      <c r="L719" t="inlineStr">
        <is>
          <t>16 Oktober 2026</t>
        </is>
      </c>
      <c r="M719" t="inlineStr">
        <is>
          <t>Konstruksi Jaringan Irigasi dan Drainase</t>
        </is>
      </c>
      <c r="N719" t="inlineStr">
        <is>
          <t>K</t>
        </is>
      </c>
      <c r="O719" t="inlineStr">
        <is>
          <t>20231005</t>
        </is>
      </c>
      <c r="P719" t="inlineStr">
        <is>
          <t>Jawa Tengah</t>
        </is>
      </c>
      <c r="Q719" t="inlineStr"/>
    </row>
    <row r="720">
      <c r="A720" t="inlineStr">
        <is>
          <t>USAHA JAYAMAS BHAKTI</t>
        </is>
      </c>
      <c r="B720" t="inlineStr">
        <is>
          <t>Kota Adm. Jakarta Utara</t>
        </is>
      </c>
      <c r="C720" t="inlineStr">
        <is>
          <t>02165837136</t>
        </is>
      </c>
      <c r="D720" t="inlineStr">
        <is>
          <t>usaha.bhakti@yahoo.com</t>
        </is>
      </c>
      <c r="E720" t="inlineStr">
        <is>
          <t>https://lpjk.pu.go.id/search-badan-usaha-detail/WFg4Rk1NWDFua0ZYZnp5OWNDSGdoQT09</t>
        </is>
      </c>
      <c r="F720" t="n">
        <v>1</v>
      </c>
      <c r="G720" t="inlineStr">
        <is>
          <t>BG009</t>
        </is>
      </c>
      <c r="H720" t="inlineStr">
        <is>
          <t>31 Oktober 1978</t>
        </is>
      </c>
      <c r="I720" s="2" t="n">
        <v>46313</v>
      </c>
      <c r="J720" t="inlineStr">
        <is>
          <t>Pencabutan</t>
        </is>
      </c>
      <c r="K720" t="n">
        <v>60</v>
      </c>
      <c r="L720" t="inlineStr">
        <is>
          <t>18 Oktober 2026</t>
        </is>
      </c>
      <c r="M720" t="inlineStr">
        <is>
          <t>Konstruksi Gedung Lainnya</t>
        </is>
      </c>
      <c r="N720" t="inlineStr">
        <is>
          <t>B</t>
        </is>
      </c>
      <c r="O720" t="inlineStr">
        <is>
          <t>20231012</t>
        </is>
      </c>
      <c r="P720" t="inlineStr">
        <is>
          <t>DKI Jakarta</t>
        </is>
      </c>
      <c r="Q720" t="inlineStr"/>
    </row>
    <row r="721">
      <c r="A721" t="inlineStr">
        <is>
          <t>USAHA MAULIDA</t>
        </is>
      </c>
      <c r="B721" t="inlineStr">
        <is>
          <t>Kab. Gresik</t>
        </is>
      </c>
      <c r="C721" t="inlineStr">
        <is>
          <t>085850922214</t>
        </is>
      </c>
      <c r="D721" t="inlineStr">
        <is>
          <t>usahamaulidah@gmail.com</t>
        </is>
      </c>
      <c r="E721" t="inlineStr">
        <is>
          <t>https://lpjk.pu.go.id/search-badan-usaha-detail/bm83R3oxU0U1VCtuNDJ5VGpUbVIvUT09</t>
        </is>
      </c>
      <c r="F721" t="n">
        <v>2</v>
      </c>
      <c r="G721" t="inlineStr">
        <is>
          <t>BG002, BG004</t>
        </is>
      </c>
      <c r="H721" t="inlineStr">
        <is>
          <t>9 Maret 2000</t>
        </is>
      </c>
      <c r="I721" s="2" t="n">
        <v>46313</v>
      </c>
      <c r="J721" t="inlineStr">
        <is>
          <t>Disetujui, Pencabutan</t>
        </is>
      </c>
      <c r="K721" t="n">
        <v>60</v>
      </c>
      <c r="L721" t="inlineStr">
        <is>
          <t>18 Oktober 2026</t>
        </is>
      </c>
      <c r="M721" t="inlineStr">
        <is>
          <t>Konstruksi Gedung Perbelanjaan, Konstruksi Gedung Perkantoran</t>
        </is>
      </c>
      <c r="N721" t="inlineStr">
        <is>
          <t>K</t>
        </is>
      </c>
      <c r="O721" t="inlineStr">
        <is>
          <t>20231012</t>
        </is>
      </c>
      <c r="P721" t="inlineStr">
        <is>
          <t>Jawa Timur</t>
        </is>
      </c>
      <c r="Q721" t="inlineStr"/>
    </row>
    <row r="722">
      <c r="A722" t="inlineStr">
        <is>
          <t>VIRA KARYA SAKTI</t>
        </is>
      </c>
      <c r="B722" t="inlineStr">
        <is>
          <t>Kab. Jember</t>
        </is>
      </c>
      <c r="C722" t="inlineStr">
        <is>
          <t>081233457351</t>
        </is>
      </c>
      <c r="D722" t="inlineStr">
        <is>
          <t>virakaryasakti@gmail.com</t>
        </is>
      </c>
      <c r="E722" t="inlineStr">
        <is>
          <t>https://lpjk.pu.go.id/search-badan-usaha-detail/c1BWaVRJK1o5bk9QZmF0dHlrMGx0UT09</t>
        </is>
      </c>
      <c r="F722" t="n">
        <v>1</v>
      </c>
      <c r="G722" t="inlineStr">
        <is>
          <t>BG001</t>
        </is>
      </c>
      <c r="H722" t="inlineStr">
        <is>
          <t>6 Januari 2012</t>
        </is>
      </c>
      <c r="I722" s="2" t="n">
        <v>46313</v>
      </c>
      <c r="J722" t="inlineStr">
        <is>
          <t>Disetujui</t>
        </is>
      </c>
      <c r="K722" t="n">
        <v>60</v>
      </c>
      <c r="L722" t="inlineStr">
        <is>
          <t>18 Oktober 2026</t>
        </is>
      </c>
      <c r="M722" t="inlineStr">
        <is>
          <t>Konstruksi Gedung Hunian</t>
        </is>
      </c>
      <c r="N722" t="inlineStr">
        <is>
          <t>K</t>
        </is>
      </c>
      <c r="O722" t="inlineStr">
        <is>
          <t>20231012</t>
        </is>
      </c>
      <c r="P722" t="inlineStr">
        <is>
          <t>Jawa Timur</t>
        </is>
      </c>
      <c r="Q722" t="inlineStr"/>
    </row>
    <row r="723">
      <c r="A723" t="inlineStr">
        <is>
          <t>VIRGO LESTARI PERMAI</t>
        </is>
      </c>
      <c r="B723" t="inlineStr">
        <is>
          <t>Kab. Paser</t>
        </is>
      </c>
      <c r="C723" t="inlineStr">
        <is>
          <t>081350389069</t>
        </is>
      </c>
      <c r="D723" t="inlineStr">
        <is>
          <t>cvvirgolestaripermai@gmail.com</t>
        </is>
      </c>
      <c r="E723" t="inlineStr">
        <is>
          <t>https://lpjk.pu.go.id/search-badan-usaha-detail/NldzTzc1ZTdMNUVSZXExK2lZM25ndz09</t>
        </is>
      </c>
      <c r="F723" t="n">
        <v>1</v>
      </c>
      <c r="G723" t="inlineStr">
        <is>
          <t>BS010</t>
        </is>
      </c>
      <c r="H723" t="inlineStr">
        <is>
          <t>23 November 2022</t>
        </is>
      </c>
      <c r="I723" s="2" t="n">
        <v>46312</v>
      </c>
      <c r="J723" t="inlineStr">
        <is>
          <t>Disetujui</t>
        </is>
      </c>
      <c r="K723" t="n">
        <v>60</v>
      </c>
      <c r="L723" t="inlineStr">
        <is>
          <t>17 Oktober 2026</t>
        </is>
      </c>
      <c r="M723" t="inlineStr">
        <is>
          <t>Konstruksi Bangunan Prasarana Sumber Daya Air</t>
        </is>
      </c>
      <c r="N723" t="inlineStr">
        <is>
          <t>K</t>
        </is>
      </c>
      <c r="O723" t="inlineStr">
        <is>
          <t>20231018</t>
        </is>
      </c>
      <c r="P723" t="inlineStr">
        <is>
          <t>Kalimantan Timur</t>
        </is>
      </c>
      <c r="Q723" t="inlineStr"/>
    </row>
    <row r="724">
      <c r="A724" t="inlineStr">
        <is>
          <t>WAHANA NUANSA INDONESIA</t>
        </is>
      </c>
      <c r="B724" t="inlineStr">
        <is>
          <t>Kab. Tangerang</t>
        </is>
      </c>
      <c r="C724" t="inlineStr">
        <is>
          <t>02155662873</t>
        </is>
      </c>
      <c r="D724" t="inlineStr">
        <is>
          <t>pt.wahananuansaindonesia17@gmail.com</t>
        </is>
      </c>
      <c r="E724" t="inlineStr">
        <is>
          <t>https://lpjk.pu.go.id/search-badan-usaha-detail/OS9RTlBnMUNreUx0alRRNURqOHUrZz09</t>
        </is>
      </c>
      <c r="F724" t="n">
        <v>1</v>
      </c>
      <c r="G724" t="inlineStr">
        <is>
          <t>BG003</t>
        </is>
      </c>
      <c r="H724" t="inlineStr">
        <is>
          <t>17 Maret 2017</t>
        </is>
      </c>
      <c r="I724" s="2" t="n">
        <v>46312</v>
      </c>
      <c r="J724" t="inlineStr">
        <is>
          <t>Pencabutan</t>
        </is>
      </c>
      <c r="K724" t="n">
        <v>60</v>
      </c>
      <c r="L724" t="inlineStr">
        <is>
          <t>17 Oktober 2026</t>
        </is>
      </c>
      <c r="M724" t="inlineStr">
        <is>
          <t>Konstruksi Gedung Industri</t>
        </is>
      </c>
      <c r="N724" t="inlineStr">
        <is>
          <t>M</t>
        </is>
      </c>
      <c r="O724" t="inlineStr">
        <is>
          <t>20230915</t>
        </is>
      </c>
      <c r="P724" t="inlineStr">
        <is>
          <t>Banten</t>
        </is>
      </c>
      <c r="Q724" t="inlineStr"/>
    </row>
    <row r="725">
      <c r="A725" t="inlineStr">
        <is>
          <t>WAHYU MUSTIKA ENGINEERING</t>
        </is>
      </c>
      <c r="B725" t="inlineStr">
        <is>
          <t>Kota Cilegon</t>
        </is>
      </c>
      <c r="C725" t="inlineStr">
        <is>
          <t>081282073832</t>
        </is>
      </c>
      <c r="D725" t="inlineStr">
        <is>
          <t>wahyumustikaengineering@yahoo.co.id</t>
        </is>
      </c>
      <c r="E725" t="inlineStr">
        <is>
          <t>https://lpjk.pu.go.id/search-badan-usaha-detail/RWVOZHpGWk1GaGovYWc0ak9HMzc3QT09</t>
        </is>
      </c>
      <c r="F725" t="n">
        <v>2</v>
      </c>
      <c r="G725" t="inlineStr">
        <is>
          <t>BG003, KK016</t>
        </is>
      </c>
      <c r="H725" t="inlineStr">
        <is>
          <t>17 Maret 2011</t>
        </is>
      </c>
      <c r="I725" s="2" t="n">
        <v>46307</v>
      </c>
      <c r="J725" t="inlineStr">
        <is>
          <t>Disetujui</t>
        </is>
      </c>
      <c r="K725" t="n">
        <v>60</v>
      </c>
      <c r="L725" t="inlineStr">
        <is>
          <t>12 Oktober 2026</t>
        </is>
      </c>
      <c r="M725" t="inlineStr">
        <is>
          <t>Konstruksi Gedung Industri, Pemasangan Kerangka Baja</t>
        </is>
      </c>
      <c r="N725" t="inlineStr">
        <is>
          <t>K, Spesialis</t>
        </is>
      </c>
      <c r="O725" t="inlineStr">
        <is>
          <t>20231012, 20231018</t>
        </is>
      </c>
      <c r="P725" t="inlineStr">
        <is>
          <t>Banten</t>
        </is>
      </c>
      <c r="Q725" t="inlineStr"/>
    </row>
    <row r="726">
      <c r="A726" t="inlineStr">
        <is>
          <t>WAHYU PUTRA</t>
        </is>
      </c>
      <c r="B726" t="inlineStr">
        <is>
          <t>Kab. Banyumas</t>
        </is>
      </c>
      <c r="C726" t="inlineStr">
        <is>
          <t>02816843205</t>
        </is>
      </c>
      <c r="D726" t="inlineStr">
        <is>
          <t>wahyu_putracv@yahoo.com</t>
        </is>
      </c>
      <c r="E726" t="inlineStr">
        <is>
          <t>https://lpjk.pu.go.id/search-badan-usaha-detail/dHRiS3c1eGlnUWkxcXpUQktxenB1UT09</t>
        </is>
      </c>
      <c r="F726" t="n">
        <v>1</v>
      </c>
      <c r="G726" t="inlineStr">
        <is>
          <t>BS004</t>
        </is>
      </c>
      <c r="H726" t="inlineStr">
        <is>
          <t>2 November 1995</t>
        </is>
      </c>
      <c r="I726" s="2" t="n">
        <v>46312</v>
      </c>
      <c r="J726" t="inlineStr">
        <is>
          <t>Disetujui</t>
        </is>
      </c>
      <c r="K726" t="n">
        <v>60</v>
      </c>
      <c r="L726" t="inlineStr">
        <is>
          <t>17 Oktober 2026</t>
        </is>
      </c>
      <c r="M726" t="inlineStr">
        <is>
          <t>Konstruksi Jaringan Irigasi dan Drainase</t>
        </is>
      </c>
      <c r="N726" t="inlineStr">
        <is>
          <t>K</t>
        </is>
      </c>
      <c r="O726" t="inlineStr">
        <is>
          <t>20231012</t>
        </is>
      </c>
      <c r="P726" t="inlineStr">
        <is>
          <t>Jawa Tengah</t>
        </is>
      </c>
      <c r="Q726" t="inlineStr"/>
    </row>
    <row r="727">
      <c r="A727" t="inlineStr">
        <is>
          <t>WAHYUNATA ARSITA</t>
        </is>
      </c>
      <c r="B727" t="inlineStr">
        <is>
          <t>Kota Jambi</t>
        </is>
      </c>
      <c r="C727" t="inlineStr">
        <is>
          <t>074124714</t>
        </is>
      </c>
      <c r="D727" t="inlineStr">
        <is>
          <t>wahyunata_arsita@yahoo.co.id</t>
        </is>
      </c>
      <c r="E727" t="inlineStr">
        <is>
          <t>https://lpjk.pu.go.id/search-badan-usaha-detail/eFRPNnZSa3VDaTFKS3orMUxPb01wUT09</t>
        </is>
      </c>
      <c r="F727" t="n">
        <v>1</v>
      </c>
      <c r="G727" t="inlineStr">
        <is>
          <t>BS001</t>
        </is>
      </c>
      <c r="H727" t="inlineStr">
        <is>
          <t>1 September 1993</t>
        </is>
      </c>
      <c r="I727" s="2" t="n">
        <v>46310</v>
      </c>
      <c r="J727" t="inlineStr">
        <is>
          <t>Disetujui</t>
        </is>
      </c>
      <c r="K727" t="n">
        <v>60</v>
      </c>
      <c r="L727" t="inlineStr">
        <is>
          <t>15 Oktober 2026</t>
        </is>
      </c>
      <c r="M727" t="inlineStr">
        <is>
          <t>Konstruksi Bangunan Sipil Jalan</t>
        </is>
      </c>
      <c r="N727" t="inlineStr">
        <is>
          <t>M</t>
        </is>
      </c>
      <c r="O727" t="inlineStr">
        <is>
          <t>20231005</t>
        </is>
      </c>
      <c r="P727" t="inlineStr">
        <is>
          <t>Jambi</t>
        </is>
      </c>
      <c r="Q727" t="inlineStr"/>
    </row>
    <row r="728">
      <c r="A728" t="inlineStr">
        <is>
          <t>WAN CIPTA PROPERTI</t>
        </is>
      </c>
      <c r="B728" t="inlineStr">
        <is>
          <t>Kota Adm. Jakarta Selatan</t>
        </is>
      </c>
      <c r="C728" t="inlineStr">
        <is>
          <t>081236101286</t>
        </is>
      </c>
      <c r="D728" t="inlineStr">
        <is>
          <t>pt.wancipta@gmail.com</t>
        </is>
      </c>
      <c r="E728" t="inlineStr">
        <is>
          <t>https://lpjk.pu.go.id/search-badan-usaha-detail/TEFuQVBMdjhsSVlPaEJHTmpleHlYUT09</t>
        </is>
      </c>
      <c r="F728" t="n">
        <v>2</v>
      </c>
      <c r="G728" t="inlineStr">
        <is>
          <t>BG001, BG002</t>
        </is>
      </c>
      <c r="H728" t="inlineStr">
        <is>
          <t>24 Februari 2021</t>
        </is>
      </c>
      <c r="I728" s="2" t="n">
        <v>46312</v>
      </c>
      <c r="J728" t="inlineStr">
        <is>
          <t>Disetujui</t>
        </is>
      </c>
      <c r="K728" t="n">
        <v>60</v>
      </c>
      <c r="L728" t="inlineStr">
        <is>
          <t>17 Oktober 2026</t>
        </is>
      </c>
      <c r="M728" t="inlineStr">
        <is>
          <t>Konstruksi Gedung Hunian, Konstruksi Gedung Perkantoran</t>
        </is>
      </c>
      <c r="N728" t="inlineStr">
        <is>
          <t>K</t>
        </is>
      </c>
      <c r="O728" t="inlineStr">
        <is>
          <t>20230718</t>
        </is>
      </c>
      <c r="P728" t="inlineStr">
        <is>
          <t>DKI Jakarta</t>
        </is>
      </c>
      <c r="Q728" t="inlineStr"/>
    </row>
    <row r="729">
      <c r="A729" t="inlineStr">
        <is>
          <t>WARNA RAPI INTERNUSA</t>
        </is>
      </c>
      <c r="B729" t="inlineStr">
        <is>
          <t>Kota Adm. Jakarta Pusat</t>
        </is>
      </c>
      <c r="C729" t="inlineStr">
        <is>
          <t>08179828285</t>
        </is>
      </c>
      <c r="D729" t="inlineStr">
        <is>
          <t>warnarapi@gmail.com</t>
        </is>
      </c>
      <c r="E729" t="inlineStr">
        <is>
          <t>https://lpjk.pu.go.id/search-badan-usaha-detail/bE1Mc1kxY1hDTHcxSlJ6eFlhYjI0Zz09</t>
        </is>
      </c>
      <c r="F729" t="n">
        <v>4</v>
      </c>
      <c r="G729" t="inlineStr">
        <is>
          <t>BG001, BG002, BG003, BG007</t>
        </is>
      </c>
      <c r="H729" t="inlineStr">
        <is>
          <t>23 Mei 2022</t>
        </is>
      </c>
      <c r="I729" s="2" t="n">
        <v>46311</v>
      </c>
      <c r="J729" t="inlineStr">
        <is>
          <t>Disetujui</t>
        </is>
      </c>
      <c r="K729" t="n">
        <v>60</v>
      </c>
      <c r="L729" t="inlineStr">
        <is>
          <t>16 Oktober 2026</t>
        </is>
      </c>
      <c r="M729" t="inlineStr">
        <is>
          <t>Konstruksi Gedung Hunian, Konstruksi Gedung Industri, Konstruksi Gedung Penginapan, Konstruksi Gedung Perkantoran</t>
        </is>
      </c>
      <c r="N729" t="inlineStr">
        <is>
          <t>K</t>
        </is>
      </c>
      <c r="O729" t="inlineStr">
        <is>
          <t>20231013</t>
        </is>
      </c>
      <c r="P729" t="inlineStr">
        <is>
          <t>DKI Jakarta</t>
        </is>
      </c>
      <c r="Q729" t="inlineStr"/>
    </row>
    <row r="730">
      <c r="A730" t="inlineStr">
        <is>
          <t>WASKITA UTAMA</t>
        </is>
      </c>
      <c r="B730" t="inlineStr">
        <is>
          <t>Kota Samarinda</t>
        </is>
      </c>
      <c r="C730" t="inlineStr">
        <is>
          <t>081347280766</t>
        </is>
      </c>
      <c r="D730" t="inlineStr">
        <is>
          <t>waskitautm@gmail.com</t>
        </is>
      </c>
      <c r="E730" t="inlineStr">
        <is>
          <t>https://lpjk.pu.go.id/search-badan-usaha-detail/TDR6cFpPK0cvWmdKUC9oSVRocFFxQT09</t>
        </is>
      </c>
      <c r="F730" t="n">
        <v>1</v>
      </c>
      <c r="G730" t="inlineStr">
        <is>
          <t>RK003</t>
        </is>
      </c>
      <c r="H730" t="inlineStr">
        <is>
          <t>21 April 2008</t>
        </is>
      </c>
      <c r="I730" s="2" t="n">
        <v>46310</v>
      </c>
      <c r="J730" t="inlineStr">
        <is>
          <t>Disetujui</t>
        </is>
      </c>
      <c r="K730" t="n">
        <v>60</v>
      </c>
      <c r="L730" t="inlineStr">
        <is>
          <t>15 Oktober 2026</t>
        </is>
      </c>
      <c r="M730" t="inlineStr">
        <is>
          <t>Jasa Rekayasa Pekerjaan Teknik Sipil Transportasi</t>
        </is>
      </c>
      <c r="N730" t="inlineStr">
        <is>
          <t>M</t>
        </is>
      </c>
      <c r="O730" t="inlineStr">
        <is>
          <t>20231004</t>
        </is>
      </c>
      <c r="P730" t="inlineStr">
        <is>
          <t>Kalimantan Timur</t>
        </is>
      </c>
      <c r="Q730" t="inlineStr"/>
    </row>
    <row r="731">
      <c r="A731" t="inlineStr">
        <is>
          <t>WATU WESI RAYA</t>
        </is>
      </c>
      <c r="B731" t="inlineStr">
        <is>
          <t>Kab. Klungkung</t>
        </is>
      </c>
      <c r="C731" t="inlineStr">
        <is>
          <t>081339410250</t>
        </is>
      </c>
      <c r="D731" t="inlineStr">
        <is>
          <t>cv.watuwesiraya23@gmail.com</t>
        </is>
      </c>
      <c r="E731" t="inlineStr">
        <is>
          <t>https://lpjk.pu.go.id/search-badan-usaha-detail/TCt1OHdCM2pJYTBEaWpETzZ1R0ZkZz09</t>
        </is>
      </c>
      <c r="F731" t="n">
        <v>1</v>
      </c>
      <c r="G731" t="inlineStr">
        <is>
          <t>BG008</t>
        </is>
      </c>
      <c r="H731" t="inlineStr">
        <is>
          <t>17 Juli 2023</t>
        </is>
      </c>
      <c r="I731" s="2" t="n">
        <v>46311</v>
      </c>
      <c r="J731" t="inlineStr">
        <is>
          <t>Disetujui</t>
        </is>
      </c>
      <c r="K731" t="n">
        <v>60</v>
      </c>
      <c r="L731" t="inlineStr">
        <is>
          <t>16 Oktober 2026</t>
        </is>
      </c>
      <c r="M731" t="inlineStr">
        <is>
          <t>Konstruksi Gedung Tempat Hiburan dan Olahraga</t>
        </is>
      </c>
      <c r="N731" t="inlineStr">
        <is>
          <t>K</t>
        </is>
      </c>
      <c r="O731" t="inlineStr">
        <is>
          <t>20230914</t>
        </is>
      </c>
      <c r="P731" t="inlineStr">
        <is>
          <t>Bali</t>
        </is>
      </c>
      <c r="Q731" t="inlineStr"/>
    </row>
    <row r="732">
      <c r="A732" t="inlineStr">
        <is>
          <t>WIDYA PRATAMA ARCHITECT</t>
        </is>
      </c>
      <c r="B732" t="inlineStr">
        <is>
          <t>Kota Samarinda</t>
        </is>
      </c>
      <c r="C732" t="inlineStr">
        <is>
          <t>085246370553</t>
        </is>
      </c>
      <c r="D732" t="inlineStr">
        <is>
          <t>widyapratamaarchitect@gmail.com</t>
        </is>
      </c>
      <c r="E732" t="inlineStr">
        <is>
          <t>https://lpjk.pu.go.id/search-badan-usaha-detail/NENUNS9WckxRcWtST1JFcWpBeUpqUT09</t>
        </is>
      </c>
      <c r="F732" t="n">
        <v>1</v>
      </c>
      <c r="G732" t="inlineStr">
        <is>
          <t>BS001</t>
        </is>
      </c>
      <c r="H732" t="inlineStr">
        <is>
          <t>6 Februari 2020</t>
        </is>
      </c>
      <c r="I732" s="2" t="n">
        <v>46308</v>
      </c>
      <c r="J732" t="inlineStr">
        <is>
          <t>Disetujui</t>
        </is>
      </c>
      <c r="K732" t="n">
        <v>60</v>
      </c>
      <c r="L732" t="inlineStr">
        <is>
          <t>13 Oktober 2026</t>
        </is>
      </c>
      <c r="M732" t="inlineStr">
        <is>
          <t>Konstruksi Bangunan Sipil Jalan</t>
        </is>
      </c>
      <c r="N732" t="inlineStr">
        <is>
          <t>K</t>
        </is>
      </c>
      <c r="O732" t="inlineStr">
        <is>
          <t>20231012</t>
        </is>
      </c>
      <c r="P732" t="inlineStr">
        <is>
          <t>Kalimantan Timur</t>
        </is>
      </c>
      <c r="Q732" t="inlineStr"/>
    </row>
    <row r="733">
      <c r="A733" t="inlineStr">
        <is>
          <t>WINDU PUTRA KENCANA</t>
        </is>
      </c>
      <c r="B733" t="inlineStr">
        <is>
          <t>Kota Surabaya</t>
        </is>
      </c>
      <c r="C733" t="inlineStr">
        <is>
          <t>088230413576</t>
        </is>
      </c>
      <c r="D733" t="inlineStr">
        <is>
          <t>ptwinduputrakencana@gmail.com</t>
        </is>
      </c>
      <c r="E733" t="inlineStr">
        <is>
          <t>https://lpjk.pu.go.id/search-badan-usaha-detail/MnJhNUNOdEhHekRKWCtZRmlZK0wyQT09</t>
        </is>
      </c>
      <c r="F733" t="n">
        <v>1</v>
      </c>
      <c r="G733" t="inlineStr">
        <is>
          <t>BG009</t>
        </is>
      </c>
      <c r="H733" t="inlineStr">
        <is>
          <t>20 September 2023</t>
        </is>
      </c>
      <c r="I733" s="2" t="n">
        <v>46307</v>
      </c>
      <c r="J733" t="inlineStr">
        <is>
          <t>Disetujui</t>
        </is>
      </c>
      <c r="K733" t="n">
        <v>60</v>
      </c>
      <c r="L733" t="inlineStr">
        <is>
          <t>12 Oktober 2026</t>
        </is>
      </c>
      <c r="M733" t="inlineStr">
        <is>
          <t>Konstruksi Gedung Lainnya</t>
        </is>
      </c>
      <c r="N733" t="inlineStr">
        <is>
          <t>K</t>
        </is>
      </c>
      <c r="O733" t="inlineStr">
        <is>
          <t>20230927</t>
        </is>
      </c>
      <c r="P733" t="inlineStr">
        <is>
          <t>Jawa Timur</t>
        </is>
      </c>
      <c r="Q733" t="inlineStr"/>
    </row>
    <row r="734">
      <c r="A734" t="inlineStr">
        <is>
          <t>WIRA JAYA KONSTRUKSI</t>
        </is>
      </c>
      <c r="B734" t="inlineStr">
        <is>
          <t>Kota Makassar</t>
        </is>
      </c>
      <c r="C734" t="inlineStr">
        <is>
          <t>081256954500</t>
        </is>
      </c>
      <c r="D734" t="inlineStr">
        <is>
          <t>wirajayakonstruksi@gmail.com</t>
        </is>
      </c>
      <c r="E734" t="inlineStr">
        <is>
          <t>https://lpjk.pu.go.id/search-badan-usaha-detail/UXRsQ3Y0ZjlLWmhlWkxZUVBJRzM2QT09</t>
        </is>
      </c>
      <c r="F734" t="n">
        <v>4</v>
      </c>
      <c r="G734" t="inlineStr">
        <is>
          <t>BG002, BG004, BG005, BG006</t>
        </is>
      </c>
      <c r="H734" t="inlineStr">
        <is>
          <t>11 Agustus 2022</t>
        </is>
      </c>
      <c r="I734" s="2" t="n">
        <v>46311</v>
      </c>
      <c r="J734" t="inlineStr">
        <is>
          <t>Disetujui</t>
        </is>
      </c>
      <c r="K734" t="n">
        <v>60</v>
      </c>
      <c r="L734" t="inlineStr">
        <is>
          <t>16 Oktober 2026</t>
        </is>
      </c>
      <c r="M734" t="inlineStr">
        <is>
          <t>Konstruksi Gedung Kesehatan, Konstruksi Gedung Pendidikan, Konstruksi Gedung Perbelanjaan, Konstruksi Gedung Perkantoran</t>
        </is>
      </c>
      <c r="N734" t="inlineStr">
        <is>
          <t>K</t>
        </is>
      </c>
      <c r="O734" t="inlineStr">
        <is>
          <t>20230905</t>
        </is>
      </c>
      <c r="P734" t="inlineStr">
        <is>
          <t>Sulawesi Selatan</t>
        </is>
      </c>
      <c r="Q734" t="inlineStr"/>
    </row>
    <row r="735">
      <c r="A735" t="inlineStr">
        <is>
          <t>WIRA KARYA TEHNIKA</t>
        </is>
      </c>
      <c r="B735" t="inlineStr">
        <is>
          <t>Kab. Tuban</t>
        </is>
      </c>
      <c r="C735" t="inlineStr">
        <is>
          <t>085732453166</t>
        </is>
      </c>
      <c r="D735" t="inlineStr">
        <is>
          <t>wirakaryatehnika45@gmail.com</t>
        </is>
      </c>
      <c r="E735" t="inlineStr">
        <is>
          <t>https://lpjk.pu.go.id/search-badan-usaha-detail/VE9JYWRzQ1o4QlZMOUlKRmtKOXFKUT09</t>
        </is>
      </c>
      <c r="F735" t="n">
        <v>1</v>
      </c>
      <c r="G735" t="inlineStr">
        <is>
          <t>BG002</t>
        </is>
      </c>
      <c r="H735" t="inlineStr">
        <is>
          <t>29 Desember 2014</t>
        </is>
      </c>
      <c r="I735" s="2" t="n">
        <v>46313</v>
      </c>
      <c r="J735" t="inlineStr">
        <is>
          <t>Pencabutan</t>
        </is>
      </c>
      <c r="K735" t="n">
        <v>60</v>
      </c>
      <c r="L735" t="inlineStr">
        <is>
          <t>18 Oktober 2026</t>
        </is>
      </c>
      <c r="M735" t="inlineStr">
        <is>
          <t>Konstruksi Gedung Perkantoran</t>
        </is>
      </c>
      <c r="N735" t="inlineStr">
        <is>
          <t>K</t>
        </is>
      </c>
      <c r="O735" t="inlineStr">
        <is>
          <t>20231018</t>
        </is>
      </c>
      <c r="P735" t="inlineStr">
        <is>
          <t>Jawa Timur</t>
        </is>
      </c>
      <c r="Q735" t="inlineStr"/>
    </row>
    <row r="736">
      <c r="A736" t="inlineStr">
        <is>
          <t>WIRATAMA PERKASA</t>
        </is>
      </c>
      <c r="B736" t="inlineStr">
        <is>
          <t>Kota Balikpapan</t>
        </is>
      </c>
      <c r="C736" t="inlineStr">
        <is>
          <t>082158633533</t>
        </is>
      </c>
      <c r="D736" t="inlineStr">
        <is>
          <t>wiratamaperkasacv@gmail.com</t>
        </is>
      </c>
      <c r="E736" t="inlineStr">
        <is>
          <t>https://lpjk.pu.go.id/search-badan-usaha-detail/eUt5aVRiZVhPN0s5VDVzNDhrREd1UT09</t>
        </is>
      </c>
      <c r="F736" t="n">
        <v>2</v>
      </c>
      <c r="G736" t="inlineStr">
        <is>
          <t>BG006</t>
        </is>
      </c>
      <c r="H736" t="inlineStr">
        <is>
          <t>10 Mei 2019</t>
        </is>
      </c>
      <c r="I736" s="2" t="n">
        <v>46312</v>
      </c>
      <c r="J736" t="inlineStr">
        <is>
          <t>Disetujui</t>
        </is>
      </c>
      <c r="K736" t="n">
        <v>60</v>
      </c>
      <c r="L736" t="inlineStr">
        <is>
          <t>17 Oktober 2026</t>
        </is>
      </c>
      <c r="M736" t="inlineStr">
        <is>
          <t>Konstruksi Gedung Pendidikan</t>
        </is>
      </c>
      <c r="N736" t="inlineStr">
        <is>
          <t>K</t>
        </is>
      </c>
      <c r="O736" t="inlineStr">
        <is>
          <t>20231018</t>
        </is>
      </c>
      <c r="P736" t="inlineStr">
        <is>
          <t>Kalimantan Timur</t>
        </is>
      </c>
      <c r="Q736" t="inlineStr"/>
    </row>
    <row r="737">
      <c r="A737" t="inlineStr">
        <is>
          <t>YUDHA BATARAJA</t>
        </is>
      </c>
      <c r="B737" t="inlineStr">
        <is>
          <t>Kab. Jayawijaya</t>
        </is>
      </c>
      <c r="C737" t="inlineStr">
        <is>
          <t>081318566731</t>
        </is>
      </c>
      <c r="D737" t="inlineStr">
        <is>
          <t>yudhabatarajapt@gmail.com</t>
        </is>
      </c>
      <c r="E737" t="inlineStr">
        <is>
          <t>https://lpjk.pu.go.id/search-badan-usaha-detail/MTd2MWlQcjhIVTV6dlJEdDNIeFFOb0E3d0xtVHFmMktCbmUzVmV4TUlpQT0</t>
        </is>
      </c>
      <c r="F737" t="n">
        <v>1</v>
      </c>
      <c r="G737" t="inlineStr">
        <is>
          <t>BG001</t>
        </is>
      </c>
      <c r="H737" t="inlineStr">
        <is>
          <t>14 Agustus 2023</t>
        </is>
      </c>
      <c r="I737" s="2" t="n">
        <v>46308</v>
      </c>
      <c r="J737" t="inlineStr">
        <is>
          <t>Disetujui</t>
        </is>
      </c>
      <c r="K737" t="n">
        <v>60</v>
      </c>
      <c r="L737" t="inlineStr">
        <is>
          <t>13 Oktober 2026</t>
        </is>
      </c>
      <c r="M737" t="inlineStr">
        <is>
          <t>Konstruksi Gedung Hunian</t>
        </is>
      </c>
      <c r="N737" t="inlineStr">
        <is>
          <t>M</t>
        </is>
      </c>
      <c r="O737" t="inlineStr">
        <is>
          <t>20230928</t>
        </is>
      </c>
      <c r="P737" t="inlineStr">
        <is>
          <t>Papua Pegunungan</t>
        </is>
      </c>
      <c r="Q737" t="inlineStr"/>
    </row>
    <row r="738">
      <c r="A738" t="inlineStr">
        <is>
          <t>YUDI HASANAH</t>
        </is>
      </c>
      <c r="B738" t="inlineStr">
        <is>
          <t>Kota Palembang</t>
        </is>
      </c>
      <c r="C738" t="inlineStr">
        <is>
          <t>08117859933</t>
        </is>
      </c>
      <c r="D738" t="inlineStr">
        <is>
          <t>yudihasanah.cv@gmail.com</t>
        </is>
      </c>
      <c r="E738" t="inlineStr">
        <is>
          <t>https://lpjk.pu.go.id/search-badan-usaha-detail/MEdIa3RHMFlsYlZ1QXBtTTlneThMZz09</t>
        </is>
      </c>
      <c r="F738" t="n">
        <v>1</v>
      </c>
      <c r="G738" t="inlineStr">
        <is>
          <t>BS010</t>
        </is>
      </c>
      <c r="H738" t="inlineStr">
        <is>
          <t>3 Januari 2018</t>
        </is>
      </c>
      <c r="I738" s="2" t="n">
        <v>46307</v>
      </c>
      <c r="J738" t="inlineStr">
        <is>
          <t>Disetujui</t>
        </is>
      </c>
      <c r="K738" t="n">
        <v>60</v>
      </c>
      <c r="L738" t="inlineStr">
        <is>
          <t>12 Oktober 2026</t>
        </is>
      </c>
      <c r="M738" t="inlineStr">
        <is>
          <t>Konstruksi Bangunan Prasarana Sumber Daya Air</t>
        </is>
      </c>
      <c r="N738" t="inlineStr">
        <is>
          <t>K</t>
        </is>
      </c>
      <c r="O738" t="inlineStr">
        <is>
          <t>20231011</t>
        </is>
      </c>
      <c r="P738" t="inlineStr">
        <is>
          <t>Sumatera Selatan</t>
        </is>
      </c>
      <c r="Q738" t="inlineStr"/>
    </row>
    <row r="739">
      <c r="A739" t="inlineStr">
        <is>
          <t>YUMAR MUSTIKA JAYA</t>
        </is>
      </c>
      <c r="B739" t="inlineStr">
        <is>
          <t>Kota Balikpapan</t>
        </is>
      </c>
      <c r="C739" t="inlineStr">
        <is>
          <t>085752915351</t>
        </is>
      </c>
      <c r="D739" t="inlineStr">
        <is>
          <t>yumarmustikajaya@gmail.com</t>
        </is>
      </c>
      <c r="E739" t="inlineStr">
        <is>
          <t>https://lpjk.pu.go.id/search-badan-usaha-detail/RmZ1N0tYN2N5ZGNrN1pUeTFUd2hZUT09</t>
        </is>
      </c>
      <c r="F739" t="n">
        <v>1</v>
      </c>
      <c r="G739" t="inlineStr">
        <is>
          <t>BG002</t>
        </is>
      </c>
      <c r="H739" t="inlineStr">
        <is>
          <t>7 Juni 2023</t>
        </is>
      </c>
      <c r="I739" s="2" t="n">
        <v>46312</v>
      </c>
      <c r="J739" t="inlineStr">
        <is>
          <t>Disetujui</t>
        </is>
      </c>
      <c r="K739" t="n">
        <v>60</v>
      </c>
      <c r="L739" t="inlineStr">
        <is>
          <t>17 Oktober 2026</t>
        </is>
      </c>
      <c r="M739" t="inlineStr">
        <is>
          <t>Konstruksi Gedung Perkantoran</t>
        </is>
      </c>
      <c r="N739" t="inlineStr">
        <is>
          <t>K</t>
        </is>
      </c>
      <c r="O739" t="inlineStr">
        <is>
          <t>20231018</t>
        </is>
      </c>
      <c r="P739" t="inlineStr">
        <is>
          <t>Kalimantan Timur</t>
        </is>
      </c>
      <c r="Q739" t="inlineStr"/>
    </row>
    <row r="740">
      <c r="A740" t="inlineStr">
        <is>
          <t>YURA PUTRA UTAMA</t>
        </is>
      </c>
      <c r="B740" t="inlineStr">
        <is>
          <t>Kab. Serang</t>
        </is>
      </c>
      <c r="C740" t="inlineStr">
        <is>
          <t>087774186560</t>
        </is>
      </c>
      <c r="D740" t="inlineStr">
        <is>
          <t>yuraputrautama@gmail.com</t>
        </is>
      </c>
      <c r="E740" t="inlineStr">
        <is>
          <t>https://lpjk.pu.go.id/search-badan-usaha-detail/WlV3RXhYcFEyUWxqeEZwTGNnbE53QT09</t>
        </is>
      </c>
      <c r="F740" t="n">
        <v>1</v>
      </c>
      <c r="G740" t="inlineStr">
        <is>
          <t>BG009</t>
        </is>
      </c>
      <c r="H740" t="inlineStr">
        <is>
          <t>20 Januari 2020</t>
        </is>
      </c>
      <c r="I740" s="2" t="n">
        <v>46313</v>
      </c>
      <c r="J740" t="inlineStr">
        <is>
          <t>Disetujui</t>
        </is>
      </c>
      <c r="K740" t="n">
        <v>60</v>
      </c>
      <c r="L740" t="inlineStr">
        <is>
          <t>18 Oktober 2026</t>
        </is>
      </c>
      <c r="M740" t="inlineStr">
        <is>
          <t>Konstruksi Gedung Lainnya</t>
        </is>
      </c>
      <c r="N740" t="inlineStr">
        <is>
          <t>K</t>
        </is>
      </c>
      <c r="O740" t="inlineStr">
        <is>
          <t>20231016</t>
        </is>
      </c>
      <c r="P740" t="inlineStr">
        <is>
          <t>Banten</t>
        </is>
      </c>
      <c r="Q740" t="inlineStr"/>
    </row>
    <row r="741">
      <c r="A741" t="inlineStr">
        <is>
          <t>ZAHRA VISITAMA</t>
        </is>
      </c>
      <c r="B741" t="inlineStr">
        <is>
          <t>Kab. Pandeglang</t>
        </is>
      </c>
      <c r="C741" t="inlineStr">
        <is>
          <t>085813586227</t>
        </is>
      </c>
      <c r="D741" t="inlineStr">
        <is>
          <t>andriawan101187@gmail.com</t>
        </is>
      </c>
      <c r="E741" t="inlineStr">
        <is>
          <t>https://lpjk.pu.go.id/search-badan-usaha-detail/TkJaSm5uVk8rMHcrR3p6cnNCcXQ4Zz09</t>
        </is>
      </c>
      <c r="F741" t="n">
        <v>10</v>
      </c>
      <c r="G741" t="inlineStr">
        <is>
          <t>BG004, BG005, BG006, BG009, BS001</t>
        </is>
      </c>
      <c r="H741" t="inlineStr">
        <is>
          <t>5 Agustus 2015</t>
        </is>
      </c>
      <c r="I741" s="2" t="n">
        <v>46313</v>
      </c>
      <c r="J741" t="inlineStr">
        <is>
          <t>Disetujui</t>
        </is>
      </c>
      <c r="K741" t="n">
        <v>60</v>
      </c>
      <c r="L741" t="inlineStr">
        <is>
          <t>18 Oktober 2026</t>
        </is>
      </c>
      <c r="M741" t="inlineStr">
        <is>
          <t>Konstruksi Bangunan Sipil Jalan, Konstruksi Gedung Kesehatan, Konstruksi Gedung Lainnya, Konstruksi Gedung Pendidikan, Konstruksi Gedung Perbelanjaan</t>
        </is>
      </c>
      <c r="N741" t="inlineStr">
        <is>
          <t>K</t>
        </is>
      </c>
      <c r="O741" t="inlineStr">
        <is>
          <t>20230926</t>
        </is>
      </c>
      <c r="P741" t="inlineStr">
        <is>
          <t>Banten</t>
        </is>
      </c>
      <c r="Q741" t="inlineStr"/>
    </row>
    <row r="742">
      <c r="A742" t="inlineStr">
        <is>
          <t>bangun utama</t>
        </is>
      </c>
      <c r="B742" t="inlineStr">
        <is>
          <t>Kab. Banyumas</t>
        </is>
      </c>
      <c r="C742" t="inlineStr">
        <is>
          <t>0812 2708 421_</t>
        </is>
      </c>
      <c r="D742" t="inlineStr">
        <is>
          <t>cvbangunutama99@yahoo.com</t>
        </is>
      </c>
      <c r="E742" t="inlineStr">
        <is>
          <t>https://lpjk.pu.go.id/search-badan-usaha-detail/QytGdFhUQzJsV1EwNHRxbFFtWC9sZz09</t>
        </is>
      </c>
      <c r="F742" t="n">
        <v>1</v>
      </c>
      <c r="G742" t="inlineStr">
        <is>
          <t>BG006</t>
        </is>
      </c>
      <c r="H742" t="inlineStr">
        <is>
          <t>10 November 1993</t>
        </is>
      </c>
      <c r="I742" s="2" t="n">
        <v>46313</v>
      </c>
      <c r="J742" t="inlineStr">
        <is>
          <t>Disetujui</t>
        </is>
      </c>
      <c r="K742" t="n">
        <v>60</v>
      </c>
      <c r="L742" t="inlineStr">
        <is>
          <t>18 Oktober 2026</t>
        </is>
      </c>
      <c r="M742" t="inlineStr">
        <is>
          <t>Konstruksi Gedung Pendidikan</t>
        </is>
      </c>
      <c r="N742" t="inlineStr">
        <is>
          <t>K</t>
        </is>
      </c>
      <c r="O742" t="inlineStr">
        <is>
          <t>20231016</t>
        </is>
      </c>
      <c r="P742" t="inlineStr">
        <is>
          <t>Jawa Tengah</t>
        </is>
      </c>
      <c r="Q74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41"/>
  <sheetViews>
    <sheetView workbookViewId="0">
      <selection activeCell="A1" sqref="A1"/>
    </sheetView>
  </sheetViews>
  <sheetFormatPr baseColWidth="8" defaultRowHeight="15"/>
  <cols>
    <col width="50" customWidth="1" min="1" max="1"/>
    <col width="28" customWidth="1" min="2" max="2"/>
    <col width="16" customWidth="1" min="3" max="3"/>
    <col width="45" customWidth="1" min="4" max="4"/>
    <col width="50" customWidth="1" min="5" max="5"/>
    <col width="18" customWidth="1" min="6" max="6"/>
    <col width="50" customWidth="1" min="7" max="7"/>
    <col width="20" customWidth="1" min="8" max="8"/>
    <col width="28" customWidth="1" min="9" max="9"/>
    <col width="46" customWidth="1" min="10" max="10"/>
    <col width="11" customWidth="1" min="11" max="11"/>
    <col width="19" customWidth="1" min="12" max="12"/>
    <col width="50" customWidth="1" min="13" max="13"/>
    <col width="17" customWidth="1" min="14" max="14"/>
    <col width="4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ABDI PRATAMA</t>
        </is>
      </c>
      <c r="B2" t="inlineStr">
        <is>
          <t>Kota Adm. Jakarta Timur</t>
        </is>
      </c>
      <c r="C2" t="inlineStr">
        <is>
          <t>02184311087</t>
        </is>
      </c>
      <c r="D2" t="inlineStr">
        <is>
          <t>abdiprtm750@gmail.com</t>
        </is>
      </c>
      <c r="E2" t="inlineStr">
        <is>
          <t>https://lpjk.pu.go.id/search-badan-usaha-detail/UVdMZE95WmRSWkxaNi85NWd1ajN0Zz09</t>
        </is>
      </c>
      <c r="F2" t="n">
        <v>1</v>
      </c>
      <c r="G2" t="inlineStr">
        <is>
          <t>BS001</t>
        </is>
      </c>
      <c r="H2" t="inlineStr">
        <is>
          <t>10 Februari 2006</t>
        </is>
      </c>
      <c r="I2" s="2" t="n">
        <v>46278</v>
      </c>
      <c r="J2" t="inlineStr">
        <is>
          <t>Disetujui</t>
        </is>
      </c>
      <c r="K2" t="n">
        <v>30</v>
      </c>
      <c r="L2" t="inlineStr">
        <is>
          <t>13 September 2026</t>
        </is>
      </c>
      <c r="M2" t="inlineStr">
        <is>
          <t>Konstruksi Bangunan Sipil Jalan</t>
        </is>
      </c>
      <c r="N2" t="inlineStr">
        <is>
          <t>K</t>
        </is>
      </c>
      <c r="O2" t="inlineStr">
        <is>
          <t>20230908</t>
        </is>
      </c>
      <c r="P2" t="inlineStr">
        <is>
          <t>DKI Jakarta</t>
        </is>
      </c>
      <c r="Q2" t="inlineStr"/>
    </row>
    <row r="3">
      <c r="A3" t="inlineStr">
        <is>
          <t>ADHI RAJASA TEKNIK</t>
        </is>
      </c>
      <c r="B3" t="inlineStr">
        <is>
          <t>Kab. Bogor</t>
        </is>
      </c>
      <c r="C3" t="inlineStr">
        <is>
          <t>081219542372</t>
        </is>
      </c>
      <c r="D3" t="inlineStr">
        <is>
          <t>adhirajasa.teknik@gmail.com</t>
        </is>
      </c>
      <c r="E3" t="inlineStr">
        <is>
          <t>https://lpjk.pu.go.id/search-badan-usaha-detail/M0ZLRnlHUXFQSkN0aDc4Qnpjd1pzUT09</t>
        </is>
      </c>
      <c r="F3" t="n">
        <v>2</v>
      </c>
      <c r="G3" t="inlineStr">
        <is>
          <t>BG003, BG009</t>
        </is>
      </c>
      <c r="H3" t="inlineStr">
        <is>
          <t>24 Februari 2020</t>
        </is>
      </c>
      <c r="I3" s="2" t="n">
        <v>46282</v>
      </c>
      <c r="J3" t="inlineStr">
        <is>
          <t>Disetujui</t>
        </is>
      </c>
      <c r="K3" t="n">
        <v>30</v>
      </c>
      <c r="L3" t="inlineStr">
        <is>
          <t>17 September 2026</t>
        </is>
      </c>
      <c r="M3" t="inlineStr">
        <is>
          <t>Konstruksi Gedung Industri, Konstruksi Gedung Lainnya</t>
        </is>
      </c>
      <c r="N3" t="inlineStr">
        <is>
          <t>K</t>
        </is>
      </c>
      <c r="O3" t="inlineStr">
        <is>
          <t>20230416, 20230912</t>
        </is>
      </c>
      <c r="P3" t="inlineStr">
        <is>
          <t>Jawa Barat</t>
        </is>
      </c>
      <c r="Q3" s="3">
        <f>HYPERLINK("https://wa.me/6281219542372?text=*[Pengingat Masa Berlaku SBU ADHI RAJASA TEKNIK]*%0A%0AYth. Pimpinan ADHI RAJASA TEKNIK,%0AMohon izin menginformasikan status SBU Anda:%0A%0A📄 SBU: BG003, BG009%0A📅 Expired: 17 September 2026 (30 Hari Lagi)%0A%0AKami tim PT. ESDEA Assistance Management siap men-support proses perpanjangan segera agar administrasi proyek tidak terhambat%0A%0AApakah boleh saya bantu siapkan estimasi biaya dan waktu pengerjaannya?.", "Hubungi")</f>
        <v/>
      </c>
    </row>
    <row r="4">
      <c r="A4" t="inlineStr">
        <is>
          <t>ADITYA KENCANA SAHAJA</t>
        </is>
      </c>
      <c r="B4" t="inlineStr">
        <is>
          <t>Kab. Bekasi</t>
        </is>
      </c>
      <c r="C4" t="inlineStr">
        <is>
          <t>085312539791</t>
        </is>
      </c>
      <c r="D4" t="inlineStr">
        <is>
          <t>adityakencanasahaja@yahoo.com</t>
        </is>
      </c>
      <c r="E4" t="inlineStr">
        <is>
          <t>https://lpjk.pu.go.id/search-badan-usaha-detail/TjI5NnZ6YytsSEwrT1hzQ2g3RzRJUT09</t>
        </is>
      </c>
      <c r="F4" t="n">
        <v>1</v>
      </c>
      <c r="G4" t="inlineStr">
        <is>
          <t>BS004</t>
        </is>
      </c>
      <c r="H4" t="inlineStr">
        <is>
          <t>21 Oktober 2016</t>
        </is>
      </c>
      <c r="I4" s="2" t="n">
        <v>46277</v>
      </c>
      <c r="J4" t="inlineStr">
        <is>
          <t>Disetujui</t>
        </is>
      </c>
      <c r="K4" t="n">
        <v>30</v>
      </c>
      <c r="L4" t="inlineStr">
        <is>
          <t>12 September 2026</t>
        </is>
      </c>
      <c r="M4" t="inlineStr">
        <is>
          <t>Konstruksi Jaringan Irigasi dan Drainase</t>
        </is>
      </c>
      <c r="N4" t="inlineStr">
        <is>
          <t>K</t>
        </is>
      </c>
      <c r="O4" t="inlineStr">
        <is>
          <t>20230906</t>
        </is>
      </c>
      <c r="P4" t="inlineStr">
        <is>
          <t>Jawa Barat</t>
        </is>
      </c>
      <c r="Q4" s="3">
        <f>HYPERLINK("https://wa.me/6285312539791?text=*[Pengingat Masa Berlaku SBU ADITYA KENCANA SAHAJA]*%0A%0AYth. Pimpinan ADITYA KENCANA SAHAJA,%0AMohon izin menginformasikan status SBU Anda:%0A%0A📄 SBU: BS004%0A📅 Expired: 12 September 2026 (30 Hari Lagi)%0A%0AKami tim PT. ESDEA Assistance Management siap men-support proses perpanjangan segera agar administrasi proyek tidak terhambat%0A%0AApakah boleh saya bantu siapkan estimasi biaya dan waktu pengerjaannya?.", "Hubungi")</f>
        <v/>
      </c>
    </row>
    <row r="5">
      <c r="A5" t="inlineStr">
        <is>
          <t>AGAPE</t>
        </is>
      </c>
      <c r="B5" t="inlineStr">
        <is>
          <t>Kota Depok</t>
        </is>
      </c>
      <c r="C5" t="inlineStr">
        <is>
          <t>082213908770</t>
        </is>
      </c>
      <c r="D5" t="inlineStr">
        <is>
          <t>cvagape@yahoo.com</t>
        </is>
      </c>
      <c r="E5" t="inlineStr">
        <is>
          <t>https://lpjk.pu.go.id/search-badan-usaha-detail/Z2FQOXQwL0F0VXhjTjhMelgyWXdLUT09</t>
        </is>
      </c>
      <c r="F5" t="n">
        <v>3</v>
      </c>
      <c r="G5" t="inlineStr">
        <is>
          <t>BS001, BS004, BS010</t>
        </is>
      </c>
      <c r="H5" t="inlineStr">
        <is>
          <t>21 Februari 2017</t>
        </is>
      </c>
      <c r="I5" s="2" t="n">
        <v>46278</v>
      </c>
      <c r="J5" t="inlineStr">
        <is>
          <t>Disetujui</t>
        </is>
      </c>
      <c r="K5" t="n">
        <v>30</v>
      </c>
      <c r="L5" t="inlineStr">
        <is>
          <t>13 September 2026</t>
        </is>
      </c>
      <c r="M5" t="inlineStr">
        <is>
          <t>Konstruksi Bangunan Prasarana Sumber Daya Air, Konstruksi Bangunan Sipil Jalan, Konstruksi Jaringan Irigasi dan Drainase</t>
        </is>
      </c>
      <c r="N5" t="inlineStr">
        <is>
          <t>K</t>
        </is>
      </c>
      <c r="O5" t="inlineStr">
        <is>
          <t>20230908</t>
        </is>
      </c>
      <c r="P5" t="inlineStr">
        <is>
          <t>Jawa Barat</t>
        </is>
      </c>
      <c r="Q5" s="3">
        <f>HYPERLINK("https://wa.me/6282213908770?text=*[Pengingat Masa Berlaku SBU AGAPE]*%0A%0AYth. Pimpinan AGAPE,%0AMohon izin menginformasikan status SBU Anda:%0A%0A📄 SBU: BS001, BS004, BS010%0A📅 Expired: 13 September 2026 (30 Hari Lagi)%0A%0AKami tim PT. ESDEA Assistance Management siap men-support proses perpanjangan segera agar administrasi proyek tidak terhambat%0A%0AApakah boleh saya bantu siapkan estimasi biaya dan waktu pengerjaannya?.", "Hubungi")</f>
        <v/>
      </c>
    </row>
    <row r="6">
      <c r="A6" t="inlineStr">
        <is>
          <t>AGRIFAMILI SARANA EXEDIS INDONESIA</t>
        </is>
      </c>
      <c r="B6" t="inlineStr">
        <is>
          <t>Kota Bogor</t>
        </is>
      </c>
      <c r="C6" t="inlineStr">
        <is>
          <t>02517558013</t>
        </is>
      </c>
      <c r="D6" t="inlineStr">
        <is>
          <t>info@agrifam.co.id</t>
        </is>
      </c>
      <c r="E6" t="inlineStr">
        <is>
          <t>https://lpjk.pu.go.id/search-badan-usaha-detail/ck1hMEJJazNOZ2E2TmMrZHgyYTFnQT09</t>
        </is>
      </c>
      <c r="F6" t="n">
        <v>2</v>
      </c>
      <c r="G6" t="inlineStr">
        <is>
          <t>BS017</t>
        </is>
      </c>
      <c r="H6" t="inlineStr">
        <is>
          <t>15 Januari 2019</t>
        </is>
      </c>
      <c r="I6" s="2" t="n">
        <v>46283</v>
      </c>
      <c r="J6" t="inlineStr">
        <is>
          <t>Disetujui</t>
        </is>
      </c>
      <c r="K6" t="n">
        <v>30</v>
      </c>
      <c r="L6" t="inlineStr">
        <is>
          <t>18 September 2026</t>
        </is>
      </c>
      <c r="M6" t="inlineStr">
        <is>
          <t>Konstruksi Bangunan Sipil Lainnya Ytdl</t>
        </is>
      </c>
      <c r="N6" t="inlineStr">
        <is>
          <t>K</t>
        </is>
      </c>
      <c r="O6" t="inlineStr">
        <is>
          <t>20230905</t>
        </is>
      </c>
      <c r="P6" t="inlineStr">
        <is>
          <t>Jawa Barat</t>
        </is>
      </c>
      <c r="Q6" s="3">
        <f>HYPERLINK("https://wa.me/622517558013?text=*[Pengingat Masa Berlaku SBU AGRIFAMILI SARANA EXEDIS INDONESIA]*%0A%0AYth. Pimpinan AGRIFAMILI SARANA EXEDIS INDONESIA,%0AMohon izin menginformasikan status SBU Anda:%0A%0A📄 SBU: BS017%0A📅 Expired: 18 September 2026 (30 Hari Lagi)%0A%0AKami tim PT. ESDEA Assistance Management siap men-support proses perpanjangan segera agar administrasi proyek tidak terhambat%0A%0AApakah boleh saya bantu siapkan estimasi biaya dan waktu pengerjaannya?.", "Hubungi")</f>
        <v/>
      </c>
    </row>
    <row r="7">
      <c r="A7" t="inlineStr">
        <is>
          <t>AISCO BAJA PERKASA</t>
        </is>
      </c>
      <c r="B7" t="inlineStr">
        <is>
          <t>Kab. Bogor</t>
        </is>
      </c>
      <c r="C7" t="inlineStr">
        <is>
          <t>081901919189</t>
        </is>
      </c>
      <c r="D7" t="inlineStr">
        <is>
          <t>aisco.bajaperkasa@gmail.com</t>
        </is>
      </c>
      <c r="E7" t="inlineStr">
        <is>
          <t>https://lpjk.pu.go.id/search-badan-usaha-detail/ZndGZm5tcGpJU1JUYXdkT2ZFeWF3dz09</t>
        </is>
      </c>
      <c r="F7" t="n">
        <v>2</v>
      </c>
      <c r="G7" t="inlineStr">
        <is>
          <t>BG002, BG003</t>
        </is>
      </c>
      <c r="H7" t="inlineStr">
        <is>
          <t>14 Juli 2023</t>
        </is>
      </c>
      <c r="I7" s="2" t="n">
        <v>46279</v>
      </c>
      <c r="J7" t="inlineStr">
        <is>
          <t>Disetujui</t>
        </is>
      </c>
      <c r="K7" t="n">
        <v>30</v>
      </c>
      <c r="L7" t="inlineStr">
        <is>
          <t>14 September 2026</t>
        </is>
      </c>
      <c r="M7" t="inlineStr">
        <is>
          <t>Konstruksi Gedung Industri, Konstruksi Gedung Perkantoran</t>
        </is>
      </c>
      <c r="N7" t="inlineStr">
        <is>
          <t>K</t>
        </is>
      </c>
      <c r="O7" t="inlineStr">
        <is>
          <t>20230827</t>
        </is>
      </c>
      <c r="P7" t="inlineStr">
        <is>
          <t>Jawa Barat</t>
        </is>
      </c>
      <c r="Q7" s="3">
        <f>HYPERLINK("https://wa.me/6281901919189?text=*[Pengingat Masa Berlaku SBU AISCO BAJA PERKASA]*%0A%0AYth. Pimpinan AISCO BAJA PERKASA,%0AMohon izin menginformasikan status SBU Anda:%0A%0A📄 SBU: BG002, BG003%0A📅 Expired: 14 September 2026 (30 Hari Lagi)%0A%0AKami tim PT. ESDEA Assistance Management siap men-support proses perpanjangan segera agar administrasi proyek tidak terhambat%0A%0AApakah boleh saya bantu siapkan estimasi biaya dan waktu pengerjaannya?.", "Hubungi")</f>
        <v/>
      </c>
    </row>
    <row r="8">
      <c r="A8" t="inlineStr">
        <is>
          <t>ALDO VICTORY</t>
        </is>
      </c>
      <c r="B8" t="inlineStr">
        <is>
          <t>Kota Depok</t>
        </is>
      </c>
      <c r="C8" t="inlineStr">
        <is>
          <t>02177801604</t>
        </is>
      </c>
      <c r="D8" t="inlineStr">
        <is>
          <t>aldovictory7@gmail.com</t>
        </is>
      </c>
      <c r="E8" t="inlineStr">
        <is>
          <t>https://lpjk.pu.go.id/search-badan-usaha-detail/RzR3SWFkeDQ0UlJPQUVvTkxuTDN0dz09</t>
        </is>
      </c>
      <c r="F8" t="n">
        <v>1</v>
      </c>
      <c r="G8" t="inlineStr">
        <is>
          <t>BS001</t>
        </is>
      </c>
      <c r="H8" t="inlineStr">
        <is>
          <t>5 Januari 2017</t>
        </is>
      </c>
      <c r="I8" s="2" t="n">
        <v>46283</v>
      </c>
      <c r="J8" t="inlineStr">
        <is>
          <t>Disetujui</t>
        </is>
      </c>
      <c r="K8" t="n">
        <v>30</v>
      </c>
      <c r="L8" t="inlineStr">
        <is>
          <t>18 September 2026</t>
        </is>
      </c>
      <c r="M8" t="inlineStr">
        <is>
          <t>Konstruksi Bangunan Sipil Jalan</t>
        </is>
      </c>
      <c r="N8" t="inlineStr">
        <is>
          <t>K</t>
        </is>
      </c>
      <c r="O8" t="inlineStr">
        <is>
          <t>20230822</t>
        </is>
      </c>
      <c r="P8" t="inlineStr">
        <is>
          <t>Jawa Barat</t>
        </is>
      </c>
      <c r="Q8" t="inlineStr"/>
    </row>
    <row r="9">
      <c r="A9" t="inlineStr">
        <is>
          <t>ANUGERAH KAMANIA JAYA</t>
        </is>
      </c>
      <c r="B9" t="inlineStr">
        <is>
          <t>Kab. Bekasi</t>
        </is>
      </c>
      <c r="C9" t="inlineStr">
        <is>
          <t>02122108006</t>
        </is>
      </c>
      <c r="D9" t="inlineStr">
        <is>
          <t>ptanugerahkamaniajaya17@gmail.com</t>
        </is>
      </c>
      <c r="E9" t="inlineStr">
        <is>
          <t>https://lpjk.pu.go.id/search-badan-usaha-detail/K003SFdIVGpXYUxEQXlEUGc3ekRnZz09</t>
        </is>
      </c>
      <c r="F9" t="n">
        <v>2</v>
      </c>
      <c r="G9" t="inlineStr">
        <is>
          <t>BG003, BG009</t>
        </is>
      </c>
      <c r="H9" t="inlineStr">
        <is>
          <t>14 November 2017</t>
        </is>
      </c>
      <c r="I9" s="2" t="n">
        <v>46277</v>
      </c>
      <c r="J9" t="inlineStr">
        <is>
          <t>Disetujui</t>
        </is>
      </c>
      <c r="K9" t="n">
        <v>30</v>
      </c>
      <c r="L9" t="inlineStr">
        <is>
          <t>12 September 2026</t>
        </is>
      </c>
      <c r="M9" t="inlineStr">
        <is>
          <t>Konstruksi Gedung Industri, Konstruksi Gedung Lainnya</t>
        </is>
      </c>
      <c r="N9" t="inlineStr">
        <is>
          <t>K</t>
        </is>
      </c>
      <c r="O9" t="inlineStr">
        <is>
          <t>20230911, 20230912</t>
        </is>
      </c>
      <c r="P9" t="inlineStr">
        <is>
          <t>Jawa Barat</t>
        </is>
      </c>
      <c r="Q9" t="inlineStr"/>
    </row>
    <row r="10">
      <c r="A10" t="inlineStr">
        <is>
          <t>ARSILOKA RUPA CITRA</t>
        </is>
      </c>
      <c r="B10" t="inlineStr">
        <is>
          <t>Kota Bekasi</t>
        </is>
      </c>
      <c r="C10" t="inlineStr">
        <is>
          <t>081295281344</t>
        </is>
      </c>
      <c r="D10" t="inlineStr">
        <is>
          <t>arsilokarupacitra@gmail.com</t>
        </is>
      </c>
      <c r="E10" t="inlineStr">
        <is>
          <t>https://lpjk.pu.go.id/search-badan-usaha-detail/TkVrVVBFOWloaVNrR2pjVGE3bS9jUT09</t>
        </is>
      </c>
      <c r="F10" t="n">
        <v>4</v>
      </c>
      <c r="G10" t="inlineStr">
        <is>
          <t>RK001, RK002, RK003, RK005</t>
        </is>
      </c>
      <c r="H10" t="inlineStr">
        <is>
          <t>8 November 2022</t>
        </is>
      </c>
      <c r="I10" s="2" t="n">
        <v>46282</v>
      </c>
      <c r="J10" t="inlineStr">
        <is>
          <t>Disetujui</t>
        </is>
      </c>
      <c r="K10" t="n">
        <v>30</v>
      </c>
      <c r="L10" t="inlineStr">
        <is>
          <t>17 September 2026</t>
        </is>
      </c>
      <c r="M10" t="inlineStr">
        <is>
          <t>Jasa Rekayasa Konstruksi Bangunan Gedung Hunian dan Non Hunian, Jasa Rekayasa Lainnya, Jasa Rekayasa Pekerjaan Teknik Sipil Sumber Daya Air, Jasa Rekayasa Pekerjaan Teknik Sipil Transportasi</t>
        </is>
      </c>
      <c r="N10" t="inlineStr">
        <is>
          <t>K</t>
        </is>
      </c>
      <c r="O10" t="inlineStr">
        <is>
          <t>20230227, 20230907</t>
        </is>
      </c>
      <c r="P10" t="inlineStr">
        <is>
          <t>Jawa Barat</t>
        </is>
      </c>
      <c r="Q10" s="3">
        <f>HYPERLINK("https://wa.me/6281295281344?text=*[Pengingat Masa Berlaku SBU ARSILOKA RUPA CITRA]*%0A%0AYth. Pimpinan ARSILOKA RUPA CITRA,%0AMohon izin menginformasikan status SBU Anda:%0A%0A📄 SBU: RK001, RK002, RK003, RK005%0A📅 Expired: 17 September 2026 (30 Hari Lagi)%0A%0AKami tim PT. ESDEA Assistance Management siap men-support proses perpanjangan segera agar administrasi proyek tidak terhambat%0A%0AApakah boleh saya bantu siapkan estimasi biaya dan waktu pengerjaannya?.", "Hubungi")</f>
        <v/>
      </c>
    </row>
    <row r="11">
      <c r="A11" t="inlineStr">
        <is>
          <t>ARSYA PRATAMA RAYA</t>
        </is>
      </c>
      <c r="B11" t="inlineStr">
        <is>
          <t>Kota Bekasi</t>
        </is>
      </c>
      <c r="C11" t="inlineStr">
        <is>
          <t>082112353648</t>
        </is>
      </c>
      <c r="D11" t="inlineStr">
        <is>
          <t>ptarsyapratamaraya@gmail.com</t>
        </is>
      </c>
      <c r="E11" t="inlineStr">
        <is>
          <t>https://lpjk.pu.go.id/search-badan-usaha-detail/WW83Q0xjNmswZ1JjZXJZSlJ2UmhjUT09</t>
        </is>
      </c>
      <c r="F11" t="n">
        <v>1</v>
      </c>
      <c r="G11" t="inlineStr">
        <is>
          <t>BG002</t>
        </is>
      </c>
      <c r="H11" t="inlineStr">
        <is>
          <t>31 Mei 2018</t>
        </is>
      </c>
      <c r="I11" s="2" t="n">
        <v>46282</v>
      </c>
      <c r="J11" t="inlineStr">
        <is>
          <t>Pencabutan</t>
        </is>
      </c>
      <c r="K11" t="n">
        <v>30</v>
      </c>
      <c r="L11" t="inlineStr">
        <is>
          <t>17 September 2026</t>
        </is>
      </c>
      <c r="M11" t="inlineStr">
        <is>
          <t>Konstruksi Gedung Perkantoran</t>
        </is>
      </c>
      <c r="N11" t="inlineStr">
        <is>
          <t>M</t>
        </is>
      </c>
      <c r="O11" t="inlineStr">
        <is>
          <t>20230904</t>
        </is>
      </c>
      <c r="P11" t="inlineStr">
        <is>
          <t>Jawa Barat</t>
        </is>
      </c>
      <c r="Q11" s="3">
        <f>HYPERLINK("https://wa.me/6282112353648?text=*[Pengingat Masa Berlaku SBU ARSYA PRATAMA RAYA]*%0A%0AYth. Pimpinan ARSYA PRATAMA RAYA,%0AMohon izin menginformasikan status SBU Anda:%0A%0A📄 SBU: BG002%0A📅 Expired: 17 September 2026 (30 Hari Lagi)%0A%0AKami tim PT. ESDEA Assistance Management siap men-support proses perpanjangan segera agar administrasi proyek tidak terhambat%0A%0AApakah boleh saya bantu siapkan estimasi biaya dan waktu pengerjaannya?.", "Hubungi")</f>
        <v/>
      </c>
    </row>
    <row r="12">
      <c r="A12" t="inlineStr">
        <is>
          <t>ARTHA PUTRI MANDIRI</t>
        </is>
      </c>
      <c r="B12" t="inlineStr">
        <is>
          <t>Kota Depok</t>
        </is>
      </c>
      <c r="C12" t="inlineStr">
        <is>
          <t>081381005030</t>
        </is>
      </c>
      <c r="D12" t="inlineStr">
        <is>
          <t>arthaputrimandiri57@gmail.com</t>
        </is>
      </c>
      <c r="E12" t="inlineStr">
        <is>
          <t>https://lpjk.pu.go.id/search-badan-usaha-detail/ZEpRdDl4b3E5QVRUVld3TzY2VW5yQT09</t>
        </is>
      </c>
      <c r="F12" t="n">
        <v>2</v>
      </c>
      <c r="G12" t="inlineStr">
        <is>
          <t>BS001, BS004</t>
        </is>
      </c>
      <c r="H12" t="inlineStr">
        <is>
          <t>27 Desember 2014</t>
        </is>
      </c>
      <c r="I12" s="2" t="n">
        <v>46279</v>
      </c>
      <c r="J12" t="inlineStr">
        <is>
          <t>Disetujui</t>
        </is>
      </c>
      <c r="K12" t="n">
        <v>30</v>
      </c>
      <c r="L12" t="inlineStr">
        <is>
          <t>14 September 2026</t>
        </is>
      </c>
      <c r="M12" t="inlineStr">
        <is>
          <t>Konstruksi Bangunan Sipil Jalan, Konstruksi Jaringan Irigasi dan Drainase</t>
        </is>
      </c>
      <c r="N12" t="inlineStr">
        <is>
          <t>K</t>
        </is>
      </c>
      <c r="O12" t="inlineStr">
        <is>
          <t>20230912</t>
        </is>
      </c>
      <c r="P12" t="inlineStr">
        <is>
          <t>Jawa Barat</t>
        </is>
      </c>
      <c r="Q12" s="3">
        <f>HYPERLINK("https://wa.me/6281381005030?text=*[Pengingat Masa Berlaku SBU ARTHA PUTRI MANDIRI]*%0A%0AYth. Pimpinan ARTHA PUTRI MANDIRI,%0AMohon izin menginformasikan status SBU Anda:%0A%0A📄 SBU: BS001, BS004%0A📅 Expired: 14 September 2026 (30 Hari Lagi)%0A%0AKami tim PT. ESDEA Assistance Management siap men-support proses perpanjangan segera agar administrasi proyek tidak terhambat%0A%0AApakah boleh saya bantu siapkan estimasi biaya dan waktu pengerjaannya?.", "Hubungi")</f>
        <v/>
      </c>
    </row>
    <row r="13">
      <c r="A13" t="inlineStr">
        <is>
          <t>BANGUN PERSADA NUSANTARA</t>
        </is>
      </c>
      <c r="B13" t="inlineStr">
        <is>
          <t>Kab. Bekasi</t>
        </is>
      </c>
      <c r="C13" t="inlineStr">
        <is>
          <t>081318180478</t>
        </is>
      </c>
      <c r="D13" t="inlineStr">
        <is>
          <t>cv.bpn.bks@gmail.com</t>
        </is>
      </c>
      <c r="E13" t="inlineStr">
        <is>
          <t>https://lpjk.pu.go.id/search-badan-usaha-detail/bkQ2WmhsWUlUbG1kS3V4Zm9ZNEExZz09</t>
        </is>
      </c>
      <c r="F13" t="n">
        <v>6</v>
      </c>
      <c r="G13" t="inlineStr">
        <is>
          <t>BG006, BS001, BS004, BS016</t>
        </is>
      </c>
      <c r="H13" t="inlineStr">
        <is>
          <t>14 Maret 2012</t>
        </is>
      </c>
      <c r="I13" s="2" t="n">
        <v>46279</v>
      </c>
      <c r="J13" t="inlineStr">
        <is>
          <t>Disetujui</t>
        </is>
      </c>
      <c r="K13" t="n">
        <v>30</v>
      </c>
      <c r="L13" t="inlineStr">
        <is>
          <t>14 September 2026</t>
        </is>
      </c>
      <c r="M13" t="inlineStr">
        <is>
          <t>Konstruksi Bangunan Sipil Fasilitas Olah Raga, Konstruksi Bangunan Sipil Jalan, Konstruksi Gedung Pendidikan, Konstruksi Jaringan Irigasi dan Drainase</t>
        </is>
      </c>
      <c r="N13" t="inlineStr">
        <is>
          <t>K</t>
        </is>
      </c>
      <c r="O13" t="inlineStr">
        <is>
          <t>20230912, 20230913</t>
        </is>
      </c>
      <c r="P13" t="inlineStr">
        <is>
          <t>Jawa Barat</t>
        </is>
      </c>
      <c r="Q13" s="3">
        <f>HYPERLINK("https://wa.me/6281318180478?text=*[Pengingat Masa Berlaku SBU BANGUN PERSADA NUSANTARA]*%0A%0AYth. Pimpinan BANGUN PERSADA NUSANTARA,%0AMohon izin menginformasikan status SBU Anda:%0A%0A📄 SBU: BG006, BS001, BS004, BS016%0A📅 Expired: 14 September 2026 (30 Hari Lagi)%0A%0AKami tim PT. ESDEA Assistance Management siap men-support proses perpanjangan segera agar administrasi proyek tidak terhambat%0A%0AApakah boleh saya bantu siapkan estimasi biaya dan waktu pengerjaannya?.", "Hubungi")</f>
        <v/>
      </c>
    </row>
    <row r="14">
      <c r="A14" t="inlineStr">
        <is>
          <t>BANJAR SAGU-SAGU</t>
        </is>
      </c>
      <c r="B14" t="inlineStr">
        <is>
          <t>Kota Bekasi</t>
        </is>
      </c>
      <c r="C14" t="inlineStr">
        <is>
          <t>02182428634</t>
        </is>
      </c>
      <c r="D14" t="inlineStr">
        <is>
          <t>banjar.sagusagu@yahoo.com</t>
        </is>
      </c>
      <c r="E14" t="inlineStr">
        <is>
          <t>https://lpjk.pu.go.id/search-badan-usaha-detail/V0Z6WVIyTUhHTHhOblc1V0I5b1lJUT09</t>
        </is>
      </c>
      <c r="F14" t="n">
        <v>1</v>
      </c>
      <c r="G14" t="inlineStr">
        <is>
          <t>BG006</t>
        </is>
      </c>
      <c r="H14" t="inlineStr">
        <is>
          <t>8 Januari 2015</t>
        </is>
      </c>
      <c r="I14" s="2" t="n">
        <v>46282</v>
      </c>
      <c r="J14" t="inlineStr">
        <is>
          <t>Disetujui</t>
        </is>
      </c>
      <c r="K14" t="n">
        <v>30</v>
      </c>
      <c r="L14" t="inlineStr">
        <is>
          <t>17 September 2026</t>
        </is>
      </c>
      <c r="M14" t="inlineStr">
        <is>
          <t>Konstruksi Gedung Pendidikan</t>
        </is>
      </c>
      <c r="N14" t="inlineStr">
        <is>
          <t>K</t>
        </is>
      </c>
      <c r="O14" t="inlineStr">
        <is>
          <t>20230913</t>
        </is>
      </c>
      <c r="P14" t="inlineStr">
        <is>
          <t>Jawa Barat</t>
        </is>
      </c>
      <c r="Q14" t="inlineStr"/>
    </row>
    <row r="15">
      <c r="A15" t="inlineStr">
        <is>
          <t>BERKAH</t>
        </is>
      </c>
      <c r="B15" t="inlineStr">
        <is>
          <t>Kota Depok</t>
        </is>
      </c>
      <c r="C15" t="inlineStr">
        <is>
          <t>085312838380</t>
        </is>
      </c>
      <c r="D15" t="inlineStr">
        <is>
          <t>cv.berkah1990@gmail.com</t>
        </is>
      </c>
      <c r="E15" t="inlineStr">
        <is>
          <t>https://lpjk.pu.go.id/search-badan-usaha-detail/R0IwcWxuZUtqQUNQRkRGekIxTFdqUT09</t>
        </is>
      </c>
      <c r="F15" t="n">
        <v>2</v>
      </c>
      <c r="G15" t="inlineStr">
        <is>
          <t>BG009</t>
        </is>
      </c>
      <c r="H15" t="inlineStr">
        <is>
          <t>3 Februari 1990</t>
        </is>
      </c>
      <c r="I15" s="2" t="n">
        <v>46280</v>
      </c>
      <c r="J15" t="inlineStr">
        <is>
          <t>Disetujui</t>
        </is>
      </c>
      <c r="K15" t="n">
        <v>30</v>
      </c>
      <c r="L15" t="inlineStr">
        <is>
          <t>15 September 2026</t>
        </is>
      </c>
      <c r="M15" t="inlineStr">
        <is>
          <t>Konstruksi Gedung Lainnya</t>
        </is>
      </c>
      <c r="N15" t="inlineStr">
        <is>
          <t>K</t>
        </is>
      </c>
      <c r="O15" t="inlineStr">
        <is>
          <t>20230912</t>
        </is>
      </c>
      <c r="P15" t="inlineStr">
        <is>
          <t>Jawa Barat</t>
        </is>
      </c>
      <c r="Q15" s="3">
        <f>HYPERLINK("https://wa.me/6285312838380?text=*[Pengingat Masa Berlaku SBU BERKAH]*%0A%0AYth. Pimpinan BERKAH,%0AMohon izin menginformasikan status SBU Anda:%0A%0A📄 SBU: BG009%0A📅 Expired: 15 September 2026 (30 Hari Lagi)%0A%0AKami tim PT. ESDEA Assistance Management siap men-support proses perpanjangan segera agar administrasi proyek tidak terhambat%0A%0AApakah boleh saya bantu siapkan estimasi biaya dan waktu pengerjaannya?.", "Hubungi")</f>
        <v/>
      </c>
    </row>
    <row r="16">
      <c r="A16" t="inlineStr">
        <is>
          <t>BIMA PERSHADA</t>
        </is>
      </c>
      <c r="B16" t="inlineStr">
        <is>
          <t>Kota Depok</t>
        </is>
      </c>
      <c r="C16" t="inlineStr">
        <is>
          <t>02177831508</t>
        </is>
      </c>
      <c r="D16" t="inlineStr">
        <is>
          <t>bima.pshd@gmail.com</t>
        </is>
      </c>
      <c r="E16" t="inlineStr">
        <is>
          <t>https://lpjk.pu.go.id/search-badan-usaha-detail/Uk5nQzNCWnhZelFRYVlrVGU5TUJtQT09</t>
        </is>
      </c>
      <c r="F16" t="n">
        <v>2</v>
      </c>
      <c r="G16" t="inlineStr">
        <is>
          <t>BS001, BS004</t>
        </is>
      </c>
      <c r="H16" t="inlineStr">
        <is>
          <t>27 Juli 2010</t>
        </is>
      </c>
      <c r="I16" s="2" t="n">
        <v>46283</v>
      </c>
      <c r="J16" t="inlineStr">
        <is>
          <t>Disetujui</t>
        </is>
      </c>
      <c r="K16" t="n">
        <v>30</v>
      </c>
      <c r="L16" t="inlineStr">
        <is>
          <t>18 September 2026</t>
        </is>
      </c>
      <c r="M16" t="inlineStr">
        <is>
          <t>Konstruksi Bangunan Sipil Jalan, Konstruksi Jaringan Irigasi dan Drainase</t>
        </is>
      </c>
      <c r="N16" t="inlineStr">
        <is>
          <t>K</t>
        </is>
      </c>
      <c r="O16" t="inlineStr">
        <is>
          <t>20230915</t>
        </is>
      </c>
      <c r="P16" t="inlineStr">
        <is>
          <t>Jawa Barat</t>
        </is>
      </c>
      <c r="Q16" t="inlineStr"/>
    </row>
    <row r="17">
      <c r="A17" t="inlineStr">
        <is>
          <t>BREBES KARYA PERDANA</t>
        </is>
      </c>
      <c r="B17" t="inlineStr">
        <is>
          <t>Kota Bekasi</t>
        </is>
      </c>
      <c r="C17" t="inlineStr">
        <is>
          <t>081296578873</t>
        </is>
      </c>
      <c r="D17" t="inlineStr">
        <is>
          <t>brebeskaryaperdana2020@gmail.com</t>
        </is>
      </c>
      <c r="E17" t="inlineStr">
        <is>
          <t>https://lpjk.pu.go.id/search-badan-usaha-detail/ZnpvSzlNZStjN1A3RzB5ZS9aV3FBUT09</t>
        </is>
      </c>
      <c r="F17" t="n">
        <v>2</v>
      </c>
      <c r="G17" t="inlineStr">
        <is>
          <t>BS001, BS017</t>
        </is>
      </c>
      <c r="H17" t="inlineStr">
        <is>
          <t>29 November 2021</t>
        </is>
      </c>
      <c r="I17" s="2" t="n">
        <v>46278</v>
      </c>
      <c r="J17" t="inlineStr">
        <is>
          <t>Disetujui</t>
        </is>
      </c>
      <c r="K17" t="n">
        <v>30</v>
      </c>
      <c r="L17" t="inlineStr">
        <is>
          <t>13 September 2026</t>
        </is>
      </c>
      <c r="M17" t="inlineStr">
        <is>
          <t>Konstruksi Bangunan Sipil Jalan, Konstruksi Bangunan Sipil Lainnya Ytdl</t>
        </is>
      </c>
      <c r="N17" t="inlineStr">
        <is>
          <t>K</t>
        </is>
      </c>
      <c r="O17" t="inlineStr">
        <is>
          <t>20230908</t>
        </is>
      </c>
      <c r="P17" t="inlineStr">
        <is>
          <t>Jawa Barat</t>
        </is>
      </c>
      <c r="Q17" s="3">
        <f>HYPERLINK("https://wa.me/6281296578873?text=*[Pengingat Masa Berlaku SBU BREBES KARYA PERDANA]*%0A%0AYth. Pimpinan BREBES KARYA PERDANA,%0AMohon izin menginformasikan status SBU Anda:%0A%0A📄 SBU: BS001, BS017%0A📅 Expired: 13 September 2026 (30 Hari Lagi)%0A%0AKami tim PT. ESDEA Assistance Management siap men-support proses perpanjangan segera agar administrasi proyek tidak terhambat%0A%0AApakah boleh saya bantu siapkan estimasi biaya dan waktu pengerjaannya?.", "Hubungi")</f>
        <v/>
      </c>
    </row>
    <row r="18">
      <c r="A18" t="inlineStr">
        <is>
          <t>CAHAYA PERMATA INDAH</t>
        </is>
      </c>
      <c r="B18" t="inlineStr">
        <is>
          <t>Kota Adm. Jakarta Timur</t>
        </is>
      </c>
      <c r="C18" t="inlineStr">
        <is>
          <t>0812 9574 766_</t>
        </is>
      </c>
      <c r="D18" t="inlineStr">
        <is>
          <t>cahayapermataindahcv@gmail.com</t>
        </is>
      </c>
      <c r="E18" t="inlineStr">
        <is>
          <t>https://lpjk.pu.go.id/search-badan-usaha-detail/QXJDNEJmcS85WU1WK2F3WGlIVVBaZz09</t>
        </is>
      </c>
      <c r="F18" t="n">
        <v>1</v>
      </c>
      <c r="G18" t="inlineStr">
        <is>
          <t>BS001</t>
        </is>
      </c>
      <c r="H18" t="inlineStr">
        <is>
          <t>27 Januari 2014</t>
        </is>
      </c>
      <c r="I18" s="2" t="n">
        <v>46279</v>
      </c>
      <c r="J18" t="inlineStr">
        <is>
          <t>Disetujui</t>
        </is>
      </c>
      <c r="K18" t="n">
        <v>30</v>
      </c>
      <c r="L18" t="inlineStr">
        <is>
          <t>14 September 2026</t>
        </is>
      </c>
      <c r="M18" t="inlineStr">
        <is>
          <t>Konstruksi Bangunan Sipil Jalan</t>
        </is>
      </c>
      <c r="N18" t="inlineStr">
        <is>
          <t>K</t>
        </is>
      </c>
      <c r="O18" t="inlineStr">
        <is>
          <t>20230914</t>
        </is>
      </c>
      <c r="P18" t="inlineStr">
        <is>
          <t>DKI Jakarta</t>
        </is>
      </c>
      <c r="Q18" s="3">
        <f>HYPERLINK("https://wa.me/628129574766?text=*[Pengingat Masa Berlaku SBU CAHAYA PERMATA INDAH]*%0A%0AYth. Pimpinan CAHAYA PERMATA INDAH,%0AMohon izin menginformasikan status SBU Anda:%0A%0A📄 SBU: BS001%0A📅 Expired: 14 September 2026 (30 Hari Lagi)%0A%0AKami tim PT. ESDEA Assistance Management siap men-support proses perpanjangan segera agar administrasi proyek tidak terhambat%0A%0AApakah boleh saya bantu siapkan estimasi biaya dan waktu pengerjaannya?.", "Hubungi")</f>
        <v/>
      </c>
    </row>
    <row r="19">
      <c r="A19" t="inlineStr">
        <is>
          <t>CATUR PUTRA MANUNGGAL</t>
        </is>
      </c>
      <c r="B19" t="inlineStr">
        <is>
          <t>Kota Adm. Jakarta Timur</t>
        </is>
      </c>
      <c r="C19" t="inlineStr">
        <is>
          <t>02122466436</t>
        </is>
      </c>
      <c r="D19" t="inlineStr">
        <is>
          <t>cpm.jakartagardencity@gmail.com</t>
        </is>
      </c>
      <c r="E19" t="inlineStr">
        <is>
          <t>https://lpjk.pu.go.id/search-badan-usaha-detail/YlpWMnZmakNhcnRzZmZaYS9ZeUJXdz09</t>
        </is>
      </c>
      <c r="F19" t="n">
        <v>2</v>
      </c>
      <c r="G19" t="inlineStr">
        <is>
          <t>PL003, PL004</t>
        </is>
      </c>
      <c r="H19" t="inlineStr">
        <is>
          <t>9 Februari 1999</t>
        </is>
      </c>
      <c r="I19" s="2" t="n">
        <v>46282</v>
      </c>
      <c r="J19" t="inlineStr">
        <is>
          <t>Disetujui</t>
        </is>
      </c>
      <c r="K19" t="n">
        <v>30</v>
      </c>
      <c r="L19" t="inlineStr">
        <is>
          <t>17 September 2026</t>
        </is>
      </c>
      <c r="M19" t="inlineStr">
        <is>
          <t>Pekerjaan Tanah, Penyiapan Lahan Konstruksi</t>
        </is>
      </c>
      <c r="N19" t="inlineStr">
        <is>
          <t>Spesialis</t>
        </is>
      </c>
      <c r="O19" t="inlineStr">
        <is>
          <t>20230904, 20230905</t>
        </is>
      </c>
      <c r="P19" t="inlineStr">
        <is>
          <t>DKI Jakarta</t>
        </is>
      </c>
      <c r="Q19" t="inlineStr"/>
    </row>
    <row r="20">
      <c r="A20" t="inlineStr">
        <is>
          <t>CIPTA GRAHA HARAPAN</t>
        </is>
      </c>
      <c r="B20" t="inlineStr">
        <is>
          <t>Kota Bekasi</t>
        </is>
      </c>
      <c r="C20" t="inlineStr">
        <is>
          <t>02122114451</t>
        </is>
      </c>
      <c r="D20" t="inlineStr">
        <is>
          <t>cipta.grahaharapan@yahoo.com</t>
        </is>
      </c>
      <c r="E20" t="inlineStr">
        <is>
          <t>https://lpjk.pu.go.id/search-badan-usaha-detail/ZWNZcndpYUlIRGV2YWNLY1pVYUxMQT09</t>
        </is>
      </c>
      <c r="F20" t="n">
        <v>2</v>
      </c>
      <c r="G20" t="inlineStr">
        <is>
          <t>BG001</t>
        </is>
      </c>
      <c r="H20" t="inlineStr">
        <is>
          <t>15 April 2010</t>
        </is>
      </c>
      <c r="I20" s="2" t="n">
        <v>46279</v>
      </c>
      <c r="J20" t="inlineStr">
        <is>
          <t>Disetujui</t>
        </is>
      </c>
      <c r="K20" t="n">
        <v>30</v>
      </c>
      <c r="L20" t="inlineStr">
        <is>
          <t>14 September 2026</t>
        </is>
      </c>
      <c r="M20" t="inlineStr">
        <is>
          <t>Konstruksi Gedung Hunian</t>
        </is>
      </c>
      <c r="N20" t="inlineStr">
        <is>
          <t>K</t>
        </is>
      </c>
      <c r="O20" t="inlineStr">
        <is>
          <t>20230911</t>
        </is>
      </c>
      <c r="P20" t="inlineStr">
        <is>
          <t>Jawa Barat</t>
        </is>
      </c>
      <c r="Q20" t="inlineStr"/>
    </row>
    <row r="21">
      <c r="A21" t="inlineStr">
        <is>
          <t>CIPTA KARYA DUITHAMA</t>
        </is>
      </c>
      <c r="B21" t="inlineStr">
        <is>
          <t>Kab. Bogor</t>
        </is>
      </c>
      <c r="C21" t="inlineStr">
        <is>
          <t>08562248672</t>
        </is>
      </c>
      <c r="D21" t="inlineStr">
        <is>
          <t>studio.ciampea@gmail.com</t>
        </is>
      </c>
      <c r="E21" t="inlineStr">
        <is>
          <t>https://lpjk.pu.go.id/search-badan-usaha-detail/akZhdmxHMXpXem0vR2Rvb2ZEd0psQT09</t>
        </is>
      </c>
      <c r="F21" t="n">
        <v>2</v>
      </c>
      <c r="G21" t="inlineStr">
        <is>
          <t>RK001</t>
        </is>
      </c>
      <c r="H21" t="inlineStr">
        <is>
          <t>8 Maret 2023</t>
        </is>
      </c>
      <c r="I21" s="2" t="n">
        <v>46278</v>
      </c>
      <c r="J21" t="inlineStr">
        <is>
          <t>Disetujui</t>
        </is>
      </c>
      <c r="K21" t="n">
        <v>30</v>
      </c>
      <c r="L21" t="inlineStr">
        <is>
          <t>13 September 2026</t>
        </is>
      </c>
      <c r="M21" t="inlineStr">
        <is>
          <t>Jasa Rekayasa Konstruksi Bangunan Gedung Hunian dan Non Hunian</t>
        </is>
      </c>
      <c r="N21" t="inlineStr">
        <is>
          <t>K</t>
        </is>
      </c>
      <c r="O21" t="inlineStr">
        <is>
          <t>20230906</t>
        </is>
      </c>
      <c r="P21" t="inlineStr">
        <is>
          <t>Jawa Barat</t>
        </is>
      </c>
      <c r="Q21" s="3">
        <f>HYPERLINK("https://wa.me/628562248672?text=*[Pengingat Masa Berlaku SBU CIPTA KARYA DUITHAMA]*%0A%0AYth. Pimpinan CIPTA KARYA DUITHAMA,%0AMohon izin menginformasikan status SBU Anda:%0A%0A📄 SBU: RK001%0A📅 Expired: 13 September 2026 (30 Hari Lagi)%0A%0AKami tim PT. ESDEA Assistance Management siap men-support proses perpanjangan segera agar administrasi proyek tidak terhambat%0A%0AApakah boleh saya bantu siapkan estimasi biaya dan waktu pengerjaannya?.", "Hubungi")</f>
        <v/>
      </c>
    </row>
    <row r="22">
      <c r="A22" t="inlineStr">
        <is>
          <t>CIPTA WIDYA DHARMA</t>
        </is>
      </c>
      <c r="B22" t="inlineStr">
        <is>
          <t>Kota Bogor</t>
        </is>
      </c>
      <c r="C22" t="inlineStr">
        <is>
          <t>081511111480</t>
        </is>
      </c>
      <c r="D22" t="inlineStr">
        <is>
          <t>cv.ciptawidyadharma@gmail.com</t>
        </is>
      </c>
      <c r="E22" t="inlineStr">
        <is>
          <t>https://lpjk.pu.go.id/search-badan-usaha-detail/TGlnQkdtakFhMUdSVUk0T0xpNUxCdz09</t>
        </is>
      </c>
      <c r="F22" t="n">
        <v>8</v>
      </c>
      <c r="G22" t="inlineStr">
        <is>
          <t>BG003, BG004, BG007, BG008</t>
        </is>
      </c>
      <c r="H22" t="inlineStr">
        <is>
          <t>13 Maret 2017</t>
        </is>
      </c>
      <c r="I22" s="2" t="n">
        <v>46277</v>
      </c>
      <c r="J22" t="inlineStr">
        <is>
          <t>Disetujui, Pencabutan</t>
        </is>
      </c>
      <c r="K22" t="n">
        <v>30</v>
      </c>
      <c r="L22" t="inlineStr">
        <is>
          <t>12 September 2026</t>
        </is>
      </c>
      <c r="M22" t="inlineStr">
        <is>
          <t>Konstruksi Gedung Industri, Konstruksi Gedung Penginapan, Konstruksi Gedung Perbelanjaan, Konstruksi Gedung Tempat Hiburan dan Olahraga</t>
        </is>
      </c>
      <c r="N22" t="inlineStr">
        <is>
          <t>K</t>
        </is>
      </c>
      <c r="O22" t="inlineStr">
        <is>
          <t>20230912</t>
        </is>
      </c>
      <c r="P22" t="inlineStr">
        <is>
          <t>Jawa Barat</t>
        </is>
      </c>
      <c r="Q22" s="3">
        <f>HYPERLINK("https://wa.me/6281511111480?text=*[Pengingat Masa Berlaku SBU CIPTA WIDYA DHARMA]*%0A%0AYth. Pimpinan CIPTA WIDYA DHARMA,%0AMohon izin menginformasikan status SBU Anda:%0A%0A📄 SBU: BG003, BG004, BG007, BG008%0A📅 Expired: 12 September 2026 (30 Hari Lagi)%0A%0AKami tim PT. ESDEA Assistance Management siap men-support proses perpanjangan segera agar administrasi proyek tidak terhambat%0A%0AApakah boleh saya bantu siapkan estimasi biaya dan waktu pengerjaannya?.", "Hubungi")</f>
        <v/>
      </c>
    </row>
    <row r="23">
      <c r="A23" t="inlineStr">
        <is>
          <t>DWI SAPTA JAYA</t>
        </is>
      </c>
      <c r="B23" t="inlineStr">
        <is>
          <t>Kota Bogor</t>
        </is>
      </c>
      <c r="C23" t="inlineStr">
        <is>
          <t>02518374749</t>
        </is>
      </c>
      <c r="D23" t="inlineStr">
        <is>
          <t>cv.dwisaptajaya@gmail.com</t>
        </is>
      </c>
      <c r="E23" t="inlineStr">
        <is>
          <t>https://lpjk.pu.go.id/search-badan-usaha-detail/MFhMMTJ0b0ZqZHFua1VSNmViRFdOdz09</t>
        </is>
      </c>
      <c r="F23" t="n">
        <v>4</v>
      </c>
      <c r="G23" t="inlineStr">
        <is>
          <t>BG001, BG002, BG005, BS004</t>
        </is>
      </c>
      <c r="H23" t="inlineStr">
        <is>
          <t>14 Maret 2000</t>
        </is>
      </c>
      <c r="I23" s="2" t="n">
        <v>46279</v>
      </c>
      <c r="J23" t="inlineStr">
        <is>
          <t>Disetujui</t>
        </is>
      </c>
      <c r="K23" t="n">
        <v>30</v>
      </c>
      <c r="L23" t="inlineStr">
        <is>
          <t>14 September 2026</t>
        </is>
      </c>
      <c r="M23" t="inlineStr">
        <is>
          <t>Konstruksi Gedung Hunian, Konstruksi Gedung Kesehatan, Konstruksi Gedung Perkantoran, Konstruksi Jaringan Irigasi dan Drainase</t>
        </is>
      </c>
      <c r="N23" t="inlineStr">
        <is>
          <t>K</t>
        </is>
      </c>
      <c r="O23" t="inlineStr">
        <is>
          <t>20230911</t>
        </is>
      </c>
      <c r="P23" t="inlineStr">
        <is>
          <t>Jawa Barat</t>
        </is>
      </c>
      <c r="Q23" s="3">
        <f>HYPERLINK("https://wa.me/622518374749?text=*[Pengingat Masa Berlaku SBU DWI SAPTA JAYA]*%0A%0AYth. Pimpinan DWI SAPTA JAYA,%0AMohon izin menginformasikan status SBU Anda:%0A%0A📄 SBU: BG001, BG002, BG005, BS004%0A📅 Expired: 14 September 2026 (30 Hari Lagi)%0A%0AKami tim PT. ESDEA Assistance Management siap men-support proses perpanjangan segera agar administrasi proyek tidak terhambat%0A%0AApakah boleh saya bantu siapkan estimasi biaya dan waktu pengerjaannya?.", "Hubungi")</f>
        <v/>
      </c>
    </row>
    <row r="24">
      <c r="A24" t="inlineStr">
        <is>
          <t>DWIDA JAYA TAMA</t>
        </is>
      </c>
      <c r="B24" t="inlineStr">
        <is>
          <t>Kab. Bogor</t>
        </is>
      </c>
      <c r="C24" t="inlineStr">
        <is>
          <t>02518618889</t>
        </is>
      </c>
      <c r="D24" t="inlineStr">
        <is>
          <t>legal@dwidajayatama.com</t>
        </is>
      </c>
      <c r="E24" t="inlineStr">
        <is>
          <t>https://lpjk.pu.go.id/search-badan-usaha-detail/MVRmVm1uMXFtL0hCMzd0R2tua01lUT09</t>
        </is>
      </c>
      <c r="F24" t="n">
        <v>2</v>
      </c>
      <c r="G24" t="inlineStr">
        <is>
          <t>PB004</t>
        </is>
      </c>
      <c r="H24" t="inlineStr">
        <is>
          <t>13 Januari 2006</t>
        </is>
      </c>
      <c r="I24" s="2" t="n">
        <v>46283</v>
      </c>
      <c r="J24" t="inlineStr">
        <is>
          <t>Disetujui</t>
        </is>
      </c>
      <c r="K24" t="n">
        <v>30</v>
      </c>
      <c r="L24" t="inlineStr">
        <is>
          <t>18 September 2026</t>
        </is>
      </c>
      <c r="M24" t="inlineStr">
        <is>
          <t>Dekorasi Interior</t>
        </is>
      </c>
      <c r="N24" t="inlineStr">
        <is>
          <t>Spesialis</t>
        </is>
      </c>
      <c r="O24" t="inlineStr">
        <is>
          <t>20230824</t>
        </is>
      </c>
      <c r="P24" t="inlineStr">
        <is>
          <t>Jawa Barat</t>
        </is>
      </c>
      <c r="Q24" s="3">
        <f>HYPERLINK("https://wa.me/622518618889?text=*[Pengingat Masa Berlaku SBU DWIDA JAYA TAMA]*%0A%0AYth. Pimpinan DWIDA JAYA TAMA,%0AMohon izin menginformasikan status SBU Anda:%0A%0A📄 SBU: PB004%0A📅 Expired: 18 September 2026 (30 Hari Lagi)%0A%0AKami tim PT. ESDEA Assistance Management siap men-support proses perpanjangan segera agar administrasi proyek tidak terhambat%0A%0AApakah boleh saya bantu siapkan estimasi biaya dan waktu pengerjaannya?.", "Hubungi")</f>
        <v/>
      </c>
    </row>
    <row r="25">
      <c r="A25" t="inlineStr">
        <is>
          <t>ELLENA SUKSES MAKMUR</t>
        </is>
      </c>
      <c r="B25" t="inlineStr">
        <is>
          <t>Kota Depok</t>
        </is>
      </c>
      <c r="C25" t="inlineStr">
        <is>
          <t>081295219474</t>
        </is>
      </c>
      <c r="D25" t="inlineStr">
        <is>
          <t>cv.ellena@gmail.com</t>
        </is>
      </c>
      <c r="E25" t="inlineStr">
        <is>
          <t>https://lpjk.pu.go.id/search-badan-usaha-detail/TEZEYkx5MFlmQ0NXTzg2Nys3akVIdz09</t>
        </is>
      </c>
      <c r="F25" t="n">
        <v>2</v>
      </c>
      <c r="G25" t="inlineStr">
        <is>
          <t>BS001, BS004</t>
        </is>
      </c>
      <c r="H25" t="inlineStr">
        <is>
          <t>22 Januari 2007</t>
        </is>
      </c>
      <c r="I25" s="2" t="n">
        <v>46278</v>
      </c>
      <c r="J25" t="inlineStr">
        <is>
          <t>Disetujui</t>
        </is>
      </c>
      <c r="K25" t="n">
        <v>30</v>
      </c>
      <c r="L25" t="inlineStr">
        <is>
          <t>13 September 2026</t>
        </is>
      </c>
      <c r="M25" t="inlineStr">
        <is>
          <t>Konstruksi Bangunan Sipil Jalan, Konstruksi Jaringan Irigasi dan Drainase</t>
        </is>
      </c>
      <c r="N25" t="inlineStr">
        <is>
          <t>K</t>
        </is>
      </c>
      <c r="O25" t="inlineStr">
        <is>
          <t>20230908</t>
        </is>
      </c>
      <c r="P25" t="inlineStr">
        <is>
          <t>Jawa Barat</t>
        </is>
      </c>
      <c r="Q25" s="3">
        <f>HYPERLINK("https://wa.me/6281295219474?text=*[Pengingat Masa Berlaku SBU ELLENA SUKSES MAKMUR]*%0A%0AYth. Pimpinan ELLENA SUKSES MAKMUR,%0AMohon izin menginformasikan status SBU Anda:%0A%0A📄 SBU: BS001, BS004%0A📅 Expired: 13 September 2026 (30 Hari Lagi)%0A%0AKami tim PT. ESDEA Assistance Management siap men-support proses perpanjangan segera agar administrasi proyek tidak terhambat%0A%0AApakah boleh saya bantu siapkan estimasi biaya dan waktu pengerjaannya?.", "Hubungi")</f>
        <v/>
      </c>
    </row>
    <row r="26">
      <c r="A26" t="inlineStr">
        <is>
          <t>FIRNIE ALATAZ MALANIHAT</t>
        </is>
      </c>
      <c r="B26" t="inlineStr">
        <is>
          <t>Kab. Bogor</t>
        </is>
      </c>
      <c r="C26" t="inlineStr">
        <is>
          <t>08119104023</t>
        </is>
      </c>
      <c r="D26" t="inlineStr">
        <is>
          <t>berkahfam@yahoo.com</t>
        </is>
      </c>
      <c r="E26" t="inlineStr">
        <is>
          <t>https://lpjk.pu.go.id/search-badan-usaha-detail/R2dUVWFIaWZJOE5oTnI1NmlWVTN5Zz09</t>
        </is>
      </c>
      <c r="F26" t="n">
        <v>3</v>
      </c>
      <c r="G26" t="inlineStr">
        <is>
          <t>BS001, BS007, BS009</t>
        </is>
      </c>
      <c r="H26" t="inlineStr">
        <is>
          <t>24 September 2021</t>
        </is>
      </c>
      <c r="I26" s="2" t="n">
        <v>46282</v>
      </c>
      <c r="J26" t="inlineStr">
        <is>
          <t>Disetujui</t>
        </is>
      </c>
      <c r="K26" t="n">
        <v>30</v>
      </c>
      <c r="L26" t="inlineStr">
        <is>
          <t>17 September 2026</t>
        </is>
      </c>
      <c r="M26" t="inlineStr">
        <is>
          <t>Konstruksi Bangunan Sipil Elektrikal, Konstruksi Bangunan Sipil Jalan, Konstruksi Sentral Telekomunikasi</t>
        </is>
      </c>
      <c r="N26" t="inlineStr">
        <is>
          <t>K</t>
        </is>
      </c>
      <c r="O26" t="inlineStr">
        <is>
          <t>20230914, 20230915</t>
        </is>
      </c>
      <c r="P26" t="inlineStr">
        <is>
          <t>Jawa Barat</t>
        </is>
      </c>
      <c r="Q26" s="3">
        <f>HYPERLINK("https://wa.me/628119104023?text=*[Pengingat Masa Berlaku SBU FIRNIE ALATAZ MALANIHAT]*%0A%0AYth. Pimpinan FIRNIE ALATAZ MALANIHAT,%0AMohon izin menginformasikan status SBU Anda:%0A%0A📄 SBU: BS001, BS007, BS009%0A📅 Expired: 17 September 2026 (30 Hari Lagi)%0A%0AKami tim PT. ESDEA Assistance Management siap men-support proses perpanjangan segera agar administrasi proyek tidak terhambat%0A%0AApakah boleh saya bantu siapkan estimasi biaya dan waktu pengerjaannya?.", "Hubungi")</f>
        <v/>
      </c>
    </row>
    <row r="27">
      <c r="A27" t="inlineStr">
        <is>
          <t>GIRI MULYO BERSINAR</t>
        </is>
      </c>
      <c r="B27" t="inlineStr">
        <is>
          <t>Kota Bekasi</t>
        </is>
      </c>
      <c r="C27" t="inlineStr">
        <is>
          <t>083870571290</t>
        </is>
      </c>
      <c r="D27" t="inlineStr">
        <is>
          <t>girimulyobersinar@gmail.com</t>
        </is>
      </c>
      <c r="E27" t="inlineStr">
        <is>
          <t>https://lpjk.pu.go.id/search-badan-usaha-detail/T2N5RHVOMm1xaExReVV1M2FSa21JQT09</t>
        </is>
      </c>
      <c r="F27" t="n">
        <v>2</v>
      </c>
      <c r="G27" t="inlineStr">
        <is>
          <t>BG002, BG006</t>
        </is>
      </c>
      <c r="H27" t="inlineStr">
        <is>
          <t>27 Juli 2023</t>
        </is>
      </c>
      <c r="I27" s="2" t="n">
        <v>46277</v>
      </c>
      <c r="J27" t="inlineStr">
        <is>
          <t>Disetujui</t>
        </is>
      </c>
      <c r="K27" t="n">
        <v>30</v>
      </c>
      <c r="L27" t="inlineStr">
        <is>
          <t>12 September 2026</t>
        </is>
      </c>
      <c r="M27" t="inlineStr">
        <is>
          <t>Konstruksi Gedung Pendidikan, Konstruksi Gedung Perkantoran</t>
        </is>
      </c>
      <c r="N27" t="inlineStr">
        <is>
          <t>K</t>
        </is>
      </c>
      <c r="O27" t="inlineStr">
        <is>
          <t>20230911</t>
        </is>
      </c>
      <c r="P27" t="inlineStr">
        <is>
          <t>Jawa Barat</t>
        </is>
      </c>
      <c r="Q27" s="3">
        <f>HYPERLINK("https://wa.me/6283870571290?text=*[Pengingat Masa Berlaku SBU GIRI MULYO BERSINAR]*%0A%0AYth. Pimpinan GIRI MULYO BERSINAR,%0AMohon izin menginformasikan status SBU Anda:%0A%0A📄 SBU: BG002, BG006%0A📅 Expired: 12 September 2026 (30 Hari Lagi)%0A%0AKami tim PT. ESDEA Assistance Management siap men-support proses perpanjangan segera agar administrasi proyek tidak terhambat%0A%0AApakah boleh saya bantu siapkan estimasi biaya dan waktu pengerjaannya?.", "Hubungi")</f>
        <v/>
      </c>
    </row>
    <row r="28">
      <c r="A28" t="inlineStr">
        <is>
          <t>HANIFTEL INDONESIA</t>
        </is>
      </c>
      <c r="B28" t="inlineStr">
        <is>
          <t>Kota Bekasi</t>
        </is>
      </c>
      <c r="C28" t="inlineStr">
        <is>
          <t>085888893084</t>
        </is>
      </c>
      <c r="D28" t="inlineStr">
        <is>
          <t>rima@putraradhika.com</t>
        </is>
      </c>
      <c r="E28" t="inlineStr">
        <is>
          <t>https://lpjk.pu.go.id/search-badan-usaha-detail/amRQNEdoOHc1c2ExeWdEeFRzWW53dz09</t>
        </is>
      </c>
      <c r="F28" t="n">
        <v>2</v>
      </c>
      <c r="G28" t="inlineStr">
        <is>
          <t>BS009</t>
        </is>
      </c>
      <c r="H28" t="inlineStr">
        <is>
          <t>13 Februari 2012</t>
        </is>
      </c>
      <c r="I28" s="2" t="n">
        <v>46279</v>
      </c>
      <c r="J28" t="inlineStr">
        <is>
          <t>Disetujui</t>
        </is>
      </c>
      <c r="K28" t="n">
        <v>30</v>
      </c>
      <c r="L28" t="inlineStr">
        <is>
          <t>14 September 2026</t>
        </is>
      </c>
      <c r="M28" t="inlineStr">
        <is>
          <t>Konstruksi Sentral Telekomunikasi</t>
        </is>
      </c>
      <c r="N28" t="inlineStr">
        <is>
          <t>K</t>
        </is>
      </c>
      <c r="O28" t="inlineStr">
        <is>
          <t>20230824</t>
        </is>
      </c>
      <c r="P28" t="inlineStr">
        <is>
          <t>Jawa Barat</t>
        </is>
      </c>
      <c r="Q28" s="3">
        <f>HYPERLINK("https://wa.me/6285888893084?text=*[Pengingat Masa Berlaku SBU HANIFTEL INDONESIA]*%0A%0AYth. Pimpinan HANIFTEL INDONESIA,%0AMohon izin menginformasikan status SBU Anda:%0A%0A📄 SBU: BS009%0A📅 Expired: 14 September 2026 (30 Hari Lagi)%0A%0AKami tim PT. ESDEA Assistance Management siap men-support proses perpanjangan segera agar administrasi proyek tidak terhambat%0A%0AApakah boleh saya bantu siapkan estimasi biaya dan waktu pengerjaannya?.", "Hubungi")</f>
        <v/>
      </c>
    </row>
    <row r="29">
      <c r="A29" t="inlineStr">
        <is>
          <t>HUTAMA CITRA ESTETIKA</t>
        </is>
      </c>
      <c r="B29" t="inlineStr">
        <is>
          <t>Kab. Bogor</t>
        </is>
      </c>
      <c r="C29" t="inlineStr">
        <is>
          <t>082299451856</t>
        </is>
      </c>
      <c r="D29" t="inlineStr">
        <is>
          <t>pt.hutamacitra@gmail.com</t>
        </is>
      </c>
      <c r="E29" t="inlineStr">
        <is>
          <t>https://lpjk.pu.go.id/search-badan-usaha-detail/blYyRDFHSkVhYTkrQTMxNHk3TkZTQT09</t>
        </is>
      </c>
      <c r="F29" t="n">
        <v>2</v>
      </c>
      <c r="G29" t="inlineStr">
        <is>
          <t>BG009</t>
        </is>
      </c>
      <c r="H29" t="inlineStr">
        <is>
          <t>30 Januari 2023</t>
        </is>
      </c>
      <c r="I29" s="2" t="n">
        <v>46277</v>
      </c>
      <c r="J29" t="inlineStr">
        <is>
          <t>Disetujui</t>
        </is>
      </c>
      <c r="K29" t="n">
        <v>30</v>
      </c>
      <c r="L29" t="inlineStr">
        <is>
          <t>12 September 2026</t>
        </is>
      </c>
      <c r="M29" t="inlineStr">
        <is>
          <t>Konstruksi Gedung Lainnya</t>
        </is>
      </c>
      <c r="N29" t="inlineStr">
        <is>
          <t>K</t>
        </is>
      </c>
      <c r="O29" t="inlineStr">
        <is>
          <t>20230901</t>
        </is>
      </c>
      <c r="P29" t="inlineStr">
        <is>
          <t>Jawa Barat</t>
        </is>
      </c>
      <c r="Q29" s="3">
        <f>HYPERLINK("https://wa.me/6282299451856?text=*[Pengingat Masa Berlaku SBU HUTAMA CITRA ESTETIKA]*%0A%0AYth. Pimpinan HUTAMA CITRA ESTETIKA,%0AMohon izin menginformasikan status SBU Anda:%0A%0A📄 SBU: BG009%0A📅 Expired: 12 September 2026 (30 Hari Lagi)%0A%0AKami tim PT. ESDEA Assistance Management siap men-support proses perpanjangan segera agar administrasi proyek tidak terhambat%0A%0AApakah boleh saya bantu siapkan estimasi biaya dan waktu pengerjaannya?.", "Hubungi")</f>
        <v/>
      </c>
    </row>
    <row r="30">
      <c r="A30" t="inlineStr">
        <is>
          <t>KARYA GEMILANG UTAMA</t>
        </is>
      </c>
      <c r="B30" t="inlineStr">
        <is>
          <t>Kota Bekasi</t>
        </is>
      </c>
      <c r="C30" t="inlineStr">
        <is>
          <t>818910796</t>
        </is>
      </c>
      <c r="D30" t="inlineStr">
        <is>
          <t>ptkaryagemilangutama05@gmail.com</t>
        </is>
      </c>
      <c r="E30" t="inlineStr">
        <is>
          <t>https://lpjk.pu.go.id/search-badan-usaha-detail/V2QzQ2p5THg4UHlWZE16QVQvR3VWQT09</t>
        </is>
      </c>
      <c r="F30" t="n">
        <v>1</v>
      </c>
      <c r="G30" t="inlineStr">
        <is>
          <t>BS002</t>
        </is>
      </c>
      <c r="H30" t="inlineStr">
        <is>
          <t>29 Desember 2004</t>
        </is>
      </c>
      <c r="I30" s="2" t="n">
        <v>46282</v>
      </c>
      <c r="J30" t="inlineStr">
        <is>
          <t>Disetujui</t>
        </is>
      </c>
      <c r="K30" t="n">
        <v>30</v>
      </c>
      <c r="L30" t="inlineStr">
        <is>
          <t>17 September 2026</t>
        </is>
      </c>
      <c r="M30" t="inlineStr">
        <is>
          <t>Bangunan Sipil Jembatan, Jalan Layang, Fly Over, dan Underpass</t>
        </is>
      </c>
      <c r="N30" t="inlineStr">
        <is>
          <t>K</t>
        </is>
      </c>
      <c r="O30" t="inlineStr">
        <is>
          <t>20230916</t>
        </is>
      </c>
      <c r="P30" t="inlineStr">
        <is>
          <t>Jawa Barat</t>
        </is>
      </c>
      <c r="Q30" s="3">
        <f>HYPERLINK("https://wa.me/62818910796?text=*[Pengingat Masa Berlaku SBU KARYA GEMILANG UTAMA]*%0A%0AYth. Pimpinan KARYA GEMILANG UTAMA,%0AMohon izin menginformasikan status SBU Anda:%0A%0A📄 SBU: BS002%0A📅 Expired: 17 September 2026 (30 Hari Lagi)%0A%0AKami tim PT. ESDEA Assistance Management siap men-support proses perpanjangan segera agar administrasi proyek tidak terhambat%0A%0AApakah boleh saya bantu siapkan estimasi biaya dan waktu pengerjaannya?.", "Hubungi")</f>
        <v/>
      </c>
    </row>
    <row r="31">
      <c r="A31" t="inlineStr">
        <is>
          <t>KARYA INSAN SEHATI</t>
        </is>
      </c>
      <c r="B31" t="inlineStr">
        <is>
          <t>Kab. Bogor</t>
        </is>
      </c>
      <c r="C31" t="inlineStr">
        <is>
          <t>02129099699</t>
        </is>
      </c>
      <c r="D31" t="inlineStr">
        <is>
          <t>karyainsansehati.oss@gmail.com</t>
        </is>
      </c>
      <c r="E31" t="inlineStr">
        <is>
          <t>https://lpjk.pu.go.id/search-badan-usaha-detail/dTl2U1JQYUo3cmV4K2hwY3BhQk4zUT09</t>
        </is>
      </c>
      <c r="F31" t="n">
        <v>5</v>
      </c>
      <c r="G31" t="inlineStr">
        <is>
          <t>BG001, BG002, BG003, BG007, BG009</t>
        </is>
      </c>
      <c r="H31" t="inlineStr">
        <is>
          <t>8 Februari 2011</t>
        </is>
      </c>
      <c r="I31" s="2" t="n">
        <v>46278</v>
      </c>
      <c r="J31" t="inlineStr">
        <is>
          <t>Disetujui</t>
        </is>
      </c>
      <c r="K31" t="n">
        <v>30</v>
      </c>
      <c r="L31" t="inlineStr">
        <is>
          <t>13 September 2026</t>
        </is>
      </c>
      <c r="M31" t="inlineStr">
        <is>
          <t>Konstruksi Gedung Hunian, Konstruksi Gedung Industri, Konstruksi Gedung Lainnya, Konstruksi Gedung Penginapan, Konstruksi Gedung Perkantoran</t>
        </is>
      </c>
      <c r="N31" t="inlineStr">
        <is>
          <t>K</t>
        </is>
      </c>
      <c r="O31" t="inlineStr">
        <is>
          <t>20230911</t>
        </is>
      </c>
      <c r="P31" t="inlineStr">
        <is>
          <t>Jawa Barat</t>
        </is>
      </c>
      <c r="Q31" t="inlineStr"/>
    </row>
    <row r="32">
      <c r="A32" t="inlineStr">
        <is>
          <t>KARYA PUTRA KANBES</t>
        </is>
      </c>
      <c r="B32" t="inlineStr">
        <is>
          <t>Kota Bekasi</t>
        </is>
      </c>
      <c r="C32" t="inlineStr">
        <is>
          <t>085711871434</t>
        </is>
      </c>
      <c r="D32" t="inlineStr">
        <is>
          <t>karyaputrakanbes@gmail.com</t>
        </is>
      </c>
      <c r="E32" t="inlineStr">
        <is>
          <t>https://lpjk.pu.go.id/search-badan-usaha-detail/REZVTkxScUJmRGhJYlVUMmp5VTFHQT09</t>
        </is>
      </c>
      <c r="F32" t="n">
        <v>3</v>
      </c>
      <c r="G32" t="inlineStr">
        <is>
          <t>BG009, BS001, BS004</t>
        </is>
      </c>
      <c r="H32" t="inlineStr">
        <is>
          <t>18 Agustus 2023</t>
        </is>
      </c>
      <c r="I32" s="2" t="n">
        <v>46278</v>
      </c>
      <c r="J32" t="inlineStr">
        <is>
          <t>Disetujui</t>
        </is>
      </c>
      <c r="K32" t="n">
        <v>30</v>
      </c>
      <c r="L32" t="inlineStr">
        <is>
          <t>13 September 2026</t>
        </is>
      </c>
      <c r="M32" t="inlineStr">
        <is>
          <t>Konstruksi Bangunan Sipil Jalan, Konstruksi Gedung Lainnya, Konstruksi Jaringan Irigasi dan Drainase</t>
        </is>
      </c>
      <c r="N32" t="inlineStr">
        <is>
          <t>K</t>
        </is>
      </c>
      <c r="O32" t="inlineStr">
        <is>
          <t>20230912</t>
        </is>
      </c>
      <c r="P32" t="inlineStr">
        <is>
          <t>Jawa Barat</t>
        </is>
      </c>
      <c r="Q32" s="3">
        <f>HYPERLINK("https://wa.me/6285711871434?text=*[Pengingat Masa Berlaku SBU KARYA PUTRA KANBES]*%0A%0AYth. Pimpinan KARYA PUTRA KANBES,%0AMohon izin menginformasikan status SBU Anda:%0A%0A📄 SBU: BG009, BS001, BS004%0A📅 Expired: 13 September 2026 (30 Hari Lagi)%0A%0AKami tim PT. ESDEA Assistance Management siap men-support proses perpanjangan segera agar administrasi proyek tidak terhambat%0A%0AApakah boleh saya bantu siapkan estimasi biaya dan waktu pengerjaannya?.", "Hubungi")</f>
        <v/>
      </c>
    </row>
    <row r="33">
      <c r="A33" t="inlineStr">
        <is>
          <t>KERTAU LINGKAR SELARAS</t>
        </is>
      </c>
      <c r="B33" t="inlineStr">
        <is>
          <t>Kota Depok</t>
        </is>
      </c>
      <c r="C33" t="inlineStr">
        <is>
          <t>081295219474</t>
        </is>
      </c>
      <c r="D33" t="inlineStr">
        <is>
          <t>ptkertaulingkar.selaras2019@gmail.com</t>
        </is>
      </c>
      <c r="E33" t="inlineStr">
        <is>
          <t>https://lpjk.pu.go.id/search-badan-usaha-detail/YmVYQnNKK3BIeGFFL0NIZkNrNG9PZz09</t>
        </is>
      </c>
      <c r="F33" t="n">
        <v>4</v>
      </c>
      <c r="G33" t="inlineStr">
        <is>
          <t>BS001, BS004</t>
        </is>
      </c>
      <c r="H33" t="inlineStr">
        <is>
          <t>30 November 2018</t>
        </is>
      </c>
      <c r="I33" s="2" t="n">
        <v>46278</v>
      </c>
      <c r="J33" t="inlineStr">
        <is>
          <t>Disetujui</t>
        </is>
      </c>
      <c r="K33" t="n">
        <v>30</v>
      </c>
      <c r="L33" t="inlineStr">
        <is>
          <t>13 September 2026</t>
        </is>
      </c>
      <c r="M33" t="inlineStr">
        <is>
          <t>Konstruksi Bangunan Sipil Jalan, Konstruksi Jaringan Irigasi dan Drainase</t>
        </is>
      </c>
      <c r="N33" t="inlineStr">
        <is>
          <t>K</t>
        </is>
      </c>
      <c r="O33" t="inlineStr">
        <is>
          <t>20230911</t>
        </is>
      </c>
      <c r="P33" t="inlineStr">
        <is>
          <t>Jawa Barat</t>
        </is>
      </c>
      <c r="Q33" s="3">
        <f>HYPERLINK("https://wa.me/6281295219474?text=*[Pengingat Masa Berlaku SBU KERTAU LINGKAR SELARAS]*%0A%0AYth. Pimpinan KERTAU LINGKAR SELARAS,%0AMohon izin menginformasikan status SBU Anda:%0A%0A📄 SBU: BS001, BS004%0A📅 Expired: 13 September 2026 (30 Hari Lagi)%0A%0AKami tim PT. ESDEA Assistance Management siap men-support proses perpanjangan segera agar administrasi proyek tidak terhambat%0A%0AApakah boleh saya bantu siapkan estimasi biaya dan waktu pengerjaannya?.", "Hubungi")</f>
        <v/>
      </c>
    </row>
    <row r="34">
      <c r="A34" t="inlineStr">
        <is>
          <t>KHARISMA KARYA PERSADA</t>
        </is>
      </c>
      <c r="B34" t="inlineStr">
        <is>
          <t>Kota Bekasi</t>
        </is>
      </c>
      <c r="C34" t="inlineStr">
        <is>
          <t>02182422120</t>
        </is>
      </c>
      <c r="D34" t="inlineStr">
        <is>
          <t>cv.kharismakaryapersada@gmail.com</t>
        </is>
      </c>
      <c r="E34" t="inlineStr">
        <is>
          <t>https://lpjk.pu.go.id/search-badan-usaha-detail/QU9LbHJIMks0RE42akRrZUR5R21ZQT09</t>
        </is>
      </c>
      <c r="F34" t="n">
        <v>2</v>
      </c>
      <c r="G34" t="inlineStr">
        <is>
          <t>BG001</t>
        </is>
      </c>
      <c r="H34" t="inlineStr">
        <is>
          <t>16 Desember 2000</t>
        </is>
      </c>
      <c r="I34" s="2" t="n">
        <v>46283</v>
      </c>
      <c r="J34" t="inlineStr">
        <is>
          <t>Disetujui</t>
        </is>
      </c>
      <c r="K34" t="n">
        <v>30</v>
      </c>
      <c r="L34" t="inlineStr">
        <is>
          <t>18 September 2026</t>
        </is>
      </c>
      <c r="M34" t="inlineStr">
        <is>
          <t>Konstruksi Gedung Hunian</t>
        </is>
      </c>
      <c r="N34" t="inlineStr">
        <is>
          <t>K</t>
        </is>
      </c>
      <c r="O34" t="inlineStr">
        <is>
          <t>20230914</t>
        </is>
      </c>
      <c r="P34" t="inlineStr">
        <is>
          <t>Jawa Barat</t>
        </is>
      </c>
      <c r="Q34" t="inlineStr"/>
    </row>
    <row r="35">
      <c r="A35" t="inlineStr">
        <is>
          <t>KREASI INVESTAMA TEKNOKINDO</t>
        </is>
      </c>
      <c r="B35" t="inlineStr">
        <is>
          <t>Kab. Bogor</t>
        </is>
      </c>
      <c r="C35" t="inlineStr">
        <is>
          <t>02175674072</t>
        </is>
      </c>
      <c r="D35" t="inlineStr">
        <is>
          <t>kreasiinvestamateknokindo@gmail.com</t>
        </is>
      </c>
      <c r="E35" t="inlineStr">
        <is>
          <t>https://lpjk.pu.go.id/search-badan-usaha-detail/ZlJYU0kxaGRtVnhDMXF1YUlHS0FvZz09</t>
        </is>
      </c>
      <c r="F35" t="n">
        <v>1</v>
      </c>
      <c r="G35" t="inlineStr">
        <is>
          <t>BG009</t>
        </is>
      </c>
      <c r="H35" t="inlineStr">
        <is>
          <t>18 April 2022</t>
        </is>
      </c>
      <c r="I35" s="2" t="n">
        <v>46277</v>
      </c>
      <c r="J35" t="inlineStr">
        <is>
          <t>Disetujui</t>
        </is>
      </c>
      <c r="K35" t="n">
        <v>30</v>
      </c>
      <c r="L35" t="inlineStr">
        <is>
          <t>12 September 2026</t>
        </is>
      </c>
      <c r="M35" t="inlineStr">
        <is>
          <t>Konstruksi Gedung Lainnya</t>
        </is>
      </c>
      <c r="N35" t="inlineStr">
        <is>
          <t>K</t>
        </is>
      </c>
      <c r="O35" t="inlineStr">
        <is>
          <t>20230906</t>
        </is>
      </c>
      <c r="P35" t="inlineStr">
        <is>
          <t>Jawa Barat</t>
        </is>
      </c>
      <c r="Q35" t="inlineStr"/>
    </row>
    <row r="36">
      <c r="A36" t="inlineStr">
        <is>
          <t>KRIDA BHAKTI SENTOSA</t>
        </is>
      </c>
      <c r="B36" t="inlineStr">
        <is>
          <t>Kota Adm. Jakarta Timur</t>
        </is>
      </c>
      <c r="C36" t="inlineStr">
        <is>
          <t>0218616921</t>
        </is>
      </c>
      <c r="D36" t="inlineStr">
        <is>
          <t>krida_bhakti@yahoo.co.id</t>
        </is>
      </c>
      <c r="E36" t="inlineStr">
        <is>
          <t>https://lpjk.pu.go.id/search-badan-usaha-detail/azdUMldidVhGMk4yQUlsYVNITXZSdz09</t>
        </is>
      </c>
      <c r="F36" t="n">
        <v>1</v>
      </c>
      <c r="G36" t="inlineStr">
        <is>
          <t>BS001</t>
        </is>
      </c>
      <c r="H36" t="inlineStr">
        <is>
          <t>15 Agustus 2002</t>
        </is>
      </c>
      <c r="I36" s="2" t="n">
        <v>46279</v>
      </c>
      <c r="J36" t="inlineStr">
        <is>
          <t>Pencabutan</t>
        </is>
      </c>
      <c r="K36" t="n">
        <v>30</v>
      </c>
      <c r="L36" t="inlineStr">
        <is>
          <t>14 September 2026</t>
        </is>
      </c>
      <c r="M36" t="inlineStr">
        <is>
          <t>Konstruksi Bangunan Sipil Jalan</t>
        </is>
      </c>
      <c r="N36" t="inlineStr">
        <is>
          <t>K</t>
        </is>
      </c>
      <c r="O36" t="inlineStr">
        <is>
          <t>20230912</t>
        </is>
      </c>
      <c r="P36" t="inlineStr">
        <is>
          <t>DKI Jakarta</t>
        </is>
      </c>
      <c r="Q36" t="inlineStr"/>
    </row>
    <row r="37">
      <c r="A37" t="inlineStr">
        <is>
          <t>LAGIO JAYA MAKMUR</t>
        </is>
      </c>
      <c r="B37" t="inlineStr">
        <is>
          <t>Kab. Bekasi</t>
        </is>
      </c>
      <c r="C37" t="inlineStr">
        <is>
          <t>08156863356</t>
        </is>
      </c>
      <c r="D37" t="inlineStr">
        <is>
          <t>lagiojayamakmur@yahoo.com</t>
        </is>
      </c>
      <c r="E37" t="inlineStr">
        <is>
          <t>https://lpjk.pu.go.id/search-badan-usaha-detail/SFhoZksydjdWUStWeHpKWURpVkR0dz09</t>
        </is>
      </c>
      <c r="F37" t="n">
        <v>1</v>
      </c>
      <c r="G37" t="inlineStr">
        <is>
          <t>BG009</t>
        </is>
      </c>
      <c r="H37" t="inlineStr">
        <is>
          <t>2 Agustus 2008</t>
        </is>
      </c>
      <c r="I37" s="2" t="n">
        <v>46278</v>
      </c>
      <c r="J37" t="inlineStr">
        <is>
          <t>Disetujui</t>
        </is>
      </c>
      <c r="K37" t="n">
        <v>30</v>
      </c>
      <c r="L37" t="inlineStr">
        <is>
          <t>13 September 2026</t>
        </is>
      </c>
      <c r="M37" t="inlineStr">
        <is>
          <t>Konstruksi Gedung Lainnya</t>
        </is>
      </c>
      <c r="N37" t="inlineStr">
        <is>
          <t>K</t>
        </is>
      </c>
      <c r="O37" t="inlineStr">
        <is>
          <t>20230307</t>
        </is>
      </c>
      <c r="P37" t="inlineStr">
        <is>
          <t>Jawa Barat</t>
        </is>
      </c>
      <c r="Q37" s="3">
        <f>HYPERLINK("https://wa.me/628156863356?text=*[Pengingat Masa Berlaku SBU LAGIO JAYA MAKMUR]*%0A%0AYth. Pimpinan LAGIO JAYA MAKMUR,%0AMohon izin menginformasikan status SBU Anda:%0A%0A📄 SBU: BG009%0A📅 Expired: 13 September 2026 (30 Hari Lagi)%0A%0AKami tim PT. ESDEA Assistance Management siap men-support proses perpanjangan segera agar administrasi proyek tidak terhambat%0A%0AApakah boleh saya bantu siapkan estimasi biaya dan waktu pengerjaannya?.", "Hubungi")</f>
        <v/>
      </c>
    </row>
    <row r="38">
      <c r="A38" t="inlineStr">
        <is>
          <t>MAJU BERSAMA KONSTRUKSI</t>
        </is>
      </c>
      <c r="B38" t="inlineStr">
        <is>
          <t>Kab. Bekasi</t>
        </is>
      </c>
      <c r="C38" t="inlineStr">
        <is>
          <t>085223199968</t>
        </is>
      </c>
      <c r="D38" t="inlineStr">
        <is>
          <t>bersamakonstruksimaju@gmail.com</t>
        </is>
      </c>
      <c r="E38" t="inlineStr">
        <is>
          <t>https://lpjk.pu.go.id/search-badan-usaha-detail/RDJ5SkRvdGlYSUlEdmhNTW16Zmh6Zz09</t>
        </is>
      </c>
      <c r="F38" t="n">
        <v>2</v>
      </c>
      <c r="G38" t="inlineStr">
        <is>
          <t>BG001, BG002</t>
        </is>
      </c>
      <c r="H38" t="inlineStr">
        <is>
          <t>28 Juni 2023</t>
        </is>
      </c>
      <c r="I38" s="2" t="n">
        <v>46278</v>
      </c>
      <c r="J38" t="inlineStr">
        <is>
          <t>Disetujui</t>
        </is>
      </c>
      <c r="K38" t="n">
        <v>30</v>
      </c>
      <c r="L38" t="inlineStr">
        <is>
          <t>13 September 2026</t>
        </is>
      </c>
      <c r="M38" t="inlineStr">
        <is>
          <t>Konstruksi Gedung Hunian, Konstruksi Gedung Perkantoran</t>
        </is>
      </c>
      <c r="N38" t="inlineStr">
        <is>
          <t>K</t>
        </is>
      </c>
      <c r="O38" t="inlineStr">
        <is>
          <t>20230907, 20230914</t>
        </is>
      </c>
      <c r="P38" t="inlineStr">
        <is>
          <t>Jawa Barat</t>
        </is>
      </c>
      <c r="Q38" s="3">
        <f>HYPERLINK("https://wa.me/6285223199968?text=*[Pengingat Masa Berlaku SBU MAJU BERSAMA KONSTRUKSI]*%0A%0AYth. Pimpinan MAJU BERSAMA KONSTRUKSI,%0AMohon izin menginformasikan status SBU Anda:%0A%0A📄 SBU: BG001, BG002%0A📅 Expired: 13 September 2026 (30 Hari Lagi)%0A%0AKami tim PT. ESDEA Assistance Management siap men-support proses perpanjangan segera agar administrasi proyek tidak terhambat%0A%0AApakah boleh saya bantu siapkan estimasi biaya dan waktu pengerjaannya?.", "Hubungi")</f>
        <v/>
      </c>
    </row>
    <row r="39">
      <c r="A39" t="inlineStr">
        <is>
          <t>MARINEZ EL RAZAN</t>
        </is>
      </c>
      <c r="B39" t="inlineStr">
        <is>
          <t>Kota Bogor</t>
        </is>
      </c>
      <c r="C39" t="inlineStr">
        <is>
          <t>081927484380</t>
        </is>
      </c>
      <c r="D39" t="inlineStr">
        <is>
          <t>marinez.razan@gmail.com</t>
        </is>
      </c>
      <c r="E39" t="inlineStr">
        <is>
          <t>https://lpjk.pu.go.id/search-badan-usaha-detail/ejRlcW5OSUlrcUNpbEtiWEt1MmU2UT09</t>
        </is>
      </c>
      <c r="F39" t="n">
        <v>2</v>
      </c>
      <c r="G39" t="inlineStr">
        <is>
          <t>BG006, BS006</t>
        </is>
      </c>
      <c r="H39" t="inlineStr">
        <is>
          <t>22 Juni 2012</t>
        </is>
      </c>
      <c r="I39" s="2" t="n">
        <v>46282</v>
      </c>
      <c r="J39" t="inlineStr">
        <is>
          <t>Disetujui</t>
        </is>
      </c>
      <c r="K39" t="n">
        <v>30</v>
      </c>
      <c r="L39" t="inlineStr">
        <is>
          <t>17 September 2026</t>
        </is>
      </c>
      <c r="M39" t="inlineStr">
        <is>
          <t>Konstruksi Bangunan Sipil Prasarana dan Sarana Sistem Pengolahan Limbah Padat, Cair, dan Gas, Konstruksi Gedung Pendidikan</t>
        </is>
      </c>
      <c r="N39" t="inlineStr">
        <is>
          <t>K</t>
        </is>
      </c>
      <c r="O39" t="inlineStr">
        <is>
          <t>20230915</t>
        </is>
      </c>
      <c r="P39" t="inlineStr">
        <is>
          <t>Jawa Barat</t>
        </is>
      </c>
      <c r="Q39" s="3">
        <f>HYPERLINK("https://wa.me/6281927484380?text=*[Pengingat Masa Berlaku SBU MARINEZ EL RAZAN]*%0A%0AYth. Pimpinan MARINEZ EL RAZAN,%0AMohon izin menginformasikan status SBU Anda:%0A%0A📄 SBU: BG006, BS006%0A📅 Expired: 17 September 2026 (30 Hari Lagi)%0A%0AKami tim PT. ESDEA Assistance Management siap men-support proses perpanjangan segera agar administrasi proyek tidak terhambat%0A%0AApakah boleh saya bantu siapkan estimasi biaya dan waktu pengerjaannya?.", "Hubungi")</f>
        <v/>
      </c>
    </row>
    <row r="40">
      <c r="A40" t="inlineStr">
        <is>
          <t>MATARAM JAYA SEJATI</t>
        </is>
      </c>
      <c r="B40" t="inlineStr">
        <is>
          <t>Kota Adm. Jakarta Timur</t>
        </is>
      </c>
      <c r="C40" t="inlineStr">
        <is>
          <t>081284131323</t>
        </is>
      </c>
      <c r="D40" t="inlineStr">
        <is>
          <t>mataramjayasejati@gmail.com</t>
        </is>
      </c>
      <c r="E40" t="inlineStr">
        <is>
          <t>https://lpjk.pu.go.id/search-badan-usaha-detail/RFIrdUhSN0lSS0ZwQ3hvaHI1NTlRQT09</t>
        </is>
      </c>
      <c r="F40" t="n">
        <v>4</v>
      </c>
      <c r="G40" t="inlineStr">
        <is>
          <t>BG005, BG009</t>
        </is>
      </c>
      <c r="H40" t="inlineStr">
        <is>
          <t>6 Desember 2021</t>
        </is>
      </c>
      <c r="I40" s="2" t="n">
        <v>46282</v>
      </c>
      <c r="J40" t="inlineStr">
        <is>
          <t>Disetujui</t>
        </is>
      </c>
      <c r="K40" t="n">
        <v>30</v>
      </c>
      <c r="L40" t="inlineStr">
        <is>
          <t>17 September 2026</t>
        </is>
      </c>
      <c r="M40" t="inlineStr">
        <is>
          <t>Konstruksi Gedung Kesehatan, Konstruksi Gedung Lainnya</t>
        </is>
      </c>
      <c r="N40" t="inlineStr">
        <is>
          <t>K</t>
        </is>
      </c>
      <c r="O40" t="inlineStr">
        <is>
          <t>20230913, 20230914</t>
        </is>
      </c>
      <c r="P40" t="inlineStr">
        <is>
          <t>DKI Jakarta</t>
        </is>
      </c>
      <c r="Q40" s="3">
        <f>HYPERLINK("https://wa.me/6281284131323?text=*[Pengingat Masa Berlaku SBU MATARAM JAYA SEJATI]*%0A%0AYth. Pimpinan MATARAM JAYA SEJATI,%0AMohon izin menginformasikan status SBU Anda:%0A%0A📄 SBU: BG005, BG009%0A📅 Expired: 17 September 2026 (30 Hari Lagi)%0A%0AKami tim PT. ESDEA Assistance Management siap men-support proses perpanjangan segera agar administrasi proyek tidak terhambat%0A%0AApakah boleh saya bantu siapkan estimasi biaya dan waktu pengerjaannya?.", "Hubungi")</f>
        <v/>
      </c>
    </row>
    <row r="41">
      <c r="A41" t="inlineStr">
        <is>
          <t>MEGA SURYA STRUCTURE</t>
        </is>
      </c>
      <c r="B41" t="inlineStr">
        <is>
          <t>Kota Adm. Jakarta Timur</t>
        </is>
      </c>
      <c r="C41" t="inlineStr">
        <is>
          <t>0218408986</t>
        </is>
      </c>
      <c r="D41" t="inlineStr">
        <is>
          <t>megasuryajf23@gmail.com</t>
        </is>
      </c>
      <c r="E41" t="inlineStr">
        <is>
          <t>https://lpjk.pu.go.id/search-badan-usaha-detail/dmMvd05zQWs1Zk9iQWd2dDBaN05LZz09</t>
        </is>
      </c>
      <c r="F41" t="n">
        <v>1</v>
      </c>
      <c r="G41" t="inlineStr">
        <is>
          <t>BS004</t>
        </is>
      </c>
      <c r="H41" t="inlineStr">
        <is>
          <t>3 Maret 2009</t>
        </is>
      </c>
      <c r="I41" s="2" t="n">
        <v>46278</v>
      </c>
      <c r="J41" t="inlineStr">
        <is>
          <t>Disetujui</t>
        </is>
      </c>
      <c r="K41" t="n">
        <v>30</v>
      </c>
      <c r="L41" t="inlineStr">
        <is>
          <t>13 September 2026</t>
        </is>
      </c>
      <c r="M41" t="inlineStr">
        <is>
          <t>Konstruksi Jaringan Irigasi dan Drainase</t>
        </is>
      </c>
      <c r="N41" t="inlineStr">
        <is>
          <t>K</t>
        </is>
      </c>
      <c r="O41" t="inlineStr">
        <is>
          <t>20230828</t>
        </is>
      </c>
      <c r="P41" t="inlineStr">
        <is>
          <t>DKI Jakarta</t>
        </is>
      </c>
      <c r="Q41" t="inlineStr"/>
    </row>
    <row r="42">
      <c r="A42" t="inlineStr">
        <is>
          <t>MEGAH GELORA UTAMA</t>
        </is>
      </c>
      <c r="B42" t="inlineStr">
        <is>
          <t>Kota Bekasi</t>
        </is>
      </c>
      <c r="C42" t="inlineStr">
        <is>
          <t>081310066673</t>
        </is>
      </c>
      <c r="D42" t="inlineStr">
        <is>
          <t>megah.gelora.utama@gmail.com</t>
        </is>
      </c>
      <c r="E42" t="inlineStr">
        <is>
          <t>https://lpjk.pu.go.id/search-badan-usaha-detail/VzhSWWl4QjFkN1pMci9WTGdzcUVJZz09</t>
        </is>
      </c>
      <c r="F42" t="n">
        <v>6</v>
      </c>
      <c r="G42" t="inlineStr">
        <is>
          <t>BG002, BG006, BG009</t>
        </is>
      </c>
      <c r="H42" t="inlineStr">
        <is>
          <t>22 September 2014</t>
        </is>
      </c>
      <c r="I42" s="2" t="n">
        <v>46278</v>
      </c>
      <c r="J42" t="inlineStr">
        <is>
          <t>Disetujui, Pencabutan</t>
        </is>
      </c>
      <c r="K42" t="n">
        <v>30</v>
      </c>
      <c r="L42" t="inlineStr">
        <is>
          <t>13 September 2026</t>
        </is>
      </c>
      <c r="M42" t="inlineStr">
        <is>
          <t>Konstruksi Gedung Lainnya, Konstruksi Gedung Pendidikan, Konstruksi Gedung Perkantoran</t>
        </is>
      </c>
      <c r="N42" t="inlineStr">
        <is>
          <t>K</t>
        </is>
      </c>
      <c r="O42" t="inlineStr">
        <is>
          <t>20230913, 20230916, 20230917</t>
        </is>
      </c>
      <c r="P42" t="inlineStr">
        <is>
          <t>Jawa Barat</t>
        </is>
      </c>
      <c r="Q42" s="3">
        <f>HYPERLINK("https://wa.me/6281310066673?text=*[Pengingat Masa Berlaku SBU MEGAH GELORA UTAMA]*%0A%0AYth. Pimpinan MEGAH GELORA UTAMA,%0AMohon izin menginformasikan status SBU Anda:%0A%0A📄 SBU: BG002, BG006, BG009%0A📅 Expired: 13 September 2026 (30 Hari Lagi)%0A%0AKami tim PT. ESDEA Assistance Management siap men-support proses perpanjangan segera agar administrasi proyek tidak terhambat%0A%0AApakah boleh saya bantu siapkan estimasi biaya dan waktu pengerjaannya?.", "Hubungi")</f>
        <v/>
      </c>
    </row>
    <row r="43">
      <c r="A43" t="inlineStr">
        <is>
          <t>MENARA ABHIPRAYA MANDIRI</t>
        </is>
      </c>
      <c r="B43" t="inlineStr">
        <is>
          <t>Kota Adm. Jakarta Timur</t>
        </is>
      </c>
      <c r="C43" t="inlineStr">
        <is>
          <t>29835163</t>
        </is>
      </c>
      <c r="D43" t="inlineStr">
        <is>
          <t>menara.abhipraya@yahoo.com</t>
        </is>
      </c>
      <c r="E43" t="inlineStr">
        <is>
          <t>https://lpjk.pu.go.id/search-badan-usaha-detail/QWo4c1BhWkozaEZhWmFidi9kMTdBdz09</t>
        </is>
      </c>
      <c r="F43" t="n">
        <v>1</v>
      </c>
      <c r="G43" t="inlineStr">
        <is>
          <t>KK012</t>
        </is>
      </c>
      <c r="H43" t="inlineStr">
        <is>
          <t>21 April 2017</t>
        </is>
      </c>
      <c r="I43" s="2" t="n">
        <v>46278</v>
      </c>
      <c r="J43" t="inlineStr">
        <is>
          <t>Disetujui</t>
        </is>
      </c>
      <c r="K43" t="n">
        <v>30</v>
      </c>
      <c r="L43" t="inlineStr">
        <is>
          <t>13 September 2026</t>
        </is>
      </c>
      <c r="M43" t="inlineStr">
        <is>
          <t>Pekerjaan Struktur Beton</t>
        </is>
      </c>
      <c r="N43" t="inlineStr">
        <is>
          <t>Spesialis</t>
        </is>
      </c>
      <c r="O43" t="inlineStr">
        <is>
          <t>20230914</t>
        </is>
      </c>
      <c r="P43" t="inlineStr">
        <is>
          <t>DKI Jakarta</t>
        </is>
      </c>
      <c r="Q43" t="inlineStr"/>
    </row>
    <row r="44">
      <c r="A44" t="inlineStr">
        <is>
          <t>MITRA UTAMA TEKNIK PRISMA</t>
        </is>
      </c>
      <c r="B44" t="inlineStr">
        <is>
          <t>Kab. Bekasi</t>
        </is>
      </c>
      <c r="C44" t="inlineStr">
        <is>
          <t>02189136456</t>
        </is>
      </c>
      <c r="D44" t="inlineStr">
        <is>
          <t>teknikprisma.pt@gmail.com</t>
        </is>
      </c>
      <c r="E44" t="inlineStr">
        <is>
          <t>https://lpjk.pu.go.id/search-badan-usaha-detail/Y1FQbkVKQzBYMnpPYkpSNi9PcEVuUT09</t>
        </is>
      </c>
      <c r="F44" t="n">
        <v>1</v>
      </c>
      <c r="G44" t="inlineStr">
        <is>
          <t>BS005</t>
        </is>
      </c>
      <c r="H44" t="inlineStr">
        <is>
          <t>18 April 2006</t>
        </is>
      </c>
      <c r="I44" s="2" t="n">
        <v>46280</v>
      </c>
      <c r="J44" t="inlineStr">
        <is>
          <t>Disetujui</t>
        </is>
      </c>
      <c r="K44" t="n">
        <v>30</v>
      </c>
      <c r="L44" t="inlineStr">
        <is>
          <t>15 September 2026</t>
        </is>
      </c>
      <c r="M44" t="inlineStr">
        <is>
          <t>Konstruksi Bangunan Sipil Pengolahan Air Bersih</t>
        </is>
      </c>
      <c r="N44" t="inlineStr">
        <is>
          <t>M</t>
        </is>
      </c>
      <c r="O44" t="inlineStr">
        <is>
          <t>20230911</t>
        </is>
      </c>
      <c r="P44" t="inlineStr">
        <is>
          <t>Jawa Barat</t>
        </is>
      </c>
      <c r="Q44" t="inlineStr"/>
    </row>
    <row r="45">
      <c r="A45" t="inlineStr">
        <is>
          <t>MITRABANGUN SELARAS UTAMA</t>
        </is>
      </c>
      <c r="B45" t="inlineStr">
        <is>
          <t>Kota Bekasi</t>
        </is>
      </c>
      <c r="C45" t="inlineStr">
        <is>
          <t>08159424878</t>
        </is>
      </c>
      <c r="D45" t="inlineStr">
        <is>
          <t>mitrabangun_selaras@yahoo.com</t>
        </is>
      </c>
      <c r="E45" t="inlineStr">
        <is>
          <t>https://lpjk.pu.go.id/search-badan-usaha-detail/TnBDSlZwcU1KUGQ1K2cvT1BmMUJ4dz09</t>
        </is>
      </c>
      <c r="F45" t="n">
        <v>2</v>
      </c>
      <c r="G45" t="inlineStr">
        <is>
          <t>BG001</t>
        </is>
      </c>
      <c r="H45" t="inlineStr">
        <is>
          <t>3 April 2003</t>
        </is>
      </c>
      <c r="I45" s="2" t="n">
        <v>46279</v>
      </c>
      <c r="J45" t="inlineStr">
        <is>
          <t>Disetujui</t>
        </is>
      </c>
      <c r="K45" t="n">
        <v>30</v>
      </c>
      <c r="L45" t="inlineStr">
        <is>
          <t>14 September 2026</t>
        </is>
      </c>
      <c r="M45" t="inlineStr">
        <is>
          <t>Konstruksi Gedung Hunian</t>
        </is>
      </c>
      <c r="N45" t="inlineStr">
        <is>
          <t>K</t>
        </is>
      </c>
      <c r="O45" t="inlineStr">
        <is>
          <t>20230914</t>
        </is>
      </c>
      <c r="P45" t="inlineStr">
        <is>
          <t>Jawa Barat</t>
        </is>
      </c>
      <c r="Q45" s="3">
        <f>HYPERLINK("https://wa.me/628159424878?text=*[Pengingat Masa Berlaku SBU MITRABANGUN SELARAS UTAMA]*%0A%0AYth. Pimpinan MITRABANGUN SELARAS UTAMA,%0AMohon izin menginformasikan status SBU Anda:%0A%0A📄 SBU: BG001%0A📅 Expired: 14 September 2026 (30 Hari Lagi)%0A%0AKami tim PT. ESDEA Assistance Management siap men-support proses perpanjangan segera agar administrasi proyek tidak terhambat%0A%0AApakah boleh saya bantu siapkan estimasi biaya dan waktu pengerjaannya?.", "Hubungi")</f>
        <v/>
      </c>
    </row>
    <row r="46">
      <c r="A46" t="inlineStr">
        <is>
          <t>MORA JAYA</t>
        </is>
      </c>
      <c r="B46" t="inlineStr">
        <is>
          <t>Kota Adm. Jakarta Timur</t>
        </is>
      </c>
      <c r="C46" t="inlineStr">
        <is>
          <t>02129840526</t>
        </is>
      </c>
      <c r="D46" t="inlineStr">
        <is>
          <t>morajaya456@gmail.com</t>
        </is>
      </c>
      <c r="E46" t="inlineStr">
        <is>
          <t>https://lpjk.pu.go.id/search-badan-usaha-detail/WWlqeEVoS0VrWEYvOXBUcGRJdXY4Zz09</t>
        </is>
      </c>
      <c r="F46" t="n">
        <v>1</v>
      </c>
      <c r="G46" t="inlineStr">
        <is>
          <t>BS004</t>
        </is>
      </c>
      <c r="H46" t="inlineStr">
        <is>
          <t>22 Maret 2018</t>
        </is>
      </c>
      <c r="I46" s="2" t="n">
        <v>46282</v>
      </c>
      <c r="J46" t="inlineStr">
        <is>
          <t>Pencabutan</t>
        </is>
      </c>
      <c r="K46" t="n">
        <v>30</v>
      </c>
      <c r="L46" t="inlineStr">
        <is>
          <t>17 September 2026</t>
        </is>
      </c>
      <c r="M46" t="inlineStr">
        <is>
          <t>Konstruksi Jaringan Irigasi dan Drainase</t>
        </is>
      </c>
      <c r="N46" t="inlineStr">
        <is>
          <t>K</t>
        </is>
      </c>
      <c r="O46" t="inlineStr">
        <is>
          <t>20230915</t>
        </is>
      </c>
      <c r="P46" t="inlineStr">
        <is>
          <t>DKI Jakarta</t>
        </is>
      </c>
      <c r="Q46" t="inlineStr"/>
    </row>
    <row r="47">
      <c r="A47" t="inlineStr">
        <is>
          <t>NUR JAYA</t>
        </is>
      </c>
      <c r="B47" t="inlineStr">
        <is>
          <t>Kota Depok</t>
        </is>
      </c>
      <c r="C47" t="inlineStr">
        <is>
          <t>085289527802</t>
        </is>
      </c>
      <c r="D47" t="inlineStr">
        <is>
          <t>cv.nurjaya1985@gmail.com</t>
        </is>
      </c>
      <c r="E47" t="inlineStr">
        <is>
          <t>https://lpjk.pu.go.id/search-badan-usaha-detail/VlBvRWRMWExLZ21DMFhlRUc1aFJBQT09</t>
        </is>
      </c>
      <c r="F47" t="n">
        <v>1</v>
      </c>
      <c r="G47" t="inlineStr">
        <is>
          <t>BG002</t>
        </is>
      </c>
      <c r="H47" t="inlineStr">
        <is>
          <t>14 Mei 1985</t>
        </is>
      </c>
      <c r="I47" s="2" t="n">
        <v>46283</v>
      </c>
      <c r="J47" t="inlineStr">
        <is>
          <t>Disetujui</t>
        </is>
      </c>
      <c r="K47" t="n">
        <v>30</v>
      </c>
      <c r="L47" t="inlineStr">
        <is>
          <t>18 September 2026</t>
        </is>
      </c>
      <c r="M47" t="inlineStr">
        <is>
          <t>Konstruksi Gedung Perkantoran</t>
        </is>
      </c>
      <c r="N47" t="inlineStr">
        <is>
          <t>K</t>
        </is>
      </c>
      <c r="O47" t="inlineStr">
        <is>
          <t>20230912</t>
        </is>
      </c>
      <c r="P47" t="inlineStr">
        <is>
          <t>Jawa Barat</t>
        </is>
      </c>
      <c r="Q47" s="3">
        <f>HYPERLINK("https://wa.me/6285289527802?text=*[Pengingat Masa Berlaku SBU NUR JAYA]*%0A%0AYth. Pimpinan NUR JAYA,%0AMohon izin menginformasikan status SBU Anda:%0A%0A📄 SBU: BG002%0A📅 Expired: 18 September 2026 (30 Hari Lagi)%0A%0AKami tim PT. ESDEA Assistance Management siap men-support proses perpanjangan segera agar administrasi proyek tidak terhambat%0A%0AApakah boleh saya bantu siapkan estimasi biaya dan waktu pengerjaannya?.", "Hubungi")</f>
        <v/>
      </c>
    </row>
    <row r="48">
      <c r="A48" t="inlineStr">
        <is>
          <t>PANCANAKA INDONESIA</t>
        </is>
      </c>
      <c r="B48" t="inlineStr">
        <is>
          <t>Kota Adm. Jakarta Timur</t>
        </is>
      </c>
      <c r="C48" t="inlineStr">
        <is>
          <t>08125430125</t>
        </is>
      </c>
      <c r="D48" t="inlineStr">
        <is>
          <t>pancanakaindonesia@gmail.com</t>
        </is>
      </c>
      <c r="E48" t="inlineStr">
        <is>
          <t>https://lpjk.pu.go.id/search-badan-usaha-detail/MkdpTjFHd0xmRkovWDFxRWs2c2NoZz09</t>
        </is>
      </c>
      <c r="F48" t="n">
        <v>2</v>
      </c>
      <c r="G48" t="inlineStr">
        <is>
          <t>BG001</t>
        </is>
      </c>
      <c r="H48" t="inlineStr">
        <is>
          <t>11 November 2011</t>
        </is>
      </c>
      <c r="I48" s="2" t="n">
        <v>46282</v>
      </c>
      <c r="J48" t="inlineStr">
        <is>
          <t>Pencabutan</t>
        </is>
      </c>
      <c r="K48" t="n">
        <v>30</v>
      </c>
      <c r="L48" t="inlineStr">
        <is>
          <t>17 September 2026</t>
        </is>
      </c>
      <c r="M48" t="inlineStr">
        <is>
          <t>Konstruksi Gedung Hunian</t>
        </is>
      </c>
      <c r="N48" t="inlineStr">
        <is>
          <t>K</t>
        </is>
      </c>
      <c r="O48" t="inlineStr">
        <is>
          <t>20230901</t>
        </is>
      </c>
      <c r="P48" t="inlineStr">
        <is>
          <t>DKI Jakarta</t>
        </is>
      </c>
      <c r="Q48" s="3">
        <f>HYPERLINK("https://wa.me/628125430125?text=*[Pengingat Masa Berlaku SBU PANCANAKA INDONESIA]*%0A%0AYth. Pimpinan PANCANAKA INDONESIA,%0AMohon izin menginformasikan status SBU Anda:%0A%0A📄 SBU: BG001%0A📅 Expired: 17 September 2026 (30 Hari Lagi)%0A%0AKami tim PT. ESDEA Assistance Management siap men-support proses perpanjangan segera agar administrasi proyek tidak terhambat%0A%0AApakah boleh saya bantu siapkan estimasi biaya dan waktu pengerjaannya?.", "Hubungi")</f>
        <v/>
      </c>
    </row>
    <row r="49">
      <c r="A49" t="inlineStr">
        <is>
          <t>PRIMA USAHA ROSA EFRAIMINDO</t>
        </is>
      </c>
      <c r="B49" t="inlineStr">
        <is>
          <t>Kab. Bogor</t>
        </is>
      </c>
      <c r="C49" t="inlineStr">
        <is>
          <t>08111808107</t>
        </is>
      </c>
      <c r="D49" t="inlineStr">
        <is>
          <t>prima.usaha.rosa.efraimindo@gmail.com</t>
        </is>
      </c>
      <c r="E49" t="inlineStr">
        <is>
          <t>https://lpjk.pu.go.id/search-badan-usaha-detail/QVdEanFLd2JTY2RtaDJjR0xKYlVtZz09</t>
        </is>
      </c>
      <c r="F49" t="n">
        <v>4</v>
      </c>
      <c r="G49" t="inlineStr">
        <is>
          <t>BG001, BG003, BG004, BG009</t>
        </is>
      </c>
      <c r="H49" t="inlineStr">
        <is>
          <t>5 Juni 2020</t>
        </is>
      </c>
      <c r="I49" s="2" t="n">
        <v>46278</v>
      </c>
      <c r="J49" t="inlineStr">
        <is>
          <t>Disetujui</t>
        </is>
      </c>
      <c r="K49" t="n">
        <v>30</v>
      </c>
      <c r="L49" t="inlineStr">
        <is>
          <t>13 September 2026</t>
        </is>
      </c>
      <c r="M49" t="inlineStr">
        <is>
          <t>Konstruksi Gedung Hunian, Konstruksi Gedung Industri, Konstruksi Gedung Lainnya, Konstruksi Gedung Perbelanjaan</t>
        </is>
      </c>
      <c r="N49" t="inlineStr">
        <is>
          <t>K</t>
        </is>
      </c>
      <c r="O49" t="inlineStr">
        <is>
          <t>20230825</t>
        </is>
      </c>
      <c r="P49" t="inlineStr">
        <is>
          <t>Jawa Barat</t>
        </is>
      </c>
      <c r="Q49" s="3">
        <f>HYPERLINK("https://wa.me/628111808107?text=*[Pengingat Masa Berlaku SBU PRIMA USAHA ROSA EFRAIMINDO]*%0A%0AYth. Pimpinan PRIMA USAHA ROSA EFRAIMINDO,%0AMohon izin menginformasikan status SBU Anda:%0A%0A📄 SBU: BG001, BG003, BG004, BG009%0A📅 Expired: 13 September 2026 (30 Hari Lagi)%0A%0AKami tim PT. ESDEA Assistance Management siap men-support proses perpanjangan segera agar administrasi proyek tidak terhambat%0A%0AApakah boleh saya bantu siapkan estimasi biaya dan waktu pengerjaannya?.", "Hubungi")</f>
        <v/>
      </c>
    </row>
    <row r="50">
      <c r="A50" t="inlineStr">
        <is>
          <t>PURAKA BANGUN SELARAS</t>
        </is>
      </c>
      <c r="B50" t="inlineStr">
        <is>
          <t>Kota Depok</t>
        </is>
      </c>
      <c r="C50" t="inlineStr">
        <is>
          <t>08179840730</t>
        </is>
      </c>
      <c r="D50" t="inlineStr">
        <is>
          <t>pbs@purakabangun.co.id</t>
        </is>
      </c>
      <c r="E50" t="inlineStr">
        <is>
          <t>https://lpjk.pu.go.id/search-badan-usaha-detail/OUlVYVEzYllBWVhHall5bjRRb3pyUT09</t>
        </is>
      </c>
      <c r="F50" t="n">
        <v>4</v>
      </c>
      <c r="G50" t="inlineStr">
        <is>
          <t>BG001, BG002, BG003, BG009</t>
        </is>
      </c>
      <c r="H50" t="inlineStr">
        <is>
          <t>31 Agustus 2015</t>
        </is>
      </c>
      <c r="I50" s="2" t="n">
        <v>46279</v>
      </c>
      <c r="J50" t="inlineStr">
        <is>
          <t>Disetujui</t>
        </is>
      </c>
      <c r="K50" t="n">
        <v>30</v>
      </c>
      <c r="L50" t="inlineStr">
        <is>
          <t>14 September 2026</t>
        </is>
      </c>
      <c r="M50" t="inlineStr">
        <is>
          <t>Konstruksi Gedung Hunian, Konstruksi Gedung Industri, Konstruksi Gedung Lainnya, Konstruksi Gedung Perkantoran</t>
        </is>
      </c>
      <c r="N50" t="inlineStr">
        <is>
          <t>M</t>
        </is>
      </c>
      <c r="O50" t="inlineStr">
        <is>
          <t>20230317, 20230914</t>
        </is>
      </c>
      <c r="P50" t="inlineStr">
        <is>
          <t>Jawa Barat</t>
        </is>
      </c>
      <c r="Q50" s="3">
        <f>HYPERLINK("https://wa.me/628179840730?text=*[Pengingat Masa Berlaku SBU PURAKA BANGUN SELARAS]*%0A%0AYth. Pimpinan PURAKA BANGUN SELARAS,%0AMohon izin menginformasikan status SBU Anda:%0A%0A📄 SBU: BG001, BG002, BG003, BG009%0A📅 Expired: 14 September 2026 (30 Hari Lagi)%0A%0AKami tim PT. ESDEA Assistance Management siap men-support proses perpanjangan segera agar administrasi proyek tidak terhambat%0A%0AApakah boleh saya bantu siapkan estimasi biaya dan waktu pengerjaannya?.", "Hubungi")</f>
        <v/>
      </c>
    </row>
    <row r="51">
      <c r="A51" t="inlineStr">
        <is>
          <t>PUTRA BAGUS KUNING</t>
        </is>
      </c>
      <c r="B51" t="inlineStr">
        <is>
          <t>Kota Depok</t>
        </is>
      </c>
      <c r="C51" t="inlineStr">
        <is>
          <t>02184592009</t>
        </is>
      </c>
      <c r="D51" t="inlineStr">
        <is>
          <t>info@putra-bk.com</t>
        </is>
      </c>
      <c r="E51" t="inlineStr">
        <is>
          <t>https://lpjk.pu.go.id/search-badan-usaha-detail/a2pjUkRlV3NNTlNoVWVEamg3bHJEQT09</t>
        </is>
      </c>
      <c r="F51" t="n">
        <v>2</v>
      </c>
      <c r="G51" t="inlineStr">
        <is>
          <t>BG001, BG002</t>
        </is>
      </c>
      <c r="H51" t="inlineStr">
        <is>
          <t>20 Mei 2016</t>
        </is>
      </c>
      <c r="I51" s="2" t="n">
        <v>46282</v>
      </c>
      <c r="J51" t="inlineStr">
        <is>
          <t>Disetujui</t>
        </is>
      </c>
      <c r="K51" t="n">
        <v>30</v>
      </c>
      <c r="L51" t="inlineStr">
        <is>
          <t>17 September 2026</t>
        </is>
      </c>
      <c r="M51" t="inlineStr">
        <is>
          <t>Konstruksi Gedung Hunian, Konstruksi Gedung Perkantoran</t>
        </is>
      </c>
      <c r="N51" t="inlineStr">
        <is>
          <t>K</t>
        </is>
      </c>
      <c r="O51" t="inlineStr">
        <is>
          <t>20230912</t>
        </is>
      </c>
      <c r="P51" t="inlineStr">
        <is>
          <t>Jawa Barat</t>
        </is>
      </c>
      <c r="Q51" t="inlineStr"/>
    </row>
    <row r="52">
      <c r="A52" t="inlineStr">
        <is>
          <t>PUTRA MANDIRI PRODUKSI</t>
        </is>
      </c>
      <c r="B52" t="inlineStr">
        <is>
          <t>Kab. Bogor</t>
        </is>
      </c>
      <c r="C52" t="inlineStr">
        <is>
          <t>022518413483</t>
        </is>
      </c>
      <c r="D52" t="inlineStr">
        <is>
          <t>info.putramandiriproduksi@gmail.com</t>
        </is>
      </c>
      <c r="E52" t="inlineStr">
        <is>
          <t>https://lpjk.pu.go.id/search-badan-usaha-detail/Wm05OXdYVEh2dDdMWE1xaWVVNGIrZz09</t>
        </is>
      </c>
      <c r="F52" t="n">
        <v>3</v>
      </c>
      <c r="G52" t="inlineStr">
        <is>
          <t>BG004, BG009, PB004</t>
        </is>
      </c>
      <c r="H52" t="inlineStr">
        <is>
          <t>5 Oktober 2022</t>
        </is>
      </c>
      <c r="I52" s="2" t="n">
        <v>46283</v>
      </c>
      <c r="J52" t="inlineStr">
        <is>
          <t>Disetujui, Pencabutan</t>
        </is>
      </c>
      <c r="K52" t="n">
        <v>30</v>
      </c>
      <c r="L52" t="inlineStr">
        <is>
          <t>18 September 2026</t>
        </is>
      </c>
      <c r="M52" t="inlineStr">
        <is>
          <t>Dekorasi Interior, Konstruksi Gedung Lainnya, Konstruksi Gedung Perbelanjaan</t>
        </is>
      </c>
      <c r="N52" t="inlineStr">
        <is>
          <t>K, Spesialis</t>
        </is>
      </c>
      <c r="O52" t="inlineStr">
        <is>
          <t>20230913, 20230914</t>
        </is>
      </c>
      <c r="P52" t="inlineStr">
        <is>
          <t>Jawa Barat</t>
        </is>
      </c>
      <c r="Q52" s="3">
        <f>HYPERLINK("https://wa.me/6222518413483?text=*[Pengingat Masa Berlaku SBU PUTRA MANDIRI PRODUKSI]*%0A%0AYth. Pimpinan PUTRA MANDIRI PRODUKSI,%0AMohon izin menginformasikan status SBU Anda:%0A%0A📄 SBU: BG004, BG009, PB004%0A📅 Expired: 18 September 2026 (30 Hari Lagi)%0A%0AKami tim PT. ESDEA Assistance Management siap men-support proses perpanjangan segera agar administrasi proyek tidak terhambat%0A%0AApakah boleh saya bantu siapkan estimasi biaya dan waktu pengerjaannya?.", "Hubungi")</f>
        <v/>
      </c>
    </row>
    <row r="53">
      <c r="A53" t="inlineStr">
        <is>
          <t>RAMA KASIH SEMPURNA</t>
        </is>
      </c>
      <c r="B53" t="inlineStr">
        <is>
          <t>Kota Adm. Jakarta Timur</t>
        </is>
      </c>
      <c r="C53" t="inlineStr">
        <is>
          <t>081310005624</t>
        </is>
      </c>
      <c r="D53" t="inlineStr">
        <is>
          <t>ramakasih_sempurna@yahoo.com</t>
        </is>
      </c>
      <c r="E53" t="inlineStr">
        <is>
          <t>https://lpjk.pu.go.id/search-badan-usaha-detail/KzNDUmlJWVFwMDVDWkZMWnR1MjNtdz09</t>
        </is>
      </c>
      <c r="F53" t="n">
        <v>1</v>
      </c>
      <c r="G53" t="inlineStr">
        <is>
          <t>BS016</t>
        </is>
      </c>
      <c r="H53" t="inlineStr">
        <is>
          <t>21 Januari 2014</t>
        </is>
      </c>
      <c r="I53" s="2" t="n">
        <v>46280</v>
      </c>
      <c r="J53" t="inlineStr">
        <is>
          <t>Pencabutan</t>
        </is>
      </c>
      <c r="K53" t="n">
        <v>30</v>
      </c>
      <c r="L53" t="inlineStr">
        <is>
          <t>15 September 2026</t>
        </is>
      </c>
      <c r="M53" t="inlineStr">
        <is>
          <t>Konstruksi Bangunan Sipil Fasilitas Olah Raga</t>
        </is>
      </c>
      <c r="N53" t="inlineStr">
        <is>
          <t>K</t>
        </is>
      </c>
      <c r="O53" t="inlineStr">
        <is>
          <t>20230725</t>
        </is>
      </c>
      <c r="P53" t="inlineStr">
        <is>
          <t>DKI Jakarta</t>
        </is>
      </c>
      <c r="Q53" s="3">
        <f>HYPERLINK("https://wa.me/6281310005624?text=*[Pengingat Masa Berlaku SBU RAMA KASIH SEMPURNA]*%0A%0AYth. Pimpinan RAMA KASIH SEMPURNA,%0AMohon izin menginformasikan status SBU Anda:%0A%0A📄 SBU: BS016%0A📅 Expired: 15 September 2026 (30 Hari Lagi)%0A%0AKami tim PT. ESDEA Assistance Management siap men-support proses perpanjangan segera agar administrasi proyek tidak terhambat%0A%0AApakah boleh saya bantu siapkan estimasi biaya dan waktu pengerjaannya?.", "Hubungi")</f>
        <v/>
      </c>
    </row>
    <row r="54">
      <c r="A54" t="inlineStr">
        <is>
          <t>RAYULITA JAYA</t>
        </is>
      </c>
      <c r="B54" t="inlineStr">
        <is>
          <t>Kota Adm. Jakarta Timur</t>
        </is>
      </c>
      <c r="C54" t="inlineStr">
        <is>
          <t>081219073150</t>
        </is>
      </c>
      <c r="D54" t="inlineStr">
        <is>
          <t>rayulitaj@gmail.com</t>
        </is>
      </c>
      <c r="E54" t="inlineStr">
        <is>
          <t>https://lpjk.pu.go.id/search-badan-usaha-detail/N2QyUjRMMFI5dEk1Mjc3K2tnSVpWQT09</t>
        </is>
      </c>
      <c r="F54" t="n">
        <v>5</v>
      </c>
      <c r="G54" t="inlineStr">
        <is>
          <t>BG001, BG002, BG005, BG006, BG009</t>
        </is>
      </c>
      <c r="H54" t="inlineStr">
        <is>
          <t>17 Desember 2008</t>
        </is>
      </c>
      <c r="I54" s="2" t="n">
        <v>46277</v>
      </c>
      <c r="J54" t="inlineStr">
        <is>
          <t>Disetujui</t>
        </is>
      </c>
      <c r="K54" t="n">
        <v>30</v>
      </c>
      <c r="L54" t="inlineStr">
        <is>
          <t>12 September 2026</t>
        </is>
      </c>
      <c r="M54" t="inlineStr">
        <is>
          <t>Konstruksi Gedung Hunian, Konstruksi Gedung Kesehatan, Konstruksi Gedung Lainnya, Konstruksi Gedung Pendidikan, Konstruksi Gedung Perkantoran</t>
        </is>
      </c>
      <c r="N54" t="inlineStr">
        <is>
          <t>K</t>
        </is>
      </c>
      <c r="O54" t="inlineStr">
        <is>
          <t>20230911</t>
        </is>
      </c>
      <c r="P54" t="inlineStr">
        <is>
          <t>DKI Jakarta</t>
        </is>
      </c>
      <c r="Q54" s="3">
        <f>HYPERLINK("https://wa.me/6281219073150?text=*[Pengingat Masa Berlaku SBU RAYULITA JAYA]*%0A%0AYth. Pimpinan RAYULITA JAYA,%0AMohon izin menginformasikan status SBU Anda:%0A%0A📄 SBU: BG001, BG002, BG005, BG006, BG009%0A📅 Expired: 12 September 2026 (30 Hari Lagi)%0A%0AKami tim PT. ESDEA Assistance Management siap men-support proses perpanjangan segera agar administrasi proyek tidak terhambat%0A%0AApakah boleh saya bantu siapkan estimasi biaya dan waktu pengerjaannya?.", "Hubungi")</f>
        <v/>
      </c>
    </row>
    <row r="55">
      <c r="A55" t="inlineStr">
        <is>
          <t>RETINDO JAYA</t>
        </is>
      </c>
      <c r="B55" t="inlineStr">
        <is>
          <t>Kota Bekasi</t>
        </is>
      </c>
      <c r="C55" t="inlineStr">
        <is>
          <t>02184301092</t>
        </is>
      </c>
      <c r="D55" t="inlineStr">
        <is>
          <t>info_retindo@yahoo.com</t>
        </is>
      </c>
      <c r="E55" t="inlineStr">
        <is>
          <t>https://lpjk.pu.go.id/search-badan-usaha-detail/S0xaZEtxVVhQeCtRamszb1k4em1Ydz09</t>
        </is>
      </c>
      <c r="F55" t="n">
        <v>4</v>
      </c>
      <c r="G55" t="inlineStr">
        <is>
          <t>BG003, BG004, BG005, BG007</t>
        </is>
      </c>
      <c r="H55" t="inlineStr">
        <is>
          <t>12 Juli 2001</t>
        </is>
      </c>
      <c r="I55" s="2" t="n">
        <v>46282</v>
      </c>
      <c r="J55" t="inlineStr">
        <is>
          <t>Disetujui</t>
        </is>
      </c>
      <c r="K55" t="n">
        <v>30</v>
      </c>
      <c r="L55" t="inlineStr">
        <is>
          <t>17 September 2026</t>
        </is>
      </c>
      <c r="M55" t="inlineStr">
        <is>
          <t>Konstruksi Gedung Industri, Konstruksi Gedung Kesehatan, Konstruksi Gedung Penginapan, Konstruksi Gedung Perbelanjaan</t>
        </is>
      </c>
      <c r="N55" t="inlineStr">
        <is>
          <t>M</t>
        </is>
      </c>
      <c r="O55" t="inlineStr">
        <is>
          <t>20230906</t>
        </is>
      </c>
      <c r="P55" t="inlineStr">
        <is>
          <t>Jawa Barat</t>
        </is>
      </c>
      <c r="Q55" t="inlineStr"/>
    </row>
    <row r="56">
      <c r="A56" t="inlineStr">
        <is>
          <t>TAMANSARI TIGA ENAM PULUH</t>
        </is>
      </c>
      <c r="B56" t="inlineStr">
        <is>
          <t>Kab. Bogor</t>
        </is>
      </c>
      <c r="C56" t="inlineStr">
        <is>
          <t>081284889277</t>
        </is>
      </c>
      <c r="D56" t="inlineStr">
        <is>
          <t>tamansari360@gmail.com</t>
        </is>
      </c>
      <c r="E56" t="inlineStr">
        <is>
          <t>https://lpjk.pu.go.id/search-badan-usaha-detail/VGhScjdFWUhkam1kR0psdUNpSzV4dz09</t>
        </is>
      </c>
      <c r="F56" t="n">
        <v>3</v>
      </c>
      <c r="G56" t="inlineStr">
        <is>
          <t>BS005</t>
        </is>
      </c>
      <c r="H56" t="inlineStr">
        <is>
          <t>27 Januari 2017</t>
        </is>
      </c>
      <c r="I56" s="2" t="n">
        <v>46282</v>
      </c>
      <c r="J56" t="inlineStr">
        <is>
          <t>Disetujui</t>
        </is>
      </c>
      <c r="K56" t="n">
        <v>30</v>
      </c>
      <c r="L56" t="inlineStr">
        <is>
          <t>17 September 2026</t>
        </is>
      </c>
      <c r="M56" t="inlineStr">
        <is>
          <t>Konstruksi Bangunan Sipil Pengolahan Air Bersih</t>
        </is>
      </c>
      <c r="N56" t="inlineStr">
        <is>
          <t>K</t>
        </is>
      </c>
      <c r="O56" t="inlineStr">
        <is>
          <t>20230918</t>
        </is>
      </c>
      <c r="P56" t="inlineStr">
        <is>
          <t>Jawa Barat</t>
        </is>
      </c>
      <c r="Q56" s="3">
        <f>HYPERLINK("https://wa.me/6281284889277?text=*[Pengingat Masa Berlaku SBU TAMANSARI TIGA ENAM PULUH]*%0A%0AYth. Pimpinan TAMANSARI TIGA ENAM PULUH,%0AMohon izin menginformasikan status SBU Anda:%0A%0A📄 SBU: BS005%0A📅 Expired: 17 September 2026 (30 Hari Lagi)%0A%0AKami tim PT. ESDEA Assistance Management siap men-support proses perpanjangan segera agar administrasi proyek tidak terhambat%0A%0AApakah boleh saya bantu siapkan estimasi biaya dan waktu pengerjaannya?.", "Hubungi")</f>
        <v/>
      </c>
    </row>
    <row r="57">
      <c r="A57" t="inlineStr">
        <is>
          <t>TEGAR</t>
        </is>
      </c>
      <c r="B57" t="inlineStr">
        <is>
          <t>Kab. Bogor</t>
        </is>
      </c>
      <c r="C57" t="inlineStr">
        <is>
          <t>081317070273</t>
        </is>
      </c>
      <c r="D57" t="inlineStr">
        <is>
          <t>cvtegar.21@gmail.com</t>
        </is>
      </c>
      <c r="E57" t="inlineStr">
        <is>
          <t>https://lpjk.pu.go.id/search-badan-usaha-detail/YWVzZXFFWklkclZ5d2paU2RTUUFGZz09</t>
        </is>
      </c>
      <c r="F57" t="n">
        <v>1</v>
      </c>
      <c r="G57" t="inlineStr">
        <is>
          <t>BS005</t>
        </is>
      </c>
      <c r="H57" t="inlineStr">
        <is>
          <t>30 Maret 2012</t>
        </is>
      </c>
      <c r="I57" s="2" t="n">
        <v>46279</v>
      </c>
      <c r="J57" t="inlineStr">
        <is>
          <t>Disetujui</t>
        </is>
      </c>
      <c r="K57" t="n">
        <v>30</v>
      </c>
      <c r="L57" t="inlineStr">
        <is>
          <t>14 September 2026</t>
        </is>
      </c>
      <c r="M57" t="inlineStr">
        <is>
          <t>Konstruksi Bangunan Sipil Pengolahan Air Bersih</t>
        </is>
      </c>
      <c r="N57" t="inlineStr">
        <is>
          <t>K</t>
        </is>
      </c>
      <c r="O57" t="inlineStr">
        <is>
          <t>20230912</t>
        </is>
      </c>
      <c r="P57" t="inlineStr">
        <is>
          <t>Jawa Barat</t>
        </is>
      </c>
      <c r="Q57" s="3">
        <f>HYPERLINK("https://wa.me/6281317070273?text=*[Pengingat Masa Berlaku SBU TEGAR]*%0A%0AYth. Pimpinan TEGAR,%0AMohon izin menginformasikan status SBU Anda:%0A%0A📄 SBU: BS005%0A📅 Expired: 14 September 2026 (30 Hari Lagi)%0A%0AKami tim PT. ESDEA Assistance Management siap men-support proses perpanjangan segera agar administrasi proyek tidak terhambat%0A%0AApakah boleh saya bantu siapkan estimasi biaya dan waktu pengerjaannya?.", "Hubungi")</f>
        <v/>
      </c>
    </row>
    <row r="58">
      <c r="A58" t="inlineStr">
        <is>
          <t>TIRTA KREASI UTAMA</t>
        </is>
      </c>
      <c r="B58" t="inlineStr">
        <is>
          <t>Kota Depok</t>
        </is>
      </c>
      <c r="C58" t="inlineStr">
        <is>
          <t>081310570333</t>
        </is>
      </c>
      <c r="D58" t="inlineStr">
        <is>
          <t>direktur.pttku@hotmail.com</t>
        </is>
      </c>
      <c r="E58" t="inlineStr">
        <is>
          <t>https://lpjk.pu.go.id/search-badan-usaha-detail/dWNrR3Y2ZXRYNFpXcTNoanhPbWZCZz09</t>
        </is>
      </c>
      <c r="F58" t="n">
        <v>1</v>
      </c>
      <c r="G58" t="inlineStr">
        <is>
          <t>BG009</t>
        </is>
      </c>
      <c r="H58" t="inlineStr">
        <is>
          <t>1 Januari 2018</t>
        </is>
      </c>
      <c r="I58" s="2" t="n">
        <v>46278</v>
      </c>
      <c r="J58" t="inlineStr">
        <is>
          <t>Pencabutan</t>
        </is>
      </c>
      <c r="K58" t="n">
        <v>30</v>
      </c>
      <c r="L58" t="inlineStr">
        <is>
          <t>13 September 2026</t>
        </is>
      </c>
      <c r="M58" t="inlineStr">
        <is>
          <t>Konstruksi Gedung Lainnya</t>
        </is>
      </c>
      <c r="N58" t="inlineStr">
        <is>
          <t>K</t>
        </is>
      </c>
      <c r="O58" t="inlineStr">
        <is>
          <t>20230910</t>
        </is>
      </c>
      <c r="P58" t="inlineStr">
        <is>
          <t>Jawa Barat</t>
        </is>
      </c>
      <c r="Q58" s="3">
        <f>HYPERLINK("https://wa.me/6281310570333?text=*[Pengingat Masa Berlaku SBU TIRTA KREASI UTAMA]*%0A%0AYth. Pimpinan TIRTA KREASI UTAMA,%0AMohon izin menginformasikan status SBU Anda:%0A%0A📄 SBU: BG009%0A📅 Expired: 13 September 2026 (30 Hari Lagi)%0A%0AKami tim PT. ESDEA Assistance Management siap men-support proses perpanjangan segera agar administrasi proyek tidak terhambat%0A%0AApakah boleh saya bantu siapkan estimasi biaya dan waktu pengerjaannya?.", "Hubungi")</f>
        <v/>
      </c>
    </row>
    <row r="59">
      <c r="A59" t="inlineStr">
        <is>
          <t>TORANG MULTI INDO</t>
        </is>
      </c>
      <c r="B59" t="inlineStr">
        <is>
          <t>Kota Adm. Jakarta Timur</t>
        </is>
      </c>
      <c r="C59" t="inlineStr">
        <is>
          <t>0218609842</t>
        </is>
      </c>
      <c r="D59" t="inlineStr">
        <is>
          <t>torangmultiindo@gmail.com</t>
        </is>
      </c>
      <c r="E59" t="inlineStr">
        <is>
          <t>https://lpjk.pu.go.id/search-badan-usaha-detail/L1Vtdk9zSytBQTUwVHZGWUVLdmx3Zz09</t>
        </is>
      </c>
      <c r="F59" t="n">
        <v>2</v>
      </c>
      <c r="G59" t="inlineStr">
        <is>
          <t>BG001, BS002</t>
        </is>
      </c>
      <c r="H59" t="inlineStr">
        <is>
          <t>13 November 2018</t>
        </is>
      </c>
      <c r="I59" s="2" t="n">
        <v>46278</v>
      </c>
      <c r="J59" t="inlineStr">
        <is>
          <t>Disetujui</t>
        </is>
      </c>
      <c r="K59" t="n">
        <v>30</v>
      </c>
      <c r="L59" t="inlineStr">
        <is>
          <t>13 September 2026</t>
        </is>
      </c>
      <c r="M59" t="inlineStr">
        <is>
          <t>Bangunan Sipil Jembatan, Jalan Layang, Fly Over, dan Underpass, Konstruksi Gedung Hunian</t>
        </is>
      </c>
      <c r="N59" t="inlineStr">
        <is>
          <t>M</t>
        </is>
      </c>
      <c r="O59" t="inlineStr">
        <is>
          <t>20230905, 20230910</t>
        </is>
      </c>
      <c r="P59" t="inlineStr">
        <is>
          <t>DKI Jakarta</t>
        </is>
      </c>
      <c r="Q59" t="inlineStr"/>
    </row>
    <row r="60">
      <c r="A60" t="inlineStr">
        <is>
          <t>TRIGUNA SOLUSI CONTROL</t>
        </is>
      </c>
      <c r="B60" t="inlineStr">
        <is>
          <t>Kota Bekasi</t>
        </is>
      </c>
      <c r="C60" t="inlineStr">
        <is>
          <t>081266152967</t>
        </is>
      </c>
      <c r="D60" t="inlineStr">
        <is>
          <t>andrizal_chandra@trigunaeng-tc.com</t>
        </is>
      </c>
      <c r="E60" t="inlineStr">
        <is>
          <t>https://lpjk.pu.go.id/search-badan-usaha-detail/RDB1WWtPK3FwZGE3SnNwbGNmNHY0Zz09</t>
        </is>
      </c>
      <c r="F60" t="n">
        <v>1</v>
      </c>
      <c r="G60" t="inlineStr">
        <is>
          <t>IN001</t>
        </is>
      </c>
      <c r="H60" t="inlineStr">
        <is>
          <t>29 Juni 2009</t>
        </is>
      </c>
      <c r="I60" s="2" t="n">
        <v>46278</v>
      </c>
      <c r="J60" t="inlineStr">
        <is>
          <t>Disetujui</t>
        </is>
      </c>
      <c r="K60" t="n">
        <v>30</v>
      </c>
      <c r="L60" t="inlineStr">
        <is>
          <t>13 September 2026</t>
        </is>
      </c>
      <c r="M60" t="inlineStr">
        <is>
          <t>Instalasi Mekanikal</t>
        </is>
      </c>
      <c r="N60" t="inlineStr">
        <is>
          <t>Spesialis</t>
        </is>
      </c>
      <c r="O60" t="inlineStr">
        <is>
          <t>20230829</t>
        </is>
      </c>
      <c r="P60" t="inlineStr">
        <is>
          <t>Jawa Barat</t>
        </is>
      </c>
      <c r="Q60" s="3">
        <f>HYPERLINK("https://wa.me/6281266152967?text=*[Pengingat Masa Berlaku SBU TRIGUNA SOLUSI CONTROL]*%0A%0AYth. Pimpinan TRIGUNA SOLUSI CONTROL,%0AMohon izin menginformasikan status SBU Anda:%0A%0A📄 SBU: IN001%0A📅 Expired: 13 September 2026 (30 Hari Lagi)%0A%0AKami tim PT. ESDEA Assistance Management siap men-support proses perpanjangan segera agar administrasi proyek tidak terhambat%0A%0AApakah boleh saya bantu siapkan estimasi biaya dan waktu pengerjaannya?.", "Hubungi")</f>
        <v/>
      </c>
    </row>
    <row r="61">
      <c r="A61" t="inlineStr">
        <is>
          <t>TRIKARYA CIPTA SEJAHTERA</t>
        </is>
      </c>
      <c r="B61" t="inlineStr">
        <is>
          <t>Kab. Bekasi</t>
        </is>
      </c>
      <c r="C61" t="inlineStr">
        <is>
          <t>02129091421</t>
        </is>
      </c>
      <c r="D61" t="inlineStr">
        <is>
          <t>trikarya_cipta@yahoo.com</t>
        </is>
      </c>
      <c r="E61" t="inlineStr">
        <is>
          <t>https://lpjk.pu.go.id/search-badan-usaha-detail/NmZiVmFqeU4rYzNVTndBUVhSN2NlQT09</t>
        </is>
      </c>
      <c r="F61" t="n">
        <v>1</v>
      </c>
      <c r="G61" t="inlineStr">
        <is>
          <t>BG003</t>
        </is>
      </c>
      <c r="H61" t="inlineStr">
        <is>
          <t>21 Oktober 2009</t>
        </is>
      </c>
      <c r="I61" s="2" t="n">
        <v>46283</v>
      </c>
      <c r="J61" t="inlineStr">
        <is>
          <t>Disetujui</t>
        </is>
      </c>
      <c r="K61" t="n">
        <v>30</v>
      </c>
      <c r="L61" t="inlineStr">
        <is>
          <t>18 September 2026</t>
        </is>
      </c>
      <c r="M61" t="inlineStr">
        <is>
          <t>Konstruksi Gedung Industri</t>
        </is>
      </c>
      <c r="N61" t="inlineStr">
        <is>
          <t>K</t>
        </is>
      </c>
      <c r="O61" t="inlineStr">
        <is>
          <t>20230918</t>
        </is>
      </c>
      <c r="P61" t="inlineStr">
        <is>
          <t>Jawa Barat</t>
        </is>
      </c>
      <c r="Q61" t="inlineStr"/>
    </row>
    <row r="62">
      <c r="A62" t="inlineStr">
        <is>
          <t>UNIPLAN TEKNIK MANDIRI</t>
        </is>
      </c>
      <c r="B62" t="inlineStr">
        <is>
          <t>Kota Depok</t>
        </is>
      </c>
      <c r="C62" t="inlineStr">
        <is>
          <t>081219753038</t>
        </is>
      </c>
      <c r="D62" t="inlineStr">
        <is>
          <t>uniplanteknik.mandiri@gmail.com</t>
        </is>
      </c>
      <c r="E62" t="inlineStr">
        <is>
          <t>https://lpjk.pu.go.id/search-badan-usaha-detail/eUZIYWFuYjZNYlZDOFFEb0pzaFJjdz09</t>
        </is>
      </c>
      <c r="F62" t="n">
        <v>1</v>
      </c>
      <c r="G62" t="inlineStr">
        <is>
          <t>BS001</t>
        </is>
      </c>
      <c r="H62" t="inlineStr">
        <is>
          <t>27 Maret 2023</t>
        </is>
      </c>
      <c r="I62" s="2" t="n">
        <v>46279</v>
      </c>
      <c r="J62" t="inlineStr">
        <is>
          <t>Pencabutan</t>
        </is>
      </c>
      <c r="K62" t="n">
        <v>30</v>
      </c>
      <c r="L62" t="inlineStr">
        <is>
          <t>14 September 2026</t>
        </is>
      </c>
      <c r="M62" t="inlineStr">
        <is>
          <t>Konstruksi Bangunan Sipil Jalan</t>
        </is>
      </c>
      <c r="N62" t="inlineStr">
        <is>
          <t>K</t>
        </is>
      </c>
      <c r="O62" t="inlineStr">
        <is>
          <t>20230911</t>
        </is>
      </c>
      <c r="P62" t="inlineStr">
        <is>
          <t>Jawa Barat</t>
        </is>
      </c>
      <c r="Q62" s="3">
        <f>HYPERLINK("https://wa.me/6281219753038?text=*[Pengingat Masa Berlaku SBU UNIPLAN TEKNIK MANDIRI]*%0A%0AYth. Pimpinan UNIPLAN TEKNIK MANDIRI,%0AMohon izin menginformasikan status SBU Anda:%0A%0A📄 SBU: BS001%0A📅 Expired: 14 September 2026 (30 Hari Lagi)%0A%0AKami tim PT. ESDEA Assistance Management siap men-support proses perpanjangan segera agar administrasi proyek tidak terhambat%0A%0AApakah boleh saya bantu siapkan estimasi biaya dan waktu pengerjaannya?.", "Hubungi")</f>
        <v/>
      </c>
    </row>
    <row r="63">
      <c r="A63" t="inlineStr">
        <is>
          <t>VAGHANDON JAYA TEKNIK</t>
        </is>
      </c>
      <c r="B63" t="inlineStr">
        <is>
          <t>Kab. Bekasi</t>
        </is>
      </c>
      <c r="C63" t="inlineStr">
        <is>
          <t>081297008999</t>
        </is>
      </c>
      <c r="D63" t="inlineStr">
        <is>
          <t>vaghandonjayateknik@gmail.com</t>
        </is>
      </c>
      <c r="E63" t="inlineStr">
        <is>
          <t>https://lpjk.pu.go.id/search-badan-usaha-detail/ZUp6NnU0WXBFaDBXNUlIZkszSTVTUT09</t>
        </is>
      </c>
      <c r="F63" t="n">
        <v>1</v>
      </c>
      <c r="G63" t="inlineStr">
        <is>
          <t>BG009</t>
        </is>
      </c>
      <c r="H63" t="inlineStr">
        <is>
          <t>2 Februari 2022</t>
        </is>
      </c>
      <c r="I63" s="2" t="n">
        <v>46279</v>
      </c>
      <c r="J63" t="inlineStr">
        <is>
          <t>Disetujui</t>
        </is>
      </c>
      <c r="K63" t="n">
        <v>30</v>
      </c>
      <c r="L63" t="inlineStr">
        <is>
          <t>14 September 2026</t>
        </is>
      </c>
      <c r="M63" t="inlineStr">
        <is>
          <t>Konstruksi Gedung Lainnya</t>
        </is>
      </c>
      <c r="N63" t="inlineStr">
        <is>
          <t>K</t>
        </is>
      </c>
      <c r="O63" t="inlineStr">
        <is>
          <t>20230912</t>
        </is>
      </c>
      <c r="P63" t="inlineStr">
        <is>
          <t>Jawa Barat</t>
        </is>
      </c>
      <c r="Q63" s="3">
        <f>HYPERLINK("https://wa.me/6281297008999?text=*[Pengingat Masa Berlaku SBU VAGHANDON JAYA TEKNIK]*%0A%0AYth. Pimpinan VAGHANDON JAYA TEKNIK,%0AMohon izin menginformasikan status SBU Anda:%0A%0A📄 SBU: BG009%0A📅 Expired: 14 September 2026 (30 Hari Lagi)%0A%0AKami tim PT. ESDEA Assistance Management siap men-support proses perpanjangan segera agar administrasi proyek tidak terhambat%0A%0AApakah boleh saya bantu siapkan estimasi biaya dan waktu pengerjaannya?.", "Hubungi")</f>
        <v/>
      </c>
    </row>
    <row r="64">
      <c r="A64" t="inlineStr">
        <is>
          <t>YUWANA MARGA</t>
        </is>
      </c>
      <c r="B64" t="inlineStr">
        <is>
          <t>Kota Bekasi</t>
        </is>
      </c>
      <c r="C64" t="inlineStr">
        <is>
          <t>02182623779</t>
        </is>
      </c>
      <c r="D64" t="inlineStr">
        <is>
          <t>cv.yuwana_marga@yahoo.com</t>
        </is>
      </c>
      <c r="E64" t="inlineStr">
        <is>
          <t>https://lpjk.pu.go.id/search-badan-usaha-detail/SEpHRUhtUGJNLzhVY1RLWXk3T1JKUT09</t>
        </is>
      </c>
      <c r="F64" t="n">
        <v>1</v>
      </c>
      <c r="G64" t="inlineStr">
        <is>
          <t>PB010</t>
        </is>
      </c>
      <c r="H64" t="inlineStr">
        <is>
          <t>26 Januari 2012</t>
        </is>
      </c>
      <c r="I64" s="2" t="n">
        <v>46281</v>
      </c>
      <c r="J64" t="inlineStr">
        <is>
          <t>Pencabutan</t>
        </is>
      </c>
      <c r="K64" t="n">
        <v>30</v>
      </c>
      <c r="L64" t="inlineStr">
        <is>
          <t>16 September 2026</t>
        </is>
      </c>
      <c r="M64" t="inlineStr">
        <is>
          <t>Pekerjaan Lanskap, Pertamanan, dan Penanaman Vegetasi</t>
        </is>
      </c>
      <c r="N64" t="inlineStr">
        <is>
          <t>Spesialis</t>
        </is>
      </c>
      <c r="O64" t="inlineStr">
        <is>
          <t>20230914</t>
        </is>
      </c>
      <c r="P64" t="inlineStr">
        <is>
          <t>Jawa Barat</t>
        </is>
      </c>
      <c r="Q64" t="inlineStr"/>
    </row>
    <row r="65">
      <c r="A65" t="inlineStr">
        <is>
          <t>ABDI KARYA</t>
        </is>
      </c>
      <c r="B65" t="inlineStr">
        <is>
          <t>Kab. Gresik</t>
        </is>
      </c>
      <c r="C65" t="inlineStr">
        <is>
          <t>082232676199</t>
        </is>
      </c>
      <c r="D65" t="inlineStr">
        <is>
          <t>abdikaryagres@gmail.com</t>
        </is>
      </c>
      <c r="E65" t="inlineStr">
        <is>
          <t>https://lpjk.pu.go.id/search-badan-usaha-detail/YllZdGpiN1l6VVZvOVpab0pINHRXUT09</t>
        </is>
      </c>
      <c r="F65" t="n">
        <v>4</v>
      </c>
      <c r="G65" t="inlineStr">
        <is>
          <t>BS001</t>
        </is>
      </c>
      <c r="H65" t="inlineStr">
        <is>
          <t>14 Agustus 2023</t>
        </is>
      </c>
      <c r="I65" s="2" t="n">
        <v>46283</v>
      </c>
      <c r="J65" t="inlineStr">
        <is>
          <t>Disetujui</t>
        </is>
      </c>
      <c r="K65" t="n">
        <v>30</v>
      </c>
      <c r="L65" t="inlineStr">
        <is>
          <t>18 September 2026</t>
        </is>
      </c>
      <c r="M65" t="inlineStr">
        <is>
          <t>Konstruksi Bangunan Sipil Jalan</t>
        </is>
      </c>
      <c r="N65" t="inlineStr">
        <is>
          <t>K</t>
        </is>
      </c>
      <c r="O65" t="inlineStr">
        <is>
          <t>20230913</t>
        </is>
      </c>
      <c r="P65" t="inlineStr">
        <is>
          <t>Jawa Timur</t>
        </is>
      </c>
      <c r="Q65" t="inlineStr"/>
    </row>
    <row r="66">
      <c r="A66" t="inlineStr">
        <is>
          <t>ABDIKA PERKASA</t>
        </is>
      </c>
      <c r="B66" t="inlineStr">
        <is>
          <t>Kab. Konawe Utara</t>
        </is>
      </c>
      <c r="C66" t="inlineStr">
        <is>
          <t>085397977710</t>
        </is>
      </c>
      <c r="D66" t="inlineStr">
        <is>
          <t>cv.abdikaperkasa@gmail.com</t>
        </is>
      </c>
      <c r="E66" t="inlineStr">
        <is>
          <t>https://lpjk.pu.go.id/search-badan-usaha-detail/Q1hYRWk0Z1BRVE15NU1BNU14RkQ0dz09</t>
        </is>
      </c>
      <c r="F66" t="n">
        <v>1</v>
      </c>
      <c r="G66" t="inlineStr">
        <is>
          <t>BG009</t>
        </is>
      </c>
      <c r="H66" t="inlineStr">
        <is>
          <t>13 Juli 2023</t>
        </is>
      </c>
      <c r="I66" s="2" t="n">
        <v>46283</v>
      </c>
      <c r="J66" t="inlineStr">
        <is>
          <t>Disetujui</t>
        </is>
      </c>
      <c r="K66" t="n">
        <v>30</v>
      </c>
      <c r="L66" t="inlineStr">
        <is>
          <t>18 September 2026</t>
        </is>
      </c>
      <c r="M66" t="inlineStr">
        <is>
          <t>Konstruksi Gedung Lainnya</t>
        </is>
      </c>
      <c r="N66" t="inlineStr">
        <is>
          <t>K</t>
        </is>
      </c>
      <c r="O66" t="inlineStr">
        <is>
          <t>20230914</t>
        </is>
      </c>
      <c r="P66" t="inlineStr">
        <is>
          <t>Sulawesi Tenggara</t>
        </is>
      </c>
      <c r="Q66" t="inlineStr"/>
    </row>
    <row r="67">
      <c r="A67" t="inlineStr">
        <is>
          <t>ABHIPRAYA KONSTRUKSI NUSANTARA</t>
        </is>
      </c>
      <c r="B67" t="inlineStr">
        <is>
          <t>Kab. Malang</t>
        </is>
      </c>
      <c r="C67" t="inlineStr">
        <is>
          <t>08118419874</t>
        </is>
      </c>
      <c r="D67" t="inlineStr">
        <is>
          <t>aknusantara23@gmail.com</t>
        </is>
      </c>
      <c r="E67" t="inlineStr">
        <is>
          <t>https://lpjk.pu.go.id/search-badan-usaha-detail/MnNGWlZSWXh6bnNMRDBvR1RoUEtQQT09</t>
        </is>
      </c>
      <c r="F67" t="n">
        <v>2</v>
      </c>
      <c r="G67" t="inlineStr">
        <is>
          <t>BS016</t>
        </is>
      </c>
      <c r="H67" t="inlineStr">
        <is>
          <t>13 Mei 2023</t>
        </is>
      </c>
      <c r="I67" s="2" t="n">
        <v>46280</v>
      </c>
      <c r="J67" t="inlineStr">
        <is>
          <t>Pencabutan</t>
        </is>
      </c>
      <c r="K67" t="n">
        <v>30</v>
      </c>
      <c r="L67" t="inlineStr">
        <is>
          <t>15 September 2026</t>
        </is>
      </c>
      <c r="M67" t="inlineStr">
        <is>
          <t>Konstruksi Bangunan Sipil Fasilitas Olah Raga</t>
        </is>
      </c>
      <c r="N67" t="inlineStr">
        <is>
          <t>K</t>
        </is>
      </c>
      <c r="O67" t="inlineStr">
        <is>
          <t>20230915</t>
        </is>
      </c>
      <c r="P67" t="inlineStr">
        <is>
          <t>Jawa Timur</t>
        </is>
      </c>
      <c r="Q67" t="inlineStr"/>
    </row>
    <row r="68">
      <c r="A68" t="inlineStr">
        <is>
          <t>ADE MARENTA</t>
        </is>
      </c>
      <c r="B68" t="inlineStr">
        <is>
          <t>Kota Palu</t>
        </is>
      </c>
      <c r="C68" t="inlineStr">
        <is>
          <t>081245308941</t>
        </is>
      </c>
      <c r="D68" t="inlineStr">
        <is>
          <t>ramamonggo223@gmail.com</t>
        </is>
      </c>
      <c r="E68" t="inlineStr">
        <is>
          <t>https://lpjk.pu.go.id/search-badan-usaha-detail/TzFDdzZpN3lpNlQxbmZhM1JNaWdIQT09</t>
        </is>
      </c>
      <c r="F68" t="n">
        <v>2</v>
      </c>
      <c r="G68" t="inlineStr">
        <is>
          <t>BG009, BS001</t>
        </is>
      </c>
      <c r="H68" t="inlineStr">
        <is>
          <t>16 Januari 2019</t>
        </is>
      </c>
      <c r="I68" s="2" t="n">
        <v>46281</v>
      </c>
      <c r="J68" t="inlineStr">
        <is>
          <t>Disetujui</t>
        </is>
      </c>
      <c r="K68" t="n">
        <v>30</v>
      </c>
      <c r="L68" t="inlineStr">
        <is>
          <t>16 September 2026</t>
        </is>
      </c>
      <c r="M68" t="inlineStr">
        <is>
          <t>Konstruksi Bangunan Sipil Jalan, Konstruksi Gedung Lainnya</t>
        </is>
      </c>
      <c r="N68" t="inlineStr">
        <is>
          <t>K</t>
        </is>
      </c>
      <c r="O68" t="inlineStr">
        <is>
          <t>20230912, 20230913</t>
        </is>
      </c>
      <c r="P68" t="inlineStr">
        <is>
          <t>Sulawesi Tengah</t>
        </is>
      </c>
      <c r="Q68" t="inlineStr"/>
    </row>
    <row r="69">
      <c r="A69" t="inlineStr">
        <is>
          <t>ADHI BANGUN SARANA</t>
        </is>
      </c>
      <c r="B69" t="inlineStr">
        <is>
          <t>Kota Malang</t>
        </is>
      </c>
      <c r="C69" t="inlineStr">
        <is>
          <t>081232207979</t>
        </is>
      </c>
      <c r="D69" t="inlineStr">
        <is>
          <t>adhibangunsarana@gmail.com</t>
        </is>
      </c>
      <c r="E69" t="inlineStr">
        <is>
          <t>https://lpjk.pu.go.id/search-badan-usaha-detail/eG1HM1NSalQrQUxXcW5zYzcwQWVJQT09</t>
        </is>
      </c>
      <c r="F69" t="n">
        <v>1</v>
      </c>
      <c r="G69" t="inlineStr">
        <is>
          <t>BG005</t>
        </is>
      </c>
      <c r="H69" t="inlineStr">
        <is>
          <t>23 Agustus 2023</t>
        </is>
      </c>
      <c r="I69" s="2" t="n">
        <v>46282</v>
      </c>
      <c r="J69" t="inlineStr">
        <is>
          <t>Disetujui</t>
        </is>
      </c>
      <c r="K69" t="n">
        <v>30</v>
      </c>
      <c r="L69" t="inlineStr">
        <is>
          <t>17 September 2026</t>
        </is>
      </c>
      <c r="M69" t="inlineStr">
        <is>
          <t>Konstruksi Gedung Kesehatan</t>
        </is>
      </c>
      <c r="N69" t="inlineStr">
        <is>
          <t>K</t>
        </is>
      </c>
      <c r="O69" t="inlineStr">
        <is>
          <t>20230907</t>
        </is>
      </c>
      <c r="P69" t="inlineStr">
        <is>
          <t>Jawa Timur</t>
        </is>
      </c>
      <c r="Q69" t="inlineStr"/>
    </row>
    <row r="70">
      <c r="A70" t="inlineStr">
        <is>
          <t>ADHI PRATAMA SEJAHTERA</t>
        </is>
      </c>
      <c r="B70" t="inlineStr">
        <is>
          <t>Kab. Semarang</t>
        </is>
      </c>
      <c r="C70" t="inlineStr">
        <is>
          <t>081325923761</t>
        </is>
      </c>
      <c r="D70" t="inlineStr">
        <is>
          <t>adhipratamasejahtera@gmail.com</t>
        </is>
      </c>
      <c r="E70" t="inlineStr">
        <is>
          <t>https://lpjk.pu.go.id/search-badan-usaha-detail/QnFiSXNHMXNhQkh5ZkZkR1lQNy9xUT09</t>
        </is>
      </c>
      <c r="F70" t="n">
        <v>1</v>
      </c>
      <c r="G70" t="inlineStr">
        <is>
          <t>BG009</t>
        </is>
      </c>
      <c r="H70" t="inlineStr">
        <is>
          <t>28 Juni 2001</t>
        </is>
      </c>
      <c r="I70" s="2" t="n">
        <v>46277</v>
      </c>
      <c r="J70" t="inlineStr">
        <is>
          <t>Pencabutan</t>
        </is>
      </c>
      <c r="K70" t="n">
        <v>30</v>
      </c>
      <c r="L70" t="inlineStr">
        <is>
          <t>12 September 2026</t>
        </is>
      </c>
      <c r="M70" t="inlineStr">
        <is>
          <t>Konstruksi Gedung Lainnya</t>
        </is>
      </c>
      <c r="N70" t="inlineStr">
        <is>
          <t>K</t>
        </is>
      </c>
      <c r="O70" t="inlineStr">
        <is>
          <t>20230912</t>
        </is>
      </c>
      <c r="P70" t="inlineStr">
        <is>
          <t>Jawa Tengah</t>
        </is>
      </c>
      <c r="Q70" t="inlineStr"/>
    </row>
    <row r="71">
      <c r="A71" t="inlineStr">
        <is>
          <t>ADHI RAJASA KARYA</t>
        </is>
      </c>
      <c r="B71" t="inlineStr">
        <is>
          <t>Kab. Muna</t>
        </is>
      </c>
      <c r="C71" t="inlineStr">
        <is>
          <t>082196750775</t>
        </is>
      </c>
      <c r="D71" t="inlineStr">
        <is>
          <t>adhirajasakarya02@gmail.com</t>
        </is>
      </c>
      <c r="E71" t="inlineStr">
        <is>
          <t>https://lpjk.pu.go.id/search-badan-usaha-detail/Z0dDQ2p4bGc5c25yWXdOMW5USm5yQT09</t>
        </is>
      </c>
      <c r="F71" t="n">
        <v>1</v>
      </c>
      <c r="G71" t="inlineStr">
        <is>
          <t>BS005</t>
        </is>
      </c>
      <c r="H71" t="inlineStr">
        <is>
          <t>15 Februari 2023</t>
        </is>
      </c>
      <c r="I71" s="2" t="n">
        <v>46282</v>
      </c>
      <c r="J71" t="inlineStr">
        <is>
          <t>Disetujui</t>
        </is>
      </c>
      <c r="K71" t="n">
        <v>30</v>
      </c>
      <c r="L71" t="inlineStr">
        <is>
          <t>17 September 2026</t>
        </is>
      </c>
      <c r="M71" t="inlineStr">
        <is>
          <t>Konstruksi Bangunan Sipil Pengolahan Air Bersih</t>
        </is>
      </c>
      <c r="N71" t="inlineStr">
        <is>
          <t>K</t>
        </is>
      </c>
      <c r="O71" t="inlineStr">
        <is>
          <t>20230915</t>
        </is>
      </c>
      <c r="P71" t="inlineStr">
        <is>
          <t>Sulawesi Tenggara</t>
        </is>
      </c>
      <c r="Q71" t="inlineStr"/>
    </row>
    <row r="72">
      <c r="A72" t="inlineStr">
        <is>
          <t>ADHIKARYA MULTI KREASI</t>
        </is>
      </c>
      <c r="B72" t="inlineStr">
        <is>
          <t>Kab. Banjar</t>
        </is>
      </c>
      <c r="C72" t="inlineStr">
        <is>
          <t>085349489677</t>
        </is>
      </c>
      <c r="D72" t="inlineStr">
        <is>
          <t>yurisamaulita@yahoo.co.id</t>
        </is>
      </c>
      <c r="E72" t="inlineStr">
        <is>
          <t>https://lpjk.pu.go.id/search-badan-usaha-detail/MFZ1aGUzdk5UdmI3cEU3OGlJNEYvZz09</t>
        </is>
      </c>
      <c r="F72" t="n">
        <v>3</v>
      </c>
      <c r="G72" t="inlineStr">
        <is>
          <t>RK002</t>
        </is>
      </c>
      <c r="H72" t="inlineStr">
        <is>
          <t>11 Januari 2019</t>
        </is>
      </c>
      <c r="I72" s="2" t="n">
        <v>46279</v>
      </c>
      <c r="J72" t="inlineStr">
        <is>
          <t>Disetujui</t>
        </is>
      </c>
      <c r="K72" t="n">
        <v>30</v>
      </c>
      <c r="L72" t="inlineStr">
        <is>
          <t>14 September 2026</t>
        </is>
      </c>
      <c r="M72" t="inlineStr">
        <is>
          <t>Jasa Rekayasa Pekerjaan Teknik Sipil Sumber Daya Air</t>
        </is>
      </c>
      <c r="N72" t="inlineStr">
        <is>
          <t>K</t>
        </is>
      </c>
      <c r="O72" t="inlineStr">
        <is>
          <t>20230907</t>
        </is>
      </c>
      <c r="P72" t="inlineStr">
        <is>
          <t>Kalimantan Selatan</t>
        </is>
      </c>
      <c r="Q72" t="inlineStr"/>
    </row>
    <row r="73">
      <c r="A73" t="inlineStr">
        <is>
          <t>ADHY TAMA MANDIRI</t>
        </is>
      </c>
      <c r="B73" t="inlineStr">
        <is>
          <t>Kota Sorong</t>
        </is>
      </c>
      <c r="C73" t="inlineStr">
        <is>
          <t>085234494382</t>
        </is>
      </c>
      <c r="D73" t="inlineStr">
        <is>
          <t>pt.adhytamamandiri@gmail.com</t>
        </is>
      </c>
      <c r="E73" t="inlineStr">
        <is>
          <t>https://lpjk.pu.go.id/search-badan-usaha-detail/WTVNRnB3a3E4OWd4dlF2NWRqUUl4UT09</t>
        </is>
      </c>
      <c r="F73" t="n">
        <v>1</v>
      </c>
      <c r="G73" t="inlineStr">
        <is>
          <t>PB005</t>
        </is>
      </c>
      <c r="H73" t="inlineStr">
        <is>
          <t>9 Juni 2015</t>
        </is>
      </c>
      <c r="I73" s="2" t="n">
        <v>46283</v>
      </c>
      <c r="J73" t="inlineStr">
        <is>
          <t>Pencabutan</t>
        </is>
      </c>
      <c r="K73" t="n">
        <v>30</v>
      </c>
      <c r="L73" t="inlineStr">
        <is>
          <t>18 September 2026</t>
        </is>
      </c>
      <c r="M73" t="inlineStr">
        <is>
          <t>Pemasangan Ornamen dan Pekerjaan Seni</t>
        </is>
      </c>
      <c r="N73" t="inlineStr">
        <is>
          <t>Spesialis</t>
        </is>
      </c>
      <c r="O73" t="inlineStr">
        <is>
          <t>20230918</t>
        </is>
      </c>
      <c r="P73" t="inlineStr">
        <is>
          <t>Papua Barat</t>
        </is>
      </c>
      <c r="Q73" t="inlineStr"/>
    </row>
    <row r="74">
      <c r="A74" t="inlineStr">
        <is>
          <t>ADI CIPTA</t>
        </is>
      </c>
      <c r="B74" t="inlineStr">
        <is>
          <t>Kota Mataram</t>
        </is>
      </c>
      <c r="C74" t="inlineStr">
        <is>
          <t>08123782303</t>
        </is>
      </c>
      <c r="D74" t="inlineStr">
        <is>
          <t>cv_adi_cipta@yahoo.co.id</t>
        </is>
      </c>
      <c r="E74" t="inlineStr">
        <is>
          <t>https://lpjk.pu.go.id/search-badan-usaha-detail/dExxVVBQYnU5UlphM1VXVzdiQlF1dz09</t>
        </is>
      </c>
      <c r="F74" t="n">
        <v>2</v>
      </c>
      <c r="G74" t="inlineStr">
        <is>
          <t>AR001, AR002</t>
        </is>
      </c>
      <c r="H74" t="inlineStr">
        <is>
          <t>27 September 1993</t>
        </is>
      </c>
      <c r="I74" s="2" t="n">
        <v>46278</v>
      </c>
      <c r="J74" t="inlineStr">
        <is>
          <t>Disetujui</t>
        </is>
      </c>
      <c r="K74" t="n">
        <v>30</v>
      </c>
      <c r="L74" t="inlineStr">
        <is>
          <t>13 September 2026</t>
        </is>
      </c>
      <c r="M74" t="inlineStr">
        <is>
          <t>Jasa Arsitektural Bangunan Gedung Hunian dan Non Hunian, Jasa Arsitektural Lainnya</t>
        </is>
      </c>
      <c r="N74" t="inlineStr">
        <is>
          <t>K</t>
        </is>
      </c>
      <c r="O74" t="inlineStr">
        <is>
          <t>20230907</t>
        </is>
      </c>
      <c r="P74" t="inlineStr">
        <is>
          <t>Nusa Tenggara Barat</t>
        </is>
      </c>
      <c r="Q74" t="inlineStr"/>
    </row>
    <row r="75">
      <c r="A75" t="inlineStr">
        <is>
          <t>ADILOKA KHATULISTIWA</t>
        </is>
      </c>
      <c r="B75" t="inlineStr">
        <is>
          <t>Kab. Indramayu</t>
        </is>
      </c>
      <c r="C75" t="inlineStr">
        <is>
          <t>+6282115808950</t>
        </is>
      </c>
      <c r="D75" t="inlineStr">
        <is>
          <t>adiloka.cv@gmail.com</t>
        </is>
      </c>
      <c r="E75" t="inlineStr">
        <is>
          <t>https://lpjk.pu.go.id/search-badan-usaha-detail/SGFoZ1dacmpkdkxGdzRIaFVqWHUvQT09</t>
        </is>
      </c>
      <c r="F75" t="n">
        <v>2</v>
      </c>
      <c r="G75" t="inlineStr">
        <is>
          <t>BG006</t>
        </is>
      </c>
      <c r="H75" t="inlineStr">
        <is>
          <t>6 September 2023</t>
        </is>
      </c>
      <c r="I75" s="2" t="n">
        <v>46282</v>
      </c>
      <c r="J75" t="inlineStr">
        <is>
          <t>Disetujui</t>
        </is>
      </c>
      <c r="K75" t="n">
        <v>30</v>
      </c>
      <c r="L75" t="inlineStr">
        <is>
          <t>17 September 2026</t>
        </is>
      </c>
      <c r="M75" t="inlineStr">
        <is>
          <t>Konstruksi Gedung Pendidikan</t>
        </is>
      </c>
      <c r="N75" t="inlineStr">
        <is>
          <t>K</t>
        </is>
      </c>
      <c r="O75" t="inlineStr">
        <is>
          <t>20230915</t>
        </is>
      </c>
      <c r="P75" t="inlineStr">
        <is>
          <t>Jawa Barat</t>
        </is>
      </c>
      <c r="Q75" t="inlineStr"/>
    </row>
    <row r="76">
      <c r="A76" t="inlineStr">
        <is>
          <t>ADITAMA JAYA</t>
        </is>
      </c>
      <c r="B76" t="inlineStr">
        <is>
          <t>Kota Jambi</t>
        </is>
      </c>
      <c r="C76" t="inlineStr">
        <is>
          <t>081366646402</t>
        </is>
      </c>
      <c r="D76" t="inlineStr">
        <is>
          <t>aditamajaya62@gmail.com</t>
        </is>
      </c>
      <c r="E76" t="inlineStr">
        <is>
          <t>https://lpjk.pu.go.id/search-badan-usaha-detail/UzJvdHFMMUF0dERsRlFWcHRZandqUT09</t>
        </is>
      </c>
      <c r="F76" t="n">
        <v>5</v>
      </c>
      <c r="G76" t="inlineStr">
        <is>
          <t>BG002, BG005, BG006, BS001, BS004</t>
        </is>
      </c>
      <c r="H76" t="inlineStr">
        <is>
          <t>1 Juli 2013</t>
        </is>
      </c>
      <c r="I76" s="2" t="n">
        <v>46279</v>
      </c>
      <c r="J76" t="inlineStr">
        <is>
          <t>Disetujui</t>
        </is>
      </c>
      <c r="K76" t="n">
        <v>30</v>
      </c>
      <c r="L76" t="inlineStr">
        <is>
          <t>14 September 2026</t>
        </is>
      </c>
      <c r="M76" t="inlineStr">
        <is>
          <t>Konstruksi Bangunan Sipil Jalan, Konstruksi Gedung Kesehatan, Konstruksi Gedung Pendidikan, Konstruksi Gedung Perkantoran, Konstruksi Jaringan Irigasi dan Drainase</t>
        </is>
      </c>
      <c r="N76" t="inlineStr">
        <is>
          <t>K</t>
        </is>
      </c>
      <c r="O76" t="inlineStr">
        <is>
          <t>20230911, 20230912</t>
        </is>
      </c>
      <c r="P76" t="inlineStr">
        <is>
          <t>Jambi</t>
        </is>
      </c>
      <c r="Q76" t="inlineStr"/>
    </row>
    <row r="77">
      <c r="A77" t="inlineStr">
        <is>
          <t>ADITYA PRANATA</t>
        </is>
      </c>
      <c r="B77" t="inlineStr">
        <is>
          <t>Kab. Bangka</t>
        </is>
      </c>
      <c r="C77" t="inlineStr">
        <is>
          <t>085283603236</t>
        </is>
      </c>
      <c r="D77" t="inlineStr">
        <is>
          <t>cv_aditya_pranata@yahoo.co.id</t>
        </is>
      </c>
      <c r="E77" t="inlineStr">
        <is>
          <t>https://lpjk.pu.go.id/search-badan-usaha-detail/RC9IcjJmU2dHVnYrQXBNeXRzOUJuZz09</t>
        </is>
      </c>
      <c r="F77" t="n">
        <v>4</v>
      </c>
      <c r="G77" t="inlineStr">
        <is>
          <t>BG006, BS001, BS004</t>
        </is>
      </c>
      <c r="H77" t="inlineStr">
        <is>
          <t>22 Januari 2013</t>
        </is>
      </c>
      <c r="I77" s="2" t="n">
        <v>46282</v>
      </c>
      <c r="J77" t="inlineStr">
        <is>
          <t>Disetujui</t>
        </is>
      </c>
      <c r="K77" t="n">
        <v>30</v>
      </c>
      <c r="L77" t="inlineStr">
        <is>
          <t>17 September 2026</t>
        </is>
      </c>
      <c r="M77" t="inlineStr">
        <is>
          <t>Konstruksi Bangunan Sipil Jalan, Konstruksi Gedung Pendidikan, Konstruksi Jaringan Irigasi dan Drainase</t>
        </is>
      </c>
      <c r="N77" t="inlineStr">
        <is>
          <t>K</t>
        </is>
      </c>
      <c r="O77" t="inlineStr">
        <is>
          <t>20230914</t>
        </is>
      </c>
      <c r="P77" t="inlineStr">
        <is>
          <t>Kepulauan Bangka Belitung</t>
        </is>
      </c>
      <c r="Q77" t="inlineStr"/>
    </row>
    <row r="78">
      <c r="A78" t="inlineStr">
        <is>
          <t>ADITYA SARI</t>
        </is>
      </c>
      <c r="B78" t="inlineStr">
        <is>
          <t>Kab. Klungkung</t>
        </is>
      </c>
      <c r="C78" t="inlineStr">
        <is>
          <t>085738272006</t>
        </is>
      </c>
      <c r="D78" t="inlineStr">
        <is>
          <t>adityasariklk@yahoo.co.id</t>
        </is>
      </c>
      <c r="E78" t="inlineStr">
        <is>
          <t>https://lpjk.pu.go.id/search-badan-usaha-detail/blZVVWM2WW1DN3M4bEFSaXNJV3BtUT09</t>
        </is>
      </c>
      <c r="F78" t="n">
        <v>4</v>
      </c>
      <c r="G78" t="inlineStr">
        <is>
          <t>BG006, BG009, BS004, BS005</t>
        </is>
      </c>
      <c r="H78" t="inlineStr">
        <is>
          <t>12 Januari 2004</t>
        </is>
      </c>
      <c r="I78" s="2" t="n">
        <v>46283</v>
      </c>
      <c r="J78" t="inlineStr">
        <is>
          <t>Disetujui</t>
        </is>
      </c>
      <c r="K78" t="n">
        <v>30</v>
      </c>
      <c r="L78" t="inlineStr">
        <is>
          <t>18 September 2026</t>
        </is>
      </c>
      <c r="M78" t="inlineStr">
        <is>
          <t>Konstruksi Bangunan Sipil Pengolahan Air Bersih, Konstruksi Gedung Lainnya, Konstruksi Gedung Pendidikan, Konstruksi Jaringan Irigasi dan Drainase</t>
        </is>
      </c>
      <c r="N78" t="inlineStr">
        <is>
          <t>K</t>
        </is>
      </c>
      <c r="O78" t="inlineStr">
        <is>
          <t>20230914</t>
        </is>
      </c>
      <c r="P78" t="inlineStr">
        <is>
          <t>Bali</t>
        </is>
      </c>
      <c r="Q78" t="inlineStr"/>
    </row>
    <row r="79">
      <c r="A79" t="inlineStr">
        <is>
          <t>ADRIAN</t>
        </is>
      </c>
      <c r="B79" t="inlineStr">
        <is>
          <t>Kab. Sintang</t>
        </is>
      </c>
      <c r="C79" t="inlineStr">
        <is>
          <t>082350042240</t>
        </is>
      </c>
      <c r="D79" t="inlineStr">
        <is>
          <t>cvadrian990@gmail.com</t>
        </is>
      </c>
      <c r="E79" t="inlineStr">
        <is>
          <t>https://lpjk.pu.go.id/search-badan-usaha-detail/a0JIbERzY1NpNzBFTTdkall3Z0lKdz09</t>
        </is>
      </c>
      <c r="F79" t="n">
        <v>1</v>
      </c>
      <c r="G79" t="inlineStr">
        <is>
          <t>BG006</t>
        </is>
      </c>
      <c r="H79" t="inlineStr">
        <is>
          <t>15 Juni 2020</t>
        </is>
      </c>
      <c r="I79" s="2" t="n">
        <v>46279</v>
      </c>
      <c r="J79" t="inlineStr">
        <is>
          <t>Disetujui</t>
        </is>
      </c>
      <c r="K79" t="n">
        <v>30</v>
      </c>
      <c r="L79" t="inlineStr">
        <is>
          <t>14 September 2026</t>
        </is>
      </c>
      <c r="M79" t="inlineStr">
        <is>
          <t>Konstruksi Gedung Pendidikan</t>
        </is>
      </c>
      <c r="N79" t="inlineStr">
        <is>
          <t>K</t>
        </is>
      </c>
      <c r="O79" t="inlineStr">
        <is>
          <t>20230908</t>
        </is>
      </c>
      <c r="P79" t="inlineStr">
        <is>
          <t>Kalimantan Barat</t>
        </is>
      </c>
      <c r="Q79" t="inlineStr"/>
    </row>
    <row r="80">
      <c r="A80" t="inlineStr">
        <is>
          <t>ADYAWINSA TELECOMMUNICATION &amp; ELECTRICAL</t>
        </is>
      </c>
      <c r="B80" t="inlineStr">
        <is>
          <t>Kota Adm. Jakarta Utara</t>
        </is>
      </c>
      <c r="C80" t="inlineStr">
        <is>
          <t>0214603353</t>
        </is>
      </c>
      <c r="D80" t="inlineStr">
        <is>
          <t>ate@adyawinsa.com</t>
        </is>
      </c>
      <c r="E80" t="inlineStr">
        <is>
          <t>https://lpjk.pu.go.id/search-badan-usaha-detail/UzBseWpSTGJWclJFZ2J0QUtzRllXQT09</t>
        </is>
      </c>
      <c r="F80" t="n">
        <v>2</v>
      </c>
      <c r="G80" t="inlineStr">
        <is>
          <t>BG009</t>
        </is>
      </c>
      <c r="H80" t="inlineStr">
        <is>
          <t>21 September 2007</t>
        </is>
      </c>
      <c r="I80" s="2" t="n">
        <v>46283</v>
      </c>
      <c r="J80" t="inlineStr">
        <is>
          <t>Disetujui</t>
        </is>
      </c>
      <c r="K80" t="n">
        <v>30</v>
      </c>
      <c r="L80" t="inlineStr">
        <is>
          <t>18 September 2026</t>
        </is>
      </c>
      <c r="M80" t="inlineStr">
        <is>
          <t>Konstruksi Gedung Lainnya</t>
        </is>
      </c>
      <c r="N80" t="inlineStr">
        <is>
          <t>M</t>
        </is>
      </c>
      <c r="O80" t="inlineStr">
        <is>
          <t>20230913</t>
        </is>
      </c>
      <c r="P80" t="inlineStr">
        <is>
          <t>DKI Jakarta</t>
        </is>
      </c>
      <c r="Q80" t="inlineStr"/>
    </row>
    <row r="81">
      <c r="A81" t="inlineStr">
        <is>
          <t>AGUNG</t>
        </is>
      </c>
      <c r="B81" t="inlineStr">
        <is>
          <t>Kab. Banyuwangi</t>
        </is>
      </c>
      <c r="C81" t="inlineStr">
        <is>
          <t>081358174199</t>
        </is>
      </c>
      <c r="D81" t="inlineStr">
        <is>
          <t>agungcv@yahoo.com</t>
        </is>
      </c>
      <c r="E81" t="inlineStr">
        <is>
          <t>https://lpjk.pu.go.id/search-badan-usaha-detail/TVlrb2pVUjZXSEpkRjFaSDhaSGI3dz09</t>
        </is>
      </c>
      <c r="F81" t="n">
        <v>8</v>
      </c>
      <c r="G81" t="inlineStr">
        <is>
          <t>BG002, BG005, BG006, BS001</t>
        </is>
      </c>
      <c r="H81" t="inlineStr">
        <is>
          <t>3 November 1976</t>
        </is>
      </c>
      <c r="I81" s="2" t="n">
        <v>46279</v>
      </c>
      <c r="J81" t="inlineStr">
        <is>
          <t>Disetujui</t>
        </is>
      </c>
      <c r="K81" t="n">
        <v>30</v>
      </c>
      <c r="L81" t="inlineStr">
        <is>
          <t>14 September 2026</t>
        </is>
      </c>
      <c r="M81" t="inlineStr">
        <is>
          <t>Konstruksi Bangunan Sipil Jalan, Konstruksi Gedung Kesehatan, Konstruksi Gedung Pendidikan, Konstruksi Gedung Perkantoran</t>
        </is>
      </c>
      <c r="N81" t="inlineStr">
        <is>
          <t>K</t>
        </is>
      </c>
      <c r="O81" t="inlineStr">
        <is>
          <t>20230911, 20230915</t>
        </is>
      </c>
      <c r="P81" t="inlineStr">
        <is>
          <t>Jawa Timur</t>
        </is>
      </c>
      <c r="Q81" t="inlineStr"/>
    </row>
    <row r="82">
      <c r="A82" t="inlineStr">
        <is>
          <t>AGUNG ABADI</t>
        </is>
      </c>
      <c r="B82" t="inlineStr">
        <is>
          <t>Kab. Boyolali</t>
        </is>
      </c>
      <c r="C82" t="inlineStr">
        <is>
          <t>085728802913</t>
        </is>
      </c>
      <c r="D82" t="inlineStr">
        <is>
          <t>cv.agung.abadi.byl@gmail.com</t>
        </is>
      </c>
      <c r="E82" t="inlineStr">
        <is>
          <t>https://lpjk.pu.go.id/search-badan-usaha-detail/U1dobXpvMmk0dXB2RGtaWTFwcnl3Zz09</t>
        </is>
      </c>
      <c r="F82" t="n">
        <v>2</v>
      </c>
      <c r="G82" t="inlineStr">
        <is>
          <t>BG009</t>
        </is>
      </c>
      <c r="H82" t="inlineStr">
        <is>
          <t>7 Februari 1997</t>
        </is>
      </c>
      <c r="I82" s="2" t="n">
        <v>46282</v>
      </c>
      <c r="J82" t="inlineStr">
        <is>
          <t>Disetujui</t>
        </is>
      </c>
      <c r="K82" t="n">
        <v>30</v>
      </c>
      <c r="L82" t="inlineStr">
        <is>
          <t>17 September 2026</t>
        </is>
      </c>
      <c r="M82" t="inlineStr">
        <is>
          <t>Konstruksi Gedung Lainnya</t>
        </is>
      </c>
      <c r="N82" t="inlineStr">
        <is>
          <t>K</t>
        </is>
      </c>
      <c r="O82" t="inlineStr">
        <is>
          <t>20230914</t>
        </is>
      </c>
      <c r="P82" t="inlineStr">
        <is>
          <t>Jawa Tengah</t>
        </is>
      </c>
      <c r="Q82" t="inlineStr"/>
    </row>
    <row r="83">
      <c r="A83" t="inlineStr">
        <is>
          <t>AGUNG DHARMA INTILAND</t>
        </is>
      </c>
      <c r="B83" t="inlineStr">
        <is>
          <t>Kota Palangkaraya</t>
        </is>
      </c>
      <c r="C83" t="inlineStr">
        <is>
          <t>0811525254</t>
        </is>
      </c>
      <c r="D83" t="inlineStr">
        <is>
          <t>ptagungdharmaintiland@gmail.com</t>
        </is>
      </c>
      <c r="E83" t="inlineStr">
        <is>
          <t>https://lpjk.pu.go.id/search-badan-usaha-detail/WTJheHRzZHJXQWxGdDByMlh5RzFXZz09</t>
        </is>
      </c>
      <c r="F83" t="n">
        <v>2</v>
      </c>
      <c r="G83" t="inlineStr">
        <is>
          <t>BG001</t>
        </is>
      </c>
      <c r="H83" t="inlineStr">
        <is>
          <t>26 Juni 2023</t>
        </is>
      </c>
      <c r="I83" s="2" t="n">
        <v>46278</v>
      </c>
      <c r="J83" t="inlineStr">
        <is>
          <t>Disetujui</t>
        </is>
      </c>
      <c r="K83" t="n">
        <v>30</v>
      </c>
      <c r="L83" t="inlineStr">
        <is>
          <t>13 September 2026</t>
        </is>
      </c>
      <c r="M83" t="inlineStr">
        <is>
          <t>Konstruksi Gedung Hunian</t>
        </is>
      </c>
      <c r="N83" t="inlineStr">
        <is>
          <t>K</t>
        </is>
      </c>
      <c r="O83" t="inlineStr">
        <is>
          <t>20230904</t>
        </is>
      </c>
      <c r="P83" t="inlineStr">
        <is>
          <t>Kalimantan Tengah</t>
        </is>
      </c>
      <c r="Q83" t="inlineStr"/>
    </row>
    <row r="84">
      <c r="A84" t="inlineStr">
        <is>
          <t>AKBAR ARSITAMA KONSULTAN</t>
        </is>
      </c>
      <c r="B84" t="inlineStr">
        <is>
          <t>Kota Bandar Lampung</t>
        </is>
      </c>
      <c r="C84" t="inlineStr">
        <is>
          <t>0721</t>
        </is>
      </c>
      <c r="D84" t="inlineStr">
        <is>
          <t>akbarsitama@gmail.com</t>
        </is>
      </c>
      <c r="E84" t="inlineStr">
        <is>
          <t>https://lpjk.pu.go.id/search-badan-usaha-detail/enhuazhmNUlzSGNBcWh4MFl5dnlyUT09</t>
        </is>
      </c>
      <c r="F84" t="n">
        <v>1</v>
      </c>
      <c r="G84" t="inlineStr">
        <is>
          <t>RK001</t>
        </is>
      </c>
      <c r="H84" t="inlineStr">
        <is>
          <t>17 Desember 2021</t>
        </is>
      </c>
      <c r="I84" s="2" t="n">
        <v>46278</v>
      </c>
      <c r="J84" t="inlineStr">
        <is>
          <t>Disetujui</t>
        </is>
      </c>
      <c r="K84" t="n">
        <v>30</v>
      </c>
      <c r="L84" t="inlineStr">
        <is>
          <t>13 September 2026</t>
        </is>
      </c>
      <c r="M84" t="inlineStr">
        <is>
          <t>Jasa Rekayasa Konstruksi Bangunan Gedung Hunian dan Non Hunian</t>
        </is>
      </c>
      <c r="N84" t="inlineStr">
        <is>
          <t>K</t>
        </is>
      </c>
      <c r="O84" t="inlineStr">
        <is>
          <t>20230905</t>
        </is>
      </c>
      <c r="P84" t="inlineStr">
        <is>
          <t>Lampung</t>
        </is>
      </c>
      <c r="Q84" t="inlineStr"/>
    </row>
    <row r="85">
      <c r="A85" t="inlineStr">
        <is>
          <t>AKBAR CONSULTANT</t>
        </is>
      </c>
      <c r="B85" t="inlineStr">
        <is>
          <t>Kab. Majene</t>
        </is>
      </c>
      <c r="C85" t="inlineStr">
        <is>
          <t>082347106979</t>
        </is>
      </c>
      <c r="D85" t="inlineStr">
        <is>
          <t>akbarkonsultan@gmail.com</t>
        </is>
      </c>
      <c r="E85" t="inlineStr">
        <is>
          <t>https://lpjk.pu.go.id/search-badan-usaha-detail/QWc2aGVtTDNwKzNVcHpCaEkveG5MZz09</t>
        </is>
      </c>
      <c r="F85" t="n">
        <v>1</v>
      </c>
      <c r="G85" t="inlineStr">
        <is>
          <t>RK001</t>
        </is>
      </c>
      <c r="H85" t="inlineStr">
        <is>
          <t>5 Maret 2003</t>
        </is>
      </c>
      <c r="I85" s="2" t="n">
        <v>46283</v>
      </c>
      <c r="J85" t="inlineStr">
        <is>
          <t>Disetujui</t>
        </is>
      </c>
      <c r="K85" t="n">
        <v>30</v>
      </c>
      <c r="L85" t="inlineStr">
        <is>
          <t>18 September 2026</t>
        </is>
      </c>
      <c r="M85" t="inlineStr">
        <is>
          <t>Jasa Rekayasa Konstruksi Bangunan Gedung Hunian dan Non Hunian</t>
        </is>
      </c>
      <c r="N85" t="inlineStr">
        <is>
          <t>K</t>
        </is>
      </c>
      <c r="O85" t="inlineStr">
        <is>
          <t>20230911</t>
        </is>
      </c>
      <c r="P85" t="inlineStr">
        <is>
          <t>Sulawesi Barat</t>
        </is>
      </c>
      <c r="Q85" t="inlineStr"/>
    </row>
    <row r="86">
      <c r="A86" t="inlineStr">
        <is>
          <t>AKSA INDO MANUFAKTUR</t>
        </is>
      </c>
      <c r="B86" t="inlineStr">
        <is>
          <t>Kota Palu</t>
        </is>
      </c>
      <c r="C86" t="inlineStr">
        <is>
          <t>08114534393</t>
        </is>
      </c>
      <c r="D86" t="inlineStr">
        <is>
          <t>aksaindomanufaktur@gmail.com</t>
        </is>
      </c>
      <c r="E86" t="inlineStr">
        <is>
          <t>https://lpjk.pu.go.id/search-badan-usaha-detail/L1B1WkZTR1dpTUIzVkRXSkpJL01vdz09</t>
        </is>
      </c>
      <c r="F86" t="n">
        <v>1</v>
      </c>
      <c r="G86" t="inlineStr">
        <is>
          <t>BG009</t>
        </is>
      </c>
      <c r="H86" t="inlineStr">
        <is>
          <t>9 Januari 2023</t>
        </is>
      </c>
      <c r="I86" s="2" t="n">
        <v>46282</v>
      </c>
      <c r="J86" t="inlineStr">
        <is>
          <t>Disetujui</t>
        </is>
      </c>
      <c r="K86" t="n">
        <v>30</v>
      </c>
      <c r="L86" t="inlineStr">
        <is>
          <t>17 September 2026</t>
        </is>
      </c>
      <c r="M86" t="inlineStr">
        <is>
          <t>Konstruksi Gedung Lainnya</t>
        </is>
      </c>
      <c r="N86" t="inlineStr">
        <is>
          <t>K</t>
        </is>
      </c>
      <c r="O86" t="inlineStr">
        <is>
          <t>20230914</t>
        </is>
      </c>
      <c r="P86" t="inlineStr">
        <is>
          <t>Sulawesi Tengah</t>
        </is>
      </c>
      <c r="Q86" t="inlineStr"/>
    </row>
    <row r="87">
      <c r="A87" t="inlineStr">
        <is>
          <t>ALAM HASIL MULIA</t>
        </is>
      </c>
      <c r="B87" t="inlineStr">
        <is>
          <t>Kota Adm. Jakarta Barat</t>
        </is>
      </c>
      <c r="C87" t="inlineStr">
        <is>
          <t>08111575995</t>
        </is>
      </c>
      <c r="D87" t="inlineStr">
        <is>
          <t>alamhasilmulia@gmail.com</t>
        </is>
      </c>
      <c r="E87" t="inlineStr">
        <is>
          <t>https://lpjk.pu.go.id/search-badan-usaha-detail/dzVWQXdrTXZWVnprVlp0T2JrOWNpdz09</t>
        </is>
      </c>
      <c r="F87" t="n">
        <v>1</v>
      </c>
      <c r="G87" t="inlineStr">
        <is>
          <t>BG009</t>
        </is>
      </c>
      <c r="H87" t="inlineStr">
        <is>
          <t>6 April 2023</t>
        </is>
      </c>
      <c r="I87" s="2" t="n">
        <v>46282</v>
      </c>
      <c r="J87" t="inlineStr">
        <is>
          <t>Disetujui</t>
        </is>
      </c>
      <c r="K87" t="n">
        <v>30</v>
      </c>
      <c r="L87" t="inlineStr">
        <is>
          <t>17 September 2026</t>
        </is>
      </c>
      <c r="M87" t="inlineStr">
        <is>
          <t>Konstruksi Gedung Lainnya</t>
        </is>
      </c>
      <c r="N87" t="inlineStr">
        <is>
          <t>K</t>
        </is>
      </c>
      <c r="O87" t="inlineStr">
        <is>
          <t>20230825</t>
        </is>
      </c>
      <c r="P87" t="inlineStr">
        <is>
          <t>DKI Jakarta</t>
        </is>
      </c>
      <c r="Q87" t="inlineStr"/>
    </row>
    <row r="88">
      <c r="A88" t="inlineStr">
        <is>
          <t>ALASCO</t>
        </is>
      </c>
      <c r="B88" t="inlineStr">
        <is>
          <t>Kab. Donggala</t>
        </is>
      </c>
      <c r="C88" t="inlineStr">
        <is>
          <t>-</t>
        </is>
      </c>
      <c r="D88" t="inlineStr">
        <is>
          <t>cvalasco171@gmail.com</t>
        </is>
      </c>
      <c r="E88" t="inlineStr">
        <is>
          <t>https://lpjk.pu.go.id/search-badan-usaha-detail/Qk8rdGZvK1R3RWdRazdPODBkZ2hBUT09</t>
        </is>
      </c>
      <c r="F88" t="n">
        <v>2</v>
      </c>
      <c r="G88" t="inlineStr">
        <is>
          <t>BG008, BS001</t>
        </is>
      </c>
      <c r="H88" t="inlineStr">
        <is>
          <t>13 Maret 1982</t>
        </is>
      </c>
      <c r="I88" s="2" t="n">
        <v>46279</v>
      </c>
      <c r="J88" t="inlineStr">
        <is>
          <t>Disetujui</t>
        </is>
      </c>
      <c r="K88" t="n">
        <v>30</v>
      </c>
      <c r="L88" t="inlineStr">
        <is>
          <t>14 September 2026</t>
        </is>
      </c>
      <c r="M88" t="inlineStr">
        <is>
          <t>Konstruksi Bangunan Sipil Jalan, Konstruksi Gedung Tempat Hiburan dan Olahraga</t>
        </is>
      </c>
      <c r="N88" t="inlineStr">
        <is>
          <t>K</t>
        </is>
      </c>
      <c r="O88" t="inlineStr">
        <is>
          <t>20230906, 20230911</t>
        </is>
      </c>
      <c r="P88" t="inlineStr">
        <is>
          <t>Sulawesi Tengah</t>
        </is>
      </c>
      <c r="Q88" t="inlineStr"/>
    </row>
    <row r="89">
      <c r="A89" t="inlineStr">
        <is>
          <t>ALDO PERMAI</t>
        </is>
      </c>
      <c r="B89" t="inlineStr">
        <is>
          <t>Kota Palembang</t>
        </is>
      </c>
      <c r="C89" t="inlineStr">
        <is>
          <t>082289351727</t>
        </is>
      </c>
      <c r="D89" t="inlineStr">
        <is>
          <t>aldo_permai_pt@yahoo.com</t>
        </is>
      </c>
      <c r="E89" t="inlineStr">
        <is>
          <t>https://lpjk.pu.go.id/search-badan-usaha-detail/QnV5b1F6YUx4THB2dHBhNUxSWEF1UT09</t>
        </is>
      </c>
      <c r="F89" t="n">
        <v>1</v>
      </c>
      <c r="G89" t="inlineStr">
        <is>
          <t>BS001</t>
        </is>
      </c>
      <c r="H89" t="inlineStr">
        <is>
          <t>10 Januari 2007</t>
        </is>
      </c>
      <c r="I89" s="2" t="n">
        <v>46279</v>
      </c>
      <c r="J89" t="inlineStr">
        <is>
          <t>Disetujui</t>
        </is>
      </c>
      <c r="K89" t="n">
        <v>30</v>
      </c>
      <c r="L89" t="inlineStr">
        <is>
          <t>14 September 2026</t>
        </is>
      </c>
      <c r="M89" t="inlineStr">
        <is>
          <t>Konstruksi Bangunan Sipil Jalan</t>
        </is>
      </c>
      <c r="N89" t="inlineStr">
        <is>
          <t>M</t>
        </is>
      </c>
      <c r="O89" t="inlineStr">
        <is>
          <t>20230904</t>
        </is>
      </c>
      <c r="P89" t="inlineStr">
        <is>
          <t>Sumatera Selatan</t>
        </is>
      </c>
      <c r="Q89" t="inlineStr"/>
    </row>
    <row r="90">
      <c r="A90" t="inlineStr">
        <is>
          <t>ALFATIH KONSTRUKSI</t>
        </is>
      </c>
      <c r="B90" t="inlineStr">
        <is>
          <t>Kab. Lahat</t>
        </is>
      </c>
      <c r="C90" t="inlineStr">
        <is>
          <t>081290889878</t>
        </is>
      </c>
      <c r="D90" t="inlineStr">
        <is>
          <t>alfatihkonstruksi9@gmail.com</t>
        </is>
      </c>
      <c r="E90" t="inlineStr">
        <is>
          <t>https://lpjk.pu.go.id/search-badan-usaha-detail/NHFVbVlvanVTbkFzcWxXMXJZL1p4QT09</t>
        </is>
      </c>
      <c r="F90" t="n">
        <v>12</v>
      </c>
      <c r="G90" t="inlineStr">
        <is>
          <t>BS001, BS002, BS004, BS005</t>
        </is>
      </c>
      <c r="H90" t="inlineStr">
        <is>
          <t>18 Agustus 2023</t>
        </is>
      </c>
      <c r="I90" s="2" t="n">
        <v>46279</v>
      </c>
      <c r="J90" t="inlineStr">
        <is>
          <t>Disetujui</t>
        </is>
      </c>
      <c r="K90" t="n">
        <v>30</v>
      </c>
      <c r="L90" t="inlineStr">
        <is>
          <t>14 September 2026</t>
        </is>
      </c>
      <c r="M90" t="inlineStr">
        <is>
          <t>Bangunan Sipil Jembatan, Jalan Layang, Fly Over, dan Underpass, Konstruksi Bangunan Sipil Jalan, Konstruksi Bangunan Sipil Pengolahan Air Bersih, Konstruksi Jaringan Irigasi dan Drainase</t>
        </is>
      </c>
      <c r="N90" t="inlineStr">
        <is>
          <t>K</t>
        </is>
      </c>
      <c r="O90" t="inlineStr">
        <is>
          <t>20230915</t>
        </is>
      </c>
      <c r="P90" t="inlineStr">
        <is>
          <t>Sumatera Selatan</t>
        </is>
      </c>
      <c r="Q90" t="inlineStr"/>
    </row>
    <row r="91">
      <c r="A91" t="inlineStr">
        <is>
          <t>ALFIAN DINAMIKA ENGINEER</t>
        </is>
      </c>
      <c r="B91" t="inlineStr">
        <is>
          <t>Kota Pontianak</t>
        </is>
      </c>
      <c r="C91" t="inlineStr">
        <is>
          <t>085245010122</t>
        </is>
      </c>
      <c r="D91" t="inlineStr">
        <is>
          <t>alfian.dinamika@gmail.com</t>
        </is>
      </c>
      <c r="E91" t="inlineStr">
        <is>
          <t>https://lpjk.pu.go.id/search-badan-usaha-detail/aHR0Wm1td3NsNjBJN2pEQXNhS0JNdz09</t>
        </is>
      </c>
      <c r="F91" t="n">
        <v>5</v>
      </c>
      <c r="G91" t="inlineStr">
        <is>
          <t>BG001, BG002, BG005, BG006, BG009</t>
        </is>
      </c>
      <c r="H91" t="inlineStr">
        <is>
          <t>22 Juni 2012</t>
        </is>
      </c>
      <c r="I91" s="2" t="n">
        <v>46282</v>
      </c>
      <c r="J91" t="inlineStr">
        <is>
          <t>Disetujui</t>
        </is>
      </c>
      <c r="K91" t="n">
        <v>30</v>
      </c>
      <c r="L91" t="inlineStr">
        <is>
          <t>17 September 2026</t>
        </is>
      </c>
      <c r="M91" t="inlineStr">
        <is>
          <t>Konstruksi Gedung Hunian, Konstruksi Gedung Kesehatan, Konstruksi Gedung Lainnya, Konstruksi Gedung Pendidikan, Konstruksi Gedung Perkantoran</t>
        </is>
      </c>
      <c r="N91" t="inlineStr">
        <is>
          <t>K</t>
        </is>
      </c>
      <c r="O91" t="inlineStr">
        <is>
          <t>20230913</t>
        </is>
      </c>
      <c r="P91" t="inlineStr">
        <is>
          <t>Kalimantan Barat</t>
        </is>
      </c>
      <c r="Q91" t="inlineStr"/>
    </row>
    <row r="92">
      <c r="A92" t="inlineStr">
        <is>
          <t>ALFINA PUTRI TUNGGAL</t>
        </is>
      </c>
      <c r="B92" t="inlineStr">
        <is>
          <t>Kab. Tangerang</t>
        </is>
      </c>
      <c r="C92" t="inlineStr">
        <is>
          <t>021</t>
        </is>
      </c>
      <c r="D92" t="inlineStr">
        <is>
          <t>alfina.putri.tunggal.01@gmail.com</t>
        </is>
      </c>
      <c r="E92" t="inlineStr">
        <is>
          <t>https://lpjk.pu.go.id/search-badan-usaha-detail/d0xzSjNhK1p3ZkQ0S2NkZzdqWElDQT09</t>
        </is>
      </c>
      <c r="F92" t="n">
        <v>1</v>
      </c>
      <c r="G92" t="inlineStr">
        <is>
          <t>BS010</t>
        </is>
      </c>
      <c r="H92" t="inlineStr">
        <is>
          <t>21 Januari 2010</t>
        </is>
      </c>
      <c r="I92" s="2" t="n">
        <v>46278</v>
      </c>
      <c r="J92" t="inlineStr">
        <is>
          <t>Disetujui</t>
        </is>
      </c>
      <c r="K92" t="n">
        <v>30</v>
      </c>
      <c r="L92" t="inlineStr">
        <is>
          <t>13 September 2026</t>
        </is>
      </c>
      <c r="M92" t="inlineStr">
        <is>
          <t>Konstruksi Bangunan Prasarana Sumber Daya Air</t>
        </is>
      </c>
      <c r="N92" t="inlineStr">
        <is>
          <t>K</t>
        </is>
      </c>
      <c r="O92" t="inlineStr">
        <is>
          <t>20230907</t>
        </is>
      </c>
      <c r="P92" t="inlineStr">
        <is>
          <t>Banten</t>
        </is>
      </c>
      <c r="Q92" t="inlineStr"/>
    </row>
    <row r="93">
      <c r="A93" t="inlineStr">
        <is>
          <t>ALPHA CENTAURI INTERNATIONAL</t>
        </is>
      </c>
      <c r="B93" t="inlineStr">
        <is>
          <t>Kota Adm. Jakarta Selatan</t>
        </is>
      </c>
      <c r="C93" t="inlineStr">
        <is>
          <t>02180641967</t>
        </is>
      </c>
      <c r="D93" t="inlineStr">
        <is>
          <t>corporate@alphacentauri.id</t>
        </is>
      </c>
      <c r="E93" t="inlineStr">
        <is>
          <t>https://lpjk.pu.go.id/search-badan-usaha-detail/cWI0UkpxQ05rWDdCUnNBek1ZSGNSQT09</t>
        </is>
      </c>
      <c r="F93" t="n">
        <v>3</v>
      </c>
      <c r="G93" t="inlineStr">
        <is>
          <t>BG002, BG005, BG009</t>
        </is>
      </c>
      <c r="H93" t="inlineStr">
        <is>
          <t>25 Juni 2016</t>
        </is>
      </c>
      <c r="I93" s="2" t="n">
        <v>46282</v>
      </c>
      <c r="J93" t="inlineStr">
        <is>
          <t>Pencabutan</t>
        </is>
      </c>
      <c r="K93" t="n">
        <v>30</v>
      </c>
      <c r="L93" t="inlineStr">
        <is>
          <t>17 September 2026</t>
        </is>
      </c>
      <c r="M93" t="inlineStr">
        <is>
          <t>Konstruksi Gedung Kesehatan, Konstruksi Gedung Lainnya, Konstruksi Gedung Perkantoran</t>
        </is>
      </c>
      <c r="N93" t="inlineStr">
        <is>
          <t>K</t>
        </is>
      </c>
      <c r="O93" t="inlineStr">
        <is>
          <t>20230906, 20230914</t>
        </is>
      </c>
      <c r="P93" t="inlineStr">
        <is>
          <t>DKI Jakarta</t>
        </is>
      </c>
      <c r="Q93" t="inlineStr"/>
    </row>
    <row r="94">
      <c r="A94" t="inlineStr">
        <is>
          <t>ALPHA OMEGA TERMAL</t>
        </is>
      </c>
      <c r="B94" t="inlineStr">
        <is>
          <t>Kota Surabaya</t>
        </is>
      </c>
      <c r="C94" t="inlineStr">
        <is>
          <t>0315030287</t>
        </is>
      </c>
      <c r="D94" t="inlineStr">
        <is>
          <t>info@cv-ao.com</t>
        </is>
      </c>
      <c r="E94" t="inlineStr">
        <is>
          <t>https://lpjk.pu.go.id/search-badan-usaha-detail/Q0JmWlI3Rzh4ZkhYZXB1OVBKR0pUZz09</t>
        </is>
      </c>
      <c r="F94" t="n">
        <v>1</v>
      </c>
      <c r="G94" t="inlineStr">
        <is>
          <t>IN001</t>
        </is>
      </c>
      <c r="H94" t="inlineStr">
        <is>
          <t>11 September 2017</t>
        </is>
      </c>
      <c r="I94" s="2" t="n">
        <v>46282</v>
      </c>
      <c r="J94" t="inlineStr">
        <is>
          <t>Disetujui</t>
        </is>
      </c>
      <c r="K94" t="n">
        <v>30</v>
      </c>
      <c r="L94" t="inlineStr">
        <is>
          <t>17 September 2026</t>
        </is>
      </c>
      <c r="M94" t="inlineStr">
        <is>
          <t>Instalasi Mekanikal</t>
        </is>
      </c>
      <c r="N94" t="inlineStr">
        <is>
          <t>Spesialis</t>
        </is>
      </c>
      <c r="O94" t="inlineStr">
        <is>
          <t>20230913</t>
        </is>
      </c>
      <c r="P94" t="inlineStr">
        <is>
          <t>Jawa Timur</t>
        </is>
      </c>
      <c r="Q94" t="inlineStr"/>
    </row>
    <row r="95">
      <c r="A95" t="inlineStr">
        <is>
          <t>AMANAH INDONESIA RAYA</t>
        </is>
      </c>
      <c r="B95" t="inlineStr">
        <is>
          <t>Kota Adm. Jakarta Pusat</t>
        </is>
      </c>
      <c r="C95" t="inlineStr">
        <is>
          <t>02165704114</t>
        </is>
      </c>
      <c r="D95" t="inlineStr">
        <is>
          <t>amanahari.kem@gmail.com</t>
        </is>
      </c>
      <c r="E95" t="inlineStr">
        <is>
          <t>https://lpjk.pu.go.id/search-badan-usaha-detail/L2Vtd3Q1cGtBUnBQRXFBZGJ5YVJXZz09</t>
        </is>
      </c>
      <c r="F95" t="n">
        <v>3</v>
      </c>
      <c r="G95" t="inlineStr">
        <is>
          <t>BG001</t>
        </is>
      </c>
      <c r="H95" t="inlineStr">
        <is>
          <t>19 Mei 2023</t>
        </is>
      </c>
      <c r="I95" s="2" t="n">
        <v>46279</v>
      </c>
      <c r="J95" t="inlineStr">
        <is>
          <t>Pencabutan</t>
        </is>
      </c>
      <c r="K95" t="n">
        <v>30</v>
      </c>
      <c r="L95" t="inlineStr">
        <is>
          <t>14 September 2026</t>
        </is>
      </c>
      <c r="M95" t="inlineStr">
        <is>
          <t>Konstruksi Gedung Hunian</t>
        </is>
      </c>
      <c r="N95" t="inlineStr">
        <is>
          <t>K</t>
        </is>
      </c>
      <c r="O95" t="inlineStr">
        <is>
          <t>20230915</t>
        </is>
      </c>
      <c r="P95" t="inlineStr">
        <is>
          <t>DKI Jakarta</t>
        </is>
      </c>
      <c r="Q95" t="inlineStr"/>
    </row>
    <row r="96">
      <c r="A96" t="inlineStr">
        <is>
          <t>AMPERA 24</t>
        </is>
      </c>
      <c r="B96" t="inlineStr">
        <is>
          <t>Kab. Kebumen</t>
        </is>
      </c>
      <c r="C96" t="inlineStr">
        <is>
          <t>081334306266</t>
        </is>
      </c>
      <c r="D96" t="inlineStr">
        <is>
          <t>amperano24@gmail.com</t>
        </is>
      </c>
      <c r="E96" t="inlineStr">
        <is>
          <t>https://lpjk.pu.go.id/search-badan-usaha-detail/bkZKVm9tdVI0bWo0UVVaSDU1UzZnUT09</t>
        </is>
      </c>
      <c r="F96" t="n">
        <v>1</v>
      </c>
      <c r="G96" t="inlineStr">
        <is>
          <t>BS002</t>
        </is>
      </c>
      <c r="H96" t="inlineStr">
        <is>
          <t>22 Juni 2012</t>
        </is>
      </c>
      <c r="I96" s="2" t="n">
        <v>46278</v>
      </c>
      <c r="J96" t="inlineStr">
        <is>
          <t>Disetujui</t>
        </is>
      </c>
      <c r="K96" t="n">
        <v>30</v>
      </c>
      <c r="L96" t="inlineStr">
        <is>
          <t>13 September 2026</t>
        </is>
      </c>
      <c r="M96" t="inlineStr">
        <is>
          <t>Bangunan Sipil Jembatan, Jalan Layang, Fly Over, dan Underpass</t>
        </is>
      </c>
      <c r="N96" t="inlineStr">
        <is>
          <t>K</t>
        </is>
      </c>
      <c r="O96" t="inlineStr">
        <is>
          <t>20230912</t>
        </is>
      </c>
      <c r="P96" t="inlineStr">
        <is>
          <t>Jawa Tengah</t>
        </is>
      </c>
      <c r="Q96" t="inlineStr"/>
    </row>
    <row r="97">
      <c r="A97" t="inlineStr">
        <is>
          <t>ANANDA INTI SEJAHTERA</t>
        </is>
      </c>
      <c r="B97" t="inlineStr">
        <is>
          <t>Kab. Mempawah</t>
        </is>
      </c>
      <c r="C97" t="inlineStr">
        <is>
          <t>081282811878</t>
        </is>
      </c>
      <c r="D97" t="inlineStr">
        <is>
          <t>anandaintisejahtera123@gmail.com</t>
        </is>
      </c>
      <c r="E97" t="inlineStr">
        <is>
          <t>https://lpjk.pu.go.id/search-badan-usaha-detail/cWN6N1ZXdzNmSlBMMG5CZUpFYzNEUT09</t>
        </is>
      </c>
      <c r="F97" t="n">
        <v>2</v>
      </c>
      <c r="G97" t="inlineStr">
        <is>
          <t>BS010</t>
        </is>
      </c>
      <c r="H97" t="inlineStr">
        <is>
          <t>30 Maret 2023</t>
        </is>
      </c>
      <c r="I97" s="2" t="n">
        <v>46277</v>
      </c>
      <c r="J97" t="inlineStr">
        <is>
          <t>Disetujui</t>
        </is>
      </c>
      <c r="K97" t="n">
        <v>30</v>
      </c>
      <c r="L97" t="inlineStr">
        <is>
          <t>12 September 2026</t>
        </is>
      </c>
      <c r="M97" t="inlineStr">
        <is>
          <t>Konstruksi Bangunan Prasarana Sumber Daya Air</t>
        </is>
      </c>
      <c r="N97" t="inlineStr">
        <is>
          <t>K</t>
        </is>
      </c>
      <c r="O97" t="inlineStr">
        <is>
          <t>20230907</t>
        </is>
      </c>
      <c r="P97" t="inlineStr">
        <is>
          <t>Kalimantan Barat</t>
        </is>
      </c>
      <c r="Q97" t="inlineStr"/>
    </row>
    <row r="98">
      <c r="A98" t="inlineStr">
        <is>
          <t>ANDALAS RIYHA UTAMA</t>
        </is>
      </c>
      <c r="B98" t="inlineStr">
        <is>
          <t>Kota Jayapura</t>
        </is>
      </c>
      <c r="C98" t="inlineStr">
        <is>
          <t>082197541569</t>
        </is>
      </c>
      <c r="D98" t="inlineStr">
        <is>
          <t>ru.andalaspt@gmail.com</t>
        </is>
      </c>
      <c r="E98" t="inlineStr">
        <is>
          <t>https://lpjk.pu.go.id/search-badan-usaha-detail/Ym4xYTVOWGpVbk9hS1JXc0NTbjh0Zz09</t>
        </is>
      </c>
      <c r="F98" t="n">
        <v>1</v>
      </c>
      <c r="G98" t="inlineStr">
        <is>
          <t>BS001</t>
        </is>
      </c>
      <c r="H98" t="inlineStr">
        <is>
          <t>18 Februari 2020</t>
        </is>
      </c>
      <c r="I98" s="2" t="n">
        <v>46283</v>
      </c>
      <c r="J98" t="inlineStr">
        <is>
          <t>Pencabutan</t>
        </is>
      </c>
      <c r="K98" t="n">
        <v>30</v>
      </c>
      <c r="L98" t="inlineStr">
        <is>
          <t>18 September 2026</t>
        </is>
      </c>
      <c r="M98" t="inlineStr">
        <is>
          <t>Konstruksi Bangunan Sipil Jalan</t>
        </is>
      </c>
      <c r="N98" t="inlineStr">
        <is>
          <t>M</t>
        </is>
      </c>
      <c r="O98" t="inlineStr">
        <is>
          <t>20230917</t>
        </is>
      </c>
      <c r="P98" t="inlineStr">
        <is>
          <t>Papua</t>
        </is>
      </c>
      <c r="Q98" t="inlineStr"/>
    </row>
    <row r="99">
      <c r="A99" t="inlineStr">
        <is>
          <t>ANDHIKA MANDIRI SEJAHTERA</t>
        </is>
      </c>
      <c r="B99" t="inlineStr">
        <is>
          <t>Kota Tarakan</t>
        </is>
      </c>
      <c r="C99" t="inlineStr">
        <is>
          <t>085247200918</t>
        </is>
      </c>
      <c r="D99" t="inlineStr">
        <is>
          <t>cv.andhika.mandiri.sejahtera@gmail.com</t>
        </is>
      </c>
      <c r="E99" t="inlineStr">
        <is>
          <t>https://lpjk.pu.go.id/search-badan-usaha-detail/RkRhaHpWZFNMbE5yWWhseXlsd0ZJZz09</t>
        </is>
      </c>
      <c r="F99" t="n">
        <v>1</v>
      </c>
      <c r="G99" t="inlineStr">
        <is>
          <t>BG009</t>
        </is>
      </c>
      <c r="H99" t="inlineStr">
        <is>
          <t>23 Desember 2009</t>
        </is>
      </c>
      <c r="I99" s="2" t="n">
        <v>46277</v>
      </c>
      <c r="J99" t="inlineStr">
        <is>
          <t>Disetujui</t>
        </is>
      </c>
      <c r="K99" t="n">
        <v>30</v>
      </c>
      <c r="L99" t="inlineStr">
        <is>
          <t>12 September 2026</t>
        </is>
      </c>
      <c r="M99" t="inlineStr">
        <is>
          <t>Konstruksi Gedung Lainnya</t>
        </is>
      </c>
      <c r="N99" t="inlineStr">
        <is>
          <t>K</t>
        </is>
      </c>
      <c r="O99" t="inlineStr">
        <is>
          <t>20230905</t>
        </is>
      </c>
      <c r="P99" t="inlineStr">
        <is>
          <t>Kalimantan Utara</t>
        </is>
      </c>
      <c r="Q99" t="inlineStr"/>
    </row>
    <row r="100">
      <c r="A100" t="inlineStr">
        <is>
          <t>ANDIKA</t>
        </is>
      </c>
      <c r="B100" t="inlineStr">
        <is>
          <t>Kab. Tanah Laut</t>
        </is>
      </c>
      <c r="C100" t="inlineStr">
        <is>
          <t>08125174707</t>
        </is>
      </c>
      <c r="D100" t="inlineStr">
        <is>
          <t>cv.andika03@gmail.com</t>
        </is>
      </c>
      <c r="E100" t="inlineStr">
        <is>
          <t>https://lpjk.pu.go.id/search-badan-usaha-detail/MDBpSlFVUCt1UENTTDY3b2Y0WWxtQT09</t>
        </is>
      </c>
      <c r="F100" t="n">
        <v>4</v>
      </c>
      <c r="G100" t="inlineStr">
        <is>
          <t>BG006, BG009</t>
        </is>
      </c>
      <c r="H100" t="inlineStr">
        <is>
          <t>27 Maret 2002</t>
        </is>
      </c>
      <c r="I100" s="2" t="n">
        <v>46277</v>
      </c>
      <c r="J100" t="inlineStr">
        <is>
          <t>Disetujui</t>
        </is>
      </c>
      <c r="K100" t="n">
        <v>30</v>
      </c>
      <c r="L100" t="inlineStr">
        <is>
          <t>12 September 2026</t>
        </is>
      </c>
      <c r="M100" t="inlineStr">
        <is>
          <t>Konstruksi Gedung Lainnya, Konstruksi Gedung Pendidikan</t>
        </is>
      </c>
      <c r="N100" t="inlineStr">
        <is>
          <t>K</t>
        </is>
      </c>
      <c r="O100" t="inlineStr">
        <is>
          <t>20230907</t>
        </is>
      </c>
      <c r="P100" t="inlineStr">
        <is>
          <t>Kalimantan Selatan</t>
        </is>
      </c>
      <c r="Q100" t="inlineStr"/>
    </row>
    <row r="101">
      <c r="A101" t="inlineStr">
        <is>
          <t>ANDRA RAYA NIAGA</t>
        </is>
      </c>
      <c r="B101" t="inlineStr">
        <is>
          <t>Kab. Garut</t>
        </is>
      </c>
      <c r="C101" t="inlineStr">
        <is>
          <t>0822-1723-3233</t>
        </is>
      </c>
      <c r="D101" t="inlineStr">
        <is>
          <t>araniaga.cv@gmail.com</t>
        </is>
      </c>
      <c r="E101" t="inlineStr">
        <is>
          <t>https://lpjk.pu.go.id/search-badan-usaha-detail/NnA1TVhWV1dZWG16MGJUN0VnckpkZz09</t>
        </is>
      </c>
      <c r="F101" t="n">
        <v>1</v>
      </c>
      <c r="G101" t="inlineStr">
        <is>
          <t>BG009</t>
        </is>
      </c>
      <c r="H101" t="inlineStr">
        <is>
          <t>6 Juni 2017</t>
        </is>
      </c>
      <c r="I101" s="2" t="n">
        <v>46278</v>
      </c>
      <c r="J101" t="inlineStr">
        <is>
          <t>Disetujui</t>
        </is>
      </c>
      <c r="K101" t="n">
        <v>30</v>
      </c>
      <c r="L101" t="inlineStr">
        <is>
          <t>13 September 2026</t>
        </is>
      </c>
      <c r="M101" t="inlineStr">
        <is>
          <t>Konstruksi Gedung Lainnya</t>
        </is>
      </c>
      <c r="N101" t="inlineStr">
        <is>
          <t>K</t>
        </is>
      </c>
      <c r="O101" t="inlineStr">
        <is>
          <t>20230912</t>
        </is>
      </c>
      <c r="P101" t="inlineStr">
        <is>
          <t>Jawa Barat</t>
        </is>
      </c>
      <c r="Q101" t="inlineStr"/>
    </row>
    <row r="102">
      <c r="A102" t="inlineStr">
        <is>
          <t>ANEKA BANGUN SARANA</t>
        </is>
      </c>
      <c r="B102" t="inlineStr">
        <is>
          <t>Kab. Kebumen</t>
        </is>
      </c>
      <c r="C102" t="inlineStr">
        <is>
          <t>0287471667</t>
        </is>
      </c>
      <c r="D102" t="inlineStr">
        <is>
          <t>aneka_bangun_sarana@yahoo.co.id</t>
        </is>
      </c>
      <c r="E102" t="inlineStr">
        <is>
          <t>https://lpjk.pu.go.id/search-badan-usaha-detail/ZU5udFEveE03Q2gya1VGaC9TTGZJdz09</t>
        </is>
      </c>
      <c r="F102" t="n">
        <v>2</v>
      </c>
      <c r="G102" t="inlineStr">
        <is>
          <t>BG006</t>
        </is>
      </c>
      <c r="H102" t="inlineStr">
        <is>
          <t>22 Desember 2003</t>
        </is>
      </c>
      <c r="I102" s="2" t="n">
        <v>46277</v>
      </c>
      <c r="J102" t="inlineStr">
        <is>
          <t>Pencabutan</t>
        </is>
      </c>
      <c r="K102" t="n">
        <v>30</v>
      </c>
      <c r="L102" t="inlineStr">
        <is>
          <t>12 September 2026</t>
        </is>
      </c>
      <c r="M102" t="inlineStr">
        <is>
          <t>Konstruksi Gedung Pendidikan</t>
        </is>
      </c>
      <c r="N102" t="inlineStr">
        <is>
          <t>M</t>
        </is>
      </c>
      <c r="O102" t="inlineStr">
        <is>
          <t>20230728</t>
        </is>
      </c>
      <c r="P102" t="inlineStr">
        <is>
          <t>Jawa Tengah</t>
        </is>
      </c>
      <c r="Q102" t="inlineStr"/>
    </row>
    <row r="103">
      <c r="A103" t="inlineStr">
        <is>
          <t>ANEKA JASA GRHADIKA</t>
        </is>
      </c>
      <c r="B103" t="inlineStr">
        <is>
          <t>Kab. Gresik</t>
        </is>
      </c>
      <c r="C103" t="inlineStr">
        <is>
          <t>0313954726</t>
        </is>
      </c>
      <c r="D103" t="inlineStr">
        <is>
          <t>perijinan.ajg.mei@gmail.com</t>
        </is>
      </c>
      <c r="E103" t="inlineStr">
        <is>
          <t>https://lpjk.pu.go.id/search-badan-usaha-detail/TE4xS3pKL3pld2JQSmE1RE5xYzQyRjA4VWtGNGVyRXJiNVhIem9lem0wMD0</t>
        </is>
      </c>
      <c r="F103" t="n">
        <v>1</v>
      </c>
      <c r="G103" t="inlineStr">
        <is>
          <t>IN001</t>
        </is>
      </c>
      <c r="H103" t="inlineStr">
        <is>
          <t>1 Oktober 2025</t>
        </is>
      </c>
      <c r="I103" s="2" t="n">
        <v>46283</v>
      </c>
      <c r="J103" t="inlineStr">
        <is>
          <t>Disetujui</t>
        </is>
      </c>
      <c r="K103" t="n">
        <v>30</v>
      </c>
      <c r="L103" t="inlineStr">
        <is>
          <t>18 September 2026</t>
        </is>
      </c>
      <c r="M103" t="inlineStr">
        <is>
          <t>Instalasi Mekanikal</t>
        </is>
      </c>
      <c r="N103" t="inlineStr">
        <is>
          <t>Spesialis</t>
        </is>
      </c>
      <c r="O103" t="inlineStr">
        <is>
          <t>20230914</t>
        </is>
      </c>
      <c r="P103" t="inlineStr">
        <is>
          <t>Jawa Timur</t>
        </is>
      </c>
      <c r="Q103" t="inlineStr"/>
    </row>
    <row r="104">
      <c r="A104" t="inlineStr">
        <is>
          <t>ANEKA KARYA</t>
        </is>
      </c>
      <c r="B104" t="inlineStr">
        <is>
          <t>Kab. Tuban</t>
        </is>
      </c>
      <c r="C104" t="inlineStr">
        <is>
          <t>08113400840</t>
        </is>
      </c>
      <c r="D104" t="inlineStr">
        <is>
          <t>ikifath@gmail.com</t>
        </is>
      </c>
      <c r="E104" t="inlineStr">
        <is>
          <t>https://lpjk.pu.go.id/search-badan-usaha-detail/S1p3M05jQlJrblFselRtTFR0d2lidz09</t>
        </is>
      </c>
      <c r="F104" t="n">
        <v>8</v>
      </c>
      <c r="G104" t="inlineStr">
        <is>
          <t>BG002, BG009, BS001, BS004</t>
        </is>
      </c>
      <c r="H104" t="inlineStr">
        <is>
          <t>6 November 2015</t>
        </is>
      </c>
      <c r="I104" s="2" t="n">
        <v>46277</v>
      </c>
      <c r="J104" t="inlineStr">
        <is>
          <t>Disetujui</t>
        </is>
      </c>
      <c r="K104" t="n">
        <v>30</v>
      </c>
      <c r="L104" t="inlineStr">
        <is>
          <t>12 September 2026</t>
        </is>
      </c>
      <c r="M104" t="inlineStr">
        <is>
          <t>Konstruksi Bangunan Sipil Jalan, Konstruksi Gedung Lainnya, Konstruksi Gedung Perkantoran, Konstruksi Jaringan Irigasi dan Drainase</t>
        </is>
      </c>
      <c r="N104" t="inlineStr">
        <is>
          <t>K</t>
        </is>
      </c>
      <c r="O104" t="inlineStr">
        <is>
          <t>20230901, 20230912</t>
        </is>
      </c>
      <c r="P104" t="inlineStr">
        <is>
          <t>Jawa Timur</t>
        </is>
      </c>
      <c r="Q104" t="inlineStr"/>
    </row>
    <row r="105">
      <c r="A105" t="inlineStr">
        <is>
          <t>ANEKA RAYA KONSTRUKSI</t>
        </is>
      </c>
      <c r="B105" t="inlineStr">
        <is>
          <t>Kab. Sintang</t>
        </is>
      </c>
      <c r="C105" t="inlineStr">
        <is>
          <t>085251585682</t>
        </is>
      </c>
      <c r="D105" t="inlineStr">
        <is>
          <t>anekarayakontruktion@gmail.com</t>
        </is>
      </c>
      <c r="E105" t="inlineStr">
        <is>
          <t>https://lpjk.pu.go.id/search-badan-usaha-detail/UUt2OUc4NzQzemtEdVo3bURLK2twZz09</t>
        </is>
      </c>
      <c r="F105" t="n">
        <v>2</v>
      </c>
      <c r="G105" t="inlineStr">
        <is>
          <t>BS001</t>
        </is>
      </c>
      <c r="H105" t="inlineStr">
        <is>
          <t>6 Februari 2023</t>
        </is>
      </c>
      <c r="I105" s="2" t="n">
        <v>46282</v>
      </c>
      <c r="J105" t="inlineStr">
        <is>
          <t>Disetujui</t>
        </is>
      </c>
      <c r="K105" t="n">
        <v>30</v>
      </c>
      <c r="L105" t="inlineStr">
        <is>
          <t>17 September 2026</t>
        </is>
      </c>
      <c r="M105" t="inlineStr">
        <is>
          <t>Konstruksi Bangunan Sipil Jalan</t>
        </is>
      </c>
      <c r="N105" t="inlineStr">
        <is>
          <t>K</t>
        </is>
      </c>
      <c r="O105" t="inlineStr">
        <is>
          <t>20230910</t>
        </is>
      </c>
      <c r="P105" t="inlineStr">
        <is>
          <t>Kalimantan Barat</t>
        </is>
      </c>
      <c r="Q105" t="inlineStr"/>
    </row>
    <row r="106">
      <c r="A106" t="inlineStr">
        <is>
          <t>ANGGREK TEKNIK</t>
        </is>
      </c>
      <c r="B106" t="inlineStr">
        <is>
          <t>Kab. Lombok Tengah</t>
        </is>
      </c>
      <c r="C106" t="inlineStr">
        <is>
          <t>08175738507</t>
        </is>
      </c>
      <c r="D106" t="inlineStr">
        <is>
          <t>cvanggrekteknik@gmail.com</t>
        </is>
      </c>
      <c r="E106" t="inlineStr">
        <is>
          <t>https://lpjk.pu.go.id/search-badan-usaha-detail/RW1tQ2Z2ZU5tSHlFeVk0R0NlNUlUZz09</t>
        </is>
      </c>
      <c r="F106" t="n">
        <v>1</v>
      </c>
      <c r="G106" t="inlineStr">
        <is>
          <t>BG009</t>
        </is>
      </c>
      <c r="H106" t="inlineStr">
        <is>
          <t>24 November 2021</t>
        </is>
      </c>
      <c r="I106" s="2" t="n">
        <v>46282</v>
      </c>
      <c r="J106" t="inlineStr">
        <is>
          <t>Pencabutan</t>
        </is>
      </c>
      <c r="K106" t="n">
        <v>30</v>
      </c>
      <c r="L106" t="inlineStr">
        <is>
          <t>17 September 2026</t>
        </is>
      </c>
      <c r="M106" t="inlineStr">
        <is>
          <t>Konstruksi Gedung Lainnya</t>
        </is>
      </c>
      <c r="N106" t="inlineStr">
        <is>
          <t>K</t>
        </is>
      </c>
      <c r="O106" t="inlineStr">
        <is>
          <t>20230915</t>
        </is>
      </c>
      <c r="P106" t="inlineStr">
        <is>
          <t>Nusa Tenggara Barat</t>
        </is>
      </c>
      <c r="Q106" t="inlineStr"/>
    </row>
    <row r="107">
      <c r="A107" t="inlineStr">
        <is>
          <t>ANTIKA PURNAMA JAYA</t>
        </is>
      </c>
      <c r="B107" t="inlineStr">
        <is>
          <t>Kab. Gresik</t>
        </is>
      </c>
      <c r="C107" t="inlineStr">
        <is>
          <t>081334714500</t>
        </is>
      </c>
      <c r="D107" t="inlineStr">
        <is>
          <t>cv.antikapurnamajaya@gmail.com</t>
        </is>
      </c>
      <c r="E107" t="inlineStr">
        <is>
          <t>https://lpjk.pu.go.id/search-badan-usaha-detail/UUM1T3ZQNXduaTJlMHVESkc0aXZMdz09</t>
        </is>
      </c>
      <c r="F107" t="n">
        <v>2</v>
      </c>
      <c r="G107" t="inlineStr">
        <is>
          <t>BG006, BG009</t>
        </is>
      </c>
      <c r="H107" t="inlineStr">
        <is>
          <t>21 Februari 2023</t>
        </is>
      </c>
      <c r="I107" s="2" t="n">
        <v>46282</v>
      </c>
      <c r="J107" t="inlineStr">
        <is>
          <t>Disetujui</t>
        </is>
      </c>
      <c r="K107" t="n">
        <v>30</v>
      </c>
      <c r="L107" t="inlineStr">
        <is>
          <t>17 September 2026</t>
        </is>
      </c>
      <c r="M107" t="inlineStr">
        <is>
          <t>Konstruksi Gedung Lainnya, Konstruksi Gedung Pendidikan</t>
        </is>
      </c>
      <c r="N107" t="inlineStr">
        <is>
          <t>K</t>
        </is>
      </c>
      <c r="O107" t="inlineStr">
        <is>
          <t>20230903</t>
        </is>
      </c>
      <c r="P107" t="inlineStr">
        <is>
          <t>Jawa Timur</t>
        </is>
      </c>
      <c r="Q107" t="inlineStr"/>
    </row>
    <row r="108">
      <c r="A108" t="inlineStr">
        <is>
          <t>ANUGERAH DUA PUTRI</t>
        </is>
      </c>
      <c r="B108" t="inlineStr">
        <is>
          <t>Kota Pekanbaru</t>
        </is>
      </c>
      <c r="C108" t="inlineStr">
        <is>
          <t>081378202755</t>
        </is>
      </c>
      <c r="D108" t="inlineStr">
        <is>
          <t>anugerahduaputri@gmail.com</t>
        </is>
      </c>
      <c r="E108" t="inlineStr">
        <is>
          <t>https://lpjk.pu.go.id/search-badan-usaha-detail/aXBuNklUWmFUNUxpVEpjK0FRV0s0UT09</t>
        </is>
      </c>
      <c r="F108" t="n">
        <v>1</v>
      </c>
      <c r="G108" t="inlineStr">
        <is>
          <t>BG001</t>
        </is>
      </c>
      <c r="H108" t="inlineStr">
        <is>
          <t>2 November 2020</t>
        </is>
      </c>
      <c r="I108" s="2" t="n">
        <v>46282</v>
      </c>
      <c r="J108" t="inlineStr">
        <is>
          <t>Disetujui</t>
        </is>
      </c>
      <c r="K108" t="n">
        <v>30</v>
      </c>
      <c r="L108" t="inlineStr">
        <is>
          <t>17 September 2026</t>
        </is>
      </c>
      <c r="M108" t="inlineStr">
        <is>
          <t>Konstruksi Gedung Hunian</t>
        </is>
      </c>
      <c r="N108" t="inlineStr">
        <is>
          <t>K</t>
        </is>
      </c>
      <c r="O108" t="inlineStr">
        <is>
          <t>20230912</t>
        </is>
      </c>
      <c r="P108" t="inlineStr">
        <is>
          <t>Riau</t>
        </is>
      </c>
      <c r="Q108" t="inlineStr"/>
    </row>
    <row r="109">
      <c r="A109" t="inlineStr">
        <is>
          <t>ANUGERAH KAHAYAN PERKASA</t>
        </is>
      </c>
      <c r="B109" t="inlineStr">
        <is>
          <t>Kab. Pulang Pisau</t>
        </is>
      </c>
      <c r="C109" t="inlineStr">
        <is>
          <t>085249427570</t>
        </is>
      </c>
      <c r="D109" t="inlineStr">
        <is>
          <t>anugerahkahayanperkasa@gmail.com</t>
        </is>
      </c>
      <c r="E109" t="inlineStr">
        <is>
          <t>https://lpjk.pu.go.id/search-badan-usaha-detail/b2RSRE9lUldZVFZreEs5d0dMUmVFdz09</t>
        </is>
      </c>
      <c r="F109" t="n">
        <v>2</v>
      </c>
      <c r="G109" t="inlineStr">
        <is>
          <t>BG009, BS001</t>
        </is>
      </c>
      <c r="H109" t="inlineStr">
        <is>
          <t>5 Agustus 2023</t>
        </is>
      </c>
      <c r="I109" s="2" t="n">
        <v>46278</v>
      </c>
      <c r="J109" t="inlineStr">
        <is>
          <t>Disetujui</t>
        </is>
      </c>
      <c r="K109" t="n">
        <v>30</v>
      </c>
      <c r="L109" t="inlineStr">
        <is>
          <t>13 September 2026</t>
        </is>
      </c>
      <c r="M109" t="inlineStr">
        <is>
          <t>Konstruksi Bangunan Sipil Jalan, Konstruksi Gedung Lainnya</t>
        </is>
      </c>
      <c r="N109" t="inlineStr">
        <is>
          <t>K</t>
        </is>
      </c>
      <c r="O109" t="inlineStr">
        <is>
          <t>20230911</t>
        </is>
      </c>
      <c r="P109" t="inlineStr">
        <is>
          <t>Kalimantan Tengah</t>
        </is>
      </c>
      <c r="Q109" t="inlineStr"/>
    </row>
    <row r="110">
      <c r="A110" t="inlineStr">
        <is>
          <t>ANUGERAH MYCHAEL</t>
        </is>
      </c>
      <c r="B110" t="inlineStr">
        <is>
          <t>Kota Kupang</t>
        </is>
      </c>
      <c r="C110" t="inlineStr">
        <is>
          <t>085239625123</t>
        </is>
      </c>
      <c r="D110" t="inlineStr">
        <is>
          <t>anugerah.mychael@gmail.com</t>
        </is>
      </c>
      <c r="E110" t="inlineStr">
        <is>
          <t>https://lpjk.pu.go.id/search-badan-usaha-detail/Yk9xaE04VkRUQjU5K1hPa0tFdzdCUT09</t>
        </is>
      </c>
      <c r="F110" t="n">
        <v>2</v>
      </c>
      <c r="G110" t="inlineStr">
        <is>
          <t>BG001, BG009</t>
        </is>
      </c>
      <c r="H110" t="inlineStr">
        <is>
          <t>8 Juni 2017</t>
        </is>
      </c>
      <c r="I110" s="2" t="n">
        <v>46277</v>
      </c>
      <c r="J110" t="inlineStr">
        <is>
          <t>Disetujui</t>
        </is>
      </c>
      <c r="K110" t="n">
        <v>30</v>
      </c>
      <c r="L110" t="inlineStr">
        <is>
          <t>12 September 2026</t>
        </is>
      </c>
      <c r="M110" t="inlineStr">
        <is>
          <t>Konstruksi Gedung Hunian, Konstruksi Gedung Lainnya</t>
        </is>
      </c>
      <c r="N110" t="inlineStr">
        <is>
          <t>K</t>
        </is>
      </c>
      <c r="O110" t="inlineStr">
        <is>
          <t>20230911, 20230912</t>
        </is>
      </c>
      <c r="P110" t="inlineStr">
        <is>
          <t>Nusa Tenggara Timur</t>
        </is>
      </c>
      <c r="Q110" t="inlineStr"/>
    </row>
    <row r="111">
      <c r="A111" t="inlineStr">
        <is>
          <t>ANUGERAH REZEKI MULIA</t>
        </is>
      </c>
      <c r="B111" t="inlineStr">
        <is>
          <t>Kota Banjarmasin</t>
        </is>
      </c>
      <c r="C111" t="inlineStr">
        <is>
          <t>081351096597</t>
        </is>
      </c>
      <c r="D111" t="inlineStr">
        <is>
          <t>ptanugerahrezekimulia@gmail.com</t>
        </is>
      </c>
      <c r="E111" t="inlineStr">
        <is>
          <t>https://lpjk.pu.go.id/search-badan-usaha-detail/MjBPcW5HYXlTd0lYWmJOaVk1N2h4dz09</t>
        </is>
      </c>
      <c r="F111" t="n">
        <v>2</v>
      </c>
      <c r="G111" t="inlineStr">
        <is>
          <t>BG005, BG008</t>
        </is>
      </c>
      <c r="H111" t="inlineStr">
        <is>
          <t>10 November 2022</t>
        </is>
      </c>
      <c r="I111" s="2" t="n">
        <v>46277</v>
      </c>
      <c r="J111" t="inlineStr">
        <is>
          <t>Disetujui</t>
        </is>
      </c>
      <c r="K111" t="n">
        <v>30</v>
      </c>
      <c r="L111" t="inlineStr">
        <is>
          <t>12 September 2026</t>
        </is>
      </c>
      <c r="M111" t="inlineStr">
        <is>
          <t>Konstruksi Gedung Kesehatan, Konstruksi Gedung Tempat Hiburan dan Olahraga</t>
        </is>
      </c>
      <c r="N111" t="inlineStr">
        <is>
          <t>K</t>
        </is>
      </c>
      <c r="O111" t="inlineStr">
        <is>
          <t>20230901</t>
        </is>
      </c>
      <c r="P111" t="inlineStr">
        <is>
          <t>Kalimantan Selatan</t>
        </is>
      </c>
      <c r="Q111" t="inlineStr"/>
    </row>
    <row r="112">
      <c r="A112" t="inlineStr">
        <is>
          <t>ANUGERAH SETIA PERDANA</t>
        </is>
      </c>
      <c r="B112" t="inlineStr">
        <is>
          <t>Kota Palembang</t>
        </is>
      </c>
      <c r="C112" t="inlineStr">
        <is>
          <t>0711519738</t>
        </is>
      </c>
      <c r="D112" t="inlineStr">
        <is>
          <t>pt.anugerahsetia@gmail.com</t>
        </is>
      </c>
      <c r="E112" t="inlineStr">
        <is>
          <t>https://lpjk.pu.go.id/search-badan-usaha-detail/VFZWcmw3YUxqVkk5cUw1RzQxNnFNdz09</t>
        </is>
      </c>
      <c r="F112" t="n">
        <v>2</v>
      </c>
      <c r="G112" t="inlineStr">
        <is>
          <t>BG001, BG009</t>
        </is>
      </c>
      <c r="H112" t="inlineStr">
        <is>
          <t>21 April 2010</t>
        </is>
      </c>
      <c r="I112" s="2" t="n">
        <v>46282</v>
      </c>
      <c r="J112" t="inlineStr">
        <is>
          <t>Disetujui</t>
        </is>
      </c>
      <c r="K112" t="n">
        <v>30</v>
      </c>
      <c r="L112" t="inlineStr">
        <is>
          <t>17 September 2026</t>
        </is>
      </c>
      <c r="M112" t="inlineStr">
        <is>
          <t>Konstruksi Gedung Hunian, Konstruksi Gedung Lainnya</t>
        </is>
      </c>
      <c r="N112" t="inlineStr">
        <is>
          <t>K</t>
        </is>
      </c>
      <c r="O112" t="inlineStr">
        <is>
          <t>20230912, 20230913</t>
        </is>
      </c>
      <c r="P112" t="inlineStr">
        <is>
          <t>Sumatera Selatan</t>
        </is>
      </c>
      <c r="Q112" t="inlineStr"/>
    </row>
    <row r="113">
      <c r="A113" t="inlineStr">
        <is>
          <t>ANUGERAH SOTERIA</t>
        </is>
      </c>
      <c r="B113" t="inlineStr">
        <is>
          <t>Kab. Siak</t>
        </is>
      </c>
      <c r="C113" t="inlineStr">
        <is>
          <t>08116900930</t>
        </is>
      </c>
      <c r="D113" t="inlineStr">
        <is>
          <t>ptanugerahsoteria9@gmail.com</t>
        </is>
      </c>
      <c r="E113" t="inlineStr">
        <is>
          <t>https://lpjk.pu.go.id/search-badan-usaha-detail/emd1WjVNN0xWMTZaUmJ6dWxEM3FzZz09</t>
        </is>
      </c>
      <c r="F113" t="n">
        <v>3</v>
      </c>
      <c r="G113" t="inlineStr">
        <is>
          <t>BG003</t>
        </is>
      </c>
      <c r="H113" t="inlineStr">
        <is>
          <t>31 Oktober 2012</t>
        </is>
      </c>
      <c r="I113" s="2" t="n">
        <v>46278</v>
      </c>
      <c r="J113" t="inlineStr">
        <is>
          <t>Disetujui</t>
        </is>
      </c>
      <c r="K113" t="n">
        <v>30</v>
      </c>
      <c r="L113" t="inlineStr">
        <is>
          <t>13 September 2026</t>
        </is>
      </c>
      <c r="M113" t="inlineStr">
        <is>
          <t>Konstruksi Gedung Industri</t>
        </is>
      </c>
      <c r="N113" t="inlineStr">
        <is>
          <t>K</t>
        </is>
      </c>
      <c r="O113" t="inlineStr">
        <is>
          <t>20230913</t>
        </is>
      </c>
      <c r="P113" t="inlineStr">
        <is>
          <t>Riau</t>
        </is>
      </c>
      <c r="Q113" t="inlineStr"/>
    </row>
    <row r="114">
      <c r="A114" t="inlineStr">
        <is>
          <t>ANUGRAH BERKAH GUSTI</t>
        </is>
      </c>
      <c r="B114" t="inlineStr">
        <is>
          <t>Kab. Jepara</t>
        </is>
      </c>
      <c r="C114" t="inlineStr">
        <is>
          <t>082134127325</t>
        </is>
      </c>
      <c r="D114" t="inlineStr">
        <is>
          <t>pt.anugrahberkahgusti@gmail.com</t>
        </is>
      </c>
      <c r="E114" t="inlineStr">
        <is>
          <t>https://lpjk.pu.go.id/search-badan-usaha-detail/T0tSZXJyVE8va25KaFBmMHV3bHRKdz09</t>
        </is>
      </c>
      <c r="F114" t="n">
        <v>10</v>
      </c>
      <c r="G114" t="inlineStr">
        <is>
          <t>BG002, BG005, BG006, BG008, BG009</t>
        </is>
      </c>
      <c r="H114" t="inlineStr">
        <is>
          <t>17 Januari 2018</t>
        </is>
      </c>
      <c r="I114" s="2" t="n">
        <v>46278</v>
      </c>
      <c r="J114" t="inlineStr">
        <is>
          <t>Pencabutan</t>
        </is>
      </c>
      <c r="K114" t="n">
        <v>30</v>
      </c>
      <c r="L114" t="inlineStr">
        <is>
          <t>13 September 2026</t>
        </is>
      </c>
      <c r="M114" t="inlineStr">
        <is>
          <t>Konstruksi Gedung Kesehatan, Konstruksi Gedung Lainnya, Konstruksi Gedung Pendidikan, Konstruksi Gedung Perkantoran, Konstruksi Gedung Tempat Hiburan dan Olahraga</t>
        </is>
      </c>
      <c r="N114" t="inlineStr">
        <is>
          <t>K</t>
        </is>
      </c>
      <c r="O114" t="inlineStr">
        <is>
          <t>20230913, 20230914</t>
        </is>
      </c>
      <c r="P114" t="inlineStr">
        <is>
          <t>Jawa Tengah</t>
        </is>
      </c>
      <c r="Q114" t="inlineStr"/>
    </row>
    <row r="115">
      <c r="A115" t="inlineStr">
        <is>
          <t>ANUGRAH KARYA PERSADA</t>
        </is>
      </c>
      <c r="B115" t="inlineStr">
        <is>
          <t>Kab. Sumedang</t>
        </is>
      </c>
      <c r="C115" t="inlineStr">
        <is>
          <t>082315751429</t>
        </is>
      </c>
      <c r="D115" t="inlineStr">
        <is>
          <t>anugrahkaryapersadacv@gmail.com</t>
        </is>
      </c>
      <c r="E115" t="inlineStr">
        <is>
          <t>https://lpjk.pu.go.id/search-badan-usaha-detail/R2FvUUtYckxrdzVzbkZNTjlwVWk3Zz09</t>
        </is>
      </c>
      <c r="F115" t="n">
        <v>2</v>
      </c>
      <c r="G115" t="inlineStr">
        <is>
          <t>BG002</t>
        </is>
      </c>
      <c r="H115" t="inlineStr">
        <is>
          <t>5 April 2021</t>
        </is>
      </c>
      <c r="I115" s="2" t="n">
        <v>46280</v>
      </c>
      <c r="J115" t="inlineStr">
        <is>
          <t>Disetujui</t>
        </is>
      </c>
      <c r="K115" t="n">
        <v>30</v>
      </c>
      <c r="L115" t="inlineStr">
        <is>
          <t>15 September 2026</t>
        </is>
      </c>
      <c r="M115" t="inlineStr">
        <is>
          <t>Konstruksi Gedung Perkantoran</t>
        </is>
      </c>
      <c r="N115" t="inlineStr">
        <is>
          <t>K</t>
        </is>
      </c>
      <c r="O115" t="inlineStr">
        <is>
          <t>20230908</t>
        </is>
      </c>
      <c r="P115" t="inlineStr">
        <is>
          <t>Jawa Barat</t>
        </is>
      </c>
      <c r="Q115" t="inlineStr"/>
    </row>
    <row r="116">
      <c r="A116" t="inlineStr">
        <is>
          <t>ANUGRAH MAHA KARYA PERSADA</t>
        </is>
      </c>
      <c r="B116" t="inlineStr">
        <is>
          <t>Kab. Tuban</t>
        </is>
      </c>
      <c r="C116" t="inlineStr">
        <is>
          <t>082143196801</t>
        </is>
      </c>
      <c r="D116" t="inlineStr">
        <is>
          <t>pt.amkpersada@gmail.com</t>
        </is>
      </c>
      <c r="E116" t="inlineStr">
        <is>
          <t>https://lpjk.pu.go.id/search-badan-usaha-detail/WWtvUElndjdnNGNDbXdOUiswalhhZz09</t>
        </is>
      </c>
      <c r="F116" t="n">
        <v>2</v>
      </c>
      <c r="G116" t="inlineStr">
        <is>
          <t>BS001</t>
        </is>
      </c>
      <c r="H116" t="inlineStr">
        <is>
          <t>11 Maret 2020</t>
        </is>
      </c>
      <c r="I116" s="2" t="n">
        <v>46277</v>
      </c>
      <c r="J116" t="inlineStr">
        <is>
          <t>Disetujui</t>
        </is>
      </c>
      <c r="K116" t="n">
        <v>30</v>
      </c>
      <c r="L116" t="inlineStr">
        <is>
          <t>12 September 2026</t>
        </is>
      </c>
      <c r="M116" t="inlineStr">
        <is>
          <t>Konstruksi Bangunan Sipil Jalan</t>
        </is>
      </c>
      <c r="N116" t="inlineStr">
        <is>
          <t>K</t>
        </is>
      </c>
      <c r="O116" t="inlineStr">
        <is>
          <t>20230911</t>
        </is>
      </c>
      <c r="P116" t="inlineStr">
        <is>
          <t>Jawa Timur</t>
        </is>
      </c>
      <c r="Q116" t="inlineStr"/>
    </row>
    <row r="117">
      <c r="A117" t="inlineStr">
        <is>
          <t>ANUGRAH SUKSES KEMBAR SEPASANG</t>
        </is>
      </c>
      <c r="B117" t="inlineStr">
        <is>
          <t>Kota Tangerang Selatan</t>
        </is>
      </c>
      <c r="C117" t="inlineStr">
        <is>
          <t>081318721159</t>
        </is>
      </c>
      <c r="D117" t="inlineStr">
        <is>
          <t>anugrahsukseskembarsepasang@gmail.com</t>
        </is>
      </c>
      <c r="E117" t="inlineStr">
        <is>
          <t>https://lpjk.pu.go.id/search-badan-usaha-detail/b092VzRoTWFjeGQwK0tvKzYrUWRWZz09</t>
        </is>
      </c>
      <c r="F117" t="n">
        <v>8</v>
      </c>
      <c r="G117" t="inlineStr">
        <is>
          <t>BG002, BG003, BG006, BS001</t>
        </is>
      </c>
      <c r="H117" t="inlineStr">
        <is>
          <t>13 Desember 2019</t>
        </is>
      </c>
      <c r="I117" s="2" t="n">
        <v>46279</v>
      </c>
      <c r="J117" t="inlineStr">
        <is>
          <t>Disetujui</t>
        </is>
      </c>
      <c r="K117" t="n">
        <v>30</v>
      </c>
      <c r="L117" t="inlineStr">
        <is>
          <t>14 September 2026</t>
        </is>
      </c>
      <c r="M117" t="inlineStr">
        <is>
          <t>Konstruksi Bangunan Sipil Jalan, Konstruksi Gedung Industri, Konstruksi Gedung Pendidikan, Konstruksi Gedung Perkantoran</t>
        </is>
      </c>
      <c r="N117" t="inlineStr">
        <is>
          <t>K</t>
        </is>
      </c>
      <c r="O117" t="inlineStr">
        <is>
          <t>20230910</t>
        </is>
      </c>
      <c r="P117" t="inlineStr">
        <is>
          <t>Banten</t>
        </is>
      </c>
      <c r="Q117" t="inlineStr"/>
    </row>
    <row r="118">
      <c r="A118" t="inlineStr">
        <is>
          <t>ARBI KONSTRUKSI</t>
        </is>
      </c>
      <c r="B118" t="inlineStr">
        <is>
          <t>Kota Palembang</t>
        </is>
      </c>
      <c r="C118" t="inlineStr">
        <is>
          <t>081367520400</t>
        </is>
      </c>
      <c r="D118" t="inlineStr">
        <is>
          <t>arbikontsruksi@gmail.com</t>
        </is>
      </c>
      <c r="E118" t="inlineStr">
        <is>
          <t>https://lpjk.pu.go.id/search-badan-usaha-detail/NTVpVWRiOTVzWkhnQ1N5QmVrMmtMdz09</t>
        </is>
      </c>
      <c r="F118" t="n">
        <v>4</v>
      </c>
      <c r="G118" t="inlineStr">
        <is>
          <t>BG004, BG007, BG009, BS001</t>
        </is>
      </c>
      <c r="H118" t="inlineStr">
        <is>
          <t>21 Maret 2023</t>
        </is>
      </c>
      <c r="I118" s="2" t="n">
        <v>46283</v>
      </c>
      <c r="J118" t="inlineStr">
        <is>
          <t>Disetujui</t>
        </is>
      </c>
      <c r="K118" t="n">
        <v>30</v>
      </c>
      <c r="L118" t="inlineStr">
        <is>
          <t>18 September 2026</t>
        </is>
      </c>
      <c r="M118" t="inlineStr">
        <is>
          <t>Konstruksi Bangunan Sipil Jalan, Konstruksi Gedung Lainnya, Konstruksi Gedung Penginapan, Konstruksi Gedung Perbelanjaan</t>
        </is>
      </c>
      <c r="N118" t="inlineStr">
        <is>
          <t>K</t>
        </is>
      </c>
      <c r="O118" t="inlineStr">
        <is>
          <t>20230913</t>
        </is>
      </c>
      <c r="P118" t="inlineStr">
        <is>
          <t>Sumatera Selatan</t>
        </is>
      </c>
      <c r="Q118" t="inlineStr"/>
    </row>
    <row r="119">
      <c r="A119" t="inlineStr">
        <is>
          <t>ARFINDO DUTA KENCANA</t>
        </is>
      </c>
      <c r="B119" t="inlineStr">
        <is>
          <t>Kota Sorong</t>
        </is>
      </c>
      <c r="C119" t="inlineStr">
        <is>
          <t>0811485011</t>
        </is>
      </c>
      <c r="D119" t="inlineStr">
        <is>
          <t>arfindo_dk@yahoo.co.id</t>
        </is>
      </c>
      <c r="E119" t="inlineStr">
        <is>
          <t>https://lpjk.pu.go.id/search-badan-usaha-detail/UGdxTkFKazBMUmJ4bnk5MWcweVZNdz09</t>
        </is>
      </c>
      <c r="F119" t="n">
        <v>1</v>
      </c>
      <c r="G119" t="inlineStr">
        <is>
          <t>BG001</t>
        </is>
      </c>
      <c r="H119" t="inlineStr">
        <is>
          <t>26 Januari 2005</t>
        </is>
      </c>
      <c r="I119" s="2" t="n">
        <v>46280</v>
      </c>
      <c r="J119" t="inlineStr">
        <is>
          <t>Pencabutan</t>
        </is>
      </c>
      <c r="K119" t="n">
        <v>30</v>
      </c>
      <c r="L119" t="inlineStr">
        <is>
          <t>15 September 2026</t>
        </is>
      </c>
      <c r="M119" t="inlineStr">
        <is>
          <t>Konstruksi Gedung Hunian</t>
        </is>
      </c>
      <c r="N119" t="inlineStr">
        <is>
          <t>M</t>
        </is>
      </c>
      <c r="O119" t="inlineStr">
        <is>
          <t>20230915</t>
        </is>
      </c>
      <c r="P119" t="inlineStr">
        <is>
          <t>Papua Barat</t>
        </is>
      </c>
      <c r="Q119" t="inlineStr"/>
    </row>
    <row r="120">
      <c r="A120" t="inlineStr">
        <is>
          <t>ARGHA TEHNIK MAKMUR</t>
        </is>
      </c>
      <c r="B120" t="inlineStr">
        <is>
          <t>Kota Adm. Jakarta Barat</t>
        </is>
      </c>
      <c r="C120" t="inlineStr">
        <is>
          <t>082110389812</t>
        </is>
      </c>
      <c r="D120" t="inlineStr">
        <is>
          <t>arghatehnikmakmur@gmail.com</t>
        </is>
      </c>
      <c r="E120" t="inlineStr">
        <is>
          <t>https://lpjk.pu.go.id/search-badan-usaha-detail/YkQyRko5ek42RDNUTGRkbTZkOVdKZz09</t>
        </is>
      </c>
      <c r="F120" t="n">
        <v>1</v>
      </c>
      <c r="G120" t="inlineStr">
        <is>
          <t>IN001</t>
        </is>
      </c>
      <c r="H120" t="inlineStr">
        <is>
          <t>9 April 2019</t>
        </is>
      </c>
      <c r="I120" s="2" t="n">
        <v>46278</v>
      </c>
      <c r="J120" t="inlineStr">
        <is>
          <t>Pembekuan</t>
        </is>
      </c>
      <c r="K120" t="n">
        <v>30</v>
      </c>
      <c r="L120" t="inlineStr">
        <is>
          <t>13 September 2026</t>
        </is>
      </c>
      <c r="M120" t="inlineStr">
        <is>
          <t>Instalasi Mekanikal</t>
        </is>
      </c>
      <c r="N120" t="inlineStr">
        <is>
          <t>Spesialis</t>
        </is>
      </c>
      <c r="O120" t="inlineStr">
        <is>
          <t>20230913</t>
        </is>
      </c>
      <c r="P120" t="inlineStr">
        <is>
          <t>DKI Jakarta</t>
        </is>
      </c>
      <c r="Q120" t="inlineStr"/>
    </row>
    <row r="121">
      <c r="A121" t="inlineStr">
        <is>
          <t>ARIA JAYA RAYA</t>
        </is>
      </c>
      <c r="B121" t="inlineStr">
        <is>
          <t>Kab. Lombok Barat</t>
        </is>
      </c>
      <c r="C121" t="inlineStr">
        <is>
          <t>085237354982</t>
        </is>
      </c>
      <c r="D121" t="inlineStr">
        <is>
          <t>ajr.ariajayaraya@gmail.com</t>
        </is>
      </c>
      <c r="E121" t="inlineStr">
        <is>
          <t>https://lpjk.pu.go.id/search-badan-usaha-detail/eHl3VGJ3OW1qcVhCVFpCcjVRUExVUT09</t>
        </is>
      </c>
      <c r="F121" t="n">
        <v>1</v>
      </c>
      <c r="G121" t="inlineStr">
        <is>
          <t>BG009</t>
        </is>
      </c>
      <c r="H121" t="inlineStr">
        <is>
          <t>23 Maret 1983</t>
        </is>
      </c>
      <c r="I121" s="2" t="n">
        <v>46278</v>
      </c>
      <c r="J121" t="inlineStr">
        <is>
          <t>Disetujui</t>
        </is>
      </c>
      <c r="K121" t="n">
        <v>30</v>
      </c>
      <c r="L121" t="inlineStr">
        <is>
          <t>13 September 2026</t>
        </is>
      </c>
      <c r="M121" t="inlineStr">
        <is>
          <t>Konstruksi Gedung Lainnya</t>
        </is>
      </c>
      <c r="N121" t="inlineStr">
        <is>
          <t>M</t>
        </is>
      </c>
      <c r="O121" t="inlineStr">
        <is>
          <t>20230906</t>
        </is>
      </c>
      <c r="P121" t="inlineStr">
        <is>
          <t>Nusa Tenggara Barat</t>
        </is>
      </c>
      <c r="Q121" t="inlineStr"/>
    </row>
    <row r="122">
      <c r="A122" t="inlineStr">
        <is>
          <t>ARIE POETRA</t>
        </is>
      </c>
      <c r="B122" t="inlineStr">
        <is>
          <t>Kota Palembang</t>
        </is>
      </c>
      <c r="C122" t="inlineStr">
        <is>
          <t>081377744435</t>
        </is>
      </c>
      <c r="D122" t="inlineStr">
        <is>
          <t>cv.ariepoetra@gmail.com</t>
        </is>
      </c>
      <c r="E122" t="inlineStr">
        <is>
          <t>https://lpjk.pu.go.id/search-badan-usaha-detail/d2Q3M2k1UEphdzRxMUd3VHlxcXBsZz09</t>
        </is>
      </c>
      <c r="F122" t="n">
        <v>1</v>
      </c>
      <c r="G122" t="inlineStr">
        <is>
          <t>BS001</t>
        </is>
      </c>
      <c r="H122" t="inlineStr">
        <is>
          <t>9 Januari 2009</t>
        </is>
      </c>
      <c r="I122" s="2" t="n">
        <v>46282</v>
      </c>
      <c r="J122" t="inlineStr">
        <is>
          <t>Disetujui</t>
        </is>
      </c>
      <c r="K122" t="n">
        <v>30</v>
      </c>
      <c r="L122" t="inlineStr">
        <is>
          <t>17 September 2026</t>
        </is>
      </c>
      <c r="M122" t="inlineStr">
        <is>
          <t>Konstruksi Bangunan Sipil Jalan</t>
        </is>
      </c>
      <c r="N122" t="inlineStr">
        <is>
          <t>K</t>
        </is>
      </c>
      <c r="O122" t="inlineStr">
        <is>
          <t>20230916</t>
        </is>
      </c>
      <c r="P122" t="inlineStr">
        <is>
          <t>Sumatera Selatan</t>
        </is>
      </c>
      <c r="Q122" t="inlineStr"/>
    </row>
    <row r="123">
      <c r="A123" t="inlineStr">
        <is>
          <t>ARKA WINATA JAYA</t>
        </is>
      </c>
      <c r="B123" t="inlineStr">
        <is>
          <t>Kota Palembang</t>
        </is>
      </c>
      <c r="C123" t="inlineStr">
        <is>
          <t>081379207770</t>
        </is>
      </c>
      <c r="D123" t="inlineStr">
        <is>
          <t>cvarkawinatajaya@gmail.com</t>
        </is>
      </c>
      <c r="E123" t="inlineStr">
        <is>
          <t>https://lpjk.pu.go.id/search-badan-usaha-detail/WUM4cU83WHorRXhZRVk2eCs2QXh4QT09</t>
        </is>
      </c>
      <c r="F123" t="n">
        <v>1</v>
      </c>
      <c r="G123" t="inlineStr">
        <is>
          <t>BS004</t>
        </is>
      </c>
      <c r="H123" t="inlineStr">
        <is>
          <t>31 Januari 2023</t>
        </is>
      </c>
      <c r="I123" s="2" t="n">
        <v>46282</v>
      </c>
      <c r="J123" t="inlineStr">
        <is>
          <t>Pencabutan</t>
        </is>
      </c>
      <c r="K123" t="n">
        <v>30</v>
      </c>
      <c r="L123" t="inlineStr">
        <is>
          <t>17 September 2026</t>
        </is>
      </c>
      <c r="M123" t="inlineStr">
        <is>
          <t>Konstruksi Jaringan Irigasi dan Drainase</t>
        </is>
      </c>
      <c r="N123" t="inlineStr">
        <is>
          <t>K</t>
        </is>
      </c>
      <c r="O123" t="inlineStr">
        <is>
          <t>20230913</t>
        </is>
      </c>
      <c r="P123" t="inlineStr">
        <is>
          <t>Sumatera Selatan</t>
        </is>
      </c>
      <c r="Q123" t="inlineStr"/>
    </row>
    <row r="124">
      <c r="A124" t="inlineStr">
        <is>
          <t>ARKANANTA KARYA KONSTRUKSI</t>
        </is>
      </c>
      <c r="B124" t="inlineStr">
        <is>
          <t>Kota Samarinda</t>
        </is>
      </c>
      <c r="C124" t="inlineStr">
        <is>
          <t>08125476643</t>
        </is>
      </c>
      <c r="D124" t="inlineStr">
        <is>
          <t>cv.arkanantakaryakonstruksi@gmail.com</t>
        </is>
      </c>
      <c r="E124" t="inlineStr">
        <is>
          <t>https://lpjk.pu.go.id/search-badan-usaha-detail/bElRMzdNcFFFbU9icVd4Wmt2ZXFpUT09</t>
        </is>
      </c>
      <c r="F124" t="n">
        <v>20</v>
      </c>
      <c r="G124" t="inlineStr">
        <is>
          <t>BG001, BG002, BG005, BG006, BS001</t>
        </is>
      </c>
      <c r="H124" t="inlineStr">
        <is>
          <t>6 Januari 2023</t>
        </is>
      </c>
      <c r="I124" s="2" t="n">
        <v>46282</v>
      </c>
      <c r="J124" t="inlineStr">
        <is>
          <t>Disetujui</t>
        </is>
      </c>
      <c r="K124" t="n">
        <v>30</v>
      </c>
      <c r="L124" t="inlineStr">
        <is>
          <t>17 September 2026</t>
        </is>
      </c>
      <c r="M124" t="inlineStr">
        <is>
          <t>Konstruksi Bangunan Sipil Jalan, Konstruksi Gedung Hunian, Konstruksi Gedung Kesehatan, Konstruksi Gedung Pendidikan, Konstruksi Gedung Perkantoran</t>
        </is>
      </c>
      <c r="N124" t="inlineStr">
        <is>
          <t>K</t>
        </is>
      </c>
      <c r="O124" t="inlineStr">
        <is>
          <t>20230914, 20230916</t>
        </is>
      </c>
      <c r="P124" t="inlineStr">
        <is>
          <t>Kalimantan Timur</t>
        </is>
      </c>
      <c r="Q124" t="inlineStr"/>
    </row>
    <row r="125">
      <c r="A125" t="inlineStr">
        <is>
          <t>ARKONIN ENGINEERING MANGGALA PRATAMA</t>
        </is>
      </c>
      <c r="B125" t="inlineStr">
        <is>
          <t>Kota Adm. Jakarta Selatan</t>
        </is>
      </c>
      <c r="C125" t="inlineStr">
        <is>
          <t>0217350211</t>
        </is>
      </c>
      <c r="D125" t="inlineStr">
        <is>
          <t>arkoninmphrd@yahoo.com</t>
        </is>
      </c>
      <c r="E125" t="inlineStr">
        <is>
          <t>https://lpjk.pu.go.id/search-badan-usaha-detail/U243bXlZeDJqazJXTkE2dHZ3c2Z1dz09</t>
        </is>
      </c>
      <c r="F125" t="n">
        <v>1</v>
      </c>
      <c r="G125" t="inlineStr">
        <is>
          <t>AR002</t>
        </is>
      </c>
      <c r="H125" t="inlineStr">
        <is>
          <t>31 Agustus 1982</t>
        </is>
      </c>
      <c r="I125" s="2" t="n">
        <v>46278</v>
      </c>
      <c r="J125" t="inlineStr">
        <is>
          <t>Disetujui</t>
        </is>
      </c>
      <c r="K125" t="n">
        <v>30</v>
      </c>
      <c r="L125" t="inlineStr">
        <is>
          <t>13 September 2026</t>
        </is>
      </c>
      <c r="M125" t="inlineStr">
        <is>
          <t>Jasa Arsitektural Lainnya</t>
        </is>
      </c>
      <c r="N125" t="inlineStr">
        <is>
          <t>K</t>
        </is>
      </c>
      <c r="O125" t="inlineStr">
        <is>
          <t>20230904</t>
        </is>
      </c>
      <c r="P125" t="inlineStr">
        <is>
          <t>DKI Jakarta</t>
        </is>
      </c>
      <c r="Q125" t="inlineStr"/>
    </row>
    <row r="126">
      <c r="A126" t="inlineStr">
        <is>
          <t>ARSAKHA PARAHITA</t>
        </is>
      </c>
      <c r="B126" t="inlineStr">
        <is>
          <t>Kab. Bojonegoro</t>
        </is>
      </c>
      <c r="C126" t="inlineStr">
        <is>
          <t>085232135222</t>
        </is>
      </c>
      <c r="D126" t="inlineStr">
        <is>
          <t>ARSHKAP@GMAILL.COM</t>
        </is>
      </c>
      <c r="E126" t="inlineStr">
        <is>
          <t>https://lpjk.pu.go.id/search-badan-usaha-detail/ODVTdzlLNTNDS0VpemVjNk1rai9ZUT09</t>
        </is>
      </c>
      <c r="F126" t="n">
        <v>4</v>
      </c>
      <c r="G126" t="inlineStr">
        <is>
          <t>BG001, BG002, BG003, BG009</t>
        </is>
      </c>
      <c r="H126" t="inlineStr">
        <is>
          <t>6 November 2020</t>
        </is>
      </c>
      <c r="I126" s="2" t="n">
        <v>46279</v>
      </c>
      <c r="J126" t="inlineStr">
        <is>
          <t>Pencabutan</t>
        </is>
      </c>
      <c r="K126" t="n">
        <v>30</v>
      </c>
      <c r="L126" t="inlineStr">
        <is>
          <t>14 September 2026</t>
        </is>
      </c>
      <c r="M126" t="inlineStr">
        <is>
          <t>Konstruksi Gedung Hunian, Konstruksi Gedung Industri, Konstruksi Gedung Lainnya, Konstruksi Gedung Perkantoran</t>
        </is>
      </c>
      <c r="N126" t="inlineStr">
        <is>
          <t>K</t>
        </is>
      </c>
      <c r="O126" t="inlineStr">
        <is>
          <t>20230727, 20230808, 20230825</t>
        </is>
      </c>
      <c r="P126" t="inlineStr">
        <is>
          <t>Jawa Timur</t>
        </is>
      </c>
      <c r="Q126" t="inlineStr"/>
    </row>
    <row r="127">
      <c r="A127" t="inlineStr">
        <is>
          <t>ARSITA INTERKREASI</t>
        </is>
      </c>
      <c r="B127" t="inlineStr">
        <is>
          <t>Kota Adm. Jakarta Pusat</t>
        </is>
      </c>
      <c r="C127" t="inlineStr">
        <is>
          <t>0214892635</t>
        </is>
      </c>
      <c r="D127" t="inlineStr">
        <is>
          <t>arsitainter@cbn.net.id</t>
        </is>
      </c>
      <c r="E127" t="inlineStr">
        <is>
          <t>https://lpjk.pu.go.id/search-badan-usaha-detail/TFN1c0M3VVI3L1pGbjh3RWxBSkoyQT09</t>
        </is>
      </c>
      <c r="F127" t="n">
        <v>2</v>
      </c>
      <c r="G127" t="inlineStr">
        <is>
          <t>AR001, AR003</t>
        </is>
      </c>
      <c r="H127" t="inlineStr">
        <is>
          <t>23 September 1991</t>
        </is>
      </c>
      <c r="I127" s="2" t="n">
        <v>46282</v>
      </c>
      <c r="J127" t="inlineStr">
        <is>
          <t>Disetujui</t>
        </is>
      </c>
      <c r="K127" t="n">
        <v>30</v>
      </c>
      <c r="L127" t="inlineStr">
        <is>
          <t>17 September 2026</t>
        </is>
      </c>
      <c r="M127" t="inlineStr">
        <is>
          <t>Jasa Arsitektural Bangunan Gedung Hunian dan Non Hunian, Jasa Desain Interior pada Bangunan Gedung dan Bangunan Sipil</t>
        </is>
      </c>
      <c r="N127" t="inlineStr">
        <is>
          <t>K</t>
        </is>
      </c>
      <c r="O127" t="inlineStr">
        <is>
          <t>20230905</t>
        </is>
      </c>
      <c r="P127" t="inlineStr">
        <is>
          <t>DKI Jakarta</t>
        </is>
      </c>
      <c r="Q127" t="inlineStr"/>
    </row>
    <row r="128">
      <c r="A128" t="inlineStr">
        <is>
          <t>ARSY PRADANA SEJAHTERA</t>
        </is>
      </c>
      <c r="B128" t="inlineStr">
        <is>
          <t>Kota Padang</t>
        </is>
      </c>
      <c r="C128" t="inlineStr">
        <is>
          <t>08126568123</t>
        </is>
      </c>
      <c r="D128" t="inlineStr">
        <is>
          <t>winaldhi.wa15@gmail.com</t>
        </is>
      </c>
      <c r="E128" t="inlineStr">
        <is>
          <t>https://lpjk.pu.go.id/search-badan-usaha-detail/Q2ZJVVkwbFBTVUJvejE0RlY0NnM2UT09</t>
        </is>
      </c>
      <c r="F128" t="n">
        <v>2</v>
      </c>
      <c r="G128" t="inlineStr">
        <is>
          <t>BG002, BG006</t>
        </is>
      </c>
      <c r="H128" t="inlineStr">
        <is>
          <t>11 Maret 2017</t>
        </is>
      </c>
      <c r="I128" s="2" t="n">
        <v>46283</v>
      </c>
      <c r="J128" t="inlineStr">
        <is>
          <t>Pencabutan</t>
        </is>
      </c>
      <c r="K128" t="n">
        <v>30</v>
      </c>
      <c r="L128" t="inlineStr">
        <is>
          <t>18 September 2026</t>
        </is>
      </c>
      <c r="M128" t="inlineStr">
        <is>
          <t>Konstruksi Gedung Pendidikan, Konstruksi Gedung Perkantoran</t>
        </is>
      </c>
      <c r="N128" t="inlineStr">
        <is>
          <t>K</t>
        </is>
      </c>
      <c r="O128" t="inlineStr">
        <is>
          <t>20230909</t>
        </is>
      </c>
      <c r="P128" t="inlineStr">
        <is>
          <t>Sumatera Barat</t>
        </is>
      </c>
      <c r="Q128" t="inlineStr"/>
    </row>
    <row r="129">
      <c r="A129" t="inlineStr">
        <is>
          <t>ARTHO MORO</t>
        </is>
      </c>
      <c r="B129" t="inlineStr">
        <is>
          <t>Kab. Banyuwangi</t>
        </is>
      </c>
      <c r="C129" t="inlineStr">
        <is>
          <t>081913914998</t>
        </is>
      </c>
      <c r="D129" t="inlineStr">
        <is>
          <t>halimjenarta@gmail.com</t>
        </is>
      </c>
      <c r="E129" t="inlineStr">
        <is>
          <t>https://lpjk.pu.go.id/search-badan-usaha-detail/ZlErbFNjZWpFeFhIWVhOSFNDY2tPQT09</t>
        </is>
      </c>
      <c r="F129" t="n">
        <v>3</v>
      </c>
      <c r="G129" t="inlineStr">
        <is>
          <t>BS001, BS002, BS004</t>
        </is>
      </c>
      <c r="H129" t="inlineStr">
        <is>
          <t>6 Desember 2017</t>
        </is>
      </c>
      <c r="I129" s="2" t="n">
        <v>46280</v>
      </c>
      <c r="J129" t="inlineStr">
        <is>
          <t>Disetujui</t>
        </is>
      </c>
      <c r="K129" t="n">
        <v>30</v>
      </c>
      <c r="L129" t="inlineStr">
        <is>
          <t>15 September 2026</t>
        </is>
      </c>
      <c r="M129" t="inlineStr">
        <is>
          <t>Bangunan Sipil Jembatan, Jalan Layang, Fly Over, dan Underpass, Konstruksi Bangunan Sipil Jalan, Konstruksi Jaringan Irigasi dan Drainase</t>
        </is>
      </c>
      <c r="N129" t="inlineStr">
        <is>
          <t>K</t>
        </is>
      </c>
      <c r="O129" t="inlineStr">
        <is>
          <t>20230914</t>
        </is>
      </c>
      <c r="P129" t="inlineStr">
        <is>
          <t>Jawa Timur</t>
        </is>
      </c>
      <c r="Q129" t="inlineStr"/>
    </row>
    <row r="130">
      <c r="A130" t="inlineStr">
        <is>
          <t>ASA CITRA PERSADA</t>
        </is>
      </c>
      <c r="B130" t="inlineStr">
        <is>
          <t>Kab. Asahan</t>
        </is>
      </c>
      <c r="C130" t="inlineStr">
        <is>
          <t>081263140315</t>
        </is>
      </c>
      <c r="D130" t="inlineStr">
        <is>
          <t>cvasacitrapersada@gmail.com</t>
        </is>
      </c>
      <c r="E130" t="inlineStr">
        <is>
          <t>https://lpjk.pu.go.id/search-badan-usaha-detail/UC9pVzRoOGtnckVDOE5rcnI1Vkc3UT09</t>
        </is>
      </c>
      <c r="F130" t="n">
        <v>2</v>
      </c>
      <c r="G130" t="inlineStr">
        <is>
          <t>BS004, BS010</t>
        </is>
      </c>
      <c r="H130" t="inlineStr">
        <is>
          <t>30 November 2021</t>
        </is>
      </c>
      <c r="I130" s="2" t="n">
        <v>46283</v>
      </c>
      <c r="J130" t="inlineStr">
        <is>
          <t>Pencabutan</t>
        </is>
      </c>
      <c r="K130" t="n">
        <v>30</v>
      </c>
      <c r="L130" t="inlineStr">
        <is>
          <t>18 September 2026</t>
        </is>
      </c>
      <c r="M130" t="inlineStr">
        <is>
          <t>Konstruksi Bangunan Prasarana Sumber Daya Air, Konstruksi Jaringan Irigasi dan Drainase</t>
        </is>
      </c>
      <c r="N130" t="inlineStr">
        <is>
          <t>K</t>
        </is>
      </c>
      <c r="O130" t="inlineStr">
        <is>
          <t>20220919, 20230911</t>
        </is>
      </c>
      <c r="P130" t="inlineStr">
        <is>
          <t>Sumatera Utara</t>
        </is>
      </c>
      <c r="Q130" t="inlineStr"/>
    </row>
    <row r="131">
      <c r="A131" t="inlineStr">
        <is>
          <t>ASIA CITRA KAYUBE</t>
        </is>
      </c>
      <c r="B131" t="inlineStr">
        <is>
          <t>Kab. Sumbawa Barat</t>
        </is>
      </c>
      <c r="C131" t="inlineStr">
        <is>
          <t>081339744047</t>
        </is>
      </c>
      <c r="D131" t="inlineStr">
        <is>
          <t>amjadkayube@gmail.com</t>
        </is>
      </c>
      <c r="E131" t="inlineStr">
        <is>
          <t>https://lpjk.pu.go.id/search-badan-usaha-detail/VXFQYm1rL2pSSkRkZ1VJMi9ROUxUQT09</t>
        </is>
      </c>
      <c r="F131" t="n">
        <v>4</v>
      </c>
      <c r="G131" t="inlineStr">
        <is>
          <t>BG002, BG005, BG006, BS004</t>
        </is>
      </c>
      <c r="H131" t="inlineStr">
        <is>
          <t>21 Desember 2009</t>
        </is>
      </c>
      <c r="I131" s="2" t="n">
        <v>46282</v>
      </c>
      <c r="J131" t="inlineStr">
        <is>
          <t>Pencabutan</t>
        </is>
      </c>
      <c r="K131" t="n">
        <v>30</v>
      </c>
      <c r="L131" t="inlineStr">
        <is>
          <t>17 September 2026</t>
        </is>
      </c>
      <c r="M131" t="inlineStr">
        <is>
          <t>Konstruksi Gedung Kesehatan, Konstruksi Gedung Pendidikan, Konstruksi Gedung Perkantoran, Konstruksi Jaringan Irigasi dan Drainase</t>
        </is>
      </c>
      <c r="N131" t="inlineStr">
        <is>
          <t>K</t>
        </is>
      </c>
      <c r="O131" t="inlineStr">
        <is>
          <t>20230918, 20230919</t>
        </is>
      </c>
      <c r="P131" t="inlineStr">
        <is>
          <t>Nusa Tenggara Barat</t>
        </is>
      </c>
      <c r="Q131" t="inlineStr"/>
    </row>
    <row r="132">
      <c r="A132" t="inlineStr">
        <is>
          <t>ASIA PASIFIK TEKNIK KONSTRUKSI</t>
        </is>
      </c>
      <c r="B132" t="inlineStr">
        <is>
          <t>Kota Adm. Jakarta Utara</t>
        </is>
      </c>
      <c r="C132" t="inlineStr">
        <is>
          <t>02129237596</t>
        </is>
      </c>
      <c r="D132" t="inlineStr">
        <is>
          <t>asia.pasifik8@gmail.com</t>
        </is>
      </c>
      <c r="E132" t="inlineStr">
        <is>
          <t>https://lpjk.pu.go.id/search-badan-usaha-detail/U3IwR2trb2JPWEdIcUI2V2wrd2hhdz09</t>
        </is>
      </c>
      <c r="F132" t="n">
        <v>1</v>
      </c>
      <c r="G132" t="inlineStr">
        <is>
          <t>BG003</t>
        </is>
      </c>
      <c r="H132" t="inlineStr">
        <is>
          <t>25 Maret 2021</t>
        </is>
      </c>
      <c r="I132" s="2" t="n">
        <v>46278</v>
      </c>
      <c r="J132" t="inlineStr">
        <is>
          <t>Pencabutan</t>
        </is>
      </c>
      <c r="K132" t="n">
        <v>30</v>
      </c>
      <c r="L132" t="inlineStr">
        <is>
          <t>13 September 2026</t>
        </is>
      </c>
      <c r="M132" t="inlineStr">
        <is>
          <t>Konstruksi Gedung Industri</t>
        </is>
      </c>
      <c r="N132" t="inlineStr">
        <is>
          <t>B</t>
        </is>
      </c>
      <c r="O132" t="inlineStr">
        <is>
          <t>20230912</t>
        </is>
      </c>
      <c r="P132" t="inlineStr">
        <is>
          <t>DKI Jakarta</t>
        </is>
      </c>
      <c r="Q132" t="inlineStr"/>
    </row>
    <row r="133">
      <c r="A133" t="inlineStr">
        <is>
          <t>ASRI JADI UTAMA</t>
        </is>
      </c>
      <c r="B133" t="inlineStr">
        <is>
          <t>Kota Bontang</t>
        </is>
      </c>
      <c r="C133" t="inlineStr">
        <is>
          <t>085113311000</t>
        </is>
      </c>
      <c r="D133" t="inlineStr">
        <is>
          <t>ccvasrijadiutama@gmail.com</t>
        </is>
      </c>
      <c r="E133" t="inlineStr">
        <is>
          <t>https://lpjk.pu.go.id/search-badan-usaha-detail/ZVFnY0xRTFY1NzlKd0xyelFtUnpPUT09</t>
        </is>
      </c>
      <c r="F133" t="n">
        <v>2</v>
      </c>
      <c r="G133" t="inlineStr">
        <is>
          <t>BS001, BS004</t>
        </is>
      </c>
      <c r="H133" t="inlineStr">
        <is>
          <t>5 Juni 2023</t>
        </is>
      </c>
      <c r="I133" s="2" t="n">
        <v>46278</v>
      </c>
      <c r="J133" t="inlineStr">
        <is>
          <t>Disetujui</t>
        </is>
      </c>
      <c r="K133" t="n">
        <v>30</v>
      </c>
      <c r="L133" t="inlineStr">
        <is>
          <t>13 September 2026</t>
        </is>
      </c>
      <c r="M133" t="inlineStr">
        <is>
          <t>Konstruksi Bangunan Sipil Jalan, Konstruksi Jaringan Irigasi dan Drainase</t>
        </is>
      </c>
      <c r="N133" t="inlineStr">
        <is>
          <t>K</t>
        </is>
      </c>
      <c r="O133" t="inlineStr">
        <is>
          <t>20230914</t>
        </is>
      </c>
      <c r="P133" t="inlineStr">
        <is>
          <t>Kalimantan Timur</t>
        </is>
      </c>
      <c r="Q133" t="inlineStr"/>
    </row>
    <row r="134">
      <c r="A134" t="inlineStr">
        <is>
          <t>ASSALAM UTAMA</t>
        </is>
      </c>
      <c r="B134" t="inlineStr">
        <is>
          <t>Kab. Trenggalek</t>
        </is>
      </c>
      <c r="C134" t="inlineStr">
        <is>
          <t>082143014978</t>
        </is>
      </c>
      <c r="D134" t="inlineStr">
        <is>
          <t>assalamutama57@gmail.com</t>
        </is>
      </c>
      <c r="E134" t="inlineStr">
        <is>
          <t>https://lpjk.pu.go.id/search-badan-usaha-detail/RlpFNnVBbUh2cHlMMTdRY3dEdUV4UT09</t>
        </is>
      </c>
      <c r="F134" t="n">
        <v>2</v>
      </c>
      <c r="G134" t="inlineStr">
        <is>
          <t>BG002</t>
        </is>
      </c>
      <c r="H134" t="inlineStr">
        <is>
          <t>27 Juli 2022</t>
        </is>
      </c>
      <c r="I134" s="2" t="n">
        <v>46281</v>
      </c>
      <c r="J134" t="inlineStr">
        <is>
          <t>Disetujui</t>
        </is>
      </c>
      <c r="K134" t="n">
        <v>30</v>
      </c>
      <c r="L134" t="inlineStr">
        <is>
          <t>16 September 2026</t>
        </is>
      </c>
      <c r="M134" t="inlineStr">
        <is>
          <t>Konstruksi Gedung Perkantoran</t>
        </is>
      </c>
      <c r="N134" t="inlineStr">
        <is>
          <t>K</t>
        </is>
      </c>
      <c r="O134" t="inlineStr">
        <is>
          <t>20230915</t>
        </is>
      </c>
      <c r="P134" t="inlineStr">
        <is>
          <t>Jawa Timur</t>
        </is>
      </c>
      <c r="Q134" t="inlineStr"/>
    </row>
    <row r="135">
      <c r="A135" t="inlineStr">
        <is>
          <t>ASTABRATHA</t>
        </is>
      </c>
      <c r="B135" t="inlineStr">
        <is>
          <t>Kab. Trenggalek</t>
        </is>
      </c>
      <c r="C135" t="inlineStr">
        <is>
          <t>081335624444</t>
        </is>
      </c>
      <c r="D135" t="inlineStr">
        <is>
          <t>budiw9491@gmail.com</t>
        </is>
      </c>
      <c r="E135" t="inlineStr">
        <is>
          <t>https://lpjk.pu.go.id/search-badan-usaha-detail/K2FDWGFNZlErNTBJelhtM0t1ejZ0dz09</t>
        </is>
      </c>
      <c r="F135" t="n">
        <v>1</v>
      </c>
      <c r="G135" t="inlineStr">
        <is>
          <t>BS001</t>
        </is>
      </c>
      <c r="H135" t="inlineStr">
        <is>
          <t>21 Januari 2009</t>
        </is>
      </c>
      <c r="I135" s="2" t="n">
        <v>46279</v>
      </c>
      <c r="J135" t="inlineStr">
        <is>
          <t>Disetujui</t>
        </is>
      </c>
      <c r="K135" t="n">
        <v>30</v>
      </c>
      <c r="L135" t="inlineStr">
        <is>
          <t>14 September 2026</t>
        </is>
      </c>
      <c r="M135" t="inlineStr">
        <is>
          <t>Konstruksi Bangunan Sipil Jalan</t>
        </is>
      </c>
      <c r="N135" t="inlineStr">
        <is>
          <t>K</t>
        </is>
      </c>
      <c r="O135" t="inlineStr">
        <is>
          <t>20230908</t>
        </is>
      </c>
      <c r="P135" t="inlineStr">
        <is>
          <t>Jawa Timur</t>
        </is>
      </c>
      <c r="Q135" t="inlineStr"/>
    </row>
    <row r="136">
      <c r="A136" t="inlineStr">
        <is>
          <t>ATHA AJRI</t>
        </is>
      </c>
      <c r="B136" t="inlineStr">
        <is>
          <t>Kota Palembang</t>
        </is>
      </c>
      <c r="C136" t="inlineStr">
        <is>
          <t>08154036647</t>
        </is>
      </c>
      <c r="D136" t="inlineStr">
        <is>
          <t>athaajri12@gmail.com</t>
        </is>
      </c>
      <c r="E136" t="inlineStr">
        <is>
          <t>https://lpjk.pu.go.id/search-badan-usaha-detail/VGVET0lnbW1ZZFFSQVZIaWNTRk1GUT09</t>
        </is>
      </c>
      <c r="F136" t="n">
        <v>1</v>
      </c>
      <c r="G136" t="inlineStr">
        <is>
          <t>BG009</t>
        </is>
      </c>
      <c r="H136" t="inlineStr">
        <is>
          <t>9 Februari 2023</t>
        </is>
      </c>
      <c r="I136" s="2" t="n">
        <v>46283</v>
      </c>
      <c r="J136" t="inlineStr">
        <is>
          <t>Disetujui</t>
        </is>
      </c>
      <c r="K136" t="n">
        <v>30</v>
      </c>
      <c r="L136" t="inlineStr">
        <is>
          <t>18 September 2026</t>
        </is>
      </c>
      <c r="M136" t="inlineStr">
        <is>
          <t>Konstruksi Gedung Lainnya</t>
        </is>
      </c>
      <c r="N136" t="inlineStr">
        <is>
          <t>K</t>
        </is>
      </c>
      <c r="O136" t="inlineStr">
        <is>
          <t>20230907</t>
        </is>
      </c>
      <c r="P136" t="inlineStr">
        <is>
          <t>Sumatera Selatan</t>
        </is>
      </c>
      <c r="Q136" t="inlineStr"/>
    </row>
    <row r="137">
      <c r="A137" t="inlineStr">
        <is>
          <t>ATMAJAYA</t>
        </is>
      </c>
      <c r="B137" t="inlineStr">
        <is>
          <t>Kab. Ponorogo</t>
        </is>
      </c>
      <c r="C137" t="inlineStr">
        <is>
          <t>0352 7526 70__</t>
        </is>
      </c>
      <c r="D137" t="inlineStr">
        <is>
          <t>purwantosumoroto@gmail.com</t>
        </is>
      </c>
      <c r="E137" t="inlineStr">
        <is>
          <t>https://lpjk.pu.go.id/search-badan-usaha-detail/T09naXVNKzQ1V0hGOCtvNjZiLzRtUT09</t>
        </is>
      </c>
      <c r="F137" t="n">
        <v>2</v>
      </c>
      <c r="G137" t="inlineStr">
        <is>
          <t>BG005</t>
        </is>
      </c>
      <c r="H137" t="inlineStr">
        <is>
          <t>15 Januari 2014</t>
        </is>
      </c>
      <c r="I137" s="2" t="n">
        <v>46282</v>
      </c>
      <c r="J137" t="inlineStr">
        <is>
          <t>Disetujui</t>
        </is>
      </c>
      <c r="K137" t="n">
        <v>30</v>
      </c>
      <c r="L137" t="inlineStr">
        <is>
          <t>17 September 2026</t>
        </is>
      </c>
      <c r="M137" t="inlineStr">
        <is>
          <t>Konstruksi Gedung Kesehatan</t>
        </is>
      </c>
      <c r="N137" t="inlineStr">
        <is>
          <t>K</t>
        </is>
      </c>
      <c r="O137" t="inlineStr">
        <is>
          <t>20230913</t>
        </is>
      </c>
      <c r="P137" t="inlineStr">
        <is>
          <t>Jawa Timur</t>
        </is>
      </c>
      <c r="Q137" t="inlineStr"/>
    </row>
    <row r="138">
      <c r="A138" t="inlineStr">
        <is>
          <t>AUFA SUKSES BAROKAH</t>
        </is>
      </c>
      <c r="B138" t="inlineStr">
        <is>
          <t>Kota Jambi</t>
        </is>
      </c>
      <c r="C138" t="inlineStr">
        <is>
          <t>081315499185</t>
        </is>
      </c>
      <c r="D138" t="inlineStr">
        <is>
          <t>cvaufasuksesbarokah@gmail.com</t>
        </is>
      </c>
      <c r="E138" t="inlineStr">
        <is>
          <t>https://lpjk.pu.go.id/search-badan-usaha-detail/bnhmOFgrVTQwOEhzcTE2SDNZekxVQT09</t>
        </is>
      </c>
      <c r="F138" t="n">
        <v>5</v>
      </c>
      <c r="G138" t="inlineStr">
        <is>
          <t>BG001, BG002, BG004, BG006, BG009</t>
        </is>
      </c>
      <c r="H138" t="inlineStr">
        <is>
          <t>1 November 2022</t>
        </is>
      </c>
      <c r="I138" s="2" t="n">
        <v>46282</v>
      </c>
      <c r="J138" t="inlineStr">
        <is>
          <t>Disetujui</t>
        </is>
      </c>
      <c r="K138" t="n">
        <v>30</v>
      </c>
      <c r="L138" t="inlineStr">
        <is>
          <t>17 September 2026</t>
        </is>
      </c>
      <c r="M138" t="inlineStr">
        <is>
          <t>Konstruksi Gedung Hunian, Konstruksi Gedung Lainnya, Konstruksi Gedung Pendidikan, Konstruksi Gedung Perbelanjaan, Konstruksi Gedung Perkantoran</t>
        </is>
      </c>
      <c r="N138" t="inlineStr">
        <is>
          <t>K</t>
        </is>
      </c>
      <c r="O138" t="inlineStr">
        <is>
          <t>20230915</t>
        </is>
      </c>
      <c r="P138" t="inlineStr">
        <is>
          <t>Jambi</t>
        </is>
      </c>
      <c r="Q138" t="inlineStr"/>
    </row>
    <row r="139">
      <c r="A139" t="inlineStr">
        <is>
          <t>AURA MAJU CONSTRUCTION</t>
        </is>
      </c>
      <c r="B139" t="inlineStr">
        <is>
          <t>Kab. Asahan</t>
        </is>
      </c>
      <c r="C139" t="inlineStr">
        <is>
          <t>082280707477</t>
        </is>
      </c>
      <c r="D139" t="inlineStr">
        <is>
          <t>cv.auramajuconstruction@gmail.com</t>
        </is>
      </c>
      <c r="E139" t="inlineStr">
        <is>
          <t>https://lpjk.pu.go.id/search-badan-usaha-detail/eUE5N0x3SmJPS0x6ZUhBZGNCc0trdz09</t>
        </is>
      </c>
      <c r="F139" t="n">
        <v>4</v>
      </c>
      <c r="G139" t="inlineStr">
        <is>
          <t>BG006, BS001, BS004, BS005</t>
        </is>
      </c>
      <c r="H139" t="inlineStr">
        <is>
          <t>7 Agustus 2023</t>
        </is>
      </c>
      <c r="I139" s="2" t="n">
        <v>46281</v>
      </c>
      <c r="J139" t="inlineStr">
        <is>
          <t>Disetujui</t>
        </is>
      </c>
      <c r="K139" t="n">
        <v>30</v>
      </c>
      <c r="L139" t="inlineStr">
        <is>
          <t>16 September 2026</t>
        </is>
      </c>
      <c r="M139" t="inlineStr">
        <is>
          <t>Konstruksi Bangunan Sipil Jalan, Konstruksi Bangunan Sipil Pengolahan Air Bersih, Konstruksi Gedung Pendidikan, Konstruksi Jaringan Irigasi dan Drainase</t>
        </is>
      </c>
      <c r="N139" t="inlineStr">
        <is>
          <t>K</t>
        </is>
      </c>
      <c r="O139" t="inlineStr">
        <is>
          <t>20230911, 20230914</t>
        </is>
      </c>
      <c r="P139" t="inlineStr">
        <is>
          <t>Sumatera Utara</t>
        </is>
      </c>
      <c r="Q139" t="inlineStr"/>
    </row>
    <row r="140">
      <c r="A140" t="inlineStr">
        <is>
          <t>AWAN TRIBUANA MAJU</t>
        </is>
      </c>
      <c r="B140" t="inlineStr">
        <is>
          <t>Kota Pontianak</t>
        </is>
      </c>
      <c r="C140" t="inlineStr">
        <is>
          <t>08125729309</t>
        </is>
      </c>
      <c r="D140" t="inlineStr">
        <is>
          <t>awan_tribuanamaju@yahoo.com</t>
        </is>
      </c>
      <c r="E140" t="inlineStr">
        <is>
          <t>https://lpjk.pu.go.id/search-badan-usaha-detail/MHAzNm9oT2R6TFNZRXZoM2ZhTkNYdz09</t>
        </is>
      </c>
      <c r="F140" t="n">
        <v>2</v>
      </c>
      <c r="G140" t="inlineStr">
        <is>
          <t>BG001, BG009</t>
        </is>
      </c>
      <c r="H140" t="inlineStr">
        <is>
          <t>13 Agustus 2007</t>
        </is>
      </c>
      <c r="I140" s="2" t="n">
        <v>46282</v>
      </c>
      <c r="J140" t="inlineStr">
        <is>
          <t>Disetujui</t>
        </is>
      </c>
      <c r="K140" t="n">
        <v>30</v>
      </c>
      <c r="L140" t="inlineStr">
        <is>
          <t>17 September 2026</t>
        </is>
      </c>
      <c r="M140" t="inlineStr">
        <is>
          <t>Konstruksi Gedung Hunian, Konstruksi Gedung Lainnya</t>
        </is>
      </c>
      <c r="N140" t="inlineStr">
        <is>
          <t>K</t>
        </is>
      </c>
      <c r="O140" t="inlineStr">
        <is>
          <t>20230914, 20230915</t>
        </is>
      </c>
      <c r="P140" t="inlineStr">
        <is>
          <t>Kalimantan Barat</t>
        </is>
      </c>
      <c r="Q140" t="inlineStr"/>
    </row>
    <row r="141">
      <c r="A141" t="inlineStr">
        <is>
          <t>AWAN WIRAKARYA</t>
        </is>
      </c>
      <c r="B141" t="inlineStr">
        <is>
          <t>Kota Samarinda</t>
        </is>
      </c>
      <c r="C141" t="inlineStr">
        <is>
          <t>081549666696</t>
        </is>
      </c>
      <c r="D141" t="inlineStr">
        <is>
          <t>cv.awan.wirakarya@gmail.com</t>
        </is>
      </c>
      <c r="E141" t="inlineStr">
        <is>
          <t>https://lpjk.pu.go.id/search-badan-usaha-detail/NjlBd2ZGNDBZUWNkODNmMUZVOXd2UT09</t>
        </is>
      </c>
      <c r="F141" t="n">
        <v>1</v>
      </c>
      <c r="G141" t="inlineStr">
        <is>
          <t>BS001</t>
        </is>
      </c>
      <c r="H141" t="inlineStr">
        <is>
          <t>13 Februari 2023</t>
        </is>
      </c>
      <c r="I141" s="2" t="n">
        <v>46282</v>
      </c>
      <c r="J141" t="inlineStr">
        <is>
          <t>Disetujui</t>
        </is>
      </c>
      <c r="K141" t="n">
        <v>30</v>
      </c>
      <c r="L141" t="inlineStr">
        <is>
          <t>17 September 2026</t>
        </is>
      </c>
      <c r="M141" t="inlineStr">
        <is>
          <t>Konstruksi Bangunan Sipil Jalan</t>
        </is>
      </c>
      <c r="N141" t="inlineStr">
        <is>
          <t>K</t>
        </is>
      </c>
      <c r="O141" t="inlineStr">
        <is>
          <t>20230915</t>
        </is>
      </c>
      <c r="P141" t="inlineStr">
        <is>
          <t>Kalimantan Timur</t>
        </is>
      </c>
      <c r="Q141" t="inlineStr"/>
    </row>
    <row r="142">
      <c r="A142" t="inlineStr">
        <is>
          <t>AWANG SATRIA</t>
        </is>
      </c>
      <c r="B142" t="inlineStr">
        <is>
          <t>Kab. Siak</t>
        </is>
      </c>
      <c r="C142" t="inlineStr">
        <is>
          <t>081268145378</t>
        </is>
      </c>
      <c r="D142" t="inlineStr">
        <is>
          <t>jonpangaribuan@gmail.com</t>
        </is>
      </c>
      <c r="E142" t="inlineStr">
        <is>
          <t>https://lpjk.pu.go.id/search-badan-usaha-detail/Y3ZETFZDd2VQaHBJeEF4Z1BGRnlGdz09</t>
        </is>
      </c>
      <c r="F142" t="n">
        <v>8</v>
      </c>
      <c r="G142" t="inlineStr">
        <is>
          <t>BG001, BG005, BG006, BG009</t>
        </is>
      </c>
      <c r="H142" t="inlineStr">
        <is>
          <t>14 November 2000</t>
        </is>
      </c>
      <c r="I142" s="2" t="n">
        <v>46282</v>
      </c>
      <c r="J142" t="inlineStr">
        <is>
          <t>Disetujui</t>
        </is>
      </c>
      <c r="K142" t="n">
        <v>30</v>
      </c>
      <c r="L142" t="inlineStr">
        <is>
          <t>17 September 2026</t>
        </is>
      </c>
      <c r="M142" t="inlineStr">
        <is>
          <t>Konstruksi Gedung Hunian, Konstruksi Gedung Kesehatan, Konstruksi Gedung Lainnya, Konstruksi Gedung Pendidikan</t>
        </is>
      </c>
      <c r="N142" t="inlineStr">
        <is>
          <t>K</t>
        </is>
      </c>
      <c r="O142" t="inlineStr">
        <is>
          <t>20230912</t>
        </is>
      </c>
      <c r="P142" t="inlineStr">
        <is>
          <t>Riau</t>
        </is>
      </c>
      <c r="Q142" t="inlineStr"/>
    </row>
    <row r="143">
      <c r="A143" t="inlineStr">
        <is>
          <t>AYA KARYA MANDIRI</t>
        </is>
      </c>
      <c r="B143" t="inlineStr">
        <is>
          <t>Kab. Bandung</t>
        </is>
      </c>
      <c r="C143" t="inlineStr">
        <is>
          <t>081222208588</t>
        </is>
      </c>
      <c r="D143" t="inlineStr">
        <is>
          <t>cv.ayakaryamandiri@gmail.com</t>
        </is>
      </c>
      <c r="E143" t="inlineStr">
        <is>
          <t>https://lpjk.pu.go.id/search-badan-usaha-detail/clZTTUo4bjJ4cGF2WjJhL0V3RUhQUT09</t>
        </is>
      </c>
      <c r="F143" t="n">
        <v>1</v>
      </c>
      <c r="G143" t="inlineStr">
        <is>
          <t>BG006</t>
        </is>
      </c>
      <c r="H143" t="inlineStr">
        <is>
          <t>10 Agustus 2021</t>
        </is>
      </c>
      <c r="I143" s="2" t="n">
        <v>46277</v>
      </c>
      <c r="J143" t="inlineStr">
        <is>
          <t>Disetujui</t>
        </is>
      </c>
      <c r="K143" t="n">
        <v>30</v>
      </c>
      <c r="L143" t="inlineStr">
        <is>
          <t>12 September 2026</t>
        </is>
      </c>
      <c r="M143" t="inlineStr">
        <is>
          <t>Konstruksi Gedung Pendidikan</t>
        </is>
      </c>
      <c r="N143" t="inlineStr">
        <is>
          <t>K</t>
        </is>
      </c>
      <c r="O143" t="inlineStr">
        <is>
          <t>20230912</t>
        </is>
      </c>
      <c r="P143" t="inlineStr">
        <is>
          <t>Jawa Barat</t>
        </is>
      </c>
      <c r="Q143" t="inlineStr"/>
    </row>
    <row r="144">
      <c r="A144" t="inlineStr">
        <is>
          <t>AZFAR KARYA LESTARI</t>
        </is>
      </c>
      <c r="B144" t="inlineStr">
        <is>
          <t>Kota Makassar</t>
        </is>
      </c>
      <c r="C144" t="inlineStr">
        <is>
          <t>081342424679</t>
        </is>
      </c>
      <c r="D144" t="inlineStr">
        <is>
          <t>azfarkaryalestari@gmail.com</t>
        </is>
      </c>
      <c r="E144" t="inlineStr">
        <is>
          <t>https://lpjk.pu.go.id/search-badan-usaha-detail/NXI4b0hxQjY4eTIwd2tCNE9YWFVVUT09</t>
        </is>
      </c>
      <c r="F144" t="n">
        <v>1</v>
      </c>
      <c r="G144" t="inlineStr">
        <is>
          <t>BG001</t>
        </is>
      </c>
      <c r="H144" t="inlineStr">
        <is>
          <t>20 Desember 2018</t>
        </is>
      </c>
      <c r="I144" s="2" t="n">
        <v>46282</v>
      </c>
      <c r="J144" t="inlineStr">
        <is>
          <t>Disetujui</t>
        </is>
      </c>
      <c r="K144" t="n">
        <v>30</v>
      </c>
      <c r="L144" t="inlineStr">
        <is>
          <t>17 September 2026</t>
        </is>
      </c>
      <c r="M144" t="inlineStr">
        <is>
          <t>Konstruksi Gedung Hunian</t>
        </is>
      </c>
      <c r="N144" t="inlineStr">
        <is>
          <t>K</t>
        </is>
      </c>
      <c r="O144" t="inlineStr">
        <is>
          <t>20230916</t>
        </is>
      </c>
      <c r="P144" t="inlineStr">
        <is>
          <t>Sulawesi Selatan</t>
        </is>
      </c>
      <c r="Q144" t="inlineStr"/>
    </row>
    <row r="145">
      <c r="A145" t="inlineStr">
        <is>
          <t>AZIZA</t>
        </is>
      </c>
      <c r="B145" t="inlineStr">
        <is>
          <t>Kab. Kolaka Timur</t>
        </is>
      </c>
      <c r="C145" t="inlineStr">
        <is>
          <t>085222201457</t>
        </is>
      </c>
      <c r="D145" t="inlineStr">
        <is>
          <t>azizaasman@gmail.com</t>
        </is>
      </c>
      <c r="E145" t="inlineStr">
        <is>
          <t>https://lpjk.pu.go.id/search-badan-usaha-detail/bW9mWVNIRzdXeXExc05MRWcrbU5Ydz09</t>
        </is>
      </c>
      <c r="F145" t="n">
        <v>3</v>
      </c>
      <c r="G145" t="inlineStr">
        <is>
          <t>BG006</t>
        </is>
      </c>
      <c r="H145" t="inlineStr">
        <is>
          <t>20 Januari 2014</t>
        </is>
      </c>
      <c r="I145" s="2" t="n">
        <v>46282</v>
      </c>
      <c r="J145" t="inlineStr">
        <is>
          <t>Disetujui</t>
        </is>
      </c>
      <c r="K145" t="n">
        <v>30</v>
      </c>
      <c r="L145" t="inlineStr">
        <is>
          <t>17 September 2026</t>
        </is>
      </c>
      <c r="M145" t="inlineStr">
        <is>
          <t>Konstruksi Gedung Pendidikan</t>
        </is>
      </c>
      <c r="N145" t="inlineStr">
        <is>
          <t>K</t>
        </is>
      </c>
      <c r="O145" t="inlineStr">
        <is>
          <t>20230914</t>
        </is>
      </c>
      <c r="P145" t="inlineStr">
        <is>
          <t>Sulawesi Tenggara</t>
        </is>
      </c>
      <c r="Q145" t="inlineStr"/>
    </row>
    <row r="146">
      <c r="A146" t="inlineStr">
        <is>
          <t>AZKA JAYA SABE</t>
        </is>
      </c>
      <c r="B146" t="inlineStr">
        <is>
          <t>Kab. Bireuen</t>
        </is>
      </c>
      <c r="C146" t="inlineStr">
        <is>
          <t>085398116136</t>
        </is>
      </c>
      <c r="D146" t="inlineStr">
        <is>
          <t>azka_jaya19@yahoo.com</t>
        </is>
      </c>
      <c r="E146" t="inlineStr">
        <is>
          <t>https://lpjk.pu.go.id/search-badan-usaha-detail/cnVEdGlMdWlCV1Q3SFhKelRsa2Fpdz09</t>
        </is>
      </c>
      <c r="F146" t="n">
        <v>6</v>
      </c>
      <c r="G146" t="inlineStr">
        <is>
          <t>BG001, BG002, BG005, BG006, BG009</t>
        </is>
      </c>
      <c r="H146" t="inlineStr">
        <is>
          <t>8 Januari 2019</t>
        </is>
      </c>
      <c r="I146" s="2" t="n">
        <v>46278</v>
      </c>
      <c r="J146" t="inlineStr">
        <is>
          <t>Disetujui</t>
        </is>
      </c>
      <c r="K146" t="n">
        <v>30</v>
      </c>
      <c r="L146" t="inlineStr">
        <is>
          <t>13 September 2026</t>
        </is>
      </c>
      <c r="M146" t="inlineStr">
        <is>
          <t>Konstruksi Gedung Hunian, Konstruksi Gedung Kesehatan, Konstruksi Gedung Lainnya, Konstruksi Gedung Pendidikan, Konstruksi Gedung Perkantoran</t>
        </is>
      </c>
      <c r="N146" t="inlineStr">
        <is>
          <t>K</t>
        </is>
      </c>
      <c r="O146" t="inlineStr">
        <is>
          <t>20230912</t>
        </is>
      </c>
      <c r="P146" t="inlineStr">
        <is>
          <t>Aceh</t>
        </is>
      </c>
      <c r="Q146" t="inlineStr"/>
    </row>
    <row r="147">
      <c r="A147" t="inlineStr">
        <is>
          <t>AZKA SANG PEJUANG</t>
        </is>
      </c>
      <c r="B147" t="inlineStr">
        <is>
          <t>Kab. Kampar</t>
        </is>
      </c>
      <c r="C147" t="inlineStr">
        <is>
          <t>085272689951</t>
        </is>
      </c>
      <c r="D147" t="inlineStr">
        <is>
          <t>azkasangp@gmail.com</t>
        </is>
      </c>
      <c r="E147" t="inlineStr">
        <is>
          <t>https://lpjk.pu.go.id/search-badan-usaha-detail/TW43L3F1enByR3FCQlBjeEo3S1QvUT09</t>
        </is>
      </c>
      <c r="F147" t="n">
        <v>2</v>
      </c>
      <c r="G147" t="inlineStr">
        <is>
          <t>BG006, BG008</t>
        </is>
      </c>
      <c r="H147" t="inlineStr">
        <is>
          <t>22 Juni 2023</t>
        </is>
      </c>
      <c r="I147" s="2" t="n">
        <v>46279</v>
      </c>
      <c r="J147" t="inlineStr">
        <is>
          <t>Pencabutan</t>
        </is>
      </c>
      <c r="K147" t="n">
        <v>30</v>
      </c>
      <c r="L147" t="inlineStr">
        <is>
          <t>14 September 2026</t>
        </is>
      </c>
      <c r="M147" t="inlineStr">
        <is>
          <t>Konstruksi Gedung Pendidikan, Konstruksi Gedung Tempat Hiburan dan Olahraga</t>
        </is>
      </c>
      <c r="N147" t="inlineStr">
        <is>
          <t>K</t>
        </is>
      </c>
      <c r="O147" t="inlineStr">
        <is>
          <t>20230914, 20230915</t>
        </is>
      </c>
      <c r="P147" t="inlineStr">
        <is>
          <t>Riau</t>
        </is>
      </c>
      <c r="Q147" t="inlineStr"/>
    </row>
    <row r="148">
      <c r="A148" t="inlineStr">
        <is>
          <t>AZZAM</t>
        </is>
      </c>
      <c r="B148" t="inlineStr">
        <is>
          <t>Kab. Mamuju</t>
        </is>
      </c>
      <c r="C148" t="inlineStr">
        <is>
          <t>085242336557</t>
        </is>
      </c>
      <c r="D148" t="inlineStr">
        <is>
          <t>azzammamuju@gmail.com</t>
        </is>
      </c>
      <c r="E148" t="inlineStr">
        <is>
          <t>https://lpjk.pu.go.id/search-badan-usaha-detail/WFcyQnhXSUwveVExci9UanFjcmRnUT09</t>
        </is>
      </c>
      <c r="F148" t="n">
        <v>3</v>
      </c>
      <c r="G148" t="inlineStr">
        <is>
          <t>BG006, BG008, BG009</t>
        </is>
      </c>
      <c r="H148" t="inlineStr">
        <is>
          <t>10 Februari 2018</t>
        </is>
      </c>
      <c r="I148" s="2" t="n">
        <v>46278</v>
      </c>
      <c r="J148" t="inlineStr">
        <is>
          <t>Pencabutan</t>
        </is>
      </c>
      <c r="K148" t="n">
        <v>30</v>
      </c>
      <c r="L148" t="inlineStr">
        <is>
          <t>13 September 2026</t>
        </is>
      </c>
      <c r="M148" t="inlineStr">
        <is>
          <t>Konstruksi Gedung Lainnya, Konstruksi Gedung Pendidikan, Konstruksi Gedung Tempat Hiburan dan Olahraga</t>
        </is>
      </c>
      <c r="N148" t="inlineStr">
        <is>
          <t>K</t>
        </is>
      </c>
      <c r="O148" t="inlineStr">
        <is>
          <t>20230911, 20230914</t>
        </is>
      </c>
      <c r="P148" t="inlineStr">
        <is>
          <t>Sulawesi Barat</t>
        </is>
      </c>
      <c r="Q148" t="inlineStr"/>
    </row>
    <row r="149">
      <c r="A149" t="inlineStr">
        <is>
          <t>BANDA RAYA INDAH</t>
        </is>
      </c>
      <c r="B149" t="inlineStr">
        <is>
          <t>Kota Banda Aceh</t>
        </is>
      </c>
      <c r="C149" t="inlineStr">
        <is>
          <t>082236074478</t>
        </is>
      </c>
      <c r="D149" t="inlineStr">
        <is>
          <t>BANDARAYAINDAH@GMAIL.COM</t>
        </is>
      </c>
      <c r="E149" t="inlineStr">
        <is>
          <t>https://lpjk.pu.go.id/search-badan-usaha-detail/ck5nWW9GWUgxNEFzcDhCWlV5emlTQT09</t>
        </is>
      </c>
      <c r="F149" t="n">
        <v>3</v>
      </c>
      <c r="G149" t="inlineStr">
        <is>
          <t>BS004, BS005, BS010</t>
        </is>
      </c>
      <c r="H149" t="inlineStr">
        <is>
          <t>11 April 2023</t>
        </is>
      </c>
      <c r="I149" s="2" t="n">
        <v>46283</v>
      </c>
      <c r="J149" t="inlineStr">
        <is>
          <t>Disetujui, Pencabutan</t>
        </is>
      </c>
      <c r="K149" t="n">
        <v>30</v>
      </c>
      <c r="L149" t="inlineStr">
        <is>
          <t>18 September 2026</t>
        </is>
      </c>
      <c r="M149" t="inlineStr">
        <is>
          <t>Konstruksi Bangunan Prasarana Sumber Daya Air, Konstruksi Bangunan Sipil Pengolahan Air Bersih, Konstruksi Jaringan Irigasi dan Drainase</t>
        </is>
      </c>
      <c r="N149" t="inlineStr">
        <is>
          <t>K</t>
        </is>
      </c>
      <c r="O149" t="inlineStr">
        <is>
          <t>20230907, 20230918</t>
        </is>
      </c>
      <c r="P149" t="inlineStr">
        <is>
          <t>Aceh</t>
        </is>
      </c>
      <c r="Q149" t="inlineStr"/>
    </row>
    <row r="150">
      <c r="A150" t="inlineStr">
        <is>
          <t>BANGUN KARYA PERKASA JAYA</t>
        </is>
      </c>
      <c r="B150" t="inlineStr">
        <is>
          <t>Kota Surabaya</t>
        </is>
      </c>
      <c r="C150" t="inlineStr">
        <is>
          <t>082230570908</t>
        </is>
      </c>
      <c r="D150" t="inlineStr">
        <is>
          <t>pt_bkpjaya@yahoo.com</t>
        </is>
      </c>
      <c r="E150" t="inlineStr">
        <is>
          <t>https://lpjk.pu.go.id/search-badan-usaha-detail/dG5iUFJFaWdzKzZBS1pOQ1FRbnpJdz09</t>
        </is>
      </c>
      <c r="F150" t="n">
        <v>1</v>
      </c>
      <c r="G150" t="inlineStr">
        <is>
          <t>BG009</t>
        </is>
      </c>
      <c r="H150" t="inlineStr">
        <is>
          <t>7 Januari 2007</t>
        </is>
      </c>
      <c r="I150" s="2" t="n">
        <v>46280</v>
      </c>
      <c r="J150" t="inlineStr">
        <is>
          <t>Disetujui</t>
        </is>
      </c>
      <c r="K150" t="n">
        <v>30</v>
      </c>
      <c r="L150" t="inlineStr">
        <is>
          <t>15 September 2026</t>
        </is>
      </c>
      <c r="M150" t="inlineStr">
        <is>
          <t>Konstruksi Gedung Lainnya</t>
        </is>
      </c>
      <c r="N150" t="inlineStr">
        <is>
          <t>B</t>
        </is>
      </c>
      <c r="O150" t="inlineStr">
        <is>
          <t>20230828</t>
        </is>
      </c>
      <c r="P150" t="inlineStr">
        <is>
          <t>Jawa Timur</t>
        </is>
      </c>
      <c r="Q150" t="inlineStr"/>
    </row>
    <row r="151">
      <c r="A151" t="inlineStr">
        <is>
          <t>BANGUN KONSTRUKSI SELARAS</t>
        </is>
      </c>
      <c r="B151" t="inlineStr">
        <is>
          <t>Kab. Bandung</t>
        </is>
      </c>
      <c r="C151" t="inlineStr">
        <is>
          <t>082121002134</t>
        </is>
      </c>
      <c r="D151" t="inlineStr">
        <is>
          <t>bangunkontruksiselaras@gmail.com</t>
        </is>
      </c>
      <c r="E151" t="inlineStr">
        <is>
          <t>https://lpjk.pu.go.id/search-badan-usaha-detail/VDYyTFNEa2g3dzBjUXp4cyttUm9hQT09</t>
        </is>
      </c>
      <c r="F151" t="n">
        <v>4</v>
      </c>
      <c r="G151" t="inlineStr">
        <is>
          <t>BG002, BG009, BS001, BS004</t>
        </is>
      </c>
      <c r="H151" t="inlineStr">
        <is>
          <t>6 Juni 2023</t>
        </is>
      </c>
      <c r="I151" s="2" t="n">
        <v>46279</v>
      </c>
      <c r="J151" t="inlineStr">
        <is>
          <t>Disetujui</t>
        </is>
      </c>
      <c r="K151" t="n">
        <v>30</v>
      </c>
      <c r="L151" t="inlineStr">
        <is>
          <t>14 September 2026</t>
        </is>
      </c>
      <c r="M151" t="inlineStr">
        <is>
          <t>Konstruksi Bangunan Sipil Jalan, Konstruksi Gedung Lainnya, Konstruksi Gedung Perkantoran, Konstruksi Jaringan Irigasi dan Drainase</t>
        </is>
      </c>
      <c r="N151" t="inlineStr">
        <is>
          <t>K</t>
        </is>
      </c>
      <c r="O151" t="inlineStr">
        <is>
          <t>20230831, 20230905</t>
        </is>
      </c>
      <c r="P151" t="inlineStr">
        <is>
          <t>Jawa Barat</t>
        </is>
      </c>
      <c r="Q151" t="inlineStr"/>
    </row>
    <row r="152">
      <c r="A152" t="inlineStr">
        <is>
          <t>BANGUN MULTI GRIYA ABADI</t>
        </is>
      </c>
      <c r="B152" t="inlineStr">
        <is>
          <t>Kota Adm. Jakarta Barat</t>
        </is>
      </c>
      <c r="C152" t="inlineStr">
        <is>
          <t>087875194241</t>
        </is>
      </c>
      <c r="D152" t="inlineStr">
        <is>
          <t>ptbmga@hotmail.com</t>
        </is>
      </c>
      <c r="E152" t="inlineStr">
        <is>
          <t>https://lpjk.pu.go.id/search-badan-usaha-detail/ZjlXQTRRcXBlSlFyQkZsblFWdWNTdz09</t>
        </is>
      </c>
      <c r="F152" t="n">
        <v>2</v>
      </c>
      <c r="G152" t="inlineStr">
        <is>
          <t>BG002</t>
        </is>
      </c>
      <c r="H152" t="inlineStr">
        <is>
          <t>15 Desember 2005</t>
        </is>
      </c>
      <c r="I152" s="2" t="n">
        <v>46278</v>
      </c>
      <c r="J152" t="inlineStr">
        <is>
          <t>Disetujui</t>
        </is>
      </c>
      <c r="K152" t="n">
        <v>30</v>
      </c>
      <c r="L152" t="inlineStr">
        <is>
          <t>13 September 2026</t>
        </is>
      </c>
      <c r="M152" t="inlineStr">
        <is>
          <t>Konstruksi Gedung Perkantoran</t>
        </is>
      </c>
      <c r="N152" t="inlineStr">
        <is>
          <t>K</t>
        </is>
      </c>
      <c r="O152" t="inlineStr">
        <is>
          <t>20230815</t>
        </is>
      </c>
      <c r="P152" t="inlineStr">
        <is>
          <t>DKI Jakarta</t>
        </is>
      </c>
      <c r="Q152" t="inlineStr"/>
    </row>
    <row r="153">
      <c r="A153" t="inlineStr">
        <is>
          <t>BANGUN PUTRA PRATAMA</t>
        </is>
      </c>
      <c r="B153" t="inlineStr">
        <is>
          <t>Kab. Rembang</t>
        </is>
      </c>
      <c r="C153" t="inlineStr">
        <is>
          <t>081511111993</t>
        </is>
      </c>
      <c r="D153" t="inlineStr">
        <is>
          <t>cvbangunputrapratama123@gmail.com</t>
        </is>
      </c>
      <c r="E153" t="inlineStr">
        <is>
          <t>https://lpjk.pu.go.id/search-badan-usaha-detail/TjRZUVFEKzkrM1N1Y2IvN1ZGQWtLdz09</t>
        </is>
      </c>
      <c r="F153" t="n">
        <v>4</v>
      </c>
      <c r="G153" t="inlineStr">
        <is>
          <t>BG002, BG005, BG006, BG009</t>
        </is>
      </c>
      <c r="H153" t="inlineStr">
        <is>
          <t>1 Maret 1996</t>
        </is>
      </c>
      <c r="I153" s="2" t="n">
        <v>46279</v>
      </c>
      <c r="J153" t="inlineStr">
        <is>
          <t>Disetujui</t>
        </is>
      </c>
      <c r="K153" t="n">
        <v>30</v>
      </c>
      <c r="L153" t="inlineStr">
        <is>
          <t>14 September 2026</t>
        </is>
      </c>
      <c r="M153" t="inlineStr">
        <is>
          <t>Konstruksi Gedung Kesehatan, Konstruksi Gedung Lainnya, Konstruksi Gedung Pendidikan, Konstruksi Gedung Perkantoran</t>
        </is>
      </c>
      <c r="N153" t="inlineStr">
        <is>
          <t>K</t>
        </is>
      </c>
      <c r="O153" t="inlineStr">
        <is>
          <t>20230902</t>
        </is>
      </c>
      <c r="P153" t="inlineStr">
        <is>
          <t>Jawa Tengah</t>
        </is>
      </c>
      <c r="Q153" t="inlineStr"/>
    </row>
    <row r="154">
      <c r="A154" t="inlineStr">
        <is>
          <t>BANGUN WIRA UTAMA</t>
        </is>
      </c>
      <c r="B154" t="inlineStr">
        <is>
          <t>Kab. Bantul</t>
        </is>
      </c>
      <c r="C154" t="inlineStr">
        <is>
          <t>0818268821</t>
        </is>
      </c>
      <c r="D154" t="inlineStr">
        <is>
          <t>cvwirautama321@gmail.com</t>
        </is>
      </c>
      <c r="E154" t="inlineStr">
        <is>
          <t>https://lpjk.pu.go.id/search-badan-usaha-detail/anJ2V3B0N3hoMVljakFFN0tHeVF3UT09</t>
        </is>
      </c>
      <c r="F154" t="n">
        <v>1</v>
      </c>
      <c r="G154" t="inlineStr">
        <is>
          <t>BG006</t>
        </is>
      </c>
      <c r="H154" t="inlineStr">
        <is>
          <t>22 Agustus 2022</t>
        </is>
      </c>
      <c r="I154" s="2" t="n">
        <v>46277</v>
      </c>
      <c r="J154" t="inlineStr">
        <is>
          <t>Disetujui</t>
        </is>
      </c>
      <c r="K154" t="n">
        <v>30</v>
      </c>
      <c r="L154" t="inlineStr">
        <is>
          <t>12 September 2026</t>
        </is>
      </c>
      <c r="M154" t="inlineStr">
        <is>
          <t>Konstruksi Gedung Pendidikan</t>
        </is>
      </c>
      <c r="N154" t="inlineStr">
        <is>
          <t>K</t>
        </is>
      </c>
      <c r="O154" t="inlineStr">
        <is>
          <t>20230907</t>
        </is>
      </c>
      <c r="P154" t="inlineStr">
        <is>
          <t>DI Yogyakarta</t>
        </is>
      </c>
      <c r="Q154" t="inlineStr"/>
    </row>
    <row r="155">
      <c r="A155" t="inlineStr">
        <is>
          <t>BANGUNCIPTA MEGAH PERSADA</t>
        </is>
      </c>
      <c r="B155" t="inlineStr">
        <is>
          <t>Kota Medan</t>
        </is>
      </c>
      <c r="C155" t="inlineStr">
        <is>
          <t>082166353339</t>
        </is>
      </c>
      <c r="D155" t="inlineStr">
        <is>
          <t>bmp248660@gmail.com</t>
        </is>
      </c>
      <c r="E155" t="inlineStr">
        <is>
          <t>https://lpjk.pu.go.id/search-badan-usaha-detail/RUM2V09wU1F6K3o2MHBNZFd3LzcxZz09</t>
        </is>
      </c>
      <c r="F155" t="n">
        <v>2</v>
      </c>
      <c r="G155" t="inlineStr">
        <is>
          <t>BG001</t>
        </is>
      </c>
      <c r="H155" t="inlineStr">
        <is>
          <t>15 Agustus 2022</t>
        </is>
      </c>
      <c r="I155" s="2" t="n">
        <v>46282</v>
      </c>
      <c r="J155" t="inlineStr">
        <is>
          <t>Disetujui</t>
        </is>
      </c>
      <c r="K155" t="n">
        <v>30</v>
      </c>
      <c r="L155" t="inlineStr">
        <is>
          <t>17 September 2026</t>
        </is>
      </c>
      <c r="M155" t="inlineStr">
        <is>
          <t>Konstruksi Gedung Hunian</t>
        </is>
      </c>
      <c r="N155" t="inlineStr">
        <is>
          <t>K</t>
        </is>
      </c>
      <c r="O155" t="inlineStr">
        <is>
          <t>20230913</t>
        </is>
      </c>
      <c r="P155" t="inlineStr">
        <is>
          <t>Sumatera Utara</t>
        </is>
      </c>
      <c r="Q155" t="inlineStr"/>
    </row>
    <row r="156">
      <c r="A156" t="inlineStr">
        <is>
          <t>BANUA BANGUN NUSA</t>
        </is>
      </c>
      <c r="B156" t="inlineStr">
        <is>
          <t>Kota Palembang</t>
        </is>
      </c>
      <c r="C156" t="inlineStr">
        <is>
          <t>082177766639</t>
        </is>
      </c>
      <c r="D156" t="inlineStr">
        <is>
          <t>cv.borneobangunnusa@yahoo.com</t>
        </is>
      </c>
      <c r="E156" t="inlineStr">
        <is>
          <t>https://lpjk.pu.go.id/search-badan-usaha-detail/b0VsaDFoMTlWSXlZajY2WHlibVkrUT09</t>
        </is>
      </c>
      <c r="F156" t="n">
        <v>2</v>
      </c>
      <c r="G156" t="inlineStr">
        <is>
          <t>BS010</t>
        </is>
      </c>
      <c r="H156" t="inlineStr">
        <is>
          <t>1 Juli 2014</t>
        </is>
      </c>
      <c r="I156" s="2" t="n">
        <v>46277</v>
      </c>
      <c r="J156" t="inlineStr">
        <is>
          <t>Disetujui</t>
        </is>
      </c>
      <c r="K156" t="n">
        <v>30</v>
      </c>
      <c r="L156" t="inlineStr">
        <is>
          <t>12 September 2026</t>
        </is>
      </c>
      <c r="M156" t="inlineStr">
        <is>
          <t>Konstruksi Bangunan Prasarana Sumber Daya Air</t>
        </is>
      </c>
      <c r="N156" t="inlineStr">
        <is>
          <t>K</t>
        </is>
      </c>
      <c r="O156" t="inlineStr">
        <is>
          <t>20230904</t>
        </is>
      </c>
      <c r="P156" t="inlineStr">
        <is>
          <t>Sumatera Selatan</t>
        </is>
      </c>
      <c r="Q156" t="inlineStr"/>
    </row>
    <row r="157">
      <c r="A157" t="inlineStr">
        <is>
          <t>BATIK MANGKULUHUR</t>
        </is>
      </c>
      <c r="B157" t="inlineStr">
        <is>
          <t>Kota Samarinda</t>
        </is>
      </c>
      <c r="C157" t="inlineStr">
        <is>
          <t>085155471499</t>
        </is>
      </c>
      <c r="D157" t="inlineStr">
        <is>
          <t>cvbatikmangkuluhur@gmail.com</t>
        </is>
      </c>
      <c r="E157" t="inlineStr">
        <is>
          <t>https://lpjk.pu.go.id/search-badan-usaha-detail/NWRoRUljVUNUODdTSkxzTUdhcjhZQT09</t>
        </is>
      </c>
      <c r="F157" t="n">
        <v>1</v>
      </c>
      <c r="G157" t="inlineStr">
        <is>
          <t>BS001</t>
        </is>
      </c>
      <c r="H157" t="inlineStr">
        <is>
          <t>7 Januari 2009</t>
        </is>
      </c>
      <c r="I157" s="2" t="n">
        <v>46283</v>
      </c>
      <c r="J157" t="inlineStr">
        <is>
          <t>Disetujui</t>
        </is>
      </c>
      <c r="K157" t="n">
        <v>30</v>
      </c>
      <c r="L157" t="inlineStr">
        <is>
          <t>18 September 2026</t>
        </is>
      </c>
      <c r="M157" t="inlineStr">
        <is>
          <t>Konstruksi Bangunan Sipil Jalan</t>
        </is>
      </c>
      <c r="N157" t="inlineStr">
        <is>
          <t>K</t>
        </is>
      </c>
      <c r="O157" t="inlineStr">
        <is>
          <t>20230911</t>
        </is>
      </c>
      <c r="P157" t="inlineStr">
        <is>
          <t>Kalimantan Timur</t>
        </is>
      </c>
      <c r="Q157" t="inlineStr"/>
    </row>
    <row r="158">
      <c r="A158" t="inlineStr">
        <is>
          <t>BAWAN PERMAI GROUP</t>
        </is>
      </c>
      <c r="B158" t="inlineStr">
        <is>
          <t>Kota Palangkaraya</t>
        </is>
      </c>
      <c r="C158" t="inlineStr">
        <is>
          <t>081254448872</t>
        </is>
      </c>
      <c r="D158" t="inlineStr">
        <is>
          <t>bawanpermaigroup@gmail.com</t>
        </is>
      </c>
      <c r="E158" t="inlineStr">
        <is>
          <t>https://lpjk.pu.go.id/search-badan-usaha-detail/VkFSa094aWFCWnRrR3dESk5sakZyZz09</t>
        </is>
      </c>
      <c r="F158" t="n">
        <v>1</v>
      </c>
      <c r="G158" t="inlineStr">
        <is>
          <t>BS001</t>
        </is>
      </c>
      <c r="H158" t="inlineStr">
        <is>
          <t>2 Juni 2006</t>
        </is>
      </c>
      <c r="I158" s="2" t="n">
        <v>46277</v>
      </c>
      <c r="J158" t="inlineStr">
        <is>
          <t>Pencabutan</t>
        </is>
      </c>
      <c r="K158" t="n">
        <v>30</v>
      </c>
      <c r="L158" t="inlineStr">
        <is>
          <t>12 September 2026</t>
        </is>
      </c>
      <c r="M158" t="inlineStr">
        <is>
          <t>Konstruksi Bangunan Sipil Jalan</t>
        </is>
      </c>
      <c r="N158" t="inlineStr">
        <is>
          <t>B</t>
        </is>
      </c>
      <c r="O158" t="inlineStr">
        <is>
          <t>20230816</t>
        </is>
      </c>
      <c r="P158" t="inlineStr">
        <is>
          <t>Kalimantan Tengah</t>
        </is>
      </c>
      <c r="Q158" t="inlineStr"/>
    </row>
    <row r="159">
      <c r="A159" t="inlineStr">
        <is>
          <t>BELANTARA KARYA BAKTI</t>
        </is>
      </c>
      <c r="B159" t="inlineStr">
        <is>
          <t>Kota Cilegon</t>
        </is>
      </c>
      <c r="C159" t="inlineStr">
        <is>
          <t>08179190997</t>
        </is>
      </c>
      <c r="D159" t="inlineStr">
        <is>
          <t>belantarakaryabakti@gmail.com</t>
        </is>
      </c>
      <c r="E159" t="inlineStr">
        <is>
          <t>https://lpjk.pu.go.id/search-badan-usaha-detail/SS8xTTZuWGVCRzhpWUpqdlNMTWdQUT09</t>
        </is>
      </c>
      <c r="F159" t="n">
        <v>6</v>
      </c>
      <c r="G159" t="inlineStr">
        <is>
          <t>BG003, BG006, BG009</t>
        </is>
      </c>
      <c r="H159" t="inlineStr">
        <is>
          <t>21 April 2014</t>
        </is>
      </c>
      <c r="I159" s="2" t="n">
        <v>46282</v>
      </c>
      <c r="J159" t="inlineStr">
        <is>
          <t>Disetujui</t>
        </is>
      </c>
      <c r="K159" t="n">
        <v>30</v>
      </c>
      <c r="L159" t="inlineStr">
        <is>
          <t>17 September 2026</t>
        </is>
      </c>
      <c r="M159" t="inlineStr">
        <is>
          <t>Konstruksi Gedung Industri, Konstruksi Gedung Lainnya, Konstruksi Gedung Pendidikan</t>
        </is>
      </c>
      <c r="N159" t="inlineStr">
        <is>
          <t>K</t>
        </is>
      </c>
      <c r="O159" t="inlineStr">
        <is>
          <t>20230915, 20230918, 20230919</t>
        </is>
      </c>
      <c r="P159" t="inlineStr">
        <is>
          <t>Banten</t>
        </is>
      </c>
      <c r="Q159" t="inlineStr"/>
    </row>
    <row r="160">
      <c r="A160" t="inlineStr">
        <is>
          <t>BENUA SUKSES PERKASA</t>
        </is>
      </c>
      <c r="B160" t="inlineStr">
        <is>
          <t>Kota Pontianak</t>
        </is>
      </c>
      <c r="C160" t="inlineStr">
        <is>
          <t>085651252528</t>
        </is>
      </c>
      <c r="D160" t="inlineStr">
        <is>
          <t>perkasaptbenuasukses@gmail.com</t>
        </is>
      </c>
      <c r="E160" t="inlineStr">
        <is>
          <t>https://lpjk.pu.go.id/search-badan-usaha-detail/S2IyVkFNMlFvQnQ3cmt3OHJRMFVvUT09</t>
        </is>
      </c>
      <c r="F160" t="n">
        <v>1</v>
      </c>
      <c r="G160" t="inlineStr">
        <is>
          <t>BG001</t>
        </is>
      </c>
      <c r="H160" t="inlineStr">
        <is>
          <t>16 Agustus 2023</t>
        </is>
      </c>
      <c r="I160" s="2" t="n">
        <v>46283</v>
      </c>
      <c r="J160" t="inlineStr">
        <is>
          <t>Disetujui</t>
        </is>
      </c>
      <c r="K160" t="n">
        <v>30</v>
      </c>
      <c r="L160" t="inlineStr">
        <is>
          <t>18 September 2026</t>
        </is>
      </c>
      <c r="M160" t="inlineStr">
        <is>
          <t>Konstruksi Gedung Hunian</t>
        </is>
      </c>
      <c r="N160" t="inlineStr">
        <is>
          <t>K</t>
        </is>
      </c>
      <c r="O160" t="inlineStr">
        <is>
          <t>20230830</t>
        </is>
      </c>
      <c r="P160" t="inlineStr">
        <is>
          <t>Kalimantan Barat</t>
        </is>
      </c>
      <c r="Q160" t="inlineStr"/>
    </row>
    <row r="161">
      <c r="A161" t="inlineStr">
        <is>
          <t>BERINGIN JAYA</t>
        </is>
      </c>
      <c r="B161" t="inlineStr">
        <is>
          <t>Kota Banjarmasin</t>
        </is>
      </c>
      <c r="C161" t="inlineStr">
        <is>
          <t>0</t>
        </is>
      </c>
      <c r="D161" t="inlineStr">
        <is>
          <t>cv.beringinjaya28@yahoo.com</t>
        </is>
      </c>
      <c r="E161" t="inlineStr">
        <is>
          <t>https://lpjk.pu.go.id/search-badan-usaha-detail/Q0RaMVZRLzQrdmhrWjNCT3QvWEZZUT09</t>
        </is>
      </c>
      <c r="F161" t="n">
        <v>2</v>
      </c>
      <c r="G161" t="inlineStr">
        <is>
          <t>BS001, BS002</t>
        </is>
      </c>
      <c r="H161" t="inlineStr">
        <is>
          <t>2 Desember 2016</t>
        </is>
      </c>
      <c r="I161" s="2" t="n">
        <v>46283</v>
      </c>
      <c r="J161" t="inlineStr">
        <is>
          <t>Disetujui</t>
        </is>
      </c>
      <c r="K161" t="n">
        <v>30</v>
      </c>
      <c r="L161" t="inlineStr">
        <is>
          <t>18 September 2026</t>
        </is>
      </c>
      <c r="M161" t="inlineStr">
        <is>
          <t>Bangunan Sipil Jembatan, Jalan Layang, Fly Over, dan Underpass, Konstruksi Bangunan Sipil Jalan</t>
        </is>
      </c>
      <c r="N161" t="inlineStr">
        <is>
          <t>K</t>
        </is>
      </c>
      <c r="O161" t="inlineStr">
        <is>
          <t>20230918, 20230919</t>
        </is>
      </c>
      <c r="P161" t="inlineStr">
        <is>
          <t>Kalimantan Selatan</t>
        </is>
      </c>
      <c r="Q161" t="inlineStr"/>
    </row>
    <row r="162">
      <c r="A162" t="inlineStr">
        <is>
          <t>BERKAH</t>
        </is>
      </c>
      <c r="B162" t="inlineStr">
        <is>
          <t>Kab. Sleman</t>
        </is>
      </c>
      <c r="C162" t="inlineStr">
        <is>
          <t>08122745924</t>
        </is>
      </c>
      <c r="D162" t="inlineStr">
        <is>
          <t>berkahjogja_cv@yahoo.co.id</t>
        </is>
      </c>
      <c r="E162" t="inlineStr">
        <is>
          <t>https://lpjk.pu.go.id/search-badan-usaha-detail/bktsSDhONXlNQTZpTXBSNlg5c3dMUT09</t>
        </is>
      </c>
      <c r="F162" t="n">
        <v>10</v>
      </c>
      <c r="G162" t="inlineStr">
        <is>
          <t>BG006, BG008, BG009, BS002, BS010</t>
        </is>
      </c>
      <c r="H162" t="inlineStr">
        <is>
          <t>22 Juni 2012</t>
        </is>
      </c>
      <c r="I162" s="2" t="n">
        <v>46277</v>
      </c>
      <c r="J162" t="inlineStr">
        <is>
          <t>Disetujui</t>
        </is>
      </c>
      <c r="K162" t="n">
        <v>30</v>
      </c>
      <c r="L162" t="inlineStr">
        <is>
          <t>12 September 2026</t>
        </is>
      </c>
      <c r="M162" t="inlineStr">
        <is>
          <t>Bangunan Sipil Jembatan, Jalan Layang, Fly Over, dan Underpass, Konstruksi Bangunan Prasarana Sumber Daya Air, Konstruksi Gedung Lainnya, Konstruksi Gedung Pendidikan, Konstruksi Gedung Tempat Hiburan dan Olahraga</t>
        </is>
      </c>
      <c r="N162" t="inlineStr">
        <is>
          <t>K</t>
        </is>
      </c>
      <c r="O162" t="inlineStr">
        <is>
          <t>20230830, 20230901, 20230911</t>
        </is>
      </c>
      <c r="P162" t="inlineStr">
        <is>
          <t>DI Yogyakarta</t>
        </is>
      </c>
      <c r="Q162" t="inlineStr"/>
    </row>
    <row r="163">
      <c r="A163" t="inlineStr">
        <is>
          <t>BERKAH ETAM SEJAHTERA</t>
        </is>
      </c>
      <c r="B163" t="inlineStr">
        <is>
          <t>Kab. Kutai Timur</t>
        </is>
      </c>
      <c r="C163" t="inlineStr">
        <is>
          <t>081254620329</t>
        </is>
      </c>
      <c r="D163" t="inlineStr">
        <is>
          <t>cv.berkahetamsejahtera@gmail.com</t>
        </is>
      </c>
      <c r="E163" t="inlineStr">
        <is>
          <t>https://lpjk.pu.go.id/search-badan-usaha-detail/NlAyZmFxV0E3YXBrRDFMQmJOeDV6Zz09</t>
        </is>
      </c>
      <c r="F163" t="n">
        <v>4</v>
      </c>
      <c r="G163" t="inlineStr">
        <is>
          <t>BG005, BG006</t>
        </is>
      </c>
      <c r="H163" t="inlineStr">
        <is>
          <t>23 Agustus 2023</t>
        </is>
      </c>
      <c r="I163" s="2" t="n">
        <v>46277</v>
      </c>
      <c r="J163" t="inlineStr">
        <is>
          <t>Disetujui</t>
        </is>
      </c>
      <c r="K163" t="n">
        <v>30</v>
      </c>
      <c r="L163" t="inlineStr">
        <is>
          <t>12 September 2026</t>
        </is>
      </c>
      <c r="M163" t="inlineStr">
        <is>
          <t>Konstruksi Gedung Kesehatan, Konstruksi Gedung Pendidikan</t>
        </is>
      </c>
      <c r="N163" t="inlineStr">
        <is>
          <t>K</t>
        </is>
      </c>
      <c r="O163" t="inlineStr">
        <is>
          <t>20230909</t>
        </is>
      </c>
      <c r="P163" t="inlineStr">
        <is>
          <t>Kalimantan Timur</t>
        </is>
      </c>
      <c r="Q163" t="inlineStr"/>
    </row>
    <row r="164">
      <c r="A164" t="inlineStr">
        <is>
          <t>BERKAH GAWI ABADI</t>
        </is>
      </c>
      <c r="B164" t="inlineStr">
        <is>
          <t>Kab. Barito Kuala</t>
        </is>
      </c>
      <c r="C164" t="inlineStr">
        <is>
          <t>081351357099</t>
        </is>
      </c>
      <c r="D164" t="inlineStr">
        <is>
          <t>abd.berkahgawi@yahoo.com</t>
        </is>
      </c>
      <c r="E164" t="inlineStr">
        <is>
          <t>https://lpjk.pu.go.id/search-badan-usaha-detail/WkNLNk5OaDVtK3dRb2dheGFnS0F3QT09</t>
        </is>
      </c>
      <c r="F164" t="n">
        <v>2</v>
      </c>
      <c r="G164" t="inlineStr">
        <is>
          <t>BS002</t>
        </is>
      </c>
      <c r="H164" t="inlineStr">
        <is>
          <t>1 September 2023</t>
        </is>
      </c>
      <c r="I164" s="2" t="n">
        <v>46277</v>
      </c>
      <c r="J164" t="inlineStr">
        <is>
          <t>Pencabutan</t>
        </is>
      </c>
      <c r="K164" t="n">
        <v>30</v>
      </c>
      <c r="L164" t="inlineStr">
        <is>
          <t>12 September 2026</t>
        </is>
      </c>
      <c r="M164" t="inlineStr">
        <is>
          <t>Bangunan Sipil Jembatan, Jalan Layang, Fly Over, dan Underpass</t>
        </is>
      </c>
      <c r="N164" t="inlineStr">
        <is>
          <t>K</t>
        </is>
      </c>
      <c r="O164" t="inlineStr">
        <is>
          <t>20230906</t>
        </is>
      </c>
      <c r="P164" t="inlineStr">
        <is>
          <t>Kalimantan Selatan</t>
        </is>
      </c>
      <c r="Q164" t="inlineStr"/>
    </row>
    <row r="165">
      <c r="A165" t="inlineStr">
        <is>
          <t>BERKAH KIRANI JAYA</t>
        </is>
      </c>
      <c r="B165" t="inlineStr">
        <is>
          <t>Kota Tangerang Selatan</t>
        </is>
      </c>
      <c r="C165" t="inlineStr">
        <is>
          <t>087880063777</t>
        </is>
      </c>
      <c r="D165" t="inlineStr">
        <is>
          <t>cvberkahkiranijaya@gmail.com</t>
        </is>
      </c>
      <c r="E165" t="inlineStr">
        <is>
          <t>https://lpjk.pu.go.id/search-badan-usaha-detail/ZVVFWXZ2amJ3U2tLa085Wlovays2RTQ0cnNuUzVGdndrSHk4bU53ZE9xQT0</t>
        </is>
      </c>
      <c r="F165" t="n">
        <v>4</v>
      </c>
      <c r="G165" t="inlineStr">
        <is>
          <t>BG002, BG006</t>
        </is>
      </c>
      <c r="H165" t="inlineStr">
        <is>
          <t>9 September 2022</t>
        </is>
      </c>
      <c r="I165" s="2" t="n">
        <v>46279</v>
      </c>
      <c r="J165" t="inlineStr">
        <is>
          <t>Disetujui</t>
        </is>
      </c>
      <c r="K165" t="n">
        <v>30</v>
      </c>
      <c r="L165" t="inlineStr">
        <is>
          <t>14 September 2026</t>
        </is>
      </c>
      <c r="M165" t="inlineStr">
        <is>
          <t>Konstruksi Gedung Pendidikan, Konstruksi Gedung Perkantoran</t>
        </is>
      </c>
      <c r="N165" t="inlineStr">
        <is>
          <t>K</t>
        </is>
      </c>
      <c r="O165" t="inlineStr">
        <is>
          <t>20230912</t>
        </is>
      </c>
      <c r="P165" t="inlineStr">
        <is>
          <t>Banten</t>
        </is>
      </c>
      <c r="Q165" t="inlineStr"/>
    </row>
    <row r="166">
      <c r="A166" t="inlineStr">
        <is>
          <t>BERKAH MANDIRI BATULICIN</t>
        </is>
      </c>
      <c r="B166" t="inlineStr">
        <is>
          <t>Kab. Tanah Bumbu</t>
        </is>
      </c>
      <c r="C166" t="inlineStr">
        <is>
          <t>081392534916</t>
        </is>
      </c>
      <c r="D166" t="inlineStr">
        <is>
          <t>berkahmandiribatulicin@gmail.com</t>
        </is>
      </c>
      <c r="E166" t="inlineStr">
        <is>
          <t>https://lpjk.pu.go.id/search-badan-usaha-detail/TXFmYzRCTklCR0E2eGZRL1hrSmJBQT09</t>
        </is>
      </c>
      <c r="F166" t="n">
        <v>8</v>
      </c>
      <c r="G166" t="inlineStr">
        <is>
          <t>BG001, BG006, BG009, BS001</t>
        </is>
      </c>
      <c r="H166" t="inlineStr">
        <is>
          <t>28 Januari 2022</t>
        </is>
      </c>
      <c r="I166" s="2" t="n">
        <v>46282</v>
      </c>
      <c r="J166" t="inlineStr">
        <is>
          <t>Pencabutan</t>
        </is>
      </c>
      <c r="K166" t="n">
        <v>30</v>
      </c>
      <c r="L166" t="inlineStr">
        <is>
          <t>17 September 2026</t>
        </is>
      </c>
      <c r="M166" t="inlineStr">
        <is>
          <t>Konstruksi Bangunan Sipil Jalan, Konstruksi Gedung Hunian, Konstruksi Gedung Lainnya, Konstruksi Gedung Pendidikan</t>
        </is>
      </c>
      <c r="N166" t="inlineStr">
        <is>
          <t>K</t>
        </is>
      </c>
      <c r="O166" t="inlineStr">
        <is>
          <t>20230915</t>
        </is>
      </c>
      <c r="P166" t="inlineStr">
        <is>
          <t>Kalimantan Selatan</t>
        </is>
      </c>
      <c r="Q166" t="inlineStr"/>
    </row>
    <row r="167">
      <c r="A167" t="inlineStr">
        <is>
          <t>BERKAH RIZKY FAMILY</t>
        </is>
      </c>
      <c r="B167" t="inlineStr">
        <is>
          <t>Kota Semarang</t>
        </is>
      </c>
      <c r="C167" t="inlineStr">
        <is>
          <t>081333772840</t>
        </is>
      </c>
      <c r="D167" t="inlineStr">
        <is>
          <t>cvberkahrizkyfamily@gmail.com</t>
        </is>
      </c>
      <c r="E167" t="inlineStr">
        <is>
          <t>https://lpjk.pu.go.id/search-badan-usaha-detail/ZDIzUGtTWWtSQ0dCL0ZRVzlpSVVndz09</t>
        </is>
      </c>
      <c r="F167" t="n">
        <v>6</v>
      </c>
      <c r="G167" t="inlineStr">
        <is>
          <t>BG002, BG009, BS004</t>
        </is>
      </c>
      <c r="H167" t="inlineStr">
        <is>
          <t>12 September 2023</t>
        </is>
      </c>
      <c r="I167" s="2" t="n">
        <v>46283</v>
      </c>
      <c r="J167" t="inlineStr">
        <is>
          <t>Disetujui</t>
        </is>
      </c>
      <c r="K167" t="n">
        <v>30</v>
      </c>
      <c r="L167" t="inlineStr">
        <is>
          <t>18 September 2026</t>
        </is>
      </c>
      <c r="M167" t="inlineStr">
        <is>
          <t>Konstruksi Gedung Lainnya, Konstruksi Gedung Perkantoran, Konstruksi Jaringan Irigasi dan Drainase</t>
        </is>
      </c>
      <c r="N167" t="inlineStr">
        <is>
          <t>K</t>
        </is>
      </c>
      <c r="O167" t="inlineStr">
        <is>
          <t>20230915</t>
        </is>
      </c>
      <c r="P167" t="inlineStr">
        <is>
          <t>Jawa Tengah</t>
        </is>
      </c>
      <c r="Q167" t="inlineStr"/>
    </row>
    <row r="168">
      <c r="A168" t="inlineStr">
        <is>
          <t>BERKAH SUMBER BARU</t>
        </is>
      </c>
      <c r="B168" t="inlineStr">
        <is>
          <t>Kota Surabaya</t>
        </is>
      </c>
      <c r="C168" t="inlineStr">
        <is>
          <t>081234620193</t>
        </is>
      </c>
      <c r="D168" t="inlineStr">
        <is>
          <t>bagasadmadi4@gmail.com</t>
        </is>
      </c>
      <c r="E168" t="inlineStr">
        <is>
          <t>https://lpjk.pu.go.id/search-badan-usaha-detail/WlJWVUdFdVNFUlVPNzlNWTRwK2Q3dz09</t>
        </is>
      </c>
      <c r="F168" t="n">
        <v>10</v>
      </c>
      <c r="G168" t="inlineStr">
        <is>
          <t>BG005, BG006, BG009, BS001, BS004</t>
        </is>
      </c>
      <c r="H168" t="inlineStr">
        <is>
          <t>3 Juli 2023</t>
        </is>
      </c>
      <c r="I168" s="2" t="n">
        <v>46277</v>
      </c>
      <c r="J168" t="inlineStr">
        <is>
          <t>Disetujui</t>
        </is>
      </c>
      <c r="K168" t="n">
        <v>30</v>
      </c>
      <c r="L168" t="inlineStr">
        <is>
          <t>12 September 2026</t>
        </is>
      </c>
      <c r="M168" t="inlineStr">
        <is>
          <t>Konstruksi Bangunan Sipil Jalan, Konstruksi Gedung Kesehatan, Konstruksi Gedung Lainnya, Konstruksi Gedung Pendidikan, Konstruksi Jaringan Irigasi dan Drainase</t>
        </is>
      </c>
      <c r="N168" t="inlineStr">
        <is>
          <t>K</t>
        </is>
      </c>
      <c r="O168" t="inlineStr">
        <is>
          <t>20230911, 20230912</t>
        </is>
      </c>
      <c r="P168" t="inlineStr">
        <is>
          <t>Jawa Timur</t>
        </is>
      </c>
      <c r="Q168" t="inlineStr"/>
    </row>
    <row r="169">
      <c r="A169" t="inlineStr">
        <is>
          <t>BERKAT BANJAR MANDIRI</t>
        </is>
      </c>
      <c r="B169" t="inlineStr">
        <is>
          <t>Kab. Banjar</t>
        </is>
      </c>
      <c r="C169" t="inlineStr">
        <is>
          <t>081351016221</t>
        </is>
      </c>
      <c r="D169" t="inlineStr">
        <is>
          <t>berkatbanjarm@gmail.com</t>
        </is>
      </c>
      <c r="E169" t="inlineStr">
        <is>
          <t>https://lpjk.pu.go.id/search-badan-usaha-detail/R3lZRk84bFhVR1hYalZReDdoL3NoZz09</t>
        </is>
      </c>
      <c r="F169" t="n">
        <v>2</v>
      </c>
      <c r="G169" t="inlineStr">
        <is>
          <t>BG003</t>
        </is>
      </c>
      <c r="H169" t="inlineStr">
        <is>
          <t>9 September 2023</t>
        </is>
      </c>
      <c r="I169" s="2" t="n">
        <v>46283</v>
      </c>
      <c r="J169" t="inlineStr">
        <is>
          <t>Pencabutan</t>
        </is>
      </c>
      <c r="K169" t="n">
        <v>30</v>
      </c>
      <c r="L169" t="inlineStr">
        <is>
          <t>18 September 2026</t>
        </is>
      </c>
      <c r="M169" t="inlineStr">
        <is>
          <t>Konstruksi Gedung Industri</t>
        </is>
      </c>
      <c r="N169" t="inlineStr">
        <is>
          <t>K</t>
        </is>
      </c>
      <c r="O169" t="inlineStr">
        <is>
          <t>20230913</t>
        </is>
      </c>
      <c r="P169" t="inlineStr">
        <is>
          <t>Kalimantan Selatan</t>
        </is>
      </c>
      <c r="Q169" t="inlineStr"/>
    </row>
    <row r="170">
      <c r="A170" t="inlineStr">
        <is>
          <t>BERKAT CEMERLANG</t>
        </is>
      </c>
      <c r="B170" t="inlineStr">
        <is>
          <t>Kota Bitung</t>
        </is>
      </c>
      <c r="C170" t="inlineStr">
        <is>
          <t>081340590981</t>
        </is>
      </c>
      <c r="D170" t="inlineStr">
        <is>
          <t>andristuange16@gmail.com</t>
        </is>
      </c>
      <c r="E170" t="inlineStr">
        <is>
          <t>https://lpjk.pu.go.id/search-badan-usaha-detail/RlpCanJjSVVWL1VJRFJKQmt6N001Zz09</t>
        </is>
      </c>
      <c r="F170" t="n">
        <v>2</v>
      </c>
      <c r="G170" t="inlineStr">
        <is>
          <t>BS004</t>
        </is>
      </c>
      <c r="H170" t="inlineStr">
        <is>
          <t>6 Maret 2018</t>
        </is>
      </c>
      <c r="I170" s="2" t="n">
        <v>46277</v>
      </c>
      <c r="J170" t="inlineStr">
        <is>
          <t>Disetujui</t>
        </is>
      </c>
      <c r="K170" t="n">
        <v>30</v>
      </c>
      <c r="L170" t="inlineStr">
        <is>
          <t>12 September 2026</t>
        </is>
      </c>
      <c r="M170" t="inlineStr">
        <is>
          <t>Konstruksi Jaringan Irigasi dan Drainase</t>
        </is>
      </c>
      <c r="N170" t="inlineStr">
        <is>
          <t>K</t>
        </is>
      </c>
      <c r="O170" t="inlineStr">
        <is>
          <t>20230912</t>
        </is>
      </c>
      <c r="P170" t="inlineStr">
        <is>
          <t>Sulawesi Utara</t>
        </is>
      </c>
      <c r="Q170" t="inlineStr"/>
    </row>
    <row r="171">
      <c r="A171" t="inlineStr">
        <is>
          <t>BERKAT MANDIRI BERSAMA</t>
        </is>
      </c>
      <c r="B171" t="inlineStr">
        <is>
          <t>Kab. Balangan</t>
        </is>
      </c>
      <c r="C171" t="inlineStr">
        <is>
          <t>081216614673</t>
        </is>
      </c>
      <c r="D171" t="inlineStr">
        <is>
          <t>berkatmandiribersama22@gmail.com</t>
        </is>
      </c>
      <c r="E171" t="inlineStr">
        <is>
          <t>https://lpjk.pu.go.id/search-badan-usaha-detail/NUI4NmFtZ3ZiZ3l0SktpWHgwNVZ3Zz09</t>
        </is>
      </c>
      <c r="F171" t="n">
        <v>2</v>
      </c>
      <c r="G171" t="inlineStr">
        <is>
          <t>BG008</t>
        </is>
      </c>
      <c r="H171" t="inlineStr">
        <is>
          <t>15 November 2022</t>
        </is>
      </c>
      <c r="I171" s="2" t="n">
        <v>46279</v>
      </c>
      <c r="J171" t="inlineStr">
        <is>
          <t>Disetujui</t>
        </is>
      </c>
      <c r="K171" t="n">
        <v>30</v>
      </c>
      <c r="L171" t="inlineStr">
        <is>
          <t>14 September 2026</t>
        </is>
      </c>
      <c r="M171" t="inlineStr">
        <is>
          <t>Konstruksi Gedung Tempat Hiburan dan Olahraga</t>
        </is>
      </c>
      <c r="N171" t="inlineStr">
        <is>
          <t>K</t>
        </is>
      </c>
      <c r="O171" t="inlineStr">
        <is>
          <t>20230914</t>
        </is>
      </c>
      <c r="P171" t="inlineStr">
        <is>
          <t>Kalimantan Selatan</t>
        </is>
      </c>
      <c r="Q171" t="inlineStr"/>
    </row>
    <row r="172">
      <c r="A172" t="inlineStr">
        <is>
          <t>BIMA ADHIKARI KONSTRUKSI</t>
        </is>
      </c>
      <c r="B172" t="inlineStr">
        <is>
          <t>Kota Surabaya</t>
        </is>
      </c>
      <c r="C172" t="inlineStr">
        <is>
          <t>085850961799</t>
        </is>
      </c>
      <c r="D172" t="inlineStr">
        <is>
          <t>BIMAADHIKARIKONSTRUKSI@GMAIL.COM</t>
        </is>
      </c>
      <c r="E172" t="inlineStr">
        <is>
          <t>https://lpjk.pu.go.id/search-badan-usaha-detail/ZllVM1Zrd3BrZFROazZsOFJ6NE1jQT09</t>
        </is>
      </c>
      <c r="F172" t="n">
        <v>3</v>
      </c>
      <c r="G172" t="inlineStr">
        <is>
          <t>BG001, BG006, BG009</t>
        </is>
      </c>
      <c r="H172" t="inlineStr">
        <is>
          <t>8 Agustus 2023</t>
        </is>
      </c>
      <c r="I172" s="2" t="n">
        <v>46279</v>
      </c>
      <c r="J172" t="inlineStr">
        <is>
          <t>Disetujui</t>
        </is>
      </c>
      <c r="K172" t="n">
        <v>30</v>
      </c>
      <c r="L172" t="inlineStr">
        <is>
          <t>14 September 2026</t>
        </is>
      </c>
      <c r="M172" t="inlineStr">
        <is>
          <t>Konstruksi Gedung Hunian, Konstruksi Gedung Lainnya, Konstruksi Gedung Pendidikan</t>
        </is>
      </c>
      <c r="N172" t="inlineStr">
        <is>
          <t>K</t>
        </is>
      </c>
      <c r="O172" t="inlineStr">
        <is>
          <t>20230905</t>
        </is>
      </c>
      <c r="P172" t="inlineStr">
        <is>
          <t>Jawa Timur</t>
        </is>
      </c>
      <c r="Q172" t="inlineStr"/>
    </row>
    <row r="173">
      <c r="A173" t="inlineStr">
        <is>
          <t>BIMA SAKTI ADHINATA</t>
        </is>
      </c>
      <c r="B173" t="inlineStr">
        <is>
          <t>Kab. Lamongan</t>
        </is>
      </c>
      <c r="C173" t="inlineStr">
        <is>
          <t>0322317919</t>
        </is>
      </c>
      <c r="D173" t="inlineStr">
        <is>
          <t>bimasakti_adhinata1@yahoo.co.id</t>
        </is>
      </c>
      <c r="E173" t="inlineStr">
        <is>
          <t>https://lpjk.pu.go.id/search-badan-usaha-detail/U0xMVE9tOHA1RHhvdEZZaXNYTDAyZz09</t>
        </is>
      </c>
      <c r="F173" t="n">
        <v>1</v>
      </c>
      <c r="G173" t="inlineStr">
        <is>
          <t>BS001</t>
        </is>
      </c>
      <c r="H173" t="inlineStr">
        <is>
          <t>12 Januari 2007</t>
        </is>
      </c>
      <c r="I173" s="2" t="n">
        <v>46283</v>
      </c>
      <c r="J173" t="inlineStr">
        <is>
          <t>Pembekuan</t>
        </is>
      </c>
      <c r="K173" t="n">
        <v>30</v>
      </c>
      <c r="L173" t="inlineStr">
        <is>
          <t>18 September 2026</t>
        </is>
      </c>
      <c r="M173" t="inlineStr">
        <is>
          <t>Konstruksi Bangunan Sipil Jalan</t>
        </is>
      </c>
      <c r="N173" t="inlineStr">
        <is>
          <t>M</t>
        </is>
      </c>
      <c r="O173" t="inlineStr">
        <is>
          <t>20230918</t>
        </is>
      </c>
      <c r="P173" t="inlineStr">
        <is>
          <t>Jawa Timur</t>
        </is>
      </c>
      <c r="Q173" t="inlineStr"/>
    </row>
    <row r="174">
      <c r="A174" t="inlineStr">
        <is>
          <t>BIMA SENA</t>
        </is>
      </c>
      <c r="B174" t="inlineStr">
        <is>
          <t>Kota Binjai</t>
        </is>
      </c>
      <c r="C174" t="inlineStr">
        <is>
          <t>082276470424</t>
        </is>
      </c>
      <c r="D174" t="inlineStr">
        <is>
          <t>cvbimasena17@gmail.com</t>
        </is>
      </c>
      <c r="E174" t="inlineStr">
        <is>
          <t>https://lpjk.pu.go.id/search-badan-usaha-detail/RGlQTUdOWE5XUE5GeHNCa2RKNjQxQT09</t>
        </is>
      </c>
      <c r="F174" t="n">
        <v>3</v>
      </c>
      <c r="G174" t="inlineStr">
        <is>
          <t>BG009, BS004, BS006</t>
        </is>
      </c>
      <c r="H174" t="inlineStr">
        <is>
          <t>7 Juli 2017</t>
        </is>
      </c>
      <c r="I174" s="2" t="n">
        <v>46278</v>
      </c>
      <c r="J174" t="inlineStr">
        <is>
          <t>Disetujui</t>
        </is>
      </c>
      <c r="K174" t="n">
        <v>30</v>
      </c>
      <c r="L174" t="inlineStr">
        <is>
          <t>13 September 2026</t>
        </is>
      </c>
      <c r="M174" t="inlineStr">
        <is>
          <t>Konstruksi Bangunan Sipil Prasarana dan Sarana Sistem Pengolahan Limbah Padat, Cair, dan Gas, Konstruksi Gedung Lainnya, Konstruksi Jaringan Irigasi dan Drainase</t>
        </is>
      </c>
      <c r="N174" t="inlineStr">
        <is>
          <t>K</t>
        </is>
      </c>
      <c r="O174" t="inlineStr">
        <is>
          <t>20230914, 20230918</t>
        </is>
      </c>
      <c r="P174" t="inlineStr">
        <is>
          <t>Sumatera Utara</t>
        </is>
      </c>
      <c r="Q174" t="inlineStr"/>
    </row>
    <row r="175">
      <c r="A175" t="inlineStr">
        <is>
          <t>BIMA UTAMA RAYA</t>
        </is>
      </c>
      <c r="B175" t="inlineStr">
        <is>
          <t>Kab. Bojonegoro</t>
        </is>
      </c>
      <c r="C175" t="inlineStr">
        <is>
          <t>085335655295</t>
        </is>
      </c>
      <c r="D175" t="inlineStr">
        <is>
          <t>cvbimautamaraya@gmail.com</t>
        </is>
      </c>
      <c r="E175" t="inlineStr">
        <is>
          <t>https://lpjk.pu.go.id/search-badan-usaha-detail/dGdRNVg3UFpvVVBKY1pKYm15WWludz09</t>
        </is>
      </c>
      <c r="F175" t="n">
        <v>4</v>
      </c>
      <c r="G175" t="inlineStr">
        <is>
          <t>BS001, BS002, BS004, BS010</t>
        </is>
      </c>
      <c r="H175" t="inlineStr">
        <is>
          <t>8 Juni 2023</t>
        </is>
      </c>
      <c r="I175" s="2" t="n">
        <v>46278</v>
      </c>
      <c r="J175" t="inlineStr">
        <is>
          <t>Disetujui</t>
        </is>
      </c>
      <c r="K175" t="n">
        <v>30</v>
      </c>
      <c r="L175" t="inlineStr">
        <is>
          <t>13 September 2026</t>
        </is>
      </c>
      <c r="M175" t="inlineStr">
        <is>
          <t>Bangunan Sipil Jembatan, Jalan Layang, Fly Over, dan Underpass, Konstruksi Bangunan Prasarana Sumber Daya Air, Konstruksi Bangunan Sipil Jalan, Konstruksi Jaringan Irigasi dan Drainase</t>
        </is>
      </c>
      <c r="N175" t="inlineStr">
        <is>
          <t>K</t>
        </is>
      </c>
      <c r="O175" t="inlineStr">
        <is>
          <t>20230818, 20230819</t>
        </is>
      </c>
      <c r="P175" t="inlineStr">
        <is>
          <t>Jawa Timur</t>
        </is>
      </c>
      <c r="Q175" t="inlineStr"/>
    </row>
    <row r="176">
      <c r="A176" t="inlineStr">
        <is>
          <t>BINA AGUNG MANDIRI</t>
        </is>
      </c>
      <c r="B176" t="inlineStr">
        <is>
          <t>Kab. Ponorogo</t>
        </is>
      </c>
      <c r="C176" t="inlineStr">
        <is>
          <t>0352481259</t>
        </is>
      </c>
      <c r="D176" t="inlineStr">
        <is>
          <t>binaagungmandiri@gmail.com</t>
        </is>
      </c>
      <c r="E176" t="inlineStr">
        <is>
          <t>https://lpjk.pu.go.id/search-badan-usaha-detail/eW1tbWo3SnM4TFIzQllmMHI4Z2Y4dz09</t>
        </is>
      </c>
      <c r="F176" t="n">
        <v>2</v>
      </c>
      <c r="G176" t="inlineStr">
        <is>
          <t>BG006, BS004</t>
        </is>
      </c>
      <c r="H176" t="inlineStr">
        <is>
          <t>3 Oktober 2002</t>
        </is>
      </c>
      <c r="I176" s="2" t="n">
        <v>46279</v>
      </c>
      <c r="J176" t="inlineStr">
        <is>
          <t>Disetujui</t>
        </is>
      </c>
      <c r="K176" t="n">
        <v>30</v>
      </c>
      <c r="L176" t="inlineStr">
        <is>
          <t>14 September 2026</t>
        </is>
      </c>
      <c r="M176" t="inlineStr">
        <is>
          <t>Konstruksi Gedung Pendidikan, Konstruksi Jaringan Irigasi dan Drainase</t>
        </is>
      </c>
      <c r="N176" t="inlineStr">
        <is>
          <t>K</t>
        </is>
      </c>
      <c r="O176" t="inlineStr">
        <is>
          <t>20230911, 20230912</t>
        </is>
      </c>
      <c r="P176" t="inlineStr">
        <is>
          <t>Jawa Timur</t>
        </is>
      </c>
      <c r="Q176" t="inlineStr"/>
    </row>
    <row r="177">
      <c r="A177" t="inlineStr">
        <is>
          <t>BINA BANUA</t>
        </is>
      </c>
      <c r="B177" t="inlineStr">
        <is>
          <t>Kota Banjarmasin</t>
        </is>
      </c>
      <c r="C177" t="inlineStr">
        <is>
          <t>05113250569</t>
        </is>
      </c>
      <c r="D177" t="inlineStr">
        <is>
          <t>biba_cvbjm@yahoo.co.id</t>
        </is>
      </c>
      <c r="E177" t="inlineStr">
        <is>
          <t>https://lpjk.pu.go.id/search-badan-usaha-detail/NlZMQ1FNRmdDZEJ0V3BHcUw5eGtqZz09</t>
        </is>
      </c>
      <c r="F177" t="n">
        <v>1</v>
      </c>
      <c r="G177" t="inlineStr">
        <is>
          <t>RK002</t>
        </is>
      </c>
      <c r="H177" t="inlineStr">
        <is>
          <t>28 Maret 1981</t>
        </is>
      </c>
      <c r="I177" s="2" t="n">
        <v>46278</v>
      </c>
      <c r="J177" t="inlineStr">
        <is>
          <t>Disetujui</t>
        </is>
      </c>
      <c r="K177" t="n">
        <v>30</v>
      </c>
      <c r="L177" t="inlineStr">
        <is>
          <t>13 September 2026</t>
        </is>
      </c>
      <c r="M177" t="inlineStr">
        <is>
          <t>Jasa Rekayasa Pekerjaan Teknik Sipil Sumber Daya Air</t>
        </is>
      </c>
      <c r="N177" t="inlineStr">
        <is>
          <t>K</t>
        </is>
      </c>
      <c r="O177" t="inlineStr">
        <is>
          <t>20230821</t>
        </is>
      </c>
      <c r="P177" t="inlineStr">
        <is>
          <t>Kalimantan Selatan</t>
        </is>
      </c>
      <c r="Q177" t="inlineStr"/>
    </row>
    <row r="178">
      <c r="A178" t="inlineStr">
        <is>
          <t>BINA CIPTA DASALINDO</t>
        </is>
      </c>
      <c r="B178" t="inlineStr">
        <is>
          <t>Kota Banjarmasin</t>
        </is>
      </c>
      <c r="C178" t="inlineStr">
        <is>
          <t>05113261664</t>
        </is>
      </c>
      <c r="D178" t="inlineStr">
        <is>
          <t>pt.binaciptadasalindo@gmail.com</t>
        </is>
      </c>
      <c r="E178" t="inlineStr">
        <is>
          <t>https://lpjk.pu.go.id/search-badan-usaha-detail/SnE5VUlDRlF6WEJhQlhiK0gwclhCUT09</t>
        </is>
      </c>
      <c r="F178" t="n">
        <v>2</v>
      </c>
      <c r="G178" t="inlineStr">
        <is>
          <t>RK002, RK003</t>
        </is>
      </c>
      <c r="H178" t="inlineStr">
        <is>
          <t>28 Agustus 1991</t>
        </is>
      </c>
      <c r="I178" s="2" t="n">
        <v>46278</v>
      </c>
      <c r="J178" t="inlineStr">
        <is>
          <t>Disetujui</t>
        </is>
      </c>
      <c r="K178" t="n">
        <v>30</v>
      </c>
      <c r="L178" t="inlineStr">
        <is>
          <t>13 September 2026</t>
        </is>
      </c>
      <c r="M178" t="inlineStr">
        <is>
          <t>Jasa Rekayasa Pekerjaan Teknik Sipil Sumber Daya Air, Jasa Rekayasa Pekerjaan Teknik Sipil Transportasi</t>
        </is>
      </c>
      <c r="N178" t="inlineStr">
        <is>
          <t>K</t>
        </is>
      </c>
      <c r="O178" t="inlineStr">
        <is>
          <t>20230908</t>
        </is>
      </c>
      <c r="P178" t="inlineStr">
        <is>
          <t>Kalimantan Selatan</t>
        </is>
      </c>
      <c r="Q178" t="inlineStr"/>
    </row>
    <row r="179">
      <c r="A179" t="inlineStr">
        <is>
          <t>BINA CIPTA KREASI</t>
        </is>
      </c>
      <c r="B179" t="inlineStr">
        <is>
          <t>Kota Serang</t>
        </is>
      </c>
      <c r="C179" t="inlineStr">
        <is>
          <t>081213466684</t>
        </is>
      </c>
      <c r="D179" t="inlineStr">
        <is>
          <t>apaksindo.bpdbanten@gmail.com</t>
        </is>
      </c>
      <c r="E179" t="inlineStr">
        <is>
          <t>https://lpjk.pu.go.id/search-badan-usaha-detail/c0UxOExuVTlGZDR4QWtyV1FxRm9wZz09</t>
        </is>
      </c>
      <c r="F179" t="n">
        <v>1</v>
      </c>
      <c r="G179" t="inlineStr">
        <is>
          <t>BS001</t>
        </is>
      </c>
      <c r="H179" t="inlineStr">
        <is>
          <t>11 Januari 2023</t>
        </is>
      </c>
      <c r="I179" s="2" t="n">
        <v>46279</v>
      </c>
      <c r="J179" t="inlineStr">
        <is>
          <t>Disetujui</t>
        </is>
      </c>
      <c r="K179" t="n">
        <v>30</v>
      </c>
      <c r="L179" t="inlineStr">
        <is>
          <t>14 September 2026</t>
        </is>
      </c>
      <c r="M179" t="inlineStr">
        <is>
          <t>Konstruksi Bangunan Sipil Jalan</t>
        </is>
      </c>
      <c r="N179" t="inlineStr">
        <is>
          <t>K</t>
        </is>
      </c>
      <c r="O179" t="inlineStr">
        <is>
          <t>20230912</t>
        </is>
      </c>
      <c r="P179" t="inlineStr">
        <is>
          <t>Banten</t>
        </is>
      </c>
      <c r="Q179" t="inlineStr"/>
    </row>
    <row r="180">
      <c r="A180" t="inlineStr">
        <is>
          <t>BINA HARMONI SEMESTA</t>
        </is>
      </c>
      <c r="B180" t="inlineStr">
        <is>
          <t>Kab. Situbondo</t>
        </is>
      </c>
      <c r="C180" t="inlineStr">
        <is>
          <t>081931565111</t>
        </is>
      </c>
      <c r="D180" t="inlineStr">
        <is>
          <t>lsbugkb3512@gmail.com</t>
        </is>
      </c>
      <c r="E180" t="inlineStr">
        <is>
          <t>https://lpjk.pu.go.id/search-badan-usaha-detail/NUM4NWlTRVhCcDhRNEU0VTJHQ29Ddz09</t>
        </is>
      </c>
      <c r="F180" t="n">
        <v>2</v>
      </c>
      <c r="G180" t="inlineStr">
        <is>
          <t>BS001, BS004</t>
        </is>
      </c>
      <c r="H180" t="inlineStr">
        <is>
          <t>24 April 2018</t>
        </is>
      </c>
      <c r="I180" s="2" t="n">
        <v>46277</v>
      </c>
      <c r="J180" t="inlineStr">
        <is>
          <t>Disetujui</t>
        </is>
      </c>
      <c r="K180" t="n">
        <v>30</v>
      </c>
      <c r="L180" t="inlineStr">
        <is>
          <t>12 September 2026</t>
        </is>
      </c>
      <c r="M180" t="inlineStr">
        <is>
          <t>Konstruksi Bangunan Sipil Jalan, Konstruksi Jaringan Irigasi dan Drainase</t>
        </is>
      </c>
      <c r="N180" t="inlineStr">
        <is>
          <t>K</t>
        </is>
      </c>
      <c r="O180" t="inlineStr">
        <is>
          <t>20230908</t>
        </is>
      </c>
      <c r="P180" t="inlineStr">
        <is>
          <t>Jawa Timur</t>
        </is>
      </c>
      <c r="Q180" t="inlineStr"/>
    </row>
    <row r="181">
      <c r="A181" t="inlineStr">
        <is>
          <t>BINA USAHA ABADI</t>
        </is>
      </c>
      <c r="B181" t="inlineStr">
        <is>
          <t>Kab. Ketapang</t>
        </is>
      </c>
      <c r="C181" t="inlineStr">
        <is>
          <t>08125731663</t>
        </is>
      </c>
      <c r="D181" t="inlineStr">
        <is>
          <t>pt.binausahaabadi@yahoo.co.id</t>
        </is>
      </c>
      <c r="E181" t="inlineStr">
        <is>
          <t>https://lpjk.pu.go.id/search-badan-usaha-detail/dVUrTk1LYUcvYzllaWl5bjRrd2pFZz09</t>
        </is>
      </c>
      <c r="F181" t="n">
        <v>1</v>
      </c>
      <c r="G181" t="inlineStr">
        <is>
          <t>BS001</t>
        </is>
      </c>
      <c r="H181" t="inlineStr">
        <is>
          <t>25 September 2008</t>
        </is>
      </c>
      <c r="I181" s="2" t="n">
        <v>46282</v>
      </c>
      <c r="J181" t="inlineStr">
        <is>
          <t>Disetujui</t>
        </is>
      </c>
      <c r="K181" t="n">
        <v>30</v>
      </c>
      <c r="L181" t="inlineStr">
        <is>
          <t>17 September 2026</t>
        </is>
      </c>
      <c r="M181" t="inlineStr">
        <is>
          <t>Konstruksi Bangunan Sipil Jalan</t>
        </is>
      </c>
      <c r="N181" t="inlineStr">
        <is>
          <t>M</t>
        </is>
      </c>
      <c r="O181" t="inlineStr">
        <is>
          <t>20230821</t>
        </is>
      </c>
      <c r="P181" t="inlineStr">
        <is>
          <t>Kalimantan Barat</t>
        </is>
      </c>
      <c r="Q181" t="inlineStr"/>
    </row>
    <row r="182">
      <c r="A182" t="inlineStr">
        <is>
          <t>BINAKREASI INTI GEMILANG</t>
        </is>
      </c>
      <c r="B182" t="inlineStr">
        <is>
          <t>Kota Adm. Jakarta Barat</t>
        </is>
      </c>
      <c r="C182" t="inlineStr">
        <is>
          <t>0215406038</t>
        </is>
      </c>
      <c r="D182" t="inlineStr">
        <is>
          <t>bina.inti@yahoo.com</t>
        </is>
      </c>
      <c r="E182" t="inlineStr">
        <is>
          <t>https://lpjk.pu.go.id/search-badan-usaha-detail/S2FuL2hTZWhKbXQvbmJrWkZWK0ZLdz09</t>
        </is>
      </c>
      <c r="F182" t="n">
        <v>1</v>
      </c>
      <c r="G182" t="inlineStr">
        <is>
          <t>BG003</t>
        </is>
      </c>
      <c r="H182" t="inlineStr">
        <is>
          <t>20 Februari 2002</t>
        </is>
      </c>
      <c r="I182" s="2" t="n">
        <v>46279</v>
      </c>
      <c r="J182" t="inlineStr">
        <is>
          <t>Pembekuan</t>
        </is>
      </c>
      <c r="K182" t="n">
        <v>30</v>
      </c>
      <c r="L182" t="inlineStr">
        <is>
          <t>14 September 2026</t>
        </is>
      </c>
      <c r="M182" t="inlineStr">
        <is>
          <t>Konstruksi Gedung Industri</t>
        </is>
      </c>
      <c r="N182" t="inlineStr">
        <is>
          <t>M</t>
        </is>
      </c>
      <c r="O182" t="inlineStr">
        <is>
          <t>20230906</t>
        </is>
      </c>
      <c r="P182" t="inlineStr">
        <is>
          <t>DKI Jakarta</t>
        </is>
      </c>
      <c r="Q182" t="inlineStr"/>
    </row>
    <row r="183">
      <c r="A183" t="inlineStr">
        <is>
          <t>BINTAN SWAKARYA AGUNG</t>
        </is>
      </c>
      <c r="B183" t="inlineStr">
        <is>
          <t>Kota Adm. Jakarta Barat</t>
        </is>
      </c>
      <c r="C183" t="inlineStr">
        <is>
          <t>085369507777</t>
        </is>
      </c>
      <c r="D183" t="inlineStr">
        <is>
          <t>info.bintanswakaryaagung@gmail.com</t>
        </is>
      </c>
      <c r="E183" t="inlineStr">
        <is>
          <t>https://lpjk.pu.go.id/search-badan-usaha-detail/a3daQUIrRWxEdm5JZzV0KytxTWlFUT09</t>
        </is>
      </c>
      <c r="F183" t="n">
        <v>2</v>
      </c>
      <c r="G183" t="inlineStr">
        <is>
          <t>BS013, BS018</t>
        </is>
      </c>
      <c r="H183" t="inlineStr">
        <is>
          <t>30 Maret 2016</t>
        </is>
      </c>
      <c r="I183" s="2" t="n">
        <v>46278</v>
      </c>
      <c r="J183" t="inlineStr">
        <is>
          <t>Pencabutan</t>
        </is>
      </c>
      <c r="K183" t="n">
        <v>30</v>
      </c>
      <c r="L183" t="inlineStr">
        <is>
          <t>13 September 2026</t>
        </is>
      </c>
      <c r="M183" t="inlineStr">
        <is>
          <t>Konstruksi Bangunan Sipil Fasilitas Pengolahan Produk Kimia, Petrokimia, Farmasi, dan Industri Lainnya, Konstruksi Bangunan Sipil Minyak dan Gas Bumi</t>
        </is>
      </c>
      <c r="N183" t="inlineStr">
        <is>
          <t>B</t>
        </is>
      </c>
      <c r="O183" t="inlineStr">
        <is>
          <t>20230831</t>
        </is>
      </c>
      <c r="P183" t="inlineStr">
        <is>
          <t>DKI Jakarta</t>
        </is>
      </c>
      <c r="Q183" t="inlineStr"/>
    </row>
    <row r="184">
      <c r="A184" t="inlineStr">
        <is>
          <t>BINTANG CAHAYA LESTARI</t>
        </is>
      </c>
      <c r="B184" t="inlineStr">
        <is>
          <t>Kota Gorontalo</t>
        </is>
      </c>
      <c r="C184" t="inlineStr">
        <is>
          <t>081244669999</t>
        </is>
      </c>
      <c r="D184" t="inlineStr">
        <is>
          <t>bintangcahayalestari.cv@gmail.com</t>
        </is>
      </c>
      <c r="E184" t="inlineStr">
        <is>
          <t>https://lpjk.pu.go.id/search-badan-usaha-detail/UHpRRHpNUlJCT0h2SUNxb241Y21aUT09</t>
        </is>
      </c>
      <c r="F184" t="n">
        <v>2</v>
      </c>
      <c r="G184" t="inlineStr">
        <is>
          <t>BG009</t>
        </is>
      </c>
      <c r="H184" t="inlineStr">
        <is>
          <t>6 Februari 2008</t>
        </is>
      </c>
      <c r="I184" s="2" t="n">
        <v>46283</v>
      </c>
      <c r="J184" t="inlineStr">
        <is>
          <t>Disetujui</t>
        </is>
      </c>
      <c r="K184" t="n">
        <v>30</v>
      </c>
      <c r="L184" t="inlineStr">
        <is>
          <t>18 September 2026</t>
        </is>
      </c>
      <c r="M184" t="inlineStr">
        <is>
          <t>Konstruksi Gedung Lainnya</t>
        </is>
      </c>
      <c r="N184" t="inlineStr">
        <is>
          <t>K</t>
        </is>
      </c>
      <c r="O184" t="inlineStr">
        <is>
          <t>20230915</t>
        </is>
      </c>
      <c r="P184" t="inlineStr">
        <is>
          <t>Gorontalo</t>
        </is>
      </c>
      <c r="Q184" t="inlineStr"/>
    </row>
    <row r="185">
      <c r="A185" t="inlineStr">
        <is>
          <t>BINTANG MATARAM SEJAHTERA</t>
        </is>
      </c>
      <c r="B185" t="inlineStr">
        <is>
          <t>Kota Adm. Jakarta Selatan</t>
        </is>
      </c>
      <c r="C185" t="inlineStr">
        <is>
          <t>0217997925</t>
        </is>
      </c>
      <c r="D185" t="inlineStr">
        <is>
          <t>bintangmataramsejahtera.pt@yahoo.com</t>
        </is>
      </c>
      <c r="E185" t="inlineStr">
        <is>
          <t>https://lpjk.pu.go.id/search-badan-usaha-detail/NXdhTld0SXJHTkNjcmkvVDIvdXFUUT09</t>
        </is>
      </c>
      <c r="F185" t="n">
        <v>6</v>
      </c>
      <c r="G185" t="inlineStr">
        <is>
          <t>BG001, BG003, BG009</t>
        </is>
      </c>
      <c r="H185" t="inlineStr">
        <is>
          <t>8 Agustus 2012</t>
        </is>
      </c>
      <c r="I185" s="2" t="n">
        <v>46277</v>
      </c>
      <c r="J185" t="inlineStr">
        <is>
          <t>Disetujui</t>
        </is>
      </c>
      <c r="K185" t="n">
        <v>30</v>
      </c>
      <c r="L185" t="inlineStr">
        <is>
          <t>12 September 2026</t>
        </is>
      </c>
      <c r="M185" t="inlineStr">
        <is>
          <t>Konstruksi Gedung Hunian, Konstruksi Gedung Industri, Konstruksi Gedung Lainnya</t>
        </is>
      </c>
      <c r="N185" t="inlineStr">
        <is>
          <t>K, M</t>
        </is>
      </c>
      <c r="O185" t="inlineStr">
        <is>
          <t>20230907, 20230912, 20230913</t>
        </is>
      </c>
      <c r="P185" t="inlineStr">
        <is>
          <t>DKI Jakarta</t>
        </is>
      </c>
      <c r="Q185" t="inlineStr"/>
    </row>
    <row r="186">
      <c r="A186" t="inlineStr">
        <is>
          <t>BINTANG MUDA PERDANA</t>
        </is>
      </c>
      <c r="B186" t="inlineStr">
        <is>
          <t>Kota Banda Aceh</t>
        </is>
      </c>
      <c r="C186" t="inlineStr">
        <is>
          <t>085260102390</t>
        </is>
      </c>
      <c r="D186" t="inlineStr">
        <is>
          <t>bintangmudaperdana@yahoo.co.id</t>
        </is>
      </c>
      <c r="E186" t="inlineStr">
        <is>
          <t>https://lpjk.pu.go.id/search-badan-usaha-detail/WXBuVGxVR0F4M3pwNURicTAyb1diZz09</t>
        </is>
      </c>
      <c r="F186" t="n">
        <v>10</v>
      </c>
      <c r="G186" t="inlineStr">
        <is>
          <t>BG001, BG002, BG005, BG006, BG009</t>
        </is>
      </c>
      <c r="H186" t="inlineStr">
        <is>
          <t>17 September 2009</t>
        </is>
      </c>
      <c r="I186" s="2" t="n">
        <v>46278</v>
      </c>
      <c r="J186" t="inlineStr">
        <is>
          <t>Disetujui</t>
        </is>
      </c>
      <c r="K186" t="n">
        <v>30</v>
      </c>
      <c r="L186" t="inlineStr">
        <is>
          <t>13 September 2026</t>
        </is>
      </c>
      <c r="M186" t="inlineStr">
        <is>
          <t>Konstruksi Gedung Hunian, Konstruksi Gedung Kesehatan, Konstruksi Gedung Lainnya, Konstruksi Gedung Pendidikan, Konstruksi Gedung Perkantoran</t>
        </is>
      </c>
      <c r="N186" t="inlineStr">
        <is>
          <t>K</t>
        </is>
      </c>
      <c r="O186" t="inlineStr">
        <is>
          <t>20230828, 20230908</t>
        </is>
      </c>
      <c r="P186" t="inlineStr">
        <is>
          <t>Aceh</t>
        </is>
      </c>
      <c r="Q186" t="inlineStr"/>
    </row>
    <row r="187">
      <c r="A187" t="inlineStr">
        <is>
          <t>BINTANG PRATAMA</t>
        </is>
      </c>
      <c r="B187" t="inlineStr">
        <is>
          <t>Kota Yogyakarta</t>
        </is>
      </c>
      <c r="C187" t="inlineStr">
        <is>
          <t>081329296534</t>
        </is>
      </c>
      <c r="D187" t="inlineStr">
        <is>
          <t>cvbintangpratama27@gmail.com</t>
        </is>
      </c>
      <c r="E187" t="inlineStr">
        <is>
          <t>https://lpjk.pu.go.id/search-badan-usaha-detail/Nzh5TisreTRidC9wZlJIWE85UnBwQT09</t>
        </is>
      </c>
      <c r="F187" t="n">
        <v>2</v>
      </c>
      <c r="G187" t="inlineStr">
        <is>
          <t>BS006</t>
        </is>
      </c>
      <c r="H187" t="inlineStr">
        <is>
          <t>3 Agustus 2004</t>
        </is>
      </c>
      <c r="I187" s="2" t="n">
        <v>46279</v>
      </c>
      <c r="J187" t="inlineStr">
        <is>
          <t>Disetujui</t>
        </is>
      </c>
      <c r="K187" t="n">
        <v>30</v>
      </c>
      <c r="L187" t="inlineStr">
        <is>
          <t>14 September 2026</t>
        </is>
      </c>
      <c r="M187" t="inlineStr">
        <is>
          <t>Konstruksi Bangunan Sipil Prasarana dan Sarana Sistem Pengolahan Limbah Padat, Cair, dan Gas</t>
        </is>
      </c>
      <c r="N187" t="inlineStr">
        <is>
          <t>K</t>
        </is>
      </c>
      <c r="O187" t="inlineStr">
        <is>
          <t>20230802</t>
        </is>
      </c>
      <c r="P187" t="inlineStr">
        <is>
          <t>DI Yogyakarta</t>
        </is>
      </c>
      <c r="Q187" t="inlineStr"/>
    </row>
    <row r="188">
      <c r="A188" t="inlineStr">
        <is>
          <t>BINTANG SAMUDRA</t>
        </is>
      </c>
      <c r="B188" t="inlineStr">
        <is>
          <t>Kab. Semarang</t>
        </is>
      </c>
      <c r="C188" t="inlineStr">
        <is>
          <t>0246 9229 04__</t>
        </is>
      </c>
      <c r="D188" t="inlineStr">
        <is>
          <t>bintangsamudera43@yahoo.co.id</t>
        </is>
      </c>
      <c r="E188" t="inlineStr">
        <is>
          <t>https://lpjk.pu.go.id/search-badan-usaha-detail/TTl0YzhtUzlqY3FCT1l3SXBTZTRkUT09</t>
        </is>
      </c>
      <c r="F188" t="n">
        <v>16</v>
      </c>
      <c r="G188" t="inlineStr">
        <is>
          <t>BG004, BG005, BG006, BG008, BG009, BS001, BS004, BS005</t>
        </is>
      </c>
      <c r="H188" t="inlineStr">
        <is>
          <t>27 November 1996</t>
        </is>
      </c>
      <c r="I188" s="2" t="n">
        <v>46277</v>
      </c>
      <c r="J188" t="inlineStr">
        <is>
          <t>Disetujui, Pencabutan</t>
        </is>
      </c>
      <c r="K188" t="n">
        <v>30</v>
      </c>
      <c r="L188" t="inlineStr">
        <is>
          <t>12 September 2026</t>
        </is>
      </c>
      <c r="M188" t="inlineStr">
        <is>
          <t>Konstruksi Bangunan Sipil Jalan, Konstruksi Bangunan Sipil Pengolahan Air Bersih, Konstruksi Gedung Kesehatan, Konstruksi Gedung Lainnya, Konstruksi Gedung Pendidikan, Konstruksi Gedung Perbelanjaan, Konstruksi Gedung Tempat Hiburan dan Olahraga, Konstruksi Jaringan Irigasi dan Drainase</t>
        </is>
      </c>
      <c r="N188" t="inlineStr">
        <is>
          <t>K</t>
        </is>
      </c>
      <c r="O188" t="inlineStr">
        <is>
          <t>20230906, 20230908</t>
        </is>
      </c>
      <c r="P188" t="inlineStr">
        <is>
          <t>Jawa Tengah</t>
        </is>
      </c>
      <c r="Q188" t="inlineStr"/>
    </row>
    <row r="189">
      <c r="A189" t="inlineStr">
        <is>
          <t>BINTANG SELA</t>
        </is>
      </c>
      <c r="B189" t="inlineStr">
        <is>
          <t>Kab. Pamekasan</t>
        </is>
      </c>
      <c r="C189" t="inlineStr">
        <is>
          <t>087841386988</t>
        </is>
      </c>
      <c r="D189" t="inlineStr">
        <is>
          <t>cv.bintangsela77@gmail.com</t>
        </is>
      </c>
      <c r="E189" t="inlineStr">
        <is>
          <t>https://lpjk.pu.go.id/search-badan-usaha-detail/ZG1xZVlCMFV3NlBMWnFSVmJhUGVNZz09</t>
        </is>
      </c>
      <c r="F189" t="n">
        <v>8</v>
      </c>
      <c r="G189" t="inlineStr">
        <is>
          <t>BG003, BG009, BS001, BS004</t>
        </is>
      </c>
      <c r="H189" t="inlineStr">
        <is>
          <t>7 Juni 2023</t>
        </is>
      </c>
      <c r="I189" s="2" t="n">
        <v>46278</v>
      </c>
      <c r="J189" t="inlineStr">
        <is>
          <t>Disetujui, Pencabutan</t>
        </is>
      </c>
      <c r="K189" t="n">
        <v>30</v>
      </c>
      <c r="L189" t="inlineStr">
        <is>
          <t>13 September 2026</t>
        </is>
      </c>
      <c r="M189" t="inlineStr">
        <is>
          <t>Konstruksi Bangunan Sipil Jalan, Konstruksi Gedung Industri, Konstruksi Gedung Lainnya, Konstruksi Jaringan Irigasi dan Drainase</t>
        </is>
      </c>
      <c r="N189" t="inlineStr">
        <is>
          <t>K</t>
        </is>
      </c>
      <c r="O189" t="inlineStr">
        <is>
          <t>20230914</t>
        </is>
      </c>
      <c r="P189" t="inlineStr">
        <is>
          <t>Jawa Timur</t>
        </is>
      </c>
      <c r="Q189" t="inlineStr"/>
    </row>
    <row r="190">
      <c r="A190" t="inlineStr">
        <is>
          <t>BINTANG WEST PAPUA</t>
        </is>
      </c>
      <c r="B190" t="inlineStr">
        <is>
          <t>Kab. Manokwari</t>
        </is>
      </c>
      <c r="C190" t="inlineStr">
        <is>
          <t>081356702277</t>
        </is>
      </c>
      <c r="D190" t="inlineStr">
        <is>
          <t>cvbintangwestpapua@gmail.com</t>
        </is>
      </c>
      <c r="E190" t="inlineStr">
        <is>
          <t>https://lpjk.pu.go.id/search-badan-usaha-detail/bDU0NVJDNFZQeC94V2lROG9BdWwrQT09</t>
        </is>
      </c>
      <c r="F190" t="n">
        <v>4</v>
      </c>
      <c r="G190" t="inlineStr">
        <is>
          <t>BG005, BG006</t>
        </is>
      </c>
      <c r="H190" t="inlineStr">
        <is>
          <t>13 September 2023</t>
        </is>
      </c>
      <c r="I190" s="2" t="n">
        <v>46280</v>
      </c>
      <c r="J190" t="inlineStr">
        <is>
          <t>Pencabutan</t>
        </is>
      </c>
      <c r="K190" t="n">
        <v>30</v>
      </c>
      <c r="L190" t="inlineStr">
        <is>
          <t>15 September 2026</t>
        </is>
      </c>
      <c r="M190" t="inlineStr">
        <is>
          <t>Konstruksi Gedung Kesehatan, Konstruksi Gedung Pendidikan</t>
        </is>
      </c>
      <c r="N190" t="inlineStr">
        <is>
          <t>K</t>
        </is>
      </c>
      <c r="O190" t="inlineStr">
        <is>
          <t>20230914</t>
        </is>
      </c>
      <c r="P190" t="inlineStr">
        <is>
          <t>Papua Barat</t>
        </is>
      </c>
      <c r="Q190" t="inlineStr"/>
    </row>
    <row r="191">
      <c r="A191" t="inlineStr">
        <is>
          <t>BONANZA</t>
        </is>
      </c>
      <c r="B191" t="inlineStr">
        <is>
          <t>Kota Malang</t>
        </is>
      </c>
      <c r="C191" t="inlineStr">
        <is>
          <t>082112481235</t>
        </is>
      </c>
      <c r="D191" t="inlineStr">
        <is>
          <t>alifianbonanzacons@gmail.com</t>
        </is>
      </c>
      <c r="E191" t="inlineStr">
        <is>
          <t>https://lpjk.pu.go.id/search-badan-usaha-detail/cVpBZ1M3OUkwMHNHRjdoUWFFa1l6dz09</t>
        </is>
      </c>
      <c r="F191" t="n">
        <v>2</v>
      </c>
      <c r="G191" t="inlineStr">
        <is>
          <t>BS001</t>
        </is>
      </c>
      <c r="H191" t="inlineStr">
        <is>
          <t>22 Januari 2010</t>
        </is>
      </c>
      <c r="I191" s="2" t="n">
        <v>46277</v>
      </c>
      <c r="J191" t="inlineStr">
        <is>
          <t>Disetujui</t>
        </is>
      </c>
      <c r="K191" t="n">
        <v>30</v>
      </c>
      <c r="L191" t="inlineStr">
        <is>
          <t>12 September 2026</t>
        </is>
      </c>
      <c r="M191" t="inlineStr">
        <is>
          <t>Konstruksi Bangunan Sipil Jalan</t>
        </is>
      </c>
      <c r="N191" t="inlineStr">
        <is>
          <t>K</t>
        </is>
      </c>
      <c r="O191" t="inlineStr">
        <is>
          <t>20230912</t>
        </is>
      </c>
      <c r="P191" t="inlineStr">
        <is>
          <t>Jawa Timur</t>
        </is>
      </c>
      <c r="Q191" t="inlineStr"/>
    </row>
    <row r="192">
      <c r="A192" t="inlineStr">
        <is>
          <t>BORNEO BAITUR GOLDEN</t>
        </is>
      </c>
      <c r="B192" t="inlineStr">
        <is>
          <t>Kota Banjarbaru</t>
        </is>
      </c>
      <c r="C192" t="inlineStr">
        <is>
          <t>0</t>
        </is>
      </c>
      <c r="D192" t="inlineStr">
        <is>
          <t>pt.borneobaiturgolden@gmail.com</t>
        </is>
      </c>
      <c r="E192" t="inlineStr">
        <is>
          <t>https://lpjk.pu.go.id/search-badan-usaha-detail/Rk5iNnJ2czZza2ZVbm10QkhHWUJTQT09</t>
        </is>
      </c>
      <c r="F192" t="n">
        <v>1</v>
      </c>
      <c r="G192" t="inlineStr">
        <is>
          <t>BG001</t>
        </is>
      </c>
      <c r="H192" t="inlineStr">
        <is>
          <t>26 Oktober 2019</t>
        </is>
      </c>
      <c r="I192" s="2" t="n">
        <v>46283</v>
      </c>
      <c r="J192" t="inlineStr">
        <is>
          <t>Disetujui</t>
        </is>
      </c>
      <c r="K192" t="n">
        <v>30</v>
      </c>
      <c r="L192" t="inlineStr">
        <is>
          <t>18 September 2026</t>
        </is>
      </c>
      <c r="M192" t="inlineStr">
        <is>
          <t>Konstruksi Gedung Hunian</t>
        </is>
      </c>
      <c r="N192" t="inlineStr">
        <is>
          <t>K</t>
        </is>
      </c>
      <c r="O192" t="inlineStr">
        <is>
          <t>20230919</t>
        </is>
      </c>
      <c r="P192" t="inlineStr">
        <is>
          <t>Kalimantan Selatan</t>
        </is>
      </c>
      <c r="Q192" t="inlineStr"/>
    </row>
    <row r="193">
      <c r="A193" t="inlineStr">
        <is>
          <t>BORNEO DZIBAN SEJAHTERA</t>
        </is>
      </c>
      <c r="B193" t="inlineStr">
        <is>
          <t>Kab. Kutai Timur</t>
        </is>
      </c>
      <c r="C193" t="inlineStr">
        <is>
          <t>081347400545</t>
        </is>
      </c>
      <c r="D193" t="inlineStr">
        <is>
          <t>cvborneods@gmail.com</t>
        </is>
      </c>
      <c r="E193" t="inlineStr">
        <is>
          <t>https://lpjk.pu.go.id/search-badan-usaha-detail/QkFIL0xLUFE4OE9ENjY1ZTE2R2JlZz09</t>
        </is>
      </c>
      <c r="F193" t="n">
        <v>1</v>
      </c>
      <c r="G193" t="inlineStr">
        <is>
          <t>BG002</t>
        </is>
      </c>
      <c r="H193" t="inlineStr">
        <is>
          <t>14 April 2023</t>
        </is>
      </c>
      <c r="I193" s="2" t="n">
        <v>46283</v>
      </c>
      <c r="J193" t="inlineStr">
        <is>
          <t>Disetujui</t>
        </is>
      </c>
      <c r="K193" t="n">
        <v>30</v>
      </c>
      <c r="L193" t="inlineStr">
        <is>
          <t>18 September 2026</t>
        </is>
      </c>
      <c r="M193" t="inlineStr">
        <is>
          <t>Konstruksi Gedung Perkantoran</t>
        </is>
      </c>
      <c r="N193" t="inlineStr">
        <is>
          <t>K</t>
        </is>
      </c>
      <c r="O193" t="inlineStr">
        <is>
          <t>20230913</t>
        </is>
      </c>
      <c r="P193" t="inlineStr">
        <is>
          <t>Kalimantan Timur</t>
        </is>
      </c>
      <c r="Q193" t="inlineStr"/>
    </row>
    <row r="194">
      <c r="A194" t="inlineStr">
        <is>
          <t>BREBES JAYA MANDIRI</t>
        </is>
      </c>
      <c r="B194" t="inlineStr">
        <is>
          <t>Kab. Brebes</t>
        </is>
      </c>
      <c r="C194" t="inlineStr">
        <is>
          <t>085394694070</t>
        </is>
      </c>
      <c r="D194" t="inlineStr">
        <is>
          <t>jymandiri021@gmail.com</t>
        </is>
      </c>
      <c r="E194" t="inlineStr">
        <is>
          <t>https://lpjk.pu.go.id/search-badan-usaha-detail/N1ZPWDcwRnZjdDZiWjc0VXZ4ZmtHZz09</t>
        </is>
      </c>
      <c r="F194" t="n">
        <v>3</v>
      </c>
      <c r="G194" t="inlineStr">
        <is>
          <t>BG006, BG009, BS001</t>
        </is>
      </c>
      <c r="H194" t="inlineStr">
        <is>
          <t>19 Agustus 2019</t>
        </is>
      </c>
      <c r="I194" s="2" t="n">
        <v>46283</v>
      </c>
      <c r="J194" t="inlineStr">
        <is>
          <t>Disetujui</t>
        </is>
      </c>
      <c r="K194" t="n">
        <v>30</v>
      </c>
      <c r="L194" t="inlineStr">
        <is>
          <t>18 September 2026</t>
        </is>
      </c>
      <c r="M194" t="inlineStr">
        <is>
          <t>Konstruksi Bangunan Sipil Jalan, Konstruksi Gedung Lainnya, Konstruksi Gedung Pendidikan</t>
        </is>
      </c>
      <c r="N194" t="inlineStr">
        <is>
          <t>K</t>
        </is>
      </c>
      <c r="O194" t="inlineStr">
        <is>
          <t>20230912, 20230913</t>
        </is>
      </c>
      <c r="P194" t="inlineStr">
        <is>
          <t>Jawa Tengah</t>
        </is>
      </c>
      <c r="Q194" t="inlineStr"/>
    </row>
    <row r="195">
      <c r="A195" t="inlineStr">
        <is>
          <t>BUDHI KARYA UTAMA</t>
        </is>
      </c>
      <c r="B195" t="inlineStr">
        <is>
          <t>Kab. Nganjuk</t>
        </is>
      </c>
      <c r="C195" t="inlineStr">
        <is>
          <t>082336448353</t>
        </is>
      </c>
      <c r="D195" t="inlineStr">
        <is>
          <t>budiantobudhikaryautama@gmail.com</t>
        </is>
      </c>
      <c r="E195" t="inlineStr">
        <is>
          <t>https://lpjk.pu.go.id/search-badan-usaha-detail/OGxsbUpvVEl3eHFhSFRXSWc1Wm0vdz09</t>
        </is>
      </c>
      <c r="F195" t="n">
        <v>1</v>
      </c>
      <c r="G195" t="inlineStr">
        <is>
          <t>BS001</t>
        </is>
      </c>
      <c r="H195" t="inlineStr">
        <is>
          <t>29 Desember 2006</t>
        </is>
      </c>
      <c r="I195" s="2" t="n">
        <v>46283</v>
      </c>
      <c r="J195" t="inlineStr">
        <is>
          <t>Disetujui</t>
        </is>
      </c>
      <c r="K195" t="n">
        <v>30</v>
      </c>
      <c r="L195" t="inlineStr">
        <is>
          <t>18 September 2026</t>
        </is>
      </c>
      <c r="M195" t="inlineStr">
        <is>
          <t>Konstruksi Bangunan Sipil Jalan</t>
        </is>
      </c>
      <c r="N195" t="inlineStr">
        <is>
          <t>K</t>
        </is>
      </c>
      <c r="O195" t="inlineStr">
        <is>
          <t>20230918</t>
        </is>
      </c>
      <c r="P195" t="inlineStr">
        <is>
          <t>Jawa Timur</t>
        </is>
      </c>
      <c r="Q195" t="inlineStr"/>
    </row>
    <row r="196">
      <c r="A196" t="inlineStr">
        <is>
          <t>BUDI KARYA</t>
        </is>
      </c>
      <c r="B196" t="inlineStr">
        <is>
          <t>Kab. Tabanan</t>
        </is>
      </c>
      <c r="C196" t="inlineStr">
        <is>
          <t>0361811974</t>
        </is>
      </c>
      <c r="D196" t="inlineStr">
        <is>
          <t>cv.budikarya.85@gmail.com</t>
        </is>
      </c>
      <c r="E196" t="inlineStr">
        <is>
          <t>https://lpjk.pu.go.id/search-badan-usaha-detail/bjZLeTlNZkdDNUdUZkxLVmJaTUJSQT09</t>
        </is>
      </c>
      <c r="F196" t="n">
        <v>1</v>
      </c>
      <c r="G196" t="inlineStr">
        <is>
          <t>BG006</t>
        </is>
      </c>
      <c r="H196" t="inlineStr">
        <is>
          <t>3 Juni 1996</t>
        </is>
      </c>
      <c r="I196" s="2" t="n">
        <v>46279</v>
      </c>
      <c r="J196" t="inlineStr">
        <is>
          <t>Disetujui</t>
        </is>
      </c>
      <c r="K196" t="n">
        <v>30</v>
      </c>
      <c r="L196" t="inlineStr">
        <is>
          <t>14 September 2026</t>
        </is>
      </c>
      <c r="M196" t="inlineStr">
        <is>
          <t>Konstruksi Gedung Pendidikan</t>
        </is>
      </c>
      <c r="N196" t="inlineStr">
        <is>
          <t>K</t>
        </is>
      </c>
      <c r="O196" t="inlineStr">
        <is>
          <t>20230908</t>
        </is>
      </c>
      <c r="P196" t="inlineStr">
        <is>
          <t>Bali</t>
        </is>
      </c>
      <c r="Q196" t="inlineStr"/>
    </row>
    <row r="197">
      <c r="A197" t="inlineStr">
        <is>
          <t>BUDI MULYA SENTOSA</t>
        </is>
      </c>
      <c r="B197" t="inlineStr">
        <is>
          <t>Kab. Trenggalek</t>
        </is>
      </c>
      <c r="C197" t="inlineStr">
        <is>
          <t>085336127146</t>
        </is>
      </c>
      <c r="D197" t="inlineStr">
        <is>
          <t>budiparakan1970@gmail.com</t>
        </is>
      </c>
      <c r="E197" t="inlineStr">
        <is>
          <t>https://lpjk.pu.go.id/search-badan-usaha-detail/YVdzT0RvL0xqQzd6VDZLNUh3bE1Ydz09</t>
        </is>
      </c>
      <c r="F197" t="n">
        <v>2</v>
      </c>
      <c r="G197" t="inlineStr">
        <is>
          <t>BS001, BS004</t>
        </is>
      </c>
      <c r="H197" t="inlineStr">
        <is>
          <t>15 Juli 2014</t>
        </is>
      </c>
      <c r="I197" s="2" t="n">
        <v>46279</v>
      </c>
      <c r="J197" t="inlineStr">
        <is>
          <t>Disetujui</t>
        </is>
      </c>
      <c r="K197" t="n">
        <v>30</v>
      </c>
      <c r="L197" t="inlineStr">
        <is>
          <t>14 September 2026</t>
        </is>
      </c>
      <c r="M197" t="inlineStr">
        <is>
          <t>Konstruksi Bangunan Sipil Jalan, Konstruksi Jaringan Irigasi dan Drainase</t>
        </is>
      </c>
      <c r="N197" t="inlineStr">
        <is>
          <t>K</t>
        </is>
      </c>
      <c r="O197" t="inlineStr">
        <is>
          <t>20230828, 20230911</t>
        </is>
      </c>
      <c r="P197" t="inlineStr">
        <is>
          <t>Jawa Timur</t>
        </is>
      </c>
      <c r="Q197" t="inlineStr"/>
    </row>
    <row r="198">
      <c r="A198" t="inlineStr">
        <is>
          <t>BUKAKA MANDIRI JAYA</t>
        </is>
      </c>
      <c r="B198" t="inlineStr">
        <is>
          <t>Kab. Sragen</t>
        </is>
      </c>
      <c r="C198" t="inlineStr">
        <is>
          <t>085220050305</t>
        </is>
      </c>
      <c r="D198" t="inlineStr">
        <is>
          <t>cvbukaka@yahoo.com</t>
        </is>
      </c>
      <c r="E198" t="inlineStr">
        <is>
          <t>https://lpjk.pu.go.id/search-badan-usaha-detail/Vmw2bFBEWGhtMCtQSlVDc1lUcWdTQT09</t>
        </is>
      </c>
      <c r="F198" t="n">
        <v>1</v>
      </c>
      <c r="G198" t="inlineStr">
        <is>
          <t>BS001</t>
        </is>
      </c>
      <c r="H198" t="inlineStr">
        <is>
          <t>3 Agustus 1999</t>
        </is>
      </c>
      <c r="I198" s="2" t="n">
        <v>46278</v>
      </c>
      <c r="J198" t="inlineStr">
        <is>
          <t>Disetujui</t>
        </is>
      </c>
      <c r="K198" t="n">
        <v>30</v>
      </c>
      <c r="L198" t="inlineStr">
        <is>
          <t>13 September 2026</t>
        </is>
      </c>
      <c r="M198" t="inlineStr">
        <is>
          <t>Konstruksi Bangunan Sipil Jalan</t>
        </is>
      </c>
      <c r="N198" t="inlineStr">
        <is>
          <t>K</t>
        </is>
      </c>
      <c r="O198" t="inlineStr">
        <is>
          <t>20230907</t>
        </is>
      </c>
      <c r="P198" t="inlineStr">
        <is>
          <t>Jawa Tengah</t>
        </is>
      </c>
      <c r="Q198" t="inlineStr"/>
    </row>
    <row r="199">
      <c r="A199" t="inlineStr">
        <is>
          <t>BUKIT SION ITAH</t>
        </is>
      </c>
      <c r="B199" t="inlineStr">
        <is>
          <t>Kota Palangkaraya</t>
        </is>
      </c>
      <c r="C199" t="inlineStr">
        <is>
          <t>081349233207</t>
        </is>
      </c>
      <c r="D199" t="inlineStr">
        <is>
          <t>cvbukitsionitah@gmail.com</t>
        </is>
      </c>
      <c r="E199" t="inlineStr">
        <is>
          <t>https://lpjk.pu.go.id/search-badan-usaha-detail/S0dzc0Q1cnBJSkNSMnpUUHpnbzdSdz09</t>
        </is>
      </c>
      <c r="F199" t="n">
        <v>1</v>
      </c>
      <c r="G199" t="inlineStr">
        <is>
          <t>BS001</t>
        </is>
      </c>
      <c r="H199" t="inlineStr">
        <is>
          <t>3 Agustus 2023</t>
        </is>
      </c>
      <c r="I199" s="2" t="n">
        <v>46278</v>
      </c>
      <c r="J199" t="inlineStr">
        <is>
          <t>Disetujui</t>
        </is>
      </c>
      <c r="K199" t="n">
        <v>30</v>
      </c>
      <c r="L199" t="inlineStr">
        <is>
          <t>13 September 2026</t>
        </is>
      </c>
      <c r="M199" t="inlineStr">
        <is>
          <t>Konstruksi Bangunan Sipil Jalan</t>
        </is>
      </c>
      <c r="N199" t="inlineStr">
        <is>
          <t>K</t>
        </is>
      </c>
      <c r="O199" t="inlineStr">
        <is>
          <t>20230914</t>
        </is>
      </c>
      <c r="P199" t="inlineStr">
        <is>
          <t>Kalimantan Tengah</t>
        </is>
      </c>
      <c r="Q199" t="inlineStr"/>
    </row>
    <row r="200">
      <c r="A200" t="inlineStr">
        <is>
          <t>BUKIT TUBAN PERSADA</t>
        </is>
      </c>
      <c r="B200" t="inlineStr">
        <is>
          <t>Kab. Tuban</t>
        </is>
      </c>
      <c r="C200" t="inlineStr">
        <is>
          <t>081235805770</t>
        </is>
      </c>
      <c r="D200" t="inlineStr">
        <is>
          <t>BUKITTUBANPERSADA.PT80@GMAIL.COM</t>
        </is>
      </c>
      <c r="E200" t="inlineStr">
        <is>
          <t>https://lpjk.pu.go.id/search-badan-usaha-detail/Q2dWWWFvT1U5eThTeUdxdUpxbE5HZz09</t>
        </is>
      </c>
      <c r="F200" t="n">
        <v>1</v>
      </c>
      <c r="G200" t="inlineStr">
        <is>
          <t>BG003</t>
        </is>
      </c>
      <c r="H200" t="inlineStr">
        <is>
          <t>22 Juni 2012</t>
        </is>
      </c>
      <c r="I200" s="2" t="n">
        <v>46279</v>
      </c>
      <c r="J200" t="inlineStr">
        <is>
          <t>Disetujui</t>
        </is>
      </c>
      <c r="K200" t="n">
        <v>30</v>
      </c>
      <c r="L200" t="inlineStr">
        <is>
          <t>14 September 2026</t>
        </is>
      </c>
      <c r="M200" t="inlineStr">
        <is>
          <t>Konstruksi Gedung Industri</t>
        </is>
      </c>
      <c r="N200" t="inlineStr">
        <is>
          <t>K</t>
        </is>
      </c>
      <c r="O200" t="inlineStr">
        <is>
          <t>20230913</t>
        </is>
      </c>
      <c r="P200" t="inlineStr">
        <is>
          <t>Jawa Timur</t>
        </is>
      </c>
      <c r="Q200" t="inlineStr"/>
    </row>
    <row r="201">
      <c r="A201" t="inlineStr">
        <is>
          <t>BUMI KHATULISTIWA PUTERA</t>
        </is>
      </c>
      <c r="B201" t="inlineStr">
        <is>
          <t>Kota Pontianak</t>
        </is>
      </c>
      <c r="C201" t="inlineStr">
        <is>
          <t>085845209686</t>
        </is>
      </c>
      <c r="D201" t="inlineStr">
        <is>
          <t>puterakahtulistiwa@gmail.com</t>
        </is>
      </c>
      <c r="E201" t="inlineStr">
        <is>
          <t>https://lpjk.pu.go.id/search-badan-usaha-detail/R3pYUmJCZWlzeWMwOTRiakp0eTM5Zz09</t>
        </is>
      </c>
      <c r="F201" t="n">
        <v>1</v>
      </c>
      <c r="G201" t="inlineStr">
        <is>
          <t>BG003</t>
        </is>
      </c>
      <c r="H201" t="inlineStr">
        <is>
          <t>7 Maret 2007</t>
        </is>
      </c>
      <c r="I201" s="2" t="n">
        <v>46282</v>
      </c>
      <c r="J201" t="inlineStr">
        <is>
          <t>Disetujui</t>
        </is>
      </c>
      <c r="K201" t="n">
        <v>30</v>
      </c>
      <c r="L201" t="inlineStr">
        <is>
          <t>17 September 2026</t>
        </is>
      </c>
      <c r="M201" t="inlineStr">
        <is>
          <t>Konstruksi Gedung Industri</t>
        </is>
      </c>
      <c r="N201" t="inlineStr">
        <is>
          <t>K</t>
        </is>
      </c>
      <c r="O201" t="inlineStr">
        <is>
          <t>20230917</t>
        </is>
      </c>
      <c r="P201" t="inlineStr">
        <is>
          <t>Kalimantan Barat</t>
        </is>
      </c>
      <c r="Q201" t="inlineStr"/>
    </row>
    <row r="202">
      <c r="A202" t="inlineStr">
        <is>
          <t>BUMI MANDIRI BERDIKARI</t>
        </is>
      </c>
      <c r="B202" t="inlineStr">
        <is>
          <t>Kota Tangerang Selatan</t>
        </is>
      </c>
      <c r="C202" t="inlineStr">
        <is>
          <t>02174776205</t>
        </is>
      </c>
      <c r="D202" t="inlineStr">
        <is>
          <t>bmb.crd222@gmail.com</t>
        </is>
      </c>
      <c r="E202" t="inlineStr">
        <is>
          <t>https://lpjk.pu.go.id/search-badan-usaha-detail/aWNpVlJ1WnBmWmIyWHFuL09EcDg4dz09</t>
        </is>
      </c>
      <c r="F202" t="n">
        <v>2</v>
      </c>
      <c r="G202" t="inlineStr">
        <is>
          <t>BS001, BS004</t>
        </is>
      </c>
      <c r="H202" t="inlineStr">
        <is>
          <t>5 Februari 2016</t>
        </is>
      </c>
      <c r="I202" s="2" t="n">
        <v>46282</v>
      </c>
      <c r="J202" t="inlineStr">
        <is>
          <t>Disetujui</t>
        </is>
      </c>
      <c r="K202" t="n">
        <v>30</v>
      </c>
      <c r="L202" t="inlineStr">
        <is>
          <t>17 September 2026</t>
        </is>
      </c>
      <c r="M202" t="inlineStr">
        <is>
          <t>Konstruksi Bangunan Sipil Jalan, Konstruksi Jaringan Irigasi dan Drainase</t>
        </is>
      </c>
      <c r="N202" t="inlineStr">
        <is>
          <t>K</t>
        </is>
      </c>
      <c r="O202" t="inlineStr">
        <is>
          <t>20230915</t>
        </is>
      </c>
      <c r="P202" t="inlineStr">
        <is>
          <t>Banten</t>
        </is>
      </c>
      <c r="Q202" t="inlineStr"/>
    </row>
    <row r="203">
      <c r="A203" t="inlineStr">
        <is>
          <t>BUMI PADJAJARAN</t>
        </is>
      </c>
      <c r="B203" t="inlineStr">
        <is>
          <t>Kota Sukabumi</t>
        </is>
      </c>
      <c r="C203" t="inlineStr">
        <is>
          <t>082262161985</t>
        </is>
      </c>
      <c r="D203" t="inlineStr">
        <is>
          <t>padjajaran.cv@gmail.com</t>
        </is>
      </c>
      <c r="E203" t="inlineStr">
        <is>
          <t>https://lpjk.pu.go.id/search-badan-usaha-detail/bFhXTjBBcWc2Q3BZSlJRKzY0VjF3dz09</t>
        </is>
      </c>
      <c r="F203" t="n">
        <v>1</v>
      </c>
      <c r="G203" t="inlineStr">
        <is>
          <t>BG008</t>
        </is>
      </c>
      <c r="H203" t="inlineStr">
        <is>
          <t>13 Februari 2014</t>
        </is>
      </c>
      <c r="I203" s="2" t="n">
        <v>46279</v>
      </c>
      <c r="J203" t="inlineStr">
        <is>
          <t>Disetujui</t>
        </is>
      </c>
      <c r="K203" t="n">
        <v>30</v>
      </c>
      <c r="L203" t="inlineStr">
        <is>
          <t>14 September 2026</t>
        </is>
      </c>
      <c r="M203" t="inlineStr">
        <is>
          <t>Konstruksi Gedung Tempat Hiburan dan Olahraga</t>
        </is>
      </c>
      <c r="N203" t="inlineStr">
        <is>
          <t>K</t>
        </is>
      </c>
      <c r="O203" t="inlineStr">
        <is>
          <t>20230807</t>
        </is>
      </c>
      <c r="P203" t="inlineStr">
        <is>
          <t>Jawa Barat</t>
        </is>
      </c>
      <c r="Q203" t="inlineStr"/>
    </row>
    <row r="204">
      <c r="A204" t="inlineStr">
        <is>
          <t>CAHAYA BERKAH</t>
        </is>
      </c>
      <c r="B204" t="inlineStr">
        <is>
          <t>Kab. Bandung</t>
        </is>
      </c>
      <c r="C204" t="inlineStr">
        <is>
          <t>081322212787</t>
        </is>
      </c>
      <c r="D204" t="inlineStr">
        <is>
          <t>cahayaberkah32@yahoo.com</t>
        </is>
      </c>
      <c r="E204" t="inlineStr">
        <is>
          <t>https://lpjk.pu.go.id/search-badan-usaha-detail/U1R0VzZmNFdqUElvYWZ3Mko1Y0FZQT09</t>
        </is>
      </c>
      <c r="F204" t="n">
        <v>3</v>
      </c>
      <c r="G204" t="inlineStr">
        <is>
          <t>BG002, BG008, BG009</t>
        </is>
      </c>
      <c r="H204" t="inlineStr">
        <is>
          <t>12 Agustus 2016</t>
        </is>
      </c>
      <c r="I204" s="2" t="n">
        <v>46280</v>
      </c>
      <c r="J204" t="inlineStr">
        <is>
          <t>Disetujui</t>
        </is>
      </c>
      <c r="K204" t="n">
        <v>30</v>
      </c>
      <c r="L204" t="inlineStr">
        <is>
          <t>15 September 2026</t>
        </is>
      </c>
      <c r="M204" t="inlineStr">
        <is>
          <t>Konstruksi Gedung Lainnya, Konstruksi Gedung Perkantoran, Konstruksi Gedung Tempat Hiburan dan Olahraga</t>
        </is>
      </c>
      <c r="N204" t="inlineStr">
        <is>
          <t>K</t>
        </is>
      </c>
      <c r="O204" t="inlineStr">
        <is>
          <t>20230912</t>
        </is>
      </c>
      <c r="P204" t="inlineStr">
        <is>
          <t>Jawa Barat</t>
        </is>
      </c>
      <c r="Q204" t="inlineStr"/>
    </row>
    <row r="205">
      <c r="A205" t="inlineStr">
        <is>
          <t>CAHAYA MANDIRI</t>
        </is>
      </c>
      <c r="B205" t="inlineStr">
        <is>
          <t>Kota Pontianak</t>
        </is>
      </c>
      <c r="C205" t="inlineStr">
        <is>
          <t>-</t>
        </is>
      </c>
      <c r="D205" t="inlineStr">
        <is>
          <t>cahayamandiri.cv01@yahoo.com</t>
        </is>
      </c>
      <c r="E205" t="inlineStr">
        <is>
          <t>https://lpjk.pu.go.id/search-badan-usaha-detail/UXg5c2p4OUcrbnJqUWpGbEh6UkFTUT09</t>
        </is>
      </c>
      <c r="F205" t="n">
        <v>1</v>
      </c>
      <c r="G205" t="inlineStr">
        <is>
          <t>BG005</t>
        </is>
      </c>
      <c r="H205" t="inlineStr">
        <is>
          <t>1 Desember 2010</t>
        </is>
      </c>
      <c r="I205" s="2" t="n">
        <v>46283</v>
      </c>
      <c r="J205" t="inlineStr">
        <is>
          <t>Disetujui</t>
        </is>
      </c>
      <c r="K205" t="n">
        <v>30</v>
      </c>
      <c r="L205" t="inlineStr">
        <is>
          <t>18 September 2026</t>
        </is>
      </c>
      <c r="M205" t="inlineStr">
        <is>
          <t>Konstruksi Gedung Kesehatan</t>
        </is>
      </c>
      <c r="N205" t="inlineStr">
        <is>
          <t>K</t>
        </is>
      </c>
      <c r="O205" t="inlineStr">
        <is>
          <t>20230912</t>
        </is>
      </c>
      <c r="P205" t="inlineStr">
        <is>
          <t>Kalimantan Barat</t>
        </is>
      </c>
      <c r="Q205" t="inlineStr"/>
    </row>
    <row r="206">
      <c r="A206" t="inlineStr">
        <is>
          <t>CAHAYA TIGA PUTRA</t>
        </is>
      </c>
      <c r="B206" t="inlineStr">
        <is>
          <t>Kota Makassar</t>
        </is>
      </c>
      <c r="C206" t="inlineStr">
        <is>
          <t>08114446898</t>
        </is>
      </c>
      <c r="D206" t="inlineStr">
        <is>
          <t>cv.cahayatigaputra@gmail.com</t>
        </is>
      </c>
      <c r="E206" t="inlineStr">
        <is>
          <t>https://lpjk.pu.go.id/search-badan-usaha-detail/ZnV5NmlyUGZqNmo5UmNIN1VDWEhCQT09</t>
        </is>
      </c>
      <c r="F206" t="n">
        <v>1</v>
      </c>
      <c r="G206" t="inlineStr">
        <is>
          <t>BS004</t>
        </is>
      </c>
      <c r="H206" t="inlineStr">
        <is>
          <t>26 Februari 2019</t>
        </is>
      </c>
      <c r="I206" s="2" t="n">
        <v>46278</v>
      </c>
      <c r="J206" t="inlineStr">
        <is>
          <t>Disetujui</t>
        </is>
      </c>
      <c r="K206" t="n">
        <v>30</v>
      </c>
      <c r="L206" t="inlineStr">
        <is>
          <t>13 September 2026</t>
        </is>
      </c>
      <c r="M206" t="inlineStr">
        <is>
          <t>Konstruksi Jaringan Irigasi dan Drainase</t>
        </is>
      </c>
      <c r="N206" t="inlineStr">
        <is>
          <t>K</t>
        </is>
      </c>
      <c r="O206" t="inlineStr">
        <is>
          <t>20230910</t>
        </is>
      </c>
      <c r="P206" t="inlineStr">
        <is>
          <t>Sulawesi Selatan</t>
        </is>
      </c>
      <c r="Q206" t="inlineStr"/>
    </row>
    <row r="207">
      <c r="A207" t="inlineStr">
        <is>
          <t>CANTIKA AERO INDONESIA</t>
        </is>
      </c>
      <c r="B207" t="inlineStr">
        <is>
          <t>Kab. Belitung Timur</t>
        </is>
      </c>
      <c r="C207" t="inlineStr">
        <is>
          <t>081353010303</t>
        </is>
      </c>
      <c r="D207" t="inlineStr">
        <is>
          <t>pt_cantikaaeroindonesia@yahoo.com</t>
        </is>
      </c>
      <c r="E207" t="inlineStr">
        <is>
          <t>https://lpjk.pu.go.id/search-badan-usaha-detail/ODFOVDJ4MEo1bG51OFd0N3dVMGdWZz09</t>
        </is>
      </c>
      <c r="F207" t="n">
        <v>1</v>
      </c>
      <c r="G207" t="inlineStr">
        <is>
          <t>BG005</t>
        </is>
      </c>
      <c r="H207" t="inlineStr">
        <is>
          <t>9 Juli 2020</t>
        </is>
      </c>
      <c r="I207" s="2" t="n">
        <v>46278</v>
      </c>
      <c r="J207" t="inlineStr">
        <is>
          <t>Pencabutan</t>
        </is>
      </c>
      <c r="K207" t="n">
        <v>30</v>
      </c>
      <c r="L207" t="inlineStr">
        <is>
          <t>13 September 2026</t>
        </is>
      </c>
      <c r="M207" t="inlineStr">
        <is>
          <t>Konstruksi Gedung Kesehatan</t>
        </is>
      </c>
      <c r="N207" t="inlineStr">
        <is>
          <t>K</t>
        </is>
      </c>
      <c r="O207" t="inlineStr">
        <is>
          <t>20230907</t>
        </is>
      </c>
      <c r="P207" t="inlineStr">
        <is>
          <t>Kepulauan Bangka Belitung</t>
        </is>
      </c>
      <c r="Q207" t="inlineStr"/>
    </row>
    <row r="208">
      <c r="A208" t="inlineStr">
        <is>
          <t>CENDANA INDAH</t>
        </is>
      </c>
      <c r="B208" t="inlineStr">
        <is>
          <t>Kab. Sampang</t>
        </is>
      </c>
      <c r="C208" t="inlineStr">
        <is>
          <t>081949862346</t>
        </is>
      </c>
      <c r="D208" t="inlineStr">
        <is>
          <t>cendana.indah_cv@yahoo.com</t>
        </is>
      </c>
      <c r="E208" t="inlineStr">
        <is>
          <t>https://lpjk.pu.go.id/search-badan-usaha-detail/SDRHY2l0VDZLMXN0L1BNZUxXMWdpTENGM2x6Z0lEZXovblVzTmlDZFUxbz0</t>
        </is>
      </c>
      <c r="F208" t="n">
        <v>1</v>
      </c>
      <c r="G208" t="inlineStr">
        <is>
          <t>BS004</t>
        </is>
      </c>
      <c r="H208" t="inlineStr">
        <is>
          <t>2 April 2026</t>
        </is>
      </c>
      <c r="I208" s="2" t="n">
        <v>46277</v>
      </c>
      <c r="J208" t="inlineStr">
        <is>
          <t>Disetujui</t>
        </is>
      </c>
      <c r="K208" t="n">
        <v>30</v>
      </c>
      <c r="L208" t="inlineStr">
        <is>
          <t>12 September 2026</t>
        </is>
      </c>
      <c r="M208" t="inlineStr">
        <is>
          <t>Konstruksi Jaringan Irigasi dan Drainase</t>
        </is>
      </c>
      <c r="N208" t="inlineStr">
        <is>
          <t>K</t>
        </is>
      </c>
      <c r="O208" t="inlineStr">
        <is>
          <t>20230713</t>
        </is>
      </c>
      <c r="P208" t="inlineStr">
        <is>
          <t>Jawa Timur</t>
        </is>
      </c>
      <c r="Q208" t="inlineStr"/>
    </row>
    <row r="209">
      <c r="A209" t="inlineStr">
        <is>
          <t>CID CONSULTANT</t>
        </is>
      </c>
      <c r="B209" t="inlineStr">
        <is>
          <t>Kab. Tasikmalaya</t>
        </is>
      </c>
      <c r="C209" t="inlineStr">
        <is>
          <t>081214147518</t>
        </is>
      </c>
      <c r="D209" t="inlineStr">
        <is>
          <t>cv.cidconsultant2020@gmail.com</t>
        </is>
      </c>
      <c r="E209" t="inlineStr">
        <is>
          <t>https://lpjk.pu.go.id/search-badan-usaha-detail/bVdEckV6RVJjOGlQb2J3VFM4Vit4QT09</t>
        </is>
      </c>
      <c r="F209" t="n">
        <v>1</v>
      </c>
      <c r="G209" t="inlineStr">
        <is>
          <t>RK001</t>
        </is>
      </c>
      <c r="H209" t="inlineStr">
        <is>
          <t>31 Agustus 2020</t>
        </is>
      </c>
      <c r="I209" s="2" t="n">
        <v>46282</v>
      </c>
      <c r="J209" t="inlineStr">
        <is>
          <t>Disetujui</t>
        </is>
      </c>
      <c r="K209" t="n">
        <v>30</v>
      </c>
      <c r="L209" t="inlineStr">
        <is>
          <t>17 September 2026</t>
        </is>
      </c>
      <c r="M209" t="inlineStr">
        <is>
          <t>Jasa Rekayasa Konstruksi Bangunan Gedung Hunian dan Non Hunian</t>
        </is>
      </c>
      <c r="N209" t="inlineStr">
        <is>
          <t>K</t>
        </is>
      </c>
      <c r="O209" t="inlineStr">
        <is>
          <t>20230911</t>
        </is>
      </c>
      <c r="P209" t="inlineStr">
        <is>
          <t>Jawa Barat</t>
        </is>
      </c>
      <c r="Q209" t="inlineStr"/>
    </row>
    <row r="210">
      <c r="A210" t="inlineStr">
        <is>
          <t>CIPTA ADI GRAHA</t>
        </is>
      </c>
      <c r="B210" t="inlineStr">
        <is>
          <t>Kota Pekanbaru</t>
        </is>
      </c>
      <c r="C210" t="inlineStr">
        <is>
          <t>081378754298</t>
        </is>
      </c>
      <c r="D210" t="inlineStr">
        <is>
          <t>ciptadigrha@yahoo.co.id</t>
        </is>
      </c>
      <c r="E210" t="inlineStr">
        <is>
          <t>https://lpjk.pu.go.id/search-badan-usaha-detail/WnI1ejJqTnBlNFhvbXZ4aE9pOXZHdz09</t>
        </is>
      </c>
      <c r="F210" t="n">
        <v>18</v>
      </c>
      <c r="G210" t="inlineStr">
        <is>
          <t>BG001, BG002, BG003, BG004, BG005, BG006, BG007, BG008, BG009</t>
        </is>
      </c>
      <c r="H210" t="inlineStr">
        <is>
          <t>24 Juni 2013</t>
        </is>
      </c>
      <c r="I210" s="2" t="n">
        <v>46278</v>
      </c>
      <c r="J210" t="inlineStr">
        <is>
          <t>Disetujui, Pencabutan</t>
        </is>
      </c>
      <c r="K210" t="n">
        <v>30</v>
      </c>
      <c r="L210" t="inlineStr">
        <is>
          <t>13 September 2026</t>
        </is>
      </c>
      <c r="M210" t="inlineStr">
        <is>
          <t>Konstruksi Gedung Hunian, Konstruksi Gedung Industri, Konstruksi Gedung Kesehatan, Konstruksi Gedung Lainnya, Konstruksi Gedung Pendidikan, Konstruksi Gedung Penginapan, Konstruksi Gedung Perbelanjaan, Konstruksi Gedung Perkantoran, Konstruksi Gedung Tempat Hiburan dan Olahraga</t>
        </is>
      </c>
      <c r="N210" t="inlineStr">
        <is>
          <t>K</t>
        </is>
      </c>
      <c r="O210" t="inlineStr">
        <is>
          <t>20230905, 20230914</t>
        </is>
      </c>
      <c r="P210" t="inlineStr">
        <is>
          <t>Riau</t>
        </is>
      </c>
      <c r="Q210" t="inlineStr"/>
    </row>
    <row r="211">
      <c r="A211" t="inlineStr">
        <is>
          <t>CIPTA ANUGRAH MANDIRI</t>
        </is>
      </c>
      <c r="B211" t="inlineStr">
        <is>
          <t>Kab. Sidoarjo</t>
        </is>
      </c>
      <c r="C211" t="inlineStr">
        <is>
          <t>081358533322</t>
        </is>
      </c>
      <c r="D211" t="inlineStr">
        <is>
          <t>ciptamandiri53@yahoo.com</t>
        </is>
      </c>
      <c r="E211" t="inlineStr">
        <is>
          <t>https://lpjk.pu.go.id/search-badan-usaha-detail/dHdsVS9VNHhLOUVXazJOOHlMWDRQQT09</t>
        </is>
      </c>
      <c r="F211" t="n">
        <v>2</v>
      </c>
      <c r="G211" t="inlineStr">
        <is>
          <t>BG005</t>
        </is>
      </c>
      <c r="H211" t="inlineStr">
        <is>
          <t>12 Juli 2013</t>
        </is>
      </c>
      <c r="I211" s="2" t="n">
        <v>46280</v>
      </c>
      <c r="J211" t="inlineStr">
        <is>
          <t>Disetujui</t>
        </is>
      </c>
      <c r="K211" t="n">
        <v>30</v>
      </c>
      <c r="L211" t="inlineStr">
        <is>
          <t>15 September 2026</t>
        </is>
      </c>
      <c r="M211" t="inlineStr">
        <is>
          <t>Konstruksi Gedung Kesehatan</t>
        </is>
      </c>
      <c r="N211" t="inlineStr">
        <is>
          <t>K</t>
        </is>
      </c>
      <c r="O211" t="inlineStr">
        <is>
          <t>20221123</t>
        </is>
      </c>
      <c r="P211" t="inlineStr">
        <is>
          <t>Jawa Timur</t>
        </is>
      </c>
      <c r="Q211" t="inlineStr"/>
    </row>
    <row r="212">
      <c r="A212" t="inlineStr">
        <is>
          <t>CIPTA DEKOR INDAH</t>
        </is>
      </c>
      <c r="B212" t="inlineStr">
        <is>
          <t>Kota Adm. Jakarta Barat</t>
        </is>
      </c>
      <c r="C212" t="inlineStr">
        <is>
          <t>08159123469</t>
        </is>
      </c>
      <c r="D212" t="inlineStr">
        <is>
          <t>pt.cipta.dekor.indah@gmail.com</t>
        </is>
      </c>
      <c r="E212" t="inlineStr">
        <is>
          <t>https://lpjk.pu.go.id/search-badan-usaha-detail/NWp0QWQrN3V6Z296VkI1TDROb0wxUT09</t>
        </is>
      </c>
      <c r="F212" t="n">
        <v>2</v>
      </c>
      <c r="G212" t="inlineStr">
        <is>
          <t>PB004</t>
        </is>
      </c>
      <c r="H212" t="inlineStr">
        <is>
          <t>7 Agustus 2009</t>
        </is>
      </c>
      <c r="I212" s="2" t="n">
        <v>46278</v>
      </c>
      <c r="J212" t="inlineStr">
        <is>
          <t>Pembekuan</t>
        </is>
      </c>
      <c r="K212" t="n">
        <v>30</v>
      </c>
      <c r="L212" t="inlineStr">
        <is>
          <t>13 September 2026</t>
        </is>
      </c>
      <c r="M212" t="inlineStr">
        <is>
          <t>Dekorasi Interior</t>
        </is>
      </c>
      <c r="N212" t="inlineStr">
        <is>
          <t>Spesialis</t>
        </is>
      </c>
      <c r="O212" t="inlineStr">
        <is>
          <t>20230905</t>
        </is>
      </c>
      <c r="P212" t="inlineStr">
        <is>
          <t>DKI Jakarta</t>
        </is>
      </c>
      <c r="Q212" t="inlineStr"/>
    </row>
    <row r="213">
      <c r="A213" t="inlineStr">
        <is>
          <t>CIPTA MANGUN MATRA</t>
        </is>
      </c>
      <c r="B213" t="inlineStr">
        <is>
          <t>Kota Medan</t>
        </is>
      </c>
      <c r="C213" t="inlineStr">
        <is>
          <t>06177087264</t>
        </is>
      </c>
      <c r="D213" t="inlineStr">
        <is>
          <t>asmanamran24@gmail.com</t>
        </is>
      </c>
      <c r="E213" t="inlineStr">
        <is>
          <t>https://lpjk.pu.go.id/search-badan-usaha-detail/eXhKVFoxczBuSm4yaVdIUGlpVXd3Zz09</t>
        </is>
      </c>
      <c r="F213" t="n">
        <v>6</v>
      </c>
      <c r="G213" t="inlineStr">
        <is>
          <t>RK001, RK002, RK003</t>
        </is>
      </c>
      <c r="H213" t="inlineStr">
        <is>
          <t>25 Januari 2006</t>
        </is>
      </c>
      <c r="I213" s="2" t="n">
        <v>46279</v>
      </c>
      <c r="J213" t="inlineStr">
        <is>
          <t>Disetujui</t>
        </is>
      </c>
      <c r="K213" t="n">
        <v>30</v>
      </c>
      <c r="L213" t="inlineStr">
        <is>
          <t>14 September 2026</t>
        </is>
      </c>
      <c r="M213" t="inlineStr">
        <is>
          <t>Jasa Rekayasa Konstruksi Bangunan Gedung Hunian dan Non Hunian, Jasa Rekayasa Pekerjaan Teknik Sipil Sumber Daya Air, Jasa Rekayasa Pekerjaan Teknik Sipil Transportasi</t>
        </is>
      </c>
      <c r="N213" t="inlineStr">
        <is>
          <t>K</t>
        </is>
      </c>
      <c r="O213" t="inlineStr">
        <is>
          <t>20230904, 20230905</t>
        </is>
      </c>
      <c r="P213" t="inlineStr">
        <is>
          <t>Sumatera Utara</t>
        </is>
      </c>
      <c r="Q213" t="inlineStr"/>
    </row>
    <row r="214">
      <c r="A214" t="inlineStr">
        <is>
          <t>CIPTA NUANSA PRIMA</t>
        </is>
      </c>
      <c r="B214" t="inlineStr">
        <is>
          <t>Kota Tangerang Selatan</t>
        </is>
      </c>
      <c r="C214" t="inlineStr">
        <is>
          <t>02173446229</t>
        </is>
      </c>
      <c r="D214" t="inlineStr">
        <is>
          <t>hartantociptanuansa@gmail.com</t>
        </is>
      </c>
      <c r="E214" t="inlineStr">
        <is>
          <t>https://lpjk.pu.go.id/search-badan-usaha-detail/TFBLYktVOHRIZWkyV2NVN3d3MlNpUT09</t>
        </is>
      </c>
      <c r="F214" t="n">
        <v>4</v>
      </c>
      <c r="G214" t="inlineStr">
        <is>
          <t>PB001, PB004</t>
        </is>
      </c>
      <c r="H214" t="inlineStr">
        <is>
          <t>24 Maret 2008</t>
        </is>
      </c>
      <c r="I214" s="2" t="n">
        <v>46280</v>
      </c>
      <c r="J214" t="inlineStr">
        <is>
          <t>Pembekuan</t>
        </is>
      </c>
      <c r="K214" t="n">
        <v>30</v>
      </c>
      <c r="L214" t="inlineStr">
        <is>
          <t>15 September 2026</t>
        </is>
      </c>
      <c r="M214" t="inlineStr">
        <is>
          <t>Dekorasi Interior, Pengerjaan Pemasangan Kaca dan Alumunium</t>
        </is>
      </c>
      <c r="N214" t="inlineStr">
        <is>
          <t>Spesialis</t>
        </is>
      </c>
      <c r="O214" t="inlineStr">
        <is>
          <t>20230915</t>
        </is>
      </c>
      <c r="P214" t="inlineStr">
        <is>
          <t>Banten</t>
        </is>
      </c>
      <c r="Q214" t="inlineStr"/>
    </row>
    <row r="215">
      <c r="A215" t="inlineStr">
        <is>
          <t>CIPTA PERDANA</t>
        </is>
      </c>
      <c r="B215" t="inlineStr">
        <is>
          <t>Kab. Banjar</t>
        </is>
      </c>
      <c r="C215" t="inlineStr">
        <is>
          <t>081251928583</t>
        </is>
      </c>
      <c r="D215" t="inlineStr">
        <is>
          <t>cipta_prdn@yahoo.co.id</t>
        </is>
      </c>
      <c r="E215" t="inlineStr">
        <is>
          <t>https://lpjk.pu.go.id/search-badan-usaha-detail/NzdvRFNKblRFb0t3RzllcnVzTHdTUT09</t>
        </is>
      </c>
      <c r="F215" t="n">
        <v>10</v>
      </c>
      <c r="G215" t="inlineStr">
        <is>
          <t>BG004, BG005, BG006, BG009, BS001</t>
        </is>
      </c>
      <c r="H215" t="inlineStr">
        <is>
          <t>24 Desember 2001</t>
        </is>
      </c>
      <c r="I215" s="2" t="n">
        <v>46279</v>
      </c>
      <c r="J215" t="inlineStr">
        <is>
          <t>Pencabutan</t>
        </is>
      </c>
      <c r="K215" t="n">
        <v>30</v>
      </c>
      <c r="L215" t="inlineStr">
        <is>
          <t>14 September 2026</t>
        </is>
      </c>
      <c r="M215" t="inlineStr">
        <is>
          <t>Konstruksi Bangunan Sipil Jalan, Konstruksi Gedung Kesehatan, Konstruksi Gedung Lainnya, Konstruksi Gedung Pendidikan, Konstruksi Gedung Perbelanjaan</t>
        </is>
      </c>
      <c r="N215" t="inlineStr">
        <is>
          <t>K</t>
        </is>
      </c>
      <c r="O215" t="inlineStr">
        <is>
          <t>20230914, 20230915</t>
        </is>
      </c>
      <c r="P215" t="inlineStr">
        <is>
          <t>Kalimantan Selatan</t>
        </is>
      </c>
      <c r="Q215" t="inlineStr"/>
    </row>
    <row r="216">
      <c r="A216" t="inlineStr">
        <is>
          <t>CIPTA PERMATA GRAHA</t>
        </is>
      </c>
      <c r="B216" t="inlineStr">
        <is>
          <t>Kota Malang</t>
        </is>
      </c>
      <c r="C216" t="inlineStr">
        <is>
          <t>03414372727</t>
        </is>
      </c>
      <c r="D216" t="inlineStr">
        <is>
          <t>cpg_mlg@yahoo.co.id</t>
        </is>
      </c>
      <c r="E216" t="inlineStr">
        <is>
          <t>https://lpjk.pu.go.id/search-badan-usaha-detail/clB1a1M1Zmc4dDl1SHpBMFJiazJlZz09</t>
        </is>
      </c>
      <c r="F216" t="n">
        <v>2</v>
      </c>
      <c r="G216" t="inlineStr">
        <is>
          <t>BG006</t>
        </is>
      </c>
      <c r="H216" t="inlineStr">
        <is>
          <t>18 Juni 2003</t>
        </is>
      </c>
      <c r="I216" s="2" t="n">
        <v>46277</v>
      </c>
      <c r="J216" t="inlineStr">
        <is>
          <t>Pencabutan</t>
        </is>
      </c>
      <c r="K216" t="n">
        <v>30</v>
      </c>
      <c r="L216" t="inlineStr">
        <is>
          <t>12 September 2026</t>
        </is>
      </c>
      <c r="M216" t="inlineStr">
        <is>
          <t>Konstruksi Gedung Pendidikan</t>
        </is>
      </c>
      <c r="N216" t="inlineStr">
        <is>
          <t>K</t>
        </is>
      </c>
      <c r="O216" t="inlineStr">
        <is>
          <t>20230824</t>
        </is>
      </c>
      <c r="P216" t="inlineStr">
        <is>
          <t>Jawa Timur</t>
        </is>
      </c>
      <c r="Q216" t="inlineStr"/>
    </row>
    <row r="217">
      <c r="A217" t="inlineStr">
        <is>
          <t>CIPTA SENTOSA</t>
        </is>
      </c>
      <c r="B217" t="inlineStr">
        <is>
          <t>Kab. Kapuas Hulu</t>
        </is>
      </c>
      <c r="C217" t="inlineStr">
        <is>
          <t>085252313959</t>
        </is>
      </c>
      <c r="D217" t="inlineStr">
        <is>
          <t>ciptasentosa88@gmail.com</t>
        </is>
      </c>
      <c r="E217" t="inlineStr">
        <is>
          <t>https://lpjk.pu.go.id/search-badan-usaha-detail/RU9jOHljMG9vTlN6TEwvVUxVVmRBZz09</t>
        </is>
      </c>
      <c r="F217" t="n">
        <v>2</v>
      </c>
      <c r="G217" t="inlineStr">
        <is>
          <t>BG007</t>
        </is>
      </c>
      <c r="H217" t="inlineStr">
        <is>
          <t>14 April 2005</t>
        </is>
      </c>
      <c r="I217" s="2" t="n">
        <v>46283</v>
      </c>
      <c r="J217" t="inlineStr">
        <is>
          <t>Disetujui, Dokumen Tidak Lengkap</t>
        </is>
      </c>
      <c r="K217" t="n">
        <v>30</v>
      </c>
      <c r="L217" t="inlineStr">
        <is>
          <t>18 September 2026</t>
        </is>
      </c>
      <c r="M217" t="inlineStr">
        <is>
          <t>Konstruksi Gedung Penginapan</t>
        </is>
      </c>
      <c r="N217" t="inlineStr">
        <is>
          <t>M</t>
        </is>
      </c>
      <c r="O217" t="inlineStr">
        <is>
          <t>20230914</t>
        </is>
      </c>
      <c r="P217" t="inlineStr">
        <is>
          <t>Kalimantan Barat</t>
        </is>
      </c>
      <c r="Q217" t="inlineStr"/>
    </row>
    <row r="218">
      <c r="A218" t="inlineStr">
        <is>
          <t>CIPTA TOTABUAN CONSULTINDO</t>
        </is>
      </c>
      <c r="B218" t="inlineStr">
        <is>
          <t>Kota Kotamobagu</t>
        </is>
      </c>
      <c r="C218" t="inlineStr">
        <is>
          <t>085299944456</t>
        </is>
      </c>
      <c r="D218" t="inlineStr">
        <is>
          <t>ctckotamobagu@gmail.com</t>
        </is>
      </c>
      <c r="E218" t="inlineStr">
        <is>
          <t>https://lpjk.pu.go.id/search-badan-usaha-detail/NjJ1RmlkbXZpRldxdkRlclBkWUR6Zz09</t>
        </is>
      </c>
      <c r="F218" t="n">
        <v>2</v>
      </c>
      <c r="G218" t="inlineStr">
        <is>
          <t>AR001</t>
        </is>
      </c>
      <c r="H218" t="inlineStr">
        <is>
          <t>13 Desember 2014</t>
        </is>
      </c>
      <c r="I218" s="2" t="n">
        <v>46278</v>
      </c>
      <c r="J218" t="inlineStr">
        <is>
          <t>Disetujui</t>
        </is>
      </c>
      <c r="K218" t="n">
        <v>30</v>
      </c>
      <c r="L218" t="inlineStr">
        <is>
          <t>13 September 2026</t>
        </is>
      </c>
      <c r="M218" t="inlineStr">
        <is>
          <t>Jasa Arsitektural Bangunan Gedung Hunian dan Non Hunian</t>
        </is>
      </c>
      <c r="N218" t="inlineStr">
        <is>
          <t>K</t>
        </is>
      </c>
      <c r="O218" t="inlineStr">
        <is>
          <t>20230812</t>
        </is>
      </c>
      <c r="P218" t="inlineStr">
        <is>
          <t>Sulawesi Utara</t>
        </is>
      </c>
      <c r="Q218" t="inlineStr"/>
    </row>
    <row r="219">
      <c r="A219" t="inlineStr">
        <is>
          <t>CIPTATAMA ABADI</t>
        </is>
      </c>
      <c r="B219" t="inlineStr">
        <is>
          <t>Kota Jambi</t>
        </is>
      </c>
      <c r="C219" t="inlineStr">
        <is>
          <t>081273909555</t>
        </is>
      </c>
      <c r="D219" t="inlineStr">
        <is>
          <t>ciptatamaabadi@gmail.com</t>
        </is>
      </c>
      <c r="E219" t="inlineStr">
        <is>
          <t>https://lpjk.pu.go.id/search-badan-usaha-detail/Wnp0dVNXcTNRTW5OZURyajFsTFAvZz09</t>
        </is>
      </c>
      <c r="F219" t="n">
        <v>2</v>
      </c>
      <c r="G219" t="inlineStr">
        <is>
          <t>BG001</t>
        </is>
      </c>
      <c r="H219" t="inlineStr">
        <is>
          <t>9 Juni 2014</t>
        </is>
      </c>
      <c r="I219" s="2" t="n">
        <v>46282</v>
      </c>
      <c r="J219" t="inlineStr">
        <is>
          <t>Pencabutan</t>
        </is>
      </c>
      <c r="K219" t="n">
        <v>30</v>
      </c>
      <c r="L219" t="inlineStr">
        <is>
          <t>17 September 2026</t>
        </is>
      </c>
      <c r="M219" t="inlineStr">
        <is>
          <t>Konstruksi Gedung Hunian</t>
        </is>
      </c>
      <c r="N219" t="inlineStr">
        <is>
          <t>K</t>
        </is>
      </c>
      <c r="O219" t="inlineStr">
        <is>
          <t>20230914</t>
        </is>
      </c>
      <c r="P219" t="inlineStr">
        <is>
          <t>Jambi</t>
        </is>
      </c>
      <c r="Q219" t="inlineStr"/>
    </row>
    <row r="220">
      <c r="A220" t="inlineStr">
        <is>
          <t>CIPTAYASA CONSULTANT</t>
        </is>
      </c>
      <c r="B220" t="inlineStr">
        <is>
          <t>Kab. Kotawaringin Barat</t>
        </is>
      </c>
      <c r="C220" t="inlineStr">
        <is>
          <t>081334044155</t>
        </is>
      </c>
      <c r="D220" t="inlineStr">
        <is>
          <t>ciptayasa.consultant80@gmail.com</t>
        </is>
      </c>
      <c r="E220" t="inlineStr">
        <is>
          <t>https://lpjk.pu.go.id/search-badan-usaha-detail/R0pUTXBRUk5RYmMrVHBqYjdLQTQ4Zz09</t>
        </is>
      </c>
      <c r="F220" t="n">
        <v>1</v>
      </c>
      <c r="G220" t="inlineStr">
        <is>
          <t>RK003</t>
        </is>
      </c>
      <c r="H220" t="inlineStr">
        <is>
          <t>28 April 2014</t>
        </is>
      </c>
      <c r="I220" s="2" t="n">
        <v>46277</v>
      </c>
      <c r="J220" t="inlineStr">
        <is>
          <t>Disetujui</t>
        </is>
      </c>
      <c r="K220" t="n">
        <v>30</v>
      </c>
      <c r="L220" t="inlineStr">
        <is>
          <t>12 September 2026</t>
        </is>
      </c>
      <c r="M220" t="inlineStr">
        <is>
          <t>Jasa Rekayasa Pekerjaan Teknik Sipil Transportasi</t>
        </is>
      </c>
      <c r="N220" t="inlineStr">
        <is>
          <t>K</t>
        </is>
      </c>
      <c r="O220" t="inlineStr">
        <is>
          <t>20230825</t>
        </is>
      </c>
      <c r="P220" t="inlineStr">
        <is>
          <t>Kalimantan Tengah</t>
        </is>
      </c>
      <c r="Q220" t="inlineStr"/>
    </row>
    <row r="221">
      <c r="A221" t="inlineStr">
        <is>
          <t>CITRA BANGUN USAHA MANDIRI</t>
        </is>
      </c>
      <c r="B221" t="inlineStr">
        <is>
          <t>Kota Adm. Jakarta Barat</t>
        </is>
      </c>
      <c r="C221" t="inlineStr">
        <is>
          <t>0215414258</t>
        </is>
      </c>
      <c r="D221" t="inlineStr">
        <is>
          <t>citra_bum@yahoo.com</t>
        </is>
      </c>
      <c r="E221" t="inlineStr">
        <is>
          <t>https://lpjk.pu.go.id/search-badan-usaha-detail/ZkViVVoybkcxMnNBaGw4d2RDUFFYdz09</t>
        </is>
      </c>
      <c r="F221" t="n">
        <v>1</v>
      </c>
      <c r="G221" t="inlineStr">
        <is>
          <t>BG003</t>
        </is>
      </c>
      <c r="H221" t="inlineStr">
        <is>
          <t>19 Februari 2008</t>
        </is>
      </c>
      <c r="I221" s="2" t="n">
        <v>46277</v>
      </c>
      <c r="J221" t="inlineStr">
        <is>
          <t>Disetujui</t>
        </is>
      </c>
      <c r="K221" t="n">
        <v>30</v>
      </c>
      <c r="L221" t="inlineStr">
        <is>
          <t>12 September 2026</t>
        </is>
      </c>
      <c r="M221" t="inlineStr">
        <is>
          <t>Konstruksi Gedung Industri</t>
        </is>
      </c>
      <c r="N221" t="inlineStr">
        <is>
          <t>K</t>
        </is>
      </c>
      <c r="O221" t="inlineStr">
        <is>
          <t>20230905</t>
        </is>
      </c>
      <c r="P221" t="inlineStr">
        <is>
          <t>DKI Jakarta</t>
        </is>
      </c>
      <c r="Q221" t="inlineStr"/>
    </row>
    <row r="222">
      <c r="A222" t="inlineStr">
        <is>
          <t>CITRA JAYA PERSADA</t>
        </is>
      </c>
      <c r="B222" t="inlineStr">
        <is>
          <t>Kab. Bandung Barat</t>
        </is>
      </c>
      <c r="C222" t="inlineStr">
        <is>
          <t>082117933916</t>
        </is>
      </c>
      <c r="D222" t="inlineStr">
        <is>
          <t>citrajp62@gmail.com</t>
        </is>
      </c>
      <c r="E222" t="inlineStr">
        <is>
          <t>https://lpjk.pu.go.id/search-badan-usaha-detail/blVwWDZYMzFPQ2dzNkZXS2MwZENiZz09</t>
        </is>
      </c>
      <c r="F222" t="n">
        <v>2</v>
      </c>
      <c r="G222" t="inlineStr">
        <is>
          <t>BG009, BS001</t>
        </is>
      </c>
      <c r="H222" t="inlineStr">
        <is>
          <t>25 Januari 2002</t>
        </is>
      </c>
      <c r="I222" s="2" t="n">
        <v>46277</v>
      </c>
      <c r="J222" t="inlineStr">
        <is>
          <t>Disetujui</t>
        </is>
      </c>
      <c r="K222" t="n">
        <v>30</v>
      </c>
      <c r="L222" t="inlineStr">
        <is>
          <t>12 September 2026</t>
        </is>
      </c>
      <c r="M222" t="inlineStr">
        <is>
          <t>Konstruksi Bangunan Sipil Jalan, Konstruksi Gedung Lainnya</t>
        </is>
      </c>
      <c r="N222" t="inlineStr">
        <is>
          <t>K</t>
        </is>
      </c>
      <c r="O222" t="inlineStr">
        <is>
          <t>20230912, 20230913</t>
        </is>
      </c>
      <c r="P222" t="inlineStr">
        <is>
          <t>Jawa Barat</t>
        </is>
      </c>
      <c r="Q222" t="inlineStr"/>
    </row>
    <row r="223">
      <c r="A223" t="inlineStr">
        <is>
          <t>CITRA KARYA SANTOSA</t>
        </is>
      </c>
      <c r="B223" t="inlineStr">
        <is>
          <t>Kab. Kotawaringin Timur</t>
        </is>
      </c>
      <c r="C223" t="inlineStr">
        <is>
          <t>0</t>
        </is>
      </c>
      <c r="D223" t="inlineStr">
        <is>
          <t>citrakarya168@yahoo.com</t>
        </is>
      </c>
      <c r="E223" t="inlineStr">
        <is>
          <t>https://lpjk.pu.go.id/search-badan-usaha-detail/ajFmb0E4Nk1DOHZUcnVROSt4YlFpZz09</t>
        </is>
      </c>
      <c r="F223" t="n">
        <v>2</v>
      </c>
      <c r="G223" t="inlineStr">
        <is>
          <t>BS001, BS004</t>
        </is>
      </c>
      <c r="H223" t="inlineStr">
        <is>
          <t>1 Juli 2008</t>
        </is>
      </c>
      <c r="I223" s="2" t="n">
        <v>46279</v>
      </c>
      <c r="J223" t="inlineStr">
        <is>
          <t>Disetujui</t>
        </is>
      </c>
      <c r="K223" t="n">
        <v>30</v>
      </c>
      <c r="L223" t="inlineStr">
        <is>
          <t>14 September 2026</t>
        </is>
      </c>
      <c r="M223" t="inlineStr">
        <is>
          <t>Konstruksi Bangunan Sipil Jalan, Konstruksi Jaringan Irigasi dan Drainase</t>
        </is>
      </c>
      <c r="N223" t="inlineStr">
        <is>
          <t>K</t>
        </is>
      </c>
      <c r="O223" t="inlineStr">
        <is>
          <t>20230912</t>
        </is>
      </c>
      <c r="P223" t="inlineStr">
        <is>
          <t>Kalimantan Tengah</t>
        </is>
      </c>
      <c r="Q223" t="inlineStr"/>
    </row>
    <row r="224">
      <c r="A224" t="inlineStr">
        <is>
          <t>CITRA SPESIALINDO ENJINNERING</t>
        </is>
      </c>
      <c r="B224" t="inlineStr">
        <is>
          <t>Kota Bandung</t>
        </is>
      </c>
      <c r="C224" t="inlineStr">
        <is>
          <t>08113033377</t>
        </is>
      </c>
      <c r="D224" t="inlineStr">
        <is>
          <t>citraspesialindoenjinnering@gmail.com</t>
        </is>
      </c>
      <c r="E224" t="inlineStr">
        <is>
          <t>https://lpjk.pu.go.id/search-badan-usaha-detail/bzE3am55bGgxZFN1K3NxT0l4OVZjUT09</t>
        </is>
      </c>
      <c r="F224" t="n">
        <v>2</v>
      </c>
      <c r="G224" t="inlineStr">
        <is>
          <t>BG005, BG006</t>
        </is>
      </c>
      <c r="H224" t="inlineStr">
        <is>
          <t>7 Oktober 2020</t>
        </is>
      </c>
      <c r="I224" s="2" t="n">
        <v>46279</v>
      </c>
      <c r="J224" t="inlineStr">
        <is>
          <t>Disetujui</t>
        </is>
      </c>
      <c r="K224" t="n">
        <v>30</v>
      </c>
      <c r="L224" t="inlineStr">
        <is>
          <t>14 September 2026</t>
        </is>
      </c>
      <c r="M224" t="inlineStr">
        <is>
          <t>Konstruksi Gedung Kesehatan, Konstruksi Gedung Pendidikan</t>
        </is>
      </c>
      <c r="N224" t="inlineStr">
        <is>
          <t>K</t>
        </is>
      </c>
      <c r="O224" t="inlineStr">
        <is>
          <t>20230912</t>
        </is>
      </c>
      <c r="P224" t="inlineStr">
        <is>
          <t>Jawa Barat</t>
        </is>
      </c>
      <c r="Q224" t="inlineStr"/>
    </row>
    <row r="225">
      <c r="A225" t="inlineStr">
        <is>
          <t>CND GEOTEKNIKA</t>
        </is>
      </c>
      <c r="B225" t="inlineStr">
        <is>
          <t>Kota Cimahi</t>
        </is>
      </c>
      <c r="C225" t="inlineStr">
        <is>
          <t>022-6611917</t>
        </is>
      </c>
      <c r="D225" t="inlineStr">
        <is>
          <t>cndoffice@gmail.com</t>
        </is>
      </c>
      <c r="E225" t="inlineStr">
        <is>
          <t>https://lpjk.pu.go.id/search-badan-usaha-detail/UWdkN1RYcDEzZ1QwR3Jqa2MwSFJNZz09</t>
        </is>
      </c>
      <c r="F225" t="n">
        <v>1</v>
      </c>
      <c r="G225" t="inlineStr">
        <is>
          <t>PL003</t>
        </is>
      </c>
      <c r="H225" t="inlineStr">
        <is>
          <t>16 Maret 2002</t>
        </is>
      </c>
      <c r="I225" s="2" t="n">
        <v>46278</v>
      </c>
      <c r="J225" t="inlineStr">
        <is>
          <t>Disetujui</t>
        </is>
      </c>
      <c r="K225" t="n">
        <v>30</v>
      </c>
      <c r="L225" t="inlineStr">
        <is>
          <t>13 September 2026</t>
        </is>
      </c>
      <c r="M225" t="inlineStr">
        <is>
          <t>Penyiapan Lahan Konstruksi</t>
        </is>
      </c>
      <c r="N225" t="inlineStr">
        <is>
          <t>Spesialis</t>
        </is>
      </c>
      <c r="O225" t="inlineStr">
        <is>
          <t>20230905</t>
        </is>
      </c>
      <c r="P225" t="inlineStr">
        <is>
          <t>Jawa Barat</t>
        </is>
      </c>
      <c r="Q225" t="inlineStr"/>
    </row>
    <row r="226">
      <c r="A226" t="inlineStr">
        <is>
          <t>CV. ELSA CIPTA UTAMA</t>
        </is>
      </c>
      <c r="B226" t="inlineStr">
        <is>
          <t>Kota Kendari</t>
        </is>
      </c>
      <c r="C226" t="inlineStr">
        <is>
          <t>08114033319</t>
        </is>
      </c>
      <c r="D226" t="inlineStr">
        <is>
          <t>theproandryanto@gmail.com</t>
        </is>
      </c>
      <c r="E226" t="inlineStr">
        <is>
          <t>https://lpjk.pu.go.id/search-badan-usaha-detail/SnJMdGpsSVZuaEN5UmRvOVpEMkthUT09</t>
        </is>
      </c>
      <c r="F226" t="n">
        <v>2</v>
      </c>
      <c r="G226" t="inlineStr">
        <is>
          <t>BG001</t>
        </is>
      </c>
      <c r="H226" t="inlineStr">
        <is>
          <t>25 Januari 2016</t>
        </is>
      </c>
      <c r="I226" s="2" t="n">
        <v>46277</v>
      </c>
      <c r="J226" t="inlineStr">
        <is>
          <t>Pencabutan</t>
        </is>
      </c>
      <c r="K226" t="n">
        <v>30</v>
      </c>
      <c r="L226" t="inlineStr">
        <is>
          <t>12 September 2026</t>
        </is>
      </c>
      <c r="M226" t="inlineStr">
        <is>
          <t>Konstruksi Gedung Hunian</t>
        </is>
      </c>
      <c r="N226" t="inlineStr">
        <is>
          <t>K</t>
        </is>
      </c>
      <c r="O226" t="inlineStr">
        <is>
          <t>20230912</t>
        </is>
      </c>
      <c r="P226" t="inlineStr">
        <is>
          <t>Sulawesi Tenggara</t>
        </is>
      </c>
      <c r="Q226" t="inlineStr"/>
    </row>
    <row r="227">
      <c r="A227" t="inlineStr">
        <is>
          <t>CV. GLOBAL KREATIF KONSULTAN</t>
        </is>
      </c>
      <c r="B227" t="inlineStr">
        <is>
          <t>Kota Tanjung Pinang</t>
        </is>
      </c>
      <c r="C227" t="inlineStr">
        <is>
          <t>81364707013</t>
        </is>
      </c>
      <c r="D227" t="inlineStr">
        <is>
          <t>kglobalkreatif@gmail.com</t>
        </is>
      </c>
      <c r="E227" t="inlineStr">
        <is>
          <t>https://lpjk.pu.go.id/search-badan-usaha-detail/Rm4vUDFRaHpuQnNiSjBza3BhbWdIQT09</t>
        </is>
      </c>
      <c r="F227" t="n">
        <v>1</v>
      </c>
      <c r="G227" t="inlineStr">
        <is>
          <t>RK001</t>
        </is>
      </c>
      <c r="H227" t="inlineStr">
        <is>
          <t>16 Januari 2019</t>
        </is>
      </c>
      <c r="I227" s="2" t="n">
        <v>46278</v>
      </c>
      <c r="J227" t="inlineStr">
        <is>
          <t>Disetujui</t>
        </is>
      </c>
      <c r="K227" t="n">
        <v>30</v>
      </c>
      <c r="L227" t="inlineStr">
        <is>
          <t>13 September 2026</t>
        </is>
      </c>
      <c r="M227" t="inlineStr">
        <is>
          <t>Jasa Rekayasa Konstruksi Bangunan Gedung Hunian dan Non Hunian</t>
        </is>
      </c>
      <c r="N227" t="inlineStr">
        <is>
          <t>K</t>
        </is>
      </c>
      <c r="O227" t="inlineStr">
        <is>
          <t>20230816</t>
        </is>
      </c>
      <c r="P227" t="inlineStr">
        <is>
          <t>Kepulauan Riau</t>
        </is>
      </c>
      <c r="Q227" t="inlineStr"/>
    </row>
    <row r="228">
      <c r="A228" t="inlineStr">
        <is>
          <t>CV. KHATAMI</t>
        </is>
      </c>
      <c r="B228" t="inlineStr">
        <is>
          <t>Kab. Aceh Utara</t>
        </is>
      </c>
      <c r="C228" t="inlineStr">
        <is>
          <t>085288613329</t>
        </is>
      </c>
      <c r="D228" t="inlineStr">
        <is>
          <t>khatami_alpbkt@yahoo.com</t>
        </is>
      </c>
      <c r="E228" t="inlineStr">
        <is>
          <t>https://lpjk.pu.go.id/search-badan-usaha-detail/M3JlWWRTWkFTU25VVHdkNi83U2dCQT09</t>
        </is>
      </c>
      <c r="F228" t="n">
        <v>10</v>
      </c>
      <c r="G228" t="inlineStr">
        <is>
          <t>BG001, BG002, BG005, BG006, BG009, BS001, BS004</t>
        </is>
      </c>
      <c r="H228" t="inlineStr">
        <is>
          <t>6 Februari 2007</t>
        </is>
      </c>
      <c r="I228" s="2" t="n">
        <v>46278</v>
      </c>
      <c r="J228" t="inlineStr">
        <is>
          <t>Disetujui</t>
        </is>
      </c>
      <c r="K228" t="n">
        <v>30</v>
      </c>
      <c r="L228" t="inlineStr">
        <is>
          <t>13 September 2026</t>
        </is>
      </c>
      <c r="M228" t="inlineStr">
        <is>
          <t>Konstruksi Bangunan Sipil Jalan, Konstruksi Gedung Hunian, Konstruksi Gedung Kesehatan, Konstruksi Gedung Lainnya, Konstruksi Gedung Pendidikan, Konstruksi Gedung Perkantoran, Konstruksi Jaringan Irigasi dan Drainase</t>
        </is>
      </c>
      <c r="N228" t="inlineStr">
        <is>
          <t>K</t>
        </is>
      </c>
      <c r="O228" t="inlineStr">
        <is>
          <t>20230831, 20230904, 20230907</t>
        </is>
      </c>
      <c r="P228" t="inlineStr">
        <is>
          <t>Aceh</t>
        </is>
      </c>
      <c r="Q228" t="inlineStr"/>
    </row>
    <row r="229">
      <c r="A229" t="inlineStr">
        <is>
          <t>CV. ZAREN JAYA PRATAMA</t>
        </is>
      </c>
      <c r="B229" t="inlineStr">
        <is>
          <t>Kota Pontianak</t>
        </is>
      </c>
      <c r="C229" t="inlineStr">
        <is>
          <t>082251353023</t>
        </is>
      </c>
      <c r="D229" t="inlineStr">
        <is>
          <t>cv.zarenjayapratama21@gmail.com</t>
        </is>
      </c>
      <c r="E229" t="inlineStr">
        <is>
          <t>https://lpjk.pu.go.id/search-badan-usaha-detail/V3hsTmtoSmFrdHN4NXkzQ0dIMTJxUT09</t>
        </is>
      </c>
      <c r="F229" t="n">
        <v>1</v>
      </c>
      <c r="G229" t="inlineStr">
        <is>
          <t>BG008</t>
        </is>
      </c>
      <c r="H229" t="inlineStr">
        <is>
          <t>28 Desember 2020</t>
        </is>
      </c>
      <c r="I229" s="2" t="n">
        <v>46277</v>
      </c>
      <c r="J229" t="inlineStr">
        <is>
          <t>Pencabutan</t>
        </is>
      </c>
      <c r="K229" t="n">
        <v>30</v>
      </c>
      <c r="L229" t="inlineStr">
        <is>
          <t>12 September 2026</t>
        </is>
      </c>
      <c r="M229" t="inlineStr">
        <is>
          <t>Konstruksi Gedung Tempat Hiburan dan Olahraga</t>
        </is>
      </c>
      <c r="N229" t="inlineStr">
        <is>
          <t>K</t>
        </is>
      </c>
      <c r="O229" t="inlineStr">
        <is>
          <t>20230912</t>
        </is>
      </c>
      <c r="P229" t="inlineStr">
        <is>
          <t>Kalimantan Barat</t>
        </is>
      </c>
      <c r="Q229" t="inlineStr"/>
    </row>
    <row r="230">
      <c r="A230" t="inlineStr">
        <is>
          <t>DADI JOYO</t>
        </is>
      </c>
      <c r="B230" t="inlineStr">
        <is>
          <t>Kota Pasuruan</t>
        </is>
      </c>
      <c r="C230" t="inlineStr">
        <is>
          <t>082141739192</t>
        </is>
      </c>
      <c r="D230" t="inlineStr">
        <is>
          <t>cv.dadijoyo@yahoo.com</t>
        </is>
      </c>
      <c r="E230" t="inlineStr">
        <is>
          <t>https://lpjk.pu.go.id/search-badan-usaha-detail/c3FhekJSNFgxREdjd1F4YStIV0RhQT09</t>
        </is>
      </c>
      <c r="F230" t="n">
        <v>3</v>
      </c>
      <c r="G230" t="inlineStr">
        <is>
          <t>BG005, BG006, BS004</t>
        </is>
      </c>
      <c r="H230" t="inlineStr">
        <is>
          <t>7 September 2001</t>
        </is>
      </c>
      <c r="I230" s="2" t="n">
        <v>46278</v>
      </c>
      <c r="J230" t="inlineStr">
        <is>
          <t>Disetujui</t>
        </is>
      </c>
      <c r="K230" t="n">
        <v>30</v>
      </c>
      <c r="L230" t="inlineStr">
        <is>
          <t>13 September 2026</t>
        </is>
      </c>
      <c r="M230" t="inlineStr">
        <is>
          <t>Konstruksi Gedung Kesehatan, Konstruksi Gedung Pendidikan, Konstruksi Jaringan Irigasi dan Drainase</t>
        </is>
      </c>
      <c r="N230" t="inlineStr">
        <is>
          <t>K</t>
        </is>
      </c>
      <c r="O230" t="inlineStr">
        <is>
          <t>20230904, 20230905</t>
        </is>
      </c>
      <c r="P230" t="inlineStr">
        <is>
          <t>Jawa Timur</t>
        </is>
      </c>
      <c r="Q230" t="inlineStr"/>
    </row>
    <row r="231">
      <c r="A231" t="inlineStr">
        <is>
          <t>DAMA MULTI PERSADA</t>
        </is>
      </c>
      <c r="B231" t="inlineStr">
        <is>
          <t>Kab. Bandung</t>
        </is>
      </c>
      <c r="C231" t="inlineStr">
        <is>
          <t>081223408448</t>
        </is>
      </c>
      <c r="D231" t="inlineStr">
        <is>
          <t>damamultipersada@gmail.com</t>
        </is>
      </c>
      <c r="E231" t="inlineStr">
        <is>
          <t>https://lpjk.pu.go.id/search-badan-usaha-detail/dmRwK3NLakF6STBQSVlEYUhwMU1kQT09</t>
        </is>
      </c>
      <c r="F231" t="n">
        <v>1</v>
      </c>
      <c r="G231" t="inlineStr">
        <is>
          <t>BS009</t>
        </is>
      </c>
      <c r="H231" t="inlineStr">
        <is>
          <t>18 April 2023</t>
        </is>
      </c>
      <c r="I231" s="2" t="n">
        <v>46277</v>
      </c>
      <c r="J231" t="inlineStr">
        <is>
          <t>Disetujui</t>
        </is>
      </c>
      <c r="K231" t="n">
        <v>30</v>
      </c>
      <c r="L231" t="inlineStr">
        <is>
          <t>12 September 2026</t>
        </is>
      </c>
      <c r="M231" t="inlineStr">
        <is>
          <t>Konstruksi Sentral Telekomunikasi</t>
        </is>
      </c>
      <c r="N231" t="inlineStr">
        <is>
          <t>K</t>
        </is>
      </c>
      <c r="O231" t="inlineStr">
        <is>
          <t>20230912</t>
        </is>
      </c>
      <c r="P231" t="inlineStr">
        <is>
          <t>Jawa Barat</t>
        </is>
      </c>
      <c r="Q231" t="inlineStr"/>
    </row>
    <row r="232">
      <c r="A232" t="inlineStr">
        <is>
          <t>DANADYAKSA</t>
        </is>
      </c>
      <c r="B232" t="inlineStr">
        <is>
          <t>Kota Palembang</t>
        </is>
      </c>
      <c r="C232" t="inlineStr">
        <is>
          <t>081901800219</t>
        </is>
      </c>
      <c r="D232" t="inlineStr">
        <is>
          <t>cvdadyaksapalembang@gmail.com</t>
        </is>
      </c>
      <c r="E232" t="inlineStr">
        <is>
          <t>https://lpjk.pu.go.id/search-badan-usaha-detail/WVdMMkhySnNjZnFEQjJYWWlMYWZBZz09</t>
        </is>
      </c>
      <c r="F232" t="n">
        <v>3</v>
      </c>
      <c r="G232" t="inlineStr">
        <is>
          <t>BG006, BS001, BS004</t>
        </is>
      </c>
      <c r="H232" t="inlineStr">
        <is>
          <t>12 April 2017</t>
        </is>
      </c>
      <c r="I232" s="2" t="n">
        <v>46282</v>
      </c>
      <c r="J232" t="inlineStr">
        <is>
          <t>Disetujui</t>
        </is>
      </c>
      <c r="K232" t="n">
        <v>30</v>
      </c>
      <c r="L232" t="inlineStr">
        <is>
          <t>17 September 2026</t>
        </is>
      </c>
      <c r="M232" t="inlineStr">
        <is>
          <t>Konstruksi Bangunan Sipil Jalan, Konstruksi Gedung Pendidikan, Konstruksi Jaringan Irigasi dan Drainase</t>
        </is>
      </c>
      <c r="N232" t="inlineStr">
        <is>
          <t>K</t>
        </is>
      </c>
      <c r="O232" t="inlineStr">
        <is>
          <t>20230914, 20230915</t>
        </is>
      </c>
      <c r="P232" t="inlineStr">
        <is>
          <t>Sumatera Selatan</t>
        </is>
      </c>
      <c r="Q232" t="inlineStr"/>
    </row>
    <row r="233">
      <c r="A233" t="inlineStr">
        <is>
          <t>DANENDRA RAMIRO IBNU KABAN</t>
        </is>
      </c>
      <c r="B233" t="inlineStr">
        <is>
          <t>Kab. Langkat</t>
        </is>
      </c>
      <c r="C233" t="inlineStr">
        <is>
          <t>0895365820222</t>
        </is>
      </c>
      <c r="D233" t="inlineStr">
        <is>
          <t>ptdrik@yahoo.co.id</t>
        </is>
      </c>
      <c r="E233" t="inlineStr">
        <is>
          <t>https://lpjk.pu.go.id/search-badan-usaha-detail/czhLQVpYOXh0cU1EZEFnc1FzaUl5Zz09</t>
        </is>
      </c>
      <c r="F233" t="n">
        <v>1</v>
      </c>
      <c r="G233" t="inlineStr">
        <is>
          <t>BS001</t>
        </is>
      </c>
      <c r="H233" t="inlineStr">
        <is>
          <t>13 Januari 2014</t>
        </is>
      </c>
      <c r="I233" s="2" t="n">
        <v>46279</v>
      </c>
      <c r="J233" t="inlineStr">
        <is>
          <t>Disetujui</t>
        </is>
      </c>
      <c r="K233" t="n">
        <v>30</v>
      </c>
      <c r="L233" t="inlineStr">
        <is>
          <t>14 September 2026</t>
        </is>
      </c>
      <c r="M233" t="inlineStr">
        <is>
          <t>Konstruksi Bangunan Sipil Jalan</t>
        </is>
      </c>
      <c r="N233" t="inlineStr">
        <is>
          <t>K</t>
        </is>
      </c>
      <c r="O233" t="inlineStr">
        <is>
          <t>20230912</t>
        </is>
      </c>
      <c r="P233" t="inlineStr">
        <is>
          <t>Sumatera Utara</t>
        </is>
      </c>
      <c r="Q233" t="inlineStr"/>
    </row>
    <row r="234">
      <c r="A234" t="inlineStr">
        <is>
          <t>DAYA INDAH DINAMIKA</t>
        </is>
      </c>
      <c r="B234" t="inlineStr">
        <is>
          <t>Kota Adm. Jakarta Selatan</t>
        </is>
      </c>
      <c r="C234" t="inlineStr">
        <is>
          <t>02129315503</t>
        </is>
      </c>
      <c r="D234" t="inlineStr">
        <is>
          <t>dayaindahdinamika@gmail.com</t>
        </is>
      </c>
      <c r="E234" t="inlineStr">
        <is>
          <t>https://lpjk.pu.go.id/search-badan-usaha-detail/YlpWSHd5Z3dtSlFmUFJIczBLQWJsQT09</t>
        </is>
      </c>
      <c r="F234" t="n">
        <v>2</v>
      </c>
      <c r="G234" t="inlineStr">
        <is>
          <t>AR001, RK001</t>
        </is>
      </c>
      <c r="H234" t="inlineStr">
        <is>
          <t>19 Desember 2014</t>
        </is>
      </c>
      <c r="I234" s="2" t="n">
        <v>46277</v>
      </c>
      <c r="J234" t="inlineStr">
        <is>
          <t>Disetujui</t>
        </is>
      </c>
      <c r="K234" t="n">
        <v>30</v>
      </c>
      <c r="L234" t="inlineStr">
        <is>
          <t>12 September 2026</t>
        </is>
      </c>
      <c r="M234" t="inlineStr">
        <is>
          <t>Jasa Arsitektural Bangunan Gedung Hunian dan Non Hunian, Jasa Rekayasa Konstruksi Bangunan Gedung Hunian dan Non Hunian</t>
        </is>
      </c>
      <c r="N234" t="inlineStr">
        <is>
          <t>K</t>
        </is>
      </c>
      <c r="O234" t="inlineStr">
        <is>
          <t>20230829</t>
        </is>
      </c>
      <c r="P234" t="inlineStr">
        <is>
          <t>DKI Jakarta</t>
        </is>
      </c>
      <c r="Q234" t="inlineStr"/>
    </row>
    <row r="235">
      <c r="A235" t="inlineStr">
        <is>
          <t>DELIMA INTI PERKASA</t>
        </is>
      </c>
      <c r="B235" t="inlineStr">
        <is>
          <t>Kota Pekanbaru</t>
        </is>
      </c>
      <c r="C235" t="inlineStr">
        <is>
          <t>085374324999</t>
        </is>
      </c>
      <c r="D235" t="inlineStr">
        <is>
          <t>pt.delimaintiperkasa@gmail.com</t>
        </is>
      </c>
      <c r="E235" t="inlineStr">
        <is>
          <t>https://lpjk.pu.go.id/search-badan-usaha-detail/ZmZTWStNaURyLzZLeDZRalBsaGRiUT09</t>
        </is>
      </c>
      <c r="F235" t="n">
        <v>2</v>
      </c>
      <c r="G235" t="inlineStr">
        <is>
          <t>BG003</t>
        </is>
      </c>
      <c r="H235" t="inlineStr">
        <is>
          <t>19 Agustus 2013</t>
        </is>
      </c>
      <c r="I235" s="2" t="n">
        <v>46277</v>
      </c>
      <c r="J235" t="inlineStr">
        <is>
          <t>Pencabutan</t>
        </is>
      </c>
      <c r="K235" t="n">
        <v>30</v>
      </c>
      <c r="L235" t="inlineStr">
        <is>
          <t>12 September 2026</t>
        </is>
      </c>
      <c r="M235" t="inlineStr">
        <is>
          <t>Konstruksi Gedung Industri</t>
        </is>
      </c>
      <c r="N235" t="inlineStr">
        <is>
          <t>M</t>
        </is>
      </c>
      <c r="O235" t="inlineStr">
        <is>
          <t>20230905</t>
        </is>
      </c>
      <c r="P235" t="inlineStr">
        <is>
          <t>Riau</t>
        </is>
      </c>
      <c r="Q235" t="inlineStr"/>
    </row>
    <row r="236">
      <c r="A236" t="inlineStr">
        <is>
          <t>DENDY KURNIA</t>
        </is>
      </c>
      <c r="B236" t="inlineStr">
        <is>
          <t>Kab. Bengkalis</t>
        </is>
      </c>
      <c r="C236" t="inlineStr">
        <is>
          <t>082392129331</t>
        </is>
      </c>
      <c r="D236" t="inlineStr">
        <is>
          <t>cvdendyk@gmail.com</t>
        </is>
      </c>
      <c r="E236" t="inlineStr">
        <is>
          <t>https://lpjk.pu.go.id/search-badan-usaha-detail/LzlCamZwRUViU3VjeUp1bG1ibWNjQT09</t>
        </is>
      </c>
      <c r="F236" t="n">
        <v>1</v>
      </c>
      <c r="G236" t="inlineStr">
        <is>
          <t>BS001</t>
        </is>
      </c>
      <c r="H236" t="inlineStr">
        <is>
          <t>31 Maret 2000</t>
        </is>
      </c>
      <c r="I236" s="2" t="n">
        <v>46283</v>
      </c>
      <c r="J236" t="inlineStr">
        <is>
          <t>Disetujui</t>
        </is>
      </c>
      <c r="K236" t="n">
        <v>30</v>
      </c>
      <c r="L236" t="inlineStr">
        <is>
          <t>18 September 2026</t>
        </is>
      </c>
      <c r="M236" t="inlineStr">
        <is>
          <t>Konstruksi Bangunan Sipil Jalan</t>
        </is>
      </c>
      <c r="N236" t="inlineStr">
        <is>
          <t>K</t>
        </is>
      </c>
      <c r="O236" t="inlineStr">
        <is>
          <t>20230919</t>
        </is>
      </c>
      <c r="P236" t="inlineStr">
        <is>
          <t>Riau</t>
        </is>
      </c>
      <c r="Q236" t="inlineStr"/>
    </row>
    <row r="237">
      <c r="A237" t="inlineStr">
        <is>
          <t>DEWANA PUTRA PERKASA</t>
        </is>
      </c>
      <c r="B237" t="inlineStr">
        <is>
          <t>Kab. Mempawah</t>
        </is>
      </c>
      <c r="C237" t="inlineStr">
        <is>
          <t>081351978585</t>
        </is>
      </c>
      <c r="D237" t="inlineStr">
        <is>
          <t>cvdewanaputraperkasa@gmail.com</t>
        </is>
      </c>
      <c r="E237" t="inlineStr">
        <is>
          <t>https://lpjk.pu.go.id/search-badan-usaha-detail/RzBnTndKQnY1NlJzcmtXSWVMa0F4Zz09</t>
        </is>
      </c>
      <c r="F237" t="n">
        <v>2</v>
      </c>
      <c r="G237" t="inlineStr">
        <is>
          <t>BG006</t>
        </is>
      </c>
      <c r="H237" t="inlineStr">
        <is>
          <t>20 Februari 2023</t>
        </is>
      </c>
      <c r="I237" s="2" t="n">
        <v>46280</v>
      </c>
      <c r="J237" t="inlineStr">
        <is>
          <t>Pencabutan</t>
        </is>
      </c>
      <c r="K237" t="n">
        <v>30</v>
      </c>
      <c r="L237" t="inlineStr">
        <is>
          <t>15 September 2026</t>
        </is>
      </c>
      <c r="M237" t="inlineStr">
        <is>
          <t>Konstruksi Gedung Pendidikan</t>
        </is>
      </c>
      <c r="N237" t="inlineStr">
        <is>
          <t>K</t>
        </is>
      </c>
      <c r="O237" t="inlineStr">
        <is>
          <t>20230915</t>
        </is>
      </c>
      <c r="P237" t="inlineStr">
        <is>
          <t>Kalimantan Barat</t>
        </is>
      </c>
      <c r="Q237" t="inlineStr"/>
    </row>
    <row r="238">
      <c r="A238" t="inlineStr">
        <is>
          <t>DEWATA KARYA</t>
        </is>
      </c>
      <c r="B238" t="inlineStr">
        <is>
          <t>Kab. Buleleng</t>
        </is>
      </c>
      <c r="C238" t="inlineStr">
        <is>
          <t>081337156165</t>
        </is>
      </c>
      <c r="D238" t="inlineStr">
        <is>
          <t>dewata_karya@yahoo.co.id</t>
        </is>
      </c>
      <c r="E238" t="inlineStr">
        <is>
          <t>https://lpjk.pu.go.id/search-badan-usaha-detail/WHV2OGhLT2M1T1N6bm5iNjV2aHBSdz09</t>
        </is>
      </c>
      <c r="F238" t="n">
        <v>2</v>
      </c>
      <c r="G238" t="inlineStr">
        <is>
          <t>BG001</t>
        </is>
      </c>
      <c r="H238" t="inlineStr">
        <is>
          <t>21 September 2007</t>
        </is>
      </c>
      <c r="I238" s="2" t="n">
        <v>46279</v>
      </c>
      <c r="J238" t="inlineStr">
        <is>
          <t>Disetujui</t>
        </is>
      </c>
      <c r="K238" t="n">
        <v>30</v>
      </c>
      <c r="L238" t="inlineStr">
        <is>
          <t>14 September 2026</t>
        </is>
      </c>
      <c r="M238" t="inlineStr">
        <is>
          <t>Konstruksi Gedung Hunian</t>
        </is>
      </c>
      <c r="N238" t="inlineStr">
        <is>
          <t>K</t>
        </is>
      </c>
      <c r="O238" t="inlineStr">
        <is>
          <t>20230913</t>
        </is>
      </c>
      <c r="P238" t="inlineStr">
        <is>
          <t>Bali</t>
        </is>
      </c>
      <c r="Q238" t="inlineStr"/>
    </row>
    <row r="239">
      <c r="A239" t="inlineStr">
        <is>
          <t>DHARMA LESTARI</t>
        </is>
      </c>
      <c r="B239" t="inlineStr">
        <is>
          <t>Kab. Langkat</t>
        </is>
      </c>
      <c r="C239" t="inlineStr">
        <is>
          <t>08126363624</t>
        </is>
      </c>
      <c r="D239" t="inlineStr">
        <is>
          <t>cv.dharmalestari@datangyuk.site</t>
        </is>
      </c>
      <c r="E239" t="inlineStr">
        <is>
          <t>https://lpjk.pu.go.id/search-badan-usaha-detail/UXBCQkRFQkNBVkNTRDBkUTNLMHZDQT09</t>
        </is>
      </c>
      <c r="F239" t="n">
        <v>3</v>
      </c>
      <c r="G239" t="inlineStr">
        <is>
          <t>BS001, BS002, BS004</t>
        </is>
      </c>
      <c r="H239" t="inlineStr">
        <is>
          <t>10 November 1988</t>
        </is>
      </c>
      <c r="I239" s="2" t="n">
        <v>46279</v>
      </c>
      <c r="J239" t="inlineStr">
        <is>
          <t>Disetujui</t>
        </is>
      </c>
      <c r="K239" t="n">
        <v>30</v>
      </c>
      <c r="L239" t="inlineStr">
        <is>
          <t>14 September 2026</t>
        </is>
      </c>
      <c r="M239" t="inlineStr">
        <is>
          <t>Bangunan Sipil Jembatan, Jalan Layang, Fly Over, dan Underpass, Konstruksi Bangunan Sipil Jalan, Konstruksi Jaringan Irigasi dan Drainase</t>
        </is>
      </c>
      <c r="N239" t="inlineStr">
        <is>
          <t>K</t>
        </is>
      </c>
      <c r="O239" t="inlineStr">
        <is>
          <t>20230914, 20230915, 20230916</t>
        </is>
      </c>
      <c r="P239" t="inlineStr">
        <is>
          <t>Sumatera Utara</t>
        </is>
      </c>
      <c r="Q239" t="inlineStr"/>
    </row>
    <row r="240">
      <c r="A240" t="inlineStr">
        <is>
          <t>DIAN AYU SEJAHTERA</t>
        </is>
      </c>
      <c r="B240" t="inlineStr">
        <is>
          <t>Kab. Sigi</t>
        </is>
      </c>
      <c r="C240" t="inlineStr">
        <is>
          <t>081320216867</t>
        </is>
      </c>
      <c r="D240" t="inlineStr">
        <is>
          <t>dianayusejahtera@yahoo.co.id</t>
        </is>
      </c>
      <c r="E240" t="inlineStr">
        <is>
          <t>https://lpjk.pu.go.id/search-badan-usaha-detail/T3Q3SDJLcGMwWjdhSlNabU5oSDRZQT09</t>
        </is>
      </c>
      <c r="F240" t="n">
        <v>4</v>
      </c>
      <c r="G240" t="inlineStr">
        <is>
          <t>BG001, BG004, BG007, BG008</t>
        </is>
      </c>
      <c r="H240" t="inlineStr">
        <is>
          <t>8 November 1994</t>
        </is>
      </c>
      <c r="I240" s="2" t="n">
        <v>46278</v>
      </c>
      <c r="J240" t="inlineStr">
        <is>
          <t>Disetujui</t>
        </is>
      </c>
      <c r="K240" t="n">
        <v>30</v>
      </c>
      <c r="L240" t="inlineStr">
        <is>
          <t>13 September 2026</t>
        </is>
      </c>
      <c r="M240" t="inlineStr">
        <is>
          <t>Konstruksi Gedung Hunian, Konstruksi Gedung Penginapan, Konstruksi Gedung Perbelanjaan, Konstruksi Gedung Tempat Hiburan dan Olahraga</t>
        </is>
      </c>
      <c r="N240" t="inlineStr">
        <is>
          <t>K</t>
        </is>
      </c>
      <c r="O240" t="inlineStr">
        <is>
          <t>20230914</t>
        </is>
      </c>
      <c r="P240" t="inlineStr">
        <is>
          <t>Sulawesi Tengah</t>
        </is>
      </c>
      <c r="Q240" t="inlineStr"/>
    </row>
    <row r="241">
      <c r="A241" t="inlineStr">
        <is>
          <t>DIKA SEJAHTERA ABADI</t>
        </is>
      </c>
      <c r="B241" t="inlineStr">
        <is>
          <t>Kab. Sukabumi</t>
        </is>
      </c>
      <c r="C241" t="inlineStr">
        <is>
          <t>085722110201</t>
        </is>
      </c>
      <c r="D241" t="inlineStr">
        <is>
          <t>dikasejahtera.cv@gmail.com</t>
        </is>
      </c>
      <c r="E241" t="inlineStr">
        <is>
          <t>https://lpjk.pu.go.id/search-badan-usaha-detail/N3VJbm1Hb2xZeVpVdzQ5bDN0WEJIZz09</t>
        </is>
      </c>
      <c r="F241" t="n">
        <v>1</v>
      </c>
      <c r="G241" t="inlineStr">
        <is>
          <t>BS005</t>
        </is>
      </c>
      <c r="H241" t="inlineStr">
        <is>
          <t>31 Agustus 2021</t>
        </is>
      </c>
      <c r="I241" s="2" t="n">
        <v>46282</v>
      </c>
      <c r="J241" t="inlineStr">
        <is>
          <t>Disetujui</t>
        </is>
      </c>
      <c r="K241" t="n">
        <v>30</v>
      </c>
      <c r="L241" t="inlineStr">
        <is>
          <t>17 September 2026</t>
        </is>
      </c>
      <c r="M241" t="inlineStr">
        <is>
          <t>Konstruksi Bangunan Sipil Pengolahan Air Bersih</t>
        </is>
      </c>
      <c r="N241" t="inlineStr">
        <is>
          <t>K</t>
        </is>
      </c>
      <c r="O241" t="inlineStr">
        <is>
          <t>20230914</t>
        </is>
      </c>
      <c r="P241" t="inlineStr">
        <is>
          <t>Jawa Barat</t>
        </is>
      </c>
      <c r="Q241" t="inlineStr"/>
    </row>
    <row r="242">
      <c r="A242" t="inlineStr">
        <is>
          <t>DIMENSI FAZAA</t>
        </is>
      </c>
      <c r="B242" t="inlineStr">
        <is>
          <t>Kab. Bandung</t>
        </is>
      </c>
      <c r="C242" t="inlineStr">
        <is>
          <t>081220838471</t>
        </is>
      </c>
      <c r="D242" t="inlineStr">
        <is>
          <t>dimensifazaa71@gmail.com</t>
        </is>
      </c>
      <c r="E242" t="inlineStr">
        <is>
          <t>https://lpjk.pu.go.id/search-badan-usaha-detail/V01DWWJITEZObGc2b1A3Umc2Y3V3UT09</t>
        </is>
      </c>
      <c r="F242" t="n">
        <v>1</v>
      </c>
      <c r="G242" t="inlineStr">
        <is>
          <t>BG008</t>
        </is>
      </c>
      <c r="H242" t="inlineStr">
        <is>
          <t>6 Januari 2012</t>
        </is>
      </c>
      <c r="I242" s="2" t="n">
        <v>46279</v>
      </c>
      <c r="J242" t="inlineStr">
        <is>
          <t>Disetujui</t>
        </is>
      </c>
      <c r="K242" t="n">
        <v>30</v>
      </c>
      <c r="L242" t="inlineStr">
        <is>
          <t>14 September 2026</t>
        </is>
      </c>
      <c r="M242" t="inlineStr">
        <is>
          <t>Konstruksi Gedung Tempat Hiburan dan Olahraga</t>
        </is>
      </c>
      <c r="N242" t="inlineStr">
        <is>
          <t>K</t>
        </is>
      </c>
      <c r="O242" t="inlineStr">
        <is>
          <t>20230914</t>
        </is>
      </c>
      <c r="P242" t="inlineStr">
        <is>
          <t>Jawa Barat</t>
        </is>
      </c>
      <c r="Q242" t="inlineStr"/>
    </row>
    <row r="243">
      <c r="A243" t="inlineStr">
        <is>
          <t>DITA MULTI SARANA</t>
        </is>
      </c>
      <c r="B243" t="inlineStr">
        <is>
          <t>Kota Bontang</t>
        </is>
      </c>
      <c r="C243" t="inlineStr">
        <is>
          <t>081347649007</t>
        </is>
      </c>
      <c r="D243" t="inlineStr">
        <is>
          <t>ditamultisarana@gmail.com</t>
        </is>
      </c>
      <c r="E243" t="inlineStr">
        <is>
          <t>https://lpjk.pu.go.id/search-badan-usaha-detail/a2pYNGxmUWhSeFgrMXMvUFJocFMvUT09</t>
        </is>
      </c>
      <c r="F243" t="n">
        <v>1</v>
      </c>
      <c r="G243" t="inlineStr">
        <is>
          <t>BS004</t>
        </is>
      </c>
      <c r="H243" t="inlineStr">
        <is>
          <t>29 April 2016</t>
        </is>
      </c>
      <c r="I243" s="2" t="n">
        <v>46277</v>
      </c>
      <c r="J243" t="inlineStr">
        <is>
          <t>Disetujui</t>
        </is>
      </c>
      <c r="K243" t="n">
        <v>30</v>
      </c>
      <c r="L243" t="inlineStr">
        <is>
          <t>12 September 2026</t>
        </is>
      </c>
      <c r="M243" t="inlineStr">
        <is>
          <t>Konstruksi Jaringan Irigasi dan Drainase</t>
        </is>
      </c>
      <c r="N243" t="inlineStr">
        <is>
          <t>K</t>
        </is>
      </c>
      <c r="O243" t="inlineStr">
        <is>
          <t>20230912</t>
        </is>
      </c>
      <c r="P243" t="inlineStr">
        <is>
          <t>Kalimantan Timur</t>
        </is>
      </c>
      <c r="Q243" t="inlineStr"/>
    </row>
    <row r="244">
      <c r="A244" t="inlineStr">
        <is>
          <t>DIVAN STG</t>
        </is>
      </c>
      <c r="B244" t="inlineStr">
        <is>
          <t>Kota Medan</t>
        </is>
      </c>
      <c r="C244" t="inlineStr">
        <is>
          <t>08126016579</t>
        </is>
      </c>
      <c r="D244" t="inlineStr">
        <is>
          <t>divanstg.cv@gmail.com</t>
        </is>
      </c>
      <c r="E244" t="inlineStr">
        <is>
          <t>https://lpjk.pu.go.id/search-badan-usaha-detail/ZitnUkhyREV1YU1rQ3FGbURvTmZCZz09</t>
        </is>
      </c>
      <c r="F244" t="n">
        <v>5</v>
      </c>
      <c r="G244" t="inlineStr">
        <is>
          <t>BG001, BG002, BG005, BG006, BG009</t>
        </is>
      </c>
      <c r="H244" t="inlineStr">
        <is>
          <t>10 Maret 2020</t>
        </is>
      </c>
      <c r="I244" s="2" t="n">
        <v>46282</v>
      </c>
      <c r="J244" t="inlineStr">
        <is>
          <t>Disetujui</t>
        </is>
      </c>
      <c r="K244" t="n">
        <v>30</v>
      </c>
      <c r="L244" t="inlineStr">
        <is>
          <t>17 September 2026</t>
        </is>
      </c>
      <c r="M244" t="inlineStr">
        <is>
          <t>Konstruksi Gedung Hunian, Konstruksi Gedung Kesehatan, Konstruksi Gedung Lainnya, Konstruksi Gedung Pendidikan, Konstruksi Gedung Perkantoran</t>
        </is>
      </c>
      <c r="N244" t="inlineStr">
        <is>
          <t>K</t>
        </is>
      </c>
      <c r="O244" t="inlineStr">
        <is>
          <t>20230908, 20230911, 20230913</t>
        </is>
      </c>
      <c r="P244" t="inlineStr">
        <is>
          <t>Sumatera Utara</t>
        </is>
      </c>
      <c r="Q244" t="inlineStr"/>
    </row>
    <row r="245">
      <c r="A245" t="inlineStr">
        <is>
          <t>DORO MAKMUR</t>
        </is>
      </c>
      <c r="B245" t="inlineStr">
        <is>
          <t>Kab. Bengkayang</t>
        </is>
      </c>
      <c r="C245" t="inlineStr">
        <is>
          <t>085348432759</t>
        </is>
      </c>
      <c r="D245" t="inlineStr">
        <is>
          <t>cvdoromakmur@gmail.com</t>
        </is>
      </c>
      <c r="E245" t="inlineStr">
        <is>
          <t>https://lpjk.pu.go.id/search-badan-usaha-detail/T3d3ZXAzNWtaSG16TTJYOHZXdUc2UT09</t>
        </is>
      </c>
      <c r="F245" t="n">
        <v>1</v>
      </c>
      <c r="G245" t="inlineStr">
        <is>
          <t>BG006</t>
        </is>
      </c>
      <c r="H245" t="inlineStr">
        <is>
          <t>20 Februari 2021</t>
        </is>
      </c>
      <c r="I245" s="2" t="n">
        <v>46280</v>
      </c>
      <c r="J245" t="inlineStr">
        <is>
          <t>Disetujui</t>
        </is>
      </c>
      <c r="K245" t="n">
        <v>30</v>
      </c>
      <c r="L245" t="inlineStr">
        <is>
          <t>15 September 2026</t>
        </is>
      </c>
      <c r="M245" t="inlineStr">
        <is>
          <t>Konstruksi Gedung Pendidikan</t>
        </is>
      </c>
      <c r="N245" t="inlineStr">
        <is>
          <t>K</t>
        </is>
      </c>
      <c r="O245" t="inlineStr">
        <is>
          <t>20230915</t>
        </is>
      </c>
      <c r="P245" t="inlineStr">
        <is>
          <t>Kalimantan Barat</t>
        </is>
      </c>
      <c r="Q245" t="inlineStr"/>
    </row>
    <row r="246">
      <c r="A246" t="inlineStr">
        <is>
          <t>DUA EMPAT TUJUH STUDIO</t>
        </is>
      </c>
      <c r="B246" t="inlineStr">
        <is>
          <t>Kota Makassar</t>
        </is>
      </c>
      <c r="C246" t="inlineStr">
        <is>
          <t>081242092152</t>
        </is>
      </c>
      <c r="D246" t="inlineStr">
        <is>
          <t>info@archstudio247.com</t>
        </is>
      </c>
      <c r="E246" t="inlineStr">
        <is>
          <t>https://lpjk.pu.go.id/search-badan-usaha-detail/ajNkaFlvOG5HYm5YUEt0MHdOelZ5Zz09</t>
        </is>
      </c>
      <c r="F246" t="n">
        <v>2</v>
      </c>
      <c r="G246" t="inlineStr">
        <is>
          <t>AR001, AR002</t>
        </is>
      </c>
      <c r="H246" t="inlineStr">
        <is>
          <t>15 Juni 2022</t>
        </is>
      </c>
      <c r="I246" s="2" t="n">
        <v>46283</v>
      </c>
      <c r="J246" t="inlineStr">
        <is>
          <t>Disetujui</t>
        </is>
      </c>
      <c r="K246" t="n">
        <v>30</v>
      </c>
      <c r="L246" t="inlineStr">
        <is>
          <t>18 September 2026</t>
        </is>
      </c>
      <c r="M246" t="inlineStr">
        <is>
          <t>Jasa Arsitektural Bangunan Gedung Hunian dan Non Hunian, Jasa Arsitektural Lainnya</t>
        </is>
      </c>
      <c r="N246" t="inlineStr">
        <is>
          <t>K</t>
        </is>
      </c>
      <c r="O246" t="inlineStr">
        <is>
          <t>20230831</t>
        </is>
      </c>
      <c r="P246" t="inlineStr">
        <is>
          <t>Sulawesi Selatan</t>
        </is>
      </c>
      <c r="Q246" t="inlineStr"/>
    </row>
    <row r="247">
      <c r="A247" t="inlineStr">
        <is>
          <t>DUA PUTRA PERKASA</t>
        </is>
      </c>
      <c r="B247" t="inlineStr">
        <is>
          <t>Kab. Ketapang</t>
        </is>
      </c>
      <c r="C247" t="inlineStr">
        <is>
          <t>089527631683</t>
        </is>
      </c>
      <c r="D247" t="inlineStr">
        <is>
          <t>duaputraperkasa07@gmail.com</t>
        </is>
      </c>
      <c r="E247" t="inlineStr">
        <is>
          <t>https://lpjk.pu.go.id/search-badan-usaha-detail/bkRJSUVtbXlvekFRNEIwTUl5QitxZz09</t>
        </is>
      </c>
      <c r="F247" t="n">
        <v>1</v>
      </c>
      <c r="G247" t="inlineStr">
        <is>
          <t>BG008</t>
        </is>
      </c>
      <c r="H247" t="inlineStr">
        <is>
          <t>6 April 2002</t>
        </is>
      </c>
      <c r="I247" s="2" t="n">
        <v>46277</v>
      </c>
      <c r="J247" t="inlineStr">
        <is>
          <t>Disetujui</t>
        </is>
      </c>
      <c r="K247" t="n">
        <v>30</v>
      </c>
      <c r="L247" t="inlineStr">
        <is>
          <t>12 September 2026</t>
        </is>
      </c>
      <c r="M247" t="inlineStr">
        <is>
          <t>Konstruksi Gedung Tempat Hiburan dan Olahraga</t>
        </is>
      </c>
      <c r="N247" t="inlineStr">
        <is>
          <t>K</t>
        </is>
      </c>
      <c r="O247" t="inlineStr">
        <is>
          <t>20230912</t>
        </is>
      </c>
      <c r="P247" t="inlineStr">
        <is>
          <t>Kalimantan Barat</t>
        </is>
      </c>
      <c r="Q247" t="inlineStr"/>
    </row>
    <row r="248">
      <c r="A248" t="inlineStr">
        <is>
          <t>DUA PUTRA PRATAMA MANDIRI GROUP</t>
        </is>
      </c>
      <c r="B248" t="inlineStr">
        <is>
          <t>Kota Palangkaraya</t>
        </is>
      </c>
      <c r="C248" t="inlineStr">
        <is>
          <t>05364267887</t>
        </is>
      </c>
      <c r="D248" t="inlineStr">
        <is>
          <t>ptdppmgroup2021@gmail.com</t>
        </is>
      </c>
      <c r="E248" t="inlineStr">
        <is>
          <t>https://lpjk.pu.go.id/search-badan-usaha-detail/YlM4OEtBZVd6MVFKQmNDM0VQeHVZZz09</t>
        </is>
      </c>
      <c r="F248" t="n">
        <v>3</v>
      </c>
      <c r="G248" t="inlineStr">
        <is>
          <t>BG001, BG002, BG009</t>
        </is>
      </c>
      <c r="H248" t="inlineStr">
        <is>
          <t>25 Agustus 2021</t>
        </is>
      </c>
      <c r="I248" s="2" t="n">
        <v>46280</v>
      </c>
      <c r="J248" t="inlineStr">
        <is>
          <t>Disetujui</t>
        </is>
      </c>
      <c r="K248" t="n">
        <v>30</v>
      </c>
      <c r="L248" t="inlineStr">
        <is>
          <t>15 September 2026</t>
        </is>
      </c>
      <c r="M248" t="inlineStr">
        <is>
          <t>Konstruksi Gedung Hunian, Konstruksi Gedung Lainnya, Konstruksi Gedung Perkantoran</t>
        </is>
      </c>
      <c r="N248" t="inlineStr">
        <is>
          <t>K</t>
        </is>
      </c>
      <c r="O248" t="inlineStr">
        <is>
          <t>20230914</t>
        </is>
      </c>
      <c r="P248" t="inlineStr">
        <is>
          <t>Kalimantan Tengah</t>
        </is>
      </c>
      <c r="Q248" t="inlineStr"/>
    </row>
    <row r="249">
      <c r="A249" t="inlineStr">
        <is>
          <t>DUA PUTRI</t>
        </is>
      </c>
      <c r="B249" t="inlineStr">
        <is>
          <t>Kota Sawahlunto</t>
        </is>
      </c>
      <c r="C249" t="inlineStr">
        <is>
          <t>085376181849</t>
        </is>
      </c>
      <c r="D249" t="inlineStr">
        <is>
          <t>cvduaputri5@gmail.com</t>
        </is>
      </c>
      <c r="E249" t="inlineStr">
        <is>
          <t>https://lpjk.pu.go.id/search-badan-usaha-detail/eG5mdlNDcTArckpzWnhDamRZdU1wdz09</t>
        </is>
      </c>
      <c r="F249" t="n">
        <v>1</v>
      </c>
      <c r="G249" t="inlineStr">
        <is>
          <t>BS004</t>
        </is>
      </c>
      <c r="H249" t="inlineStr">
        <is>
          <t>2 Januari 2019</t>
        </is>
      </c>
      <c r="I249" s="2" t="n">
        <v>46277</v>
      </c>
      <c r="J249" t="inlineStr">
        <is>
          <t>Disetujui</t>
        </is>
      </c>
      <c r="K249" t="n">
        <v>30</v>
      </c>
      <c r="L249" t="inlineStr">
        <is>
          <t>12 September 2026</t>
        </is>
      </c>
      <c r="M249" t="inlineStr">
        <is>
          <t>Konstruksi Jaringan Irigasi dan Drainase</t>
        </is>
      </c>
      <c r="N249" t="inlineStr">
        <is>
          <t>K</t>
        </is>
      </c>
      <c r="O249" t="inlineStr">
        <is>
          <t>20230904</t>
        </is>
      </c>
      <c r="P249" t="inlineStr">
        <is>
          <t>Sumatera Barat</t>
        </is>
      </c>
      <c r="Q249" t="inlineStr"/>
    </row>
    <row r="250">
      <c r="A250" t="inlineStr">
        <is>
          <t>DUA PUTRI NUSANTARA PROBOLINGGO</t>
        </is>
      </c>
      <c r="B250" t="inlineStr">
        <is>
          <t>Kab. Probolinggo</t>
        </is>
      </c>
      <c r="C250" t="inlineStr">
        <is>
          <t>08123460488</t>
        </is>
      </c>
      <c r="D250" t="inlineStr">
        <is>
          <t>duaputrinusantara@gmail.com</t>
        </is>
      </c>
      <c r="E250" t="inlineStr">
        <is>
          <t>https://lpjk.pu.go.id/search-badan-usaha-detail/RlZLaS9qUzFKVGVJZ2pNZXl4RVlvUT09</t>
        </is>
      </c>
      <c r="F250" t="n">
        <v>4</v>
      </c>
      <c r="G250" t="inlineStr">
        <is>
          <t>BG006, BG009, BS001, BS004</t>
        </is>
      </c>
      <c r="H250" t="inlineStr">
        <is>
          <t>27 Maret 2023</t>
        </is>
      </c>
      <c r="I250" s="2" t="n">
        <v>46282</v>
      </c>
      <c r="J250" t="inlineStr">
        <is>
          <t>Disetujui, Permohonan Perubahan Non Asesmen</t>
        </is>
      </c>
      <c r="K250" t="n">
        <v>30</v>
      </c>
      <c r="L250" t="inlineStr">
        <is>
          <t>17 September 2026</t>
        </is>
      </c>
      <c r="M250" t="inlineStr">
        <is>
          <t>Konstruksi Bangunan Sipil Jalan, Konstruksi Gedung Lainnya, Konstruksi Gedung Pendidikan, Konstruksi Jaringan Irigasi dan Drainase</t>
        </is>
      </c>
      <c r="N250" t="inlineStr">
        <is>
          <t>K</t>
        </is>
      </c>
      <c r="O250" t="inlineStr">
        <is>
          <t>20230912, 20230914</t>
        </is>
      </c>
      <c r="P250" t="inlineStr">
        <is>
          <t>Jawa Timur</t>
        </is>
      </c>
      <c r="Q250" t="inlineStr"/>
    </row>
    <row r="251">
      <c r="A251" t="inlineStr">
        <is>
          <t>DUA SATU BERSAUDARA</t>
        </is>
      </c>
      <c r="B251" t="inlineStr">
        <is>
          <t>Kota Cilegon</t>
        </is>
      </c>
      <c r="C251" t="inlineStr">
        <is>
          <t>083192333904</t>
        </is>
      </c>
      <c r="D251" t="inlineStr">
        <is>
          <t>lsbubanten@gmail.com</t>
        </is>
      </c>
      <c r="E251" t="inlineStr">
        <is>
          <t>https://lpjk.pu.go.id/search-badan-usaha-detail/SU9icFVRSWFWRXhUdkQwbC9ud1RMUT09</t>
        </is>
      </c>
      <c r="F251" t="n">
        <v>2</v>
      </c>
      <c r="G251" t="inlineStr">
        <is>
          <t>BG001</t>
        </is>
      </c>
      <c r="H251" t="inlineStr">
        <is>
          <t>28 Januari 2022</t>
        </is>
      </c>
      <c r="I251" s="2" t="n">
        <v>46278</v>
      </c>
      <c r="J251" t="inlineStr">
        <is>
          <t>Pencabutan</t>
        </is>
      </c>
      <c r="K251" t="n">
        <v>30</v>
      </c>
      <c r="L251" t="inlineStr">
        <is>
          <t>13 September 2026</t>
        </is>
      </c>
      <c r="M251" t="inlineStr">
        <is>
          <t>Konstruksi Gedung Hunian</t>
        </is>
      </c>
      <c r="N251" t="inlineStr">
        <is>
          <t>K</t>
        </is>
      </c>
      <c r="O251" t="inlineStr">
        <is>
          <t>20230824</t>
        </is>
      </c>
      <c r="P251" t="inlineStr">
        <is>
          <t>Banten</t>
        </is>
      </c>
      <c r="Q251" t="inlineStr"/>
    </row>
    <row r="252">
      <c r="A252" t="inlineStr">
        <is>
          <t>DUO ALSAKHI PUTRI</t>
        </is>
      </c>
      <c r="B252" t="inlineStr">
        <is>
          <t>Kota Adm. Jakarta Selatan</t>
        </is>
      </c>
      <c r="C252" t="inlineStr">
        <is>
          <t>02122538232</t>
        </is>
      </c>
      <c r="D252" t="inlineStr">
        <is>
          <t>duoalsakhiputri@yahoo.com</t>
        </is>
      </c>
      <c r="E252" t="inlineStr">
        <is>
          <t>https://lpjk.pu.go.id/search-badan-usaha-detail/aGF1VTI0UWIzQVljK0Y5REZCQkVSQT09</t>
        </is>
      </c>
      <c r="F252" t="n">
        <v>4</v>
      </c>
      <c r="G252" t="inlineStr">
        <is>
          <t>BG004, BG006, BG007, BG009</t>
        </is>
      </c>
      <c r="H252" t="inlineStr">
        <is>
          <t>23 Oktober 2019</t>
        </is>
      </c>
      <c r="I252" s="2" t="n">
        <v>46283</v>
      </c>
      <c r="J252" t="inlineStr">
        <is>
          <t>Disetujui</t>
        </is>
      </c>
      <c r="K252" t="n">
        <v>30</v>
      </c>
      <c r="L252" t="inlineStr">
        <is>
          <t>18 September 2026</t>
        </is>
      </c>
      <c r="M252" t="inlineStr">
        <is>
          <t>Konstruksi Gedung Lainnya, Konstruksi Gedung Pendidikan, Konstruksi Gedung Penginapan, Konstruksi Gedung Perbelanjaan</t>
        </is>
      </c>
      <c r="N252" t="inlineStr">
        <is>
          <t>K</t>
        </is>
      </c>
      <c r="O252" t="inlineStr">
        <is>
          <t>20230918</t>
        </is>
      </c>
      <c r="P252" t="inlineStr">
        <is>
          <t>DKI Jakarta</t>
        </is>
      </c>
      <c r="Q252" t="inlineStr"/>
    </row>
    <row r="253">
      <c r="A253" t="inlineStr">
        <is>
          <t>DUTA AYU NUGRAHA</t>
        </is>
      </c>
      <c r="B253" t="inlineStr">
        <is>
          <t>Kota Medan</t>
        </is>
      </c>
      <c r="C253" t="inlineStr">
        <is>
          <t>081269713399</t>
        </is>
      </c>
      <c r="D253" t="inlineStr">
        <is>
          <t>dutaayunugraha.pt@gmail.com</t>
        </is>
      </c>
      <c r="E253" t="inlineStr">
        <is>
          <t>https://lpjk.pu.go.id/search-badan-usaha-detail/dWpQOEtMa3I2U3pTV3VJd3VhVUlvdz09</t>
        </is>
      </c>
      <c r="F253" t="n">
        <v>1</v>
      </c>
      <c r="G253" t="inlineStr">
        <is>
          <t>PL003</t>
        </is>
      </c>
      <c r="H253" t="inlineStr">
        <is>
          <t>30 Januari 2019</t>
        </is>
      </c>
      <c r="I253" s="2" t="n">
        <v>46280</v>
      </c>
      <c r="J253" t="inlineStr">
        <is>
          <t>Pembekuan</t>
        </is>
      </c>
      <c r="K253" t="n">
        <v>30</v>
      </c>
      <c r="L253" t="inlineStr">
        <is>
          <t>15 September 2026</t>
        </is>
      </c>
      <c r="M253" t="inlineStr">
        <is>
          <t>Penyiapan Lahan Konstruksi</t>
        </is>
      </c>
      <c r="N253" t="inlineStr">
        <is>
          <t>Spesialis</t>
        </is>
      </c>
      <c r="O253" t="inlineStr">
        <is>
          <t>20230915</t>
        </is>
      </c>
      <c r="P253" t="inlineStr">
        <is>
          <t>Sumatera Utara</t>
        </is>
      </c>
      <c r="Q253" t="inlineStr"/>
    </row>
    <row r="254">
      <c r="A254" t="inlineStr">
        <is>
          <t>DUTA JASA REKAYASA</t>
        </is>
      </c>
      <c r="B254" t="inlineStr">
        <is>
          <t>Kota Bandung</t>
        </is>
      </c>
      <c r="C254" t="inlineStr">
        <is>
          <t>08121437135</t>
        </is>
      </c>
      <c r="D254" t="inlineStr">
        <is>
          <t>duta.jasarekayasa@gmail.com</t>
        </is>
      </c>
      <c r="E254" t="inlineStr">
        <is>
          <t>https://lpjk.pu.go.id/search-badan-usaha-detail/bjVHZXB2MmZQd2JUQkJKOG9oa0JUdz09</t>
        </is>
      </c>
      <c r="F254" t="n">
        <v>2</v>
      </c>
      <c r="G254" t="inlineStr">
        <is>
          <t>RK001, RK005</t>
        </is>
      </c>
      <c r="H254" t="inlineStr">
        <is>
          <t>14 Februari 2022</t>
        </is>
      </c>
      <c r="I254" s="2" t="n">
        <v>46282</v>
      </c>
      <c r="J254" t="inlineStr">
        <is>
          <t>Disetujui</t>
        </is>
      </c>
      <c r="K254" t="n">
        <v>30</v>
      </c>
      <c r="L254" t="inlineStr">
        <is>
          <t>17 September 2026</t>
        </is>
      </c>
      <c r="M254" t="inlineStr">
        <is>
          <t>Jasa Rekayasa Konstruksi Bangunan Gedung Hunian dan Non Hunian, Jasa Rekayasa Lainnya</t>
        </is>
      </c>
      <c r="N254" t="inlineStr">
        <is>
          <t>K</t>
        </is>
      </c>
      <c r="O254" t="inlineStr">
        <is>
          <t>20230905</t>
        </is>
      </c>
      <c r="P254" t="inlineStr">
        <is>
          <t>Jawa Barat</t>
        </is>
      </c>
      <c r="Q254" t="inlineStr"/>
    </row>
    <row r="255">
      <c r="A255" t="inlineStr">
        <is>
          <t>DUTA KONSTRUKSI PRIBADI</t>
        </is>
      </c>
      <c r="B255" t="inlineStr">
        <is>
          <t>Kota Pontianak</t>
        </is>
      </c>
      <c r="C255" t="inlineStr">
        <is>
          <t>085252523778</t>
        </is>
      </c>
      <c r="D255" t="inlineStr">
        <is>
          <t>dutakontruksi888@gmail.com</t>
        </is>
      </c>
      <c r="E255" t="inlineStr">
        <is>
          <t>https://lpjk.pu.go.id/search-badan-usaha-detail/djBMM212eEQ5djZsUWRZMjJVNFkzQT09</t>
        </is>
      </c>
      <c r="F255" t="n">
        <v>1</v>
      </c>
      <c r="G255" t="inlineStr">
        <is>
          <t>BG002</t>
        </is>
      </c>
      <c r="H255" t="inlineStr">
        <is>
          <t>9 Januari 2020</t>
        </is>
      </c>
      <c r="I255" s="2" t="n">
        <v>46282</v>
      </c>
      <c r="J255" t="inlineStr">
        <is>
          <t>Disetujui</t>
        </is>
      </c>
      <c r="K255" t="n">
        <v>30</v>
      </c>
      <c r="L255" t="inlineStr">
        <is>
          <t>17 September 2026</t>
        </is>
      </c>
      <c r="M255" t="inlineStr">
        <is>
          <t>Konstruksi Gedung Perkantoran</t>
        </is>
      </c>
      <c r="N255" t="inlineStr">
        <is>
          <t>K</t>
        </is>
      </c>
      <c r="O255" t="inlineStr">
        <is>
          <t>20230914</t>
        </is>
      </c>
      <c r="P255" t="inlineStr">
        <is>
          <t>Kalimantan Barat</t>
        </is>
      </c>
      <c r="Q255" t="inlineStr"/>
    </row>
    <row r="256">
      <c r="A256" t="inlineStr">
        <is>
          <t>DUTA SARANA MANDIRI</t>
        </is>
      </c>
      <c r="B256" t="inlineStr">
        <is>
          <t>Kota Adm. Jakarta Barat</t>
        </is>
      </c>
      <c r="C256" t="inlineStr">
        <is>
          <t>02166670555</t>
        </is>
      </c>
      <c r="D256" t="inlineStr">
        <is>
          <t>dutasaranamandiri2019@gmail.com</t>
        </is>
      </c>
      <c r="E256" t="inlineStr">
        <is>
          <t>https://lpjk.pu.go.id/search-badan-usaha-detail/OG40SHFIQXpiNFlUcHUrc25LU1NDZz09</t>
        </is>
      </c>
      <c r="F256" t="n">
        <v>1</v>
      </c>
      <c r="G256" t="inlineStr">
        <is>
          <t>BG005</t>
        </is>
      </c>
      <c r="H256" t="inlineStr">
        <is>
          <t>14 Juni 2010</t>
        </is>
      </c>
      <c r="I256" s="2" t="n">
        <v>46277</v>
      </c>
      <c r="J256" t="inlineStr">
        <is>
          <t>Disetujui</t>
        </is>
      </c>
      <c r="K256" t="n">
        <v>30</v>
      </c>
      <c r="L256" t="inlineStr">
        <is>
          <t>12 September 2026</t>
        </is>
      </c>
      <c r="M256" t="inlineStr">
        <is>
          <t>Konstruksi Gedung Kesehatan</t>
        </is>
      </c>
      <c r="N256" t="inlineStr">
        <is>
          <t>M</t>
        </is>
      </c>
      <c r="O256" t="inlineStr">
        <is>
          <t>20230316</t>
        </is>
      </c>
      <c r="P256" t="inlineStr">
        <is>
          <t>DKI Jakarta</t>
        </is>
      </c>
      <c r="Q256" t="inlineStr"/>
    </row>
    <row r="257">
      <c r="A257" t="inlineStr">
        <is>
          <t>DUTA WAKATE</t>
        </is>
      </c>
      <c r="B257" t="inlineStr">
        <is>
          <t>Kab. Seram Bagian Timur</t>
        </is>
      </c>
      <c r="C257" t="inlineStr">
        <is>
          <t>082199603656</t>
        </is>
      </c>
      <c r="D257" t="inlineStr">
        <is>
          <t>dutawakatecv@yahoo.com</t>
        </is>
      </c>
      <c r="E257" t="inlineStr">
        <is>
          <t>https://lpjk.pu.go.id/search-badan-usaha-detail/S2xRL2dCUlFVRHZtNDJoM2lDZXM0Zz09</t>
        </is>
      </c>
      <c r="F257" t="n">
        <v>3</v>
      </c>
      <c r="G257" t="inlineStr">
        <is>
          <t>BG006, BG009, BS001</t>
        </is>
      </c>
      <c r="H257" t="inlineStr">
        <is>
          <t>2 Maret 2006</t>
        </is>
      </c>
      <c r="I257" s="2" t="n">
        <v>46282</v>
      </c>
      <c r="J257" t="inlineStr">
        <is>
          <t>Disetujui</t>
        </is>
      </c>
      <c r="K257" t="n">
        <v>30</v>
      </c>
      <c r="L257" t="inlineStr">
        <is>
          <t>17 September 2026</t>
        </is>
      </c>
      <c r="M257" t="inlineStr">
        <is>
          <t>Konstruksi Bangunan Sipil Jalan, Konstruksi Gedung Lainnya, Konstruksi Gedung Pendidikan</t>
        </is>
      </c>
      <c r="N257" t="inlineStr">
        <is>
          <t>K</t>
        </is>
      </c>
      <c r="O257" t="inlineStr">
        <is>
          <t>20230918</t>
        </is>
      </c>
      <c r="P257" t="inlineStr">
        <is>
          <t>Maluku</t>
        </is>
      </c>
      <c r="Q257" t="inlineStr"/>
    </row>
    <row r="258">
      <c r="A258" t="inlineStr">
        <is>
          <t>DWIPUTRA JAYA SENTOSA</t>
        </is>
      </c>
      <c r="B258" t="inlineStr">
        <is>
          <t>Kota Surabaya</t>
        </is>
      </c>
      <c r="C258" t="inlineStr">
        <is>
          <t>085157887209</t>
        </is>
      </c>
      <c r="D258" t="inlineStr">
        <is>
          <t>dwiputra.js@gmail.com</t>
        </is>
      </c>
      <c r="E258" t="inlineStr">
        <is>
          <t>https://lpjk.pu.go.id/search-badan-usaha-detail/R0FUaXMrTlNYU3B2QmlYM1o5cGhMZz09</t>
        </is>
      </c>
      <c r="F258" t="n">
        <v>1</v>
      </c>
      <c r="G258" t="inlineStr">
        <is>
          <t>BG009</t>
        </is>
      </c>
      <c r="H258" t="inlineStr">
        <is>
          <t>18 Juli 2022</t>
        </is>
      </c>
      <c r="I258" s="2" t="n">
        <v>46277</v>
      </c>
      <c r="J258" t="inlineStr">
        <is>
          <t>Pencabutan</t>
        </is>
      </c>
      <c r="K258" t="n">
        <v>30</v>
      </c>
      <c r="L258" t="inlineStr">
        <is>
          <t>12 September 2026</t>
        </is>
      </c>
      <c r="M258" t="inlineStr">
        <is>
          <t>Konstruksi Gedung Lainnya</t>
        </is>
      </c>
      <c r="N258" t="inlineStr">
        <is>
          <t>K</t>
        </is>
      </c>
      <c r="O258" t="inlineStr">
        <is>
          <t>20230912</t>
        </is>
      </c>
      <c r="P258" t="inlineStr">
        <is>
          <t>Jawa Timur</t>
        </is>
      </c>
      <c r="Q258" t="inlineStr"/>
    </row>
    <row r="259">
      <c r="A259" t="inlineStr">
        <is>
          <t>DZAKIR KONSULTAN</t>
        </is>
      </c>
      <c r="B259" t="inlineStr">
        <is>
          <t>Kab. Sumbawa Barat</t>
        </is>
      </c>
      <c r="C259" t="inlineStr">
        <is>
          <t>082187824747</t>
        </is>
      </c>
      <c r="D259" t="inlineStr">
        <is>
          <t>cvdzakir@yahoo.com</t>
        </is>
      </c>
      <c r="E259" t="inlineStr">
        <is>
          <t>https://lpjk.pu.go.id/search-badan-usaha-detail/K0NhVXZUbXJIQUtZS2pNRFB2N0RLdz09</t>
        </is>
      </c>
      <c r="F259" t="n">
        <v>2</v>
      </c>
      <c r="G259" t="inlineStr">
        <is>
          <t>RK002, RK003</t>
        </is>
      </c>
      <c r="H259" t="inlineStr">
        <is>
          <t>24 November 2018</t>
        </is>
      </c>
      <c r="I259" s="2" t="n">
        <v>46278</v>
      </c>
      <c r="J259" t="inlineStr">
        <is>
          <t>Disetujui</t>
        </is>
      </c>
      <c r="K259" t="n">
        <v>30</v>
      </c>
      <c r="L259" t="inlineStr">
        <is>
          <t>13 September 2026</t>
        </is>
      </c>
      <c r="M259" t="inlineStr">
        <is>
          <t>Jasa Rekayasa Pekerjaan Teknik Sipil Sumber Daya Air, Jasa Rekayasa Pekerjaan Teknik Sipil Transportasi</t>
        </is>
      </c>
      <c r="N259" t="inlineStr">
        <is>
          <t>K</t>
        </is>
      </c>
      <c r="O259" t="inlineStr">
        <is>
          <t>20230217, 20230829</t>
        </is>
      </c>
      <c r="P259" t="inlineStr">
        <is>
          <t>Nusa Tenggara Barat</t>
        </is>
      </c>
      <c r="Q259" t="inlineStr"/>
    </row>
    <row r="260">
      <c r="A260" t="inlineStr">
        <is>
          <t>EASTERN BANGUN PERKASA</t>
        </is>
      </c>
      <c r="B260" t="inlineStr">
        <is>
          <t>Kota Palangkaraya</t>
        </is>
      </c>
      <c r="C260" t="inlineStr">
        <is>
          <t>081334070066</t>
        </is>
      </c>
      <c r="D260" t="inlineStr">
        <is>
          <t>cveasternbangunperkasa@gmail.com</t>
        </is>
      </c>
      <c r="E260" t="inlineStr">
        <is>
          <t>https://lpjk.pu.go.id/search-badan-usaha-detail/ZXBITE9VMmYxNHp5elZrenlDdUxJZz09</t>
        </is>
      </c>
      <c r="F260" t="n">
        <v>3</v>
      </c>
      <c r="G260" t="inlineStr">
        <is>
          <t>RK001, RK002, RK003</t>
        </is>
      </c>
      <c r="H260" t="inlineStr">
        <is>
          <t>16 April 2014</t>
        </is>
      </c>
      <c r="I260" s="2" t="n">
        <v>46279</v>
      </c>
      <c r="J260" t="inlineStr">
        <is>
          <t>Disetujui</t>
        </is>
      </c>
      <c r="K260" t="n">
        <v>30</v>
      </c>
      <c r="L260" t="inlineStr">
        <is>
          <t>14 September 2026</t>
        </is>
      </c>
      <c r="M260" t="inlineStr">
        <is>
          <t>Jasa Rekayasa Konstruksi Bangunan Gedung Hunian dan Non Hunian, Jasa Rekayasa Pekerjaan Teknik Sipil Sumber Daya Air, Jasa Rekayasa Pekerjaan Teknik Sipil Transportasi</t>
        </is>
      </c>
      <c r="N260" t="inlineStr">
        <is>
          <t>K</t>
        </is>
      </c>
      <c r="O260" t="inlineStr">
        <is>
          <t>20230724</t>
        </is>
      </c>
      <c r="P260" t="inlineStr">
        <is>
          <t>Kalimantan Tengah</t>
        </is>
      </c>
      <c r="Q260" t="inlineStr"/>
    </row>
    <row r="261">
      <c r="A261" t="inlineStr">
        <is>
          <t>EDELWEISS RAKKA ARJUNA</t>
        </is>
      </c>
      <c r="B261" t="inlineStr">
        <is>
          <t>Kab. Bojonegoro</t>
        </is>
      </c>
      <c r="C261" t="inlineStr">
        <is>
          <t>085158079005</t>
        </is>
      </c>
      <c r="D261" t="inlineStr">
        <is>
          <t>edelweissrakkaarjuna@gmail.com</t>
        </is>
      </c>
      <c r="E261" t="inlineStr">
        <is>
          <t>https://lpjk.pu.go.id/search-badan-usaha-detail/V3pVTmxJMytKMENVaUs5SkxMNXE2Zz09</t>
        </is>
      </c>
      <c r="F261" t="n">
        <v>2</v>
      </c>
      <c r="G261" t="inlineStr">
        <is>
          <t>BG001</t>
        </is>
      </c>
      <c r="H261" t="inlineStr">
        <is>
          <t>6 Desember 2022</t>
        </is>
      </c>
      <c r="I261" s="2" t="n">
        <v>46278</v>
      </c>
      <c r="J261" t="inlineStr">
        <is>
          <t>Disetujui</t>
        </is>
      </c>
      <c r="K261" t="n">
        <v>30</v>
      </c>
      <c r="L261" t="inlineStr">
        <is>
          <t>13 September 2026</t>
        </is>
      </c>
      <c r="M261" t="inlineStr">
        <is>
          <t>Konstruksi Gedung Hunian</t>
        </is>
      </c>
      <c r="N261" t="inlineStr">
        <is>
          <t>K</t>
        </is>
      </c>
      <c r="O261" t="inlineStr">
        <is>
          <t>20230913</t>
        </is>
      </c>
      <c r="P261" t="inlineStr">
        <is>
          <t>Jawa Timur</t>
        </is>
      </c>
      <c r="Q261" t="inlineStr"/>
    </row>
    <row r="262">
      <c r="A262" t="inlineStr">
        <is>
          <t>EKA MAKMUR BERSAMA</t>
        </is>
      </c>
      <c r="B262" t="inlineStr">
        <is>
          <t>Kota Adm. Jakarta Pusat</t>
        </is>
      </c>
      <c r="C262" t="inlineStr">
        <is>
          <t>0214208065</t>
        </is>
      </c>
      <c r="D262" t="inlineStr">
        <is>
          <t>ptekamakmurbersama@gmail.com</t>
        </is>
      </c>
      <c r="E262" t="inlineStr">
        <is>
          <t>https://lpjk.pu.go.id/search-badan-usaha-detail/TDIyQmEzVzltQjRTcVZPdGVsNXpvUT09</t>
        </is>
      </c>
      <c r="F262" t="n">
        <v>1</v>
      </c>
      <c r="G262" t="inlineStr">
        <is>
          <t>PB005</t>
        </is>
      </c>
      <c r="H262" t="inlineStr">
        <is>
          <t>26 Maret 2019</t>
        </is>
      </c>
      <c r="I262" s="2" t="n">
        <v>46280</v>
      </c>
      <c r="J262" t="inlineStr">
        <is>
          <t>Pembekuan</t>
        </is>
      </c>
      <c r="K262" t="n">
        <v>30</v>
      </c>
      <c r="L262" t="inlineStr">
        <is>
          <t>15 September 2026</t>
        </is>
      </c>
      <c r="M262" t="inlineStr">
        <is>
          <t>Pemasangan Ornamen dan Pekerjaan Seni</t>
        </is>
      </c>
      <c r="N262" t="inlineStr">
        <is>
          <t>Spesialis</t>
        </is>
      </c>
      <c r="O262" t="inlineStr">
        <is>
          <t>20230908</t>
        </is>
      </c>
      <c r="P262" t="inlineStr">
        <is>
          <t>DKI Jakarta</t>
        </is>
      </c>
      <c r="Q262" t="inlineStr"/>
    </row>
    <row r="263">
      <c r="A263" t="inlineStr">
        <is>
          <t>ELANG JAYA</t>
        </is>
      </c>
      <c r="B263" t="inlineStr">
        <is>
          <t>Kab. Cirebon</t>
        </is>
      </c>
      <c r="C263" t="inlineStr">
        <is>
          <t>0813 9551 4469</t>
        </is>
      </c>
      <c r="D263" t="inlineStr">
        <is>
          <t>taganamandiri+20@gmail.com</t>
        </is>
      </c>
      <c r="E263" t="inlineStr">
        <is>
          <t>https://lpjk.pu.go.id/search-badan-usaha-detail/cmg2NnNMR3BsOGRHcWNkeXo4WmV1dz09</t>
        </is>
      </c>
      <c r="F263" t="n">
        <v>2</v>
      </c>
      <c r="G263" t="inlineStr">
        <is>
          <t>BS001</t>
        </is>
      </c>
      <c r="H263" t="inlineStr">
        <is>
          <t>6 Oktober 2010</t>
        </is>
      </c>
      <c r="I263" s="2" t="n">
        <v>46283</v>
      </c>
      <c r="J263" t="inlineStr">
        <is>
          <t>Disetujui</t>
        </is>
      </c>
      <c r="K263" t="n">
        <v>30</v>
      </c>
      <c r="L263" t="inlineStr">
        <is>
          <t>18 September 2026</t>
        </is>
      </c>
      <c r="M263" t="inlineStr">
        <is>
          <t>Konstruksi Bangunan Sipil Jalan</t>
        </is>
      </c>
      <c r="N263" t="inlineStr">
        <is>
          <t>K</t>
        </is>
      </c>
      <c r="O263" t="inlineStr">
        <is>
          <t>20230915</t>
        </is>
      </c>
      <c r="P263" t="inlineStr">
        <is>
          <t>Jawa Barat</t>
        </is>
      </c>
      <c r="Q263" t="inlineStr"/>
    </row>
    <row r="264">
      <c r="A264" t="inlineStr">
        <is>
          <t>ELANG JAYA</t>
        </is>
      </c>
      <c r="B264" t="inlineStr">
        <is>
          <t>Kab. Bangkalan</t>
        </is>
      </c>
      <c r="C264" t="inlineStr">
        <is>
          <t>082337120829</t>
        </is>
      </c>
      <c r="D264" t="inlineStr">
        <is>
          <t>cv.elangjaya2104@gmail.com</t>
        </is>
      </c>
      <c r="E264" t="inlineStr">
        <is>
          <t>https://lpjk.pu.go.id/search-badan-usaha-detail/TVE4Q245aHFRa0gzdjVraTc1dUZkdz09</t>
        </is>
      </c>
      <c r="F264" t="n">
        <v>2</v>
      </c>
      <c r="G264" t="inlineStr">
        <is>
          <t>BS004</t>
        </is>
      </c>
      <c r="H264" t="inlineStr">
        <is>
          <t>28 Februari 2014</t>
        </is>
      </c>
      <c r="I264" s="2" t="n">
        <v>46282</v>
      </c>
      <c r="J264" t="inlineStr">
        <is>
          <t>Pencabutan</t>
        </is>
      </c>
      <c r="K264" t="n">
        <v>30</v>
      </c>
      <c r="L264" t="inlineStr">
        <is>
          <t>17 September 2026</t>
        </is>
      </c>
      <c r="M264" t="inlineStr">
        <is>
          <t>Konstruksi Jaringan Irigasi dan Drainase</t>
        </is>
      </c>
      <c r="N264" t="inlineStr">
        <is>
          <t>K</t>
        </is>
      </c>
      <c r="O264" t="inlineStr">
        <is>
          <t>20230707</t>
        </is>
      </c>
      <c r="P264" t="inlineStr">
        <is>
          <t>Jawa Timur</t>
        </is>
      </c>
      <c r="Q264" t="inlineStr"/>
    </row>
    <row r="265">
      <c r="A265" t="inlineStr">
        <is>
          <t>ELKA ABADI</t>
        </is>
      </c>
      <c r="B265" t="inlineStr">
        <is>
          <t>Kab. Madiun</t>
        </is>
      </c>
      <c r="C265" t="inlineStr">
        <is>
          <t>081336883522</t>
        </is>
      </c>
      <c r="D265" t="inlineStr">
        <is>
          <t>elkaabadi22@gmail.com</t>
        </is>
      </c>
      <c r="E265" t="inlineStr">
        <is>
          <t>https://lpjk.pu.go.id/search-badan-usaha-detail/VXU4UTk5ZXJQTmpkUlZXdTBKN2NBZz09</t>
        </is>
      </c>
      <c r="F265" t="n">
        <v>5</v>
      </c>
      <c r="G265" t="inlineStr">
        <is>
          <t>BG005, BG006, BG009, BS001, BS004</t>
        </is>
      </c>
      <c r="H265" t="inlineStr">
        <is>
          <t>5 September 2023</t>
        </is>
      </c>
      <c r="I265" s="2" t="n">
        <v>46282</v>
      </c>
      <c r="J265" t="inlineStr">
        <is>
          <t>Disetujui</t>
        </is>
      </c>
      <c r="K265" t="n">
        <v>30</v>
      </c>
      <c r="L265" t="inlineStr">
        <is>
          <t>17 September 2026</t>
        </is>
      </c>
      <c r="M265" t="inlineStr">
        <is>
          <t>Konstruksi Bangunan Sipil Jalan, Konstruksi Gedung Kesehatan, Konstruksi Gedung Lainnya, Konstruksi Gedung Pendidikan, Konstruksi Jaringan Irigasi dan Drainase</t>
        </is>
      </c>
      <c r="N265" t="inlineStr">
        <is>
          <t>K</t>
        </is>
      </c>
      <c r="O265" t="inlineStr">
        <is>
          <t>20230914, 20230916</t>
        </is>
      </c>
      <c r="P265" t="inlineStr">
        <is>
          <t>Jawa Timur</t>
        </is>
      </c>
      <c r="Q265" t="inlineStr"/>
    </row>
    <row r="266">
      <c r="A266" t="inlineStr">
        <is>
          <t>ELSAMBA PUTRA</t>
        </is>
      </c>
      <c r="B266" t="inlineStr">
        <is>
          <t>Kab. Cilacap</t>
        </is>
      </c>
      <c r="C266" t="inlineStr">
        <is>
          <t>0282545519</t>
        </is>
      </c>
      <c r="D266" t="inlineStr">
        <is>
          <t>elsambaputra@gmail.com</t>
        </is>
      </c>
      <c r="E266" t="inlineStr">
        <is>
          <t>https://lpjk.pu.go.id/search-badan-usaha-detail/NXU5Q1BFR2E2OHRZUXFDekR6eEFUdz09</t>
        </is>
      </c>
      <c r="F266" t="n">
        <v>4</v>
      </c>
      <c r="G266" t="inlineStr">
        <is>
          <t>BG001, BG003, BS004, IN004</t>
        </is>
      </c>
      <c r="H266" t="inlineStr">
        <is>
          <t>22 Juni 2012</t>
        </is>
      </c>
      <c r="I266" s="2" t="n">
        <v>46278</v>
      </c>
      <c r="J266" t="inlineStr">
        <is>
          <t>Disetujui</t>
        </is>
      </c>
      <c r="K266" t="n">
        <v>30</v>
      </c>
      <c r="L266" t="inlineStr">
        <is>
          <t>13 September 2026</t>
        </is>
      </c>
      <c r="M266" t="inlineStr">
        <is>
          <t>Instalasi Minyak dan Gas, Konstruksi Gedung Hunian, Konstruksi Gedung Industri, Konstruksi Jaringan Irigasi dan Drainase</t>
        </is>
      </c>
      <c r="N266" t="inlineStr">
        <is>
          <t>K, M, Spesialis</t>
        </is>
      </c>
      <c r="O266" t="inlineStr">
        <is>
          <t>20230822, 20230907</t>
        </is>
      </c>
      <c r="P266" t="inlineStr">
        <is>
          <t>Jawa Tengah</t>
        </is>
      </c>
      <c r="Q266" t="inlineStr"/>
    </row>
    <row r="267">
      <c r="A267" t="inlineStr">
        <is>
          <t>EMPAT PILAR KONSULTAN</t>
        </is>
      </c>
      <c r="B267" t="inlineStr">
        <is>
          <t>Kab. Lombok Barat</t>
        </is>
      </c>
      <c r="C267" t="inlineStr">
        <is>
          <t>081260779359</t>
        </is>
      </c>
      <c r="D267" t="inlineStr">
        <is>
          <t>empatpilar20@gmail.com</t>
        </is>
      </c>
      <c r="E267" t="inlineStr">
        <is>
          <t>https://lpjk.pu.go.id/search-badan-usaha-detail/ajQ2WVh2NHVCU3RNVEdLenlmdWkvQT09</t>
        </is>
      </c>
      <c r="F267" t="n">
        <v>2</v>
      </c>
      <c r="G267" t="inlineStr">
        <is>
          <t>RK001, RK002</t>
        </is>
      </c>
      <c r="H267" t="inlineStr">
        <is>
          <t>10 Juni 2020</t>
        </is>
      </c>
      <c r="I267" s="2" t="n">
        <v>46278</v>
      </c>
      <c r="J267" t="inlineStr">
        <is>
          <t>Disetujui</t>
        </is>
      </c>
      <c r="K267" t="n">
        <v>30</v>
      </c>
      <c r="L267" t="inlineStr">
        <is>
          <t>13 September 2026</t>
        </is>
      </c>
      <c r="M267" t="inlineStr">
        <is>
          <t>Jasa Rekayasa Konstruksi Bangunan Gedung Hunian dan Non Hunian, Jasa Rekayasa Pekerjaan Teknik Sipil Sumber Daya Air</t>
        </is>
      </c>
      <c r="N267" t="inlineStr">
        <is>
          <t>K</t>
        </is>
      </c>
      <c r="O267" t="inlineStr">
        <is>
          <t>20230821, 20230823</t>
        </is>
      </c>
      <c r="P267" t="inlineStr">
        <is>
          <t>Nusa Tenggara Barat</t>
        </is>
      </c>
      <c r="Q267" t="inlineStr"/>
    </row>
    <row r="268">
      <c r="A268" t="inlineStr">
        <is>
          <t>EMPAT PUTRA BANGSA SEJATI</t>
        </is>
      </c>
      <c r="B268" t="inlineStr">
        <is>
          <t>Kota Bandung</t>
        </is>
      </c>
      <c r="C268" t="inlineStr">
        <is>
          <t>08561198310</t>
        </is>
      </c>
      <c r="D268" t="inlineStr">
        <is>
          <t>empatputrabangsasejati@gmail.com</t>
        </is>
      </c>
      <c r="E268" t="inlineStr">
        <is>
          <t>https://lpjk.pu.go.id/search-badan-usaha-detail/anVVcFZLazRtUVFDZzFkOGYzUXlVZz09</t>
        </is>
      </c>
      <c r="F268" t="n">
        <v>4</v>
      </c>
      <c r="G268" t="inlineStr">
        <is>
          <t>BG005, BG006, BS004, BS009</t>
        </is>
      </c>
      <c r="H268" t="inlineStr">
        <is>
          <t>24 Juli 2023</t>
        </is>
      </c>
      <c r="I268" s="2" t="n">
        <v>46277</v>
      </c>
      <c r="J268" t="inlineStr">
        <is>
          <t>Disetujui</t>
        </is>
      </c>
      <c r="K268" t="n">
        <v>30</v>
      </c>
      <c r="L268" t="inlineStr">
        <is>
          <t>12 September 2026</t>
        </is>
      </c>
      <c r="M268" t="inlineStr">
        <is>
          <t>Konstruksi Gedung Kesehatan, Konstruksi Gedung Pendidikan, Konstruksi Jaringan Irigasi dan Drainase, Konstruksi Sentral Telekomunikasi</t>
        </is>
      </c>
      <c r="N268" t="inlineStr">
        <is>
          <t>K</t>
        </is>
      </c>
      <c r="O268" t="inlineStr">
        <is>
          <t>20230912, 20230913, 20230919</t>
        </is>
      </c>
      <c r="P268" t="inlineStr">
        <is>
          <t>Jawa Barat</t>
        </is>
      </c>
      <c r="Q268" t="inlineStr"/>
    </row>
    <row r="269">
      <c r="A269" t="inlineStr">
        <is>
          <t>ENAM SANDI UTAMA</t>
        </is>
      </c>
      <c r="B269" t="inlineStr">
        <is>
          <t>Kota Padang</t>
        </is>
      </c>
      <c r="C269" t="inlineStr">
        <is>
          <t>08126733441</t>
        </is>
      </c>
      <c r="D269" t="inlineStr">
        <is>
          <t>enamsandiutama@yahoo.co.id</t>
        </is>
      </c>
      <c r="E269" t="inlineStr">
        <is>
          <t>https://lpjk.pu.go.id/search-badan-usaha-detail/R0pLK2JON3JKQmFkT0EvWTdpZHkrdz09</t>
        </is>
      </c>
      <c r="F269" t="n">
        <v>3</v>
      </c>
      <c r="G269" t="inlineStr">
        <is>
          <t>BG003, BG004, BG009</t>
        </is>
      </c>
      <c r="H269" t="inlineStr">
        <is>
          <t>1 Februari 2023</t>
        </is>
      </c>
      <c r="I269" s="2" t="n">
        <v>46279</v>
      </c>
      <c r="J269" t="inlineStr">
        <is>
          <t>Disetujui</t>
        </is>
      </c>
      <c r="K269" t="n">
        <v>30</v>
      </c>
      <c r="L269" t="inlineStr">
        <is>
          <t>14 September 2026</t>
        </is>
      </c>
      <c r="M269" t="inlineStr">
        <is>
          <t>Konstruksi Gedung Industri, Konstruksi Gedung Lainnya, Konstruksi Gedung Perbelanjaan</t>
        </is>
      </c>
      <c r="N269" t="inlineStr">
        <is>
          <t>K</t>
        </is>
      </c>
      <c r="O269" t="inlineStr">
        <is>
          <t>20230911, 20230915</t>
        </is>
      </c>
      <c r="P269" t="inlineStr">
        <is>
          <t>Sumatera Barat</t>
        </is>
      </c>
      <c r="Q269" t="inlineStr"/>
    </row>
    <row r="270">
      <c r="A270" t="inlineStr">
        <is>
          <t>ENAM SATU ENAM PROJECT</t>
        </is>
      </c>
      <c r="B270" t="inlineStr">
        <is>
          <t>Kab. Tanah Bumbu</t>
        </is>
      </c>
      <c r="C270" t="inlineStr">
        <is>
          <t>082251863867</t>
        </is>
      </c>
      <c r="D270" t="inlineStr">
        <is>
          <t>cv.616project@gmail.com</t>
        </is>
      </c>
      <c r="E270" t="inlineStr">
        <is>
          <t>https://lpjk.pu.go.id/search-badan-usaha-detail/QlNMbjhTVnpLRXhDT1pTbi82NENHdz09</t>
        </is>
      </c>
      <c r="F270" t="n">
        <v>1</v>
      </c>
      <c r="G270" t="inlineStr">
        <is>
          <t>BS001</t>
        </is>
      </c>
      <c r="H270" t="inlineStr">
        <is>
          <t>5 November 2021</t>
        </is>
      </c>
      <c r="I270" s="2" t="n">
        <v>46282</v>
      </c>
      <c r="J270" t="inlineStr">
        <is>
          <t>Disetujui</t>
        </is>
      </c>
      <c r="K270" t="n">
        <v>30</v>
      </c>
      <c r="L270" t="inlineStr">
        <is>
          <t>17 September 2026</t>
        </is>
      </c>
      <c r="M270" t="inlineStr">
        <is>
          <t>Konstruksi Bangunan Sipil Jalan</t>
        </is>
      </c>
      <c r="N270" t="inlineStr">
        <is>
          <t>K</t>
        </is>
      </c>
      <c r="O270" t="inlineStr">
        <is>
          <t>20230912</t>
        </is>
      </c>
      <c r="P270" t="inlineStr">
        <is>
          <t>Kalimantan Selatan</t>
        </is>
      </c>
      <c r="Q270" t="inlineStr"/>
    </row>
    <row r="271">
      <c r="A271" t="inlineStr">
        <is>
          <t>ENJINIRING PILAR CAKRAWALA</t>
        </is>
      </c>
      <c r="B271" t="inlineStr">
        <is>
          <t>Kota Bandung</t>
        </is>
      </c>
      <c r="C271" t="inlineStr">
        <is>
          <t>082121926548</t>
        </is>
      </c>
      <c r="D271" t="inlineStr">
        <is>
          <t>admin@epicstudio.co.id</t>
        </is>
      </c>
      <c r="E271" t="inlineStr">
        <is>
          <t>https://lpjk.pu.go.id/search-badan-usaha-detail/VnZqdTZ3UlRLUkdnNmlvakVsL0dOdz09</t>
        </is>
      </c>
      <c r="F271" t="n">
        <v>2</v>
      </c>
      <c r="G271" t="inlineStr">
        <is>
          <t>RK003</t>
        </is>
      </c>
      <c r="H271" t="inlineStr">
        <is>
          <t>7 November 2017</t>
        </is>
      </c>
      <c r="I271" s="2" t="n">
        <v>46278</v>
      </c>
      <c r="J271" t="inlineStr">
        <is>
          <t>Disetujui</t>
        </is>
      </c>
      <c r="K271" t="n">
        <v>30</v>
      </c>
      <c r="L271" t="inlineStr">
        <is>
          <t>13 September 2026</t>
        </is>
      </c>
      <c r="M271" t="inlineStr">
        <is>
          <t>Jasa Rekayasa Pekerjaan Teknik Sipil Transportasi</t>
        </is>
      </c>
      <c r="N271" t="inlineStr">
        <is>
          <t>K</t>
        </is>
      </c>
      <c r="O271" t="inlineStr">
        <is>
          <t>20230829</t>
        </is>
      </c>
      <c r="P271" t="inlineStr">
        <is>
          <t>Jawa Barat</t>
        </is>
      </c>
      <c r="Q271" t="inlineStr"/>
    </row>
    <row r="272">
      <c r="A272" t="inlineStr">
        <is>
          <t>EWAKO BORNEO</t>
        </is>
      </c>
      <c r="B272" t="inlineStr">
        <is>
          <t>Kota Balikpapan</t>
        </is>
      </c>
      <c r="C272" t="inlineStr">
        <is>
          <t>085341914828</t>
        </is>
      </c>
      <c r="D272" t="inlineStr">
        <is>
          <t>ewakoborneocv@gmail.com</t>
        </is>
      </c>
      <c r="E272" t="inlineStr">
        <is>
          <t>https://lpjk.pu.go.id/search-badan-usaha-detail/VUMrUFNhMzhCTzBjVHpRTlI1YTNTUT09</t>
        </is>
      </c>
      <c r="F272" t="n">
        <v>2</v>
      </c>
      <c r="G272" t="inlineStr">
        <is>
          <t>BG005, BG009</t>
        </is>
      </c>
      <c r="H272" t="inlineStr">
        <is>
          <t>9 Januari 2021</t>
        </is>
      </c>
      <c r="I272" s="2" t="n">
        <v>46277</v>
      </c>
      <c r="J272" t="inlineStr">
        <is>
          <t>Disetujui</t>
        </is>
      </c>
      <c r="K272" t="n">
        <v>30</v>
      </c>
      <c r="L272" t="inlineStr">
        <is>
          <t>12 September 2026</t>
        </is>
      </c>
      <c r="M272" t="inlineStr">
        <is>
          <t>Konstruksi Gedung Kesehatan, Konstruksi Gedung Lainnya</t>
        </is>
      </c>
      <c r="N272" t="inlineStr">
        <is>
          <t>K</t>
        </is>
      </c>
      <c r="O272" t="inlineStr">
        <is>
          <t>20230912</t>
        </is>
      </c>
      <c r="P272" t="inlineStr">
        <is>
          <t>Kalimantan Timur</t>
        </is>
      </c>
      <c r="Q272" t="inlineStr"/>
    </row>
    <row r="273">
      <c r="A273" t="inlineStr">
        <is>
          <t>FADIRA PERDANA</t>
        </is>
      </c>
      <c r="B273" t="inlineStr">
        <is>
          <t>Kab. Malang</t>
        </is>
      </c>
      <c r="C273" t="inlineStr">
        <is>
          <t>081332452338</t>
        </is>
      </c>
      <c r="D273" t="inlineStr">
        <is>
          <t>fadiraperdana@gmail.com</t>
        </is>
      </c>
      <c r="E273" t="inlineStr">
        <is>
          <t>https://lpjk.pu.go.id/search-badan-usaha-detail/eEZkN1Y4dzZhcGFtZ09oYU9hazg3dz09</t>
        </is>
      </c>
      <c r="F273" t="n">
        <v>1</v>
      </c>
      <c r="G273" t="inlineStr">
        <is>
          <t>RK005</t>
        </is>
      </c>
      <c r="H273" t="inlineStr">
        <is>
          <t>22 Februari 2017</t>
        </is>
      </c>
      <c r="I273" s="2" t="n">
        <v>46283</v>
      </c>
      <c r="J273" t="inlineStr">
        <is>
          <t>Disetujui</t>
        </is>
      </c>
      <c r="K273" t="n">
        <v>30</v>
      </c>
      <c r="L273" t="inlineStr">
        <is>
          <t>18 September 2026</t>
        </is>
      </c>
      <c r="M273" t="inlineStr">
        <is>
          <t>Jasa Rekayasa Lainnya</t>
        </is>
      </c>
      <c r="N273" t="inlineStr">
        <is>
          <t>K</t>
        </is>
      </c>
      <c r="O273" t="inlineStr">
        <is>
          <t>20230911</t>
        </is>
      </c>
      <c r="P273" t="inlineStr">
        <is>
          <t>Jawa Timur</t>
        </is>
      </c>
      <c r="Q273" t="inlineStr"/>
    </row>
    <row r="274">
      <c r="A274" t="inlineStr">
        <is>
          <t>FAJAR FADILAH</t>
        </is>
      </c>
      <c r="B274" t="inlineStr">
        <is>
          <t>Kota Malang</t>
        </is>
      </c>
      <c r="C274" t="inlineStr">
        <is>
          <t>08123356095</t>
        </is>
      </c>
      <c r="D274" t="inlineStr">
        <is>
          <t>fajarfadilah.cv@gmail.com</t>
        </is>
      </c>
      <c r="E274" t="inlineStr">
        <is>
          <t>https://lpjk.pu.go.id/search-badan-usaha-detail/VGY4enp1SzEvVXZXT0swbU43ZDVOdz09</t>
        </is>
      </c>
      <c r="F274" t="n">
        <v>1</v>
      </c>
      <c r="G274" t="inlineStr">
        <is>
          <t>BS001</t>
        </is>
      </c>
      <c r="H274" t="inlineStr">
        <is>
          <t>17 Januari 2008</t>
        </is>
      </c>
      <c r="I274" s="2" t="n">
        <v>46277</v>
      </c>
      <c r="J274" t="inlineStr">
        <is>
          <t>Disetujui</t>
        </is>
      </c>
      <c r="K274" t="n">
        <v>30</v>
      </c>
      <c r="L274" t="inlineStr">
        <is>
          <t>12 September 2026</t>
        </is>
      </c>
      <c r="M274" t="inlineStr">
        <is>
          <t>Konstruksi Bangunan Sipil Jalan</t>
        </is>
      </c>
      <c r="N274" t="inlineStr">
        <is>
          <t>K</t>
        </is>
      </c>
      <c r="O274" t="inlineStr">
        <is>
          <t>20230821</t>
        </is>
      </c>
      <c r="P274" t="inlineStr">
        <is>
          <t>Jawa Timur</t>
        </is>
      </c>
      <c r="Q274" t="inlineStr"/>
    </row>
    <row r="275">
      <c r="A275" t="inlineStr">
        <is>
          <t>FAJAR KUTIM</t>
        </is>
      </c>
      <c r="B275" t="inlineStr">
        <is>
          <t>Kab. Kutai Timur</t>
        </is>
      </c>
      <c r="C275" t="inlineStr">
        <is>
          <t>081350332811</t>
        </is>
      </c>
      <c r="D275" t="inlineStr">
        <is>
          <t>fajarkutimcv@gmail.com</t>
        </is>
      </c>
      <c r="E275" t="inlineStr">
        <is>
          <t>https://lpjk.pu.go.id/search-badan-usaha-detail/ZStRWTBOUndlVkN4S2lLc04rOFA4dz09</t>
        </is>
      </c>
      <c r="F275" t="n">
        <v>1</v>
      </c>
      <c r="G275" t="inlineStr">
        <is>
          <t>BG002</t>
        </is>
      </c>
      <c r="H275" t="inlineStr">
        <is>
          <t>10 Februari 2011</t>
        </is>
      </c>
      <c r="I275" s="2" t="n">
        <v>46279</v>
      </c>
      <c r="J275" t="inlineStr">
        <is>
          <t>Disetujui</t>
        </is>
      </c>
      <c r="K275" t="n">
        <v>30</v>
      </c>
      <c r="L275" t="inlineStr">
        <is>
          <t>14 September 2026</t>
        </is>
      </c>
      <c r="M275" t="inlineStr">
        <is>
          <t>Konstruksi Gedung Perkantoran</t>
        </is>
      </c>
      <c r="N275" t="inlineStr">
        <is>
          <t>K</t>
        </is>
      </c>
      <c r="O275" t="inlineStr">
        <is>
          <t>20230911</t>
        </is>
      </c>
      <c r="P275" t="inlineStr">
        <is>
          <t>Kalimantan Timur</t>
        </is>
      </c>
      <c r="Q275" t="inlineStr"/>
    </row>
    <row r="276">
      <c r="A276" t="inlineStr">
        <is>
          <t>FAJAR PRATAMA TEKNIK</t>
        </is>
      </c>
      <c r="B276" t="inlineStr">
        <is>
          <t>Kota Bontang</t>
        </is>
      </c>
      <c r="C276" t="inlineStr">
        <is>
          <t>081350998989</t>
        </is>
      </c>
      <c r="D276" t="inlineStr">
        <is>
          <t>famatek007@gmail.com</t>
        </is>
      </c>
      <c r="E276" t="inlineStr">
        <is>
          <t>https://lpjk.pu.go.id/search-badan-usaha-detail/ZSt1MGZVa3ZmUzNFQUF1ZnlOWXJoQT09</t>
        </is>
      </c>
      <c r="F276" t="n">
        <v>4</v>
      </c>
      <c r="G276" t="inlineStr">
        <is>
          <t>BG002, BG005, BG006, BG009</t>
        </is>
      </c>
      <c r="H276" t="inlineStr">
        <is>
          <t>7 Juli 2007</t>
        </is>
      </c>
      <c r="I276" s="2" t="n">
        <v>46282</v>
      </c>
      <c r="J276" t="inlineStr">
        <is>
          <t>Disetujui</t>
        </is>
      </c>
      <c r="K276" t="n">
        <v>30</v>
      </c>
      <c r="L276" t="inlineStr">
        <is>
          <t>17 September 2026</t>
        </is>
      </c>
      <c r="M276" t="inlineStr">
        <is>
          <t>Konstruksi Gedung Kesehatan, Konstruksi Gedung Lainnya, Konstruksi Gedung Pendidikan, Konstruksi Gedung Perkantoran</t>
        </is>
      </c>
      <c r="N276" t="inlineStr">
        <is>
          <t>K</t>
        </is>
      </c>
      <c r="O276" t="inlineStr">
        <is>
          <t>20230911, 20230912</t>
        </is>
      </c>
      <c r="P276" t="inlineStr">
        <is>
          <t>Kalimantan Timur</t>
        </is>
      </c>
      <c r="Q276" t="inlineStr"/>
    </row>
    <row r="277">
      <c r="A277" t="inlineStr">
        <is>
          <t>FAMILY JAYA LESTARI</t>
        </is>
      </c>
      <c r="B277" t="inlineStr">
        <is>
          <t>Kab. Kayong Utara</t>
        </is>
      </c>
      <c r="C277" t="inlineStr">
        <is>
          <t>081247533290</t>
        </is>
      </c>
      <c r="D277" t="inlineStr">
        <is>
          <t>familyjayalestari89@gmail.com</t>
        </is>
      </c>
      <c r="E277" t="inlineStr">
        <is>
          <t>https://lpjk.pu.go.id/search-badan-usaha-detail/SXNmK0REY2NEbm5ELzE3UTBLV2RsZz09</t>
        </is>
      </c>
      <c r="F277" t="n">
        <v>3</v>
      </c>
      <c r="G277" t="inlineStr">
        <is>
          <t>BG009, BS001, BS004</t>
        </is>
      </c>
      <c r="H277" t="inlineStr">
        <is>
          <t>7 Januari 2014</t>
        </is>
      </c>
      <c r="I277" s="2" t="n">
        <v>46279</v>
      </c>
      <c r="J277" t="inlineStr">
        <is>
          <t>Disetujui</t>
        </is>
      </c>
      <c r="K277" t="n">
        <v>30</v>
      </c>
      <c r="L277" t="inlineStr">
        <is>
          <t>14 September 2026</t>
        </is>
      </c>
      <c r="M277" t="inlineStr">
        <is>
          <t>Konstruksi Bangunan Sipil Jalan, Konstruksi Gedung Lainnya, Konstruksi Jaringan Irigasi dan Drainase</t>
        </is>
      </c>
      <c r="N277" t="inlineStr">
        <is>
          <t>K</t>
        </is>
      </c>
      <c r="O277" t="inlineStr">
        <is>
          <t>20230805, 20230824, 20230829</t>
        </is>
      </c>
      <c r="P277" t="inlineStr">
        <is>
          <t>Kalimantan Barat</t>
        </is>
      </c>
      <c r="Q277" t="inlineStr"/>
    </row>
    <row r="278">
      <c r="A278" t="inlineStr">
        <is>
          <t>FAQIH ENGINEER KONSULTAN</t>
        </is>
      </c>
      <c r="B278" t="inlineStr">
        <is>
          <t>Kota Tarakan</t>
        </is>
      </c>
      <c r="C278" t="inlineStr">
        <is>
          <t>085347007273</t>
        </is>
      </c>
      <c r="D278" t="inlineStr">
        <is>
          <t>Fek.engineer@yahoo.com</t>
        </is>
      </c>
      <c r="E278" t="inlineStr">
        <is>
          <t>https://lpjk.pu.go.id/search-badan-usaha-detail/M1l1TUJueTAwaU9LbnBjZXFVd0tTZz09</t>
        </is>
      </c>
      <c r="F278" t="n">
        <v>1</v>
      </c>
      <c r="G278" t="inlineStr">
        <is>
          <t>RT002</t>
        </is>
      </c>
      <c r="H278" t="inlineStr">
        <is>
          <t>30 Januari 2020</t>
        </is>
      </c>
      <c r="I278" s="2" t="n">
        <v>46278</v>
      </c>
      <c r="J278" t="inlineStr">
        <is>
          <t>Disetujui</t>
        </is>
      </c>
      <c r="K278" t="n">
        <v>30</v>
      </c>
      <c r="L278" t="inlineStr">
        <is>
          <t>13 September 2026</t>
        </is>
      </c>
      <c r="M278" t="inlineStr">
        <is>
          <t>Jasa Rekayasa Konstruksi Pembangkit, Jaringan Transmisi, Gardu Induk, dan Distribusi Tenaga Listrik</t>
        </is>
      </c>
      <c r="N278" t="inlineStr">
        <is>
          <t>K</t>
        </is>
      </c>
      <c r="O278" t="inlineStr">
        <is>
          <t>20230905</t>
        </is>
      </c>
      <c r="P278" t="inlineStr">
        <is>
          <t>Kalimantan Utara</t>
        </is>
      </c>
      <c r="Q278" t="inlineStr"/>
    </row>
    <row r="279">
      <c r="A279" t="inlineStr">
        <is>
          <t>FARHAN KAGO</t>
        </is>
      </c>
      <c r="B279" t="inlineStr">
        <is>
          <t>Kab. Sijunjung</t>
        </is>
      </c>
      <c r="C279" t="inlineStr">
        <is>
          <t>081267329090</t>
        </is>
      </c>
      <c r="D279" t="inlineStr">
        <is>
          <t>edisonchansjj19@gmail.com</t>
        </is>
      </c>
      <c r="E279" t="inlineStr">
        <is>
          <t>https://lpjk.pu.go.id/search-badan-usaha-detail/cVZqWDZsWGJpeURTb2RZQXNlN1lRUT09</t>
        </is>
      </c>
      <c r="F279" t="n">
        <v>3</v>
      </c>
      <c r="G279" t="inlineStr">
        <is>
          <t>BG001, BG005, BG006</t>
        </is>
      </c>
      <c r="H279" t="inlineStr">
        <is>
          <t>15 Januari 2015</t>
        </is>
      </c>
      <c r="I279" s="2" t="n">
        <v>46281</v>
      </c>
      <c r="J279" t="inlineStr">
        <is>
          <t>Disetujui</t>
        </is>
      </c>
      <c r="K279" t="n">
        <v>30</v>
      </c>
      <c r="L279" t="inlineStr">
        <is>
          <t>16 September 2026</t>
        </is>
      </c>
      <c r="M279" t="inlineStr">
        <is>
          <t>Konstruksi Gedung Hunian, Konstruksi Gedung Kesehatan, Konstruksi Gedung Pendidikan</t>
        </is>
      </c>
      <c r="N279" t="inlineStr">
        <is>
          <t>K</t>
        </is>
      </c>
      <c r="O279" t="inlineStr">
        <is>
          <t>20230907, 20230910</t>
        </is>
      </c>
      <c r="P279" t="inlineStr">
        <is>
          <t>Sumatera Barat</t>
        </is>
      </c>
      <c r="Q279" t="inlineStr"/>
    </row>
    <row r="280">
      <c r="A280" t="inlineStr">
        <is>
          <t>FARIZ JASA CONTRACTORS</t>
        </is>
      </c>
      <c r="B280" t="inlineStr">
        <is>
          <t>Kab. Tanjung Jabung Barat</t>
        </is>
      </c>
      <c r="C280" t="inlineStr">
        <is>
          <t>081278227313</t>
        </is>
      </c>
      <c r="D280" t="inlineStr">
        <is>
          <t>farizjasa2009@gmail.com</t>
        </is>
      </c>
      <c r="E280" t="inlineStr">
        <is>
          <t>https://lpjk.pu.go.id/search-badan-usaha-detail/alhaeHFMSStnN2dVN0UrQnJLRTREdz09</t>
        </is>
      </c>
      <c r="F280" t="n">
        <v>1</v>
      </c>
      <c r="G280" t="inlineStr">
        <is>
          <t>BG002</t>
        </is>
      </c>
      <c r="H280" t="inlineStr">
        <is>
          <t>19 Agustus 2009</t>
        </is>
      </c>
      <c r="I280" s="2" t="n">
        <v>46282</v>
      </c>
      <c r="J280" t="inlineStr">
        <is>
          <t>Disetujui</t>
        </is>
      </c>
      <c r="K280" t="n">
        <v>30</v>
      </c>
      <c r="L280" t="inlineStr">
        <is>
          <t>17 September 2026</t>
        </is>
      </c>
      <c r="M280" t="inlineStr">
        <is>
          <t>Konstruksi Gedung Perkantoran</t>
        </is>
      </c>
      <c r="N280" t="inlineStr">
        <is>
          <t>K</t>
        </is>
      </c>
      <c r="O280" t="inlineStr">
        <is>
          <t>20230912</t>
        </is>
      </c>
      <c r="P280" t="inlineStr">
        <is>
          <t>Jambi</t>
        </is>
      </c>
      <c r="Q280" t="inlineStr"/>
    </row>
    <row r="281">
      <c r="A281" t="inlineStr">
        <is>
          <t>FASCA</t>
        </is>
      </c>
      <c r="B281" t="inlineStr">
        <is>
          <t>Kab. Sukabumi</t>
        </is>
      </c>
      <c r="C281" t="inlineStr">
        <is>
          <t>0266225217</t>
        </is>
      </c>
      <c r="D281" t="inlineStr">
        <is>
          <t>farid58fasca@gmail.com</t>
        </is>
      </c>
      <c r="E281" t="inlineStr">
        <is>
          <t>https://lpjk.pu.go.id/search-badan-usaha-detail/VGlIZXI5aUtOQUxqSGNaYlJyeVkzUT09</t>
        </is>
      </c>
      <c r="F281" t="n">
        <v>1</v>
      </c>
      <c r="G281" t="inlineStr">
        <is>
          <t>BS002</t>
        </is>
      </c>
      <c r="H281" t="inlineStr">
        <is>
          <t>10 April 2019</t>
        </is>
      </c>
      <c r="I281" s="2" t="n">
        <v>46283</v>
      </c>
      <c r="J281" t="inlineStr">
        <is>
          <t>Disetujui</t>
        </is>
      </c>
      <c r="K281" t="n">
        <v>30</v>
      </c>
      <c r="L281" t="inlineStr">
        <is>
          <t>18 September 2026</t>
        </is>
      </c>
      <c r="M281" t="inlineStr">
        <is>
          <t>Bangunan Sipil Jembatan, Jalan Layang, Fly Over, dan Underpass</t>
        </is>
      </c>
      <c r="N281" t="inlineStr">
        <is>
          <t>K</t>
        </is>
      </c>
      <c r="O281" t="inlineStr">
        <is>
          <t>20230915</t>
        </is>
      </c>
      <c r="P281" t="inlineStr">
        <is>
          <t>Jawa Barat</t>
        </is>
      </c>
      <c r="Q281" t="inlineStr"/>
    </row>
    <row r="282">
      <c r="A282" t="inlineStr">
        <is>
          <t>FITRAH JAYA ABADI</t>
        </is>
      </c>
      <c r="B282" t="inlineStr">
        <is>
          <t>Kota Sukabumi</t>
        </is>
      </c>
      <c r="C282" t="inlineStr">
        <is>
          <t>085846931666</t>
        </is>
      </c>
      <c r="D282" t="inlineStr">
        <is>
          <t>sopyanhadi1209@gmail.com</t>
        </is>
      </c>
      <c r="E282" t="inlineStr">
        <is>
          <t>https://lpjk.pu.go.id/search-badan-usaha-detail/SkVtbW9xMk9qT1B0WFBYS3BScXZmdz09</t>
        </is>
      </c>
      <c r="F282" t="n">
        <v>2</v>
      </c>
      <c r="G282" t="inlineStr">
        <is>
          <t>BS001, BS004</t>
        </is>
      </c>
      <c r="H282" t="inlineStr">
        <is>
          <t>8 Mei 2009</t>
        </is>
      </c>
      <c r="I282" s="2" t="n">
        <v>46279</v>
      </c>
      <c r="J282" t="inlineStr">
        <is>
          <t>Disetujui</t>
        </is>
      </c>
      <c r="K282" t="n">
        <v>30</v>
      </c>
      <c r="L282" t="inlineStr">
        <is>
          <t>14 September 2026</t>
        </is>
      </c>
      <c r="M282" t="inlineStr">
        <is>
          <t>Konstruksi Bangunan Sipil Jalan, Konstruksi Jaringan Irigasi dan Drainase</t>
        </is>
      </c>
      <c r="N282" t="inlineStr">
        <is>
          <t>K</t>
        </is>
      </c>
      <c r="O282" t="inlineStr">
        <is>
          <t>20230912</t>
        </is>
      </c>
      <c r="P282" t="inlineStr">
        <is>
          <t>Jawa Barat</t>
        </is>
      </c>
      <c r="Q282" t="inlineStr"/>
    </row>
    <row r="283">
      <c r="A283" t="inlineStr">
        <is>
          <t>FOURGIN MUTIARA BERSAMA</t>
        </is>
      </c>
      <c r="B283" t="inlineStr">
        <is>
          <t>Kab. Pandeglang</t>
        </is>
      </c>
      <c r="C283" t="inlineStr">
        <is>
          <t>087772540049</t>
        </is>
      </c>
      <c r="D283" t="inlineStr">
        <is>
          <t>adm.fmbcv@gmail.com</t>
        </is>
      </c>
      <c r="E283" t="inlineStr">
        <is>
          <t>https://lpjk.pu.go.id/search-badan-usaha-detail/VG1Rb1RyR1JWK1pDTGNqQWhnMTNkdz09</t>
        </is>
      </c>
      <c r="F283" t="n">
        <v>5</v>
      </c>
      <c r="G283" t="inlineStr">
        <is>
          <t>BG005, BG006, BG009, BS001, BS004</t>
        </is>
      </c>
      <c r="H283" t="inlineStr">
        <is>
          <t>4 Agustus 2023</t>
        </is>
      </c>
      <c r="I283" s="2" t="n">
        <v>46279</v>
      </c>
      <c r="J283" t="inlineStr">
        <is>
          <t>Disetujui</t>
        </is>
      </c>
      <c r="K283" t="n">
        <v>30</v>
      </c>
      <c r="L283" t="inlineStr">
        <is>
          <t>14 September 2026</t>
        </is>
      </c>
      <c r="M283" t="inlineStr">
        <is>
          <t>Konstruksi Bangunan Sipil Jalan, Konstruksi Gedung Kesehatan, Konstruksi Gedung Lainnya, Konstruksi Gedung Pendidikan, Konstruksi Jaringan Irigasi dan Drainase</t>
        </is>
      </c>
      <c r="N283" t="inlineStr">
        <is>
          <t>K</t>
        </is>
      </c>
      <c r="O283" t="inlineStr">
        <is>
          <t>20230811</t>
        </is>
      </c>
      <c r="P283" t="inlineStr">
        <is>
          <t>Banten</t>
        </is>
      </c>
      <c r="Q283" t="inlineStr"/>
    </row>
    <row r="284">
      <c r="A284" t="inlineStr">
        <is>
          <t>GALAXY EKSEKUTIF KONTRAKTOR</t>
        </is>
      </c>
      <c r="B284" t="inlineStr">
        <is>
          <t>Kab. Tanah Bumbu</t>
        </is>
      </c>
      <c r="C284" t="inlineStr">
        <is>
          <t>082346127576</t>
        </is>
      </c>
      <c r="D284" t="inlineStr">
        <is>
          <t>galaxyeksekutifkontraktor@gmail.com</t>
        </is>
      </c>
      <c r="E284" t="inlineStr">
        <is>
          <t>https://lpjk.pu.go.id/search-badan-usaha-detail/ZkZKM1l5MmZEVGNqOWlDU1dPblMyQT09</t>
        </is>
      </c>
      <c r="F284" t="n">
        <v>5</v>
      </c>
      <c r="G284" t="inlineStr">
        <is>
          <t>BG002, BG005, BG006, BG009, BS001</t>
        </is>
      </c>
      <c r="H284" t="inlineStr">
        <is>
          <t>27 Desember 2022</t>
        </is>
      </c>
      <c r="I284" s="2" t="n">
        <v>46282</v>
      </c>
      <c r="J284" t="inlineStr">
        <is>
          <t>Disetujui</t>
        </is>
      </c>
      <c r="K284" t="n">
        <v>30</v>
      </c>
      <c r="L284" t="inlineStr">
        <is>
          <t>17 September 2026</t>
        </is>
      </c>
      <c r="M284" t="inlineStr">
        <is>
          <t>Konstruksi Bangunan Sipil Jalan, Konstruksi Gedung Kesehatan, Konstruksi Gedung Lainnya, Konstruksi Gedung Pendidikan, Konstruksi Gedung Perkantoran</t>
        </is>
      </c>
      <c r="N284" t="inlineStr">
        <is>
          <t>K</t>
        </is>
      </c>
      <c r="O284" t="inlineStr">
        <is>
          <t>20230915, 20230916</t>
        </is>
      </c>
      <c r="P284" t="inlineStr">
        <is>
          <t>Kalimantan Selatan</t>
        </is>
      </c>
      <c r="Q284" t="inlineStr"/>
    </row>
    <row r="285">
      <c r="A285" t="inlineStr">
        <is>
          <t>GALIH KENCANA</t>
        </is>
      </c>
      <c r="B285" t="inlineStr">
        <is>
          <t>Kab. Bandung</t>
        </is>
      </c>
      <c r="C285" t="inlineStr">
        <is>
          <t>0226010155</t>
        </is>
      </c>
      <c r="D285" t="inlineStr">
        <is>
          <t>rianakencana89@yahoo.com</t>
        </is>
      </c>
      <c r="E285" t="inlineStr">
        <is>
          <t>https://lpjk.pu.go.id/search-badan-usaha-detail/S0l6MlNKOEpqYmQ1cnpkK1ZVSFNLZz09</t>
        </is>
      </c>
      <c r="F285" t="n">
        <v>2</v>
      </c>
      <c r="G285" t="inlineStr">
        <is>
          <t>BG004</t>
        </is>
      </c>
      <c r="H285" t="inlineStr">
        <is>
          <t>11 Februari 1986</t>
        </is>
      </c>
      <c r="I285" s="2" t="n">
        <v>46282</v>
      </c>
      <c r="J285" t="inlineStr">
        <is>
          <t>Pencabutan</t>
        </is>
      </c>
      <c r="K285" t="n">
        <v>30</v>
      </c>
      <c r="L285" t="inlineStr">
        <is>
          <t>17 September 2026</t>
        </is>
      </c>
      <c r="M285" t="inlineStr">
        <is>
          <t>Konstruksi Gedung Perbelanjaan</t>
        </is>
      </c>
      <c r="N285" t="inlineStr">
        <is>
          <t>K</t>
        </is>
      </c>
      <c r="O285" t="inlineStr">
        <is>
          <t>20230914</t>
        </is>
      </c>
      <c r="P285" t="inlineStr">
        <is>
          <t>Jawa Barat</t>
        </is>
      </c>
      <c r="Q285" t="inlineStr"/>
    </row>
    <row r="286">
      <c r="A286" t="inlineStr">
        <is>
          <t>GARUDA SAKTI SUMATERA</t>
        </is>
      </c>
      <c r="B286" t="inlineStr">
        <is>
          <t>Kota Jambi</t>
        </is>
      </c>
      <c r="C286" t="inlineStr">
        <is>
          <t>082278300851</t>
        </is>
      </c>
      <c r="D286" t="inlineStr">
        <is>
          <t>garudasaktisumatera@gmail.com</t>
        </is>
      </c>
      <c r="E286" t="inlineStr">
        <is>
          <t>https://lpjk.pu.go.id/search-badan-usaha-detail/RFNpaXVHTTRvSFNMQjloSFVNdUJLUT09</t>
        </is>
      </c>
      <c r="F286" t="n">
        <v>1</v>
      </c>
      <c r="G286" t="inlineStr">
        <is>
          <t>BS006</t>
        </is>
      </c>
      <c r="H286" t="inlineStr">
        <is>
          <t>26 Juni 2023</t>
        </is>
      </c>
      <c r="I286" s="2" t="n">
        <v>46279</v>
      </c>
      <c r="J286" t="inlineStr">
        <is>
          <t>Pencabutan</t>
        </is>
      </c>
      <c r="K286" t="n">
        <v>30</v>
      </c>
      <c r="L286" t="inlineStr">
        <is>
          <t>14 September 2026</t>
        </is>
      </c>
      <c r="M286" t="inlineStr">
        <is>
          <t>Konstruksi Bangunan Sipil Prasarana dan Sarana Sistem Pengolahan Limbah Padat, Cair, dan Gas</t>
        </is>
      </c>
      <c r="N286" t="inlineStr">
        <is>
          <t>K</t>
        </is>
      </c>
      <c r="O286" t="inlineStr">
        <is>
          <t>20230912</t>
        </is>
      </c>
      <c r="P286" t="inlineStr">
        <is>
          <t>Jambi</t>
        </is>
      </c>
      <c r="Q286" t="inlineStr"/>
    </row>
    <row r="287">
      <c r="A287" t="inlineStr">
        <is>
          <t>GEMILANG</t>
        </is>
      </c>
      <c r="B287" t="inlineStr">
        <is>
          <t>Kab. Tulungagung</t>
        </is>
      </c>
      <c r="C287" t="inlineStr">
        <is>
          <t>082131673059</t>
        </is>
      </c>
      <c r="D287" t="inlineStr">
        <is>
          <t>gemilang_tulungagung@yahoo.com</t>
        </is>
      </c>
      <c r="E287" t="inlineStr">
        <is>
          <t>https://lpjk.pu.go.id/search-badan-usaha-detail/ZWJ6NVNMc2NjR09aT0RiUWorR2xxdz09</t>
        </is>
      </c>
      <c r="F287" t="n">
        <v>6</v>
      </c>
      <c r="G287" t="inlineStr">
        <is>
          <t>BG009, BS005</t>
        </is>
      </c>
      <c r="H287" t="inlineStr">
        <is>
          <t>8 Desember 1999</t>
        </is>
      </c>
      <c r="I287" s="2" t="n">
        <v>46279</v>
      </c>
      <c r="J287" t="inlineStr">
        <is>
          <t>Disetujui</t>
        </is>
      </c>
      <c r="K287" t="n">
        <v>30</v>
      </c>
      <c r="L287" t="inlineStr">
        <is>
          <t>14 September 2026</t>
        </is>
      </c>
      <c r="M287" t="inlineStr">
        <is>
          <t>Konstruksi Bangunan Sipil Pengolahan Air Bersih, Konstruksi Gedung Lainnya</t>
        </is>
      </c>
      <c r="N287" t="inlineStr">
        <is>
          <t>K</t>
        </is>
      </c>
      <c r="O287" t="inlineStr">
        <is>
          <t>20230908</t>
        </is>
      </c>
      <c r="P287" t="inlineStr">
        <is>
          <t>Jawa Timur</t>
        </is>
      </c>
      <c r="Q287" t="inlineStr"/>
    </row>
    <row r="288">
      <c r="A288" t="inlineStr">
        <is>
          <t>GEO BIM INDONESIA</t>
        </is>
      </c>
      <c r="B288" t="inlineStr">
        <is>
          <t>Kab. Sleman</t>
        </is>
      </c>
      <c r="C288" t="inlineStr">
        <is>
          <t>082112286587</t>
        </is>
      </c>
      <c r="D288" t="inlineStr">
        <is>
          <t>admin@geobimindonesia.com</t>
        </is>
      </c>
      <c r="E288" t="inlineStr">
        <is>
          <t>https://lpjk.pu.go.id/search-badan-usaha-detail/NmpwZ0pvckFpcG5pNmJWd0NvVFBaUT09</t>
        </is>
      </c>
      <c r="F288" t="n">
        <v>1</v>
      </c>
      <c r="G288" t="inlineStr">
        <is>
          <t>RK003</t>
        </is>
      </c>
      <c r="H288" t="inlineStr">
        <is>
          <t>3 April 2023</t>
        </is>
      </c>
      <c r="I288" s="2" t="n">
        <v>46277</v>
      </c>
      <c r="J288" t="inlineStr">
        <is>
          <t>Disetujui</t>
        </is>
      </c>
      <c r="K288" t="n">
        <v>30</v>
      </c>
      <c r="L288" t="inlineStr">
        <is>
          <t>12 September 2026</t>
        </is>
      </c>
      <c r="M288" t="inlineStr">
        <is>
          <t>Jasa Rekayasa Pekerjaan Teknik Sipil Transportasi</t>
        </is>
      </c>
      <c r="N288" t="inlineStr">
        <is>
          <t>K</t>
        </is>
      </c>
      <c r="O288" t="inlineStr">
        <is>
          <t>20230906</t>
        </is>
      </c>
      <c r="P288" t="inlineStr">
        <is>
          <t>DI Yogyakarta</t>
        </is>
      </c>
      <c r="Q288" t="inlineStr"/>
    </row>
    <row r="289">
      <c r="A289" t="inlineStr">
        <is>
          <t>GEO UTAMA CONSULTANT</t>
        </is>
      </c>
      <c r="B289" t="inlineStr">
        <is>
          <t>Kota Padang</t>
        </is>
      </c>
      <c r="C289" t="inlineStr">
        <is>
          <t>085274049899</t>
        </is>
      </c>
      <c r="D289" t="inlineStr">
        <is>
          <t>geoutamaconsultant@gmail.com</t>
        </is>
      </c>
      <c r="E289" t="inlineStr">
        <is>
          <t>https://lpjk.pu.go.id/search-badan-usaha-detail/YnVXVDVMcGlsWmNISkdia1plUHIwQT09</t>
        </is>
      </c>
      <c r="F289" t="n">
        <v>1</v>
      </c>
      <c r="G289" t="inlineStr">
        <is>
          <t>RK003</t>
        </is>
      </c>
      <c r="H289" t="inlineStr">
        <is>
          <t>5 Juni 2023</t>
        </is>
      </c>
      <c r="I289" s="2" t="n">
        <v>46282</v>
      </c>
      <c r="J289" t="inlineStr">
        <is>
          <t>Disetujui</t>
        </is>
      </c>
      <c r="K289" t="n">
        <v>30</v>
      </c>
      <c r="L289" t="inlineStr">
        <is>
          <t>17 September 2026</t>
        </is>
      </c>
      <c r="M289" t="inlineStr">
        <is>
          <t>Jasa Rekayasa Pekerjaan Teknik Sipil Transportasi</t>
        </is>
      </c>
      <c r="N289" t="inlineStr">
        <is>
          <t>K</t>
        </is>
      </c>
      <c r="O289" t="inlineStr">
        <is>
          <t>20230803</t>
        </is>
      </c>
      <c r="P289" t="inlineStr">
        <is>
          <t>Sumatera Barat</t>
        </is>
      </c>
      <c r="Q289" t="inlineStr"/>
    </row>
    <row r="290">
      <c r="A290" t="inlineStr">
        <is>
          <t>GEOTAMA INTI BOR</t>
        </is>
      </c>
      <c r="B290" t="inlineStr">
        <is>
          <t>Kota Pontianak</t>
        </is>
      </c>
      <c r="C290" t="inlineStr">
        <is>
          <t>081250190772</t>
        </is>
      </c>
      <c r="D290" t="inlineStr">
        <is>
          <t>inibayuadi@yahoo.com</t>
        </is>
      </c>
      <c r="E290" t="inlineStr">
        <is>
          <t>https://lpjk.pu.go.id/search-badan-usaha-detail/djFtTHdCTjlmY2k2NDRPZW9OSE44UT09</t>
        </is>
      </c>
      <c r="F290" t="n">
        <v>1</v>
      </c>
      <c r="G290" t="inlineStr">
        <is>
          <t>PL005</t>
        </is>
      </c>
      <c r="H290" t="inlineStr">
        <is>
          <t>24 Mei 2019</t>
        </is>
      </c>
      <c r="I290" s="2" t="n">
        <v>46282</v>
      </c>
      <c r="J290" t="inlineStr">
        <is>
          <t>Disetujui</t>
        </is>
      </c>
      <c r="K290" t="n">
        <v>30</v>
      </c>
      <c r="L290" t="inlineStr">
        <is>
          <t>17 September 2026</t>
        </is>
      </c>
      <c r="M290" t="inlineStr">
        <is>
          <t>Pembuatan/Pengeboran Sumur Air Tanah</t>
        </is>
      </c>
      <c r="N290" t="inlineStr">
        <is>
          <t>Spesialis</t>
        </is>
      </c>
      <c r="O290" t="inlineStr">
        <is>
          <t>20230912</t>
        </is>
      </c>
      <c r="P290" t="inlineStr">
        <is>
          <t>Kalimantan Barat</t>
        </is>
      </c>
      <c r="Q290" t="inlineStr"/>
    </row>
    <row r="291">
      <c r="A291" t="inlineStr">
        <is>
          <t>GHINA NABILA GRAHA</t>
        </is>
      </c>
      <c r="B291" t="inlineStr">
        <is>
          <t>Kota Pariaman</t>
        </is>
      </c>
      <c r="C291" t="inlineStr">
        <is>
          <t>085355667979</t>
        </is>
      </c>
      <c r="D291" t="inlineStr">
        <is>
          <t>ghinanabilagraha@gmail.com</t>
        </is>
      </c>
      <c r="E291" t="inlineStr">
        <is>
          <t>https://lpjk.pu.go.id/search-badan-usaha-detail/alBwNTFra0lBNFRaWGJpZjVoWW1JUT09</t>
        </is>
      </c>
      <c r="F291" t="n">
        <v>1</v>
      </c>
      <c r="G291" t="inlineStr">
        <is>
          <t>BG001</t>
        </is>
      </c>
      <c r="H291" t="inlineStr">
        <is>
          <t>7 September 2023</t>
        </is>
      </c>
      <c r="I291" s="2" t="n">
        <v>46278</v>
      </c>
      <c r="J291" t="inlineStr">
        <is>
          <t>Pencabutan</t>
        </is>
      </c>
      <c r="K291" t="n">
        <v>30</v>
      </c>
      <c r="L291" t="inlineStr">
        <is>
          <t>13 September 2026</t>
        </is>
      </c>
      <c r="M291" t="inlineStr">
        <is>
          <t>Konstruksi Gedung Hunian</t>
        </is>
      </c>
      <c r="N291" t="inlineStr">
        <is>
          <t>K</t>
        </is>
      </c>
      <c r="O291" t="inlineStr">
        <is>
          <t>20230912</t>
        </is>
      </c>
      <c r="P291" t="inlineStr">
        <is>
          <t>Sumatera Barat</t>
        </is>
      </c>
      <c r="Q291" t="inlineStr"/>
    </row>
    <row r="292">
      <c r="A292" t="inlineStr">
        <is>
          <t>GINA PUTRI</t>
        </is>
      </c>
      <c r="B292" t="inlineStr">
        <is>
          <t>Kab. Subang</t>
        </is>
      </c>
      <c r="C292" t="inlineStr">
        <is>
          <t>081322656432</t>
        </is>
      </c>
      <c r="D292" t="inlineStr">
        <is>
          <t>cv.gina_putri@yahoo.com</t>
        </is>
      </c>
      <c r="E292" t="inlineStr">
        <is>
          <t>https://lpjk.pu.go.id/search-badan-usaha-detail/QlJYeFMxOWIyRk1rZ2dBMVVQMHQzQT09</t>
        </is>
      </c>
      <c r="F292" t="n">
        <v>1</v>
      </c>
      <c r="G292" t="inlineStr">
        <is>
          <t>BS004</t>
        </is>
      </c>
      <c r="H292" t="inlineStr">
        <is>
          <t>25 Oktober 2018</t>
        </is>
      </c>
      <c r="I292" s="2" t="n">
        <v>46277</v>
      </c>
      <c r="J292" t="inlineStr">
        <is>
          <t>Pencabutan</t>
        </is>
      </c>
      <c r="K292" t="n">
        <v>30</v>
      </c>
      <c r="L292" t="inlineStr">
        <is>
          <t>12 September 2026</t>
        </is>
      </c>
      <c r="M292" t="inlineStr">
        <is>
          <t>Konstruksi Jaringan Irigasi dan Drainase</t>
        </is>
      </c>
      <c r="N292" t="inlineStr">
        <is>
          <t>K</t>
        </is>
      </c>
      <c r="O292" t="inlineStr">
        <is>
          <t>20230912</t>
        </is>
      </c>
      <c r="P292" t="inlineStr">
        <is>
          <t>Jawa Barat</t>
        </is>
      </c>
      <c r="Q292" t="inlineStr"/>
    </row>
    <row r="293">
      <c r="A293" t="inlineStr">
        <is>
          <t>GIRI KENCANA</t>
        </is>
      </c>
      <c r="B293" t="inlineStr">
        <is>
          <t>Kota Pekanbaru</t>
        </is>
      </c>
      <c r="C293" t="inlineStr">
        <is>
          <t>082169977877</t>
        </is>
      </c>
      <c r="D293" t="inlineStr">
        <is>
          <t>girikencana082019@gmail.com</t>
        </is>
      </c>
      <c r="E293" t="inlineStr">
        <is>
          <t>https://lpjk.pu.go.id/search-badan-usaha-detail/U05pZkF4NFZVSlZ6OUVHZnNyRTJpZz09</t>
        </is>
      </c>
      <c r="F293" t="n">
        <v>3</v>
      </c>
      <c r="G293" t="inlineStr">
        <is>
          <t>BG001, BG003, BS001</t>
        </is>
      </c>
      <c r="H293" t="inlineStr">
        <is>
          <t>15 Mei 1996</t>
        </is>
      </c>
      <c r="I293" s="2" t="n">
        <v>46283</v>
      </c>
      <c r="J293" t="inlineStr">
        <is>
          <t>Pencabutan</t>
        </is>
      </c>
      <c r="K293" t="n">
        <v>30</v>
      </c>
      <c r="L293" t="inlineStr">
        <is>
          <t>18 September 2026</t>
        </is>
      </c>
      <c r="M293" t="inlineStr">
        <is>
          <t>Konstruksi Bangunan Sipil Jalan, Konstruksi Gedung Hunian, Konstruksi Gedung Industri</t>
        </is>
      </c>
      <c r="N293" t="inlineStr">
        <is>
          <t>K</t>
        </is>
      </c>
      <c r="O293" t="inlineStr">
        <is>
          <t>20230914, 20230917</t>
        </is>
      </c>
      <c r="P293" t="inlineStr">
        <is>
          <t>Riau</t>
        </is>
      </c>
      <c r="Q293" t="inlineStr"/>
    </row>
    <row r="294">
      <c r="A294" t="inlineStr">
        <is>
          <t>GIRI KENCANA</t>
        </is>
      </c>
      <c r="B294" t="inlineStr">
        <is>
          <t>Kab. Gunungkidul</t>
        </is>
      </c>
      <c r="C294" t="inlineStr">
        <is>
          <t>085290509231</t>
        </is>
      </c>
      <c r="D294" t="inlineStr">
        <is>
          <t>girikencanacv29@gmail.com</t>
        </is>
      </c>
      <c r="E294" t="inlineStr">
        <is>
          <t>https://lpjk.pu.go.id/search-badan-usaha-detail/UUFFRUpBMXMxMWdHQkdkeTdvdDVPQT09</t>
        </is>
      </c>
      <c r="F294" t="n">
        <v>1</v>
      </c>
      <c r="G294" t="inlineStr">
        <is>
          <t>BG002</t>
        </is>
      </c>
      <c r="H294" t="inlineStr">
        <is>
          <t>19 Maret 1984</t>
        </is>
      </c>
      <c r="I294" s="2" t="n">
        <v>46282</v>
      </c>
      <c r="J294" t="inlineStr">
        <is>
          <t>Disetujui</t>
        </is>
      </c>
      <c r="K294" t="n">
        <v>30</v>
      </c>
      <c r="L294" t="inlineStr">
        <is>
          <t>17 September 2026</t>
        </is>
      </c>
      <c r="M294" t="inlineStr">
        <is>
          <t>Konstruksi Gedung Perkantoran</t>
        </is>
      </c>
      <c r="N294" t="inlineStr">
        <is>
          <t>K</t>
        </is>
      </c>
      <c r="O294" t="inlineStr">
        <is>
          <t>20230911</t>
        </is>
      </c>
      <c r="P294" t="inlineStr">
        <is>
          <t>DI Yogyakarta</t>
        </is>
      </c>
      <c r="Q294" t="inlineStr"/>
    </row>
    <row r="295">
      <c r="A295" t="inlineStr">
        <is>
          <t>GLOBAL MULTI PRASADA</t>
        </is>
      </c>
      <c r="B295" t="inlineStr">
        <is>
          <t>Kota Surabaya</t>
        </is>
      </c>
      <c r="C295" t="inlineStr">
        <is>
          <t>03199858890</t>
        </is>
      </c>
      <c r="D295" t="inlineStr">
        <is>
          <t>globalmulti.prasada@gmail.com</t>
        </is>
      </c>
      <c r="E295" t="inlineStr">
        <is>
          <t>https://lpjk.pu.go.id/search-badan-usaha-detail/bWJFQys3aWxwSmFjV0FOUm94clY1UT09</t>
        </is>
      </c>
      <c r="F295" t="n">
        <v>1</v>
      </c>
      <c r="G295" t="inlineStr">
        <is>
          <t>BS001</t>
        </is>
      </c>
      <c r="H295" t="inlineStr">
        <is>
          <t>6 Agustus 2022</t>
        </is>
      </c>
      <c r="I295" s="2" t="n">
        <v>46277</v>
      </c>
      <c r="J295" t="inlineStr">
        <is>
          <t>Disetujui</t>
        </is>
      </c>
      <c r="K295" t="n">
        <v>30</v>
      </c>
      <c r="L295" t="inlineStr">
        <is>
          <t>12 September 2026</t>
        </is>
      </c>
      <c r="M295" t="inlineStr">
        <is>
          <t>Konstruksi Bangunan Sipil Jalan</t>
        </is>
      </c>
      <c r="N295" t="inlineStr">
        <is>
          <t>K</t>
        </is>
      </c>
      <c r="O295" t="inlineStr">
        <is>
          <t>20230907</t>
        </is>
      </c>
      <c r="P295" t="inlineStr">
        <is>
          <t>Jawa Timur</t>
        </is>
      </c>
      <c r="Q295" t="inlineStr"/>
    </row>
    <row r="296">
      <c r="A296" t="inlineStr">
        <is>
          <t>GRACIA</t>
        </is>
      </c>
      <c r="B296" t="inlineStr">
        <is>
          <t>Kab. Manggarai</t>
        </is>
      </c>
      <c r="C296" t="inlineStr">
        <is>
          <t>082225044088</t>
        </is>
      </c>
      <c r="D296" t="inlineStr">
        <is>
          <t>moayohanespaulus@yahoo.com</t>
        </is>
      </c>
      <c r="E296" t="inlineStr">
        <is>
          <t>https://lpjk.pu.go.id/search-badan-usaha-detail/Zm1ReVNaN0xlWFV4aVhWeFZGREdaQT09</t>
        </is>
      </c>
      <c r="F296" t="n">
        <v>1</v>
      </c>
      <c r="G296" t="inlineStr">
        <is>
          <t>BG009</t>
        </is>
      </c>
      <c r="H296" t="inlineStr">
        <is>
          <t>4 Agustus 2010</t>
        </is>
      </c>
      <c r="I296" s="2" t="n">
        <v>46283</v>
      </c>
      <c r="J296" t="inlineStr">
        <is>
          <t>Disetujui</t>
        </is>
      </c>
      <c r="K296" t="n">
        <v>30</v>
      </c>
      <c r="L296" t="inlineStr">
        <is>
          <t>18 September 2026</t>
        </is>
      </c>
      <c r="M296" t="inlineStr">
        <is>
          <t>Konstruksi Gedung Lainnya</t>
        </is>
      </c>
      <c r="N296" t="inlineStr">
        <is>
          <t>K</t>
        </is>
      </c>
      <c r="O296" t="inlineStr">
        <is>
          <t>20220617</t>
        </is>
      </c>
      <c r="P296" t="inlineStr">
        <is>
          <t>Nusa Tenggara Timur</t>
        </is>
      </c>
      <c r="Q296" t="inlineStr"/>
    </row>
    <row r="297">
      <c r="A297" t="inlineStr">
        <is>
          <t>GRAHA ARTHA PRATAMA</t>
        </is>
      </c>
      <c r="B297" t="inlineStr">
        <is>
          <t>Kota Jambi</t>
        </is>
      </c>
      <c r="C297" t="inlineStr">
        <is>
          <t>07413062149</t>
        </is>
      </c>
      <c r="D297" t="inlineStr">
        <is>
          <t>gap.cjuk@gmail.com</t>
        </is>
      </c>
      <c r="E297" t="inlineStr">
        <is>
          <t>https://lpjk.pu.go.id/search-badan-usaha-detail/K3h0UXlkbGtQemRSWnpBZTFkRHFMUT09</t>
        </is>
      </c>
      <c r="F297" t="n">
        <v>1</v>
      </c>
      <c r="G297" t="inlineStr">
        <is>
          <t>BG001</t>
        </is>
      </c>
      <c r="H297" t="inlineStr">
        <is>
          <t>14 Maret 2012</t>
        </is>
      </c>
      <c r="I297" s="2" t="n">
        <v>46280</v>
      </c>
      <c r="J297" t="inlineStr">
        <is>
          <t>Disetujui</t>
        </is>
      </c>
      <c r="K297" t="n">
        <v>30</v>
      </c>
      <c r="L297" t="inlineStr">
        <is>
          <t>15 September 2026</t>
        </is>
      </c>
      <c r="M297" t="inlineStr">
        <is>
          <t>Konstruksi Gedung Hunian</t>
        </is>
      </c>
      <c r="N297" t="inlineStr">
        <is>
          <t>K</t>
        </is>
      </c>
      <c r="O297" t="inlineStr">
        <is>
          <t>20220902</t>
        </is>
      </c>
      <c r="P297" t="inlineStr">
        <is>
          <t>Jambi</t>
        </is>
      </c>
      <c r="Q297" t="inlineStr"/>
    </row>
    <row r="298">
      <c r="A298" t="inlineStr">
        <is>
          <t>GRAHA KOKOH KONSTRUKSI</t>
        </is>
      </c>
      <c r="B298" t="inlineStr">
        <is>
          <t>Kota Batam</t>
        </is>
      </c>
      <c r="C298" t="inlineStr">
        <is>
          <t>08117708899</t>
        </is>
      </c>
      <c r="D298" t="inlineStr">
        <is>
          <t>pt.grahakokohkonstruksi@gmail.com</t>
        </is>
      </c>
      <c r="E298" t="inlineStr">
        <is>
          <t>https://lpjk.pu.go.id/search-badan-usaha-detail/UGs5YmduakdwcWJFRXlFYU91ak9pQT09</t>
        </is>
      </c>
      <c r="F298" t="n">
        <v>1</v>
      </c>
      <c r="G298" t="inlineStr">
        <is>
          <t>BG001</t>
        </is>
      </c>
      <c r="H298" t="inlineStr">
        <is>
          <t>25 Agustus 2023</t>
        </is>
      </c>
      <c r="I298" s="2" t="n">
        <v>46278</v>
      </c>
      <c r="J298" t="inlineStr">
        <is>
          <t>Disetujui</t>
        </is>
      </c>
      <c r="K298" t="n">
        <v>30</v>
      </c>
      <c r="L298" t="inlineStr">
        <is>
          <t>13 September 2026</t>
        </is>
      </c>
      <c r="M298" t="inlineStr">
        <is>
          <t>Konstruksi Gedung Hunian</t>
        </is>
      </c>
      <c r="N298" t="inlineStr">
        <is>
          <t>K</t>
        </is>
      </c>
      <c r="O298" t="inlineStr">
        <is>
          <t>20230911</t>
        </is>
      </c>
      <c r="P298" t="inlineStr">
        <is>
          <t>Kepulauan Riau</t>
        </is>
      </c>
      <c r="Q298" t="inlineStr"/>
    </row>
    <row r="299">
      <c r="A299" t="inlineStr">
        <is>
          <t>GRAHA MITRA UTAMA</t>
        </is>
      </c>
      <c r="B299" t="inlineStr">
        <is>
          <t>Kab. Malang</t>
        </is>
      </c>
      <c r="C299" t="inlineStr">
        <is>
          <t>081233464141</t>
        </is>
      </c>
      <c r="D299" t="inlineStr">
        <is>
          <t>admingraha@gmail.com</t>
        </is>
      </c>
      <c r="E299" t="inlineStr">
        <is>
          <t>https://lpjk.pu.go.id/search-badan-usaha-detail/cVRzNGxRejQ1dzRxZWpBNFd5YlV6Zz09</t>
        </is>
      </c>
      <c r="F299" t="n">
        <v>3</v>
      </c>
      <c r="G299" t="inlineStr">
        <is>
          <t>BG005, BG009, BS004</t>
        </is>
      </c>
      <c r="H299" t="inlineStr">
        <is>
          <t>22 Desember 2008</t>
        </is>
      </c>
      <c r="I299" s="2" t="n">
        <v>46277</v>
      </c>
      <c r="J299" t="inlineStr">
        <is>
          <t>Disetujui</t>
        </is>
      </c>
      <c r="K299" t="n">
        <v>30</v>
      </c>
      <c r="L299" t="inlineStr">
        <is>
          <t>12 September 2026</t>
        </is>
      </c>
      <c r="M299" t="inlineStr">
        <is>
          <t>Konstruksi Gedung Kesehatan, Konstruksi Gedung Lainnya, Konstruksi Jaringan Irigasi dan Drainase</t>
        </is>
      </c>
      <c r="N299" t="inlineStr">
        <is>
          <t>K</t>
        </is>
      </c>
      <c r="O299" t="inlineStr">
        <is>
          <t>20230810, 20230812, 20230822</t>
        </is>
      </c>
      <c r="P299" t="inlineStr">
        <is>
          <t>Jawa Timur</t>
        </is>
      </c>
      <c r="Q299" t="inlineStr"/>
    </row>
    <row r="300">
      <c r="A300" t="inlineStr">
        <is>
          <t>GUNA KARYA</t>
        </is>
      </c>
      <c r="B300" t="inlineStr">
        <is>
          <t>Kab. Lumajang</t>
        </is>
      </c>
      <c r="C300" t="inlineStr">
        <is>
          <t>081336777789</t>
        </is>
      </c>
      <c r="D300" t="inlineStr">
        <is>
          <t>group.gkarya@gmail.com</t>
        </is>
      </c>
      <c r="E300" t="inlineStr">
        <is>
          <t>https://lpjk.pu.go.id/search-badan-usaha-detail/Q3BsdWU0eW9leDBWcmdyOERlenFRZz09</t>
        </is>
      </c>
      <c r="F300" t="n">
        <v>1</v>
      </c>
      <c r="G300" t="inlineStr">
        <is>
          <t>BG001</t>
        </is>
      </c>
      <c r="H300" t="inlineStr">
        <is>
          <t>12 Juli 2006</t>
        </is>
      </c>
      <c r="I300" s="2" t="n">
        <v>46277</v>
      </c>
      <c r="J300" t="inlineStr">
        <is>
          <t>Disetujui</t>
        </is>
      </c>
      <c r="K300" t="n">
        <v>30</v>
      </c>
      <c r="L300" t="inlineStr">
        <is>
          <t>12 September 2026</t>
        </is>
      </c>
      <c r="M300" t="inlineStr">
        <is>
          <t>Konstruksi Gedung Hunian</t>
        </is>
      </c>
      <c r="N300" t="inlineStr">
        <is>
          <t>K</t>
        </is>
      </c>
      <c r="O300" t="inlineStr">
        <is>
          <t>20230909</t>
        </is>
      </c>
      <c r="P300" t="inlineStr">
        <is>
          <t>Jawa Timur</t>
        </is>
      </c>
      <c r="Q300" t="inlineStr"/>
    </row>
    <row r="301">
      <c r="A301" t="inlineStr">
        <is>
          <t>HADIGUNA PERKASA</t>
        </is>
      </c>
      <c r="B301" t="inlineStr">
        <is>
          <t>Kab. Tapanuli Selatan</t>
        </is>
      </c>
      <c r="C301" t="inlineStr">
        <is>
          <t>082364128882</t>
        </is>
      </c>
      <c r="D301" t="inlineStr">
        <is>
          <t>info@hadiguna.com</t>
        </is>
      </c>
      <c r="E301" t="inlineStr">
        <is>
          <t>https://lpjk.pu.go.id/search-badan-usaha-detail/cFhIUndqM1dDME9VbUVmMEJQR1Z1dz09</t>
        </is>
      </c>
      <c r="F301" t="n">
        <v>1</v>
      </c>
      <c r="G301" t="inlineStr">
        <is>
          <t>BG006</t>
        </is>
      </c>
      <c r="H301" t="inlineStr">
        <is>
          <t>11 Desember 2009</t>
        </is>
      </c>
      <c r="I301" s="2" t="n">
        <v>46282</v>
      </c>
      <c r="J301" t="inlineStr">
        <is>
          <t>Pencabutan</t>
        </is>
      </c>
      <c r="K301" t="n">
        <v>30</v>
      </c>
      <c r="L301" t="inlineStr">
        <is>
          <t>17 September 2026</t>
        </is>
      </c>
      <c r="M301" t="inlineStr">
        <is>
          <t>Konstruksi Gedung Pendidikan</t>
        </is>
      </c>
      <c r="N301" t="inlineStr">
        <is>
          <t>K</t>
        </is>
      </c>
      <c r="O301" t="inlineStr">
        <is>
          <t>20230908</t>
        </is>
      </c>
      <c r="P301" t="inlineStr">
        <is>
          <t>Sumatera Utara</t>
        </is>
      </c>
      <c r="Q301" t="inlineStr"/>
    </row>
    <row r="302">
      <c r="A302" t="inlineStr">
        <is>
          <t>HANDAYANI</t>
        </is>
      </c>
      <c r="B302" t="inlineStr">
        <is>
          <t>Kota Banjarbaru</t>
        </is>
      </c>
      <c r="C302" t="inlineStr">
        <is>
          <t>085248814369</t>
        </is>
      </c>
      <c r="D302" t="inlineStr">
        <is>
          <t>cv.handayanibjb@yahoo.com</t>
        </is>
      </c>
      <c r="E302" t="inlineStr">
        <is>
          <t>https://lpjk.pu.go.id/search-badan-usaha-detail/aEp5K3htWEs5OEdlQXkySWVlT0dCQT09</t>
        </is>
      </c>
      <c r="F302" t="n">
        <v>2</v>
      </c>
      <c r="G302" t="inlineStr">
        <is>
          <t>BS004</t>
        </is>
      </c>
      <c r="H302" t="inlineStr">
        <is>
          <t>11 Desember 1981</t>
        </is>
      </c>
      <c r="I302" s="2" t="n">
        <v>46282</v>
      </c>
      <c r="J302" t="inlineStr">
        <is>
          <t>Disetujui</t>
        </is>
      </c>
      <c r="K302" t="n">
        <v>30</v>
      </c>
      <c r="L302" t="inlineStr">
        <is>
          <t>17 September 2026</t>
        </is>
      </c>
      <c r="M302" t="inlineStr">
        <is>
          <t>Konstruksi Jaringan Irigasi dan Drainase</t>
        </is>
      </c>
      <c r="N302" t="inlineStr">
        <is>
          <t>K</t>
        </is>
      </c>
      <c r="O302" t="inlineStr">
        <is>
          <t>20230914</t>
        </is>
      </c>
      <c r="P302" t="inlineStr">
        <is>
          <t>Kalimantan Selatan</t>
        </is>
      </c>
      <c r="Q302" t="inlineStr"/>
    </row>
    <row r="303">
      <c r="A303" t="inlineStr">
        <is>
          <t>HANESA MAJU BERSAMA</t>
        </is>
      </c>
      <c r="B303" t="inlineStr">
        <is>
          <t>Kab. Sidoarjo</t>
        </is>
      </c>
      <c r="C303" t="inlineStr">
        <is>
          <t>08121488961</t>
        </is>
      </c>
      <c r="D303" t="inlineStr">
        <is>
          <t>hanesamaju1012@gmail.com</t>
        </is>
      </c>
      <c r="E303" t="inlineStr">
        <is>
          <t>https://lpjk.pu.go.id/search-badan-usaha-detail/VG5JU2xid3VkSGdhSmJ5N0ZPbkxEdz09</t>
        </is>
      </c>
      <c r="F303" t="n">
        <v>5</v>
      </c>
      <c r="G303" t="inlineStr">
        <is>
          <t>BG001, BG002, BG003, BG005, BG007</t>
        </is>
      </c>
      <c r="H303" t="inlineStr">
        <is>
          <t>10 Desember 2022</t>
        </is>
      </c>
      <c r="I303" s="2" t="n">
        <v>46280</v>
      </c>
      <c r="J303" t="inlineStr">
        <is>
          <t>Disetujui</t>
        </is>
      </c>
      <c r="K303" t="n">
        <v>30</v>
      </c>
      <c r="L303" t="inlineStr">
        <is>
          <t>15 September 2026</t>
        </is>
      </c>
      <c r="M303" t="inlineStr">
        <is>
          <t>Konstruksi Gedung Hunian, Konstruksi Gedung Industri, Konstruksi Gedung Kesehatan, Konstruksi Gedung Penginapan, Konstruksi Gedung Perkantoran</t>
        </is>
      </c>
      <c r="N303" t="inlineStr">
        <is>
          <t>K</t>
        </is>
      </c>
      <c r="O303" t="inlineStr">
        <is>
          <t>20230914</t>
        </is>
      </c>
      <c r="P303" t="inlineStr">
        <is>
          <t>Jawa Timur</t>
        </is>
      </c>
      <c r="Q303" t="inlineStr"/>
    </row>
    <row r="304">
      <c r="A304" t="inlineStr">
        <is>
          <t>HARUM</t>
        </is>
      </c>
      <c r="B304" t="inlineStr">
        <is>
          <t>Kab. Indramayu</t>
        </is>
      </c>
      <c r="C304" t="inlineStr">
        <is>
          <t>08156401062</t>
        </is>
      </c>
      <c r="D304" t="inlineStr">
        <is>
          <t>cholidasadi@yahoo.com</t>
        </is>
      </c>
      <c r="E304" t="inlineStr">
        <is>
          <t>https://lpjk.pu.go.id/search-badan-usaha-detail/SFcwMHBPZG1nb2lXV3hPOUZVNzNSZz09</t>
        </is>
      </c>
      <c r="F304" t="n">
        <v>1</v>
      </c>
      <c r="G304" t="inlineStr">
        <is>
          <t>BS010</t>
        </is>
      </c>
      <c r="H304" t="inlineStr">
        <is>
          <t>9 Agustus 1986</t>
        </is>
      </c>
      <c r="I304" s="2" t="n">
        <v>46277</v>
      </c>
      <c r="J304" t="inlineStr">
        <is>
          <t>Disetujui</t>
        </is>
      </c>
      <c r="K304" t="n">
        <v>30</v>
      </c>
      <c r="L304" t="inlineStr">
        <is>
          <t>12 September 2026</t>
        </is>
      </c>
      <c r="M304" t="inlineStr">
        <is>
          <t>Konstruksi Bangunan Prasarana Sumber Daya Air</t>
        </is>
      </c>
      <c r="N304" t="inlineStr">
        <is>
          <t>K</t>
        </is>
      </c>
      <c r="O304" t="inlineStr">
        <is>
          <t>20230911</t>
        </is>
      </c>
      <c r="P304" t="inlineStr">
        <is>
          <t>Jawa Barat</t>
        </is>
      </c>
      <c r="Q304" t="inlineStr"/>
    </row>
    <row r="305">
      <c r="A305" t="inlineStr">
        <is>
          <t>HASEA KONSTRUKSI</t>
        </is>
      </c>
      <c r="B305" t="inlineStr">
        <is>
          <t>Kota Pontianak</t>
        </is>
      </c>
      <c r="C305" t="inlineStr">
        <is>
          <t>089526211116</t>
        </is>
      </c>
      <c r="D305" t="inlineStr">
        <is>
          <t>haseakonstruksi2022@gmail.com</t>
        </is>
      </c>
      <c r="E305" t="inlineStr">
        <is>
          <t>https://lpjk.pu.go.id/search-badan-usaha-detail/VU9FMFJnSXlwbkEvNHp3bnpQL1pBQT09</t>
        </is>
      </c>
      <c r="F305" t="n">
        <v>1</v>
      </c>
      <c r="G305" t="inlineStr">
        <is>
          <t>BS010</t>
        </is>
      </c>
      <c r="H305" t="inlineStr">
        <is>
          <t>29 September 2018</t>
        </is>
      </c>
      <c r="I305" s="2" t="n">
        <v>46277</v>
      </c>
      <c r="J305" t="inlineStr">
        <is>
          <t>Disetujui</t>
        </is>
      </c>
      <c r="K305" t="n">
        <v>30</v>
      </c>
      <c r="L305" t="inlineStr">
        <is>
          <t>12 September 2026</t>
        </is>
      </c>
      <c r="M305" t="inlineStr">
        <is>
          <t>Konstruksi Bangunan Prasarana Sumber Daya Air</t>
        </is>
      </c>
      <c r="N305" t="inlineStr">
        <is>
          <t>K</t>
        </is>
      </c>
      <c r="O305" t="inlineStr">
        <is>
          <t>20230825</t>
        </is>
      </c>
      <c r="P305" t="inlineStr">
        <is>
          <t>Kalimantan Barat</t>
        </is>
      </c>
      <c r="Q305" t="inlineStr"/>
    </row>
    <row r="306">
      <c r="A306" t="inlineStr">
        <is>
          <t>HASIL</t>
        </is>
      </c>
      <c r="B306" t="inlineStr">
        <is>
          <t>Kab. Jember</t>
        </is>
      </c>
      <c r="C306" t="inlineStr">
        <is>
          <t>081217654622</t>
        </is>
      </c>
      <c r="D306" t="inlineStr">
        <is>
          <t>cv.hasil1981@gmail.com</t>
        </is>
      </c>
      <c r="E306" t="inlineStr">
        <is>
          <t>https://lpjk.pu.go.id/search-badan-usaha-detail/QjdjK2UzWnJoUGtxb2hiRFRqTlNMZz09</t>
        </is>
      </c>
      <c r="F306" t="n">
        <v>4</v>
      </c>
      <c r="G306" t="inlineStr">
        <is>
          <t>BG006, BG009, BS001, BS004</t>
        </is>
      </c>
      <c r="H306" t="inlineStr">
        <is>
          <t>3 Oktober 1981</t>
        </is>
      </c>
      <c r="I306" s="2" t="n">
        <v>46279</v>
      </c>
      <c r="J306" t="inlineStr">
        <is>
          <t>Disetujui, Pencabutan</t>
        </is>
      </c>
      <c r="K306" t="n">
        <v>30</v>
      </c>
      <c r="L306" t="inlineStr">
        <is>
          <t>14 September 2026</t>
        </is>
      </c>
      <c r="M306" t="inlineStr">
        <is>
          <t>Konstruksi Bangunan Sipil Jalan, Konstruksi Gedung Lainnya, Konstruksi Gedung Pendidikan, Konstruksi Jaringan Irigasi dan Drainase</t>
        </is>
      </c>
      <c r="N306" t="inlineStr">
        <is>
          <t>K</t>
        </is>
      </c>
      <c r="O306" t="inlineStr">
        <is>
          <t>20230911, 20230912</t>
        </is>
      </c>
      <c r="P306" t="inlineStr">
        <is>
          <t>Jawa Timur</t>
        </is>
      </c>
      <c r="Q306" t="inlineStr"/>
    </row>
    <row r="307">
      <c r="A307" t="inlineStr">
        <is>
          <t>HASNA</t>
        </is>
      </c>
      <c r="B307" t="inlineStr">
        <is>
          <t>Kab. Banyuasin</t>
        </is>
      </c>
      <c r="C307" t="inlineStr">
        <is>
          <t>082260907868</t>
        </is>
      </c>
      <c r="D307" t="inlineStr">
        <is>
          <t>hasna.cv2@gmail.com</t>
        </is>
      </c>
      <c r="E307" t="inlineStr">
        <is>
          <t>https://lpjk.pu.go.id/search-badan-usaha-detail/aXN5VnhnWGdCVmErQVpVMjdZZTY1dz09</t>
        </is>
      </c>
      <c r="F307" t="n">
        <v>4</v>
      </c>
      <c r="G307" t="inlineStr">
        <is>
          <t>BG002, BG005, BG006, BG009</t>
        </is>
      </c>
      <c r="H307" t="inlineStr">
        <is>
          <t>1 Juni 1982</t>
        </is>
      </c>
      <c r="I307" s="2" t="n">
        <v>46282</v>
      </c>
      <c r="J307" t="inlineStr">
        <is>
          <t>Disetujui</t>
        </is>
      </c>
      <c r="K307" t="n">
        <v>30</v>
      </c>
      <c r="L307" t="inlineStr">
        <is>
          <t>17 September 2026</t>
        </is>
      </c>
      <c r="M307" t="inlineStr">
        <is>
          <t>Konstruksi Gedung Kesehatan, Konstruksi Gedung Lainnya, Konstruksi Gedung Pendidikan, Konstruksi Gedung Perkantoran</t>
        </is>
      </c>
      <c r="N307" t="inlineStr">
        <is>
          <t>K</t>
        </is>
      </c>
      <c r="O307" t="inlineStr">
        <is>
          <t>20230911</t>
        </is>
      </c>
      <c r="P307" t="inlineStr">
        <is>
          <t>Sumatera Selatan</t>
        </is>
      </c>
      <c r="Q307" t="inlineStr"/>
    </row>
    <row r="308">
      <c r="A308" t="inlineStr">
        <is>
          <t>HEKSAGON TIWIKRAMA</t>
        </is>
      </c>
      <c r="B308" t="inlineStr">
        <is>
          <t>Kota Adm. Jakarta Utara</t>
        </is>
      </c>
      <c r="C308" t="inlineStr">
        <is>
          <t>0216412817</t>
        </is>
      </c>
      <c r="D308" t="inlineStr">
        <is>
          <t>account@heksagon.co.id</t>
        </is>
      </c>
      <c r="E308" t="inlineStr">
        <is>
          <t>https://lpjk.pu.go.id/search-badan-usaha-detail/TjVyRXFaSGtBUWg5eE13YW9QYUtMdz09</t>
        </is>
      </c>
      <c r="F308" t="n">
        <v>1</v>
      </c>
      <c r="G308" t="inlineStr">
        <is>
          <t>IN004</t>
        </is>
      </c>
      <c r="H308" t="inlineStr">
        <is>
          <t>14 September 1995</t>
        </is>
      </c>
      <c r="I308" s="2" t="n">
        <v>46277</v>
      </c>
      <c r="J308" t="inlineStr">
        <is>
          <t>Disetujui</t>
        </is>
      </c>
      <c r="K308" t="n">
        <v>30</v>
      </c>
      <c r="L308" t="inlineStr">
        <is>
          <t>12 September 2026</t>
        </is>
      </c>
      <c r="M308" t="inlineStr">
        <is>
          <t>Instalasi Minyak dan Gas</t>
        </is>
      </c>
      <c r="N308" t="inlineStr">
        <is>
          <t>Spesialis</t>
        </is>
      </c>
      <c r="O308" t="inlineStr">
        <is>
          <t>20230907</t>
        </is>
      </c>
      <c r="P308" t="inlineStr">
        <is>
          <t>DKI Jakarta</t>
        </is>
      </c>
      <c r="Q308" t="inlineStr"/>
    </row>
    <row r="309">
      <c r="A309" t="inlineStr">
        <is>
          <t>HIKMAH MULIA KONSULTAN</t>
        </is>
      </c>
      <c r="B309" t="inlineStr">
        <is>
          <t>Kota Banjarbaru</t>
        </is>
      </c>
      <c r="C309" t="inlineStr">
        <is>
          <t>085248862584</t>
        </is>
      </c>
      <c r="D309" t="inlineStr">
        <is>
          <t>hikmahmuliakonsultan@gmail.com</t>
        </is>
      </c>
      <c r="E309" t="inlineStr">
        <is>
          <t>https://lpjk.pu.go.id/search-badan-usaha-detail/aDN6SFBYc0lEVmZyT3J5YmhSdzBMZz09</t>
        </is>
      </c>
      <c r="F309" t="n">
        <v>3</v>
      </c>
      <c r="G309" t="inlineStr">
        <is>
          <t>RK001, RK002, RK003</t>
        </is>
      </c>
      <c r="H309" t="inlineStr">
        <is>
          <t>13 Januari 2016</t>
        </is>
      </c>
      <c r="I309" s="2" t="n">
        <v>46282</v>
      </c>
      <c r="J309" t="inlineStr">
        <is>
          <t>Disetujui</t>
        </is>
      </c>
      <c r="K309" t="n">
        <v>30</v>
      </c>
      <c r="L309" t="inlineStr">
        <is>
          <t>17 September 2026</t>
        </is>
      </c>
      <c r="M309" t="inlineStr">
        <is>
          <t>Jasa Rekayasa Konstruksi Bangunan Gedung Hunian dan Non Hunian, Jasa Rekayasa Pekerjaan Teknik Sipil Sumber Daya Air, Jasa Rekayasa Pekerjaan Teknik Sipil Transportasi</t>
        </is>
      </c>
      <c r="N309" t="inlineStr">
        <is>
          <t>K</t>
        </is>
      </c>
      <c r="O309" t="inlineStr">
        <is>
          <t>20221217, 20230904, 20230907</t>
        </is>
      </c>
      <c r="P309" t="inlineStr">
        <is>
          <t>Kalimantan Selatan</t>
        </is>
      </c>
      <c r="Q309" t="inlineStr"/>
    </row>
    <row r="310">
      <c r="A310" t="inlineStr">
        <is>
          <t>HIKMAH PERDANA PERKASA</t>
        </is>
      </c>
      <c r="B310" t="inlineStr">
        <is>
          <t>Kab. Kampar</t>
        </is>
      </c>
      <c r="C310" t="inlineStr">
        <is>
          <t>087793297857</t>
        </is>
      </c>
      <c r="D310" t="inlineStr">
        <is>
          <t>hikmahperdanaperkasa.cv@gmail.com</t>
        </is>
      </c>
      <c r="E310" t="inlineStr">
        <is>
          <t>https://lpjk.pu.go.id/search-badan-usaha-detail/eklXMnhHUWJvSm5rZ1NhTmM2STJBUT09</t>
        </is>
      </c>
      <c r="F310" t="n">
        <v>6</v>
      </c>
      <c r="G310" t="inlineStr">
        <is>
          <t>BG006, BS001, BS002</t>
        </is>
      </c>
      <c r="H310" t="inlineStr">
        <is>
          <t>27 April 2001</t>
        </is>
      </c>
      <c r="I310" s="2" t="n">
        <v>46278</v>
      </c>
      <c r="J310" t="inlineStr">
        <is>
          <t>Pencabutan</t>
        </is>
      </c>
      <c r="K310" t="n">
        <v>30</v>
      </c>
      <c r="L310" t="inlineStr">
        <is>
          <t>13 September 2026</t>
        </is>
      </c>
      <c r="M310" t="inlineStr">
        <is>
          <t>Bangunan Sipil Jembatan, Jalan Layang, Fly Over, dan Underpass, Konstruksi Bangunan Sipil Jalan, Konstruksi Gedung Pendidikan</t>
        </is>
      </c>
      <c r="N310" t="inlineStr">
        <is>
          <t>K</t>
        </is>
      </c>
      <c r="O310" t="inlineStr">
        <is>
          <t>20230913</t>
        </is>
      </c>
      <c r="P310" t="inlineStr">
        <is>
          <t>Riau</t>
        </is>
      </c>
      <c r="Q310" t="inlineStr"/>
    </row>
    <row r="311">
      <c r="A311" t="inlineStr">
        <is>
          <t>HILMAN PRIMA PERKASA</t>
        </is>
      </c>
      <c r="B311" t="inlineStr">
        <is>
          <t>Kota Adm. Jakarta Selatan</t>
        </is>
      </c>
      <c r="C311" t="inlineStr">
        <is>
          <t>0217356432</t>
        </is>
      </c>
      <c r="D311" t="inlineStr">
        <is>
          <t>hilmanprimaperkasa@gmail.com</t>
        </is>
      </c>
      <c r="E311" t="inlineStr">
        <is>
          <t>https://lpjk.pu.go.id/search-badan-usaha-detail/ams5SHB5VFArd1h0Sk53UG9ZVFBGdz09</t>
        </is>
      </c>
      <c r="F311" t="n">
        <v>2</v>
      </c>
      <c r="G311" t="inlineStr">
        <is>
          <t>BG009, BS003</t>
        </is>
      </c>
      <c r="H311" t="inlineStr">
        <is>
          <t>19 Mei 2010</t>
        </is>
      </c>
      <c r="I311" s="2" t="n">
        <v>46282</v>
      </c>
      <c r="J311" t="inlineStr">
        <is>
          <t>Disetujui</t>
        </is>
      </c>
      <c r="K311" t="n">
        <v>30</v>
      </c>
      <c r="L311" t="inlineStr">
        <is>
          <t>17 September 2026</t>
        </is>
      </c>
      <c r="M311" t="inlineStr">
        <is>
          <t>Konstruksi Gedung Lainnya, Konstruksi Jalan Rel</t>
        </is>
      </c>
      <c r="N311" t="inlineStr">
        <is>
          <t>K</t>
        </is>
      </c>
      <c r="O311" t="inlineStr">
        <is>
          <t>20230814, 20230912</t>
        </is>
      </c>
      <c r="P311" t="inlineStr">
        <is>
          <t>DKI Jakarta</t>
        </is>
      </c>
      <c r="Q311" t="inlineStr"/>
    </row>
    <row r="312">
      <c r="A312" t="inlineStr">
        <is>
          <t>HORISON CONSTRUCTION</t>
        </is>
      </c>
      <c r="B312" t="inlineStr">
        <is>
          <t>Kota Surabaya</t>
        </is>
      </c>
      <c r="C312" t="inlineStr">
        <is>
          <t>03199144199</t>
        </is>
      </c>
      <c r="D312" t="inlineStr">
        <is>
          <t>horisonconstruction@yahoo.com</t>
        </is>
      </c>
      <c r="E312" t="inlineStr">
        <is>
          <t>https://lpjk.pu.go.id/search-badan-usaha-detail/NVJnY0M5K2RQSGVVOFBJTjloVHRpQT09</t>
        </is>
      </c>
      <c r="F312" t="n">
        <v>2</v>
      </c>
      <c r="G312" t="inlineStr">
        <is>
          <t>BG001, BG009</t>
        </is>
      </c>
      <c r="H312" t="inlineStr">
        <is>
          <t>15 Juni 2023</t>
        </is>
      </c>
      <c r="I312" s="2" t="n">
        <v>46278</v>
      </c>
      <c r="J312" t="inlineStr">
        <is>
          <t>Disetujui</t>
        </is>
      </c>
      <c r="K312" t="n">
        <v>30</v>
      </c>
      <c r="L312" t="inlineStr">
        <is>
          <t>13 September 2026</t>
        </is>
      </c>
      <c r="M312" t="inlineStr">
        <is>
          <t>Konstruksi Gedung Hunian, Konstruksi Gedung Lainnya</t>
        </is>
      </c>
      <c r="N312" t="inlineStr">
        <is>
          <t>K</t>
        </is>
      </c>
      <c r="O312" t="inlineStr">
        <is>
          <t>20230913</t>
        </is>
      </c>
      <c r="P312" t="inlineStr">
        <is>
          <t>Jawa Timur</t>
        </is>
      </c>
      <c r="Q312" t="inlineStr"/>
    </row>
    <row r="313">
      <c r="A313" t="inlineStr">
        <is>
          <t>INDAH JAYA KONSTRUKSI</t>
        </is>
      </c>
      <c r="B313" t="inlineStr">
        <is>
          <t>Kota Pontianak</t>
        </is>
      </c>
      <c r="C313" t="inlineStr">
        <is>
          <t>081345277376</t>
        </is>
      </c>
      <c r="D313" t="inlineStr">
        <is>
          <t>cv.ijk20@gmail.com</t>
        </is>
      </c>
      <c r="E313" t="inlineStr">
        <is>
          <t>https://lpjk.pu.go.id/search-badan-usaha-detail/MXhyYVJzbHQxZmdtSkxQYmk0UytWZz09</t>
        </is>
      </c>
      <c r="F313" t="n">
        <v>1</v>
      </c>
      <c r="G313" t="inlineStr">
        <is>
          <t>BG002</t>
        </is>
      </c>
      <c r="H313" t="inlineStr">
        <is>
          <t>24 September 2020</t>
        </is>
      </c>
      <c r="I313" s="2" t="n">
        <v>46280</v>
      </c>
      <c r="J313" t="inlineStr">
        <is>
          <t>Disetujui</t>
        </is>
      </c>
      <c r="K313" t="n">
        <v>30</v>
      </c>
      <c r="L313" t="inlineStr">
        <is>
          <t>15 September 2026</t>
        </is>
      </c>
      <c r="M313" t="inlineStr">
        <is>
          <t>Konstruksi Gedung Perkantoran</t>
        </is>
      </c>
      <c r="N313" t="inlineStr">
        <is>
          <t>K</t>
        </is>
      </c>
      <c r="O313" t="inlineStr">
        <is>
          <t>20230914</t>
        </is>
      </c>
      <c r="P313" t="inlineStr">
        <is>
          <t>Kalimantan Barat</t>
        </is>
      </c>
      <c r="Q313" t="inlineStr"/>
    </row>
    <row r="314">
      <c r="A314" t="inlineStr">
        <is>
          <t>INDAH SAGO</t>
        </is>
      </c>
      <c r="B314" t="inlineStr">
        <is>
          <t>Kab. Pasaman</t>
        </is>
      </c>
      <c r="C314" t="inlineStr">
        <is>
          <t>082391009963</t>
        </is>
      </c>
      <c r="D314" t="inlineStr">
        <is>
          <t>cvindahsago@yahoo.com</t>
        </is>
      </c>
      <c r="E314" t="inlineStr">
        <is>
          <t>https://lpjk.pu.go.id/search-badan-usaha-detail/bEpkdzRUWERRVEo3ejZ0bHpsMHppdz09</t>
        </is>
      </c>
      <c r="F314" t="n">
        <v>1</v>
      </c>
      <c r="G314" t="inlineStr">
        <is>
          <t>BG005</t>
        </is>
      </c>
      <c r="H314" t="inlineStr">
        <is>
          <t>14 Maret 2013</t>
        </is>
      </c>
      <c r="I314" s="2" t="n">
        <v>46283</v>
      </c>
      <c r="J314" t="inlineStr">
        <is>
          <t>Disetujui</t>
        </is>
      </c>
      <c r="K314" t="n">
        <v>30</v>
      </c>
      <c r="L314" t="inlineStr">
        <is>
          <t>18 September 2026</t>
        </is>
      </c>
      <c r="M314" t="inlineStr">
        <is>
          <t>Konstruksi Gedung Kesehatan</t>
        </is>
      </c>
      <c r="N314" t="inlineStr">
        <is>
          <t>K</t>
        </is>
      </c>
      <c r="O314" t="inlineStr">
        <is>
          <t>20230919</t>
        </is>
      </c>
      <c r="P314" t="inlineStr">
        <is>
          <t>Sumatera Barat</t>
        </is>
      </c>
      <c r="Q314" t="inlineStr"/>
    </row>
    <row r="315">
      <c r="A315" t="inlineStr">
        <is>
          <t>INDO KARYA SOLUSI</t>
        </is>
      </c>
      <c r="B315" t="inlineStr">
        <is>
          <t>Kota Adm. Jakarta Selatan</t>
        </is>
      </c>
      <c r="C315" t="inlineStr">
        <is>
          <t>082114098179</t>
        </is>
      </c>
      <c r="D315" t="inlineStr">
        <is>
          <t>pt.indokaryasolusi@gmail.com</t>
        </is>
      </c>
      <c r="E315" t="inlineStr">
        <is>
          <t>https://lpjk.pu.go.id/search-badan-usaha-detail/dzhQVDNidDJ0UjZpUjd6TTlqS1g4QT09</t>
        </is>
      </c>
      <c r="F315" t="n">
        <v>1</v>
      </c>
      <c r="G315" t="inlineStr">
        <is>
          <t>BS009</t>
        </is>
      </c>
      <c r="H315" t="inlineStr">
        <is>
          <t>25 Agustus 2023</t>
        </is>
      </c>
      <c r="I315" s="2" t="n">
        <v>46282</v>
      </c>
      <c r="J315" t="inlineStr">
        <is>
          <t>Disetujui</t>
        </is>
      </c>
      <c r="K315" t="n">
        <v>30</v>
      </c>
      <c r="L315" t="inlineStr">
        <is>
          <t>17 September 2026</t>
        </is>
      </c>
      <c r="M315" t="inlineStr">
        <is>
          <t>Konstruksi Sentral Telekomunikasi</t>
        </is>
      </c>
      <c r="N315" t="inlineStr">
        <is>
          <t>K</t>
        </is>
      </c>
      <c r="O315" t="inlineStr">
        <is>
          <t>20230913</t>
        </is>
      </c>
      <c r="P315" t="inlineStr">
        <is>
          <t>DKI Jakarta</t>
        </is>
      </c>
      <c r="Q315" t="inlineStr"/>
    </row>
    <row r="316">
      <c r="A316" t="inlineStr">
        <is>
          <t>INDO RAYA MANDIRI</t>
        </is>
      </c>
      <c r="B316" t="inlineStr">
        <is>
          <t>Kab. Mamuju</t>
        </is>
      </c>
      <c r="C316" t="inlineStr">
        <is>
          <t>085255736241</t>
        </is>
      </c>
      <c r="D316" t="inlineStr">
        <is>
          <t>cvindorayamandiri03@gmail.com</t>
        </is>
      </c>
      <c r="E316" t="inlineStr">
        <is>
          <t>https://lpjk.pu.go.id/search-badan-usaha-detail/SzNXOU9HeHpjTi9seWxZMit1OEFoZz09</t>
        </is>
      </c>
      <c r="F316" t="n">
        <v>2</v>
      </c>
      <c r="G316" t="inlineStr">
        <is>
          <t>BG002, BG006</t>
        </is>
      </c>
      <c r="H316" t="inlineStr">
        <is>
          <t>18 Juni 2014</t>
        </is>
      </c>
      <c r="I316" s="2" t="n">
        <v>46278</v>
      </c>
      <c r="J316" t="inlineStr">
        <is>
          <t>Pencabutan</t>
        </is>
      </c>
      <c r="K316" t="n">
        <v>30</v>
      </c>
      <c r="L316" t="inlineStr">
        <is>
          <t>13 September 2026</t>
        </is>
      </c>
      <c r="M316" t="inlineStr">
        <is>
          <t>Konstruksi Gedung Pendidikan, Konstruksi Gedung Perkantoran</t>
        </is>
      </c>
      <c r="N316" t="inlineStr">
        <is>
          <t>K</t>
        </is>
      </c>
      <c r="O316" t="inlineStr">
        <is>
          <t>20230603, 20230914</t>
        </is>
      </c>
      <c r="P316" t="inlineStr">
        <is>
          <t>Sulawesi Barat</t>
        </is>
      </c>
      <c r="Q316" t="inlineStr"/>
    </row>
    <row r="317">
      <c r="A317" t="inlineStr">
        <is>
          <t>INDO TEHNIK INDUSTRI</t>
        </is>
      </c>
      <c r="B317" t="inlineStr">
        <is>
          <t>Kota Surabaya</t>
        </is>
      </c>
      <c r="C317" t="inlineStr">
        <is>
          <t>0317327280</t>
        </is>
      </c>
      <c r="D317" t="inlineStr">
        <is>
          <t>itisby@gmail.com</t>
        </is>
      </c>
      <c r="E317" t="inlineStr">
        <is>
          <t>https://lpjk.pu.go.id/search-badan-usaha-detail/bTNkdzArM0EwOWh4eWtEWWl5UHg5QT09</t>
        </is>
      </c>
      <c r="F317" t="n">
        <v>1</v>
      </c>
      <c r="G317" t="inlineStr">
        <is>
          <t>IN001</t>
        </is>
      </c>
      <c r="H317" t="inlineStr">
        <is>
          <t>14 Februari 1997</t>
        </is>
      </c>
      <c r="I317" s="2" t="n">
        <v>46279</v>
      </c>
      <c r="J317" t="inlineStr">
        <is>
          <t>Pembekuan</t>
        </is>
      </c>
      <c r="K317" t="n">
        <v>30</v>
      </c>
      <c r="L317" t="inlineStr">
        <is>
          <t>14 September 2026</t>
        </is>
      </c>
      <c r="M317" t="inlineStr">
        <is>
          <t>Instalasi Mekanikal</t>
        </is>
      </c>
      <c r="N317" t="inlineStr">
        <is>
          <t>Spesialis</t>
        </is>
      </c>
      <c r="O317" t="inlineStr">
        <is>
          <t>20230905</t>
        </is>
      </c>
      <c r="P317" t="inlineStr">
        <is>
          <t>Jawa Timur</t>
        </is>
      </c>
      <c r="Q317" t="inlineStr"/>
    </row>
    <row r="318">
      <c r="A318" t="inlineStr">
        <is>
          <t>INDOCIVIL CORPORATION</t>
        </is>
      </c>
      <c r="B318" t="inlineStr">
        <is>
          <t>Kab. Luwu</t>
        </is>
      </c>
      <c r="C318" t="inlineStr">
        <is>
          <t>081242806600</t>
        </is>
      </c>
      <c r="D318" t="inlineStr">
        <is>
          <t>lapposadaruddin@gmail.com</t>
        </is>
      </c>
      <c r="E318" t="inlineStr">
        <is>
          <t>https://lpjk.pu.go.id/search-badan-usaha-detail/WVlJMW9nUWQwY1hXLzBteXNoYng1UT09</t>
        </is>
      </c>
      <c r="F318" t="n">
        <v>2</v>
      </c>
      <c r="G318" t="inlineStr">
        <is>
          <t>BS001, BS005</t>
        </is>
      </c>
      <c r="H318" t="inlineStr">
        <is>
          <t>9 Februari 2015</t>
        </is>
      </c>
      <c r="I318" s="2" t="n">
        <v>46278</v>
      </c>
      <c r="J318" t="inlineStr">
        <is>
          <t>Disetujui</t>
        </is>
      </c>
      <c r="K318" t="n">
        <v>30</v>
      </c>
      <c r="L318" t="inlineStr">
        <is>
          <t>13 September 2026</t>
        </is>
      </c>
      <c r="M318" t="inlineStr">
        <is>
          <t>Konstruksi Bangunan Sipil Jalan, Konstruksi Bangunan Sipil Pengolahan Air Bersih</t>
        </is>
      </c>
      <c r="N318" t="inlineStr">
        <is>
          <t>K</t>
        </is>
      </c>
      <c r="O318" t="inlineStr">
        <is>
          <t>20230909</t>
        </is>
      </c>
      <c r="P318" t="inlineStr">
        <is>
          <t>Sulawesi Selatan</t>
        </is>
      </c>
      <c r="Q318" t="inlineStr"/>
    </row>
    <row r="319">
      <c r="A319" t="inlineStr">
        <is>
          <t>INDOSURYA GUNATAMA</t>
        </is>
      </c>
      <c r="B319" t="inlineStr">
        <is>
          <t>Kab. Kendal</t>
        </is>
      </c>
      <c r="C319" t="inlineStr">
        <is>
          <t>082136876797</t>
        </is>
      </c>
      <c r="D319" t="inlineStr">
        <is>
          <t>indolink_isg@yahoo.com</t>
        </is>
      </c>
      <c r="E319" t="inlineStr">
        <is>
          <t>https://lpjk.pu.go.id/search-badan-usaha-detail/KzNkMTNRalVpRDVlbzVrNnhJcGcxZz09</t>
        </is>
      </c>
      <c r="F319" t="n">
        <v>2</v>
      </c>
      <c r="G319" t="inlineStr">
        <is>
          <t>BG009</t>
        </is>
      </c>
      <c r="H319" t="inlineStr">
        <is>
          <t>20 Januari 2023</t>
        </is>
      </c>
      <c r="I319" s="2" t="n">
        <v>46283</v>
      </c>
      <c r="J319" t="inlineStr">
        <is>
          <t>Disetujui</t>
        </is>
      </c>
      <c r="K319" t="n">
        <v>30</v>
      </c>
      <c r="L319" t="inlineStr">
        <is>
          <t>18 September 2026</t>
        </is>
      </c>
      <c r="M319" t="inlineStr">
        <is>
          <t>Konstruksi Gedung Lainnya</t>
        </is>
      </c>
      <c r="N319" t="inlineStr">
        <is>
          <t>K</t>
        </is>
      </c>
      <c r="O319" t="inlineStr">
        <is>
          <t>20230916</t>
        </is>
      </c>
      <c r="P319" t="inlineStr">
        <is>
          <t>Jawa Tengah</t>
        </is>
      </c>
      <c r="Q319" t="inlineStr"/>
    </row>
    <row r="320">
      <c r="A320" t="inlineStr">
        <is>
          <t>INDRA JAYA EMPAT DUA</t>
        </is>
      </c>
      <c r="B320" t="inlineStr">
        <is>
          <t>Kab. Kotabaru</t>
        </is>
      </c>
      <c r="C320" t="inlineStr">
        <is>
          <t>081255042226</t>
        </is>
      </c>
      <c r="D320" t="inlineStr">
        <is>
          <t>cvindrajayaempatdua@gmail.com</t>
        </is>
      </c>
      <c r="E320" t="inlineStr">
        <is>
          <t>https://lpjk.pu.go.id/search-badan-usaha-detail/b21BVXB3VlA3ZFNmQUdvMVp1eXhtdz09</t>
        </is>
      </c>
      <c r="F320" t="n">
        <v>1</v>
      </c>
      <c r="G320" t="inlineStr">
        <is>
          <t>BG009</t>
        </is>
      </c>
      <c r="H320" t="inlineStr">
        <is>
          <t>12 Juli 2023</t>
        </is>
      </c>
      <c r="I320" s="2" t="n">
        <v>46278</v>
      </c>
      <c r="J320" t="inlineStr">
        <is>
          <t>Disetujui</t>
        </is>
      </c>
      <c r="K320" t="n">
        <v>30</v>
      </c>
      <c r="L320" t="inlineStr">
        <is>
          <t>13 September 2026</t>
        </is>
      </c>
      <c r="M320" t="inlineStr">
        <is>
          <t>Konstruksi Gedung Lainnya</t>
        </is>
      </c>
      <c r="N320" t="inlineStr">
        <is>
          <t>K</t>
        </is>
      </c>
      <c r="O320" t="inlineStr">
        <is>
          <t>20230907</t>
        </is>
      </c>
      <c r="P320" t="inlineStr">
        <is>
          <t>Kalimantan Selatan</t>
        </is>
      </c>
      <c r="Q320" t="inlineStr"/>
    </row>
    <row r="321">
      <c r="A321" t="inlineStr">
        <is>
          <t>INDRICHA</t>
        </is>
      </c>
      <c r="B321" t="inlineStr">
        <is>
          <t>Kab. Kutai Timur</t>
        </is>
      </c>
      <c r="C321" t="inlineStr">
        <is>
          <t>082148908076</t>
        </is>
      </c>
      <c r="D321" t="inlineStr">
        <is>
          <t>indrichacv@gmail.com</t>
        </is>
      </c>
      <c r="E321" t="inlineStr">
        <is>
          <t>https://lpjk.pu.go.id/search-badan-usaha-detail/Mk4xcVJDeXdsWlJjdUMrRURZL3dZQT09</t>
        </is>
      </c>
      <c r="F321" t="n">
        <v>1</v>
      </c>
      <c r="G321" t="inlineStr">
        <is>
          <t>BS004</t>
        </is>
      </c>
      <c r="H321" t="inlineStr">
        <is>
          <t>17 Januari 2004</t>
        </is>
      </c>
      <c r="I321" s="2" t="n">
        <v>46283</v>
      </c>
      <c r="J321" t="inlineStr">
        <is>
          <t>Disetujui</t>
        </is>
      </c>
      <c r="K321" t="n">
        <v>30</v>
      </c>
      <c r="L321" t="inlineStr">
        <is>
          <t>18 September 2026</t>
        </is>
      </c>
      <c r="M321" t="inlineStr">
        <is>
          <t>Konstruksi Jaringan Irigasi dan Drainase</t>
        </is>
      </c>
      <c r="N321" t="inlineStr">
        <is>
          <t>K</t>
        </is>
      </c>
      <c r="O321" t="inlineStr">
        <is>
          <t>20230911</t>
        </is>
      </c>
      <c r="P321" t="inlineStr">
        <is>
          <t>Kalimantan Timur</t>
        </is>
      </c>
      <c r="Q321" t="inlineStr"/>
    </row>
    <row r="322">
      <c r="A322" t="inlineStr">
        <is>
          <t>INSANA ABADI</t>
        </is>
      </c>
      <c r="B322" t="inlineStr">
        <is>
          <t>Kab. Jayawijaya</t>
        </is>
      </c>
      <c r="C322" t="inlineStr">
        <is>
          <t>081339429896</t>
        </is>
      </c>
      <c r="D322" t="inlineStr">
        <is>
          <t>insana.abadi.cv@gmail.com</t>
        </is>
      </c>
      <c r="E322" t="inlineStr">
        <is>
          <t>https://lpjk.pu.go.id/search-badan-usaha-detail/UXY3UkczS2N2Zkg5Y2l3OGl6dk1hQT09</t>
        </is>
      </c>
      <c r="F322" t="n">
        <v>1</v>
      </c>
      <c r="G322" t="inlineStr">
        <is>
          <t>BS005</t>
        </is>
      </c>
      <c r="H322" t="inlineStr">
        <is>
          <t>6 Oktober 2011</t>
        </is>
      </c>
      <c r="I322" s="2" t="n">
        <v>46278</v>
      </c>
      <c r="J322" t="inlineStr">
        <is>
          <t>Disetujui</t>
        </is>
      </c>
      <c r="K322" t="n">
        <v>30</v>
      </c>
      <c r="L322" t="inlineStr">
        <is>
          <t>13 September 2026</t>
        </is>
      </c>
      <c r="M322" t="inlineStr">
        <is>
          <t>Konstruksi Bangunan Sipil Pengolahan Air Bersih</t>
        </is>
      </c>
      <c r="N322" t="inlineStr">
        <is>
          <t>K</t>
        </is>
      </c>
      <c r="O322" t="inlineStr">
        <is>
          <t>20230914</t>
        </is>
      </c>
      <c r="P322" t="inlineStr">
        <is>
          <t>Papua</t>
        </is>
      </c>
      <c r="Q322" t="inlineStr"/>
    </row>
    <row r="323">
      <c r="A323" t="inlineStr">
        <is>
          <t>INTAN ABADI</t>
        </is>
      </c>
      <c r="B323" t="inlineStr">
        <is>
          <t>Kab. Ketapang</t>
        </is>
      </c>
      <c r="C323" t="inlineStr">
        <is>
          <t>081345310997</t>
        </is>
      </c>
      <c r="D323" t="inlineStr">
        <is>
          <t>jemainketapangpribadi@gmail.com</t>
        </is>
      </c>
      <c r="E323" t="inlineStr">
        <is>
          <t>https://lpjk.pu.go.id/search-badan-usaha-detail/T0JZZjVEQ21qby95bTJJcDh0VjA0UT09</t>
        </is>
      </c>
      <c r="F323" t="n">
        <v>2</v>
      </c>
      <c r="G323" t="inlineStr">
        <is>
          <t>BS001, BS004</t>
        </is>
      </c>
      <c r="H323" t="inlineStr">
        <is>
          <t>21 Desember 2011</t>
        </is>
      </c>
      <c r="I323" s="2" t="n">
        <v>46280</v>
      </c>
      <c r="J323" t="inlineStr">
        <is>
          <t>Disetujui</t>
        </is>
      </c>
      <c r="K323" t="n">
        <v>30</v>
      </c>
      <c r="L323" t="inlineStr">
        <is>
          <t>15 September 2026</t>
        </is>
      </c>
      <c r="M323" t="inlineStr">
        <is>
          <t>Konstruksi Bangunan Sipil Jalan, Konstruksi Jaringan Irigasi dan Drainase</t>
        </is>
      </c>
      <c r="N323" t="inlineStr">
        <is>
          <t>K</t>
        </is>
      </c>
      <c r="O323" t="inlineStr">
        <is>
          <t>20230912, 20230913</t>
        </is>
      </c>
      <c r="P323" t="inlineStr">
        <is>
          <t>Kalimantan Barat</t>
        </is>
      </c>
      <c r="Q323" t="inlineStr"/>
    </row>
    <row r="324">
      <c r="A324" t="inlineStr">
        <is>
          <t>INTAN SAGA MERAH</t>
        </is>
      </c>
      <c r="B324" t="inlineStr">
        <is>
          <t>Kab. Sijunjung</t>
        </is>
      </c>
      <c r="C324" t="inlineStr">
        <is>
          <t>082123082757</t>
        </is>
      </c>
      <c r="D324" t="inlineStr">
        <is>
          <t>cvintansagamerah@gmail.com</t>
        </is>
      </c>
      <c r="E324" t="inlineStr">
        <is>
          <t>https://lpjk.pu.go.id/search-badan-usaha-detail/ZU0xd2svRkxwV0VJRGMvYWdjS2Fxdz09</t>
        </is>
      </c>
      <c r="F324" t="n">
        <v>2</v>
      </c>
      <c r="G324" t="inlineStr">
        <is>
          <t>BG006, BS001</t>
        </is>
      </c>
      <c r="H324" t="inlineStr">
        <is>
          <t>18 Februari 1997</t>
        </is>
      </c>
      <c r="I324" s="2" t="n">
        <v>46282</v>
      </c>
      <c r="J324" t="inlineStr">
        <is>
          <t>Disetujui</t>
        </is>
      </c>
      <c r="K324" t="n">
        <v>30</v>
      </c>
      <c r="L324" t="inlineStr">
        <is>
          <t>17 September 2026</t>
        </is>
      </c>
      <c r="M324" t="inlineStr">
        <is>
          <t>Konstruksi Bangunan Sipil Jalan, Konstruksi Gedung Pendidikan</t>
        </is>
      </c>
      <c r="N324" t="inlineStr">
        <is>
          <t>K</t>
        </is>
      </c>
      <c r="O324" t="inlineStr">
        <is>
          <t>20230916</t>
        </is>
      </c>
      <c r="P324" t="inlineStr">
        <is>
          <t>Sumatera Barat</t>
        </is>
      </c>
      <c r="Q324" t="inlineStr"/>
    </row>
    <row r="325">
      <c r="A325" t="inlineStr">
        <is>
          <t>INTI DAMAR PAPUA</t>
        </is>
      </c>
      <c r="B325" t="inlineStr">
        <is>
          <t>Kab. Jayapura</t>
        </is>
      </c>
      <c r="C325" t="inlineStr">
        <is>
          <t>081212307457</t>
        </is>
      </c>
      <c r="D325" t="inlineStr">
        <is>
          <t>intidamarpapua@gmail.com</t>
        </is>
      </c>
      <c r="E325" t="inlineStr">
        <is>
          <t>https://lpjk.pu.go.id/search-badan-usaha-detail/ZDRlYUVtWU42cXgveCtBNjFkMlU4UT09</t>
        </is>
      </c>
      <c r="F325" t="n">
        <v>5</v>
      </c>
      <c r="G325" t="inlineStr">
        <is>
          <t>BG002, BG005, BG006, BG008, BG009</t>
        </is>
      </c>
      <c r="H325" t="inlineStr">
        <is>
          <t>13 Januari 2021</t>
        </is>
      </c>
      <c r="I325" s="2" t="n">
        <v>46283</v>
      </c>
      <c r="J325" t="inlineStr">
        <is>
          <t>Disetujui</t>
        </is>
      </c>
      <c r="K325" t="n">
        <v>30</v>
      </c>
      <c r="L325" t="inlineStr">
        <is>
          <t>18 September 2026</t>
        </is>
      </c>
      <c r="M325" t="inlineStr">
        <is>
          <t>Konstruksi Gedung Kesehatan, Konstruksi Gedung Lainnya, Konstruksi Gedung Pendidikan, Konstruksi Gedung Perkantoran, Konstruksi Gedung Tempat Hiburan dan Olahraga</t>
        </is>
      </c>
      <c r="N325" t="inlineStr">
        <is>
          <t>K</t>
        </is>
      </c>
      <c r="O325" t="inlineStr">
        <is>
          <t>20230814</t>
        </is>
      </c>
      <c r="P325" t="inlineStr">
        <is>
          <t>Papua</t>
        </is>
      </c>
      <c r="Q325" t="inlineStr"/>
    </row>
    <row r="326">
      <c r="A326" t="inlineStr">
        <is>
          <t>INTI PERSADA</t>
        </is>
      </c>
      <c r="B326" t="inlineStr">
        <is>
          <t>Kab. Sanggau</t>
        </is>
      </c>
      <c r="C326" t="inlineStr">
        <is>
          <t>081345978322</t>
        </is>
      </c>
      <c r="D326" t="inlineStr">
        <is>
          <t>cv.intipersadasgu@gmail.com</t>
        </is>
      </c>
      <c r="E326" t="inlineStr">
        <is>
          <t>https://lpjk.pu.go.id/search-badan-usaha-detail/dFpzZ3pHNnBsMG14Smp0bjdheTNKUT09</t>
        </is>
      </c>
      <c r="F326" t="n">
        <v>1</v>
      </c>
      <c r="G326" t="inlineStr">
        <is>
          <t>BS001</t>
        </is>
      </c>
      <c r="H326" t="inlineStr">
        <is>
          <t>8 Januari 1992</t>
        </is>
      </c>
      <c r="I326" s="2" t="n">
        <v>46279</v>
      </c>
      <c r="J326" t="inlineStr">
        <is>
          <t>Disetujui</t>
        </is>
      </c>
      <c r="K326" t="n">
        <v>30</v>
      </c>
      <c r="L326" t="inlineStr">
        <is>
          <t>14 September 2026</t>
        </is>
      </c>
      <c r="M326" t="inlineStr">
        <is>
          <t>Konstruksi Bangunan Sipil Jalan</t>
        </is>
      </c>
      <c r="N326" t="inlineStr">
        <is>
          <t>K</t>
        </is>
      </c>
      <c r="O326" t="inlineStr">
        <is>
          <t>20230914</t>
        </is>
      </c>
      <c r="P326" t="inlineStr">
        <is>
          <t>Kalimantan Barat</t>
        </is>
      </c>
      <c r="Q326" t="inlineStr"/>
    </row>
    <row r="327">
      <c r="A327" t="inlineStr">
        <is>
          <t>JAGAD LANGLANGBUANA</t>
        </is>
      </c>
      <c r="B327" t="inlineStr">
        <is>
          <t>Kota Serang</t>
        </is>
      </c>
      <c r="C327" t="inlineStr">
        <is>
          <t>08176544468</t>
        </is>
      </c>
      <c r="D327" t="inlineStr">
        <is>
          <t>jagad.cv2023@gmail.com</t>
        </is>
      </c>
      <c r="E327" t="inlineStr">
        <is>
          <t>https://lpjk.pu.go.id/search-badan-usaha-detail/ajRnTXU1aWw1YWVSMGZRaXNEaUxyQT09</t>
        </is>
      </c>
      <c r="F327" t="n">
        <v>1</v>
      </c>
      <c r="G327" t="inlineStr">
        <is>
          <t>PB010</t>
        </is>
      </c>
      <c r="H327" t="inlineStr">
        <is>
          <t>26 Januari 2023</t>
        </is>
      </c>
      <c r="I327" s="2" t="n">
        <v>46278</v>
      </c>
      <c r="J327" t="inlineStr">
        <is>
          <t>Pencabutan</t>
        </is>
      </c>
      <c r="K327" t="n">
        <v>30</v>
      </c>
      <c r="L327" t="inlineStr">
        <is>
          <t>13 September 2026</t>
        </is>
      </c>
      <c r="M327" t="inlineStr">
        <is>
          <t>Pekerjaan Lanskap, Pertamanan, dan Penanaman Vegetasi</t>
        </is>
      </c>
      <c r="N327" t="inlineStr">
        <is>
          <t>Spesialis</t>
        </is>
      </c>
      <c r="O327" t="inlineStr">
        <is>
          <t>20230911</t>
        </is>
      </c>
      <c r="P327" t="inlineStr">
        <is>
          <t>Banten</t>
        </is>
      </c>
      <c r="Q327" t="inlineStr"/>
    </row>
    <row r="328">
      <c r="A328" t="inlineStr">
        <is>
          <t>JALAN MANDIRI SEJAHTERA</t>
        </is>
      </c>
      <c r="B328" t="inlineStr">
        <is>
          <t>Kota Surabaya</t>
        </is>
      </c>
      <c r="C328" t="inlineStr">
        <is>
          <t>081703888998</t>
        </is>
      </c>
      <c r="D328" t="inlineStr">
        <is>
          <t>jmsproject.ad@gmail.com</t>
        </is>
      </c>
      <c r="E328" t="inlineStr">
        <is>
          <t>https://lpjk.pu.go.id/search-badan-usaha-detail/L1lReVBadmRIS2xUdUV4cXhtSTRMdz09</t>
        </is>
      </c>
      <c r="F328" t="n">
        <v>4</v>
      </c>
      <c r="G328" t="inlineStr">
        <is>
          <t>BG001, BG002, BG004, BG007</t>
        </is>
      </c>
      <c r="H328" t="inlineStr">
        <is>
          <t>24 Agustus 2022</t>
        </is>
      </c>
      <c r="I328" s="2" t="n">
        <v>46283</v>
      </c>
      <c r="J328" t="inlineStr">
        <is>
          <t>Disetujui</t>
        </is>
      </c>
      <c r="K328" t="n">
        <v>30</v>
      </c>
      <c r="L328" t="inlineStr">
        <is>
          <t>18 September 2026</t>
        </is>
      </c>
      <c r="M328" t="inlineStr">
        <is>
          <t>Konstruksi Gedung Hunian, Konstruksi Gedung Penginapan, Konstruksi Gedung Perbelanjaan, Konstruksi Gedung Perkantoran</t>
        </is>
      </c>
      <c r="N328" t="inlineStr">
        <is>
          <t>K</t>
        </is>
      </c>
      <c r="O328" t="inlineStr">
        <is>
          <t>20230912</t>
        </is>
      </c>
      <c r="P328" t="inlineStr">
        <is>
          <t>Jawa Timur</t>
        </is>
      </c>
      <c r="Q328" t="inlineStr"/>
    </row>
    <row r="329">
      <c r="A329" t="inlineStr">
        <is>
          <t>JANUR BERKAH SENTOSA</t>
        </is>
      </c>
      <c r="B329" t="inlineStr">
        <is>
          <t>Kota Yogyakarta</t>
        </is>
      </c>
      <c r="C329" t="inlineStr">
        <is>
          <t>081325060347</t>
        </is>
      </c>
      <c r="D329" t="inlineStr">
        <is>
          <t>cvjbsindonesia@gmail.com</t>
        </is>
      </c>
      <c r="E329" t="inlineStr">
        <is>
          <t>https://lpjk.pu.go.id/search-badan-usaha-detail/UXFPYzNWZXhIM0Y2VnVnMGFhanJZdz09</t>
        </is>
      </c>
      <c r="F329" t="n">
        <v>1</v>
      </c>
      <c r="G329" t="inlineStr">
        <is>
          <t>BG004</t>
        </is>
      </c>
      <c r="H329" t="inlineStr">
        <is>
          <t>19 Maret 2020</t>
        </is>
      </c>
      <c r="I329" s="2" t="n">
        <v>46277</v>
      </c>
      <c r="J329" t="inlineStr">
        <is>
          <t>Disetujui</t>
        </is>
      </c>
      <c r="K329" t="n">
        <v>30</v>
      </c>
      <c r="L329" t="inlineStr">
        <is>
          <t>12 September 2026</t>
        </is>
      </c>
      <c r="M329" t="inlineStr">
        <is>
          <t>Konstruksi Gedung Perbelanjaan</t>
        </is>
      </c>
      <c r="N329" t="inlineStr">
        <is>
          <t>K</t>
        </is>
      </c>
      <c r="O329" t="inlineStr">
        <is>
          <t>20230831</t>
        </is>
      </c>
      <c r="P329" t="inlineStr">
        <is>
          <t>DI Yogyakarta</t>
        </is>
      </c>
      <c r="Q329" t="inlineStr"/>
    </row>
    <row r="330">
      <c r="A330" t="inlineStr">
        <is>
          <t>JASA MITRA MANUNGGAL</t>
        </is>
      </c>
      <c r="B330" t="inlineStr">
        <is>
          <t>Kota Bandung</t>
        </is>
      </c>
      <c r="C330" t="inlineStr">
        <is>
          <t>0227536425</t>
        </is>
      </c>
      <c r="D330" t="inlineStr">
        <is>
          <t>jasamitra83@gmail.com</t>
        </is>
      </c>
      <c r="E330" t="inlineStr">
        <is>
          <t>https://lpjk.pu.go.id/search-badan-usaha-detail/STk4bVZZbDhELzhxcURJM2VaWXVSdz09</t>
        </is>
      </c>
      <c r="F330" t="n">
        <v>1</v>
      </c>
      <c r="G330" t="inlineStr">
        <is>
          <t>IT003</t>
        </is>
      </c>
      <c r="H330" t="inlineStr">
        <is>
          <t>16 Agustus 1983</t>
        </is>
      </c>
      <c r="I330" s="2" t="n">
        <v>46282</v>
      </c>
      <c r="J330" t="inlineStr">
        <is>
          <t>Disetujui</t>
        </is>
      </c>
      <c r="K330" t="n">
        <v>30</v>
      </c>
      <c r="L330" t="inlineStr">
        <is>
          <t>17 September 2026</t>
        </is>
      </c>
      <c r="M330" t="inlineStr">
        <is>
          <t>Jasa Konsultansi Ilmiah dan Teknis Permukaan Tanah dan Pembuatan Peta</t>
        </is>
      </c>
      <c r="N330" t="inlineStr">
        <is>
          <t>Spesialis</t>
        </is>
      </c>
      <c r="O330" t="inlineStr">
        <is>
          <t>20230830</t>
        </is>
      </c>
      <c r="P330" t="inlineStr">
        <is>
          <t>Jawa Barat</t>
        </is>
      </c>
      <c r="Q330" t="inlineStr"/>
    </row>
    <row r="331">
      <c r="A331" t="inlineStr">
        <is>
          <t>JATI MULYA WIJAYA</t>
        </is>
      </c>
      <c r="B331" t="inlineStr">
        <is>
          <t>Kab. Tuban</t>
        </is>
      </c>
      <c r="C331" t="inlineStr">
        <is>
          <t>081232366543</t>
        </is>
      </c>
      <c r="D331" t="inlineStr">
        <is>
          <t>jati2020mulya@gmail.com</t>
        </is>
      </c>
      <c r="E331" t="inlineStr">
        <is>
          <t>https://lpjk.pu.go.id/search-badan-usaha-detail/WHNWYWpKTUJsWDlRK2dJZThEN3BlQT09</t>
        </is>
      </c>
      <c r="F331" t="n">
        <v>2</v>
      </c>
      <c r="G331" t="inlineStr">
        <is>
          <t>BS001, BS007</t>
        </is>
      </c>
      <c r="H331" t="inlineStr">
        <is>
          <t>24 Juni 2020</t>
        </is>
      </c>
      <c r="I331" s="2" t="n">
        <v>46279</v>
      </c>
      <c r="J331" t="inlineStr">
        <is>
          <t>Disetujui</t>
        </is>
      </c>
      <c r="K331" t="n">
        <v>30</v>
      </c>
      <c r="L331" t="inlineStr">
        <is>
          <t>14 September 2026</t>
        </is>
      </c>
      <c r="M331" t="inlineStr">
        <is>
          <t>Konstruksi Bangunan Sipil Elektrikal, Konstruksi Bangunan Sipil Jalan</t>
        </is>
      </c>
      <c r="N331" t="inlineStr">
        <is>
          <t>K</t>
        </is>
      </c>
      <c r="O331" t="inlineStr">
        <is>
          <t>20230914</t>
        </is>
      </c>
      <c r="P331" t="inlineStr">
        <is>
          <t>Jawa Timur</t>
        </is>
      </c>
      <c r="Q331" t="inlineStr"/>
    </row>
    <row r="332">
      <c r="A332" t="inlineStr">
        <is>
          <t>JATRA INDO TEKNIK</t>
        </is>
      </c>
      <c r="B332" t="inlineStr">
        <is>
          <t>Kab. Karawang</t>
        </is>
      </c>
      <c r="C332" t="inlineStr">
        <is>
          <t>081334722200</t>
        </is>
      </c>
      <c r="D332" t="inlineStr">
        <is>
          <t>jatraindoteknik@gmail.com</t>
        </is>
      </c>
      <c r="E332" t="inlineStr">
        <is>
          <t>https://lpjk.pu.go.id/search-badan-usaha-detail/TEUraHZ2d0MxV05KNG9uUDVsekNWUT09</t>
        </is>
      </c>
      <c r="F332" t="n">
        <v>2</v>
      </c>
      <c r="G332" t="inlineStr">
        <is>
          <t>BG003</t>
        </is>
      </c>
      <c r="H332" t="inlineStr">
        <is>
          <t>1 Juli 2023</t>
        </is>
      </c>
      <c r="I332" s="2" t="n">
        <v>46282</v>
      </c>
      <c r="J332" t="inlineStr">
        <is>
          <t>Disetujui</t>
        </is>
      </c>
      <c r="K332" t="n">
        <v>30</v>
      </c>
      <c r="L332" t="inlineStr">
        <is>
          <t>17 September 2026</t>
        </is>
      </c>
      <c r="M332" t="inlineStr">
        <is>
          <t>Konstruksi Gedung Industri</t>
        </is>
      </c>
      <c r="N332" t="inlineStr">
        <is>
          <t>K</t>
        </is>
      </c>
      <c r="O332" t="inlineStr">
        <is>
          <t>20230907</t>
        </is>
      </c>
      <c r="P332" t="inlineStr">
        <is>
          <t>Jawa Barat</t>
        </is>
      </c>
      <c r="Q332" t="inlineStr"/>
    </row>
    <row r="333">
      <c r="A333" t="inlineStr">
        <is>
          <t>JATRA MANDIRI PERKASA</t>
        </is>
      </c>
      <c r="B333" t="inlineStr">
        <is>
          <t>Kota Cirebon</t>
        </is>
      </c>
      <c r="C333" t="inlineStr">
        <is>
          <t>0231255117</t>
        </is>
      </c>
      <c r="D333" t="inlineStr">
        <is>
          <t>ptjmpcbn@gmail.com</t>
        </is>
      </c>
      <c r="E333" t="inlineStr">
        <is>
          <t>https://lpjk.pu.go.id/search-badan-usaha-detail/bkF0T211TCtRUW9KK1VKcVF5K1Ivdz09</t>
        </is>
      </c>
      <c r="F333" t="n">
        <v>2</v>
      </c>
      <c r="G333" t="inlineStr">
        <is>
          <t>BS009</t>
        </is>
      </c>
      <c r="H333" t="inlineStr">
        <is>
          <t>10 Oktober 2007</t>
        </is>
      </c>
      <c r="I333" s="2" t="n">
        <v>46283</v>
      </c>
      <c r="J333" t="inlineStr">
        <is>
          <t>Disetujui</t>
        </is>
      </c>
      <c r="K333" t="n">
        <v>30</v>
      </c>
      <c r="L333" t="inlineStr">
        <is>
          <t>18 September 2026</t>
        </is>
      </c>
      <c r="M333" t="inlineStr">
        <is>
          <t>Konstruksi Sentral Telekomunikasi</t>
        </is>
      </c>
      <c r="N333" t="inlineStr">
        <is>
          <t>K</t>
        </is>
      </c>
      <c r="O333" t="inlineStr">
        <is>
          <t>20230915</t>
        </is>
      </c>
      <c r="P333" t="inlineStr">
        <is>
          <t>Jawa Barat</t>
        </is>
      </c>
      <c r="Q333" t="inlineStr"/>
    </row>
    <row r="334">
      <c r="A334" t="inlineStr">
        <is>
          <t>JAVA NARDI DESIGN</t>
        </is>
      </c>
      <c r="B334" t="inlineStr">
        <is>
          <t>Kota Semarang</t>
        </is>
      </c>
      <c r="C334" t="inlineStr">
        <is>
          <t>085740797734</t>
        </is>
      </c>
      <c r="D334" t="inlineStr">
        <is>
          <t>nardidesigncv16@gmail.com</t>
        </is>
      </c>
      <c r="E334" t="inlineStr">
        <is>
          <t>https://lpjk.pu.go.id/search-badan-usaha-detail/SG5Qc1JJdVZOK0ZMd211bHJkc1hpdz09</t>
        </is>
      </c>
      <c r="F334" t="n">
        <v>3</v>
      </c>
      <c r="G334" t="inlineStr">
        <is>
          <t>RK001, RK002, RK003</t>
        </is>
      </c>
      <c r="H334" t="inlineStr">
        <is>
          <t>7 Maret 2016</t>
        </is>
      </c>
      <c r="I334" s="2" t="n">
        <v>46279</v>
      </c>
      <c r="J334" t="inlineStr">
        <is>
          <t>Disetujui</t>
        </is>
      </c>
      <c r="K334" t="n">
        <v>30</v>
      </c>
      <c r="L334" t="inlineStr">
        <is>
          <t>14 September 2026</t>
        </is>
      </c>
      <c r="M334" t="inlineStr">
        <is>
          <t>Jasa Rekayasa Konstruksi Bangunan Gedung Hunian dan Non Hunian, Jasa Rekayasa Pekerjaan Teknik Sipil Sumber Daya Air, Jasa Rekayasa Pekerjaan Teknik Sipil Transportasi</t>
        </is>
      </c>
      <c r="N334" t="inlineStr">
        <is>
          <t>K</t>
        </is>
      </c>
      <c r="O334" t="inlineStr">
        <is>
          <t>20230904</t>
        </is>
      </c>
      <c r="P334" t="inlineStr">
        <is>
          <t>Jawa Tengah</t>
        </is>
      </c>
      <c r="Q334" t="inlineStr"/>
    </row>
    <row r="335">
      <c r="A335" t="inlineStr">
        <is>
          <t>JAWA DWIPHA</t>
        </is>
      </c>
      <c r="B335" t="inlineStr">
        <is>
          <t>Kota Magelang</t>
        </is>
      </c>
      <c r="C335" t="inlineStr">
        <is>
          <t>361133</t>
        </is>
      </c>
      <c r="D335" t="inlineStr">
        <is>
          <t>cvjawadwipha@gmail.com</t>
        </is>
      </c>
      <c r="E335" t="inlineStr">
        <is>
          <t>https://lpjk.pu.go.id/search-badan-usaha-detail/ZkgyNUJua25qdnptUVoxejlsdUlGdz09</t>
        </is>
      </c>
      <c r="F335" t="n">
        <v>2</v>
      </c>
      <c r="G335" t="inlineStr">
        <is>
          <t>BG002, BG006</t>
        </is>
      </c>
      <c r="H335" t="inlineStr">
        <is>
          <t>25 September 1991</t>
        </is>
      </c>
      <c r="I335" s="2" t="n">
        <v>46282</v>
      </c>
      <c r="J335" t="inlineStr">
        <is>
          <t>Disetujui</t>
        </is>
      </c>
      <c r="K335" t="n">
        <v>30</v>
      </c>
      <c r="L335" t="inlineStr">
        <is>
          <t>17 September 2026</t>
        </is>
      </c>
      <c r="M335" t="inlineStr">
        <is>
          <t>Konstruksi Gedung Pendidikan, Konstruksi Gedung Perkantoran</t>
        </is>
      </c>
      <c r="N335" t="inlineStr">
        <is>
          <t>K</t>
        </is>
      </c>
      <c r="O335" t="inlineStr">
        <is>
          <t>20230904, 20230915</t>
        </is>
      </c>
      <c r="P335" t="inlineStr">
        <is>
          <t>Jawa Tengah</t>
        </is>
      </c>
      <c r="Q335" t="inlineStr"/>
    </row>
    <row r="336">
      <c r="A336" t="inlineStr">
        <is>
          <t>JAYA ANUGERAH</t>
        </is>
      </c>
      <c r="B336" t="inlineStr">
        <is>
          <t>Kab. Tuban</t>
        </is>
      </c>
      <c r="C336" t="inlineStr">
        <is>
          <t>081330588325</t>
        </is>
      </c>
      <c r="D336" t="inlineStr">
        <is>
          <t>janugrah64@yahoo.com</t>
        </is>
      </c>
      <c r="E336" t="inlineStr">
        <is>
          <t>https://lpjk.pu.go.id/search-badan-usaha-detail/Ri9DWngyUGlvY3FuQXFsT3BpSmE2dz09</t>
        </is>
      </c>
      <c r="F336" t="n">
        <v>1</v>
      </c>
      <c r="G336" t="inlineStr">
        <is>
          <t>BG005</t>
        </is>
      </c>
      <c r="H336" t="inlineStr">
        <is>
          <t>3 Maret 2004</t>
        </is>
      </c>
      <c r="I336" s="2" t="n">
        <v>46280</v>
      </c>
      <c r="J336" t="inlineStr">
        <is>
          <t>Disetujui</t>
        </is>
      </c>
      <c r="K336" t="n">
        <v>30</v>
      </c>
      <c r="L336" t="inlineStr">
        <is>
          <t>15 September 2026</t>
        </is>
      </c>
      <c r="M336" t="inlineStr">
        <is>
          <t>Konstruksi Gedung Kesehatan</t>
        </is>
      </c>
      <c r="N336" t="inlineStr">
        <is>
          <t>K</t>
        </is>
      </c>
      <c r="O336" t="inlineStr">
        <is>
          <t>20230914</t>
        </is>
      </c>
      <c r="P336" t="inlineStr">
        <is>
          <t>Jawa Timur</t>
        </is>
      </c>
      <c r="Q336" t="inlineStr"/>
    </row>
    <row r="337">
      <c r="A337" t="inlineStr">
        <is>
          <t>JAYA MAKMUR BERSAMA</t>
        </is>
      </c>
      <c r="B337" t="inlineStr">
        <is>
          <t>Kota Palangkaraya</t>
        </is>
      </c>
      <c r="C337" t="inlineStr">
        <is>
          <t>082155610816</t>
        </is>
      </c>
      <c r="D337" t="inlineStr">
        <is>
          <t>cvjayamakmurbersama@gmail.com</t>
        </is>
      </c>
      <c r="E337" t="inlineStr">
        <is>
          <t>https://lpjk.pu.go.id/search-badan-usaha-detail/VnI0TDJTcXc0MlFVdEt1SzZ2NXRiQT09</t>
        </is>
      </c>
      <c r="F337" t="n">
        <v>5</v>
      </c>
      <c r="G337" t="inlineStr">
        <is>
          <t>BG001, BG002, BG005, BG006, BG009</t>
        </is>
      </c>
      <c r="H337" t="inlineStr">
        <is>
          <t>17 Januari 2017</t>
        </is>
      </c>
      <c r="I337" s="2" t="n">
        <v>46279</v>
      </c>
      <c r="J337" t="inlineStr">
        <is>
          <t>Disetujui</t>
        </is>
      </c>
      <c r="K337" t="n">
        <v>30</v>
      </c>
      <c r="L337" t="inlineStr">
        <is>
          <t>14 September 2026</t>
        </is>
      </c>
      <c r="M337" t="inlineStr">
        <is>
          <t>Konstruksi Gedung Hunian, Konstruksi Gedung Kesehatan, Konstruksi Gedung Lainnya, Konstruksi Gedung Pendidikan, Konstruksi Gedung Perkantoran</t>
        </is>
      </c>
      <c r="N337" t="inlineStr">
        <is>
          <t>K</t>
        </is>
      </c>
      <c r="O337" t="inlineStr">
        <is>
          <t>20230913, 20230915</t>
        </is>
      </c>
      <c r="P337" t="inlineStr">
        <is>
          <t>Kalimantan Tengah</t>
        </is>
      </c>
      <c r="Q337" t="inlineStr"/>
    </row>
    <row r="338">
      <c r="A338" t="inlineStr">
        <is>
          <t>JAYA MANDIRI</t>
        </is>
      </c>
      <c r="B338" t="inlineStr">
        <is>
          <t>Kota Pariaman</t>
        </is>
      </c>
      <c r="C338" t="inlineStr">
        <is>
          <t>081363408139</t>
        </is>
      </c>
      <c r="D338" t="inlineStr">
        <is>
          <t>cvjayamandiri488@yahoo.com</t>
        </is>
      </c>
      <c r="E338" t="inlineStr">
        <is>
          <t>https://lpjk.pu.go.id/search-badan-usaha-detail/QURwY0JrTzVJYVI5YnRGajJZcmt0QT09</t>
        </is>
      </c>
      <c r="F338" t="n">
        <v>6</v>
      </c>
      <c r="G338" t="inlineStr">
        <is>
          <t>BG005, BG006, BG009, BS001, BS002, BS004</t>
        </is>
      </c>
      <c r="H338" t="inlineStr">
        <is>
          <t>14 September 1993</t>
        </is>
      </c>
      <c r="I338" s="2" t="n">
        <v>46278</v>
      </c>
      <c r="J338" t="inlineStr">
        <is>
          <t>Disetujui</t>
        </is>
      </c>
      <c r="K338" t="n">
        <v>30</v>
      </c>
      <c r="L338" t="inlineStr">
        <is>
          <t>13 September 2026</t>
        </is>
      </c>
      <c r="M338" t="inlineStr">
        <is>
          <t>Bangunan Sipil Jembatan, Jalan Layang, Fly Over, dan Underpass, Konstruksi Bangunan Sipil Jalan, Konstruksi Gedung Kesehatan, Konstruksi Gedung Lainnya, Konstruksi Gedung Pendidikan, Konstruksi Jaringan Irigasi dan Drainase</t>
        </is>
      </c>
      <c r="N338" t="inlineStr">
        <is>
          <t>K</t>
        </is>
      </c>
      <c r="O338" t="inlineStr">
        <is>
          <t>20230905, 20230906, 20230907</t>
        </is>
      </c>
      <c r="P338" t="inlineStr">
        <is>
          <t>Sumatera Barat</t>
        </is>
      </c>
      <c r="Q338" t="inlineStr"/>
    </row>
    <row r="339">
      <c r="A339" t="inlineStr">
        <is>
          <t>JAYA MANTRA</t>
        </is>
      </c>
      <c r="B339" t="inlineStr">
        <is>
          <t>Kab. Jembrana</t>
        </is>
      </c>
      <c r="C339" t="inlineStr">
        <is>
          <t>036543754</t>
        </is>
      </c>
      <c r="D339" t="inlineStr">
        <is>
          <t>cvjayamantra@gmail.com</t>
        </is>
      </c>
      <c r="E339" t="inlineStr">
        <is>
          <t>https://lpjk.pu.go.id/search-badan-usaha-detail/NUY1R0xMYWRhTnJEVTVnVlh6MkI5UT09</t>
        </is>
      </c>
      <c r="F339" t="n">
        <v>1</v>
      </c>
      <c r="G339" t="inlineStr">
        <is>
          <t>BS001</t>
        </is>
      </c>
      <c r="H339" t="inlineStr">
        <is>
          <t>5 Mei 2011</t>
        </is>
      </c>
      <c r="I339" s="2" t="n">
        <v>46282</v>
      </c>
      <c r="J339" t="inlineStr">
        <is>
          <t>Disetujui</t>
        </is>
      </c>
      <c r="K339" t="n">
        <v>30</v>
      </c>
      <c r="L339" t="inlineStr">
        <is>
          <t>17 September 2026</t>
        </is>
      </c>
      <c r="M339" t="inlineStr">
        <is>
          <t>Konstruksi Bangunan Sipil Jalan</t>
        </is>
      </c>
      <c r="N339" t="inlineStr">
        <is>
          <t>K</t>
        </is>
      </c>
      <c r="O339" t="inlineStr">
        <is>
          <t>20230912</t>
        </is>
      </c>
      <c r="P339" t="inlineStr">
        <is>
          <t>Bali</t>
        </is>
      </c>
      <c r="Q339" t="inlineStr"/>
    </row>
    <row r="340">
      <c r="A340" t="inlineStr">
        <is>
          <t>JAYA SEMPURNA</t>
        </is>
      </c>
      <c r="B340" t="inlineStr">
        <is>
          <t>Kota Palembang</t>
        </is>
      </c>
      <c r="C340" t="inlineStr">
        <is>
          <t>0711377631</t>
        </is>
      </c>
      <c r="D340" t="inlineStr">
        <is>
          <t>jayasempurnaoss2@gmail.com</t>
        </is>
      </c>
      <c r="E340" t="inlineStr">
        <is>
          <t>https://lpjk.pu.go.id/search-badan-usaha-detail/aW0xalJxSFp4NTRoa3BRQWozUmlKdz09</t>
        </is>
      </c>
      <c r="F340" t="n">
        <v>1</v>
      </c>
      <c r="G340" t="inlineStr">
        <is>
          <t>BS001</t>
        </is>
      </c>
      <c r="H340" t="inlineStr">
        <is>
          <t>8 Maret 2007</t>
        </is>
      </c>
      <c r="I340" s="2" t="n">
        <v>46283</v>
      </c>
      <c r="J340" t="inlineStr">
        <is>
          <t>Disetujui</t>
        </is>
      </c>
      <c r="K340" t="n">
        <v>30</v>
      </c>
      <c r="L340" t="inlineStr">
        <is>
          <t>18 September 2026</t>
        </is>
      </c>
      <c r="M340" t="inlineStr">
        <is>
          <t>Konstruksi Bangunan Sipil Jalan</t>
        </is>
      </c>
      <c r="N340" t="inlineStr">
        <is>
          <t>K</t>
        </is>
      </c>
      <c r="O340" t="inlineStr">
        <is>
          <t>20230918</t>
        </is>
      </c>
      <c r="P340" t="inlineStr">
        <is>
          <t>Sumatera Selatan</t>
        </is>
      </c>
      <c r="Q340" t="inlineStr"/>
    </row>
    <row r="341">
      <c r="A341" t="inlineStr">
        <is>
          <t>JIWA ABDI MANDIRI</t>
        </is>
      </c>
      <c r="B341" t="inlineStr">
        <is>
          <t>Kota Tangerang</t>
        </is>
      </c>
      <c r="C341" t="inlineStr">
        <is>
          <t>0895375639033</t>
        </is>
      </c>
      <c r="D341" t="inlineStr">
        <is>
          <t>cv.jam.21@gmail.com</t>
        </is>
      </c>
      <c r="E341" t="inlineStr">
        <is>
          <t>https://lpjk.pu.go.id/search-badan-usaha-detail/MWxDc3VLVW1oM2pEWFpybERXdzRiZz09</t>
        </is>
      </c>
      <c r="F341" t="n">
        <v>2</v>
      </c>
      <c r="G341" t="inlineStr">
        <is>
          <t>BG005, BG009</t>
        </is>
      </c>
      <c r="H341" t="inlineStr">
        <is>
          <t>16 Agustus 2021</t>
        </is>
      </c>
      <c r="I341" s="2" t="n">
        <v>46282</v>
      </c>
      <c r="J341" t="inlineStr">
        <is>
          <t>Pencabutan</t>
        </is>
      </c>
      <c r="K341" t="n">
        <v>30</v>
      </c>
      <c r="L341" t="inlineStr">
        <is>
          <t>17 September 2026</t>
        </is>
      </c>
      <c r="M341" t="inlineStr">
        <is>
          <t>Konstruksi Gedung Kesehatan, Konstruksi Gedung Lainnya</t>
        </is>
      </c>
      <c r="N341" t="inlineStr">
        <is>
          <t>K</t>
        </is>
      </c>
      <c r="O341" t="inlineStr">
        <is>
          <t>20230822, 20230914</t>
        </is>
      </c>
      <c r="P341" t="inlineStr">
        <is>
          <t>Banten</t>
        </is>
      </c>
      <c r="Q341" t="inlineStr"/>
    </row>
    <row r="342">
      <c r="A342" t="inlineStr">
        <is>
          <t>KALAM LEVERAGE MULIA</t>
        </is>
      </c>
      <c r="B342" t="inlineStr">
        <is>
          <t>Kab. Sidoarjo</t>
        </is>
      </c>
      <c r="C342" t="inlineStr">
        <is>
          <t>0318941773</t>
        </is>
      </c>
      <c r="D342" t="inlineStr">
        <is>
          <t>informasi.klm@gmail.com</t>
        </is>
      </c>
      <c r="E342" t="inlineStr">
        <is>
          <t>https://lpjk.pu.go.id/search-badan-usaha-detail/RmZ6Vk1iY29WeUdVa1RjcUlvR0hJZz09</t>
        </is>
      </c>
      <c r="F342" t="n">
        <v>2</v>
      </c>
      <c r="G342" t="inlineStr">
        <is>
          <t>BS005, BS006</t>
        </is>
      </c>
      <c r="H342" t="inlineStr">
        <is>
          <t>25 April 2016</t>
        </is>
      </c>
      <c r="I342" s="2" t="n">
        <v>46282</v>
      </c>
      <c r="J342" t="inlineStr">
        <is>
          <t>Disetujui</t>
        </is>
      </c>
      <c r="K342" t="n">
        <v>30</v>
      </c>
      <c r="L342" t="inlineStr">
        <is>
          <t>17 September 2026</t>
        </is>
      </c>
      <c r="M342" t="inlineStr">
        <is>
          <t>Konstruksi Bangunan Sipil Pengolahan Air Bersih, Konstruksi Bangunan Sipil Prasarana dan Sarana Sistem Pengolahan Limbah Padat, Cair, dan Gas</t>
        </is>
      </c>
      <c r="N342" t="inlineStr">
        <is>
          <t>K</t>
        </is>
      </c>
      <c r="O342" t="inlineStr">
        <is>
          <t>20230613</t>
        </is>
      </c>
      <c r="P342" t="inlineStr">
        <is>
          <t>Jawa Timur</t>
        </is>
      </c>
      <c r="Q342" t="inlineStr"/>
    </row>
    <row r="343">
      <c r="A343" t="inlineStr">
        <is>
          <t>KALIJAGA</t>
        </is>
      </c>
      <c r="B343" t="inlineStr">
        <is>
          <t>Kab. Jombang</t>
        </is>
      </c>
      <c r="C343" t="inlineStr">
        <is>
          <t>0813 5789 4477</t>
        </is>
      </c>
      <c r="D343" t="inlineStr">
        <is>
          <t>cvkalijaga.ina@gmail.com</t>
        </is>
      </c>
      <c r="E343" t="inlineStr">
        <is>
          <t>https://lpjk.pu.go.id/search-badan-usaha-detail/djVSNTQ3OG9TZFBSdTJocnRES29nUT09</t>
        </is>
      </c>
      <c r="F343" t="n">
        <v>1</v>
      </c>
      <c r="G343" t="inlineStr">
        <is>
          <t>BG004</t>
        </is>
      </c>
      <c r="H343" t="inlineStr">
        <is>
          <t>28 Maret 2018</t>
        </is>
      </c>
      <c r="I343" s="2" t="n">
        <v>46277</v>
      </c>
      <c r="J343" t="inlineStr">
        <is>
          <t>Disetujui</t>
        </is>
      </c>
      <c r="K343" t="n">
        <v>30</v>
      </c>
      <c r="L343" t="inlineStr">
        <is>
          <t>12 September 2026</t>
        </is>
      </c>
      <c r="M343" t="inlineStr">
        <is>
          <t>Konstruksi Gedung Perbelanjaan</t>
        </is>
      </c>
      <c r="N343" t="inlineStr">
        <is>
          <t>K</t>
        </is>
      </c>
      <c r="O343" t="inlineStr">
        <is>
          <t>20230912</t>
        </is>
      </c>
      <c r="P343" t="inlineStr">
        <is>
          <t>Jawa Timur</t>
        </is>
      </c>
      <c r="Q343" t="inlineStr"/>
    </row>
    <row r="344">
      <c r="A344" t="inlineStr">
        <is>
          <t>KALIPTRA MURUHITA</t>
        </is>
      </c>
      <c r="B344" t="inlineStr">
        <is>
          <t>Kab. Poso</t>
        </is>
      </c>
      <c r="C344" t="inlineStr">
        <is>
          <t>081241413838</t>
        </is>
      </c>
      <c r="D344" t="inlineStr">
        <is>
          <t>cv.kamu2022@gmail.com</t>
        </is>
      </c>
      <c r="E344" t="inlineStr">
        <is>
          <t>https://lpjk.pu.go.id/search-badan-usaha-detail/UkErV2crdVc2bURubFRtODN4WkFuZz09</t>
        </is>
      </c>
      <c r="F344" t="n">
        <v>2</v>
      </c>
      <c r="G344" t="inlineStr">
        <is>
          <t>BG003, BS002</t>
        </is>
      </c>
      <c r="H344" t="inlineStr">
        <is>
          <t>9 September 2022</t>
        </is>
      </c>
      <c r="I344" s="2" t="n">
        <v>46278</v>
      </c>
      <c r="J344" t="inlineStr">
        <is>
          <t>Disetujui</t>
        </is>
      </c>
      <c r="K344" t="n">
        <v>30</v>
      </c>
      <c r="L344" t="inlineStr">
        <is>
          <t>13 September 2026</t>
        </is>
      </c>
      <c r="M344" t="inlineStr">
        <is>
          <t>Bangunan Sipil Jembatan, Jalan Layang, Fly Over, dan Underpass, Konstruksi Gedung Industri</t>
        </is>
      </c>
      <c r="N344" t="inlineStr">
        <is>
          <t>K</t>
        </is>
      </c>
      <c r="O344" t="inlineStr">
        <is>
          <t>20230913, 20230914</t>
        </is>
      </c>
      <c r="P344" t="inlineStr">
        <is>
          <t>Sulawesi Tengah</t>
        </is>
      </c>
      <c r="Q344" t="inlineStr"/>
    </row>
    <row r="345">
      <c r="A345" t="inlineStr">
        <is>
          <t>KARANG PUTIH</t>
        </is>
      </c>
      <c r="B345" t="inlineStr">
        <is>
          <t>Kota Jambi</t>
        </is>
      </c>
      <c r="C345" t="inlineStr">
        <is>
          <t>081274444497</t>
        </is>
      </c>
      <c r="D345" t="inlineStr">
        <is>
          <t>cvkarangputih@yahoo.co.id</t>
        </is>
      </c>
      <c r="E345" t="inlineStr">
        <is>
          <t>https://lpjk.pu.go.id/search-badan-usaha-detail/TSt1dFhWMmczdlI5V2doQzJDOUc2UT09</t>
        </is>
      </c>
      <c r="F345" t="n">
        <v>12</v>
      </c>
      <c r="G345" t="inlineStr">
        <is>
          <t>BG002, BG006, BS001, BS002</t>
        </is>
      </c>
      <c r="H345" t="inlineStr">
        <is>
          <t>22 Februari 2001</t>
        </is>
      </c>
      <c r="I345" s="2" t="n">
        <v>46280</v>
      </c>
      <c r="J345" t="inlineStr">
        <is>
          <t>Disetujui</t>
        </is>
      </c>
      <c r="K345" t="n">
        <v>30</v>
      </c>
      <c r="L345" t="inlineStr">
        <is>
          <t>15 September 2026</t>
        </is>
      </c>
      <c r="M345" t="inlineStr">
        <is>
          <t>Bangunan Sipil Jembatan, Jalan Layang, Fly Over, dan Underpass, Konstruksi Bangunan Sipil Jalan, Konstruksi Gedung Pendidikan, Konstruksi Gedung Perkantoran</t>
        </is>
      </c>
      <c r="N345" t="inlineStr">
        <is>
          <t>K</t>
        </is>
      </c>
      <c r="O345" t="inlineStr">
        <is>
          <t>20230908, 20230914</t>
        </is>
      </c>
      <c r="P345" t="inlineStr">
        <is>
          <t>Jambi</t>
        </is>
      </c>
      <c r="Q345" t="inlineStr"/>
    </row>
    <row r="346">
      <c r="A346" t="inlineStr">
        <is>
          <t>KARSA PRAWIRA</t>
        </is>
      </c>
      <c r="B346" t="inlineStr">
        <is>
          <t>Kab. Kulon Progo</t>
        </is>
      </c>
      <c r="C346" t="inlineStr">
        <is>
          <t>02745304821</t>
        </is>
      </c>
      <c r="D346" t="inlineStr">
        <is>
          <t>karsaprawira.cv@gmail.com</t>
        </is>
      </c>
      <c r="E346" t="inlineStr">
        <is>
          <t>https://lpjk.pu.go.id/search-badan-usaha-detail/c0dOWlhIVy9iclF2RWRhdFh5S3B5QT09</t>
        </is>
      </c>
      <c r="F346" t="n">
        <v>4</v>
      </c>
      <c r="G346" t="inlineStr">
        <is>
          <t>RK001, RK002, RK003</t>
        </is>
      </c>
      <c r="H346" t="inlineStr">
        <is>
          <t>17 Januari 2002</t>
        </is>
      </c>
      <c r="I346" s="2" t="n">
        <v>46282</v>
      </c>
      <c r="J346" t="inlineStr">
        <is>
          <t>Disetujui</t>
        </is>
      </c>
      <c r="K346" t="n">
        <v>30</v>
      </c>
      <c r="L346" t="inlineStr">
        <is>
          <t>17 September 2026</t>
        </is>
      </c>
      <c r="M346" t="inlineStr">
        <is>
          <t>Jasa Rekayasa Konstruksi Bangunan Gedung Hunian dan Non Hunian, Jasa Rekayasa Pekerjaan Teknik Sipil Sumber Daya Air, Jasa Rekayasa Pekerjaan Teknik Sipil Transportasi</t>
        </is>
      </c>
      <c r="N346" t="inlineStr">
        <is>
          <t>K</t>
        </is>
      </c>
      <c r="O346" t="inlineStr">
        <is>
          <t>20230907, 20230908</t>
        </is>
      </c>
      <c r="P346" t="inlineStr">
        <is>
          <t>DI Yogyakarta</t>
        </is>
      </c>
      <c r="Q346" t="inlineStr"/>
    </row>
    <row r="347">
      <c r="A347" t="inlineStr">
        <is>
          <t>KARUNIA RESA MANDIRI</t>
        </is>
      </c>
      <c r="B347" t="inlineStr">
        <is>
          <t>Kab. Kutai Timur</t>
        </is>
      </c>
      <c r="C347" t="inlineStr">
        <is>
          <t>081332111621</t>
        </is>
      </c>
      <c r="D347" t="inlineStr">
        <is>
          <t>karesma_74@yahoo.com</t>
        </is>
      </c>
      <c r="E347" t="inlineStr">
        <is>
          <t>https://lpjk.pu.go.id/search-badan-usaha-detail/RDJQbkhJZnFLalMrbXA5UU5nbEJrZz09</t>
        </is>
      </c>
      <c r="F347" t="n">
        <v>1</v>
      </c>
      <c r="G347" t="inlineStr">
        <is>
          <t>BS001</t>
        </is>
      </c>
      <c r="H347" t="inlineStr">
        <is>
          <t>25 November 2009</t>
        </is>
      </c>
      <c r="I347" s="2" t="n">
        <v>46280</v>
      </c>
      <c r="J347" t="inlineStr">
        <is>
          <t>Pencabutan</t>
        </is>
      </c>
      <c r="K347" t="n">
        <v>30</v>
      </c>
      <c r="L347" t="inlineStr">
        <is>
          <t>15 September 2026</t>
        </is>
      </c>
      <c r="M347" t="inlineStr">
        <is>
          <t>Konstruksi Bangunan Sipil Jalan</t>
        </is>
      </c>
      <c r="N347" t="inlineStr">
        <is>
          <t>K</t>
        </is>
      </c>
      <c r="O347" t="inlineStr">
        <is>
          <t>20230915</t>
        </is>
      </c>
      <c r="P347" t="inlineStr">
        <is>
          <t>Kalimantan Timur</t>
        </is>
      </c>
      <c r="Q347" t="inlineStr"/>
    </row>
    <row r="348">
      <c r="A348" t="inlineStr">
        <is>
          <t>KARYA ABADI</t>
        </is>
      </c>
      <c r="B348" t="inlineStr">
        <is>
          <t>Kab. Banjarnegara</t>
        </is>
      </c>
      <c r="C348" t="inlineStr">
        <is>
          <t>087869132493</t>
        </is>
      </c>
      <c r="D348" t="inlineStr">
        <is>
          <t>ibuberkah81@gmail.com</t>
        </is>
      </c>
      <c r="E348" t="inlineStr">
        <is>
          <t>https://lpjk.pu.go.id/search-badan-usaha-detail/Z2FPRk1NcTVFRFFndUFFNmtBKzdLQT09</t>
        </is>
      </c>
      <c r="F348" t="n">
        <v>1</v>
      </c>
      <c r="G348" t="inlineStr">
        <is>
          <t>BS002</t>
        </is>
      </c>
      <c r="H348" t="inlineStr">
        <is>
          <t>22 Desember 2005</t>
        </is>
      </c>
      <c r="I348" s="2" t="n">
        <v>46283</v>
      </c>
      <c r="J348" t="inlineStr">
        <is>
          <t>Pencabutan</t>
        </is>
      </c>
      <c r="K348" t="n">
        <v>30</v>
      </c>
      <c r="L348" t="inlineStr">
        <is>
          <t>18 September 2026</t>
        </is>
      </c>
      <c r="M348" t="inlineStr">
        <is>
          <t>Bangunan Sipil Jembatan, Jalan Layang, Fly Over, dan Underpass</t>
        </is>
      </c>
      <c r="N348" t="inlineStr">
        <is>
          <t>K</t>
        </is>
      </c>
      <c r="O348" t="inlineStr">
        <is>
          <t>20230919</t>
        </is>
      </c>
      <c r="P348" t="inlineStr">
        <is>
          <t>Jawa Tengah</t>
        </is>
      </c>
      <c r="Q348" t="inlineStr"/>
    </row>
    <row r="349">
      <c r="A349" t="inlineStr">
        <is>
          <t>KARYA AGUNG</t>
        </is>
      </c>
      <c r="B349" t="inlineStr">
        <is>
          <t>Kab. Sukoharjo</t>
        </is>
      </c>
      <c r="C349" t="inlineStr">
        <is>
          <t>0271621737</t>
        </is>
      </c>
      <c r="D349" t="inlineStr">
        <is>
          <t>karyaagung83@yahoo.com</t>
        </is>
      </c>
      <c r="E349" t="inlineStr">
        <is>
          <t>https://lpjk.pu.go.id/search-badan-usaha-detail/RUpTajR0aFRLTW0zaEsxNnVHdVdPUT09</t>
        </is>
      </c>
      <c r="F349" t="n">
        <v>1</v>
      </c>
      <c r="G349" t="inlineStr">
        <is>
          <t>BS001</t>
        </is>
      </c>
      <c r="H349" t="inlineStr">
        <is>
          <t>2 Februari 1983</t>
        </is>
      </c>
      <c r="I349" s="2" t="n">
        <v>46282</v>
      </c>
      <c r="J349" t="inlineStr">
        <is>
          <t>Disetujui</t>
        </is>
      </c>
      <c r="K349" t="n">
        <v>30</v>
      </c>
      <c r="L349" t="inlineStr">
        <is>
          <t>17 September 2026</t>
        </is>
      </c>
      <c r="M349" t="inlineStr">
        <is>
          <t>Konstruksi Bangunan Sipil Jalan</t>
        </is>
      </c>
      <c r="N349" t="inlineStr">
        <is>
          <t>K</t>
        </is>
      </c>
      <c r="O349" t="inlineStr">
        <is>
          <t>20230914</t>
        </is>
      </c>
      <c r="P349" t="inlineStr">
        <is>
          <t>Jawa Tengah</t>
        </is>
      </c>
      <c r="Q349" t="inlineStr"/>
    </row>
    <row r="350">
      <c r="A350" t="inlineStr">
        <is>
          <t>KARYA ANDALAN STUDIO</t>
        </is>
      </c>
      <c r="B350" t="inlineStr">
        <is>
          <t>Kota Bandar Lampung</t>
        </is>
      </c>
      <c r="C350" t="inlineStr">
        <is>
          <t>081377783831</t>
        </is>
      </c>
      <c r="D350" t="inlineStr">
        <is>
          <t>karyaandalanstudio@gmail.com</t>
        </is>
      </c>
      <c r="E350" t="inlineStr">
        <is>
          <t>https://lpjk.pu.go.id/search-badan-usaha-detail/Zkd1MTlySWxvRXpNdTlmVFBBS1RiUT09</t>
        </is>
      </c>
      <c r="F350" t="n">
        <v>1</v>
      </c>
      <c r="G350" t="inlineStr">
        <is>
          <t>RK001</t>
        </is>
      </c>
      <c r="H350" t="inlineStr">
        <is>
          <t>13 Maret 2017</t>
        </is>
      </c>
      <c r="I350" s="2" t="n">
        <v>46279</v>
      </c>
      <c r="J350" t="inlineStr">
        <is>
          <t>Disetujui</t>
        </is>
      </c>
      <c r="K350" t="n">
        <v>30</v>
      </c>
      <c r="L350" t="inlineStr">
        <is>
          <t>14 September 2026</t>
        </is>
      </c>
      <c r="M350" t="inlineStr">
        <is>
          <t>Jasa Rekayasa Konstruksi Bangunan Gedung Hunian dan Non Hunian</t>
        </is>
      </c>
      <c r="N350" t="inlineStr">
        <is>
          <t>K</t>
        </is>
      </c>
      <c r="O350" t="inlineStr">
        <is>
          <t>20230901</t>
        </is>
      </c>
      <c r="P350" t="inlineStr">
        <is>
          <t>Lampung</t>
        </is>
      </c>
      <c r="Q350" t="inlineStr"/>
    </row>
    <row r="351">
      <c r="A351" t="inlineStr">
        <is>
          <t>KARYA ARTHA DUTA</t>
        </is>
      </c>
      <c r="B351" t="inlineStr">
        <is>
          <t>Kab. Ogan Komering Ulu</t>
        </is>
      </c>
      <c r="C351" t="inlineStr">
        <is>
          <t>081368717775</t>
        </is>
      </c>
      <c r="D351" t="inlineStr">
        <is>
          <t>cvkaryaarthaduta@gmail.com</t>
        </is>
      </c>
      <c r="E351" t="inlineStr">
        <is>
          <t>https://lpjk.pu.go.id/search-badan-usaha-detail/WlRZZGRWVVhyK3R1elNzcXF4Rzh6UT09</t>
        </is>
      </c>
      <c r="F351" t="n">
        <v>1</v>
      </c>
      <c r="G351" t="inlineStr">
        <is>
          <t>BS004</t>
        </is>
      </c>
      <c r="H351" t="inlineStr">
        <is>
          <t>6 Februari 2023</t>
        </is>
      </c>
      <c r="I351" s="2" t="n">
        <v>46282</v>
      </c>
      <c r="J351" t="inlineStr">
        <is>
          <t>Disetujui</t>
        </is>
      </c>
      <c r="K351" t="n">
        <v>30</v>
      </c>
      <c r="L351" t="inlineStr">
        <is>
          <t>17 September 2026</t>
        </is>
      </c>
      <c r="M351" t="inlineStr">
        <is>
          <t>Konstruksi Jaringan Irigasi dan Drainase</t>
        </is>
      </c>
      <c r="N351" t="inlineStr">
        <is>
          <t>K</t>
        </is>
      </c>
      <c r="O351" t="inlineStr">
        <is>
          <t>20230831</t>
        </is>
      </c>
      <c r="P351" t="inlineStr">
        <is>
          <t>Sumatera Selatan</t>
        </is>
      </c>
      <c r="Q351" t="inlineStr"/>
    </row>
    <row r="352">
      <c r="A352" t="inlineStr">
        <is>
          <t>KARYA ASA JAYA</t>
        </is>
      </c>
      <c r="B352" t="inlineStr">
        <is>
          <t>Kota Blitar</t>
        </is>
      </c>
      <c r="C352" t="inlineStr">
        <is>
          <t>085704412204</t>
        </is>
      </c>
      <c r="D352" t="inlineStr">
        <is>
          <t>karyaasajaya@gmail.com</t>
        </is>
      </c>
      <c r="E352" t="inlineStr">
        <is>
          <t>https://lpjk.pu.go.id/search-badan-usaha-detail/VjlHVmR3MHhOWXluSDRQOWxlRTdwQT09</t>
        </is>
      </c>
      <c r="F352" t="n">
        <v>4</v>
      </c>
      <c r="G352" t="inlineStr">
        <is>
          <t>BG006, BG009, BS001, BS004</t>
        </is>
      </c>
      <c r="H352" t="inlineStr">
        <is>
          <t>15 Agustus 2023</t>
        </is>
      </c>
      <c r="I352" s="2" t="n">
        <v>46280</v>
      </c>
      <c r="J352" t="inlineStr">
        <is>
          <t>Disetujui</t>
        </is>
      </c>
      <c r="K352" t="n">
        <v>30</v>
      </c>
      <c r="L352" t="inlineStr">
        <is>
          <t>15 September 2026</t>
        </is>
      </c>
      <c r="M352" t="inlineStr">
        <is>
          <t>Konstruksi Bangunan Sipil Jalan, Konstruksi Gedung Lainnya, Konstruksi Gedung Pendidikan, Konstruksi Jaringan Irigasi dan Drainase</t>
        </is>
      </c>
      <c r="N352" t="inlineStr">
        <is>
          <t>K</t>
        </is>
      </c>
      <c r="O352" t="inlineStr">
        <is>
          <t>20230821, 20230915</t>
        </is>
      </c>
      <c r="P352" t="inlineStr">
        <is>
          <t>Jawa Timur</t>
        </is>
      </c>
      <c r="Q352" t="inlineStr"/>
    </row>
    <row r="353">
      <c r="A353" t="inlineStr">
        <is>
          <t>KARYA BHAKTI WIRATAMA</t>
        </is>
      </c>
      <c r="B353" t="inlineStr">
        <is>
          <t>Kota Adm. Jakarta Barat</t>
        </is>
      </c>
      <c r="C353" t="inlineStr">
        <is>
          <t>818551700</t>
        </is>
      </c>
      <c r="D353" t="inlineStr">
        <is>
          <t>karyabhaktiwiratama@gmail.com</t>
        </is>
      </c>
      <c r="E353" t="inlineStr">
        <is>
          <t>https://lpjk.pu.go.id/search-badan-usaha-detail/ZHA1ZFlqVHd2dmpJSDVBYnB6UWdkZz09</t>
        </is>
      </c>
      <c r="F353" t="n">
        <v>1</v>
      </c>
      <c r="G353" t="inlineStr">
        <is>
          <t>BG009</t>
        </is>
      </c>
      <c r="H353" t="inlineStr">
        <is>
          <t>8 Maret 2016</t>
        </is>
      </c>
      <c r="I353" s="2" t="n">
        <v>46283</v>
      </c>
      <c r="J353" t="inlineStr">
        <is>
          <t>Pencabutan</t>
        </is>
      </c>
      <c r="K353" t="n">
        <v>30</v>
      </c>
      <c r="L353" t="inlineStr">
        <is>
          <t>18 September 2026</t>
        </is>
      </c>
      <c r="M353" t="inlineStr">
        <is>
          <t>Konstruksi Gedung Lainnya</t>
        </is>
      </c>
      <c r="N353" t="inlineStr">
        <is>
          <t>K</t>
        </is>
      </c>
      <c r="O353" t="inlineStr">
        <is>
          <t>20230913</t>
        </is>
      </c>
      <c r="P353" t="inlineStr">
        <is>
          <t>DKI Jakarta</t>
        </is>
      </c>
      <c r="Q353" t="inlineStr"/>
    </row>
    <row r="354">
      <c r="A354" t="inlineStr">
        <is>
          <t>KARYA BRAYAN KONSTRUKSI</t>
        </is>
      </c>
      <c r="B354" t="inlineStr">
        <is>
          <t>Kab. Cilacap</t>
        </is>
      </c>
      <c r="C354" t="inlineStr">
        <is>
          <t>081225912291</t>
        </is>
      </c>
      <c r="D354" t="inlineStr">
        <is>
          <t>karyabrayankonstruksi57@gmail.com</t>
        </is>
      </c>
      <c r="E354" t="inlineStr">
        <is>
          <t>https://lpjk.pu.go.id/search-badan-usaha-detail/N2plR3Mxa3lGNXNUNkVZQlRnRUlIdz09</t>
        </is>
      </c>
      <c r="F354" t="n">
        <v>2</v>
      </c>
      <c r="G354" t="inlineStr">
        <is>
          <t>BG004, BS004</t>
        </is>
      </c>
      <c r="H354" t="inlineStr">
        <is>
          <t>14 Februari 2023</t>
        </is>
      </c>
      <c r="I354" s="2" t="n">
        <v>46281</v>
      </c>
      <c r="J354" t="inlineStr">
        <is>
          <t>Disetujui, Pencabutan</t>
        </is>
      </c>
      <c r="K354" t="n">
        <v>30</v>
      </c>
      <c r="L354" t="inlineStr">
        <is>
          <t>16 September 2026</t>
        </is>
      </c>
      <c r="M354" t="inlineStr">
        <is>
          <t>Konstruksi Gedung Perbelanjaan, Konstruksi Jaringan Irigasi dan Drainase</t>
        </is>
      </c>
      <c r="N354" t="inlineStr">
        <is>
          <t>K</t>
        </is>
      </c>
      <c r="O354" t="inlineStr">
        <is>
          <t>20230916</t>
        </is>
      </c>
      <c r="P354" t="inlineStr">
        <is>
          <t>Jawa Tengah</t>
        </is>
      </c>
      <c r="Q354" t="inlineStr"/>
    </row>
    <row r="355">
      <c r="A355" t="inlineStr">
        <is>
          <t>KARYA CIPTA LESTARI</t>
        </is>
      </c>
      <c r="B355" t="inlineStr">
        <is>
          <t>Kab. Deli Serdang</t>
        </is>
      </c>
      <c r="C355" t="inlineStr">
        <is>
          <t>082272495521</t>
        </is>
      </c>
      <c r="D355" t="inlineStr">
        <is>
          <t>karyacipta_lestari@yahoo.com</t>
        </is>
      </c>
      <c r="E355" t="inlineStr">
        <is>
          <t>https://lpjk.pu.go.id/search-badan-usaha-detail/NytXYlZVL0pNV2VySDUxbzFYMjdiQT09</t>
        </is>
      </c>
      <c r="F355" t="n">
        <v>1</v>
      </c>
      <c r="G355" t="inlineStr">
        <is>
          <t>BS001</t>
        </is>
      </c>
      <c r="H355" t="inlineStr">
        <is>
          <t>25 Juli 2002</t>
        </is>
      </c>
      <c r="I355" s="2" t="n">
        <v>46283</v>
      </c>
      <c r="J355" t="inlineStr">
        <is>
          <t>Disetujui</t>
        </is>
      </c>
      <c r="K355" t="n">
        <v>30</v>
      </c>
      <c r="L355" t="inlineStr">
        <is>
          <t>18 September 2026</t>
        </is>
      </c>
      <c r="M355" t="inlineStr">
        <is>
          <t>Konstruksi Bangunan Sipil Jalan</t>
        </is>
      </c>
      <c r="N355" t="inlineStr">
        <is>
          <t>K</t>
        </is>
      </c>
      <c r="O355" t="inlineStr">
        <is>
          <t>20230912</t>
        </is>
      </c>
      <c r="P355" t="inlineStr">
        <is>
          <t>Sumatera Utara</t>
        </is>
      </c>
      <c r="Q355" t="inlineStr"/>
    </row>
    <row r="356">
      <c r="A356" t="inlineStr">
        <is>
          <t>KARYA DHUHA</t>
        </is>
      </c>
      <c r="B356" t="inlineStr">
        <is>
          <t>Kab. Lombok Timur</t>
        </is>
      </c>
      <c r="C356" t="inlineStr">
        <is>
          <t>087863444440</t>
        </is>
      </c>
      <c r="D356" t="inlineStr">
        <is>
          <t>cvkaryadhuha6@gmail.com</t>
        </is>
      </c>
      <c r="E356" t="inlineStr">
        <is>
          <t>https://lpjk.pu.go.id/search-badan-usaha-detail/cG16NlJyaGhKcllPWmxqc1dzSk1oQT09</t>
        </is>
      </c>
      <c r="F356" t="n">
        <v>2</v>
      </c>
      <c r="G356" t="inlineStr">
        <is>
          <t>BG009, BS001</t>
        </is>
      </c>
      <c r="H356" t="inlineStr">
        <is>
          <t>2 Maret 2005</t>
        </is>
      </c>
      <c r="I356" s="2" t="n">
        <v>46277</v>
      </c>
      <c r="J356" t="inlineStr">
        <is>
          <t>Disetujui</t>
        </is>
      </c>
      <c r="K356" t="n">
        <v>30</v>
      </c>
      <c r="L356" t="inlineStr">
        <is>
          <t>12 September 2026</t>
        </is>
      </c>
      <c r="M356" t="inlineStr">
        <is>
          <t>Konstruksi Bangunan Sipil Jalan, Konstruksi Gedung Lainnya</t>
        </is>
      </c>
      <c r="N356" t="inlineStr">
        <is>
          <t>K</t>
        </is>
      </c>
      <c r="O356" t="inlineStr">
        <is>
          <t>20230901, 20230914</t>
        </is>
      </c>
      <c r="P356" t="inlineStr">
        <is>
          <t>Nusa Tenggara Barat</t>
        </is>
      </c>
      <c r="Q356" t="inlineStr"/>
    </row>
    <row r="357">
      <c r="A357" t="inlineStr">
        <is>
          <t>KARYA ESHA UTAMA</t>
        </is>
      </c>
      <c r="B357" t="inlineStr">
        <is>
          <t>Kab. Trenggalek</t>
        </is>
      </c>
      <c r="C357" t="inlineStr">
        <is>
          <t>085156036395</t>
        </is>
      </c>
      <c r="D357" t="inlineStr">
        <is>
          <t>cv.karyaeshautama@gmail.com</t>
        </is>
      </c>
      <c r="E357" t="inlineStr">
        <is>
          <t>https://lpjk.pu.go.id/search-badan-usaha-detail/UjV3TTFSNzJqakdQcC9vNjRYY0p3Zz09</t>
        </is>
      </c>
      <c r="F357" t="n">
        <v>1</v>
      </c>
      <c r="G357" t="inlineStr">
        <is>
          <t>BG005</t>
        </is>
      </c>
      <c r="H357" t="inlineStr">
        <is>
          <t>13 Juli 1994</t>
        </is>
      </c>
      <c r="I357" s="2" t="n">
        <v>46282</v>
      </c>
      <c r="J357" t="inlineStr">
        <is>
          <t>Disetujui</t>
        </is>
      </c>
      <c r="K357" t="n">
        <v>30</v>
      </c>
      <c r="L357" t="inlineStr">
        <is>
          <t>17 September 2026</t>
        </is>
      </c>
      <c r="M357" t="inlineStr">
        <is>
          <t>Konstruksi Gedung Kesehatan</t>
        </is>
      </c>
      <c r="N357" t="inlineStr">
        <is>
          <t>K</t>
        </is>
      </c>
      <c r="O357" t="inlineStr">
        <is>
          <t>20230912</t>
        </is>
      </c>
      <c r="P357" t="inlineStr">
        <is>
          <t>Jawa Timur</t>
        </is>
      </c>
      <c r="Q357" t="inlineStr"/>
    </row>
    <row r="358">
      <c r="A358" t="inlineStr">
        <is>
          <t>KARYA GADING</t>
        </is>
      </c>
      <c r="B358" t="inlineStr">
        <is>
          <t>Kab. Hulu Sungai Utara</t>
        </is>
      </c>
      <c r="C358" t="inlineStr">
        <is>
          <t>085215401255</t>
        </is>
      </c>
      <c r="D358" t="inlineStr">
        <is>
          <t>Karyagading.Amt@Gmail.com</t>
        </is>
      </c>
      <c r="E358" t="inlineStr">
        <is>
          <t>https://lpjk.pu.go.id/search-badan-usaha-detail/eFZEc082cWJNTzk3eGdBckZML0lBZz09</t>
        </is>
      </c>
      <c r="F358" t="n">
        <v>1</v>
      </c>
      <c r="G358" t="inlineStr">
        <is>
          <t>BG005</t>
        </is>
      </c>
      <c r="H358" t="inlineStr">
        <is>
          <t>6 Januari 2022</t>
        </is>
      </c>
      <c r="I358" s="2" t="n">
        <v>46282</v>
      </c>
      <c r="J358" t="inlineStr">
        <is>
          <t>Disetujui</t>
        </is>
      </c>
      <c r="K358" t="n">
        <v>30</v>
      </c>
      <c r="L358" t="inlineStr">
        <is>
          <t>17 September 2026</t>
        </is>
      </c>
      <c r="M358" t="inlineStr">
        <is>
          <t>Konstruksi Gedung Kesehatan</t>
        </is>
      </c>
      <c r="N358" t="inlineStr">
        <is>
          <t>K</t>
        </is>
      </c>
      <c r="O358" t="inlineStr">
        <is>
          <t>20230830</t>
        </is>
      </c>
      <c r="P358" t="inlineStr">
        <is>
          <t>Kalimantan Selatan</t>
        </is>
      </c>
      <c r="Q358" t="inlineStr"/>
    </row>
    <row r="359">
      <c r="A359" t="inlineStr">
        <is>
          <t>KARYA GEMILANG UTAMA</t>
        </is>
      </c>
      <c r="B359" t="inlineStr">
        <is>
          <t>Kab. Tanjung Jabung Timur</t>
        </is>
      </c>
      <c r="C359" t="inlineStr">
        <is>
          <t>082279014077</t>
        </is>
      </c>
      <c r="D359" t="inlineStr">
        <is>
          <t>karyagemilangutama.cv@gmail.com</t>
        </is>
      </c>
      <c r="E359" t="inlineStr">
        <is>
          <t>https://lpjk.pu.go.id/search-badan-usaha-detail/QlgzaEk3NzNzM3hpU0pGcjBYTEdnQT09</t>
        </is>
      </c>
      <c r="F359" t="n">
        <v>1</v>
      </c>
      <c r="G359" t="inlineStr">
        <is>
          <t>BG001</t>
        </is>
      </c>
      <c r="H359" t="inlineStr">
        <is>
          <t>14 Maret 2014</t>
        </is>
      </c>
      <c r="I359" s="2" t="n">
        <v>46280</v>
      </c>
      <c r="J359" t="inlineStr">
        <is>
          <t>Disetujui</t>
        </is>
      </c>
      <c r="K359" t="n">
        <v>30</v>
      </c>
      <c r="L359" t="inlineStr">
        <is>
          <t>15 September 2026</t>
        </is>
      </c>
      <c r="M359" t="inlineStr">
        <is>
          <t>Konstruksi Gedung Hunian</t>
        </is>
      </c>
      <c r="N359" t="inlineStr">
        <is>
          <t>K</t>
        </is>
      </c>
      <c r="O359" t="inlineStr">
        <is>
          <t>20230901</t>
        </is>
      </c>
      <c r="P359" t="inlineStr">
        <is>
          <t>Jambi</t>
        </is>
      </c>
      <c r="Q359" t="inlineStr"/>
    </row>
    <row r="360">
      <c r="A360" t="inlineStr">
        <is>
          <t>KARYA JATI MULYA</t>
        </is>
      </c>
      <c r="B360" t="inlineStr">
        <is>
          <t>Kab. Tuban</t>
        </is>
      </c>
      <c r="C360" t="inlineStr">
        <is>
          <t>08123401797</t>
        </is>
      </c>
      <c r="D360" t="inlineStr">
        <is>
          <t>cv.karyajatimulya@gmail.com</t>
        </is>
      </c>
      <c r="E360" t="inlineStr">
        <is>
          <t>https://lpjk.pu.go.id/search-badan-usaha-detail/Uy9IVGprVGgzSTlxelhzVWV0cDVLUT09</t>
        </is>
      </c>
      <c r="F360" t="n">
        <v>1</v>
      </c>
      <c r="G360" t="inlineStr">
        <is>
          <t>BS004</t>
        </is>
      </c>
      <c r="H360" t="inlineStr">
        <is>
          <t>2 Desember 2006</t>
        </is>
      </c>
      <c r="I360" s="2" t="n">
        <v>46283</v>
      </c>
      <c r="J360" t="inlineStr">
        <is>
          <t>Disetujui</t>
        </is>
      </c>
      <c r="K360" t="n">
        <v>30</v>
      </c>
      <c r="L360" t="inlineStr">
        <is>
          <t>18 September 2026</t>
        </is>
      </c>
      <c r="M360" t="inlineStr">
        <is>
          <t>Konstruksi Jaringan Irigasi dan Drainase</t>
        </is>
      </c>
      <c r="N360" t="inlineStr">
        <is>
          <t>K</t>
        </is>
      </c>
      <c r="O360" t="inlineStr">
        <is>
          <t>20230912</t>
        </is>
      </c>
      <c r="P360" t="inlineStr">
        <is>
          <t>Jawa Timur</t>
        </is>
      </c>
      <c r="Q360" t="inlineStr"/>
    </row>
    <row r="361">
      <c r="A361" t="inlineStr">
        <is>
          <t>KARYA KIYURA JAYA</t>
        </is>
      </c>
      <c r="B361" t="inlineStr">
        <is>
          <t>Kab. Sumenep</t>
        </is>
      </c>
      <c r="C361" t="inlineStr">
        <is>
          <t>087730505060</t>
        </is>
      </c>
      <c r="D361" t="inlineStr">
        <is>
          <t>cv.karyakiyurajaya@gmail.com</t>
        </is>
      </c>
      <c r="E361" t="inlineStr">
        <is>
          <t>https://lpjk.pu.go.id/search-badan-usaha-detail/K1hCK0V1RzFMUEdLeFZHbmRGdGdlUT09</t>
        </is>
      </c>
      <c r="F361" t="n">
        <v>1</v>
      </c>
      <c r="G361" t="inlineStr">
        <is>
          <t>BS001</t>
        </is>
      </c>
      <c r="H361" t="inlineStr">
        <is>
          <t>20 Februari 2020</t>
        </is>
      </c>
      <c r="I361" s="2" t="n">
        <v>46277</v>
      </c>
      <c r="J361" t="inlineStr">
        <is>
          <t>Disetujui</t>
        </is>
      </c>
      <c r="K361" t="n">
        <v>30</v>
      </c>
      <c r="L361" t="inlineStr">
        <is>
          <t>12 September 2026</t>
        </is>
      </c>
      <c r="M361" t="inlineStr">
        <is>
          <t>Konstruksi Bangunan Sipil Jalan</t>
        </is>
      </c>
      <c r="N361" t="inlineStr">
        <is>
          <t>K</t>
        </is>
      </c>
      <c r="O361" t="inlineStr">
        <is>
          <t>20230901</t>
        </is>
      </c>
      <c r="P361" t="inlineStr">
        <is>
          <t>Jawa Timur</t>
        </is>
      </c>
      <c r="Q361" t="inlineStr"/>
    </row>
    <row r="362">
      <c r="A362" t="inlineStr">
        <is>
          <t>KARYA KONTRINDO</t>
        </is>
      </c>
      <c r="B362" t="inlineStr">
        <is>
          <t>Kab. Jember</t>
        </is>
      </c>
      <c r="C362" t="inlineStr">
        <is>
          <t>0331338833</t>
        </is>
      </c>
      <c r="D362" t="inlineStr">
        <is>
          <t>karyakontrindo@yahoo.com</t>
        </is>
      </c>
      <c r="E362" t="inlineStr">
        <is>
          <t>https://lpjk.pu.go.id/search-badan-usaha-detail/VEI4eEdsZVdQTVhsLzhiVFh0a1ZEZz09</t>
        </is>
      </c>
      <c r="F362" t="n">
        <v>2</v>
      </c>
      <c r="G362" t="inlineStr">
        <is>
          <t>BG002, BG009</t>
        </is>
      </c>
      <c r="H362" t="inlineStr">
        <is>
          <t>21 September 2012</t>
        </is>
      </c>
      <c r="I362" s="2" t="n">
        <v>46282</v>
      </c>
      <c r="J362" t="inlineStr">
        <is>
          <t>Disetujui</t>
        </is>
      </c>
      <c r="K362" t="n">
        <v>30</v>
      </c>
      <c r="L362" t="inlineStr">
        <is>
          <t>17 September 2026</t>
        </is>
      </c>
      <c r="M362" t="inlineStr">
        <is>
          <t>Konstruksi Gedung Lainnya, Konstruksi Gedung Perkantoran</t>
        </is>
      </c>
      <c r="N362" t="inlineStr">
        <is>
          <t>K</t>
        </is>
      </c>
      <c r="O362" t="inlineStr">
        <is>
          <t>20230912</t>
        </is>
      </c>
      <c r="P362" t="inlineStr">
        <is>
          <t>Jawa Timur</t>
        </is>
      </c>
      <c r="Q362" t="inlineStr"/>
    </row>
    <row r="363">
      <c r="A363" t="inlineStr">
        <is>
          <t>KARYA MANDIRI KONTRUKSI</t>
        </is>
      </c>
      <c r="B363" t="inlineStr">
        <is>
          <t>Kota Padang</t>
        </is>
      </c>
      <c r="C363" t="inlineStr">
        <is>
          <t>081363141712</t>
        </is>
      </c>
      <c r="D363" t="inlineStr">
        <is>
          <t>ptkaryamandirikontruksi@gmail.com</t>
        </is>
      </c>
      <c r="E363" t="inlineStr">
        <is>
          <t>https://lpjk.pu.go.id/search-badan-usaha-detail/cnJLUW9LTWt5SFdBblBHRS9uKzVDUT09</t>
        </is>
      </c>
      <c r="F363" t="n">
        <v>3</v>
      </c>
      <c r="G363" t="inlineStr">
        <is>
          <t>BG002, BG004, BG007</t>
        </is>
      </c>
      <c r="H363" t="inlineStr">
        <is>
          <t>18 Juli 2023</t>
        </is>
      </c>
      <c r="I363" s="2" t="n">
        <v>46278</v>
      </c>
      <c r="J363" t="inlineStr">
        <is>
          <t>Disetujui</t>
        </is>
      </c>
      <c r="K363" t="n">
        <v>30</v>
      </c>
      <c r="L363" t="inlineStr">
        <is>
          <t>13 September 2026</t>
        </is>
      </c>
      <c r="M363" t="inlineStr">
        <is>
          <t>Konstruksi Gedung Penginapan, Konstruksi Gedung Perbelanjaan, Konstruksi Gedung Perkantoran</t>
        </is>
      </c>
      <c r="N363" t="inlineStr">
        <is>
          <t>K</t>
        </is>
      </c>
      <c r="O363" t="inlineStr">
        <is>
          <t>20230911</t>
        </is>
      </c>
      <c r="P363" t="inlineStr">
        <is>
          <t>Sumatera Barat</t>
        </is>
      </c>
      <c r="Q363" t="inlineStr"/>
    </row>
    <row r="364">
      <c r="A364" t="inlineStr">
        <is>
          <t>KARYA ONE</t>
        </is>
      </c>
      <c r="B364" t="inlineStr">
        <is>
          <t>Kab. Tangerang</t>
        </is>
      </c>
      <c r="C364" t="inlineStr">
        <is>
          <t>085782034775</t>
        </is>
      </c>
      <c r="D364" t="inlineStr">
        <is>
          <t>cv.karyaone@gmail.com</t>
        </is>
      </c>
      <c r="E364" t="inlineStr">
        <is>
          <t>https://lpjk.pu.go.id/search-badan-usaha-detail/RVFIQUJnTlV5YTYwK0gvSUNDaU1vdz09</t>
        </is>
      </c>
      <c r="F364" t="n">
        <v>1</v>
      </c>
      <c r="G364" t="inlineStr">
        <is>
          <t>RK001</t>
        </is>
      </c>
      <c r="H364" t="inlineStr">
        <is>
          <t>22 Juni 2012</t>
        </is>
      </c>
      <c r="I364" s="2" t="n">
        <v>46282</v>
      </c>
      <c r="J364" t="inlineStr">
        <is>
          <t>Disetujui</t>
        </is>
      </c>
      <c r="K364" t="n">
        <v>30</v>
      </c>
      <c r="L364" t="inlineStr">
        <is>
          <t>17 September 2026</t>
        </is>
      </c>
      <c r="M364" t="inlineStr">
        <is>
          <t>Jasa Rekayasa Konstruksi Bangunan Gedung Hunian dan Non Hunian</t>
        </is>
      </c>
      <c r="N364" t="inlineStr">
        <is>
          <t>K</t>
        </is>
      </c>
      <c r="O364" t="inlineStr">
        <is>
          <t>20230904</t>
        </is>
      </c>
      <c r="P364" t="inlineStr">
        <is>
          <t>Banten</t>
        </is>
      </c>
      <c r="Q364" t="inlineStr"/>
    </row>
    <row r="365">
      <c r="A365" t="inlineStr">
        <is>
          <t>KARYA PANCANG SEMESTA</t>
        </is>
      </c>
      <c r="B365" t="inlineStr">
        <is>
          <t>Kota Semarang</t>
        </is>
      </c>
      <c r="C365" t="inlineStr">
        <is>
          <t>081246887348</t>
        </is>
      </c>
      <c r="D365" t="inlineStr">
        <is>
          <t>cvkaryapancangsemesta@gmail.com</t>
        </is>
      </c>
      <c r="E365" t="inlineStr">
        <is>
          <t>https://lpjk.pu.go.id/search-badan-usaha-detail/aW4xdHhCZ2pGZmkyODcvYit5b2RoZz09</t>
        </is>
      </c>
      <c r="F365" t="n">
        <v>5</v>
      </c>
      <c r="G365" t="inlineStr">
        <is>
          <t>BG001, BG002, BG005, BG006, BG009</t>
        </is>
      </c>
      <c r="H365" t="inlineStr">
        <is>
          <t>8 April 2019</t>
        </is>
      </c>
      <c r="I365" s="2" t="n">
        <v>46283</v>
      </c>
      <c r="J365" t="inlineStr">
        <is>
          <t>Disetujui</t>
        </is>
      </c>
      <c r="K365" t="n">
        <v>30</v>
      </c>
      <c r="L365" t="inlineStr">
        <is>
          <t>18 September 2026</t>
        </is>
      </c>
      <c r="M365" t="inlineStr">
        <is>
          <t>Konstruksi Gedung Hunian, Konstruksi Gedung Kesehatan, Konstruksi Gedung Lainnya, Konstruksi Gedung Pendidikan, Konstruksi Gedung Perkantoran</t>
        </is>
      </c>
      <c r="N365" t="inlineStr">
        <is>
          <t>K</t>
        </is>
      </c>
      <c r="O365" t="inlineStr">
        <is>
          <t>20230912, 20230914, 20230915</t>
        </is>
      </c>
      <c r="P365" t="inlineStr">
        <is>
          <t>Jawa Tengah</t>
        </is>
      </c>
      <c r="Q365" t="inlineStr"/>
    </row>
    <row r="366">
      <c r="A366" t="inlineStr">
        <is>
          <t>KARYA PARANG SEBILAH</t>
        </is>
      </c>
      <c r="B366" t="inlineStr">
        <is>
          <t>Kab. Penukal Abab Lematang</t>
        </is>
      </c>
      <c r="C366" t="inlineStr">
        <is>
          <t>081274296337</t>
        </is>
      </c>
      <c r="D366" t="inlineStr">
        <is>
          <t>cvkaryaparangsebilah@gmail.com</t>
        </is>
      </c>
      <c r="E366" t="inlineStr">
        <is>
          <t>https://lpjk.pu.go.id/search-badan-usaha-detail/a1l5aG1EeFRidDJPSHgrcDBCSThlUT09</t>
        </is>
      </c>
      <c r="F366" t="n">
        <v>4</v>
      </c>
      <c r="G366" t="inlineStr">
        <is>
          <t>BG006, BG009, BS001, BS004</t>
        </is>
      </c>
      <c r="H366" t="inlineStr">
        <is>
          <t>10 Agustus 2023</t>
        </is>
      </c>
      <c r="I366" s="2" t="n">
        <v>46277</v>
      </c>
      <c r="J366" t="inlineStr">
        <is>
          <t>Disetujui</t>
        </is>
      </c>
      <c r="K366" t="n">
        <v>30</v>
      </c>
      <c r="L366" t="inlineStr">
        <is>
          <t>12 September 2026</t>
        </is>
      </c>
      <c r="M366" t="inlineStr">
        <is>
          <t>Konstruksi Bangunan Sipil Jalan, Konstruksi Gedung Lainnya, Konstruksi Gedung Pendidikan, Konstruksi Jaringan Irigasi dan Drainase</t>
        </is>
      </c>
      <c r="N366" t="inlineStr">
        <is>
          <t>K</t>
        </is>
      </c>
      <c r="O366" t="inlineStr">
        <is>
          <t>20230912, 20230913</t>
        </is>
      </c>
      <c r="P366" t="inlineStr">
        <is>
          <t>Sumatera Selatan</t>
        </is>
      </c>
      <c r="Q366" t="inlineStr"/>
    </row>
    <row r="367">
      <c r="A367" t="inlineStr">
        <is>
          <t>KARYA SEABAD CONSULTANT</t>
        </is>
      </c>
      <c r="B367" t="inlineStr">
        <is>
          <t>Kota Langsa</t>
        </is>
      </c>
      <c r="C367" t="inlineStr">
        <is>
          <t>08126975450</t>
        </is>
      </c>
      <c r="D367" t="inlineStr">
        <is>
          <t>karyaseabad100@gmail.com</t>
        </is>
      </c>
      <c r="E367" t="inlineStr">
        <is>
          <t>https://lpjk.pu.go.id/search-badan-usaha-detail/czREWXBSWTJKUTZubGZrWHR2U1o2QT09</t>
        </is>
      </c>
      <c r="F367" t="n">
        <v>2</v>
      </c>
      <c r="G367" t="inlineStr">
        <is>
          <t>RK001, RK002</t>
        </is>
      </c>
      <c r="H367" t="inlineStr">
        <is>
          <t>14 Juli 2008</t>
        </is>
      </c>
      <c r="I367" s="2" t="n">
        <v>46279</v>
      </c>
      <c r="J367" t="inlineStr">
        <is>
          <t>Disetujui</t>
        </is>
      </c>
      <c r="K367" t="n">
        <v>30</v>
      </c>
      <c r="L367" t="inlineStr">
        <is>
          <t>14 September 2026</t>
        </is>
      </c>
      <c r="M367" t="inlineStr">
        <is>
          <t>Jasa Rekayasa Konstruksi Bangunan Gedung Hunian dan Non Hunian, Jasa Rekayasa Pekerjaan Teknik Sipil Sumber Daya Air</t>
        </is>
      </c>
      <c r="N367" t="inlineStr">
        <is>
          <t>K</t>
        </is>
      </c>
      <c r="O367" t="inlineStr">
        <is>
          <t>20230831</t>
        </is>
      </c>
      <c r="P367" t="inlineStr">
        <is>
          <t>Aceh</t>
        </is>
      </c>
      <c r="Q367" t="inlineStr"/>
    </row>
    <row r="368">
      <c r="A368" t="inlineStr">
        <is>
          <t>KARYA SENTOSA CONTRACTOR</t>
        </is>
      </c>
      <c r="B368" t="inlineStr">
        <is>
          <t>Kab. Paser</t>
        </is>
      </c>
      <c r="C368" t="inlineStr">
        <is>
          <t>085347101875</t>
        </is>
      </c>
      <c r="D368" t="inlineStr">
        <is>
          <t>cvkaryasentosacontractor@gmail.com</t>
        </is>
      </c>
      <c r="E368" t="inlineStr">
        <is>
          <t>https://lpjk.pu.go.id/search-badan-usaha-detail/TGtxUGVTK3A0V0dWaTBaMFhtakFvdz09</t>
        </is>
      </c>
      <c r="F368" t="n">
        <v>1</v>
      </c>
      <c r="G368" t="inlineStr">
        <is>
          <t>BS004</t>
        </is>
      </c>
      <c r="H368" t="inlineStr">
        <is>
          <t>3 Juli 2023</t>
        </is>
      </c>
      <c r="I368" s="2" t="n">
        <v>46277</v>
      </c>
      <c r="J368" t="inlineStr">
        <is>
          <t>Disetujui</t>
        </is>
      </c>
      <c r="K368" t="n">
        <v>30</v>
      </c>
      <c r="L368" t="inlineStr">
        <is>
          <t>12 September 2026</t>
        </is>
      </c>
      <c r="M368" t="inlineStr">
        <is>
          <t>Konstruksi Jaringan Irigasi dan Drainase</t>
        </is>
      </c>
      <c r="N368" t="inlineStr">
        <is>
          <t>K</t>
        </is>
      </c>
      <c r="O368" t="inlineStr">
        <is>
          <t>20230907</t>
        </is>
      </c>
      <c r="P368" t="inlineStr">
        <is>
          <t>Kalimantan Timur</t>
        </is>
      </c>
      <c r="Q368" t="inlineStr"/>
    </row>
    <row r="369">
      <c r="A369" t="inlineStr">
        <is>
          <t>KARYA TITRI KONSTRUKSI</t>
        </is>
      </c>
      <c r="B369" t="inlineStr">
        <is>
          <t>Kota Padang</t>
        </is>
      </c>
      <c r="C369" t="inlineStr">
        <is>
          <t>081374357575</t>
        </is>
      </c>
      <c r="D369" t="inlineStr">
        <is>
          <t>cvkaryatitrikonstruksi@gmail.com</t>
        </is>
      </c>
      <c r="E369" t="inlineStr">
        <is>
          <t>https://lpjk.pu.go.id/search-badan-usaha-detail/ODV0TFlRS2V1aEhrNFVGaks2YkJxUT09</t>
        </is>
      </c>
      <c r="F369" t="n">
        <v>3</v>
      </c>
      <c r="G369" t="inlineStr">
        <is>
          <t>BG004, BG006, BG009</t>
        </is>
      </c>
      <c r="H369" t="inlineStr">
        <is>
          <t>18 Juli 2023</t>
        </is>
      </c>
      <c r="I369" s="2" t="n">
        <v>46277</v>
      </c>
      <c r="J369" t="inlineStr">
        <is>
          <t>Disetujui</t>
        </is>
      </c>
      <c r="K369" t="n">
        <v>30</v>
      </c>
      <c r="L369" t="inlineStr">
        <is>
          <t>12 September 2026</t>
        </is>
      </c>
      <c r="M369" t="inlineStr">
        <is>
          <t>Konstruksi Gedung Lainnya, Konstruksi Gedung Pendidikan, Konstruksi Gedung Perbelanjaan</t>
        </is>
      </c>
      <c r="N369" t="inlineStr">
        <is>
          <t>K</t>
        </is>
      </c>
      <c r="O369" t="inlineStr">
        <is>
          <t>20230908, 20230911</t>
        </is>
      </c>
      <c r="P369" t="inlineStr">
        <is>
          <t>Sumatera Barat</t>
        </is>
      </c>
      <c r="Q369" t="inlineStr"/>
    </row>
    <row r="370">
      <c r="A370" t="inlineStr">
        <is>
          <t>KARYA TRIO PUTRA</t>
        </is>
      </c>
      <c r="B370" t="inlineStr">
        <is>
          <t>Kota Gorontalo</t>
        </is>
      </c>
      <c r="C370" t="inlineStr">
        <is>
          <t>085242482766</t>
        </is>
      </c>
      <c r="D370" t="inlineStr">
        <is>
          <t>karyatrioputra@gmail.com</t>
        </is>
      </c>
      <c r="E370" t="inlineStr">
        <is>
          <t>https://lpjk.pu.go.id/search-badan-usaha-detail/N1U1UFVCUDR0YitFSE1mMk9MVXdVUT09</t>
        </is>
      </c>
      <c r="F370" t="n">
        <v>4</v>
      </c>
      <c r="G370" t="inlineStr">
        <is>
          <t>BG002, BG006, BG009, BS004</t>
        </is>
      </c>
      <c r="H370" t="inlineStr">
        <is>
          <t>9 Agustus 2022</t>
        </is>
      </c>
      <c r="I370" s="2" t="n">
        <v>46279</v>
      </c>
      <c r="J370" t="inlineStr">
        <is>
          <t>Disetujui</t>
        </is>
      </c>
      <c r="K370" t="n">
        <v>30</v>
      </c>
      <c r="L370" t="inlineStr">
        <is>
          <t>14 September 2026</t>
        </is>
      </c>
      <c r="M370" t="inlineStr">
        <is>
          <t>Konstruksi Gedung Lainnya, Konstruksi Gedung Pendidikan, Konstruksi Gedung Perkantoran, Konstruksi Jaringan Irigasi dan Drainase</t>
        </is>
      </c>
      <c r="N370" t="inlineStr">
        <is>
          <t>K</t>
        </is>
      </c>
      <c r="O370" t="inlineStr">
        <is>
          <t>20230911, 20230912, 20230915</t>
        </is>
      </c>
      <c r="P370" t="inlineStr">
        <is>
          <t>Gorontalo</t>
        </is>
      </c>
      <c r="Q370" t="inlineStr"/>
    </row>
    <row r="371">
      <c r="A371" t="inlineStr">
        <is>
          <t>KARYA TRISTA ASRI</t>
        </is>
      </c>
      <c r="B371" t="inlineStr">
        <is>
          <t>Kab. Bandung</t>
        </is>
      </c>
      <c r="C371" t="inlineStr">
        <is>
          <t>08122359113</t>
        </is>
      </c>
      <c r="D371" t="inlineStr">
        <is>
          <t>karya.trista@yahoo.co.id</t>
        </is>
      </c>
      <c r="E371" t="inlineStr">
        <is>
          <t>https://lpjk.pu.go.id/search-badan-usaha-detail/b2FqN2sxa0VMQnYzMWxkMG9lVVFFUT09</t>
        </is>
      </c>
      <c r="F371" t="n">
        <v>1</v>
      </c>
      <c r="G371" t="inlineStr">
        <is>
          <t>BS005</t>
        </is>
      </c>
      <c r="H371" t="inlineStr">
        <is>
          <t>15 Agustus 2003</t>
        </is>
      </c>
      <c r="I371" s="2" t="n">
        <v>46282</v>
      </c>
      <c r="J371" t="inlineStr">
        <is>
          <t>Disetujui</t>
        </is>
      </c>
      <c r="K371" t="n">
        <v>30</v>
      </c>
      <c r="L371" t="inlineStr">
        <is>
          <t>17 September 2026</t>
        </is>
      </c>
      <c r="M371" t="inlineStr">
        <is>
          <t>Konstruksi Bangunan Sipil Pengolahan Air Bersih</t>
        </is>
      </c>
      <c r="N371" t="inlineStr">
        <is>
          <t>K</t>
        </is>
      </c>
      <c r="O371" t="inlineStr">
        <is>
          <t>20230905</t>
        </is>
      </c>
      <c r="P371" t="inlineStr">
        <is>
          <t>Jawa Barat</t>
        </is>
      </c>
      <c r="Q371" t="inlineStr"/>
    </row>
    <row r="372">
      <c r="A372" t="inlineStr">
        <is>
          <t>KARYA UTAMA</t>
        </is>
      </c>
      <c r="B372" t="inlineStr">
        <is>
          <t>Kota Pekanbaru</t>
        </is>
      </c>
      <c r="C372" t="inlineStr">
        <is>
          <t>0761849594</t>
        </is>
      </c>
      <c r="D372" t="inlineStr">
        <is>
          <t>cv.karyautamapku@outlook.com</t>
        </is>
      </c>
      <c r="E372" t="inlineStr">
        <is>
          <t>https://lpjk.pu.go.id/search-badan-usaha-detail/Z29NcjhLK1NCUGY4eXJPMXpMRUJnUT09</t>
        </is>
      </c>
      <c r="F372" t="n">
        <v>4</v>
      </c>
      <c r="G372" t="inlineStr">
        <is>
          <t>BS001, BS002, BS004, BS010</t>
        </is>
      </c>
      <c r="H372" t="inlineStr">
        <is>
          <t>1 Juli 1999</t>
        </is>
      </c>
      <c r="I372" s="2" t="n">
        <v>46277</v>
      </c>
      <c r="J372" t="inlineStr">
        <is>
          <t>Disetujui</t>
        </is>
      </c>
      <c r="K372" t="n">
        <v>30</v>
      </c>
      <c r="L372" t="inlineStr">
        <is>
          <t>12 September 2026</t>
        </is>
      </c>
      <c r="M372" t="inlineStr">
        <is>
          <t>Bangunan Sipil Jembatan, Jalan Layang, Fly Over, dan Underpass, Konstruksi Bangunan Prasarana Sumber Daya Air, Konstruksi Bangunan Sipil Jalan, Konstruksi Jaringan Irigasi dan Drainase</t>
        </is>
      </c>
      <c r="N372" t="inlineStr">
        <is>
          <t>K</t>
        </is>
      </c>
      <c r="O372" t="inlineStr">
        <is>
          <t>20230904, 20230907</t>
        </is>
      </c>
      <c r="P372" t="inlineStr">
        <is>
          <t>Riau</t>
        </is>
      </c>
      <c r="Q372" t="inlineStr"/>
    </row>
    <row r="373">
      <c r="A373" t="inlineStr">
        <is>
          <t>KARYA WIJAYA</t>
        </is>
      </c>
      <c r="B373" t="inlineStr">
        <is>
          <t>Kab. Pekalongan</t>
        </is>
      </c>
      <c r="C373" t="inlineStr">
        <is>
          <t>081298489554</t>
        </is>
      </c>
      <c r="D373" t="inlineStr">
        <is>
          <t>cv.karyawijaya16@gmail.com</t>
        </is>
      </c>
      <c r="E373" t="inlineStr">
        <is>
          <t>https://lpjk.pu.go.id/search-badan-usaha-detail/MmkrQmVTbTdQSERldS9hY0ZLYVZZUT09</t>
        </is>
      </c>
      <c r="F373" t="n">
        <v>5</v>
      </c>
      <c r="G373" t="inlineStr">
        <is>
          <t>BG005, BG006, BG009, BS001, BS004</t>
        </is>
      </c>
      <c r="H373" t="inlineStr">
        <is>
          <t>9 Desember 2016</t>
        </is>
      </c>
      <c r="I373" s="2" t="n">
        <v>46278</v>
      </c>
      <c r="J373" t="inlineStr">
        <is>
          <t>Disetujui</t>
        </is>
      </c>
      <c r="K373" t="n">
        <v>30</v>
      </c>
      <c r="L373" t="inlineStr">
        <is>
          <t>13 September 2026</t>
        </is>
      </c>
      <c r="M373" t="inlineStr">
        <is>
          <t>Konstruksi Bangunan Sipil Jalan, Konstruksi Gedung Kesehatan, Konstruksi Gedung Lainnya, Konstruksi Gedung Pendidikan, Konstruksi Jaringan Irigasi dan Drainase</t>
        </is>
      </c>
      <c r="N373" t="inlineStr">
        <is>
          <t>K</t>
        </is>
      </c>
      <c r="O373" t="inlineStr">
        <is>
          <t>20230908, 20230911</t>
        </is>
      </c>
      <c r="P373" t="inlineStr">
        <is>
          <t>Jawa Tengah</t>
        </is>
      </c>
      <c r="Q373" t="inlineStr"/>
    </row>
    <row r="374">
      <c r="A374" t="inlineStr">
        <is>
          <t>KARYAWAN INFO CITRA CARAKA ICC</t>
        </is>
      </c>
      <c r="B374" t="inlineStr">
        <is>
          <t>Kota Palangkaraya</t>
        </is>
      </c>
      <c r="C374" t="inlineStr">
        <is>
          <t>0536320474</t>
        </is>
      </c>
      <c r="D374" t="inlineStr">
        <is>
          <t>iccnetplk@gmail.com</t>
        </is>
      </c>
      <c r="E374" t="inlineStr">
        <is>
          <t>https://lpjk.pu.go.id/search-badan-usaha-detail/NVBvNUV5UFJ0TUtIRWl4aWk4SU9QZz09</t>
        </is>
      </c>
      <c r="F374" t="n">
        <v>1</v>
      </c>
      <c r="G374" t="inlineStr">
        <is>
          <t>IN002</t>
        </is>
      </c>
      <c r="H374" t="inlineStr">
        <is>
          <t>30 April 2009</t>
        </is>
      </c>
      <c r="I374" s="2" t="n">
        <v>46279</v>
      </c>
      <c r="J374" t="inlineStr">
        <is>
          <t>Disetujui</t>
        </is>
      </c>
      <c r="K374" t="n">
        <v>30</v>
      </c>
      <c r="L374" t="inlineStr">
        <is>
          <t>14 September 2026</t>
        </is>
      </c>
      <c r="M374" t="inlineStr">
        <is>
          <t>Instalasi Telekomunikasi</t>
        </is>
      </c>
      <c r="N374" t="inlineStr">
        <is>
          <t>Spesialis</t>
        </is>
      </c>
      <c r="O374" t="inlineStr">
        <is>
          <t>20230908</t>
        </is>
      </c>
      <c r="P374" t="inlineStr">
        <is>
          <t>Kalimantan Tengah</t>
        </is>
      </c>
      <c r="Q374" t="inlineStr"/>
    </row>
    <row r="375">
      <c r="A375" t="inlineStr">
        <is>
          <t>KAYAR TAMA</t>
        </is>
      </c>
      <c r="B375" t="inlineStr">
        <is>
          <t>Kab. Kubu Raya</t>
        </is>
      </c>
      <c r="C375" t="inlineStr">
        <is>
          <t>081258852244</t>
        </is>
      </c>
      <c r="D375" t="inlineStr">
        <is>
          <t>kayar.tama18@gmail.com</t>
        </is>
      </c>
      <c r="E375" t="inlineStr">
        <is>
          <t>https://lpjk.pu.go.id/search-badan-usaha-detail/ZVB0RkdMU3RvNWNxcFd3NGVCUWUzQT09</t>
        </is>
      </c>
      <c r="F375" t="n">
        <v>1</v>
      </c>
      <c r="G375" t="inlineStr">
        <is>
          <t>BS001</t>
        </is>
      </c>
      <c r="H375" t="inlineStr">
        <is>
          <t>19 September 2018</t>
        </is>
      </c>
      <c r="I375" s="2" t="n">
        <v>46278</v>
      </c>
      <c r="J375" t="inlineStr">
        <is>
          <t>Disetujui</t>
        </is>
      </c>
      <c r="K375" t="n">
        <v>30</v>
      </c>
      <c r="L375" t="inlineStr">
        <is>
          <t>13 September 2026</t>
        </is>
      </c>
      <c r="M375" t="inlineStr">
        <is>
          <t>Konstruksi Bangunan Sipil Jalan</t>
        </is>
      </c>
      <c r="N375" t="inlineStr">
        <is>
          <t>K</t>
        </is>
      </c>
      <c r="O375" t="inlineStr">
        <is>
          <t>20230903</t>
        </is>
      </c>
      <c r="P375" t="inlineStr">
        <is>
          <t>Kalimantan Barat</t>
        </is>
      </c>
      <c r="Q375" t="inlineStr"/>
    </row>
    <row r="376">
      <c r="A376" t="inlineStr">
        <is>
          <t>KAYU LAUT BERKARYA</t>
        </is>
      </c>
      <c r="B376" t="inlineStr">
        <is>
          <t>Kab. Tapanuli Selatan</t>
        </is>
      </c>
      <c r="C376" t="inlineStr">
        <is>
          <t>081360992594</t>
        </is>
      </c>
      <c r="D376" t="inlineStr">
        <is>
          <t>Kayulautberkarya@gmail.com</t>
        </is>
      </c>
      <c r="E376" t="inlineStr">
        <is>
          <t>https://lpjk.pu.go.id/search-badan-usaha-detail/aDI5Y1gwNnl1ZFRFeG1WS0h6d2Ivdz09</t>
        </is>
      </c>
      <c r="F376" t="n">
        <v>4</v>
      </c>
      <c r="G376" t="inlineStr">
        <is>
          <t>BG005, BG006, BS001, BS004</t>
        </is>
      </c>
      <c r="H376" t="inlineStr">
        <is>
          <t>8 September 2023</t>
        </is>
      </c>
      <c r="I376" s="2" t="n">
        <v>46282</v>
      </c>
      <c r="J376" t="inlineStr">
        <is>
          <t>Disetujui</t>
        </is>
      </c>
      <c r="K376" t="n">
        <v>30</v>
      </c>
      <c r="L376" t="inlineStr">
        <is>
          <t>17 September 2026</t>
        </is>
      </c>
      <c r="M376" t="inlineStr">
        <is>
          <t>Konstruksi Bangunan Sipil Jalan, Konstruksi Gedung Kesehatan, Konstruksi Gedung Pendidikan, Konstruksi Jaringan Irigasi dan Drainase</t>
        </is>
      </c>
      <c r="N376" t="inlineStr">
        <is>
          <t>K</t>
        </is>
      </c>
      <c r="O376" t="inlineStr">
        <is>
          <t>20230915</t>
        </is>
      </c>
      <c r="P376" t="inlineStr">
        <is>
          <t>Sumatera Utara</t>
        </is>
      </c>
      <c r="Q376" t="inlineStr"/>
    </row>
    <row r="377">
      <c r="A377" t="inlineStr">
        <is>
          <t>KEMBAR JAYA BITUNG</t>
        </is>
      </c>
      <c r="B377" t="inlineStr">
        <is>
          <t>Kota Bitung</t>
        </is>
      </c>
      <c r="C377" t="inlineStr">
        <is>
          <t>081356618392</t>
        </is>
      </c>
      <c r="D377" t="inlineStr">
        <is>
          <t>rudiytjandra1969@gmail.com</t>
        </is>
      </c>
      <c r="E377" t="inlineStr">
        <is>
          <t>https://lpjk.pu.go.id/search-badan-usaha-detail/QjJaeHNvUTVGOFJDeUpJVWZXRlVVZz09</t>
        </is>
      </c>
      <c r="F377" t="n">
        <v>1</v>
      </c>
      <c r="G377" t="inlineStr">
        <is>
          <t>BS004</t>
        </is>
      </c>
      <c r="H377" t="inlineStr">
        <is>
          <t>24 Februari 2006</t>
        </is>
      </c>
      <c r="I377" s="2" t="n">
        <v>46282</v>
      </c>
      <c r="J377" t="inlineStr">
        <is>
          <t>Disetujui</t>
        </is>
      </c>
      <c r="K377" t="n">
        <v>30</v>
      </c>
      <c r="L377" t="inlineStr">
        <is>
          <t>17 September 2026</t>
        </is>
      </c>
      <c r="M377" t="inlineStr">
        <is>
          <t>Konstruksi Jaringan Irigasi dan Drainase</t>
        </is>
      </c>
      <c r="N377" t="inlineStr">
        <is>
          <t>K</t>
        </is>
      </c>
      <c r="O377" t="inlineStr">
        <is>
          <t>20230907</t>
        </is>
      </c>
      <c r="P377" t="inlineStr">
        <is>
          <t>Sulawesi Utara</t>
        </is>
      </c>
      <c r="Q377" t="inlineStr"/>
    </row>
    <row r="378">
      <c r="A378" t="inlineStr">
        <is>
          <t>KENCANA</t>
        </is>
      </c>
      <c r="B378" t="inlineStr">
        <is>
          <t>Kab. Majalengka</t>
        </is>
      </c>
      <c r="C378" t="inlineStr">
        <is>
          <t>-</t>
        </is>
      </c>
      <c r="D378" t="inlineStr">
        <is>
          <t>kencanacv71@yahoo.com</t>
        </is>
      </c>
      <c r="E378" t="inlineStr">
        <is>
          <t>https://lpjk.pu.go.id/search-badan-usaha-detail/cEx3RTVBZTgrVzZWekR3RGpTMDY2Zz09</t>
        </is>
      </c>
      <c r="F378" t="n">
        <v>1</v>
      </c>
      <c r="G378" t="inlineStr">
        <is>
          <t>BS004</t>
        </is>
      </c>
      <c r="H378" t="inlineStr">
        <is>
          <t>15 Agustus 1979</t>
        </is>
      </c>
      <c r="I378" s="2" t="n">
        <v>46283</v>
      </c>
      <c r="J378" t="inlineStr">
        <is>
          <t>Disetujui</t>
        </is>
      </c>
      <c r="K378" t="n">
        <v>30</v>
      </c>
      <c r="L378" t="inlineStr">
        <is>
          <t>18 September 2026</t>
        </is>
      </c>
      <c r="M378" t="inlineStr">
        <is>
          <t>Konstruksi Jaringan Irigasi dan Drainase</t>
        </is>
      </c>
      <c r="N378" t="inlineStr">
        <is>
          <t>K</t>
        </is>
      </c>
      <c r="O378" t="inlineStr">
        <is>
          <t>20230913</t>
        </is>
      </c>
      <c r="P378" t="inlineStr">
        <is>
          <t>Jawa Barat</t>
        </is>
      </c>
      <c r="Q378" t="inlineStr"/>
    </row>
    <row r="379">
      <c r="A379" t="inlineStr">
        <is>
          <t>KENCANA JAYA KREASINDO</t>
        </is>
      </c>
      <c r="B379" t="inlineStr">
        <is>
          <t>Kab. Tebo</t>
        </is>
      </c>
      <c r="C379" t="inlineStr">
        <is>
          <t>085266797976</t>
        </is>
      </c>
      <c r="D379" t="inlineStr">
        <is>
          <t>kencanajayakreasindo@gmail.com</t>
        </is>
      </c>
      <c r="E379" t="inlineStr">
        <is>
          <t>https://lpjk.pu.go.id/search-badan-usaha-detail/dGxJTjY1SE8zN3dQVitnZlMyeno4dz09</t>
        </is>
      </c>
      <c r="F379" t="n">
        <v>1</v>
      </c>
      <c r="G379" t="inlineStr">
        <is>
          <t>BG004</t>
        </is>
      </c>
      <c r="H379" t="inlineStr">
        <is>
          <t>27 November 2019</t>
        </is>
      </c>
      <c r="I379" s="2" t="n">
        <v>46277</v>
      </c>
      <c r="J379" t="inlineStr">
        <is>
          <t>Disetujui</t>
        </is>
      </c>
      <c r="K379" t="n">
        <v>30</v>
      </c>
      <c r="L379" t="inlineStr">
        <is>
          <t>12 September 2026</t>
        </is>
      </c>
      <c r="M379" t="inlineStr">
        <is>
          <t>Konstruksi Gedung Perbelanjaan</t>
        </is>
      </c>
      <c r="N379" t="inlineStr">
        <is>
          <t>K</t>
        </is>
      </c>
      <c r="O379" t="inlineStr">
        <is>
          <t>20230909</t>
        </is>
      </c>
      <c r="P379" t="inlineStr">
        <is>
          <t>Jambi</t>
        </is>
      </c>
      <c r="Q379" t="inlineStr"/>
    </row>
    <row r="380">
      <c r="A380" t="inlineStr">
        <is>
          <t>KENCANA KARYA</t>
        </is>
      </c>
      <c r="B380" t="inlineStr">
        <is>
          <t>Kab. Kepulauan Mentawai</t>
        </is>
      </c>
      <c r="C380" t="inlineStr">
        <is>
          <t>085276200200</t>
        </is>
      </c>
      <c r="D380" t="inlineStr">
        <is>
          <t>kencanakarya2020@gmail.com</t>
        </is>
      </c>
      <c r="E380" t="inlineStr">
        <is>
          <t>https://lpjk.pu.go.id/search-badan-usaha-detail/NW5URkNLRjFtT1dhZUR6aW84Z2hEZz09</t>
        </is>
      </c>
      <c r="F380" t="n">
        <v>1</v>
      </c>
      <c r="G380" t="inlineStr">
        <is>
          <t>BS004</t>
        </is>
      </c>
      <c r="H380" t="inlineStr">
        <is>
          <t>13 Januari 2010</t>
        </is>
      </c>
      <c r="I380" s="2" t="n">
        <v>46282</v>
      </c>
      <c r="J380" t="inlineStr">
        <is>
          <t>Pencabutan</t>
        </is>
      </c>
      <c r="K380" t="n">
        <v>30</v>
      </c>
      <c r="L380" t="inlineStr">
        <is>
          <t>17 September 2026</t>
        </is>
      </c>
      <c r="M380" t="inlineStr">
        <is>
          <t>Konstruksi Jaringan Irigasi dan Drainase</t>
        </is>
      </c>
      <c r="N380" t="inlineStr">
        <is>
          <t>K</t>
        </is>
      </c>
      <c r="O380" t="inlineStr">
        <is>
          <t>20230908</t>
        </is>
      </c>
      <c r="P380" t="inlineStr">
        <is>
          <t>Sumatera Barat</t>
        </is>
      </c>
      <c r="Q380" t="inlineStr"/>
    </row>
    <row r="381">
      <c r="A381" t="inlineStr">
        <is>
          <t>KENCANA SARI UTAMA</t>
        </is>
      </c>
      <c r="B381" t="inlineStr">
        <is>
          <t>Kab. Ciamis</t>
        </is>
      </c>
      <c r="C381" t="inlineStr">
        <is>
          <t>081224990364</t>
        </is>
      </c>
      <c r="D381" t="inlineStr">
        <is>
          <t>saritriana.legalmp@gmail.com</t>
        </is>
      </c>
      <c r="E381" t="inlineStr">
        <is>
          <t>https://lpjk.pu.go.id/search-badan-usaha-detail/ZEorbFRSUytydkZFbmdNTEs3Z2VUQT09</t>
        </is>
      </c>
      <c r="F381" t="n">
        <v>2</v>
      </c>
      <c r="G381" t="inlineStr">
        <is>
          <t>BG002, BG009</t>
        </is>
      </c>
      <c r="H381" t="inlineStr">
        <is>
          <t>6 Maret 2023</t>
        </is>
      </c>
      <c r="I381" s="2" t="n">
        <v>46277</v>
      </c>
      <c r="J381" t="inlineStr">
        <is>
          <t>Disetujui</t>
        </is>
      </c>
      <c r="K381" t="n">
        <v>30</v>
      </c>
      <c r="L381" t="inlineStr">
        <is>
          <t>12 September 2026</t>
        </is>
      </c>
      <c r="M381" t="inlineStr">
        <is>
          <t>Konstruksi Gedung Lainnya, Konstruksi Gedung Perkantoran</t>
        </is>
      </c>
      <c r="N381" t="inlineStr">
        <is>
          <t>K</t>
        </is>
      </c>
      <c r="O381" t="inlineStr">
        <is>
          <t>20230908</t>
        </is>
      </c>
      <c r="P381" t="inlineStr">
        <is>
          <t>Jawa Barat</t>
        </is>
      </c>
      <c r="Q381" t="inlineStr"/>
    </row>
    <row r="382">
      <c r="A382" t="inlineStr">
        <is>
          <t>KHARISMA PUTRA GEMILANG</t>
        </is>
      </c>
      <c r="B382" t="inlineStr">
        <is>
          <t>Kab. Malang</t>
        </is>
      </c>
      <c r="C382" t="inlineStr">
        <is>
          <t>082233606436</t>
        </is>
      </c>
      <c r="D382" t="inlineStr">
        <is>
          <t>cvkharismaputragemilang@gmail.com</t>
        </is>
      </c>
      <c r="E382" t="inlineStr">
        <is>
          <t>https://lpjk.pu.go.id/search-badan-usaha-detail/TVFBbHV2MGJ5ZkxZOVFBdCs0djJNdz09</t>
        </is>
      </c>
      <c r="F382" t="n">
        <v>2</v>
      </c>
      <c r="G382" t="inlineStr">
        <is>
          <t>BS001</t>
        </is>
      </c>
      <c r="H382" t="inlineStr">
        <is>
          <t>10 Januari 2020</t>
        </is>
      </c>
      <c r="I382" s="2" t="n">
        <v>46277</v>
      </c>
      <c r="J382" t="inlineStr">
        <is>
          <t>Disetujui</t>
        </is>
      </c>
      <c r="K382" t="n">
        <v>30</v>
      </c>
      <c r="L382" t="inlineStr">
        <is>
          <t>12 September 2026</t>
        </is>
      </c>
      <c r="M382" t="inlineStr">
        <is>
          <t>Konstruksi Bangunan Sipil Jalan</t>
        </is>
      </c>
      <c r="N382" t="inlineStr">
        <is>
          <t>K</t>
        </is>
      </c>
      <c r="O382" t="inlineStr">
        <is>
          <t>20230906</t>
        </is>
      </c>
      <c r="P382" t="inlineStr">
        <is>
          <t>Jawa Timur</t>
        </is>
      </c>
      <c r="Q382" t="inlineStr"/>
    </row>
    <row r="383">
      <c r="A383" t="inlineStr">
        <is>
          <t>KONSTRUKSI UFUK TIMUR</t>
        </is>
      </c>
      <c r="B383" t="inlineStr">
        <is>
          <t>Kab. Fak Fak</t>
        </is>
      </c>
      <c r="C383" t="inlineStr">
        <is>
          <t>081240929325</t>
        </is>
      </c>
      <c r="D383" t="inlineStr">
        <is>
          <t>konstruksiufuktimur@gmail.com</t>
        </is>
      </c>
      <c r="E383" t="inlineStr">
        <is>
          <t>https://lpjk.pu.go.id/search-badan-usaha-detail/VnBlOVBBM0thdmt3Y1NvOGRKYTd2UT09</t>
        </is>
      </c>
      <c r="F383" t="n">
        <v>7</v>
      </c>
      <c r="G383" t="inlineStr">
        <is>
          <t>BG001, BG002, BG005, BG006, BG009, BS001, BS004</t>
        </is>
      </c>
      <c r="H383" t="inlineStr">
        <is>
          <t>18 Agustus 2023</t>
        </is>
      </c>
      <c r="I383" s="2" t="n">
        <v>46278</v>
      </c>
      <c r="J383" t="inlineStr">
        <is>
          <t>Disetujui</t>
        </is>
      </c>
      <c r="K383" t="n">
        <v>30</v>
      </c>
      <c r="L383" t="inlineStr">
        <is>
          <t>13 September 2026</t>
        </is>
      </c>
      <c r="M383" t="inlineStr">
        <is>
          <t>Konstruksi Bangunan Sipil Jalan, Konstruksi Gedung Hunian, Konstruksi Gedung Kesehatan, Konstruksi Gedung Lainnya, Konstruksi Gedung Pendidikan, Konstruksi Gedung Perkantoran, Konstruksi Jaringan Irigasi dan Drainase</t>
        </is>
      </c>
      <c r="N383" t="inlineStr">
        <is>
          <t>K</t>
        </is>
      </c>
      <c r="O383" t="inlineStr">
        <is>
          <t>20230913, 20230914, 20230915, 20230916</t>
        </is>
      </c>
      <c r="P383" t="inlineStr">
        <is>
          <t>Papua Barat</t>
        </is>
      </c>
      <c r="Q383" t="inlineStr"/>
    </row>
    <row r="384">
      <c r="A384" t="inlineStr">
        <is>
          <t>KRAKATAU</t>
        </is>
      </c>
      <c r="B384" t="inlineStr">
        <is>
          <t>Kab. Kapuas Hulu</t>
        </is>
      </c>
      <c r="C384" t="inlineStr">
        <is>
          <t>082198654885</t>
        </is>
      </c>
      <c r="D384" t="inlineStr">
        <is>
          <t>sjm070288@gmail.com</t>
        </is>
      </c>
      <c r="E384" t="inlineStr">
        <is>
          <t>https://lpjk.pu.go.id/search-badan-usaha-detail/UmxSNE82MnZJQ0RBV1I3UmJFSGp6dz09</t>
        </is>
      </c>
      <c r="F384" t="n">
        <v>1</v>
      </c>
      <c r="G384" t="inlineStr">
        <is>
          <t>BS004</t>
        </is>
      </c>
      <c r="H384" t="inlineStr">
        <is>
          <t>22 Juli 2003</t>
        </is>
      </c>
      <c r="I384" s="2" t="n">
        <v>46278</v>
      </c>
      <c r="J384" t="inlineStr">
        <is>
          <t>Disetujui</t>
        </is>
      </c>
      <c r="K384" t="n">
        <v>30</v>
      </c>
      <c r="L384" t="inlineStr">
        <is>
          <t>13 September 2026</t>
        </is>
      </c>
      <c r="M384" t="inlineStr">
        <is>
          <t>Konstruksi Jaringan Irigasi dan Drainase</t>
        </is>
      </c>
      <c r="N384" t="inlineStr">
        <is>
          <t>K</t>
        </is>
      </c>
      <c r="O384" t="inlineStr">
        <is>
          <t>20230913</t>
        </is>
      </c>
      <c r="P384" t="inlineStr">
        <is>
          <t>Kalimantan Barat</t>
        </is>
      </c>
      <c r="Q384" t="inlineStr"/>
    </row>
    <row r="385">
      <c r="A385" t="inlineStr">
        <is>
          <t>KUALA PANAE</t>
        </is>
      </c>
      <c r="B385" t="inlineStr">
        <is>
          <t>Kab. Rokan Hilir</t>
        </is>
      </c>
      <c r="C385" t="inlineStr">
        <is>
          <t>085265758566</t>
        </is>
      </c>
      <c r="D385" t="inlineStr">
        <is>
          <t>cv.kualapanaekontruksi@yahoo.com</t>
        </is>
      </c>
      <c r="E385" t="inlineStr">
        <is>
          <t>https://lpjk.pu.go.id/search-badan-usaha-detail/U3VjNW5aS2Y3MzMxb241TEhraG1hUT09</t>
        </is>
      </c>
      <c r="F385" t="n">
        <v>1</v>
      </c>
      <c r="G385" t="inlineStr">
        <is>
          <t>BG006</t>
        </is>
      </c>
      <c r="H385" t="inlineStr">
        <is>
          <t>18 November 2002</t>
        </is>
      </c>
      <c r="I385" s="2" t="n">
        <v>46277</v>
      </c>
      <c r="J385" t="inlineStr">
        <is>
          <t>Disetujui</t>
        </is>
      </c>
      <c r="K385" t="n">
        <v>30</v>
      </c>
      <c r="L385" t="inlineStr">
        <is>
          <t>12 September 2026</t>
        </is>
      </c>
      <c r="M385" t="inlineStr">
        <is>
          <t>Konstruksi Gedung Pendidikan</t>
        </is>
      </c>
      <c r="N385" t="inlineStr">
        <is>
          <t>K</t>
        </is>
      </c>
      <c r="O385" t="inlineStr">
        <is>
          <t>20230912</t>
        </is>
      </c>
      <c r="P385" t="inlineStr">
        <is>
          <t>Riau</t>
        </is>
      </c>
      <c r="Q385" t="inlineStr"/>
    </row>
    <row r="386">
      <c r="A386" t="inlineStr">
        <is>
          <t>KURNIA MITRA JAYA ABADI</t>
        </is>
      </c>
      <c r="B386" t="inlineStr">
        <is>
          <t>Kab. Rokan Hilir</t>
        </is>
      </c>
      <c r="C386" t="inlineStr">
        <is>
          <t>082286183211</t>
        </is>
      </c>
      <c r="D386" t="inlineStr">
        <is>
          <t>cvkurniamitrajayaabadi@gmail.com</t>
        </is>
      </c>
      <c r="E386" t="inlineStr">
        <is>
          <t>https://lpjk.pu.go.id/search-badan-usaha-detail/V24rVkt4a21vS3VKeVhwNndmQ09Zdz09</t>
        </is>
      </c>
      <c r="F386" t="n">
        <v>2</v>
      </c>
      <c r="G386" t="inlineStr">
        <is>
          <t>BG001, BG009</t>
        </is>
      </c>
      <c r="H386" t="inlineStr">
        <is>
          <t>8 Desember 2021</t>
        </is>
      </c>
      <c r="I386" s="2" t="n">
        <v>46282</v>
      </c>
      <c r="J386" t="inlineStr">
        <is>
          <t>Disetujui</t>
        </is>
      </c>
      <c r="K386" t="n">
        <v>30</v>
      </c>
      <c r="L386" t="inlineStr">
        <is>
          <t>17 September 2026</t>
        </is>
      </c>
      <c r="M386" t="inlineStr">
        <is>
          <t>Konstruksi Gedung Hunian, Konstruksi Gedung Lainnya</t>
        </is>
      </c>
      <c r="N386" t="inlineStr">
        <is>
          <t>K</t>
        </is>
      </c>
      <c r="O386" t="inlineStr">
        <is>
          <t>20230918</t>
        </is>
      </c>
      <c r="P386" t="inlineStr">
        <is>
          <t>Riau</t>
        </is>
      </c>
      <c r="Q386" t="inlineStr"/>
    </row>
    <row r="387">
      <c r="A387" t="inlineStr">
        <is>
          <t>LAMPUNG PERSADA</t>
        </is>
      </c>
      <c r="B387" t="inlineStr">
        <is>
          <t>Kota Bandar Lampung</t>
        </is>
      </c>
      <c r="C387" t="inlineStr">
        <is>
          <t>085766813614</t>
        </is>
      </c>
      <c r="D387" t="inlineStr">
        <is>
          <t>lampungpersada@yahoo.com</t>
        </is>
      </c>
      <c r="E387" t="inlineStr">
        <is>
          <t>https://lpjk.pu.go.id/search-badan-usaha-detail/c3BmaWhROWRtZzdzbFRKamdVTmJEZz09</t>
        </is>
      </c>
      <c r="F387" t="n">
        <v>2</v>
      </c>
      <c r="G387" t="inlineStr">
        <is>
          <t>BS001, BS004</t>
        </is>
      </c>
      <c r="H387" t="inlineStr">
        <is>
          <t>4 Februari 2015</t>
        </is>
      </c>
      <c r="I387" s="2" t="n">
        <v>46278</v>
      </c>
      <c r="J387" t="inlineStr">
        <is>
          <t>Disetujui</t>
        </is>
      </c>
      <c r="K387" t="n">
        <v>30</v>
      </c>
      <c r="L387" t="inlineStr">
        <is>
          <t>13 September 2026</t>
        </is>
      </c>
      <c r="M387" t="inlineStr">
        <is>
          <t>Konstruksi Bangunan Sipil Jalan, Konstruksi Jaringan Irigasi dan Drainase</t>
        </is>
      </c>
      <c r="N387" t="inlineStr">
        <is>
          <t>K</t>
        </is>
      </c>
      <c r="O387" t="inlineStr">
        <is>
          <t>20230825, 20230907</t>
        </is>
      </c>
      <c r="P387" t="inlineStr">
        <is>
          <t>Lampung</t>
        </is>
      </c>
      <c r="Q387" t="inlineStr"/>
    </row>
    <row r="388">
      <c r="A388" t="inlineStr">
        <is>
          <t>LESTARI</t>
        </is>
      </c>
      <c r="B388" t="inlineStr">
        <is>
          <t>Kab. Tapanuli Selatan</t>
        </is>
      </c>
      <c r="C388" t="inlineStr">
        <is>
          <t>081377377492</t>
        </is>
      </c>
      <c r="D388" t="inlineStr">
        <is>
          <t>cvlestari8@gmail.com</t>
        </is>
      </c>
      <c r="E388" t="inlineStr">
        <is>
          <t>https://lpjk.pu.go.id/search-badan-usaha-detail/ZytTY1Vwa1ZSeTRIblpqY2VidFFJQT09</t>
        </is>
      </c>
      <c r="F388" t="n">
        <v>1</v>
      </c>
      <c r="G388" t="inlineStr">
        <is>
          <t>BS001</t>
        </is>
      </c>
      <c r="H388" t="inlineStr">
        <is>
          <t>13 Desember 1994</t>
        </is>
      </c>
      <c r="I388" s="2" t="n">
        <v>46277</v>
      </c>
      <c r="J388" t="inlineStr">
        <is>
          <t>Disetujui</t>
        </is>
      </c>
      <c r="K388" t="n">
        <v>30</v>
      </c>
      <c r="L388" t="inlineStr">
        <is>
          <t>12 September 2026</t>
        </is>
      </c>
      <c r="M388" t="inlineStr">
        <is>
          <t>Konstruksi Bangunan Sipil Jalan</t>
        </is>
      </c>
      <c r="N388" t="inlineStr">
        <is>
          <t>K</t>
        </is>
      </c>
      <c r="O388" t="inlineStr">
        <is>
          <t>20230908</t>
        </is>
      </c>
      <c r="P388" t="inlineStr">
        <is>
          <t>Sumatera Utara</t>
        </is>
      </c>
      <c r="Q388" t="inlineStr"/>
    </row>
    <row r="389">
      <c r="A389" t="inlineStr">
        <is>
          <t>LIMA SINERGI UTAMA</t>
        </is>
      </c>
      <c r="B389" t="inlineStr">
        <is>
          <t>Kota Adm. Jakarta Selatan</t>
        </is>
      </c>
      <c r="C389" t="inlineStr">
        <is>
          <t>081280302802</t>
        </is>
      </c>
      <c r="D389" t="inlineStr">
        <is>
          <t>info@lisma.id</t>
        </is>
      </c>
      <c r="E389" t="inlineStr">
        <is>
          <t>https://lpjk.pu.go.id/search-badan-usaha-detail/QmpNSHVDV2hrRXdtLzFrTWN0VmxTdz09</t>
        </is>
      </c>
      <c r="F389" t="n">
        <v>1</v>
      </c>
      <c r="G389" t="inlineStr">
        <is>
          <t>BS009</t>
        </is>
      </c>
      <c r="H389" t="inlineStr">
        <is>
          <t>12 Desember 2022</t>
        </is>
      </c>
      <c r="I389" s="2" t="n">
        <v>46283</v>
      </c>
      <c r="J389" t="inlineStr">
        <is>
          <t>Disetujui</t>
        </is>
      </c>
      <c r="K389" t="n">
        <v>30</v>
      </c>
      <c r="L389" t="inlineStr">
        <is>
          <t>18 September 2026</t>
        </is>
      </c>
      <c r="M389" t="inlineStr">
        <is>
          <t>Konstruksi Sentral Telekomunikasi</t>
        </is>
      </c>
      <c r="N389" t="inlineStr">
        <is>
          <t>K</t>
        </is>
      </c>
      <c r="O389" t="inlineStr">
        <is>
          <t>20230907</t>
        </is>
      </c>
      <c r="P389" t="inlineStr">
        <is>
          <t>DKI Jakarta</t>
        </is>
      </c>
      <c r="Q389" t="inlineStr"/>
    </row>
    <row r="390">
      <c r="A390" t="inlineStr">
        <is>
          <t>LIMACANKA INDONESIA</t>
        </is>
      </c>
      <c r="B390" t="inlineStr">
        <is>
          <t>Kota Adm. Jakarta Utara</t>
        </is>
      </c>
      <c r="C390" t="inlineStr">
        <is>
          <t>02122642037</t>
        </is>
      </c>
      <c r="D390" t="inlineStr">
        <is>
          <t>legal@limacankaadvertising.com</t>
        </is>
      </c>
      <c r="E390" t="inlineStr">
        <is>
          <t>https://lpjk.pu.go.id/search-badan-usaha-detail/WkZmbUZsMXo5QVBZbVNWNkxIc2lUZz09</t>
        </is>
      </c>
      <c r="F390" t="n">
        <v>1</v>
      </c>
      <c r="G390" t="inlineStr">
        <is>
          <t>BG004</t>
        </is>
      </c>
      <c r="H390" t="inlineStr">
        <is>
          <t>11 Juni 2013</t>
        </is>
      </c>
      <c r="I390" s="2" t="n">
        <v>46277</v>
      </c>
      <c r="J390" t="inlineStr">
        <is>
          <t>Disetujui</t>
        </is>
      </c>
      <c r="K390" t="n">
        <v>30</v>
      </c>
      <c r="L390" t="inlineStr">
        <is>
          <t>12 September 2026</t>
        </is>
      </c>
      <c r="M390" t="inlineStr">
        <is>
          <t>Konstruksi Gedung Perbelanjaan</t>
        </is>
      </c>
      <c r="N390" t="inlineStr">
        <is>
          <t>K</t>
        </is>
      </c>
      <c r="O390" t="inlineStr">
        <is>
          <t>20230911</t>
        </is>
      </c>
      <c r="P390" t="inlineStr">
        <is>
          <t>DKI Jakarta</t>
        </is>
      </c>
      <c r="Q390" t="inlineStr"/>
    </row>
    <row r="391">
      <c r="A391" t="inlineStr">
        <is>
          <t>LINGGAR JATI</t>
        </is>
      </c>
      <c r="B391" t="inlineStr">
        <is>
          <t>Kota Jambi</t>
        </is>
      </c>
      <c r="C391" t="inlineStr">
        <is>
          <t>0</t>
        </is>
      </c>
      <c r="D391" t="inlineStr">
        <is>
          <t>cv.linggar_jati@yahoo.com</t>
        </is>
      </c>
      <c r="E391" t="inlineStr">
        <is>
          <t>https://lpjk.pu.go.id/search-badan-usaha-detail/dWFleXRUNk9kVEFpVi94anlrQjZKdz09</t>
        </is>
      </c>
      <c r="F391" t="n">
        <v>10</v>
      </c>
      <c r="G391" t="inlineStr">
        <is>
          <t>BG002, BG005, BG006, BG007, BG009</t>
        </is>
      </c>
      <c r="H391" t="inlineStr">
        <is>
          <t>21 Desember 2006</t>
        </is>
      </c>
      <c r="I391" s="2" t="n">
        <v>46279</v>
      </c>
      <c r="J391" t="inlineStr">
        <is>
          <t>Disetujui</t>
        </is>
      </c>
      <c r="K391" t="n">
        <v>30</v>
      </c>
      <c r="L391" t="inlineStr">
        <is>
          <t>14 September 2026</t>
        </is>
      </c>
      <c r="M391" t="inlineStr">
        <is>
          <t>Konstruksi Gedung Kesehatan, Konstruksi Gedung Lainnya, Konstruksi Gedung Pendidikan, Konstruksi Gedung Penginapan, Konstruksi Gedung Perkantoran</t>
        </is>
      </c>
      <c r="N391" t="inlineStr">
        <is>
          <t>K</t>
        </is>
      </c>
      <c r="O391" t="inlineStr">
        <is>
          <t>20230904</t>
        </is>
      </c>
      <c r="P391" t="inlineStr">
        <is>
          <t>Jambi</t>
        </is>
      </c>
      <c r="Q391" t="inlineStr"/>
    </row>
    <row r="392">
      <c r="A392" t="inlineStr">
        <is>
          <t>LINGKAR PALUKA NAGARI</t>
        </is>
      </c>
      <c r="B392" t="inlineStr">
        <is>
          <t>Kota Padang</t>
        </is>
      </c>
      <c r="C392" t="inlineStr">
        <is>
          <t>081365410910</t>
        </is>
      </c>
      <c r="D392" t="inlineStr">
        <is>
          <t>lingkar.palukanagari@gmail.com</t>
        </is>
      </c>
      <c r="E392" t="inlineStr">
        <is>
          <t>https://lpjk.pu.go.id/search-badan-usaha-detail/T2hXa1RmUURhMFBRM1NwZm5SNUlWUT09</t>
        </is>
      </c>
      <c r="F392" t="n">
        <v>1</v>
      </c>
      <c r="G392" t="inlineStr">
        <is>
          <t>BG005</t>
        </is>
      </c>
      <c r="H392" t="inlineStr">
        <is>
          <t>7 November 2022</t>
        </is>
      </c>
      <c r="I392" s="2" t="n">
        <v>46283</v>
      </c>
      <c r="J392" t="inlineStr">
        <is>
          <t>Disetujui</t>
        </is>
      </c>
      <c r="K392" t="n">
        <v>30</v>
      </c>
      <c r="L392" t="inlineStr">
        <is>
          <t>18 September 2026</t>
        </is>
      </c>
      <c r="M392" t="inlineStr">
        <is>
          <t>Konstruksi Gedung Kesehatan</t>
        </is>
      </c>
      <c r="N392" t="inlineStr">
        <is>
          <t>K</t>
        </is>
      </c>
      <c r="O392" t="inlineStr">
        <is>
          <t>20230912</t>
        </is>
      </c>
      <c r="P392" t="inlineStr">
        <is>
          <t>Sumatera Barat</t>
        </is>
      </c>
      <c r="Q392" t="inlineStr"/>
    </row>
    <row r="393">
      <c r="A393" t="inlineStr">
        <is>
          <t>LINTANG UTARA</t>
        </is>
      </c>
      <c r="B393" t="inlineStr">
        <is>
          <t>Kab. Indramayu</t>
        </is>
      </c>
      <c r="C393" t="inlineStr">
        <is>
          <t>087727032527</t>
        </is>
      </c>
      <c r="D393" t="inlineStr">
        <is>
          <t>lintangutara2023@gmail.com</t>
        </is>
      </c>
      <c r="E393" t="inlineStr">
        <is>
          <t>https://lpjk.pu.go.id/search-badan-usaha-detail/NExsWGplVlhCU1JEQVFUZFVSTERxQT09</t>
        </is>
      </c>
      <c r="F393" t="n">
        <v>10</v>
      </c>
      <c r="G393" t="inlineStr">
        <is>
          <t>BG006, BG009, BS001, BS002, BS004</t>
        </is>
      </c>
      <c r="H393" t="inlineStr">
        <is>
          <t>30 Juli 2020</t>
        </is>
      </c>
      <c r="I393" s="2" t="n">
        <v>46282</v>
      </c>
      <c r="J393" t="inlineStr">
        <is>
          <t>Disetujui</t>
        </is>
      </c>
      <c r="K393" t="n">
        <v>30</v>
      </c>
      <c r="L393" t="inlineStr">
        <is>
          <t>17 September 2026</t>
        </is>
      </c>
      <c r="M393" t="inlineStr">
        <is>
          <t>Bangunan Sipil Jembatan, Jalan Layang, Fly Over, dan Underpass, Konstruksi Bangunan Sipil Jalan, Konstruksi Gedung Lainnya, Konstruksi Gedung Pendidikan, Konstruksi Jaringan Irigasi dan Drainase</t>
        </is>
      </c>
      <c r="N393" t="inlineStr">
        <is>
          <t>K</t>
        </is>
      </c>
      <c r="O393" t="inlineStr">
        <is>
          <t>20230913</t>
        </is>
      </c>
      <c r="P393" t="inlineStr">
        <is>
          <t>Jawa Barat</t>
        </is>
      </c>
      <c r="Q393" t="inlineStr"/>
    </row>
    <row r="394">
      <c r="A394" t="inlineStr">
        <is>
          <t>LUMBUNG SEGARA DWIPA</t>
        </is>
      </c>
      <c r="B394" t="inlineStr">
        <is>
          <t>Kab. Purbalingga</t>
        </is>
      </c>
      <c r="C394" t="inlineStr">
        <is>
          <t>082242765258</t>
        </is>
      </c>
      <c r="D394" t="inlineStr">
        <is>
          <t>lumbungsegaradwipa@gmail.com</t>
        </is>
      </c>
      <c r="E394" t="inlineStr">
        <is>
          <t>https://lpjk.pu.go.id/search-badan-usaha-detail/b3FpM0NFei9zVDI3OWh2cGZpZ1c2Zz09</t>
        </is>
      </c>
      <c r="F394" t="n">
        <v>3</v>
      </c>
      <c r="G394" t="inlineStr">
        <is>
          <t>BG006, BS001, BS004</t>
        </is>
      </c>
      <c r="H394" t="inlineStr">
        <is>
          <t>19 Agustus 2023</t>
        </is>
      </c>
      <c r="I394" s="2" t="n">
        <v>46283</v>
      </c>
      <c r="J394" t="inlineStr">
        <is>
          <t>Disetujui</t>
        </is>
      </c>
      <c r="K394" t="n">
        <v>30</v>
      </c>
      <c r="L394" t="inlineStr">
        <is>
          <t>18 September 2026</t>
        </is>
      </c>
      <c r="M394" t="inlineStr">
        <is>
          <t>Konstruksi Bangunan Sipil Jalan, Konstruksi Gedung Pendidikan, Konstruksi Jaringan Irigasi dan Drainase</t>
        </is>
      </c>
      <c r="N394" t="inlineStr">
        <is>
          <t>K</t>
        </is>
      </c>
      <c r="O394" t="inlineStr">
        <is>
          <t>20230915</t>
        </is>
      </c>
      <c r="P394" t="inlineStr">
        <is>
          <t>Jawa Tengah</t>
        </is>
      </c>
      <c r="Q394" t="inlineStr"/>
    </row>
    <row r="395">
      <c r="A395" t="inlineStr">
        <is>
          <t>LUTHFI JAYA</t>
        </is>
      </c>
      <c r="B395" t="inlineStr">
        <is>
          <t>Kab. Belitung Timur</t>
        </is>
      </c>
      <c r="C395" t="inlineStr">
        <is>
          <t>081949416578</t>
        </is>
      </c>
      <c r="D395" t="inlineStr">
        <is>
          <t>cv.luthfijaya@gmail.com</t>
        </is>
      </c>
      <c r="E395" t="inlineStr">
        <is>
          <t>https://lpjk.pu.go.id/search-badan-usaha-detail/VURya3UrSnVkdWszbmkvamxhZ3Vndz09</t>
        </is>
      </c>
      <c r="F395" t="n">
        <v>3</v>
      </c>
      <c r="G395" t="inlineStr">
        <is>
          <t>BG006, BG009, BS004</t>
        </is>
      </c>
      <c r="H395" t="inlineStr">
        <is>
          <t>7 Januari 2017</t>
        </is>
      </c>
      <c r="I395" s="2" t="n">
        <v>46278</v>
      </c>
      <c r="J395" t="inlineStr">
        <is>
          <t>Disetujui</t>
        </is>
      </c>
      <c r="K395" t="n">
        <v>30</v>
      </c>
      <c r="L395" t="inlineStr">
        <is>
          <t>13 September 2026</t>
        </is>
      </c>
      <c r="M395" t="inlineStr">
        <is>
          <t>Konstruksi Gedung Lainnya, Konstruksi Gedung Pendidikan, Konstruksi Jaringan Irigasi dan Drainase</t>
        </is>
      </c>
      <c r="N395" t="inlineStr">
        <is>
          <t>K</t>
        </is>
      </c>
      <c r="O395" t="inlineStr">
        <is>
          <t>20230914</t>
        </is>
      </c>
      <c r="P395" t="inlineStr">
        <is>
          <t>Kepulauan Bangka Belitung</t>
        </is>
      </c>
      <c r="Q395" t="inlineStr"/>
    </row>
    <row r="396">
      <c r="A396" t="inlineStr">
        <is>
          <t>MADYA ARZEN SEJAHTERA</t>
        </is>
      </c>
      <c r="B396" t="inlineStr">
        <is>
          <t>Kota Samarinda</t>
        </is>
      </c>
      <c r="C396" t="inlineStr">
        <is>
          <t>081347079777</t>
        </is>
      </c>
      <c r="D396" t="inlineStr">
        <is>
          <t>madyaarzensejahtera@gmail.com</t>
        </is>
      </c>
      <c r="E396" t="inlineStr">
        <is>
          <t>https://lpjk.pu.go.id/search-badan-usaha-detail/eUhzT2duMHNKa2ZMczNVaWJXWmVSQT09</t>
        </is>
      </c>
      <c r="F396" t="n">
        <v>1</v>
      </c>
      <c r="G396" t="inlineStr">
        <is>
          <t>BS001</t>
        </is>
      </c>
      <c r="H396" t="inlineStr">
        <is>
          <t>31 Januari 2023</t>
        </is>
      </c>
      <c r="I396" s="2" t="n">
        <v>46283</v>
      </c>
      <c r="J396" t="inlineStr">
        <is>
          <t>Pembekuan</t>
        </is>
      </c>
      <c r="K396" t="n">
        <v>30</v>
      </c>
      <c r="L396" t="inlineStr">
        <is>
          <t>18 September 2026</t>
        </is>
      </c>
      <c r="M396" t="inlineStr">
        <is>
          <t>Konstruksi Bangunan Sipil Jalan</t>
        </is>
      </c>
      <c r="N396" t="inlineStr">
        <is>
          <t>K</t>
        </is>
      </c>
      <c r="O396" t="inlineStr">
        <is>
          <t>20230909</t>
        </is>
      </c>
      <c r="P396" t="inlineStr">
        <is>
          <t>Kalimantan Timur</t>
        </is>
      </c>
      <c r="Q396" t="inlineStr"/>
    </row>
    <row r="397">
      <c r="A397" t="inlineStr">
        <is>
          <t>MADYA SEJATI</t>
        </is>
      </c>
      <c r="B397" t="inlineStr">
        <is>
          <t>Kab. Ponorogo</t>
        </is>
      </c>
      <c r="C397" t="inlineStr">
        <is>
          <t>085236387073</t>
        </is>
      </c>
      <c r="D397" t="inlineStr">
        <is>
          <t>cvmadyasejati@yahoo.co.id</t>
        </is>
      </c>
      <c r="E397" t="inlineStr">
        <is>
          <t>https://lpjk.pu.go.id/search-badan-usaha-detail/eHYrVzNoQ3k3cXlsQlM2VS9KSStKQT09</t>
        </is>
      </c>
      <c r="F397" t="n">
        <v>2</v>
      </c>
      <c r="G397" t="inlineStr">
        <is>
          <t>BS001, BS004</t>
        </is>
      </c>
      <c r="H397" t="inlineStr">
        <is>
          <t>16 November 2006</t>
        </is>
      </c>
      <c r="I397" s="2" t="n">
        <v>46282</v>
      </c>
      <c r="J397" t="inlineStr">
        <is>
          <t>Disetujui</t>
        </is>
      </c>
      <c r="K397" t="n">
        <v>30</v>
      </c>
      <c r="L397" t="inlineStr">
        <is>
          <t>17 September 2026</t>
        </is>
      </c>
      <c r="M397" t="inlineStr">
        <is>
          <t>Konstruksi Bangunan Sipil Jalan, Konstruksi Jaringan Irigasi dan Drainase</t>
        </is>
      </c>
      <c r="N397" t="inlineStr">
        <is>
          <t>K</t>
        </is>
      </c>
      <c r="O397" t="inlineStr">
        <is>
          <t>20230904, 20230913</t>
        </is>
      </c>
      <c r="P397" t="inlineStr">
        <is>
          <t>Jawa Timur</t>
        </is>
      </c>
      <c r="Q397" t="inlineStr"/>
    </row>
    <row r="398">
      <c r="A398" t="inlineStr">
        <is>
          <t>MAGNA ANUGERAH PRATAMA</t>
        </is>
      </c>
      <c r="B398" t="inlineStr">
        <is>
          <t>Kota Adm. Jakarta Barat</t>
        </is>
      </c>
      <c r="C398" t="inlineStr">
        <is>
          <t>0811169393</t>
        </is>
      </c>
      <c r="D398" t="inlineStr">
        <is>
          <t>contact@ptmagna.com</t>
        </is>
      </c>
      <c r="E398" t="inlineStr">
        <is>
          <t>https://lpjk.pu.go.id/search-badan-usaha-detail/bnFydEF6ZDhJR0JHeHlXeHo2bW80Zz09</t>
        </is>
      </c>
      <c r="F398" t="n">
        <v>1</v>
      </c>
      <c r="G398" t="inlineStr">
        <is>
          <t>BG001</t>
        </is>
      </c>
      <c r="H398" t="inlineStr">
        <is>
          <t>8 Mei 2023</t>
        </is>
      </c>
      <c r="I398" s="2" t="n">
        <v>46279</v>
      </c>
      <c r="J398" t="inlineStr">
        <is>
          <t>Disetujui</t>
        </is>
      </c>
      <c r="K398" t="n">
        <v>30</v>
      </c>
      <c r="L398" t="inlineStr">
        <is>
          <t>14 September 2026</t>
        </is>
      </c>
      <c r="M398" t="inlineStr">
        <is>
          <t>Konstruksi Gedung Hunian</t>
        </is>
      </c>
      <c r="N398" t="inlineStr">
        <is>
          <t>K</t>
        </is>
      </c>
      <c r="O398" t="inlineStr">
        <is>
          <t>20230914</t>
        </is>
      </c>
      <c r="P398" t="inlineStr">
        <is>
          <t>DKI Jakarta</t>
        </is>
      </c>
      <c r="Q398" t="inlineStr"/>
    </row>
    <row r="399">
      <c r="A399" t="inlineStr">
        <is>
          <t>MAHA AKBAR SEJAHTERA</t>
        </is>
      </c>
      <c r="B399" t="inlineStr">
        <is>
          <t>Kota Medan</t>
        </is>
      </c>
      <c r="C399" t="inlineStr">
        <is>
          <t>06142784599</t>
        </is>
      </c>
      <c r="D399" t="inlineStr">
        <is>
          <t>admin@mahasejahtera.com</t>
        </is>
      </c>
      <c r="E399" t="inlineStr">
        <is>
          <t>https://lpjk.pu.go.id/search-badan-usaha-detail/enBJQkRBK0hoWXdEblNOeUxUMThGZz09</t>
        </is>
      </c>
      <c r="F399" t="n">
        <v>2</v>
      </c>
      <c r="G399" t="inlineStr">
        <is>
          <t>BG005, BG006</t>
        </is>
      </c>
      <c r="H399" t="inlineStr">
        <is>
          <t>16 Januari 2019</t>
        </is>
      </c>
      <c r="I399" s="2" t="n">
        <v>46283</v>
      </c>
      <c r="J399" t="inlineStr">
        <is>
          <t>Disetujui</t>
        </is>
      </c>
      <c r="K399" t="n">
        <v>30</v>
      </c>
      <c r="L399" t="inlineStr">
        <is>
          <t>18 September 2026</t>
        </is>
      </c>
      <c r="M399" t="inlineStr">
        <is>
          <t>Konstruksi Gedung Kesehatan, Konstruksi Gedung Pendidikan</t>
        </is>
      </c>
      <c r="N399" t="inlineStr">
        <is>
          <t>K</t>
        </is>
      </c>
      <c r="O399" t="inlineStr">
        <is>
          <t>20230801, 20230912</t>
        </is>
      </c>
      <c r="P399" t="inlineStr">
        <is>
          <t>Sumatera Utara</t>
        </is>
      </c>
      <c r="Q399" t="inlineStr"/>
    </row>
    <row r="400">
      <c r="A400" t="inlineStr">
        <is>
          <t>MAHADIRAJA BERKAT AMANAH</t>
        </is>
      </c>
      <c r="B400" t="inlineStr">
        <is>
          <t>Kab. Tanah Bumbu</t>
        </is>
      </c>
      <c r="C400" t="inlineStr">
        <is>
          <t>081348551505</t>
        </is>
      </c>
      <c r="D400" t="inlineStr">
        <is>
          <t>cvmahadiraja57@gmail.com</t>
        </is>
      </c>
      <c r="E400" t="inlineStr">
        <is>
          <t>https://lpjk.pu.go.id/search-badan-usaha-detail/NkkwRVFZdVFGQUJ0NE1udThIMndodz09</t>
        </is>
      </c>
      <c r="F400" t="n">
        <v>6</v>
      </c>
      <c r="G400" t="inlineStr">
        <is>
          <t>BG001, BG002, BG005, BG006, BG008, BS004</t>
        </is>
      </c>
      <c r="H400" t="inlineStr">
        <is>
          <t>9 April 2020</t>
        </is>
      </c>
      <c r="I400" s="2" t="n">
        <v>46278</v>
      </c>
      <c r="J400" t="inlineStr">
        <is>
          <t>Disetujui, Pencabutan</t>
        </is>
      </c>
      <c r="K400" t="n">
        <v>30</v>
      </c>
      <c r="L400" t="inlineStr">
        <is>
          <t>13 September 2026</t>
        </is>
      </c>
      <c r="M400" t="inlineStr">
        <is>
          <t>Konstruksi Gedung Hunian, Konstruksi Gedung Kesehatan, Konstruksi Gedung Pendidikan, Konstruksi Gedung Perkantoran, Konstruksi Gedung Tempat Hiburan dan Olahraga, Konstruksi Jaringan Irigasi dan Drainase</t>
        </is>
      </c>
      <c r="N400" t="inlineStr">
        <is>
          <t>K</t>
        </is>
      </c>
      <c r="O400" t="inlineStr">
        <is>
          <t>20230903, 20230908, 20230909</t>
        </is>
      </c>
      <c r="P400" t="inlineStr">
        <is>
          <t>Kalimantan Selatan</t>
        </is>
      </c>
      <c r="Q400" t="inlineStr"/>
    </row>
    <row r="401">
      <c r="A401" t="inlineStr">
        <is>
          <t>MAHAGA PRATAMA</t>
        </is>
      </c>
      <c r="B401" t="inlineStr">
        <is>
          <t>Kota Adm. Jakarta Selatan</t>
        </is>
      </c>
      <c r="C401" t="inlineStr">
        <is>
          <t>0215722125</t>
        </is>
      </c>
      <c r="D401" t="inlineStr">
        <is>
          <t>sales@mahaga-pratama.co.id</t>
        </is>
      </c>
      <c r="E401" t="inlineStr">
        <is>
          <t>https://lpjk.pu.go.id/search-badan-usaha-detail/WnhaalpTMTZWcFN2cVRTdDFBKzJnQT09</t>
        </is>
      </c>
      <c r="F401" t="n">
        <v>1</v>
      </c>
      <c r="G401" t="inlineStr">
        <is>
          <t>IN002</t>
        </is>
      </c>
      <c r="H401" t="inlineStr">
        <is>
          <t>21 Januari 1997</t>
        </is>
      </c>
      <c r="I401" s="2" t="n">
        <v>46278</v>
      </c>
      <c r="J401" t="inlineStr">
        <is>
          <t>Disetujui</t>
        </is>
      </c>
      <c r="K401" t="n">
        <v>30</v>
      </c>
      <c r="L401" t="inlineStr">
        <is>
          <t>13 September 2026</t>
        </is>
      </c>
      <c r="M401" t="inlineStr">
        <is>
          <t>Instalasi Telekomunikasi</t>
        </is>
      </c>
      <c r="N401" t="inlineStr">
        <is>
          <t>Spesialis</t>
        </is>
      </c>
      <c r="O401" t="inlineStr">
        <is>
          <t>20230706</t>
        </is>
      </c>
      <c r="P401" t="inlineStr">
        <is>
          <t>DKI Jakarta</t>
        </is>
      </c>
      <c r="Q401" t="inlineStr"/>
    </row>
    <row r="402">
      <c r="A402" t="inlineStr">
        <is>
          <t>MAHAJAYA MULTI SINERGI</t>
        </is>
      </c>
      <c r="B402" t="inlineStr">
        <is>
          <t>Kota Makassar</t>
        </is>
      </c>
      <c r="C402" t="inlineStr">
        <is>
          <t>082349123600</t>
        </is>
      </c>
      <c r="D402" t="inlineStr">
        <is>
          <t>mahajayajaya7@gmail.com</t>
        </is>
      </c>
      <c r="E402" t="inlineStr">
        <is>
          <t>https://lpjk.pu.go.id/search-badan-usaha-detail/U3duU1dnU0Jad2VqcG1qUmNKcUVFUT09</t>
        </is>
      </c>
      <c r="F402" t="n">
        <v>3</v>
      </c>
      <c r="G402" t="inlineStr">
        <is>
          <t>BG005, BG006, BS007</t>
        </is>
      </c>
      <c r="H402" t="inlineStr">
        <is>
          <t>16 Juni 2022</t>
        </is>
      </c>
      <c r="I402" s="2" t="n">
        <v>46278</v>
      </c>
      <c r="J402" t="inlineStr">
        <is>
          <t>Disetujui</t>
        </is>
      </c>
      <c r="K402" t="n">
        <v>30</v>
      </c>
      <c r="L402" t="inlineStr">
        <is>
          <t>13 September 2026</t>
        </is>
      </c>
      <c r="M402" t="inlineStr">
        <is>
          <t>Konstruksi Bangunan Sipil Elektrikal, Konstruksi Gedung Kesehatan, Konstruksi Gedung Pendidikan</t>
        </is>
      </c>
      <c r="N402" t="inlineStr">
        <is>
          <t>K</t>
        </is>
      </c>
      <c r="O402" t="inlineStr">
        <is>
          <t>20230829, 20230914</t>
        </is>
      </c>
      <c r="P402" t="inlineStr">
        <is>
          <t>Sulawesi Selatan</t>
        </is>
      </c>
      <c r="Q402" t="inlineStr"/>
    </row>
    <row r="403">
      <c r="A403" t="inlineStr">
        <is>
          <t>MAHAKARYA KONSTRUKSI</t>
        </is>
      </c>
      <c r="B403" t="inlineStr">
        <is>
          <t>Kab. Tuban</t>
        </is>
      </c>
      <c r="C403" t="inlineStr">
        <is>
          <t>085204568174</t>
        </is>
      </c>
      <c r="D403" t="inlineStr">
        <is>
          <t>mahakaryakonstruksi1985@gmail.com</t>
        </is>
      </c>
      <c r="E403" t="inlineStr">
        <is>
          <t>https://lpjk.pu.go.id/search-badan-usaha-detail/SWw2L0g5N1dQS0JoelYyOEo2U1p3dz09</t>
        </is>
      </c>
      <c r="F403" t="n">
        <v>3</v>
      </c>
      <c r="G403" t="inlineStr">
        <is>
          <t>BS001</t>
        </is>
      </c>
      <c r="H403" t="inlineStr">
        <is>
          <t>10 Agustus 2016</t>
        </is>
      </c>
      <c r="I403" s="2" t="n">
        <v>46279</v>
      </c>
      <c r="J403" t="inlineStr">
        <is>
          <t>Disetujui</t>
        </is>
      </c>
      <c r="K403" t="n">
        <v>30</v>
      </c>
      <c r="L403" t="inlineStr">
        <is>
          <t>14 September 2026</t>
        </is>
      </c>
      <c r="M403" t="inlineStr">
        <is>
          <t>Konstruksi Bangunan Sipil Jalan</t>
        </is>
      </c>
      <c r="N403" t="inlineStr">
        <is>
          <t>K</t>
        </is>
      </c>
      <c r="O403" t="inlineStr">
        <is>
          <t>20230914</t>
        </is>
      </c>
      <c r="P403" t="inlineStr">
        <is>
          <t>Jawa Timur</t>
        </is>
      </c>
      <c r="Q403" t="inlineStr"/>
    </row>
    <row r="404">
      <c r="A404" t="inlineStr">
        <is>
          <t>MAHARANI</t>
        </is>
      </c>
      <c r="B404" t="inlineStr">
        <is>
          <t>Kab. Buton Utara</t>
        </is>
      </c>
      <c r="C404" t="inlineStr">
        <is>
          <t>081212513232</t>
        </is>
      </c>
      <c r="D404" t="inlineStr">
        <is>
          <t>cvmaharanibutur@gmail.com</t>
        </is>
      </c>
      <c r="E404" t="inlineStr">
        <is>
          <t>https://lpjk.pu.go.id/search-badan-usaha-detail/cWN5ZGhoZEhsckNCYkxmWHpxWTdrZz09</t>
        </is>
      </c>
      <c r="F404" t="n">
        <v>4</v>
      </c>
      <c r="G404" t="inlineStr">
        <is>
          <t>BS001</t>
        </is>
      </c>
      <c r="H404" t="inlineStr">
        <is>
          <t>28 Desember 2015</t>
        </is>
      </c>
      <c r="I404" s="2" t="n">
        <v>46280</v>
      </c>
      <c r="J404" t="inlineStr">
        <is>
          <t>Pencabutan</t>
        </is>
      </c>
      <c r="K404" t="n">
        <v>30</v>
      </c>
      <c r="L404" t="inlineStr">
        <is>
          <t>15 September 2026</t>
        </is>
      </c>
      <c r="M404" t="inlineStr">
        <is>
          <t>Konstruksi Bangunan Sipil Jalan</t>
        </is>
      </c>
      <c r="N404" t="inlineStr">
        <is>
          <t>K</t>
        </is>
      </c>
      <c r="O404" t="inlineStr">
        <is>
          <t>20230911</t>
        </is>
      </c>
      <c r="P404" t="inlineStr">
        <is>
          <t>Sulawesi Tenggara</t>
        </is>
      </c>
      <c r="Q404" t="inlineStr"/>
    </row>
    <row r="405">
      <c r="A405" t="inlineStr">
        <is>
          <t>MAHARDIKA</t>
        </is>
      </c>
      <c r="B405" t="inlineStr">
        <is>
          <t>Kota Sawahlunto</t>
        </is>
      </c>
      <c r="C405" t="inlineStr">
        <is>
          <t>082223339700</t>
        </is>
      </c>
      <c r="D405" t="inlineStr">
        <is>
          <t>cevemahardika@gmail.com</t>
        </is>
      </c>
      <c r="E405" t="inlineStr">
        <is>
          <t>https://lpjk.pu.go.id/search-badan-usaha-detail/UFlSM1FTMzl0eWxNQzRKV0tldFhNUT09</t>
        </is>
      </c>
      <c r="F405" t="n">
        <v>6</v>
      </c>
      <c r="G405" t="inlineStr">
        <is>
          <t>BG006, BG009</t>
        </is>
      </c>
      <c r="H405" t="inlineStr">
        <is>
          <t>15 November 2013</t>
        </is>
      </c>
      <c r="I405" s="2" t="n">
        <v>46280</v>
      </c>
      <c r="J405" t="inlineStr">
        <is>
          <t>Disetujui</t>
        </is>
      </c>
      <c r="K405" t="n">
        <v>30</v>
      </c>
      <c r="L405" t="inlineStr">
        <is>
          <t>15 September 2026</t>
        </is>
      </c>
      <c r="M405" t="inlineStr">
        <is>
          <t>Konstruksi Gedung Lainnya, Konstruksi Gedung Pendidikan</t>
        </is>
      </c>
      <c r="N405" t="inlineStr">
        <is>
          <t>K</t>
        </is>
      </c>
      <c r="O405" t="inlineStr">
        <is>
          <t>20230904</t>
        </is>
      </c>
      <c r="P405" t="inlineStr">
        <is>
          <t>Sumatera Barat</t>
        </is>
      </c>
      <c r="Q405" t="inlineStr"/>
    </row>
    <row r="406">
      <c r="A406" t="inlineStr">
        <is>
          <t>MAHAWIRA</t>
        </is>
      </c>
      <c r="B406" t="inlineStr">
        <is>
          <t>Kota Pekalongan</t>
        </is>
      </c>
      <c r="C406" t="inlineStr">
        <is>
          <t>0895333724135</t>
        </is>
      </c>
      <c r="D406" t="inlineStr">
        <is>
          <t>cv.mahawira@gmail.com</t>
        </is>
      </c>
      <c r="E406" t="inlineStr">
        <is>
          <t>https://lpjk.pu.go.id/search-badan-usaha-detail/K2g0dUswclc1Ri9FMWRqRi9GemVMUT09</t>
        </is>
      </c>
      <c r="F406" t="n">
        <v>1</v>
      </c>
      <c r="G406" t="inlineStr">
        <is>
          <t>BS010</t>
        </is>
      </c>
      <c r="H406" t="inlineStr">
        <is>
          <t>31 Januari 2020</t>
        </is>
      </c>
      <c r="I406" s="2" t="n">
        <v>46283</v>
      </c>
      <c r="J406" t="inlineStr">
        <is>
          <t>Disetujui</t>
        </is>
      </c>
      <c r="K406" t="n">
        <v>30</v>
      </c>
      <c r="L406" t="inlineStr">
        <is>
          <t>18 September 2026</t>
        </is>
      </c>
      <c r="M406" t="inlineStr">
        <is>
          <t>Konstruksi Bangunan Prasarana Sumber Daya Air</t>
        </is>
      </c>
      <c r="N406" t="inlineStr">
        <is>
          <t>K</t>
        </is>
      </c>
      <c r="O406" t="inlineStr">
        <is>
          <t>20230918</t>
        </is>
      </c>
      <c r="P406" t="inlineStr">
        <is>
          <t>Jawa Tengah</t>
        </is>
      </c>
      <c r="Q406" t="inlineStr"/>
    </row>
    <row r="407">
      <c r="A407" t="inlineStr">
        <is>
          <t>MAJU</t>
        </is>
      </c>
      <c r="B407" t="inlineStr">
        <is>
          <t>Kab. Bondowoso</t>
        </is>
      </c>
      <c r="C407" t="inlineStr">
        <is>
          <t>081358943477</t>
        </is>
      </c>
      <c r="D407" t="inlineStr">
        <is>
          <t>audition_yoss23@yahoo.com</t>
        </is>
      </c>
      <c r="E407" t="inlineStr">
        <is>
          <t>https://lpjk.pu.go.id/search-badan-usaha-detail/V1lNVTdBeTVZSUVCQ25NVDkzYyt3eExvWHhNK3dPRGtEOWtBRVBqOFpzdz0</t>
        </is>
      </c>
      <c r="F407" t="n">
        <v>1</v>
      </c>
      <c r="G407" t="inlineStr">
        <is>
          <t>BG003</t>
        </is>
      </c>
      <c r="H407" t="inlineStr">
        <is>
          <t>25 September 2024</t>
        </is>
      </c>
      <c r="I407" s="2" t="n">
        <v>46283</v>
      </c>
      <c r="J407" t="inlineStr">
        <is>
          <t>Disetujui</t>
        </is>
      </c>
      <c r="K407" t="n">
        <v>30</v>
      </c>
      <c r="L407" t="inlineStr">
        <is>
          <t>18 September 2026</t>
        </is>
      </c>
      <c r="M407" t="inlineStr">
        <is>
          <t>Konstruksi Gedung Industri</t>
        </is>
      </c>
      <c r="N407" t="inlineStr">
        <is>
          <t>K</t>
        </is>
      </c>
      <c r="O407" t="inlineStr">
        <is>
          <t>20230911</t>
        </is>
      </c>
      <c r="P407" t="inlineStr">
        <is>
          <t>Jawa Timur</t>
        </is>
      </c>
      <c r="Q407" t="inlineStr"/>
    </row>
    <row r="408">
      <c r="A408" t="inlineStr">
        <is>
          <t>MAKMUR KONSTRUKSI PRATAMA</t>
        </is>
      </c>
      <c r="B408" t="inlineStr">
        <is>
          <t>Kota Makassar</t>
        </is>
      </c>
      <c r="C408" t="inlineStr">
        <is>
          <t>0811412728</t>
        </is>
      </c>
      <c r="D408" t="inlineStr">
        <is>
          <t>mkp.pt@yahoo.com</t>
        </is>
      </c>
      <c r="E408" t="inlineStr">
        <is>
          <t>https://lpjk.pu.go.id/search-badan-usaha-detail/MjBDbEJ6WDQzejg2blFzQjRUMHhVdz09</t>
        </is>
      </c>
      <c r="F408" t="n">
        <v>1</v>
      </c>
      <c r="G408" t="inlineStr">
        <is>
          <t>BG002</t>
        </is>
      </c>
      <c r="H408" t="inlineStr">
        <is>
          <t>28 Desember 2017</t>
        </is>
      </c>
      <c r="I408" s="2" t="n">
        <v>46278</v>
      </c>
      <c r="J408" t="inlineStr">
        <is>
          <t>Pencabutan</t>
        </is>
      </c>
      <c r="K408" t="n">
        <v>30</v>
      </c>
      <c r="L408" t="inlineStr">
        <is>
          <t>13 September 2026</t>
        </is>
      </c>
      <c r="M408" t="inlineStr">
        <is>
          <t>Konstruksi Gedung Perkantoran</t>
        </is>
      </c>
      <c r="N408" t="inlineStr">
        <is>
          <t>K</t>
        </is>
      </c>
      <c r="O408" t="inlineStr">
        <is>
          <t>20230913</t>
        </is>
      </c>
      <c r="P408" t="inlineStr">
        <is>
          <t>Sulawesi Selatan</t>
        </is>
      </c>
      <c r="Q408" t="inlineStr"/>
    </row>
    <row r="409">
      <c r="A409" t="inlineStr">
        <is>
          <t>MAKNA KARYA SEJAHTERA</t>
        </is>
      </c>
      <c r="B409" t="inlineStr">
        <is>
          <t>Kab. Deli Serdang</t>
        </is>
      </c>
      <c r="C409" t="inlineStr">
        <is>
          <t>081360263008</t>
        </is>
      </c>
      <c r="D409" t="inlineStr">
        <is>
          <t>pt.maknakaryasejahtera@gmail.com</t>
        </is>
      </c>
      <c r="E409" t="inlineStr">
        <is>
          <t>https://lpjk.pu.go.id/search-badan-usaha-detail/MG5qYXpBb2F3aW5xSzFlTVZaeXZnZz09</t>
        </is>
      </c>
      <c r="F409" t="n">
        <v>3</v>
      </c>
      <c r="G409" t="inlineStr">
        <is>
          <t>BG006, BG009, BS001</t>
        </is>
      </c>
      <c r="H409" t="inlineStr">
        <is>
          <t>23 Agustus 2023</t>
        </is>
      </c>
      <c r="I409" s="2" t="n">
        <v>46280</v>
      </c>
      <c r="J409" t="inlineStr">
        <is>
          <t>Disetujui</t>
        </is>
      </c>
      <c r="K409" t="n">
        <v>30</v>
      </c>
      <c r="L409" t="inlineStr">
        <is>
          <t>15 September 2026</t>
        </is>
      </c>
      <c r="M409" t="inlineStr">
        <is>
          <t>Konstruksi Bangunan Sipil Jalan, Konstruksi Gedung Lainnya, Konstruksi Gedung Pendidikan</t>
        </is>
      </c>
      <c r="N409" t="inlineStr">
        <is>
          <t>K</t>
        </is>
      </c>
      <c r="O409" t="inlineStr">
        <is>
          <t>20230915</t>
        </is>
      </c>
      <c r="P409" t="inlineStr">
        <is>
          <t>Sumatera Utara</t>
        </is>
      </c>
      <c r="Q409" t="inlineStr"/>
    </row>
    <row r="410">
      <c r="A410" t="inlineStr">
        <is>
          <t>MALELANG JAYA</t>
        </is>
      </c>
      <c r="B410" t="inlineStr">
        <is>
          <t>Kota Kotamobagu</t>
        </is>
      </c>
      <c r="C410" t="inlineStr">
        <is>
          <t>081340808019</t>
        </is>
      </c>
      <c r="D410" t="inlineStr">
        <is>
          <t>malelangjaya.19@gmail.com</t>
        </is>
      </c>
      <c r="E410" t="inlineStr">
        <is>
          <t>https://lpjk.pu.go.id/search-badan-usaha-detail/ZGpOQUdVelB1bU41V1ZwZXVyRllMUT09</t>
        </is>
      </c>
      <c r="F410" t="n">
        <v>3</v>
      </c>
      <c r="G410" t="inlineStr">
        <is>
          <t>BG005, BG006, BG009</t>
        </is>
      </c>
      <c r="H410" t="inlineStr">
        <is>
          <t>16 September 2022</t>
        </is>
      </c>
      <c r="I410" s="2" t="n">
        <v>46277</v>
      </c>
      <c r="J410" t="inlineStr">
        <is>
          <t>Disetujui, Pencabutan</t>
        </is>
      </c>
      <c r="K410" t="n">
        <v>30</v>
      </c>
      <c r="L410" t="inlineStr">
        <is>
          <t>12 September 2026</t>
        </is>
      </c>
      <c r="M410" t="inlineStr">
        <is>
          <t>Konstruksi Gedung Kesehatan, Konstruksi Gedung Lainnya, Konstruksi Gedung Pendidikan</t>
        </is>
      </c>
      <c r="N410" t="inlineStr">
        <is>
          <t>K</t>
        </is>
      </c>
      <c r="O410" t="inlineStr">
        <is>
          <t>20230912</t>
        </is>
      </c>
      <c r="P410" t="inlineStr">
        <is>
          <t>Sulawesi Utara</t>
        </is>
      </c>
      <c r="Q410" t="inlineStr"/>
    </row>
    <row r="411">
      <c r="A411" t="inlineStr">
        <is>
          <t>MANDALA PURWA PERKASA</t>
        </is>
      </c>
      <c r="B411" t="inlineStr">
        <is>
          <t>Kab. Bandung Barat</t>
        </is>
      </c>
      <c r="C411" t="inlineStr">
        <is>
          <t>087733036002</t>
        </is>
      </c>
      <c r="D411" t="inlineStr">
        <is>
          <t>mandalapurwaperkasa@gmail.com</t>
        </is>
      </c>
      <c r="E411" t="inlineStr">
        <is>
          <t>https://lpjk.pu.go.id/search-badan-usaha-detail/OWxtTFduT2kyWFA2TzViWkY2ZnA2dz09</t>
        </is>
      </c>
      <c r="F411" t="n">
        <v>2</v>
      </c>
      <c r="G411" t="inlineStr">
        <is>
          <t>PL003</t>
        </is>
      </c>
      <c r="H411" t="inlineStr">
        <is>
          <t>25 Agustus 2022</t>
        </is>
      </c>
      <c r="I411" s="2" t="n">
        <v>46281</v>
      </c>
      <c r="J411" t="inlineStr">
        <is>
          <t>Pencabutan</t>
        </is>
      </c>
      <c r="K411" t="n">
        <v>30</v>
      </c>
      <c r="L411" t="inlineStr">
        <is>
          <t>16 September 2026</t>
        </is>
      </c>
      <c r="M411" t="inlineStr">
        <is>
          <t>Penyiapan Lahan Konstruksi</t>
        </is>
      </c>
      <c r="N411" t="inlineStr">
        <is>
          <t>Spesialis</t>
        </is>
      </c>
      <c r="O411" t="inlineStr">
        <is>
          <t>20230915</t>
        </is>
      </c>
      <c r="P411" t="inlineStr">
        <is>
          <t>Jawa Barat</t>
        </is>
      </c>
      <c r="Q411" t="inlineStr"/>
    </row>
    <row r="412">
      <c r="A412" t="inlineStr">
        <is>
          <t>MANDIRI CIPTA PRATAMA</t>
        </is>
      </c>
      <c r="B412" t="inlineStr">
        <is>
          <t>Kota Banjarmasin</t>
        </is>
      </c>
      <c r="C412" t="inlineStr">
        <is>
          <t>05113263455</t>
        </is>
      </c>
      <c r="D412" t="inlineStr">
        <is>
          <t>mandiri_cp@yahoo.co.id</t>
        </is>
      </c>
      <c r="E412" t="inlineStr">
        <is>
          <t>https://lpjk.pu.go.id/search-badan-usaha-detail/eUltRHlDSzFmN1JCTlM4NGVRSE5aUT09</t>
        </is>
      </c>
      <c r="F412" t="n">
        <v>4</v>
      </c>
      <c r="G412" t="inlineStr">
        <is>
          <t>AR001, AR002, RK001, RK003</t>
        </is>
      </c>
      <c r="H412" t="inlineStr">
        <is>
          <t>25 Maret 2006</t>
        </is>
      </c>
      <c r="I412" s="2" t="n">
        <v>46279</v>
      </c>
      <c r="J412" t="inlineStr">
        <is>
          <t>Disetujui</t>
        </is>
      </c>
      <c r="K412" t="n">
        <v>30</v>
      </c>
      <c r="L412" t="inlineStr">
        <is>
          <t>14 September 2026</t>
        </is>
      </c>
      <c r="M412" t="inlineStr">
        <is>
          <t>Jasa Arsitektural Bangunan Gedung Hunian dan Non Hunian, Jasa Arsitektural Lainnya, Jasa Rekayasa Konstruksi Bangunan Gedung Hunian dan Non Hunian, Jasa Rekayasa Pekerjaan Teknik Sipil Transportasi</t>
        </is>
      </c>
      <c r="N412" t="inlineStr">
        <is>
          <t>K</t>
        </is>
      </c>
      <c r="O412" t="inlineStr">
        <is>
          <t>20230906</t>
        </is>
      </c>
      <c r="P412" t="inlineStr">
        <is>
          <t>Kalimantan Selatan</t>
        </is>
      </c>
      <c r="Q412" t="inlineStr"/>
    </row>
    <row r="413">
      <c r="A413" t="inlineStr">
        <is>
          <t>MANDIRI JAYA PRIBUMI</t>
        </is>
      </c>
      <c r="B413" t="inlineStr">
        <is>
          <t>Kab. Tuban</t>
        </is>
      </c>
      <c r="C413" t="inlineStr">
        <is>
          <t>082139486681</t>
        </is>
      </c>
      <c r="D413" t="inlineStr">
        <is>
          <t>mandirijayap@yahoo.com</t>
        </is>
      </c>
      <c r="E413" t="inlineStr">
        <is>
          <t>https://lpjk.pu.go.id/search-badan-usaha-detail/TE9ibVlUVkZXVDFST2NqRDRneUduQT09</t>
        </is>
      </c>
      <c r="F413" t="n">
        <v>5</v>
      </c>
      <c r="G413" t="inlineStr">
        <is>
          <t>BG002, BG003, BG006, BG009, BS001</t>
        </is>
      </c>
      <c r="H413" t="inlineStr">
        <is>
          <t>27 Agustus 2014</t>
        </is>
      </c>
      <c r="I413" s="2" t="n">
        <v>46278</v>
      </c>
      <c r="J413" t="inlineStr">
        <is>
          <t>Disetujui</t>
        </is>
      </c>
      <c r="K413" t="n">
        <v>30</v>
      </c>
      <c r="L413" t="inlineStr">
        <is>
          <t>13 September 2026</t>
        </is>
      </c>
      <c r="M413" t="inlineStr">
        <is>
          <t>Konstruksi Bangunan Sipil Jalan, Konstruksi Gedung Industri, Konstruksi Gedung Lainnya, Konstruksi Gedung Pendidikan, Konstruksi Gedung Perkantoran</t>
        </is>
      </c>
      <c r="N413" t="inlineStr">
        <is>
          <t>K</t>
        </is>
      </c>
      <c r="O413" t="inlineStr">
        <is>
          <t>20230902</t>
        </is>
      </c>
      <c r="P413" t="inlineStr">
        <is>
          <t>Jawa Timur</t>
        </is>
      </c>
      <c r="Q413" t="inlineStr"/>
    </row>
    <row r="414">
      <c r="A414" t="inlineStr">
        <is>
          <t>MANDIRI LANGGENG GEMILANG</t>
        </is>
      </c>
      <c r="B414" t="inlineStr">
        <is>
          <t>Kota Batu</t>
        </is>
      </c>
      <c r="C414" t="inlineStr">
        <is>
          <t>082143167880</t>
        </is>
      </c>
      <c r="D414" t="inlineStr">
        <is>
          <t>mandirilan88enggemilang@gmail.com</t>
        </is>
      </c>
      <c r="E414" t="inlineStr">
        <is>
          <t>https://lpjk.pu.go.id/search-badan-usaha-detail/Mm5lU2RQSkd6WS83TWhRSWNEeXQ4QT09</t>
        </is>
      </c>
      <c r="F414" t="n">
        <v>1</v>
      </c>
      <c r="G414" t="inlineStr">
        <is>
          <t>BG009</t>
        </is>
      </c>
      <c r="H414" t="inlineStr">
        <is>
          <t>13 Desember 2016</t>
        </is>
      </c>
      <c r="I414" s="2" t="n">
        <v>46277</v>
      </c>
      <c r="J414" t="inlineStr">
        <is>
          <t>Disetujui</t>
        </is>
      </c>
      <c r="K414" t="n">
        <v>30</v>
      </c>
      <c r="L414" t="inlineStr">
        <is>
          <t>12 September 2026</t>
        </is>
      </c>
      <c r="M414" t="inlineStr">
        <is>
          <t>Konstruksi Gedung Lainnya</t>
        </is>
      </c>
      <c r="N414" t="inlineStr">
        <is>
          <t>K</t>
        </is>
      </c>
      <c r="O414" t="inlineStr">
        <is>
          <t>20230828</t>
        </is>
      </c>
      <c r="P414" t="inlineStr">
        <is>
          <t>Jawa Timur</t>
        </is>
      </c>
      <c r="Q414" t="inlineStr"/>
    </row>
    <row r="415">
      <c r="A415" t="inlineStr">
        <is>
          <t>MANDIRI PERKASA</t>
        </is>
      </c>
      <c r="B415" t="inlineStr">
        <is>
          <t>Kab. Kayong Utara</t>
        </is>
      </c>
      <c r="C415" t="inlineStr">
        <is>
          <t>085393748527</t>
        </is>
      </c>
      <c r="D415" t="inlineStr">
        <is>
          <t>cvmandiriperkasa70@gmail.com</t>
        </is>
      </c>
      <c r="E415" t="inlineStr">
        <is>
          <t>https://lpjk.pu.go.id/search-badan-usaha-detail/UnBwK1NYOXVNZ1ovV2VIOFU4Q1lQQT09</t>
        </is>
      </c>
      <c r="F415" t="n">
        <v>3</v>
      </c>
      <c r="G415" t="inlineStr">
        <is>
          <t>BG006, BS004</t>
        </is>
      </c>
      <c r="H415" t="inlineStr">
        <is>
          <t>22 Juni 2012</t>
        </is>
      </c>
      <c r="I415" s="2" t="n">
        <v>46280</v>
      </c>
      <c r="J415" t="inlineStr">
        <is>
          <t>Disetujui</t>
        </is>
      </c>
      <c r="K415" t="n">
        <v>30</v>
      </c>
      <c r="L415" t="inlineStr">
        <is>
          <t>15 September 2026</t>
        </is>
      </c>
      <c r="M415" t="inlineStr">
        <is>
          <t>Konstruksi Gedung Pendidikan, Konstruksi Jaringan Irigasi dan Drainase</t>
        </is>
      </c>
      <c r="N415" t="inlineStr">
        <is>
          <t>K</t>
        </is>
      </c>
      <c r="O415" t="inlineStr">
        <is>
          <t>20230908, 20230916</t>
        </is>
      </c>
      <c r="P415" t="inlineStr">
        <is>
          <t>Kalimantan Barat</t>
        </is>
      </c>
      <c r="Q415" t="inlineStr"/>
    </row>
    <row r="416">
      <c r="A416" t="inlineStr">
        <is>
          <t>MANDIRI TATA BINA KONSULTAN</t>
        </is>
      </c>
      <c r="B416" t="inlineStr">
        <is>
          <t>Kota Serang</t>
        </is>
      </c>
      <c r="C416" t="inlineStr">
        <is>
          <t>081311456943</t>
        </is>
      </c>
      <c r="D416" t="inlineStr">
        <is>
          <t>mandiritatabinakonsultan@gmail.com</t>
        </is>
      </c>
      <c r="E416" t="inlineStr">
        <is>
          <t>https://lpjk.pu.go.id/search-badan-usaha-detail/eGN3emRwUVI5N0djYW9UT0ZLaGNRUT09</t>
        </is>
      </c>
      <c r="F416" t="n">
        <v>10</v>
      </c>
      <c r="G416" t="inlineStr">
        <is>
          <t>AR001, AR002, AR003, RK001, RK002, RK003, RK004</t>
        </is>
      </c>
      <c r="H416" t="inlineStr">
        <is>
          <t>8 Agustus 2011</t>
        </is>
      </c>
      <c r="I416" s="2" t="n">
        <v>46277</v>
      </c>
      <c r="J416" t="inlineStr">
        <is>
          <t>Disetujui</t>
        </is>
      </c>
      <c r="K416" t="n">
        <v>30</v>
      </c>
      <c r="L416" t="inlineStr">
        <is>
          <t>12 September 2026</t>
        </is>
      </c>
      <c r="M416" t="inlineStr">
        <is>
          <t>Jasa Arsitektural Bangunan Gedung Hunian dan Non Hunian, Jasa Arsitektural Lainnya, Jasa Desain Interior pada Bangunan Gedung dan Bangunan Sipil, Jasa Rekayasa Konstruksi Bangunan Gedung Hunian dan Non Hunian, Jasa Rekayasa Pekerjaan Mekanikal Dalam Bangunan, Jasa Rekayasa Pekerjaan Teknik Sipil Sumber Daya Air, Jasa Rekayasa Pekerjaan Teknik Sipil Transportasi</t>
        </is>
      </c>
      <c r="N416" t="inlineStr">
        <is>
          <t>K</t>
        </is>
      </c>
      <c r="O416" t="inlineStr">
        <is>
          <t>20230829, 20230830</t>
        </is>
      </c>
      <c r="P416" t="inlineStr">
        <is>
          <t>Banten</t>
        </is>
      </c>
      <c r="Q416" t="inlineStr"/>
    </row>
    <row r="417">
      <c r="A417" t="inlineStr">
        <is>
          <t>MANDIRI USAHA</t>
        </is>
      </c>
      <c r="B417" t="inlineStr">
        <is>
          <t>Kab. Indramayu</t>
        </is>
      </c>
      <c r="C417" t="inlineStr">
        <is>
          <t>087708774074</t>
        </is>
      </c>
      <c r="D417" t="inlineStr">
        <is>
          <t>mandiriusaha_cv@ymail.com</t>
        </is>
      </c>
      <c r="E417" t="inlineStr">
        <is>
          <t>https://lpjk.pu.go.id/search-badan-usaha-detail/Mmgxamd3WWxjU25MTGhnTUxKRWh5UT09</t>
        </is>
      </c>
      <c r="F417" t="n">
        <v>2</v>
      </c>
      <c r="G417" t="inlineStr">
        <is>
          <t>BG006, BS004</t>
        </is>
      </c>
      <c r="H417" t="inlineStr">
        <is>
          <t>9 September 2002</t>
        </is>
      </c>
      <c r="I417" s="2" t="n">
        <v>46277</v>
      </c>
      <c r="J417" t="inlineStr">
        <is>
          <t>Disetujui</t>
        </is>
      </c>
      <c r="K417" t="n">
        <v>30</v>
      </c>
      <c r="L417" t="inlineStr">
        <is>
          <t>12 September 2026</t>
        </is>
      </c>
      <c r="M417" t="inlineStr">
        <is>
          <t>Konstruksi Gedung Pendidikan, Konstruksi Jaringan Irigasi dan Drainase</t>
        </is>
      </c>
      <c r="N417" t="inlineStr">
        <is>
          <t>K</t>
        </is>
      </c>
      <c r="O417" t="inlineStr">
        <is>
          <t>20230911</t>
        </is>
      </c>
      <c r="P417" t="inlineStr">
        <is>
          <t>Jawa Barat</t>
        </is>
      </c>
      <c r="Q417" t="inlineStr"/>
    </row>
    <row r="418">
      <c r="A418" t="inlineStr">
        <is>
          <t>MANDIRI UTAMA</t>
        </is>
      </c>
      <c r="B418" t="inlineStr">
        <is>
          <t>Kota Bima</t>
        </is>
      </c>
      <c r="C418" t="inlineStr">
        <is>
          <t>0823 3903 9180</t>
        </is>
      </c>
      <c r="D418" t="inlineStr">
        <is>
          <t>cvmandiriutama2019@gmail.com</t>
        </is>
      </c>
      <c r="E418" t="inlineStr">
        <is>
          <t>https://lpjk.pu.go.id/search-badan-usaha-detail/NDFQaUJSVnNGOXZ0RVpqTnJvL2FhUT09</t>
        </is>
      </c>
      <c r="F418" t="n">
        <v>1</v>
      </c>
      <c r="G418" t="inlineStr">
        <is>
          <t>BS001</t>
        </is>
      </c>
      <c r="H418" t="inlineStr">
        <is>
          <t>3 Februari 2017</t>
        </is>
      </c>
      <c r="I418" s="2" t="n">
        <v>46277</v>
      </c>
      <c r="J418" t="inlineStr">
        <is>
          <t>Disetujui</t>
        </is>
      </c>
      <c r="K418" t="n">
        <v>30</v>
      </c>
      <c r="L418" t="inlineStr">
        <is>
          <t>12 September 2026</t>
        </is>
      </c>
      <c r="M418" t="inlineStr">
        <is>
          <t>Konstruksi Bangunan Sipil Jalan</t>
        </is>
      </c>
      <c r="N418" t="inlineStr">
        <is>
          <t>K</t>
        </is>
      </c>
      <c r="O418" t="inlineStr">
        <is>
          <t>20230907</t>
        </is>
      </c>
      <c r="P418" t="inlineStr">
        <is>
          <t>Nusa Tenggara Barat</t>
        </is>
      </c>
      <c r="Q418" t="inlineStr"/>
    </row>
    <row r="419">
      <c r="A419" t="inlineStr">
        <is>
          <t>MANGGALA</t>
        </is>
      </c>
      <c r="B419" t="inlineStr">
        <is>
          <t>Kota Denpasar</t>
        </is>
      </c>
      <c r="C419" t="inlineStr">
        <is>
          <t>081337324272</t>
        </is>
      </c>
      <c r="D419" t="inlineStr">
        <is>
          <t>cv.manggala20@ymail.com</t>
        </is>
      </c>
      <c r="E419" t="inlineStr">
        <is>
          <t>https://lpjk.pu.go.id/search-badan-usaha-detail/b3BtdTFYRG1kR1JDeHdNMzQrK2p4QT09</t>
        </is>
      </c>
      <c r="F419" t="n">
        <v>1</v>
      </c>
      <c r="G419" t="inlineStr">
        <is>
          <t>BG006</t>
        </is>
      </c>
      <c r="H419" t="inlineStr">
        <is>
          <t>31 Agustus 1984</t>
        </is>
      </c>
      <c r="I419" s="2" t="n">
        <v>46283</v>
      </c>
      <c r="J419" t="inlineStr">
        <is>
          <t>Disetujui</t>
        </is>
      </c>
      <c r="K419" t="n">
        <v>30</v>
      </c>
      <c r="L419" t="inlineStr">
        <is>
          <t>18 September 2026</t>
        </is>
      </c>
      <c r="M419" t="inlineStr">
        <is>
          <t>Konstruksi Gedung Pendidikan</t>
        </is>
      </c>
      <c r="N419" t="inlineStr">
        <is>
          <t>K</t>
        </is>
      </c>
      <c r="O419" t="inlineStr">
        <is>
          <t>20230912</t>
        </is>
      </c>
      <c r="P419" t="inlineStr">
        <is>
          <t>Bali</t>
        </is>
      </c>
      <c r="Q419" t="inlineStr"/>
    </row>
    <row r="420">
      <c r="A420" t="inlineStr">
        <is>
          <t>MANGGALA</t>
        </is>
      </c>
      <c r="B420" t="inlineStr">
        <is>
          <t>Kota Bima</t>
        </is>
      </c>
      <c r="C420" t="inlineStr">
        <is>
          <t>085338465235</t>
        </is>
      </c>
      <c r="D420" t="inlineStr">
        <is>
          <t>manggalabima20@gmail.com</t>
        </is>
      </c>
      <c r="E420" t="inlineStr">
        <is>
          <t>https://lpjk.pu.go.id/search-badan-usaha-detail/MHZEL1AyRW9mRDJUNXVoTEo4RmFHQT09</t>
        </is>
      </c>
      <c r="F420" t="n">
        <v>2</v>
      </c>
      <c r="G420" t="inlineStr">
        <is>
          <t>BG009, BS010</t>
        </is>
      </c>
      <c r="H420" t="inlineStr">
        <is>
          <t>27 September 1993</t>
        </is>
      </c>
      <c r="I420" s="2" t="n">
        <v>46278</v>
      </c>
      <c r="J420" t="inlineStr">
        <is>
          <t>Disetujui, Pencabutan</t>
        </is>
      </c>
      <c r="K420" t="n">
        <v>30</v>
      </c>
      <c r="L420" t="inlineStr">
        <is>
          <t>13 September 2026</t>
        </is>
      </c>
      <c r="M420" t="inlineStr">
        <is>
          <t>Konstruksi Bangunan Prasarana Sumber Daya Air, Konstruksi Gedung Lainnya</t>
        </is>
      </c>
      <c r="N420" t="inlineStr">
        <is>
          <t>K</t>
        </is>
      </c>
      <c r="O420" t="inlineStr">
        <is>
          <t>20230824, 20230913</t>
        </is>
      </c>
      <c r="P420" t="inlineStr">
        <is>
          <t>Nusa Tenggara Barat</t>
        </is>
      </c>
      <c r="Q420" t="inlineStr"/>
    </row>
    <row r="421">
      <c r="A421" t="inlineStr">
        <is>
          <t>MANGGALA GITA KARYA</t>
        </is>
      </c>
      <c r="B421" t="inlineStr">
        <is>
          <t>Kota Adm. Jakarta Utara</t>
        </is>
      </c>
      <c r="C421" t="inlineStr">
        <is>
          <t>02145865675</t>
        </is>
      </c>
      <c r="D421" t="inlineStr">
        <is>
          <t>manggalagkarya@gmail.com</t>
        </is>
      </c>
      <c r="E421" t="inlineStr">
        <is>
          <t>https://lpjk.pu.go.id/search-badan-usaha-detail/Z3o3M1M5cEJ3clhQK29RZHM5c25rQT09</t>
        </is>
      </c>
      <c r="F421" t="n">
        <v>1</v>
      </c>
      <c r="G421" t="inlineStr">
        <is>
          <t>IN010</t>
        </is>
      </c>
      <c r="H421" t="inlineStr">
        <is>
          <t>19 Februari 1986</t>
        </is>
      </c>
      <c r="I421" s="2" t="n">
        <v>46278</v>
      </c>
      <c r="J421" t="inlineStr">
        <is>
          <t>Disetujui</t>
        </is>
      </c>
      <c r="K421" t="n">
        <v>30</v>
      </c>
      <c r="L421" t="inlineStr">
        <is>
          <t>13 September 2026</t>
        </is>
      </c>
      <c r="M421" t="inlineStr">
        <is>
          <t>Instalasi Pengolahan Air Untuk Pembangkit Listrik</t>
        </is>
      </c>
      <c r="N421" t="inlineStr">
        <is>
          <t>Spesialis</t>
        </is>
      </c>
      <c r="O421" t="inlineStr">
        <is>
          <t>20230811</t>
        </is>
      </c>
      <c r="P421" t="inlineStr">
        <is>
          <t>DKI Jakarta</t>
        </is>
      </c>
      <c r="Q421" t="inlineStr"/>
    </row>
    <row r="422">
      <c r="A422" t="inlineStr">
        <is>
          <t>MANGLAYANG BERSINAR</t>
        </is>
      </c>
      <c r="B422" t="inlineStr">
        <is>
          <t>Kab. Sumedang</t>
        </is>
      </c>
      <c r="C422" t="inlineStr">
        <is>
          <t>081294496288</t>
        </is>
      </c>
      <c r="D422" t="inlineStr">
        <is>
          <t>cv.manglayangbersinar@gmail.com</t>
        </is>
      </c>
      <c r="E422" t="inlineStr">
        <is>
          <t>https://lpjk.pu.go.id/search-badan-usaha-detail/Wmw4T0dCMk8yaG5XeWROR1M2R2Fpdz09</t>
        </is>
      </c>
      <c r="F422" t="n">
        <v>2</v>
      </c>
      <c r="G422" t="inlineStr">
        <is>
          <t>BG006, BG009</t>
        </is>
      </c>
      <c r="H422" t="inlineStr">
        <is>
          <t>7 Desember 1999</t>
        </is>
      </c>
      <c r="I422" s="2" t="n">
        <v>46277</v>
      </c>
      <c r="J422" t="inlineStr">
        <is>
          <t>Disetujui</t>
        </is>
      </c>
      <c r="K422" t="n">
        <v>30</v>
      </c>
      <c r="L422" t="inlineStr">
        <is>
          <t>12 September 2026</t>
        </is>
      </c>
      <c r="M422" t="inlineStr">
        <is>
          <t>Konstruksi Gedung Lainnya, Konstruksi Gedung Pendidikan</t>
        </is>
      </c>
      <c r="N422" t="inlineStr">
        <is>
          <t>K</t>
        </is>
      </c>
      <c r="O422" t="inlineStr">
        <is>
          <t>20230906</t>
        </is>
      </c>
      <c r="P422" t="inlineStr">
        <is>
          <t>Jawa Barat</t>
        </is>
      </c>
      <c r="Q422" t="inlineStr"/>
    </row>
    <row r="423">
      <c r="A423" t="inlineStr">
        <is>
          <t>MANJADDA WAJADA</t>
        </is>
      </c>
      <c r="B423" t="inlineStr">
        <is>
          <t>Kab. Majalengka</t>
        </is>
      </c>
      <c r="C423" t="inlineStr">
        <is>
          <t>085324462660</t>
        </is>
      </c>
      <c r="D423" t="inlineStr">
        <is>
          <t>cv.manjaddawajada01@gmail.com</t>
        </is>
      </c>
      <c r="E423" t="inlineStr">
        <is>
          <t>https://lpjk.pu.go.id/search-badan-usaha-detail/TVAyQXNjOWFvNXZkTWRtZlJiakhSdz09</t>
        </is>
      </c>
      <c r="F423" t="n">
        <v>1</v>
      </c>
      <c r="G423" t="inlineStr">
        <is>
          <t>BS005</t>
        </is>
      </c>
      <c r="H423" t="inlineStr">
        <is>
          <t>14 Oktober 2019</t>
        </is>
      </c>
      <c r="I423" s="2" t="n">
        <v>46277</v>
      </c>
      <c r="J423" t="inlineStr">
        <is>
          <t>Disetujui</t>
        </is>
      </c>
      <c r="K423" t="n">
        <v>30</v>
      </c>
      <c r="L423" t="inlineStr">
        <is>
          <t>12 September 2026</t>
        </is>
      </c>
      <c r="M423" t="inlineStr">
        <is>
          <t>Konstruksi Bangunan Sipil Pengolahan Air Bersih</t>
        </is>
      </c>
      <c r="N423" t="inlineStr">
        <is>
          <t>K</t>
        </is>
      </c>
      <c r="O423" t="inlineStr">
        <is>
          <t>20230911</t>
        </is>
      </c>
      <c r="P423" t="inlineStr">
        <is>
          <t>Jawa Barat</t>
        </is>
      </c>
      <c r="Q423" t="inlineStr"/>
    </row>
    <row r="424">
      <c r="A424" t="inlineStr">
        <is>
          <t>MANUNGGAL KARSA</t>
        </is>
      </c>
      <c r="B424" t="inlineStr">
        <is>
          <t>Kab. Trenggalek</t>
        </is>
      </c>
      <c r="C424" t="inlineStr">
        <is>
          <t>081359739279</t>
        </is>
      </c>
      <c r="D424" t="inlineStr">
        <is>
          <t>cv.manunggalkarsa54@gmail.com</t>
        </is>
      </c>
      <c r="E424" t="inlineStr">
        <is>
          <t>https://lpjk.pu.go.id/search-badan-usaha-detail/YWF6bmwwV0h6UnlRcStXeXJsMjZpQT09</t>
        </is>
      </c>
      <c r="F424" t="n">
        <v>2</v>
      </c>
      <c r="G424" t="inlineStr">
        <is>
          <t>BS004</t>
        </is>
      </c>
      <c r="H424" t="inlineStr">
        <is>
          <t>8 Februari 2007</t>
        </is>
      </c>
      <c r="I424" s="2" t="n">
        <v>46281</v>
      </c>
      <c r="J424" t="inlineStr">
        <is>
          <t>Disetujui</t>
        </is>
      </c>
      <c r="K424" t="n">
        <v>30</v>
      </c>
      <c r="L424" t="inlineStr">
        <is>
          <t>16 September 2026</t>
        </is>
      </c>
      <c r="M424" t="inlineStr">
        <is>
          <t>Konstruksi Jaringan Irigasi dan Drainase</t>
        </is>
      </c>
      <c r="N424" t="inlineStr">
        <is>
          <t>K</t>
        </is>
      </c>
      <c r="O424" t="inlineStr">
        <is>
          <t>20230909</t>
        </is>
      </c>
      <c r="P424" t="inlineStr">
        <is>
          <t>Jawa Timur</t>
        </is>
      </c>
      <c r="Q424" t="inlineStr"/>
    </row>
    <row r="425">
      <c r="A425" t="inlineStr">
        <is>
          <t>MANUNGGAL MULTIDAYA</t>
        </is>
      </c>
      <c r="B425" t="inlineStr">
        <is>
          <t>Kota Adm. Jakarta Utara</t>
        </is>
      </c>
      <c r="C425" t="inlineStr">
        <is>
          <t>0214522894</t>
        </is>
      </c>
      <c r="D425" t="inlineStr">
        <is>
          <t>manunggalmultidaya@gmail.com</t>
        </is>
      </c>
      <c r="E425" t="inlineStr">
        <is>
          <t>https://lpjk.pu.go.id/search-badan-usaha-detail/LzVOMDNVQ1pjWHZHQ0dLc0NGNFlsUT09</t>
        </is>
      </c>
      <c r="F425" t="n">
        <v>6</v>
      </c>
      <c r="G425" t="inlineStr">
        <is>
          <t>BG003, BG008, BG009</t>
        </is>
      </c>
      <c r="H425" t="inlineStr">
        <is>
          <t>7 Juli 1994</t>
        </is>
      </c>
      <c r="I425" s="2" t="n">
        <v>46282</v>
      </c>
      <c r="J425" t="inlineStr">
        <is>
          <t>Disetujui</t>
        </is>
      </c>
      <c r="K425" t="n">
        <v>30</v>
      </c>
      <c r="L425" t="inlineStr">
        <is>
          <t>17 September 2026</t>
        </is>
      </c>
      <c r="M425" t="inlineStr">
        <is>
          <t>Konstruksi Gedung Industri, Konstruksi Gedung Lainnya, Konstruksi Gedung Tempat Hiburan dan Olahraga</t>
        </is>
      </c>
      <c r="N425" t="inlineStr">
        <is>
          <t>K</t>
        </is>
      </c>
      <c r="O425" t="inlineStr">
        <is>
          <t>20230911, 20230912</t>
        </is>
      </c>
      <c r="P425" t="inlineStr">
        <is>
          <t>DKI Jakarta</t>
        </is>
      </c>
      <c r="Q425" t="inlineStr"/>
    </row>
    <row r="426">
      <c r="A426" t="inlineStr">
        <is>
          <t>MARGANA DIRJA MAKMUR</t>
        </is>
      </c>
      <c r="B426" t="inlineStr">
        <is>
          <t>Kota Banjar</t>
        </is>
      </c>
      <c r="C426" t="inlineStr">
        <is>
          <t>081914590334</t>
        </is>
      </c>
      <c r="D426" t="inlineStr">
        <is>
          <t>cvmarganadirjamakmur@gmail.com</t>
        </is>
      </c>
      <c r="E426" t="inlineStr">
        <is>
          <t>https://lpjk.pu.go.id/search-badan-usaha-detail/TVVDcmtsUWdpOWU5cVdobXljaHhjQT09</t>
        </is>
      </c>
      <c r="F426" t="n">
        <v>6</v>
      </c>
      <c r="G426" t="inlineStr">
        <is>
          <t>BS001, BS003, BS004</t>
        </is>
      </c>
      <c r="H426" t="inlineStr">
        <is>
          <t>12 Januari 2023</t>
        </is>
      </c>
      <c r="I426" s="2" t="n">
        <v>46282</v>
      </c>
      <c r="J426" t="inlineStr">
        <is>
          <t>Disetujui</t>
        </is>
      </c>
      <c r="K426" t="n">
        <v>30</v>
      </c>
      <c r="L426" t="inlineStr">
        <is>
          <t>17 September 2026</t>
        </is>
      </c>
      <c r="M426" t="inlineStr">
        <is>
          <t>Konstruksi Bangunan Sipil Jalan, Konstruksi Jalan Rel, Konstruksi Jaringan Irigasi dan Drainase</t>
        </is>
      </c>
      <c r="N426" t="inlineStr">
        <is>
          <t>K</t>
        </is>
      </c>
      <c r="O426" t="inlineStr">
        <is>
          <t>20230908</t>
        </is>
      </c>
      <c r="P426" t="inlineStr">
        <is>
          <t>Jawa Barat</t>
        </is>
      </c>
      <c r="Q426" t="inlineStr"/>
    </row>
    <row r="427">
      <c r="A427" t="inlineStr">
        <is>
          <t>MARIANI INDAH MANDIRI</t>
        </is>
      </c>
      <c r="B427" t="inlineStr">
        <is>
          <t>Kota Padang</t>
        </is>
      </c>
      <c r="C427" t="inlineStr">
        <is>
          <t>085274106362</t>
        </is>
      </c>
      <c r="D427" t="inlineStr">
        <is>
          <t>ptmarianiindahmandiri@gmail.com</t>
        </is>
      </c>
      <c r="E427" t="inlineStr">
        <is>
          <t>https://lpjk.pu.go.id/search-badan-usaha-detail/T2Z6TVNJTTdDUWZ4ckFoQzJyWDRoZz09</t>
        </is>
      </c>
      <c r="F427" t="n">
        <v>4</v>
      </c>
      <c r="G427" t="inlineStr">
        <is>
          <t>BG003, BG006, BG007, BG009</t>
        </is>
      </c>
      <c r="H427" t="inlineStr">
        <is>
          <t>11 Maret 2014</t>
        </is>
      </c>
      <c r="I427" s="2" t="n">
        <v>46279</v>
      </c>
      <c r="J427" t="inlineStr">
        <is>
          <t>Disetujui</t>
        </is>
      </c>
      <c r="K427" t="n">
        <v>30</v>
      </c>
      <c r="L427" t="inlineStr">
        <is>
          <t>14 September 2026</t>
        </is>
      </c>
      <c r="M427" t="inlineStr">
        <is>
          <t>Konstruksi Gedung Industri, Konstruksi Gedung Lainnya, Konstruksi Gedung Pendidikan, Konstruksi Gedung Penginapan</t>
        </is>
      </c>
      <c r="N427" t="inlineStr">
        <is>
          <t>K</t>
        </is>
      </c>
      <c r="O427" t="inlineStr">
        <is>
          <t>20230831, 20230911</t>
        </is>
      </c>
      <c r="P427" t="inlineStr">
        <is>
          <t>Sumatera Barat</t>
        </is>
      </c>
      <c r="Q427" t="inlineStr"/>
    </row>
    <row r="428">
      <c r="A428" t="inlineStr">
        <is>
          <t>MARSAR PROPERTI INDO</t>
        </is>
      </c>
      <c r="B428" t="inlineStr">
        <is>
          <t>Kota Pekanbaru</t>
        </is>
      </c>
      <c r="C428" t="inlineStr">
        <is>
          <t>081310114442</t>
        </is>
      </c>
      <c r="D428" t="inlineStr">
        <is>
          <t>marsar.propertyindo@gmail.com</t>
        </is>
      </c>
      <c r="E428" t="inlineStr">
        <is>
          <t>https://lpjk.pu.go.id/search-badan-usaha-detail/czRFdzBNQ0ZDaFJYcnNOeGlFTE5QQT09</t>
        </is>
      </c>
      <c r="F428" t="n">
        <v>10</v>
      </c>
      <c r="G428" t="inlineStr">
        <is>
          <t>BG001, BG002, BG004, BG007, BG009</t>
        </is>
      </c>
      <c r="H428" t="inlineStr">
        <is>
          <t>10 Juni 2021</t>
        </is>
      </c>
      <c r="I428" s="2" t="n">
        <v>46279</v>
      </c>
      <c r="J428" t="inlineStr">
        <is>
          <t>Disetujui</t>
        </is>
      </c>
      <c r="K428" t="n">
        <v>30</v>
      </c>
      <c r="L428" t="inlineStr">
        <is>
          <t>14 September 2026</t>
        </is>
      </c>
      <c r="M428" t="inlineStr">
        <is>
          <t>Konstruksi Gedung Hunian, Konstruksi Gedung Lainnya, Konstruksi Gedung Penginapan, Konstruksi Gedung Perbelanjaan, Konstruksi Gedung Perkantoran</t>
        </is>
      </c>
      <c r="N428" t="inlineStr">
        <is>
          <t>K</t>
        </is>
      </c>
      <c r="O428" t="inlineStr">
        <is>
          <t>20230915</t>
        </is>
      </c>
      <c r="P428" t="inlineStr">
        <is>
          <t>Riau</t>
        </is>
      </c>
      <c r="Q428" t="inlineStr"/>
    </row>
    <row r="429">
      <c r="A429" t="inlineStr">
        <is>
          <t>MASA BAROKAH</t>
        </is>
      </c>
      <c r="B429" t="inlineStr">
        <is>
          <t>Kab. Gresik</t>
        </is>
      </c>
      <c r="C429" t="inlineStr">
        <is>
          <t>081375354354</t>
        </is>
      </c>
      <c r="D429" t="inlineStr">
        <is>
          <t>masabarokah@gmail.com</t>
        </is>
      </c>
      <c r="E429" t="inlineStr">
        <is>
          <t>https://lpjk.pu.go.id/search-badan-usaha-detail/UmRjb2xwQTRGTmVDY1RBeUVmZkRUZz09</t>
        </is>
      </c>
      <c r="F429" t="n">
        <v>2</v>
      </c>
      <c r="G429" t="inlineStr">
        <is>
          <t>BG004, BS001</t>
        </is>
      </c>
      <c r="H429" t="inlineStr">
        <is>
          <t>28 Desember 2017</t>
        </is>
      </c>
      <c r="I429" s="2" t="n">
        <v>46282</v>
      </c>
      <c r="J429" t="inlineStr">
        <is>
          <t>Disetujui, Pencabutan</t>
        </is>
      </c>
      <c r="K429" t="n">
        <v>30</v>
      </c>
      <c r="L429" t="inlineStr">
        <is>
          <t>17 September 2026</t>
        </is>
      </c>
      <c r="M429" t="inlineStr">
        <is>
          <t>Konstruksi Bangunan Sipil Jalan, Konstruksi Gedung Perbelanjaan</t>
        </is>
      </c>
      <c r="N429" t="inlineStr">
        <is>
          <t>K</t>
        </is>
      </c>
      <c r="O429" t="inlineStr">
        <is>
          <t>20230914</t>
        </is>
      </c>
      <c r="P429" t="inlineStr">
        <is>
          <t>Jawa Timur</t>
        </is>
      </c>
      <c r="Q429" t="inlineStr"/>
    </row>
    <row r="430">
      <c r="A430" t="inlineStr">
        <is>
          <t>MASA INDAH</t>
        </is>
      </c>
      <c r="B430" t="inlineStr">
        <is>
          <t>Kota Banjarmasin</t>
        </is>
      </c>
      <c r="C430" t="inlineStr">
        <is>
          <t>0811504537</t>
        </is>
      </c>
      <c r="D430" t="inlineStr">
        <is>
          <t>masa.indah03@gmail.com</t>
        </is>
      </c>
      <c r="E430" t="inlineStr">
        <is>
          <t>https://lpjk.pu.go.id/search-badan-usaha-detail/a1dzdDJIZVB5VzM2bVE3SCtsVVgzdz09</t>
        </is>
      </c>
      <c r="F430" t="n">
        <v>2</v>
      </c>
      <c r="G430" t="inlineStr">
        <is>
          <t>BS001, BS004</t>
        </is>
      </c>
      <c r="H430" t="inlineStr">
        <is>
          <t>19 Desember 1984</t>
        </is>
      </c>
      <c r="I430" s="2" t="n">
        <v>46277</v>
      </c>
      <c r="J430" t="inlineStr">
        <is>
          <t>Disetujui</t>
        </is>
      </c>
      <c r="K430" t="n">
        <v>30</v>
      </c>
      <c r="L430" t="inlineStr">
        <is>
          <t>12 September 2026</t>
        </is>
      </c>
      <c r="M430" t="inlineStr">
        <is>
          <t>Konstruksi Bangunan Sipil Jalan, Konstruksi Jaringan Irigasi dan Drainase</t>
        </is>
      </c>
      <c r="N430" t="inlineStr">
        <is>
          <t>K</t>
        </is>
      </c>
      <c r="O430" t="inlineStr">
        <is>
          <t>20230905</t>
        </is>
      </c>
      <c r="P430" t="inlineStr">
        <is>
          <t>Kalimantan Selatan</t>
        </is>
      </c>
      <c r="Q430" t="inlineStr"/>
    </row>
    <row r="431">
      <c r="A431" t="inlineStr">
        <is>
          <t>MASAGI SAKTI</t>
        </is>
      </c>
      <c r="B431" t="inlineStr">
        <is>
          <t>Kab. Bandung</t>
        </is>
      </c>
      <c r="C431" t="inlineStr">
        <is>
          <t>081214004295</t>
        </is>
      </c>
      <c r="D431" t="inlineStr">
        <is>
          <t>herry_amal@masagi-sakti.com</t>
        </is>
      </c>
      <c r="E431" t="inlineStr">
        <is>
          <t>https://lpjk.pu.go.id/search-badan-usaha-detail/a3duVW5QTTJtc2dYSGoycDh5bmFVUT09</t>
        </is>
      </c>
      <c r="F431" t="n">
        <v>2</v>
      </c>
      <c r="G431" t="inlineStr">
        <is>
          <t>BG003</t>
        </is>
      </c>
      <c r="H431" t="inlineStr">
        <is>
          <t>7 Oktober 2022</t>
        </is>
      </c>
      <c r="I431" s="2" t="n">
        <v>46279</v>
      </c>
      <c r="J431" t="inlineStr">
        <is>
          <t>Disetujui</t>
        </is>
      </c>
      <c r="K431" t="n">
        <v>30</v>
      </c>
      <c r="L431" t="inlineStr">
        <is>
          <t>14 September 2026</t>
        </is>
      </c>
      <c r="M431" t="inlineStr">
        <is>
          <t>Konstruksi Gedung Industri</t>
        </is>
      </c>
      <c r="N431" t="inlineStr">
        <is>
          <t>K</t>
        </is>
      </c>
      <c r="O431" t="inlineStr">
        <is>
          <t>20230907</t>
        </is>
      </c>
      <c r="P431" t="inlineStr">
        <is>
          <t>Jawa Barat</t>
        </is>
      </c>
      <c r="Q431" t="inlineStr"/>
    </row>
    <row r="432">
      <c r="A432" t="inlineStr">
        <is>
          <t>MATARAM TUNGGAL BORNEO</t>
        </is>
      </c>
      <c r="B432" t="inlineStr">
        <is>
          <t>Kota Samarinda</t>
        </is>
      </c>
      <c r="C432" t="inlineStr">
        <is>
          <t>081346253467</t>
        </is>
      </c>
      <c r="D432" t="inlineStr">
        <is>
          <t>cv.mataramtunggalborneo@gmail.com</t>
        </is>
      </c>
      <c r="E432" t="inlineStr">
        <is>
          <t>https://lpjk.pu.go.id/search-badan-usaha-detail/eWJhUFM1MGNvb0lybENnU3l2dXZoQT09</t>
        </is>
      </c>
      <c r="F432" t="n">
        <v>2</v>
      </c>
      <c r="G432" t="inlineStr">
        <is>
          <t>BS001</t>
        </is>
      </c>
      <c r="H432" t="inlineStr">
        <is>
          <t>28 Agustus 2019</t>
        </is>
      </c>
      <c r="I432" s="2" t="n">
        <v>46277</v>
      </c>
      <c r="J432" t="inlineStr">
        <is>
          <t>Disetujui</t>
        </is>
      </c>
      <c r="K432" t="n">
        <v>30</v>
      </c>
      <c r="L432" t="inlineStr">
        <is>
          <t>12 September 2026</t>
        </is>
      </c>
      <c r="M432" t="inlineStr">
        <is>
          <t>Konstruksi Bangunan Sipil Jalan</t>
        </is>
      </c>
      <c r="N432" t="inlineStr">
        <is>
          <t>K</t>
        </is>
      </c>
      <c r="O432" t="inlineStr">
        <is>
          <t>20230906</t>
        </is>
      </c>
      <c r="P432" t="inlineStr">
        <is>
          <t>Kalimantan Timur</t>
        </is>
      </c>
      <c r="Q432" t="inlineStr"/>
    </row>
    <row r="433">
      <c r="A433" t="inlineStr">
        <is>
          <t>MEGA CILO PRATAMA</t>
        </is>
      </c>
      <c r="B433" t="inlineStr">
        <is>
          <t>Kota Malang</t>
        </is>
      </c>
      <c r="C433" t="inlineStr">
        <is>
          <t>081234011200</t>
        </is>
      </c>
      <c r="D433" t="inlineStr">
        <is>
          <t>megacilopratama@gmail.com</t>
        </is>
      </c>
      <c r="E433" t="inlineStr">
        <is>
          <t>https://lpjk.pu.go.id/search-badan-usaha-detail/VTVYUnp2b2FDQlpGQVUzSk9uekdoZz09</t>
        </is>
      </c>
      <c r="F433" t="n">
        <v>1</v>
      </c>
      <c r="G433" t="inlineStr">
        <is>
          <t>BG001</t>
        </is>
      </c>
      <c r="H433" t="inlineStr">
        <is>
          <t>27 Juli 2022</t>
        </is>
      </c>
      <c r="I433" s="2" t="n">
        <v>46277</v>
      </c>
      <c r="J433" t="inlineStr">
        <is>
          <t>Disetujui</t>
        </is>
      </c>
      <c r="K433" t="n">
        <v>30</v>
      </c>
      <c r="L433" t="inlineStr">
        <is>
          <t>12 September 2026</t>
        </is>
      </c>
      <c r="M433" t="inlineStr">
        <is>
          <t>Konstruksi Gedung Hunian</t>
        </is>
      </c>
      <c r="N433" t="inlineStr">
        <is>
          <t>K</t>
        </is>
      </c>
      <c r="O433" t="inlineStr">
        <is>
          <t>20230907</t>
        </is>
      </c>
      <c r="P433" t="inlineStr">
        <is>
          <t>Jawa Timur</t>
        </is>
      </c>
      <c r="Q433" t="inlineStr"/>
    </row>
    <row r="434">
      <c r="A434" t="inlineStr">
        <is>
          <t>MEGA CITRA MEDIA</t>
        </is>
      </c>
      <c r="B434" t="inlineStr">
        <is>
          <t>Kota Bandung</t>
        </is>
      </c>
      <c r="C434" t="inlineStr">
        <is>
          <t>08122397503</t>
        </is>
      </c>
      <c r="D434" t="inlineStr">
        <is>
          <t>megacitra2018@gmail.com</t>
        </is>
      </c>
      <c r="E434" t="inlineStr">
        <is>
          <t>https://lpjk.pu.go.id/search-badan-usaha-detail/YU5HM2V3aTFBVVRUZENISk5EOEpnUT09</t>
        </is>
      </c>
      <c r="F434" t="n">
        <v>2</v>
      </c>
      <c r="G434" t="inlineStr">
        <is>
          <t>BS001</t>
        </is>
      </c>
      <c r="H434" t="inlineStr">
        <is>
          <t>27 April 1998</t>
        </is>
      </c>
      <c r="I434" s="2" t="n">
        <v>46279</v>
      </c>
      <c r="J434" t="inlineStr">
        <is>
          <t>Disetujui</t>
        </is>
      </c>
      <c r="K434" t="n">
        <v>30</v>
      </c>
      <c r="L434" t="inlineStr">
        <is>
          <t>14 September 2026</t>
        </is>
      </c>
      <c r="M434" t="inlineStr">
        <is>
          <t>Konstruksi Bangunan Sipil Jalan</t>
        </is>
      </c>
      <c r="N434" t="inlineStr">
        <is>
          <t>K</t>
        </is>
      </c>
      <c r="O434" t="inlineStr">
        <is>
          <t>20230914</t>
        </is>
      </c>
      <c r="P434" t="inlineStr">
        <is>
          <t>Jawa Barat</t>
        </is>
      </c>
      <c r="Q434" t="inlineStr"/>
    </row>
    <row r="435">
      <c r="A435" t="inlineStr">
        <is>
          <t>MEGA GUSTRIA</t>
        </is>
      </c>
      <c r="B435" t="inlineStr">
        <is>
          <t>Kab. Kuningan</t>
        </is>
      </c>
      <c r="C435" t="inlineStr">
        <is>
          <t>081283679023</t>
        </is>
      </c>
      <c r="D435" t="inlineStr">
        <is>
          <t>didiset2@gmail.com</t>
        </is>
      </c>
      <c r="E435" t="inlineStr">
        <is>
          <t>https://lpjk.pu.go.id/search-badan-usaha-detail/R0lvT09yWDB6UXUySDNvMlpwWkROZz09</t>
        </is>
      </c>
      <c r="F435" t="n">
        <v>3</v>
      </c>
      <c r="G435" t="inlineStr">
        <is>
          <t>BG002, BS001, BS005</t>
        </is>
      </c>
      <c r="H435" t="inlineStr">
        <is>
          <t>14 Juni 2012</t>
        </is>
      </c>
      <c r="I435" s="2" t="n">
        <v>46279</v>
      </c>
      <c r="J435" t="inlineStr">
        <is>
          <t>Disetujui</t>
        </is>
      </c>
      <c r="K435" t="n">
        <v>30</v>
      </c>
      <c r="L435" t="inlineStr">
        <is>
          <t>14 September 2026</t>
        </is>
      </c>
      <c r="M435" t="inlineStr">
        <is>
          <t>Konstruksi Bangunan Sipil Jalan, Konstruksi Bangunan Sipil Pengolahan Air Bersih, Konstruksi Gedung Perkantoran</t>
        </is>
      </c>
      <c r="N435" t="inlineStr">
        <is>
          <t>K</t>
        </is>
      </c>
      <c r="O435" t="inlineStr">
        <is>
          <t>20230907, 20230914</t>
        </is>
      </c>
      <c r="P435" t="inlineStr">
        <is>
          <t>Jawa Barat</t>
        </is>
      </c>
      <c r="Q435" t="inlineStr"/>
    </row>
    <row r="436">
      <c r="A436" t="inlineStr">
        <is>
          <t>MEGA KENCANA</t>
        </is>
      </c>
      <c r="B436" t="inlineStr">
        <is>
          <t>Kab. Kuningan</t>
        </is>
      </c>
      <c r="C436" t="inlineStr">
        <is>
          <t>085318997833</t>
        </is>
      </c>
      <c r="D436" t="inlineStr">
        <is>
          <t>megakencana09@gmail.com</t>
        </is>
      </c>
      <c r="E436" t="inlineStr">
        <is>
          <t>https://lpjk.pu.go.id/search-badan-usaha-detail/V2lEeDZjd3RDbkYveVpBZjcrZmtCQT09</t>
        </is>
      </c>
      <c r="F436" t="n">
        <v>3</v>
      </c>
      <c r="G436" t="inlineStr">
        <is>
          <t>BG002, BG006, BS001</t>
        </is>
      </c>
      <c r="H436" t="inlineStr">
        <is>
          <t>24 November 1999</t>
        </is>
      </c>
      <c r="I436" s="2" t="n">
        <v>46283</v>
      </c>
      <c r="J436" t="inlineStr">
        <is>
          <t>Disetujui</t>
        </is>
      </c>
      <c r="K436" t="n">
        <v>30</v>
      </c>
      <c r="L436" t="inlineStr">
        <is>
          <t>18 September 2026</t>
        </is>
      </c>
      <c r="M436" t="inlineStr">
        <is>
          <t>Konstruksi Bangunan Sipil Jalan, Konstruksi Gedung Pendidikan, Konstruksi Gedung Perkantoran</t>
        </is>
      </c>
      <c r="N436" t="inlineStr">
        <is>
          <t>K</t>
        </is>
      </c>
      <c r="O436" t="inlineStr">
        <is>
          <t>20230914</t>
        </is>
      </c>
      <c r="P436" t="inlineStr">
        <is>
          <t>Jawa Barat</t>
        </is>
      </c>
      <c r="Q436" t="inlineStr"/>
    </row>
    <row r="437">
      <c r="A437" t="inlineStr">
        <is>
          <t>MEGA PARAMITHA</t>
        </is>
      </c>
      <c r="B437" t="inlineStr">
        <is>
          <t>Kab. Sanggau</t>
        </is>
      </c>
      <c r="C437" t="inlineStr">
        <is>
          <t>081258914889</t>
        </is>
      </c>
      <c r="D437" t="inlineStr">
        <is>
          <t>cvmegaparamitha@gmail.com</t>
        </is>
      </c>
      <c r="E437" t="inlineStr">
        <is>
          <t>https://lpjk.pu.go.id/search-badan-usaha-detail/SFZvZWl1TFBRemZHQXYvV1BzNW94Zz09</t>
        </is>
      </c>
      <c r="F437" t="n">
        <v>1</v>
      </c>
      <c r="G437" t="inlineStr">
        <is>
          <t>BS001</t>
        </is>
      </c>
      <c r="H437" t="inlineStr">
        <is>
          <t>17 Juli 2023</t>
        </is>
      </c>
      <c r="I437" s="2" t="n">
        <v>46282</v>
      </c>
      <c r="J437" t="inlineStr">
        <is>
          <t>Pencabutan</t>
        </is>
      </c>
      <c r="K437" t="n">
        <v>30</v>
      </c>
      <c r="L437" t="inlineStr">
        <is>
          <t>17 September 2026</t>
        </is>
      </c>
      <c r="M437" t="inlineStr">
        <is>
          <t>Konstruksi Bangunan Sipil Jalan</t>
        </is>
      </c>
      <c r="N437" t="inlineStr">
        <is>
          <t>K</t>
        </is>
      </c>
      <c r="O437" t="inlineStr">
        <is>
          <t>20230915</t>
        </is>
      </c>
      <c r="P437" t="inlineStr">
        <is>
          <t>Kalimantan Barat</t>
        </is>
      </c>
      <c r="Q437" t="inlineStr"/>
    </row>
    <row r="438">
      <c r="A438" t="inlineStr">
        <is>
          <t>MEGA PILAR UTAMA</t>
        </is>
      </c>
      <c r="B438" t="inlineStr">
        <is>
          <t>Kota Jambi</t>
        </is>
      </c>
      <c r="C438" t="inlineStr">
        <is>
          <t>081367773428</t>
        </is>
      </c>
      <c r="D438" t="inlineStr">
        <is>
          <t>cv.megapilarutama@gmail.com</t>
        </is>
      </c>
      <c r="E438" t="inlineStr">
        <is>
          <t>https://lpjk.pu.go.id/search-badan-usaha-detail/QjlDemQwRU1OSUszUzNOZStXbmk2UT09</t>
        </is>
      </c>
      <c r="F438" t="n">
        <v>1</v>
      </c>
      <c r="G438" t="inlineStr">
        <is>
          <t>BG009</t>
        </is>
      </c>
      <c r="H438" t="inlineStr">
        <is>
          <t>25 Februari 2020</t>
        </is>
      </c>
      <c r="I438" s="2" t="n">
        <v>46280</v>
      </c>
      <c r="J438" t="inlineStr">
        <is>
          <t>Disetujui</t>
        </is>
      </c>
      <c r="K438" t="n">
        <v>30</v>
      </c>
      <c r="L438" t="inlineStr">
        <is>
          <t>15 September 2026</t>
        </is>
      </c>
      <c r="M438" t="inlineStr">
        <is>
          <t>Konstruksi Gedung Lainnya</t>
        </is>
      </c>
      <c r="N438" t="inlineStr">
        <is>
          <t>K</t>
        </is>
      </c>
      <c r="O438" t="inlineStr">
        <is>
          <t>20230914</t>
        </is>
      </c>
      <c r="P438" t="inlineStr">
        <is>
          <t>Jambi</t>
        </is>
      </c>
      <c r="Q438" t="inlineStr"/>
    </row>
    <row r="439">
      <c r="A439" t="inlineStr">
        <is>
          <t>MEGATEC ABADI</t>
        </is>
      </c>
      <c r="B439" t="inlineStr">
        <is>
          <t>Kota Kupang</t>
        </is>
      </c>
      <c r="C439" t="inlineStr">
        <is>
          <t>085338371255</t>
        </is>
      </c>
      <c r="D439" t="inlineStr">
        <is>
          <t>megatecabadi5@gmail.com</t>
        </is>
      </c>
      <c r="E439" t="inlineStr">
        <is>
          <t>https://lpjk.pu.go.id/search-badan-usaha-detail/RGRkeEE1dGFxdmNldXkxK1VSQnBMQT09</t>
        </is>
      </c>
      <c r="F439" t="n">
        <v>6</v>
      </c>
      <c r="G439" t="inlineStr">
        <is>
          <t>BG002, BG003, BG005, BG006, BG009, BS001</t>
        </is>
      </c>
      <c r="H439" t="inlineStr">
        <is>
          <t>17 Desember 2021</t>
        </is>
      </c>
      <c r="I439" s="2" t="n">
        <v>46279</v>
      </c>
      <c r="J439" t="inlineStr">
        <is>
          <t>Disetujui</t>
        </is>
      </c>
      <c r="K439" t="n">
        <v>30</v>
      </c>
      <c r="L439" t="inlineStr">
        <is>
          <t>14 September 2026</t>
        </is>
      </c>
      <c r="M439" t="inlineStr">
        <is>
          <t>Konstruksi Bangunan Sipil Jalan, Konstruksi Gedung Industri, Konstruksi Gedung Kesehatan, Konstruksi Gedung Lainnya, Konstruksi Gedung Pendidikan, Konstruksi Gedung Perkantoran</t>
        </is>
      </c>
      <c r="N439" t="inlineStr">
        <is>
          <t>K</t>
        </is>
      </c>
      <c r="O439" t="inlineStr">
        <is>
          <t>20230731, 20230906</t>
        </is>
      </c>
      <c r="P439" t="inlineStr">
        <is>
          <t>Nusa Tenggara Timur</t>
        </is>
      </c>
      <c r="Q439" t="inlineStr"/>
    </row>
    <row r="440">
      <c r="A440" t="inlineStr">
        <is>
          <t>MEKAR SEJAHTERA</t>
        </is>
      </c>
      <c r="B440" t="inlineStr">
        <is>
          <t>Kab. Bantul</t>
        </is>
      </c>
      <c r="C440" t="inlineStr">
        <is>
          <t>087738392620</t>
        </is>
      </c>
      <c r="D440" t="inlineStr">
        <is>
          <t>NURIKHSANHIDAYAT33@gmail.com</t>
        </is>
      </c>
      <c r="E440" t="inlineStr">
        <is>
          <t>https://lpjk.pu.go.id/search-badan-usaha-detail/MHRQWk1aTW1MbS8ySWEwNmpBRGszdz09</t>
        </is>
      </c>
      <c r="F440" t="n">
        <v>4</v>
      </c>
      <c r="G440" t="inlineStr">
        <is>
          <t>BG004, BS001</t>
        </is>
      </c>
      <c r="H440" t="inlineStr">
        <is>
          <t>16 Januari 2006</t>
        </is>
      </c>
      <c r="I440" s="2" t="n">
        <v>46282</v>
      </c>
      <c r="J440" t="inlineStr">
        <is>
          <t>Disetujui</t>
        </is>
      </c>
      <c r="K440" t="n">
        <v>30</v>
      </c>
      <c r="L440" t="inlineStr">
        <is>
          <t>17 September 2026</t>
        </is>
      </c>
      <c r="M440" t="inlineStr">
        <is>
          <t>Konstruksi Bangunan Sipil Jalan, Konstruksi Gedung Perbelanjaan</t>
        </is>
      </c>
      <c r="N440" t="inlineStr">
        <is>
          <t>K</t>
        </is>
      </c>
      <c r="O440" t="inlineStr">
        <is>
          <t>20230904, 20230915</t>
        </is>
      </c>
      <c r="P440" t="inlineStr">
        <is>
          <t>DI Yogyakarta</t>
        </is>
      </c>
      <c r="Q440" t="inlineStr"/>
    </row>
    <row r="441">
      <c r="A441" t="inlineStr">
        <is>
          <t>MELATI MANDIRI</t>
        </is>
      </c>
      <c r="B441" t="inlineStr">
        <is>
          <t>Kota Pontianak</t>
        </is>
      </c>
      <c r="C441" t="inlineStr">
        <is>
          <t>089601461519</t>
        </is>
      </c>
      <c r="D441" t="inlineStr">
        <is>
          <t>melati_mandiri@ymail.com</t>
        </is>
      </c>
      <c r="E441" t="inlineStr">
        <is>
          <t>https://lpjk.pu.go.id/search-badan-usaha-detail/ZEZrVDBaZ090WFhTODFsWnRQTU1QZz09</t>
        </is>
      </c>
      <c r="F441" t="n">
        <v>4</v>
      </c>
      <c r="G441" t="inlineStr">
        <is>
          <t>BG001, BG002, BG009, BS001</t>
        </is>
      </c>
      <c r="H441" t="inlineStr">
        <is>
          <t>29 November 1993</t>
        </is>
      </c>
      <c r="I441" s="2" t="n">
        <v>46280</v>
      </c>
      <c r="J441" t="inlineStr">
        <is>
          <t>Disetujui</t>
        </is>
      </c>
      <c r="K441" t="n">
        <v>30</v>
      </c>
      <c r="L441" t="inlineStr">
        <is>
          <t>15 September 2026</t>
        </is>
      </c>
      <c r="M441" t="inlineStr">
        <is>
          <t>Konstruksi Bangunan Sipil Jalan, Konstruksi Gedung Hunian, Konstruksi Gedung Lainnya, Konstruksi Gedung Perkantoran</t>
        </is>
      </c>
      <c r="N441" t="inlineStr">
        <is>
          <t>K</t>
        </is>
      </c>
      <c r="O441" t="inlineStr">
        <is>
          <t>20230915, 20230917</t>
        </is>
      </c>
      <c r="P441" t="inlineStr">
        <is>
          <t>Kalimantan Barat</t>
        </is>
      </c>
      <c r="Q441" t="inlineStr"/>
    </row>
    <row r="442">
      <c r="A442" t="inlineStr">
        <is>
          <t>MENARA BAJA PROJECT</t>
        </is>
      </c>
      <c r="B442" t="inlineStr">
        <is>
          <t>Kab. Bengkulu Utara</t>
        </is>
      </c>
      <c r="C442" t="inlineStr">
        <is>
          <t>082260607671</t>
        </is>
      </c>
      <c r="D442" t="inlineStr">
        <is>
          <t>menarabajaproject@gmail.com</t>
        </is>
      </c>
      <c r="E442" t="inlineStr">
        <is>
          <t>https://lpjk.pu.go.id/search-badan-usaha-detail/cERmUGZvV0o4M0pVbHpCU2xNcXNhQT09</t>
        </is>
      </c>
      <c r="F442" t="n">
        <v>1</v>
      </c>
      <c r="G442" t="inlineStr">
        <is>
          <t>BS010</t>
        </is>
      </c>
      <c r="H442" t="inlineStr">
        <is>
          <t>9 Januari 2019</t>
        </is>
      </c>
      <c r="I442" s="2" t="n">
        <v>46283</v>
      </c>
      <c r="J442" t="inlineStr">
        <is>
          <t>Disetujui</t>
        </is>
      </c>
      <c r="K442" t="n">
        <v>30</v>
      </c>
      <c r="L442" t="inlineStr">
        <is>
          <t>18 September 2026</t>
        </is>
      </c>
      <c r="M442" t="inlineStr">
        <is>
          <t>Konstruksi Bangunan Prasarana Sumber Daya Air</t>
        </is>
      </c>
      <c r="N442" t="inlineStr">
        <is>
          <t>K</t>
        </is>
      </c>
      <c r="O442" t="inlineStr">
        <is>
          <t>20230915</t>
        </is>
      </c>
      <c r="P442" t="inlineStr">
        <is>
          <t>Bengkulu</t>
        </is>
      </c>
      <c r="Q442" t="inlineStr"/>
    </row>
    <row r="443">
      <c r="A443" t="inlineStr">
        <is>
          <t>MENARA LANGIT PROPERTINDO</t>
        </is>
      </c>
      <c r="B443" t="inlineStr">
        <is>
          <t>Kab. Paser</t>
        </is>
      </c>
      <c r="C443" t="inlineStr">
        <is>
          <t>082131220446</t>
        </is>
      </c>
      <c r="D443" t="inlineStr">
        <is>
          <t>menaralangitpropertindo@gmail.com</t>
        </is>
      </c>
      <c r="E443" t="inlineStr">
        <is>
          <t>https://lpjk.pu.go.id/search-badan-usaha-detail/d2U5cmJjbmk1VVpVdUc4RzlxckhQUT09</t>
        </is>
      </c>
      <c r="F443" t="n">
        <v>1</v>
      </c>
      <c r="G443" t="inlineStr">
        <is>
          <t>BG001</t>
        </is>
      </c>
      <c r="H443" t="inlineStr">
        <is>
          <t>17 Mei 2022</t>
        </is>
      </c>
      <c r="I443" s="2" t="n">
        <v>46283</v>
      </c>
      <c r="J443" t="inlineStr">
        <is>
          <t>Disetujui</t>
        </is>
      </c>
      <c r="K443" t="n">
        <v>30</v>
      </c>
      <c r="L443" t="inlineStr">
        <is>
          <t>18 September 2026</t>
        </is>
      </c>
      <c r="M443" t="inlineStr">
        <is>
          <t>Konstruksi Gedung Hunian</t>
        </is>
      </c>
      <c r="N443" t="inlineStr">
        <is>
          <t>K</t>
        </is>
      </c>
      <c r="O443" t="inlineStr">
        <is>
          <t>20230919</t>
        </is>
      </c>
      <c r="P443" t="inlineStr">
        <is>
          <t>Kalimantan Timur</t>
        </is>
      </c>
      <c r="Q443" t="inlineStr"/>
    </row>
    <row r="444">
      <c r="A444" t="inlineStr">
        <is>
          <t>MENARA PERSADA</t>
        </is>
      </c>
      <c r="B444" t="inlineStr">
        <is>
          <t>Kab. Sidoarjo</t>
        </is>
      </c>
      <c r="C444" t="inlineStr">
        <is>
          <t>081377268768</t>
        </is>
      </c>
      <c r="D444" t="inlineStr">
        <is>
          <t>menarapersada@gmail.com</t>
        </is>
      </c>
      <c r="E444" t="inlineStr">
        <is>
          <t>https://lpjk.pu.go.id/search-badan-usaha-detail/eEVuZktpYkNnY3NKWVNxc2prSGgxUT09</t>
        </is>
      </c>
      <c r="F444" t="n">
        <v>2</v>
      </c>
      <c r="G444" t="inlineStr">
        <is>
          <t>BG009, BS001</t>
        </is>
      </c>
      <c r="H444" t="inlineStr">
        <is>
          <t>9 Agustus 2005</t>
        </is>
      </c>
      <c r="I444" s="2" t="n">
        <v>46282</v>
      </c>
      <c r="J444" t="inlineStr">
        <is>
          <t>Disetujui</t>
        </is>
      </c>
      <c r="K444" t="n">
        <v>30</v>
      </c>
      <c r="L444" t="inlineStr">
        <is>
          <t>17 September 2026</t>
        </is>
      </c>
      <c r="M444" t="inlineStr">
        <is>
          <t>Konstruksi Bangunan Sipil Jalan, Konstruksi Gedung Lainnya</t>
        </is>
      </c>
      <c r="N444" t="inlineStr">
        <is>
          <t>K</t>
        </is>
      </c>
      <c r="O444" t="inlineStr">
        <is>
          <t>20230905, 20230909</t>
        </is>
      </c>
      <c r="P444" t="inlineStr">
        <is>
          <t>Jawa Timur</t>
        </is>
      </c>
      <c r="Q444" t="inlineStr"/>
    </row>
    <row r="445">
      <c r="A445" t="inlineStr">
        <is>
          <t>MENARA PRIMA SEJAHTERA</t>
        </is>
      </c>
      <c r="B445" t="inlineStr">
        <is>
          <t>Kota Makassar</t>
        </is>
      </c>
      <c r="C445" t="inlineStr">
        <is>
          <t>085255735404</t>
        </is>
      </c>
      <c r="D445" t="inlineStr">
        <is>
          <t>menaraprimasejahtera@gmail.com</t>
        </is>
      </c>
      <c r="E445" t="inlineStr">
        <is>
          <t>https://lpjk.pu.go.id/search-badan-usaha-detail/bkk2UzR6azlhTWxzRnIrY3JnMTd1Zz09</t>
        </is>
      </c>
      <c r="F445" t="n">
        <v>2</v>
      </c>
      <c r="G445" t="inlineStr">
        <is>
          <t>BG002, BG006</t>
        </is>
      </c>
      <c r="H445" t="inlineStr">
        <is>
          <t>23 November 2012</t>
        </is>
      </c>
      <c r="I445" s="2" t="n">
        <v>46278</v>
      </c>
      <c r="J445" t="inlineStr">
        <is>
          <t>Disetujui</t>
        </is>
      </c>
      <c r="K445" t="n">
        <v>30</v>
      </c>
      <c r="L445" t="inlineStr">
        <is>
          <t>13 September 2026</t>
        </is>
      </c>
      <c r="M445" t="inlineStr">
        <is>
          <t>Konstruksi Gedung Pendidikan, Konstruksi Gedung Perkantoran</t>
        </is>
      </c>
      <c r="N445" t="inlineStr">
        <is>
          <t>K</t>
        </is>
      </c>
      <c r="O445" t="inlineStr">
        <is>
          <t>20230910</t>
        </is>
      </c>
      <c r="P445" t="inlineStr">
        <is>
          <t>Sulawesi Selatan</t>
        </is>
      </c>
      <c r="Q445" t="inlineStr"/>
    </row>
    <row r="446">
      <c r="A446" t="inlineStr">
        <is>
          <t>MENARA TATA SEMESTA</t>
        </is>
      </c>
      <c r="B446" t="inlineStr">
        <is>
          <t>Kota Tangerang</t>
        </is>
      </c>
      <c r="C446" t="inlineStr">
        <is>
          <t>02159893381</t>
        </is>
      </c>
      <c r="D446" t="inlineStr">
        <is>
          <t>menaratatasemesta17@gmail.com</t>
        </is>
      </c>
      <c r="E446" t="inlineStr">
        <is>
          <t>https://lpjk.pu.go.id/search-badan-usaha-detail/MWEzSlpRS1I3aWdjQnM1S0tsaU13dz09</t>
        </is>
      </c>
      <c r="F446" t="n">
        <v>5</v>
      </c>
      <c r="G446" t="inlineStr">
        <is>
          <t>BG006, BG009</t>
        </is>
      </c>
      <c r="H446" t="inlineStr">
        <is>
          <t>16 Agustus 2012</t>
        </is>
      </c>
      <c r="I446" s="2" t="n">
        <v>46283</v>
      </c>
      <c r="J446" t="inlineStr">
        <is>
          <t>Disetujui</t>
        </is>
      </c>
      <c r="K446" t="n">
        <v>30</v>
      </c>
      <c r="L446" t="inlineStr">
        <is>
          <t>18 September 2026</t>
        </is>
      </c>
      <c r="M446" t="inlineStr">
        <is>
          <t>Konstruksi Gedung Lainnya, Konstruksi Gedung Pendidikan</t>
        </is>
      </c>
      <c r="N446" t="inlineStr">
        <is>
          <t>K</t>
        </is>
      </c>
      <c r="O446" t="inlineStr">
        <is>
          <t>20230911</t>
        </is>
      </c>
      <c r="P446" t="inlineStr">
        <is>
          <t>Banten</t>
        </is>
      </c>
      <c r="Q446" t="inlineStr"/>
    </row>
    <row r="447">
      <c r="A447" t="inlineStr">
        <is>
          <t>MENTARI INDAH</t>
        </is>
      </c>
      <c r="B447" t="inlineStr">
        <is>
          <t>Kab. Supiori</t>
        </is>
      </c>
      <c r="C447" t="inlineStr">
        <is>
          <t>082187377472</t>
        </is>
      </c>
      <c r="D447" t="inlineStr">
        <is>
          <t>indahmentari.cv@gmail.com</t>
        </is>
      </c>
      <c r="E447" t="inlineStr">
        <is>
          <t>https://lpjk.pu.go.id/search-badan-usaha-detail/REhlWk9VZW5GU09qbWRud29Rdk1udz09</t>
        </is>
      </c>
      <c r="F447" t="n">
        <v>1</v>
      </c>
      <c r="G447" t="inlineStr">
        <is>
          <t>BG001</t>
        </is>
      </c>
      <c r="H447" t="inlineStr">
        <is>
          <t>18 Oktober 2010</t>
        </is>
      </c>
      <c r="I447" s="2" t="n">
        <v>46280</v>
      </c>
      <c r="J447" t="inlineStr">
        <is>
          <t>Disetujui</t>
        </is>
      </c>
      <c r="K447" t="n">
        <v>30</v>
      </c>
      <c r="L447" t="inlineStr">
        <is>
          <t>15 September 2026</t>
        </is>
      </c>
      <c r="M447" t="inlineStr">
        <is>
          <t>Konstruksi Gedung Hunian</t>
        </is>
      </c>
      <c r="N447" t="inlineStr">
        <is>
          <t>K</t>
        </is>
      </c>
      <c r="O447" t="inlineStr">
        <is>
          <t>20230911</t>
        </is>
      </c>
      <c r="P447" t="inlineStr">
        <is>
          <t>Papua</t>
        </is>
      </c>
      <c r="Q447" t="inlineStr"/>
    </row>
    <row r="448">
      <c r="A448" t="inlineStr">
        <is>
          <t>MENTARI PINANG KENCANA</t>
        </is>
      </c>
      <c r="B448" t="inlineStr">
        <is>
          <t>Kota Tanjung Pinang</t>
        </is>
      </c>
      <c r="C448" t="inlineStr">
        <is>
          <t>81277390318</t>
        </is>
      </c>
      <c r="D448" t="inlineStr">
        <is>
          <t>mentaripk@gmail.com</t>
        </is>
      </c>
      <c r="E448" t="inlineStr">
        <is>
          <t>https://lpjk.pu.go.id/search-badan-usaha-detail/Z295N2cwL3N4cW9LVkFzUkI5dHBaUT09</t>
        </is>
      </c>
      <c r="F448" t="n">
        <v>1</v>
      </c>
      <c r="G448" t="inlineStr">
        <is>
          <t>BS001</t>
        </is>
      </c>
      <c r="H448" t="inlineStr">
        <is>
          <t>8 Februari 2021</t>
        </is>
      </c>
      <c r="I448" s="2" t="n">
        <v>46278</v>
      </c>
      <c r="J448" t="inlineStr">
        <is>
          <t>Pencabutan</t>
        </is>
      </c>
      <c r="K448" t="n">
        <v>30</v>
      </c>
      <c r="L448" t="inlineStr">
        <is>
          <t>13 September 2026</t>
        </is>
      </c>
      <c r="M448" t="inlineStr">
        <is>
          <t>Konstruksi Bangunan Sipil Jalan</t>
        </is>
      </c>
      <c r="N448" t="inlineStr">
        <is>
          <t>K</t>
        </is>
      </c>
      <c r="O448" t="inlineStr">
        <is>
          <t>20230908</t>
        </is>
      </c>
      <c r="P448" t="inlineStr">
        <is>
          <t>Kepulauan Riau</t>
        </is>
      </c>
      <c r="Q448" t="inlineStr"/>
    </row>
    <row r="449">
      <c r="A449" t="inlineStr">
        <is>
          <t>MERAH PUTIH</t>
        </is>
      </c>
      <c r="B449" t="inlineStr">
        <is>
          <t>Kota Semarang</t>
        </is>
      </c>
      <c r="C449" t="inlineStr">
        <is>
          <t>02470465569</t>
        </is>
      </c>
      <c r="D449" t="inlineStr">
        <is>
          <t>riskykiki21221@yahoo.com</t>
        </is>
      </c>
      <c r="E449" t="inlineStr">
        <is>
          <t>https://lpjk.pu.go.id/search-badan-usaha-detail/U0hXdjNkdzNSYVFWVThjeitxVndLUT09</t>
        </is>
      </c>
      <c r="F449" t="n">
        <v>3</v>
      </c>
      <c r="G449" t="inlineStr">
        <is>
          <t>BG002, BG006, BG009</t>
        </is>
      </c>
      <c r="H449" t="inlineStr">
        <is>
          <t>12 Januari 2010</t>
        </is>
      </c>
      <c r="I449" s="2" t="n">
        <v>46282</v>
      </c>
      <c r="J449" t="inlineStr">
        <is>
          <t>Disetujui</t>
        </is>
      </c>
      <c r="K449" t="n">
        <v>30</v>
      </c>
      <c r="L449" t="inlineStr">
        <is>
          <t>17 September 2026</t>
        </is>
      </c>
      <c r="M449" t="inlineStr">
        <is>
          <t>Konstruksi Gedung Lainnya, Konstruksi Gedung Pendidikan, Konstruksi Gedung Perkantoran</t>
        </is>
      </c>
      <c r="N449" t="inlineStr">
        <is>
          <t>K</t>
        </is>
      </c>
      <c r="O449" t="inlineStr">
        <is>
          <t>20230911, 20230912, 20230913</t>
        </is>
      </c>
      <c r="P449" t="inlineStr">
        <is>
          <t>Jawa Tengah</t>
        </is>
      </c>
      <c r="Q449" t="inlineStr"/>
    </row>
    <row r="450">
      <c r="A450" t="inlineStr">
        <is>
          <t>MERPATI SAMUDRA</t>
        </is>
      </c>
      <c r="B450" t="inlineStr">
        <is>
          <t>Kab. Lamongan</t>
        </is>
      </c>
      <c r="C450" t="inlineStr">
        <is>
          <t>085645123641</t>
        </is>
      </c>
      <c r="D450" t="inlineStr">
        <is>
          <t>merpatisamudra40@gmail.com</t>
        </is>
      </c>
      <c r="E450" t="inlineStr">
        <is>
          <t>https://lpjk.pu.go.id/search-badan-usaha-detail/TEkxbjdLbXAwSVc2bXBlSnpvZE8rQT09</t>
        </is>
      </c>
      <c r="F450" t="n">
        <v>2</v>
      </c>
      <c r="G450" t="inlineStr">
        <is>
          <t>BS001, BS004</t>
        </is>
      </c>
      <c r="H450" t="inlineStr">
        <is>
          <t>30 Januari 2020</t>
        </is>
      </c>
      <c r="I450" s="2" t="n">
        <v>46279</v>
      </c>
      <c r="J450" t="inlineStr">
        <is>
          <t>Disetujui</t>
        </is>
      </c>
      <c r="K450" t="n">
        <v>30</v>
      </c>
      <c r="L450" t="inlineStr">
        <is>
          <t>14 September 2026</t>
        </is>
      </c>
      <c r="M450" t="inlineStr">
        <is>
          <t>Konstruksi Bangunan Sipil Jalan, Konstruksi Jaringan Irigasi dan Drainase</t>
        </is>
      </c>
      <c r="N450" t="inlineStr">
        <is>
          <t>K</t>
        </is>
      </c>
      <c r="O450" t="inlineStr">
        <is>
          <t>20230911, 20230915</t>
        </is>
      </c>
      <c r="P450" t="inlineStr">
        <is>
          <t>Jawa Timur</t>
        </is>
      </c>
      <c r="Q450" t="inlineStr"/>
    </row>
    <row r="451">
      <c r="A451" t="inlineStr">
        <is>
          <t>MIAN GEMILANG</t>
        </is>
      </c>
      <c r="B451" t="inlineStr">
        <is>
          <t>Kota Pematangsiantar</t>
        </is>
      </c>
      <c r="C451" t="inlineStr">
        <is>
          <t>-</t>
        </is>
      </c>
      <c r="D451" t="inlineStr">
        <is>
          <t>gemilangc201@yahoo.com</t>
        </is>
      </c>
      <c r="E451" t="inlineStr">
        <is>
          <t>https://lpjk.pu.go.id/search-badan-usaha-detail/T3c0ek9nZTI4a1QwSnFHVVAzSWt0UT09</t>
        </is>
      </c>
      <c r="F451" t="n">
        <v>1</v>
      </c>
      <c r="G451" t="inlineStr">
        <is>
          <t>BS001</t>
        </is>
      </c>
      <c r="H451" t="inlineStr">
        <is>
          <t>28 Maret 2001</t>
        </is>
      </c>
      <c r="I451" s="2" t="n">
        <v>46280</v>
      </c>
      <c r="J451" t="inlineStr">
        <is>
          <t>Disetujui</t>
        </is>
      </c>
      <c r="K451" t="n">
        <v>30</v>
      </c>
      <c r="L451" t="inlineStr">
        <is>
          <t>15 September 2026</t>
        </is>
      </c>
      <c r="M451" t="inlineStr">
        <is>
          <t>Konstruksi Bangunan Sipil Jalan</t>
        </is>
      </c>
      <c r="N451" t="inlineStr">
        <is>
          <t>K</t>
        </is>
      </c>
      <c r="O451" t="inlineStr">
        <is>
          <t>20230825</t>
        </is>
      </c>
      <c r="P451" t="inlineStr">
        <is>
          <t>Sumatera Utara</t>
        </is>
      </c>
      <c r="Q451" t="inlineStr"/>
    </row>
    <row r="452">
      <c r="A452" t="inlineStr">
        <is>
          <t>MILENIALS</t>
        </is>
      </c>
      <c r="B452" t="inlineStr">
        <is>
          <t>Kab. Barito Utara</t>
        </is>
      </c>
      <c r="C452" t="inlineStr">
        <is>
          <t>085220996878</t>
        </is>
      </c>
      <c r="D452" t="inlineStr">
        <is>
          <t>cv.milenials25@gmail.com</t>
        </is>
      </c>
      <c r="E452" t="inlineStr">
        <is>
          <t>https://lpjk.pu.go.id/search-badan-usaha-detail/YkRmallONTdBNjljOWhzakxsaVY5UT09</t>
        </is>
      </c>
      <c r="F452" t="n">
        <v>14</v>
      </c>
      <c r="G452" t="inlineStr">
        <is>
          <t>BG001, BG002, BG005, BG006, BG009, BS001, BS004</t>
        </is>
      </c>
      <c r="H452" t="inlineStr">
        <is>
          <t>25 Agustus 2023</t>
        </is>
      </c>
      <c r="I452" s="2" t="n">
        <v>46283</v>
      </c>
      <c r="J452" t="inlineStr">
        <is>
          <t>Disetujui</t>
        </is>
      </c>
      <c r="K452" t="n">
        <v>30</v>
      </c>
      <c r="L452" t="inlineStr">
        <is>
          <t>18 September 2026</t>
        </is>
      </c>
      <c r="M452" t="inlineStr">
        <is>
          <t>Konstruksi Bangunan Sipil Jalan, Konstruksi Gedung Hunian, Konstruksi Gedung Kesehatan, Konstruksi Gedung Lainnya, Konstruksi Gedung Pendidikan, Konstruksi Gedung Perkantoran, Konstruksi Jaringan Irigasi dan Drainase</t>
        </is>
      </c>
      <c r="N452" t="inlineStr">
        <is>
          <t>K</t>
        </is>
      </c>
      <c r="O452" t="inlineStr">
        <is>
          <t>20230917</t>
        </is>
      </c>
      <c r="P452" t="inlineStr">
        <is>
          <t>Kalimantan Tengah</t>
        </is>
      </c>
      <c r="Q452" t="inlineStr"/>
    </row>
    <row r="453">
      <c r="A453" t="inlineStr">
        <is>
          <t>MILLENIUM PERSADA</t>
        </is>
      </c>
      <c r="B453" t="inlineStr">
        <is>
          <t>Kota Makassar</t>
        </is>
      </c>
      <c r="C453" t="inlineStr">
        <is>
          <t>081355024441</t>
        </is>
      </c>
      <c r="D453" t="inlineStr">
        <is>
          <t>pt.millenium.persada@gmail.com</t>
        </is>
      </c>
      <c r="E453" t="inlineStr">
        <is>
          <t>https://lpjk.pu.go.id/search-badan-usaha-detail/bjJMN2RCZWZOWG1wMm5IeUdKOXYxdz09</t>
        </is>
      </c>
      <c r="F453" t="n">
        <v>1</v>
      </c>
      <c r="G453" t="inlineStr">
        <is>
          <t>BG002</t>
        </is>
      </c>
      <c r="H453" t="inlineStr">
        <is>
          <t>24 Desember 2004</t>
        </is>
      </c>
      <c r="I453" s="2" t="n">
        <v>46280</v>
      </c>
      <c r="J453" t="inlineStr">
        <is>
          <t>Disetujui</t>
        </is>
      </c>
      <c r="K453" t="n">
        <v>30</v>
      </c>
      <c r="L453" t="inlineStr">
        <is>
          <t>15 September 2026</t>
        </is>
      </c>
      <c r="M453" t="inlineStr">
        <is>
          <t>Konstruksi Gedung Perkantoran</t>
        </is>
      </c>
      <c r="N453" t="inlineStr">
        <is>
          <t>M</t>
        </is>
      </c>
      <c r="O453" t="inlineStr">
        <is>
          <t>20230913</t>
        </is>
      </c>
      <c r="P453" t="inlineStr">
        <is>
          <t>Sulawesi Selatan</t>
        </is>
      </c>
      <c r="Q453" t="inlineStr"/>
    </row>
    <row r="454">
      <c r="A454" t="inlineStr">
        <is>
          <t>MIRSEL</t>
        </is>
      </c>
      <c r="B454" t="inlineStr">
        <is>
          <t>Kab. Subang</t>
        </is>
      </c>
      <c r="C454" t="inlineStr">
        <is>
          <t>082112045355</t>
        </is>
      </c>
      <c r="D454" t="inlineStr">
        <is>
          <t>mirsel9079@gmail.com</t>
        </is>
      </c>
      <c r="E454" t="inlineStr">
        <is>
          <t>https://lpjk.pu.go.id/search-badan-usaha-detail/S2l3aCs4eXU1RDBocytua3ZuczZ6UT09</t>
        </is>
      </c>
      <c r="F454" t="n">
        <v>1</v>
      </c>
      <c r="G454" t="inlineStr">
        <is>
          <t>BS001</t>
        </is>
      </c>
      <c r="H454" t="inlineStr">
        <is>
          <t>25 September 2019</t>
        </is>
      </c>
      <c r="I454" s="2" t="n">
        <v>46278</v>
      </c>
      <c r="J454" t="inlineStr">
        <is>
          <t>Pencabutan</t>
        </is>
      </c>
      <c r="K454" t="n">
        <v>30</v>
      </c>
      <c r="L454" t="inlineStr">
        <is>
          <t>13 September 2026</t>
        </is>
      </c>
      <c r="M454" t="inlineStr">
        <is>
          <t>Konstruksi Bangunan Sipil Jalan</t>
        </is>
      </c>
      <c r="N454" t="inlineStr">
        <is>
          <t>K</t>
        </is>
      </c>
      <c r="O454" t="inlineStr">
        <is>
          <t>20230911</t>
        </is>
      </c>
      <c r="P454" t="inlineStr">
        <is>
          <t>Jawa Barat</t>
        </is>
      </c>
      <c r="Q454" t="inlineStr"/>
    </row>
    <row r="455">
      <c r="A455" t="inlineStr">
        <is>
          <t>MITRA BERSAUDARA MANDIRI</t>
        </is>
      </c>
      <c r="B455" t="inlineStr">
        <is>
          <t>Kab. Padang Lawas Utara</t>
        </is>
      </c>
      <c r="C455" t="inlineStr">
        <is>
          <t>082278270029</t>
        </is>
      </c>
      <c r="D455" t="inlineStr">
        <is>
          <t>cvmitrasaudaram@gmail.com</t>
        </is>
      </c>
      <c r="E455" t="inlineStr">
        <is>
          <t>https://lpjk.pu.go.id/search-badan-usaha-detail/eGp6OVFyNFFuSFZRNVYwajliekN5Zz09</t>
        </is>
      </c>
      <c r="F455" t="n">
        <v>1</v>
      </c>
      <c r="G455" t="inlineStr">
        <is>
          <t>BS004</t>
        </is>
      </c>
      <c r="H455" t="inlineStr">
        <is>
          <t>14 Juli 2023</t>
        </is>
      </c>
      <c r="I455" s="2" t="n">
        <v>46278</v>
      </c>
      <c r="J455" t="inlineStr">
        <is>
          <t>Disetujui</t>
        </is>
      </c>
      <c r="K455" t="n">
        <v>30</v>
      </c>
      <c r="L455" t="inlineStr">
        <is>
          <t>13 September 2026</t>
        </is>
      </c>
      <c r="M455" t="inlineStr">
        <is>
          <t>Konstruksi Jaringan Irigasi dan Drainase</t>
        </is>
      </c>
      <c r="N455" t="inlineStr">
        <is>
          <t>K</t>
        </is>
      </c>
      <c r="O455" t="inlineStr">
        <is>
          <t>20230912</t>
        </is>
      </c>
      <c r="P455" t="inlineStr">
        <is>
          <t>Sumatera Utara</t>
        </is>
      </c>
      <c r="Q455" t="inlineStr"/>
    </row>
    <row r="456">
      <c r="A456" t="inlineStr">
        <is>
          <t>MITRA DUA SEMBILAN</t>
        </is>
      </c>
      <c r="B456" t="inlineStr">
        <is>
          <t>Kota Makassar</t>
        </is>
      </c>
      <c r="C456" t="inlineStr">
        <is>
          <t>0411423856</t>
        </is>
      </c>
      <c r="D456" t="inlineStr">
        <is>
          <t>mitrasembilan20@gmail.com</t>
        </is>
      </c>
      <c r="E456" t="inlineStr">
        <is>
          <t>https://lpjk.pu.go.id/search-badan-usaha-detail/RTU2MGMrU0F6SU51eVkyREk1NnV6dz09</t>
        </is>
      </c>
      <c r="F456" t="n">
        <v>3</v>
      </c>
      <c r="G456" t="inlineStr">
        <is>
          <t>BS001, BS010, BS011</t>
        </is>
      </c>
      <c r="H456" t="inlineStr">
        <is>
          <t>8 Januari 2020</t>
        </is>
      </c>
      <c r="I456" s="2" t="n">
        <v>46283</v>
      </c>
      <c r="J456" t="inlineStr">
        <is>
          <t>Disetujui</t>
        </is>
      </c>
      <c r="K456" t="n">
        <v>30</v>
      </c>
      <c r="L456" t="inlineStr">
        <is>
          <t>18 September 2026</t>
        </is>
      </c>
      <c r="M456" t="inlineStr">
        <is>
          <t>Konstruksi Bangunan Pelabuhan Bukan Perikanan, Konstruksi Bangunan Prasarana Sumber Daya Air, Konstruksi Bangunan Sipil Jalan</t>
        </is>
      </c>
      <c r="N456" t="inlineStr">
        <is>
          <t>K</t>
        </is>
      </c>
      <c r="O456" t="inlineStr">
        <is>
          <t>20230919</t>
        </is>
      </c>
      <c r="P456" t="inlineStr">
        <is>
          <t>Sulawesi Selatan</t>
        </is>
      </c>
      <c r="Q456" t="inlineStr"/>
    </row>
    <row r="457">
      <c r="A457" t="inlineStr">
        <is>
          <t>MITRA GENERASI MANDIRI</t>
        </is>
      </c>
      <c r="B457" t="inlineStr">
        <is>
          <t>Kota Palangkaraya</t>
        </is>
      </c>
      <c r="C457" t="inlineStr">
        <is>
          <t>082153222235</t>
        </is>
      </c>
      <c r="D457" t="inlineStr">
        <is>
          <t>mitragenerasimandiri@gmail.com</t>
        </is>
      </c>
      <c r="E457" t="inlineStr">
        <is>
          <t>https://lpjk.pu.go.id/search-badan-usaha-detail/NEtySU9MUXl5bnp1b1o3UnpDclZyQT09</t>
        </is>
      </c>
      <c r="F457" t="n">
        <v>1</v>
      </c>
      <c r="G457" t="inlineStr">
        <is>
          <t>BS005</t>
        </is>
      </c>
      <c r="H457" t="inlineStr">
        <is>
          <t>8 Januari 2016</t>
        </is>
      </c>
      <c r="I457" s="2" t="n">
        <v>46281</v>
      </c>
      <c r="J457" t="inlineStr">
        <is>
          <t>Disetujui</t>
        </is>
      </c>
      <c r="K457" t="n">
        <v>30</v>
      </c>
      <c r="L457" t="inlineStr">
        <is>
          <t>16 September 2026</t>
        </is>
      </c>
      <c r="M457" t="inlineStr">
        <is>
          <t>Konstruksi Bangunan Sipil Pengolahan Air Bersih</t>
        </is>
      </c>
      <c r="N457" t="inlineStr">
        <is>
          <t>K</t>
        </is>
      </c>
      <c r="O457" t="inlineStr">
        <is>
          <t>20230916</t>
        </is>
      </c>
      <c r="P457" t="inlineStr">
        <is>
          <t>Kalimantan Tengah</t>
        </is>
      </c>
      <c r="Q457" t="inlineStr"/>
    </row>
    <row r="458">
      <c r="A458" t="inlineStr">
        <is>
          <t>MITRA HARAPAN KITA</t>
        </is>
      </c>
      <c r="B458" t="inlineStr">
        <is>
          <t>Kab. Halmahera Selatan</t>
        </is>
      </c>
      <c r="C458" t="inlineStr">
        <is>
          <t>081312364353</t>
        </is>
      </c>
      <c r="D458" t="inlineStr">
        <is>
          <t>cv.mitraharapankita@gmail.com</t>
        </is>
      </c>
      <c r="E458" t="inlineStr">
        <is>
          <t>https://lpjk.pu.go.id/search-badan-usaha-detail/WTQwVUIzRG9paFQyTHZXK3dnRjRJUT09</t>
        </is>
      </c>
      <c r="F458" t="n">
        <v>1</v>
      </c>
      <c r="G458" t="inlineStr">
        <is>
          <t>BS010</t>
        </is>
      </c>
      <c r="H458" t="inlineStr">
        <is>
          <t>6 Juni 2023</t>
        </is>
      </c>
      <c r="I458" s="2" t="n">
        <v>46278</v>
      </c>
      <c r="J458" t="inlineStr">
        <is>
          <t>Pencabutan</t>
        </is>
      </c>
      <c r="K458" t="n">
        <v>30</v>
      </c>
      <c r="L458" t="inlineStr">
        <is>
          <t>13 September 2026</t>
        </is>
      </c>
      <c r="M458" t="inlineStr">
        <is>
          <t>Konstruksi Bangunan Prasarana Sumber Daya Air</t>
        </is>
      </c>
      <c r="N458" t="inlineStr">
        <is>
          <t>K</t>
        </is>
      </c>
      <c r="O458" t="inlineStr">
        <is>
          <t>20230913</t>
        </is>
      </c>
      <c r="P458" t="inlineStr">
        <is>
          <t>Maluku Utara</t>
        </is>
      </c>
      <c r="Q458" t="inlineStr"/>
    </row>
    <row r="459">
      <c r="A459" t="inlineStr">
        <is>
          <t>MITRA HORASINDO ABADI</t>
        </is>
      </c>
      <c r="B459" t="inlineStr">
        <is>
          <t>Kota Balikpapan</t>
        </is>
      </c>
      <c r="C459" t="inlineStr">
        <is>
          <t>081380806657</t>
        </is>
      </c>
      <c r="D459" t="inlineStr">
        <is>
          <t>mitrahorasindo@yahoo.com</t>
        </is>
      </c>
      <c r="E459" t="inlineStr">
        <is>
          <t>https://lpjk.pu.go.id/search-badan-usaha-detail/dWhxaFJ2Y3lWL0JKZnFpZ3JNVDl4UT09</t>
        </is>
      </c>
      <c r="F459" t="n">
        <v>2</v>
      </c>
      <c r="G459" t="inlineStr">
        <is>
          <t>BG009, BS002</t>
        </is>
      </c>
      <c r="H459" t="inlineStr">
        <is>
          <t>6 Juni 2016</t>
        </is>
      </c>
      <c r="I459" s="2" t="n">
        <v>46279</v>
      </c>
      <c r="J459" t="inlineStr">
        <is>
          <t>Disetujui</t>
        </is>
      </c>
      <c r="K459" t="n">
        <v>30</v>
      </c>
      <c r="L459" t="inlineStr">
        <is>
          <t>14 September 2026</t>
        </is>
      </c>
      <c r="M459" t="inlineStr">
        <is>
          <t>Bangunan Sipil Jembatan, Jalan Layang, Fly Over, dan Underpass, Konstruksi Gedung Lainnya</t>
        </is>
      </c>
      <c r="N459" t="inlineStr">
        <is>
          <t>K</t>
        </is>
      </c>
      <c r="O459" t="inlineStr">
        <is>
          <t>20230911</t>
        </is>
      </c>
      <c r="P459" t="inlineStr">
        <is>
          <t>Kalimantan Timur</t>
        </is>
      </c>
      <c r="Q459" t="inlineStr"/>
    </row>
    <row r="460">
      <c r="A460" t="inlineStr">
        <is>
          <t>MITRA HOSINDO SEJAHTERA</t>
        </is>
      </c>
      <c r="B460" t="inlineStr">
        <is>
          <t>Kota Batam</t>
        </is>
      </c>
      <c r="C460" t="inlineStr">
        <is>
          <t>0811693434</t>
        </is>
      </c>
      <c r="D460" t="inlineStr">
        <is>
          <t>mitrahosindo@yahoo.co.id</t>
        </is>
      </c>
      <c r="E460" t="inlineStr">
        <is>
          <t>https://lpjk.pu.go.id/search-badan-usaha-detail/QmU1QUdreFBWdWVJQmE0cWpscUdIZz09</t>
        </is>
      </c>
      <c r="F460" t="n">
        <v>1</v>
      </c>
      <c r="G460" t="inlineStr">
        <is>
          <t>BS009</t>
        </is>
      </c>
      <c r="H460" t="inlineStr">
        <is>
          <t>22 Juli 1998</t>
        </is>
      </c>
      <c r="I460" s="2" t="n">
        <v>46282</v>
      </c>
      <c r="J460" t="inlineStr">
        <is>
          <t>Disetujui</t>
        </is>
      </c>
      <c r="K460" t="n">
        <v>30</v>
      </c>
      <c r="L460" t="inlineStr">
        <is>
          <t>17 September 2026</t>
        </is>
      </c>
      <c r="M460" t="inlineStr">
        <is>
          <t>Konstruksi Sentral Telekomunikasi</t>
        </is>
      </c>
      <c r="N460" t="inlineStr">
        <is>
          <t>K</t>
        </is>
      </c>
      <c r="O460" t="inlineStr">
        <is>
          <t>20230918</t>
        </is>
      </c>
      <c r="P460" t="inlineStr">
        <is>
          <t>Kepulauan Riau</t>
        </is>
      </c>
      <c r="Q460" t="inlineStr"/>
    </row>
    <row r="461">
      <c r="A461" t="inlineStr">
        <is>
          <t>MITRA KARYA LESTARI</t>
        </is>
      </c>
      <c r="B461" t="inlineStr">
        <is>
          <t>Kab. Belitung Timur</t>
        </is>
      </c>
      <c r="C461" t="inlineStr">
        <is>
          <t>081279975280</t>
        </is>
      </c>
      <c r="D461" t="inlineStr">
        <is>
          <t>cv.mitrakaryalestari@yahoo.com</t>
        </is>
      </c>
      <c r="E461" t="inlineStr">
        <is>
          <t>https://lpjk.pu.go.id/search-badan-usaha-detail/VVIvbDE0cEswOCtha1hySHJ6YXdiUT09</t>
        </is>
      </c>
      <c r="F461" t="n">
        <v>1</v>
      </c>
      <c r="G461" t="inlineStr">
        <is>
          <t>BS001</t>
        </is>
      </c>
      <c r="H461" t="inlineStr">
        <is>
          <t>7 Januari 2020</t>
        </is>
      </c>
      <c r="I461" s="2" t="n">
        <v>46282</v>
      </c>
      <c r="J461" t="inlineStr">
        <is>
          <t>Disetujui</t>
        </is>
      </c>
      <c r="K461" t="n">
        <v>30</v>
      </c>
      <c r="L461" t="inlineStr">
        <is>
          <t>17 September 2026</t>
        </is>
      </c>
      <c r="M461" t="inlineStr">
        <is>
          <t>Konstruksi Bangunan Sipil Jalan</t>
        </is>
      </c>
      <c r="N461" t="inlineStr">
        <is>
          <t>K</t>
        </is>
      </c>
      <c r="O461" t="inlineStr">
        <is>
          <t>20230724</t>
        </is>
      </c>
      <c r="P461" t="inlineStr">
        <is>
          <t>Kepulauan Bangka Belitung</t>
        </is>
      </c>
      <c r="Q461" t="inlineStr"/>
    </row>
    <row r="462">
      <c r="A462" t="inlineStr">
        <is>
          <t>MITRA MUDA BERSAMA</t>
        </is>
      </c>
      <c r="B462" t="inlineStr">
        <is>
          <t>Kota Batam</t>
        </is>
      </c>
      <c r="C462" t="inlineStr">
        <is>
          <t>082284520707</t>
        </is>
      </c>
      <c r="D462" t="inlineStr">
        <is>
          <t>ptmitramudabersama@gmail.com</t>
        </is>
      </c>
      <c r="E462" t="inlineStr">
        <is>
          <t>https://lpjk.pu.go.id/search-badan-usaha-detail/bmY4Z3lPVS9jU2xrNm9WVkswb0hMZz09</t>
        </is>
      </c>
      <c r="F462" t="n">
        <v>3</v>
      </c>
      <c r="G462" t="inlineStr">
        <is>
          <t>BG001, BG003, BG009</t>
        </is>
      </c>
      <c r="H462" t="inlineStr">
        <is>
          <t>19 Agustus 2023</t>
        </is>
      </c>
      <c r="I462" s="2" t="n">
        <v>46279</v>
      </c>
      <c r="J462" t="inlineStr">
        <is>
          <t>Disetujui</t>
        </is>
      </c>
      <c r="K462" t="n">
        <v>30</v>
      </c>
      <c r="L462" t="inlineStr">
        <is>
          <t>14 September 2026</t>
        </is>
      </c>
      <c r="M462" t="inlineStr">
        <is>
          <t>Konstruksi Gedung Hunian, Konstruksi Gedung Industri, Konstruksi Gedung Lainnya</t>
        </is>
      </c>
      <c r="N462" t="inlineStr">
        <is>
          <t>K</t>
        </is>
      </c>
      <c r="O462" t="inlineStr">
        <is>
          <t>20230911</t>
        </is>
      </c>
      <c r="P462" t="inlineStr">
        <is>
          <t>Kepulauan Riau</t>
        </is>
      </c>
      <c r="Q462" t="inlineStr"/>
    </row>
    <row r="463">
      <c r="A463" t="inlineStr">
        <is>
          <t>MITRA MUTIARA</t>
        </is>
      </c>
      <c r="B463" t="inlineStr">
        <is>
          <t>Kab. Maros</t>
        </is>
      </c>
      <c r="C463" t="inlineStr">
        <is>
          <t>085345406501</t>
        </is>
      </c>
      <c r="D463" t="inlineStr">
        <is>
          <t>cv.mitra_mutiara@yahoo.com</t>
        </is>
      </c>
      <c r="E463" t="inlineStr">
        <is>
          <t>https://lpjk.pu.go.id/search-badan-usaha-detail/dkl0djNENUQrVnF0eDhta21yK1FBdz09</t>
        </is>
      </c>
      <c r="F463" t="n">
        <v>1</v>
      </c>
      <c r="G463" t="inlineStr">
        <is>
          <t>BS002</t>
        </is>
      </c>
      <c r="H463" t="inlineStr">
        <is>
          <t>4 Mei 1999</t>
        </is>
      </c>
      <c r="I463" s="2" t="n">
        <v>46282</v>
      </c>
      <c r="J463" t="inlineStr">
        <is>
          <t>Disetujui</t>
        </is>
      </c>
      <c r="K463" t="n">
        <v>30</v>
      </c>
      <c r="L463" t="inlineStr">
        <is>
          <t>17 September 2026</t>
        </is>
      </c>
      <c r="M463" t="inlineStr">
        <is>
          <t>Bangunan Sipil Jembatan, Jalan Layang, Fly Over, dan Underpass</t>
        </is>
      </c>
      <c r="N463" t="inlineStr">
        <is>
          <t>K</t>
        </is>
      </c>
      <c r="O463" t="inlineStr">
        <is>
          <t>20230731</t>
        </is>
      </c>
      <c r="P463" t="inlineStr">
        <is>
          <t>Sulawesi Selatan</t>
        </is>
      </c>
      <c r="Q463" t="inlineStr"/>
    </row>
    <row r="464">
      <c r="A464" t="inlineStr">
        <is>
          <t>MITRA NAGATA WISESA</t>
        </is>
      </c>
      <c r="B464" t="inlineStr">
        <is>
          <t>Kab. Sidoarjo</t>
        </is>
      </c>
      <c r="C464" t="inlineStr">
        <is>
          <t>081332224750</t>
        </is>
      </c>
      <c r="D464" t="inlineStr">
        <is>
          <t>mitranagatawisesa2021@gmail.com</t>
        </is>
      </c>
      <c r="E464" t="inlineStr">
        <is>
          <t>https://lpjk.pu.go.id/search-badan-usaha-detail/ZEFXN2xCSVc5NDEza1luak5nMC9Jdz09</t>
        </is>
      </c>
      <c r="F464" t="n">
        <v>1</v>
      </c>
      <c r="G464" t="inlineStr">
        <is>
          <t>BS002</t>
        </is>
      </c>
      <c r="H464" t="inlineStr">
        <is>
          <t>4 Maret 2021</t>
        </is>
      </c>
      <c r="I464" s="2" t="n">
        <v>46283</v>
      </c>
      <c r="J464" t="inlineStr">
        <is>
          <t>Disetujui</t>
        </is>
      </c>
      <c r="K464" t="n">
        <v>30</v>
      </c>
      <c r="L464" t="inlineStr">
        <is>
          <t>18 September 2026</t>
        </is>
      </c>
      <c r="M464" t="inlineStr">
        <is>
          <t>Bangunan Sipil Jembatan, Jalan Layang, Fly Over, dan Underpass</t>
        </is>
      </c>
      <c r="N464" t="inlineStr">
        <is>
          <t>K</t>
        </is>
      </c>
      <c r="O464" t="inlineStr">
        <is>
          <t>20230915</t>
        </is>
      </c>
      <c r="P464" t="inlineStr">
        <is>
          <t>Jawa Timur</t>
        </is>
      </c>
      <c r="Q464" t="inlineStr"/>
    </row>
    <row r="465">
      <c r="A465" t="inlineStr">
        <is>
          <t>MITRA SARANA MEMBANGUN</t>
        </is>
      </c>
      <c r="B465" t="inlineStr">
        <is>
          <t>Kota Tangerang Selatan</t>
        </is>
      </c>
      <c r="C465" t="inlineStr">
        <is>
          <t>02122271331</t>
        </is>
      </c>
      <c r="D465" t="inlineStr">
        <is>
          <t>PIC@MSMGROUP.CO</t>
        </is>
      </c>
      <c r="E465" t="inlineStr">
        <is>
          <t>https://lpjk.pu.go.id/search-badan-usaha-detail/Tm1DNFlWMnIwN2xMQ0RTVzYxUS9lZz09</t>
        </is>
      </c>
      <c r="F465" t="n">
        <v>4</v>
      </c>
      <c r="G465" t="inlineStr">
        <is>
          <t>KK001, KK012, KK016</t>
        </is>
      </c>
      <c r="H465" t="inlineStr">
        <is>
          <t>17 Juni 2019</t>
        </is>
      </c>
      <c r="I465" s="2" t="n">
        <v>46278</v>
      </c>
      <c r="J465" t="inlineStr">
        <is>
          <t>Disetujui</t>
        </is>
      </c>
      <c r="K465" t="n">
        <v>30</v>
      </c>
      <c r="L465" t="inlineStr">
        <is>
          <t>13 September 2026</t>
        </is>
      </c>
      <c r="M465" t="inlineStr">
        <is>
          <t>Pekerjaan Struktur Beton, Pemasangan Kerangka Baja, Pondasi Konstruksi</t>
        </is>
      </c>
      <c r="N465" t="inlineStr">
        <is>
          <t>Spesialis</t>
        </is>
      </c>
      <c r="O465" t="inlineStr">
        <is>
          <t>20230914</t>
        </is>
      </c>
      <c r="P465" t="inlineStr">
        <is>
          <t>Banten</t>
        </is>
      </c>
      <c r="Q465" t="inlineStr"/>
    </row>
    <row r="466">
      <c r="A466" t="inlineStr">
        <is>
          <t>MITRAKARYA TEGUHSETIA</t>
        </is>
      </c>
      <c r="B466" t="inlineStr">
        <is>
          <t>Kota Adm. Jakarta Barat</t>
        </is>
      </c>
      <c r="C466" t="inlineStr">
        <is>
          <t>08129930629</t>
        </is>
      </c>
      <c r="D466" t="inlineStr">
        <is>
          <t>teguhsetiam@gmail.com</t>
        </is>
      </c>
      <c r="E466" t="inlineStr">
        <is>
          <t>https://lpjk.pu.go.id/search-badan-usaha-detail/S0lLQitiRG83T2YranlqN2k3T1lmUT09</t>
        </is>
      </c>
      <c r="F466" t="n">
        <v>1</v>
      </c>
      <c r="G466" t="inlineStr">
        <is>
          <t>PB001</t>
        </is>
      </c>
      <c r="H466" t="inlineStr">
        <is>
          <t>10 November 1995</t>
        </is>
      </c>
      <c r="I466" s="2" t="n">
        <v>46282</v>
      </c>
      <c r="J466" t="inlineStr">
        <is>
          <t>Pencabutan</t>
        </is>
      </c>
      <c r="K466" t="n">
        <v>30</v>
      </c>
      <c r="L466" t="inlineStr">
        <is>
          <t>17 September 2026</t>
        </is>
      </c>
      <c r="M466" t="inlineStr">
        <is>
          <t>Pengerjaan Pemasangan Kaca dan Alumunium</t>
        </is>
      </c>
      <c r="N466" t="inlineStr">
        <is>
          <t>Spesialis</t>
        </is>
      </c>
      <c r="O466" t="inlineStr">
        <is>
          <t>20230914</t>
        </is>
      </c>
      <c r="P466" t="inlineStr">
        <is>
          <t>DKI Jakarta</t>
        </is>
      </c>
      <c r="Q466" t="inlineStr"/>
    </row>
    <row r="467">
      <c r="A467" t="inlineStr">
        <is>
          <t>MOJOPAHIT PALAPA KHATULISTIWA</t>
        </is>
      </c>
      <c r="B467" t="inlineStr">
        <is>
          <t>Kota Pontianak</t>
        </is>
      </c>
      <c r="C467" t="inlineStr">
        <is>
          <t>085386006060</t>
        </is>
      </c>
      <c r="D467" t="inlineStr">
        <is>
          <t>mojopahitpalapakhatulistiwa@gmail.com</t>
        </is>
      </c>
      <c r="E467" t="inlineStr">
        <is>
          <t>https://lpjk.pu.go.id/search-badan-usaha-detail/eXhUQjVKMm44SmFMZDVYSDlwV0dudz09</t>
        </is>
      </c>
      <c r="F467" t="n">
        <v>1</v>
      </c>
      <c r="G467" t="inlineStr">
        <is>
          <t>BG006</t>
        </is>
      </c>
      <c r="H467" t="inlineStr">
        <is>
          <t>30 Mei 2023</t>
        </is>
      </c>
      <c r="I467" s="2" t="n">
        <v>46283</v>
      </c>
      <c r="J467" t="inlineStr">
        <is>
          <t>Disetujui</t>
        </is>
      </c>
      <c r="K467" t="n">
        <v>30</v>
      </c>
      <c r="L467" t="inlineStr">
        <is>
          <t>18 September 2026</t>
        </is>
      </c>
      <c r="M467" t="inlineStr">
        <is>
          <t>Konstruksi Gedung Pendidikan</t>
        </is>
      </c>
      <c r="N467" t="inlineStr">
        <is>
          <t>K</t>
        </is>
      </c>
      <c r="O467" t="inlineStr">
        <is>
          <t>20230914</t>
        </is>
      </c>
      <c r="P467" t="inlineStr">
        <is>
          <t>Kalimantan Barat</t>
        </is>
      </c>
      <c r="Q467" t="inlineStr"/>
    </row>
    <row r="468">
      <c r="A468" t="inlineStr">
        <is>
          <t>MUARA MITRA RIAU</t>
        </is>
      </c>
      <c r="B468" t="inlineStr">
        <is>
          <t>Kota Pekanbaru</t>
        </is>
      </c>
      <c r="C468" t="inlineStr">
        <is>
          <t>082387745888</t>
        </is>
      </c>
      <c r="D468" t="inlineStr">
        <is>
          <t>cv.mmriau@gmail.com</t>
        </is>
      </c>
      <c r="E468" t="inlineStr">
        <is>
          <t>https://lpjk.pu.go.id/search-badan-usaha-detail/NElnT051STY4Sk10dC9IZFhhUmcwQT09</t>
        </is>
      </c>
      <c r="F468" t="n">
        <v>2</v>
      </c>
      <c r="G468" t="inlineStr">
        <is>
          <t>BS001, BS004</t>
        </is>
      </c>
      <c r="H468" t="inlineStr">
        <is>
          <t>11 Oktober 2003</t>
        </is>
      </c>
      <c r="I468" s="2" t="n">
        <v>46278</v>
      </c>
      <c r="J468" t="inlineStr">
        <is>
          <t>Disetujui</t>
        </is>
      </c>
      <c r="K468" t="n">
        <v>30</v>
      </c>
      <c r="L468" t="inlineStr">
        <is>
          <t>13 September 2026</t>
        </is>
      </c>
      <c r="M468" t="inlineStr">
        <is>
          <t>Konstruksi Bangunan Sipil Jalan, Konstruksi Jaringan Irigasi dan Drainase</t>
        </is>
      </c>
      <c r="N468" t="inlineStr">
        <is>
          <t>K</t>
        </is>
      </c>
      <c r="O468" t="inlineStr">
        <is>
          <t>20230912, 20230913</t>
        </is>
      </c>
      <c r="P468" t="inlineStr">
        <is>
          <t>Riau</t>
        </is>
      </c>
      <c r="Q468" t="inlineStr"/>
    </row>
    <row r="469">
      <c r="A469" t="inlineStr">
        <is>
          <t>MUARA MULIA TEKNIK</t>
        </is>
      </c>
      <c r="B469" t="inlineStr">
        <is>
          <t>Kab. Tapanuli Selatan</t>
        </is>
      </c>
      <c r="C469" t="inlineStr">
        <is>
          <t>081376656164</t>
        </is>
      </c>
      <c r="D469" t="inlineStr">
        <is>
          <t>muaramuliateknik@gmail.com</t>
        </is>
      </c>
      <c r="E469" t="inlineStr">
        <is>
          <t>https://lpjk.pu.go.id/search-badan-usaha-detail/eVFERDhsdEl5U29JSGVJTVZRRUVyUT09</t>
        </is>
      </c>
      <c r="F469" t="n">
        <v>3</v>
      </c>
      <c r="G469" t="inlineStr">
        <is>
          <t>BG005</t>
        </is>
      </c>
      <c r="H469" t="inlineStr">
        <is>
          <t>19 November 2020</t>
        </is>
      </c>
      <c r="I469" s="2" t="n">
        <v>46277</v>
      </c>
      <c r="J469" t="inlineStr">
        <is>
          <t>Pencabutan</t>
        </is>
      </c>
      <c r="K469" t="n">
        <v>30</v>
      </c>
      <c r="L469" t="inlineStr">
        <is>
          <t>12 September 2026</t>
        </is>
      </c>
      <c r="M469" t="inlineStr">
        <is>
          <t>Konstruksi Gedung Kesehatan</t>
        </is>
      </c>
      <c r="N469" t="inlineStr">
        <is>
          <t>K</t>
        </is>
      </c>
      <c r="O469" t="inlineStr">
        <is>
          <t>20230904</t>
        </is>
      </c>
      <c r="P469" t="inlineStr">
        <is>
          <t>Sumatera Utara</t>
        </is>
      </c>
      <c r="Q469" t="inlineStr"/>
    </row>
    <row r="470">
      <c r="A470" t="inlineStr">
        <is>
          <t>MUBARAK</t>
        </is>
      </c>
      <c r="B470" t="inlineStr">
        <is>
          <t>Kab. Majene</t>
        </is>
      </c>
      <c r="C470" t="inlineStr">
        <is>
          <t>081355201798</t>
        </is>
      </c>
      <c r="D470" t="inlineStr">
        <is>
          <t>mubarak77cv@gmail.com</t>
        </is>
      </c>
      <c r="E470" t="inlineStr">
        <is>
          <t>https://lpjk.pu.go.id/search-badan-usaha-detail/SlQvQXprcVR2RlUrNlhvc2FRWmMyUT09</t>
        </is>
      </c>
      <c r="F470" t="n">
        <v>1</v>
      </c>
      <c r="G470" t="inlineStr">
        <is>
          <t>BG002</t>
        </is>
      </c>
      <c r="H470" t="inlineStr">
        <is>
          <t>11 April 2002</t>
        </is>
      </c>
      <c r="I470" s="2" t="n">
        <v>46282</v>
      </c>
      <c r="J470" t="inlineStr">
        <is>
          <t>Pencabutan</t>
        </is>
      </c>
      <c r="K470" t="n">
        <v>30</v>
      </c>
      <c r="L470" t="inlineStr">
        <is>
          <t>17 September 2026</t>
        </is>
      </c>
      <c r="M470" t="inlineStr">
        <is>
          <t>Konstruksi Gedung Perkantoran</t>
        </is>
      </c>
      <c r="N470" t="inlineStr">
        <is>
          <t>K</t>
        </is>
      </c>
      <c r="O470" t="inlineStr">
        <is>
          <t>20230915</t>
        </is>
      </c>
      <c r="P470" t="inlineStr">
        <is>
          <t>Sulawesi Barat</t>
        </is>
      </c>
      <c r="Q470" t="inlineStr"/>
    </row>
    <row r="471">
      <c r="A471" t="inlineStr">
        <is>
          <t>MUGI RAHAYU</t>
        </is>
      </c>
      <c r="B471" t="inlineStr">
        <is>
          <t>Kab. Cilacap</t>
        </is>
      </c>
      <c r="C471" t="inlineStr">
        <is>
          <t>0282534284</t>
        </is>
      </c>
      <c r="D471" t="inlineStr">
        <is>
          <t>mugirahayu_cv@yahoo.co.id</t>
        </is>
      </c>
      <c r="E471" t="inlineStr">
        <is>
          <t>https://lpjk.pu.go.id/search-badan-usaha-detail/dzBLc0lzVUxxbW9UNGR6blpOS3VSUT09</t>
        </is>
      </c>
      <c r="F471" t="n">
        <v>1</v>
      </c>
      <c r="G471" t="inlineStr">
        <is>
          <t>BG003</t>
        </is>
      </c>
      <c r="H471" t="inlineStr">
        <is>
          <t>22 Juni 2012</t>
        </is>
      </c>
      <c r="I471" s="2" t="n">
        <v>46283</v>
      </c>
      <c r="J471" t="inlineStr">
        <is>
          <t>Disetujui</t>
        </is>
      </c>
      <c r="K471" t="n">
        <v>30</v>
      </c>
      <c r="L471" t="inlineStr">
        <is>
          <t>18 September 2026</t>
        </is>
      </c>
      <c r="M471" t="inlineStr">
        <is>
          <t>Konstruksi Gedung Industri</t>
        </is>
      </c>
      <c r="N471" t="inlineStr">
        <is>
          <t>M</t>
        </is>
      </c>
      <c r="O471" t="inlineStr">
        <is>
          <t>20230801</t>
        </is>
      </c>
      <c r="P471" t="inlineStr">
        <is>
          <t>Jawa Tengah</t>
        </is>
      </c>
      <c r="Q471" t="inlineStr"/>
    </row>
    <row r="472">
      <c r="A472" t="inlineStr">
        <is>
          <t>MUHAMMAD JUSUP SUMARDHY</t>
        </is>
      </c>
      <c r="B472" t="inlineStr">
        <is>
          <t>Kab. Bulungan</t>
        </is>
      </c>
      <c r="C472" t="inlineStr">
        <is>
          <t>081253577861</t>
        </is>
      </c>
      <c r="D472" t="inlineStr">
        <is>
          <t>muhammadjusup812@gmail.com</t>
        </is>
      </c>
      <c r="E472" t="inlineStr">
        <is>
          <t>https://lpjk.pu.go.id/search-badan-usaha-detail/YlZxMTllSUtRWUd1RHk5dEFHRnZ6Zz09</t>
        </is>
      </c>
      <c r="F472" t="n">
        <v>2</v>
      </c>
      <c r="G472" t="inlineStr">
        <is>
          <t>BG009, BS001</t>
        </is>
      </c>
      <c r="H472" t="inlineStr">
        <is>
          <t>21 Januari 2014</t>
        </is>
      </c>
      <c r="I472" s="2" t="n">
        <v>46282</v>
      </c>
      <c r="J472" t="inlineStr">
        <is>
          <t>Disetujui</t>
        </is>
      </c>
      <c r="K472" t="n">
        <v>30</v>
      </c>
      <c r="L472" t="inlineStr">
        <is>
          <t>17 September 2026</t>
        </is>
      </c>
      <c r="M472" t="inlineStr">
        <is>
          <t>Konstruksi Bangunan Sipil Jalan, Konstruksi Gedung Lainnya</t>
        </is>
      </c>
      <c r="N472" t="inlineStr">
        <is>
          <t>K</t>
        </is>
      </c>
      <c r="O472" t="inlineStr">
        <is>
          <t>20230912</t>
        </is>
      </c>
      <c r="P472" t="inlineStr">
        <is>
          <t>Kalimantan Utara</t>
        </is>
      </c>
      <c r="Q472" t="inlineStr"/>
    </row>
    <row r="473">
      <c r="A473" t="inlineStr">
        <is>
          <t>MULANA JAYA</t>
        </is>
      </c>
      <c r="B473" t="inlineStr">
        <is>
          <t>Kab. Serdang Bedagai</t>
        </is>
      </c>
      <c r="C473" t="inlineStr">
        <is>
          <t>0895606466400</t>
        </is>
      </c>
      <c r="D473" t="inlineStr">
        <is>
          <t>mulanajayacv@gmail.com</t>
        </is>
      </c>
      <c r="E473" t="inlineStr">
        <is>
          <t>https://lpjk.pu.go.id/search-badan-usaha-detail/WWpqUmVQekgzaDlrMCsvSksvRzVIQT09</t>
        </is>
      </c>
      <c r="F473" t="n">
        <v>1</v>
      </c>
      <c r="G473" t="inlineStr">
        <is>
          <t>BS001</t>
        </is>
      </c>
      <c r="H473" t="inlineStr">
        <is>
          <t>23 Oktober 2019</t>
        </is>
      </c>
      <c r="I473" s="2" t="n">
        <v>46283</v>
      </c>
      <c r="J473" t="inlineStr">
        <is>
          <t>Disetujui</t>
        </is>
      </c>
      <c r="K473" t="n">
        <v>30</v>
      </c>
      <c r="L473" t="inlineStr">
        <is>
          <t>18 September 2026</t>
        </is>
      </c>
      <c r="M473" t="inlineStr">
        <is>
          <t>Konstruksi Bangunan Sipil Jalan</t>
        </is>
      </c>
      <c r="N473" t="inlineStr">
        <is>
          <t>K</t>
        </is>
      </c>
      <c r="O473" t="inlineStr">
        <is>
          <t>20230918</t>
        </is>
      </c>
      <c r="P473" t="inlineStr">
        <is>
          <t>Sumatera Utara</t>
        </is>
      </c>
      <c r="Q473" t="inlineStr"/>
    </row>
    <row r="474">
      <c r="A474" t="inlineStr">
        <is>
          <t>MULIA JAYA BERSAMA</t>
        </is>
      </c>
      <c r="B474" t="inlineStr">
        <is>
          <t>Kab. Semarang</t>
        </is>
      </c>
      <c r="C474" t="inlineStr">
        <is>
          <t>085878459549</t>
        </is>
      </c>
      <c r="D474" t="inlineStr">
        <is>
          <t>mjbersama48@gmail.com</t>
        </is>
      </c>
      <c r="E474" t="inlineStr">
        <is>
          <t>https://lpjk.pu.go.id/search-badan-usaha-detail/azJmRHV2S0xDU1hPeC9QaUdvZk5RL1VBMG1Bc1QzVXpPdjRuSzFFSE5oaz0</t>
        </is>
      </c>
      <c r="F474" t="n">
        <v>1</v>
      </c>
      <c r="G474" t="inlineStr">
        <is>
          <t>BG006</t>
        </is>
      </c>
      <c r="H474" t="inlineStr">
        <is>
          <t>14 April 2023</t>
        </is>
      </c>
      <c r="I474" s="2" t="n">
        <v>46279</v>
      </c>
      <c r="J474" t="inlineStr">
        <is>
          <t>Disetujui</t>
        </is>
      </c>
      <c r="K474" t="n">
        <v>30</v>
      </c>
      <c r="L474" t="inlineStr">
        <is>
          <t>14 September 2026</t>
        </is>
      </c>
      <c r="M474" t="inlineStr">
        <is>
          <t>Konstruksi Gedung Pendidikan</t>
        </is>
      </c>
      <c r="N474" t="inlineStr">
        <is>
          <t>K</t>
        </is>
      </c>
      <c r="O474" t="inlineStr">
        <is>
          <t>20230907</t>
        </is>
      </c>
      <c r="P474" t="inlineStr">
        <is>
          <t>Jawa Tengah</t>
        </is>
      </c>
      <c r="Q474" t="inlineStr"/>
    </row>
    <row r="475">
      <c r="A475" t="inlineStr">
        <is>
          <t>MULTI KREASI BORNEO</t>
        </is>
      </c>
      <c r="B475" t="inlineStr">
        <is>
          <t>Kab. Tanah Laut</t>
        </is>
      </c>
      <c r="C475" t="inlineStr">
        <is>
          <t>081349639841</t>
        </is>
      </c>
      <c r="D475" t="inlineStr">
        <is>
          <t>multikreasiborneo@yahoo.com</t>
        </is>
      </c>
      <c r="E475" t="inlineStr">
        <is>
          <t>https://lpjk.pu.go.id/search-badan-usaha-detail/WTMwUmx1bkl5RnlVOWh1ZThpNEg5QT09</t>
        </is>
      </c>
      <c r="F475" t="n">
        <v>2</v>
      </c>
      <c r="G475" t="inlineStr">
        <is>
          <t>BS001, BS004</t>
        </is>
      </c>
      <c r="H475" t="inlineStr">
        <is>
          <t>24 Januari 2004</t>
        </is>
      </c>
      <c r="I475" s="2" t="n">
        <v>46279</v>
      </c>
      <c r="J475" t="inlineStr">
        <is>
          <t>Disetujui</t>
        </is>
      </c>
      <c r="K475" t="n">
        <v>30</v>
      </c>
      <c r="L475" t="inlineStr">
        <is>
          <t>14 September 2026</t>
        </is>
      </c>
      <c r="M475" t="inlineStr">
        <is>
          <t>Konstruksi Bangunan Sipil Jalan, Konstruksi Jaringan Irigasi dan Drainase</t>
        </is>
      </c>
      <c r="N475" t="inlineStr">
        <is>
          <t>K</t>
        </is>
      </c>
      <c r="O475" t="inlineStr">
        <is>
          <t>20230908</t>
        </is>
      </c>
      <c r="P475" t="inlineStr">
        <is>
          <t>Kalimantan Selatan</t>
        </is>
      </c>
      <c r="Q475" t="inlineStr"/>
    </row>
    <row r="476">
      <c r="A476" t="inlineStr">
        <is>
          <t>MULTINIAGA INDORAYA</t>
        </is>
      </c>
      <c r="B476" t="inlineStr">
        <is>
          <t>Kab. Jember</t>
        </is>
      </c>
      <c r="C476" t="inlineStr">
        <is>
          <t>081330821110</t>
        </is>
      </c>
      <c r="D476" t="inlineStr">
        <is>
          <t>multiniagaindoraya@gmail.com</t>
        </is>
      </c>
      <c r="E476" t="inlineStr">
        <is>
          <t>https://lpjk.pu.go.id/search-badan-usaha-detail/RG1pejJmSVNBcHVCTEZsdTVhUnlUZz09</t>
        </is>
      </c>
      <c r="F476" t="n">
        <v>1</v>
      </c>
      <c r="G476" t="inlineStr">
        <is>
          <t>BS001</t>
        </is>
      </c>
      <c r="H476" t="inlineStr">
        <is>
          <t>1 November 2022</t>
        </is>
      </c>
      <c r="I476" s="2" t="n">
        <v>46279</v>
      </c>
      <c r="J476" t="inlineStr">
        <is>
          <t>Disetujui</t>
        </is>
      </c>
      <c r="K476" t="n">
        <v>30</v>
      </c>
      <c r="L476" t="inlineStr">
        <is>
          <t>14 September 2026</t>
        </is>
      </c>
      <c r="M476" t="inlineStr">
        <is>
          <t>Konstruksi Bangunan Sipil Jalan</t>
        </is>
      </c>
      <c r="N476" t="inlineStr">
        <is>
          <t>K</t>
        </is>
      </c>
      <c r="O476" t="inlineStr">
        <is>
          <t>20230912</t>
        </is>
      </c>
      <c r="P476" t="inlineStr">
        <is>
          <t>Jawa Timur</t>
        </is>
      </c>
      <c r="Q476" t="inlineStr"/>
    </row>
    <row r="477">
      <c r="A477" t="inlineStr">
        <is>
          <t>MULTIPLAN KONSULTAN</t>
        </is>
      </c>
      <c r="B477" t="inlineStr">
        <is>
          <t>Kota Jambi</t>
        </is>
      </c>
      <c r="C477" t="inlineStr">
        <is>
          <t>-</t>
        </is>
      </c>
      <c r="D477" t="inlineStr">
        <is>
          <t>ardityaaulia@gmail.com</t>
        </is>
      </c>
      <c r="E477" t="inlineStr">
        <is>
          <t>https://lpjk.pu.go.id/search-badan-usaha-detail/R0Fsc0hHYmFxUFZJVHZ1cmw3Z2FuQT09</t>
        </is>
      </c>
      <c r="F477" t="n">
        <v>2</v>
      </c>
      <c r="G477" t="inlineStr">
        <is>
          <t>AR001, AR002</t>
        </is>
      </c>
      <c r="H477" t="inlineStr">
        <is>
          <t>25 Februari 2020</t>
        </is>
      </c>
      <c r="I477" s="2" t="n">
        <v>46278</v>
      </c>
      <c r="J477" t="inlineStr">
        <is>
          <t>Disetujui</t>
        </is>
      </c>
      <c r="K477" t="n">
        <v>30</v>
      </c>
      <c r="L477" t="inlineStr">
        <is>
          <t>13 September 2026</t>
        </is>
      </c>
      <c r="M477" t="inlineStr">
        <is>
          <t>Jasa Arsitektural Bangunan Gedung Hunian dan Non Hunian, Jasa Arsitektural Lainnya</t>
        </is>
      </c>
      <c r="N477" t="inlineStr">
        <is>
          <t>K</t>
        </is>
      </c>
      <c r="O477" t="inlineStr">
        <is>
          <t>20230825</t>
        </is>
      </c>
      <c r="P477" t="inlineStr">
        <is>
          <t>Jambi</t>
        </is>
      </c>
      <c r="Q477" t="inlineStr"/>
    </row>
    <row r="478">
      <c r="A478" t="inlineStr">
        <is>
          <t>MUTHIAH UTAMA</t>
        </is>
      </c>
      <c r="B478" t="inlineStr">
        <is>
          <t>Kota Balikpapan</t>
        </is>
      </c>
      <c r="C478" t="inlineStr">
        <is>
          <t>082156857772</t>
        </is>
      </c>
      <c r="D478" t="inlineStr">
        <is>
          <t>muthiah366@gmail.com</t>
        </is>
      </c>
      <c r="E478" t="inlineStr">
        <is>
          <t>https://lpjk.pu.go.id/search-badan-usaha-detail/Y0JTUEhCN1dQMzBJalc2YzdtV0xTQT09</t>
        </is>
      </c>
      <c r="F478" t="n">
        <v>1</v>
      </c>
      <c r="G478" t="inlineStr">
        <is>
          <t>BS001</t>
        </is>
      </c>
      <c r="H478" t="inlineStr">
        <is>
          <t>24 Desember 2014</t>
        </is>
      </c>
      <c r="I478" s="2" t="n">
        <v>46283</v>
      </c>
      <c r="J478" t="inlineStr">
        <is>
          <t>Disetujui</t>
        </is>
      </c>
      <c r="K478" t="n">
        <v>30</v>
      </c>
      <c r="L478" t="inlineStr">
        <is>
          <t>18 September 2026</t>
        </is>
      </c>
      <c r="M478" t="inlineStr">
        <is>
          <t>Konstruksi Bangunan Sipil Jalan</t>
        </is>
      </c>
      <c r="N478" t="inlineStr">
        <is>
          <t>K</t>
        </is>
      </c>
      <c r="O478" t="inlineStr">
        <is>
          <t>20230915</t>
        </is>
      </c>
      <c r="P478" t="inlineStr">
        <is>
          <t>Kalimantan Timur</t>
        </is>
      </c>
      <c r="Q478" t="inlineStr"/>
    </row>
    <row r="479">
      <c r="A479" t="inlineStr">
        <is>
          <t>MUTIA PRATAMA KONSTRUKSI</t>
        </is>
      </c>
      <c r="B479" t="inlineStr">
        <is>
          <t>Kab. Indragiri Hulu</t>
        </is>
      </c>
      <c r="C479" t="inlineStr">
        <is>
          <t>085271801856</t>
        </is>
      </c>
      <c r="D479" t="inlineStr">
        <is>
          <t>mutiapratamakonstruksi@gmail.com</t>
        </is>
      </c>
      <c r="E479" t="inlineStr">
        <is>
          <t>https://lpjk.pu.go.id/search-badan-usaha-detail/VnEzZG9tWnhQQWxvVlRrWlYrbm5wZz09</t>
        </is>
      </c>
      <c r="F479" t="n">
        <v>3</v>
      </c>
      <c r="G479" t="inlineStr">
        <is>
          <t>BG009, BS001, BS004</t>
        </is>
      </c>
      <c r="H479" t="inlineStr">
        <is>
          <t>6 Juni 2023</t>
        </is>
      </c>
      <c r="I479" s="2" t="n">
        <v>46282</v>
      </c>
      <c r="J479" t="inlineStr">
        <is>
          <t>Disetujui</t>
        </is>
      </c>
      <c r="K479" t="n">
        <v>30</v>
      </c>
      <c r="L479" t="inlineStr">
        <is>
          <t>17 September 2026</t>
        </is>
      </c>
      <c r="M479" t="inlineStr">
        <is>
          <t>Konstruksi Bangunan Sipil Jalan, Konstruksi Gedung Lainnya, Konstruksi Jaringan Irigasi dan Drainase</t>
        </is>
      </c>
      <c r="N479" t="inlineStr">
        <is>
          <t>K</t>
        </is>
      </c>
      <c r="O479" t="inlineStr">
        <is>
          <t>20230613, 20230918</t>
        </is>
      </c>
      <c r="P479" t="inlineStr">
        <is>
          <t>Riau</t>
        </is>
      </c>
      <c r="Q479" t="inlineStr"/>
    </row>
    <row r="480">
      <c r="A480" t="inlineStr">
        <is>
          <t>MUTIARA ABADI</t>
        </is>
      </c>
      <c r="B480" t="inlineStr">
        <is>
          <t>Kab. Ciamis</t>
        </is>
      </c>
      <c r="C480" t="inlineStr">
        <is>
          <t>0265773807</t>
        </is>
      </c>
      <c r="D480" t="inlineStr">
        <is>
          <t>mutiara_abadi03@yahoo.co.id</t>
        </is>
      </c>
      <c r="E480" t="inlineStr">
        <is>
          <t>https://lpjk.pu.go.id/search-badan-usaha-detail/V2lEaUFuclgzd25OdmZ4REcwRVRCdz09</t>
        </is>
      </c>
      <c r="F480" t="n">
        <v>12</v>
      </c>
      <c r="G480" t="inlineStr">
        <is>
          <t>BG005, BG006, BG009, BS002, BS004, BS005</t>
        </is>
      </c>
      <c r="H480" t="inlineStr">
        <is>
          <t>20 Maret 2007</t>
        </is>
      </c>
      <c r="I480" s="2" t="n">
        <v>46277</v>
      </c>
      <c r="J480" t="inlineStr">
        <is>
          <t>Disetujui</t>
        </is>
      </c>
      <c r="K480" t="n">
        <v>30</v>
      </c>
      <c r="L480" t="inlineStr">
        <is>
          <t>12 September 2026</t>
        </is>
      </c>
      <c r="M480" t="inlineStr">
        <is>
          <t>Bangunan Sipil Jembatan, Jalan Layang, Fly Over, dan Underpass, Konstruksi Bangunan Sipil Pengolahan Air Bersih, Konstruksi Gedung Kesehatan, Konstruksi Gedung Lainnya, Konstruksi Gedung Pendidikan, Konstruksi Jaringan Irigasi dan Drainase</t>
        </is>
      </c>
      <c r="N480" t="inlineStr">
        <is>
          <t>K</t>
        </is>
      </c>
      <c r="O480" t="inlineStr">
        <is>
          <t>20230831, 20230911</t>
        </is>
      </c>
      <c r="P480" t="inlineStr">
        <is>
          <t>Jawa Barat</t>
        </is>
      </c>
      <c r="Q480" t="inlineStr"/>
    </row>
    <row r="481">
      <c r="A481" t="inlineStr">
        <is>
          <t>MUTIARA CISADANE</t>
        </is>
      </c>
      <c r="B481" t="inlineStr">
        <is>
          <t>Kab. Tangerang</t>
        </is>
      </c>
      <c r="C481" t="inlineStr">
        <is>
          <t>02159370924</t>
        </is>
      </c>
      <c r="D481" t="inlineStr">
        <is>
          <t>mutiaracisadane.office@gmail.com</t>
        </is>
      </c>
      <c r="E481" t="inlineStr">
        <is>
          <t>https://lpjk.pu.go.id/search-badan-usaha-detail/cVc1VVY4d0hvdWpWQ3VEclk3UnlYUT09</t>
        </is>
      </c>
      <c r="F481" t="n">
        <v>2</v>
      </c>
      <c r="G481" t="inlineStr">
        <is>
          <t>BS001</t>
        </is>
      </c>
      <c r="H481" t="inlineStr">
        <is>
          <t>20 Desember 2004</t>
        </is>
      </c>
      <c r="I481" s="2" t="n">
        <v>46279</v>
      </c>
      <c r="J481" t="inlineStr">
        <is>
          <t>Disetujui</t>
        </is>
      </c>
      <c r="K481" t="n">
        <v>30</v>
      </c>
      <c r="L481" t="inlineStr">
        <is>
          <t>14 September 2026</t>
        </is>
      </c>
      <c r="M481" t="inlineStr">
        <is>
          <t>Konstruksi Bangunan Sipil Jalan</t>
        </is>
      </c>
      <c r="N481" t="inlineStr">
        <is>
          <t>K</t>
        </is>
      </c>
      <c r="O481" t="inlineStr">
        <is>
          <t>20230911</t>
        </is>
      </c>
      <c r="P481" t="inlineStr">
        <is>
          <t>Banten</t>
        </is>
      </c>
      <c r="Q481" t="inlineStr"/>
    </row>
    <row r="482">
      <c r="A482" t="inlineStr">
        <is>
          <t>MUTIARA PASIFIK SEJAHTERA</t>
        </is>
      </c>
      <c r="B482" t="inlineStr">
        <is>
          <t>Kab. Biak Numfor</t>
        </is>
      </c>
      <c r="C482" t="inlineStr">
        <is>
          <t>08114827664</t>
        </is>
      </c>
      <c r="D482" t="inlineStr">
        <is>
          <t>pt.mutiarapasifiksejahtera@yahoo.co.id</t>
        </is>
      </c>
      <c r="E482" t="inlineStr">
        <is>
          <t>https://lpjk.pu.go.id/search-badan-usaha-detail/c05udUwxY3lLUm93QWwzaXRyckhDdz09</t>
        </is>
      </c>
      <c r="F482" t="n">
        <v>8</v>
      </c>
      <c r="G482" t="inlineStr">
        <is>
          <t>BG002, BG005, BG006, BG009</t>
        </is>
      </c>
      <c r="H482" t="inlineStr">
        <is>
          <t>20 Desember 2011</t>
        </is>
      </c>
      <c r="I482" s="2" t="n">
        <v>46278</v>
      </c>
      <c r="J482" t="inlineStr">
        <is>
          <t>Disetujui</t>
        </is>
      </c>
      <c r="K482" t="n">
        <v>30</v>
      </c>
      <c r="L482" t="inlineStr">
        <is>
          <t>13 September 2026</t>
        </is>
      </c>
      <c r="M482" t="inlineStr">
        <is>
          <t>Konstruksi Gedung Kesehatan, Konstruksi Gedung Lainnya, Konstruksi Gedung Pendidikan, Konstruksi Gedung Perkantoran</t>
        </is>
      </c>
      <c r="N482" t="inlineStr">
        <is>
          <t>K</t>
        </is>
      </c>
      <c r="O482" t="inlineStr">
        <is>
          <t>20230913, 20230914</t>
        </is>
      </c>
      <c r="P482" t="inlineStr">
        <is>
          <t>Papua</t>
        </is>
      </c>
      <c r="Q482" t="inlineStr"/>
    </row>
    <row r="483">
      <c r="A483" t="inlineStr">
        <is>
          <t>MUTIARA PRIMA CONSULTANT</t>
        </is>
      </c>
      <c r="B483" t="inlineStr">
        <is>
          <t>Kab. Soppeng</t>
        </is>
      </c>
      <c r="C483" t="inlineStr">
        <is>
          <t>081355496456</t>
        </is>
      </c>
      <c r="D483" t="inlineStr">
        <is>
          <t>mutiarakemakmuran@gmail.com</t>
        </is>
      </c>
      <c r="E483" t="inlineStr">
        <is>
          <t>https://lpjk.pu.go.id/search-badan-usaha-detail/aWJYTnQvY2JyaXl0Z3VrRDRtaUdtQT09</t>
        </is>
      </c>
      <c r="F483" t="n">
        <v>4</v>
      </c>
      <c r="G483" t="inlineStr">
        <is>
          <t>RK002, RK003</t>
        </is>
      </c>
      <c r="H483" t="inlineStr">
        <is>
          <t>15 Februari 2007</t>
        </is>
      </c>
      <c r="I483" s="2" t="n">
        <v>46279</v>
      </c>
      <c r="J483" t="inlineStr">
        <is>
          <t>Disetujui</t>
        </is>
      </c>
      <c r="K483" t="n">
        <v>30</v>
      </c>
      <c r="L483" t="inlineStr">
        <is>
          <t>14 September 2026</t>
        </is>
      </c>
      <c r="M483" t="inlineStr">
        <is>
          <t>Jasa Rekayasa Pekerjaan Teknik Sipil Sumber Daya Air, Jasa Rekayasa Pekerjaan Teknik Sipil Transportasi</t>
        </is>
      </c>
      <c r="N483" t="inlineStr">
        <is>
          <t>K</t>
        </is>
      </c>
      <c r="O483" t="inlineStr">
        <is>
          <t>20230713, 20230908</t>
        </is>
      </c>
      <c r="P483" t="inlineStr">
        <is>
          <t>Sulawesi Selatan</t>
        </is>
      </c>
      <c r="Q483" t="inlineStr"/>
    </row>
    <row r="484">
      <c r="A484" t="inlineStr">
        <is>
          <t>MUTIARA UTAMA</t>
        </is>
      </c>
      <c r="B484" t="inlineStr">
        <is>
          <t>Kab. Kotawaringin Timur</t>
        </is>
      </c>
      <c r="C484" t="inlineStr">
        <is>
          <t>081343321700</t>
        </is>
      </c>
      <c r="D484" t="inlineStr">
        <is>
          <t>cv.mutiara_utama@yahoo.co.id</t>
        </is>
      </c>
      <c r="E484" t="inlineStr">
        <is>
          <t>https://lpjk.pu.go.id/search-badan-usaha-detail/UE9VckhnREl0YkV1ak01Rk1JdjljZz09</t>
        </is>
      </c>
      <c r="F484" t="n">
        <v>2</v>
      </c>
      <c r="G484" t="inlineStr">
        <is>
          <t>BG009</t>
        </is>
      </c>
      <c r="H484" t="inlineStr">
        <is>
          <t>2 Februari 2015</t>
        </is>
      </c>
      <c r="I484" s="2" t="n">
        <v>46278</v>
      </c>
      <c r="J484" t="inlineStr">
        <is>
          <t>Disetujui</t>
        </is>
      </c>
      <c r="K484" t="n">
        <v>30</v>
      </c>
      <c r="L484" t="inlineStr">
        <is>
          <t>13 September 2026</t>
        </is>
      </c>
      <c r="M484" t="inlineStr">
        <is>
          <t>Konstruksi Gedung Lainnya</t>
        </is>
      </c>
      <c r="N484" t="inlineStr">
        <is>
          <t>K</t>
        </is>
      </c>
      <c r="O484" t="inlineStr">
        <is>
          <t>20230911</t>
        </is>
      </c>
      <c r="P484" t="inlineStr">
        <is>
          <t>Kalimantan Tengah</t>
        </is>
      </c>
      <c r="Q484" t="inlineStr"/>
    </row>
    <row r="485">
      <c r="A485" t="inlineStr">
        <is>
          <t>NABILA JAYA ABADI</t>
        </is>
      </c>
      <c r="B485" t="inlineStr">
        <is>
          <t>Kab. Tanah Bumbu</t>
        </is>
      </c>
      <c r="C485" t="inlineStr">
        <is>
          <t>081253807387</t>
        </is>
      </c>
      <c r="D485" t="inlineStr">
        <is>
          <t>nabilajayaabadi123@gmail.com</t>
        </is>
      </c>
      <c r="E485" t="inlineStr">
        <is>
          <t>https://lpjk.pu.go.id/search-badan-usaha-detail/ZUU4OUlybVBQdmI2SExuMWE5b0hXdz09</t>
        </is>
      </c>
      <c r="F485" t="n">
        <v>2</v>
      </c>
      <c r="G485" t="inlineStr">
        <is>
          <t>BG009</t>
        </is>
      </c>
      <c r="H485" t="inlineStr">
        <is>
          <t>28 Juni 2014</t>
        </is>
      </c>
      <c r="I485" s="2" t="n">
        <v>46282</v>
      </c>
      <c r="J485" t="inlineStr">
        <is>
          <t>Disetujui</t>
        </is>
      </c>
      <c r="K485" t="n">
        <v>30</v>
      </c>
      <c r="L485" t="inlineStr">
        <is>
          <t>17 September 2026</t>
        </is>
      </c>
      <c r="M485" t="inlineStr">
        <is>
          <t>Konstruksi Gedung Lainnya</t>
        </is>
      </c>
      <c r="N485" t="inlineStr">
        <is>
          <t>K</t>
        </is>
      </c>
      <c r="O485" t="inlineStr">
        <is>
          <t>20230915</t>
        </is>
      </c>
      <c r="P485" t="inlineStr">
        <is>
          <t>Kalimantan Selatan</t>
        </is>
      </c>
      <c r="Q485" t="inlineStr"/>
    </row>
    <row r="486">
      <c r="A486" t="inlineStr">
        <is>
          <t>NADIA PUTRI</t>
        </is>
      </c>
      <c r="B486" t="inlineStr">
        <is>
          <t>Kota Palembang</t>
        </is>
      </c>
      <c r="C486" t="inlineStr">
        <is>
          <t>081368676176</t>
        </is>
      </c>
      <c r="D486" t="inlineStr">
        <is>
          <t>nidia_putri_cv@yahoo.com</t>
        </is>
      </c>
      <c r="E486" t="inlineStr">
        <is>
          <t>https://lpjk.pu.go.id/search-badan-usaha-detail/NEdBOFAyYk1XdzBISUsweklFWmRPQT09</t>
        </is>
      </c>
      <c r="F486" t="n">
        <v>2</v>
      </c>
      <c r="G486" t="inlineStr">
        <is>
          <t>BG002, BG006</t>
        </is>
      </c>
      <c r="H486" t="inlineStr">
        <is>
          <t>25 April 2006</t>
        </is>
      </c>
      <c r="I486" s="2" t="n">
        <v>46277</v>
      </c>
      <c r="J486" t="inlineStr">
        <is>
          <t>Disetujui</t>
        </is>
      </c>
      <c r="K486" t="n">
        <v>30</v>
      </c>
      <c r="L486" t="inlineStr">
        <is>
          <t>12 September 2026</t>
        </is>
      </c>
      <c r="M486" t="inlineStr">
        <is>
          <t>Konstruksi Gedung Pendidikan, Konstruksi Gedung Perkantoran</t>
        </is>
      </c>
      <c r="N486" t="inlineStr">
        <is>
          <t>K</t>
        </is>
      </c>
      <c r="O486" t="inlineStr">
        <is>
          <t>20230911</t>
        </is>
      </c>
      <c r="P486" t="inlineStr">
        <is>
          <t>Sumatera Selatan</t>
        </is>
      </c>
      <c r="Q486" t="inlineStr"/>
    </row>
    <row r="487">
      <c r="A487" t="inlineStr">
        <is>
          <t>NAGABE JAYA MANDIRI</t>
        </is>
      </c>
      <c r="B487" t="inlineStr">
        <is>
          <t>Kota Padang Sidempuan</t>
        </is>
      </c>
      <c r="C487" t="inlineStr">
        <is>
          <t>082260211854</t>
        </is>
      </c>
      <c r="D487" t="inlineStr">
        <is>
          <t>nagabejayamandiripsp@gmail.com</t>
        </is>
      </c>
      <c r="E487" t="inlineStr">
        <is>
          <t>https://lpjk.pu.go.id/search-badan-usaha-detail/ZktaNE1TSjlhb0twU0psWGVkNm9OUT09</t>
        </is>
      </c>
      <c r="F487" t="n">
        <v>2</v>
      </c>
      <c r="G487" t="inlineStr">
        <is>
          <t>BG006, BS001</t>
        </is>
      </c>
      <c r="H487" t="inlineStr">
        <is>
          <t>15 Juli 2023</t>
        </is>
      </c>
      <c r="I487" s="2" t="n">
        <v>46277</v>
      </c>
      <c r="J487" t="inlineStr">
        <is>
          <t>Pencabutan</t>
        </is>
      </c>
      <c r="K487" t="n">
        <v>30</v>
      </c>
      <c r="L487" t="inlineStr">
        <is>
          <t>12 September 2026</t>
        </is>
      </c>
      <c r="M487" t="inlineStr">
        <is>
          <t>Konstruksi Bangunan Sipil Jalan, Konstruksi Gedung Pendidikan</t>
        </is>
      </c>
      <c r="N487" t="inlineStr">
        <is>
          <t>K</t>
        </is>
      </c>
      <c r="O487" t="inlineStr">
        <is>
          <t>20230911, 20230912</t>
        </is>
      </c>
      <c r="P487" t="inlineStr">
        <is>
          <t>Sumatera Utara</t>
        </is>
      </c>
      <c r="Q487" t="inlineStr"/>
    </row>
    <row r="488">
      <c r="A488" t="inlineStr">
        <is>
          <t>NAGABE SAROHA JAYA</t>
        </is>
      </c>
      <c r="B488" t="inlineStr">
        <is>
          <t>Kab. Sanggau</t>
        </is>
      </c>
      <c r="C488" t="inlineStr">
        <is>
          <t>085386112897</t>
        </is>
      </c>
      <c r="D488" t="inlineStr">
        <is>
          <t>cvnagabesarohajaya@gmail.com</t>
        </is>
      </c>
      <c r="E488" t="inlineStr">
        <is>
          <t>https://lpjk.pu.go.id/search-badan-usaha-detail/RXIxcnJ2ZmtsaHI2aUd5YjhRNFpKQT09</t>
        </is>
      </c>
      <c r="F488" t="n">
        <v>1</v>
      </c>
      <c r="G488" t="inlineStr">
        <is>
          <t>BS001</t>
        </is>
      </c>
      <c r="H488" t="inlineStr">
        <is>
          <t>24 Maret 2023</t>
        </is>
      </c>
      <c r="I488" s="2" t="n">
        <v>46283</v>
      </c>
      <c r="J488" t="inlineStr">
        <is>
          <t>Disetujui</t>
        </is>
      </c>
      <c r="K488" t="n">
        <v>30</v>
      </c>
      <c r="L488" t="inlineStr">
        <is>
          <t>18 September 2026</t>
        </is>
      </c>
      <c r="M488" t="inlineStr">
        <is>
          <t>Konstruksi Bangunan Sipil Jalan</t>
        </is>
      </c>
      <c r="N488" t="inlineStr">
        <is>
          <t>K</t>
        </is>
      </c>
      <c r="O488" t="inlineStr">
        <is>
          <t>20230907</t>
        </is>
      </c>
      <c r="P488" t="inlineStr">
        <is>
          <t>Kalimantan Barat</t>
        </is>
      </c>
      <c r="Q488" t="inlineStr"/>
    </row>
    <row r="489">
      <c r="A489" t="inlineStr">
        <is>
          <t>NAGARI LUKINDO SEJAHTERA</t>
        </is>
      </c>
      <c r="B489" t="inlineStr">
        <is>
          <t>Kota Padang</t>
        </is>
      </c>
      <c r="C489" t="inlineStr">
        <is>
          <t>081363338800</t>
        </is>
      </c>
      <c r="D489" t="inlineStr">
        <is>
          <t>mardialselas@yahoo.com</t>
        </is>
      </c>
      <c r="E489" t="inlineStr">
        <is>
          <t>https://lpjk.pu.go.id/search-badan-usaha-detail/M1g5NXZxcGZZc216dmFCWndtUW1zdz09</t>
        </is>
      </c>
      <c r="F489" t="n">
        <v>4</v>
      </c>
      <c r="G489" t="inlineStr">
        <is>
          <t>BG003, BG005, BG006, BG009</t>
        </is>
      </c>
      <c r="H489" t="inlineStr">
        <is>
          <t>5 Mei 2011</t>
        </is>
      </c>
      <c r="I489" s="2" t="n">
        <v>46277</v>
      </c>
      <c r="J489" t="inlineStr">
        <is>
          <t>Disetujui</t>
        </is>
      </c>
      <c r="K489" t="n">
        <v>30</v>
      </c>
      <c r="L489" t="inlineStr">
        <is>
          <t>12 September 2026</t>
        </is>
      </c>
      <c r="M489" t="inlineStr">
        <is>
          <t>Konstruksi Gedung Industri, Konstruksi Gedung Kesehatan, Konstruksi Gedung Lainnya, Konstruksi Gedung Pendidikan</t>
        </is>
      </c>
      <c r="N489" t="inlineStr">
        <is>
          <t>K</t>
        </is>
      </c>
      <c r="O489" t="inlineStr">
        <is>
          <t>20230908, 20230912</t>
        </is>
      </c>
      <c r="P489" t="inlineStr">
        <is>
          <t>Sumatera Barat</t>
        </is>
      </c>
      <c r="Q489" t="inlineStr"/>
    </row>
    <row r="490">
      <c r="A490" t="inlineStr">
        <is>
          <t>NAROTAMA TENAN</t>
        </is>
      </c>
      <c r="B490" t="inlineStr">
        <is>
          <t>Kab. Ngawi</t>
        </is>
      </c>
      <c r="C490" t="inlineStr">
        <is>
          <t>081553070732</t>
        </is>
      </c>
      <c r="D490" t="inlineStr">
        <is>
          <t>cv.narotamatenan.ngawi@gmail.com</t>
        </is>
      </c>
      <c r="E490" t="inlineStr">
        <is>
          <t>https://lpjk.pu.go.id/search-badan-usaha-detail/dEFla2VLN2QzeUliOG1yczF0TEhzUT09</t>
        </is>
      </c>
      <c r="F490" t="n">
        <v>6</v>
      </c>
      <c r="G490" t="inlineStr">
        <is>
          <t>BG002, BG004, BG005, BG006, BG009, BS001</t>
        </is>
      </c>
      <c r="H490" t="inlineStr">
        <is>
          <t>3 Juli 2020</t>
        </is>
      </c>
      <c r="I490" s="2" t="n">
        <v>46278</v>
      </c>
      <c r="J490" t="inlineStr">
        <is>
          <t>Disetujui</t>
        </is>
      </c>
      <c r="K490" t="n">
        <v>30</v>
      </c>
      <c r="L490" t="inlineStr">
        <is>
          <t>13 September 2026</t>
        </is>
      </c>
      <c r="M490" t="inlineStr">
        <is>
          <t>Konstruksi Bangunan Sipil Jalan, Konstruksi Gedung Kesehatan, Konstruksi Gedung Lainnya, Konstruksi Gedung Pendidikan, Konstruksi Gedung Perbelanjaan, Konstruksi Gedung Perkantoran</t>
        </is>
      </c>
      <c r="N490" t="inlineStr">
        <is>
          <t>K</t>
        </is>
      </c>
      <c r="O490" t="inlineStr">
        <is>
          <t>20230911, 20230913, 20230914</t>
        </is>
      </c>
      <c r="P490" t="inlineStr">
        <is>
          <t>Jawa Timur</t>
        </is>
      </c>
      <c r="Q490" t="inlineStr"/>
    </row>
    <row r="491">
      <c r="A491" t="inlineStr">
        <is>
          <t>NATAMI</t>
        </is>
      </c>
      <c r="B491" t="inlineStr">
        <is>
          <t>Kota Medan</t>
        </is>
      </c>
      <c r="C491" t="inlineStr">
        <is>
          <t>082164609464</t>
        </is>
      </c>
      <c r="D491" t="inlineStr">
        <is>
          <t>natami_cv@ymail.com</t>
        </is>
      </c>
      <c r="E491" t="inlineStr">
        <is>
          <t>https://lpjk.pu.go.id/search-badan-usaha-detail/M3RwTFIyUDFTUmJQWnJLVnRWZWE1Zz09</t>
        </is>
      </c>
      <c r="F491" t="n">
        <v>2</v>
      </c>
      <c r="G491" t="inlineStr">
        <is>
          <t>BS002, BS004</t>
        </is>
      </c>
      <c r="H491" t="inlineStr">
        <is>
          <t>29 Desember 2005</t>
        </is>
      </c>
      <c r="I491" s="2" t="n">
        <v>46277</v>
      </c>
      <c r="J491" t="inlineStr">
        <is>
          <t>Disetujui</t>
        </is>
      </c>
      <c r="K491" t="n">
        <v>30</v>
      </c>
      <c r="L491" t="inlineStr">
        <is>
          <t>12 September 2026</t>
        </is>
      </c>
      <c r="M491" t="inlineStr">
        <is>
          <t>Bangunan Sipil Jembatan, Jalan Layang, Fly Over, dan Underpass, Konstruksi Jaringan Irigasi dan Drainase</t>
        </is>
      </c>
      <c r="N491" t="inlineStr">
        <is>
          <t>K</t>
        </is>
      </c>
      <c r="O491" t="inlineStr">
        <is>
          <t>20230912</t>
        </is>
      </c>
      <c r="P491" t="inlineStr">
        <is>
          <t>Sumatera Utara</t>
        </is>
      </c>
      <c r="Q491" t="inlineStr"/>
    </row>
    <row r="492">
      <c r="A492" t="inlineStr">
        <is>
          <t>NAUFAL BERKARYA</t>
        </is>
      </c>
      <c r="B492" t="inlineStr">
        <is>
          <t>Kota Bandar Lampung</t>
        </is>
      </c>
      <c r="C492" t="inlineStr">
        <is>
          <t>082175480791</t>
        </is>
      </c>
      <c r="D492" t="inlineStr">
        <is>
          <t>naufalberkarya.cv@yahoo.com</t>
        </is>
      </c>
      <c r="E492" t="inlineStr">
        <is>
          <t>https://lpjk.pu.go.id/search-badan-usaha-detail/UXlldGpZQ0huNFU1REJDVXNyNFh3QT09</t>
        </is>
      </c>
      <c r="F492" t="n">
        <v>4</v>
      </c>
      <c r="G492" t="inlineStr">
        <is>
          <t>BG002, BG009, BS001, BS004</t>
        </is>
      </c>
      <c r="H492" t="inlineStr">
        <is>
          <t>5 Februari 2018</t>
        </is>
      </c>
      <c r="I492" s="2" t="n">
        <v>46282</v>
      </c>
      <c r="J492" t="inlineStr">
        <is>
          <t>Disetujui</t>
        </is>
      </c>
      <c r="K492" t="n">
        <v>30</v>
      </c>
      <c r="L492" t="inlineStr">
        <is>
          <t>17 September 2026</t>
        </is>
      </c>
      <c r="M492" t="inlineStr">
        <is>
          <t>Konstruksi Bangunan Sipil Jalan, Konstruksi Gedung Lainnya, Konstruksi Gedung Perkantoran, Konstruksi Jaringan Irigasi dan Drainase</t>
        </is>
      </c>
      <c r="N492" t="inlineStr">
        <is>
          <t>K</t>
        </is>
      </c>
      <c r="O492" t="inlineStr">
        <is>
          <t>20230827, 20230829, 20230911</t>
        </is>
      </c>
      <c r="P492" t="inlineStr">
        <is>
          <t>Lampung</t>
        </is>
      </c>
      <c r="Q492" t="inlineStr"/>
    </row>
    <row r="493">
      <c r="A493" t="inlineStr">
        <is>
          <t>NAURAH UTAMA</t>
        </is>
      </c>
      <c r="B493" t="inlineStr">
        <is>
          <t>Kota Padang Sidempuan</t>
        </is>
      </c>
      <c r="C493" t="inlineStr">
        <is>
          <t>082162960176</t>
        </is>
      </c>
      <c r="D493" t="inlineStr">
        <is>
          <t>cvnaurahutama@gmail.com</t>
        </is>
      </c>
      <c r="E493" t="inlineStr">
        <is>
          <t>https://lpjk.pu.go.id/search-badan-usaha-detail/NllTcnhvK3pZVlZ3VGVINzlDOHJJUT09</t>
        </is>
      </c>
      <c r="F493" t="n">
        <v>1</v>
      </c>
      <c r="G493" t="inlineStr">
        <is>
          <t>BG008</t>
        </is>
      </c>
      <c r="H493" t="inlineStr">
        <is>
          <t>23 Agustus 2023</t>
        </is>
      </c>
      <c r="I493" s="2" t="n">
        <v>46277</v>
      </c>
      <c r="J493" t="inlineStr">
        <is>
          <t>Disetujui</t>
        </is>
      </c>
      <c r="K493" t="n">
        <v>30</v>
      </c>
      <c r="L493" t="inlineStr">
        <is>
          <t>12 September 2026</t>
        </is>
      </c>
      <c r="M493" t="inlineStr">
        <is>
          <t>Konstruksi Gedung Tempat Hiburan dan Olahraga</t>
        </is>
      </c>
      <c r="N493" t="inlineStr">
        <is>
          <t>K</t>
        </is>
      </c>
      <c r="O493" t="inlineStr">
        <is>
          <t>20230912</t>
        </is>
      </c>
      <c r="P493" t="inlineStr">
        <is>
          <t>Sumatera Utara</t>
        </is>
      </c>
      <c r="Q493" t="inlineStr"/>
    </row>
    <row r="494">
      <c r="A494" t="inlineStr">
        <is>
          <t>NICO BERKAH ABADI</t>
        </is>
      </c>
      <c r="B494" t="inlineStr">
        <is>
          <t>Kota Surabaya</t>
        </is>
      </c>
      <c r="C494" t="inlineStr">
        <is>
          <t>082132731959</t>
        </is>
      </c>
      <c r="D494" t="inlineStr">
        <is>
          <t>nico_berkahabadi@yahoo.com</t>
        </is>
      </c>
      <c r="E494" t="inlineStr">
        <is>
          <t>https://lpjk.pu.go.id/search-badan-usaha-detail/RlYveC9XZGkxWTk1YXdZNVAwdzl5QT09</t>
        </is>
      </c>
      <c r="F494" t="n">
        <v>1</v>
      </c>
      <c r="G494" t="inlineStr">
        <is>
          <t>BS001</t>
        </is>
      </c>
      <c r="H494" t="inlineStr">
        <is>
          <t>12 September 2023</t>
        </is>
      </c>
      <c r="I494" s="2" t="n">
        <v>46283</v>
      </c>
      <c r="J494" t="inlineStr">
        <is>
          <t>Disetujui</t>
        </is>
      </c>
      <c r="K494" t="n">
        <v>30</v>
      </c>
      <c r="L494" t="inlineStr">
        <is>
          <t>18 September 2026</t>
        </is>
      </c>
      <c r="M494" t="inlineStr">
        <is>
          <t>Konstruksi Bangunan Sipil Jalan</t>
        </is>
      </c>
      <c r="N494" t="inlineStr">
        <is>
          <t>K</t>
        </is>
      </c>
      <c r="O494" t="inlineStr">
        <is>
          <t>20230918</t>
        </is>
      </c>
      <c r="P494" t="inlineStr">
        <is>
          <t>Jawa Timur</t>
        </is>
      </c>
      <c r="Q494" t="inlineStr"/>
    </row>
    <row r="495">
      <c r="A495" t="inlineStr">
        <is>
          <t>NINDY PRATAMA</t>
        </is>
      </c>
      <c r="B495" t="inlineStr">
        <is>
          <t>Kab. Mamuju</t>
        </is>
      </c>
      <c r="C495" t="inlineStr">
        <is>
          <t>085275444062</t>
        </is>
      </c>
      <c r="D495" t="inlineStr">
        <is>
          <t>cv.nindypratama@gmail.com</t>
        </is>
      </c>
      <c r="E495" t="inlineStr">
        <is>
          <t>https://lpjk.pu.go.id/search-badan-usaha-detail/dE54d0pHUHRNUXZmNXpJSGRzNEEyQT09</t>
        </is>
      </c>
      <c r="F495" t="n">
        <v>3</v>
      </c>
      <c r="G495" t="inlineStr">
        <is>
          <t>BG002, BG005, BG006</t>
        </is>
      </c>
      <c r="H495" t="inlineStr">
        <is>
          <t>9 Januari 2007</t>
        </is>
      </c>
      <c r="I495" s="2" t="n">
        <v>46278</v>
      </c>
      <c r="J495" t="inlineStr">
        <is>
          <t>Disetujui</t>
        </is>
      </c>
      <c r="K495" t="n">
        <v>30</v>
      </c>
      <c r="L495" t="inlineStr">
        <is>
          <t>13 September 2026</t>
        </is>
      </c>
      <c r="M495" t="inlineStr">
        <is>
          <t>Konstruksi Gedung Kesehatan, Konstruksi Gedung Pendidikan, Konstruksi Gedung Perkantoran</t>
        </is>
      </c>
      <c r="N495" t="inlineStr">
        <is>
          <t>K</t>
        </is>
      </c>
      <c r="O495" t="inlineStr">
        <is>
          <t>20230908, 20230911</t>
        </is>
      </c>
      <c r="P495" t="inlineStr">
        <is>
          <t>Sulawesi Barat</t>
        </is>
      </c>
      <c r="Q495" t="inlineStr"/>
    </row>
    <row r="496">
      <c r="A496" t="inlineStr">
        <is>
          <t>NIRMALA JAYA PERKASA</t>
        </is>
      </c>
      <c r="B496" t="inlineStr">
        <is>
          <t>Kab. Kutai Barat</t>
        </is>
      </c>
      <c r="C496" t="inlineStr">
        <is>
          <t>081253866695</t>
        </is>
      </c>
      <c r="D496" t="inlineStr">
        <is>
          <t>nirmalajayaperkasa.cv@gmail.com</t>
        </is>
      </c>
      <c r="E496" t="inlineStr">
        <is>
          <t>https://lpjk.pu.go.id/search-badan-usaha-detail/UmhVWDgreXg3eXRyZ2ZwTHB4VU1TQT09</t>
        </is>
      </c>
      <c r="F496" t="n">
        <v>5</v>
      </c>
      <c r="G496" t="inlineStr">
        <is>
          <t>BG002, BG005, BG006, BG009, BS001</t>
        </is>
      </c>
      <c r="H496" t="inlineStr">
        <is>
          <t>1 Agustus 2023</t>
        </is>
      </c>
      <c r="I496" s="2" t="n">
        <v>46279</v>
      </c>
      <c r="J496" t="inlineStr">
        <is>
          <t>Pencabutan</t>
        </is>
      </c>
      <c r="K496" t="n">
        <v>30</v>
      </c>
      <c r="L496" t="inlineStr">
        <is>
          <t>14 September 2026</t>
        </is>
      </c>
      <c r="M496" t="inlineStr">
        <is>
          <t>Konstruksi Bangunan Sipil Jalan, Konstruksi Gedung Kesehatan, Konstruksi Gedung Lainnya, Konstruksi Gedung Pendidikan, Konstruksi Gedung Perkantoran</t>
        </is>
      </c>
      <c r="N496" t="inlineStr">
        <is>
          <t>K</t>
        </is>
      </c>
      <c r="O496" t="inlineStr">
        <is>
          <t>20230914</t>
        </is>
      </c>
      <c r="P496" t="inlineStr">
        <is>
          <t>Kalimantan Timur</t>
        </is>
      </c>
      <c r="Q496" t="inlineStr"/>
    </row>
    <row r="497">
      <c r="A497" t="inlineStr">
        <is>
          <t>NOBEL PRATAMA KONTRAKTOR</t>
        </is>
      </c>
      <c r="B497" t="inlineStr">
        <is>
          <t>Kab. Demak</t>
        </is>
      </c>
      <c r="C497" t="inlineStr">
        <is>
          <t>081226111134</t>
        </is>
      </c>
      <c r="D497" t="inlineStr">
        <is>
          <t>nobelpratama22@gmail.com</t>
        </is>
      </c>
      <c r="E497" t="inlineStr">
        <is>
          <t>https://lpjk.pu.go.id/search-badan-usaha-detail/UExmYmJmRTZwb0p4akRMcVQyQ3Q0UT09</t>
        </is>
      </c>
      <c r="F497" t="n">
        <v>5</v>
      </c>
      <c r="G497" t="inlineStr">
        <is>
          <t>BG002, BG006, BG009, BS001, BS004</t>
        </is>
      </c>
      <c r="H497" t="inlineStr">
        <is>
          <t>30 Juni 2009</t>
        </is>
      </c>
      <c r="I497" s="2" t="n">
        <v>46282</v>
      </c>
      <c r="J497" t="inlineStr">
        <is>
          <t>Disetujui</t>
        </is>
      </c>
      <c r="K497" t="n">
        <v>30</v>
      </c>
      <c r="L497" t="inlineStr">
        <is>
          <t>17 September 2026</t>
        </is>
      </c>
      <c r="M497" t="inlineStr">
        <is>
          <t>Konstruksi Bangunan Sipil Jalan, Konstruksi Gedung Lainnya, Konstruksi Gedung Pendidikan, Konstruksi Gedung Perkantoran, Konstruksi Jaringan Irigasi dan Drainase</t>
        </is>
      </c>
      <c r="N497" t="inlineStr">
        <is>
          <t>K</t>
        </is>
      </c>
      <c r="O497" t="inlineStr">
        <is>
          <t>20230913, 20230914</t>
        </is>
      </c>
      <c r="P497" t="inlineStr">
        <is>
          <t>Jawa Tengah</t>
        </is>
      </c>
      <c r="Q497" t="inlineStr"/>
    </row>
    <row r="498">
      <c r="A498" t="inlineStr">
        <is>
          <t>NUANSA CIPTA KIRANA</t>
        </is>
      </c>
      <c r="B498" t="inlineStr">
        <is>
          <t>Kota Padang</t>
        </is>
      </c>
      <c r="C498" t="inlineStr">
        <is>
          <t>08116642399</t>
        </is>
      </c>
      <c r="D498" t="inlineStr">
        <is>
          <t>-</t>
        </is>
      </c>
      <c r="E498" t="inlineStr">
        <is>
          <t>https://lpjk.pu.go.id/search-badan-usaha-detail/d29wZDhrK1ZvWFVhZWd6YW8wTnZJaHVERS9FOXFsV2xrbFViM0cxK053az0</t>
        </is>
      </c>
      <c r="F498" t="n">
        <v>1</v>
      </c>
      <c r="G498" t="inlineStr">
        <is>
          <t>AR001</t>
        </is>
      </c>
      <c r="H498" t="inlineStr">
        <is>
          <t>5 September 2018</t>
        </is>
      </c>
      <c r="I498" s="2" t="n">
        <v>46283</v>
      </c>
      <c r="J498" t="inlineStr">
        <is>
          <t>Disetujui</t>
        </is>
      </c>
      <c r="K498" t="n">
        <v>30</v>
      </c>
      <c r="L498" t="inlineStr">
        <is>
          <t>18 September 2026</t>
        </is>
      </c>
      <c r="M498" t="inlineStr">
        <is>
          <t>Jasa Arsitektural Bangunan Gedung Hunian dan Non Hunian</t>
        </is>
      </c>
      <c r="N498" t="inlineStr">
        <is>
          <t>M</t>
        </is>
      </c>
      <c r="O498" t="inlineStr">
        <is>
          <t>20230901</t>
        </is>
      </c>
      <c r="P498" t="inlineStr">
        <is>
          <t>Sumatera Barat</t>
        </is>
      </c>
      <c r="Q498" t="inlineStr"/>
    </row>
    <row r="499">
      <c r="A499" t="inlineStr">
        <is>
          <t>NUR AYU LAMENA</t>
        </is>
      </c>
      <c r="B499" t="inlineStr">
        <is>
          <t>Kab. Banggai Kepulauan</t>
        </is>
      </c>
      <c r="C499" t="inlineStr">
        <is>
          <t>082217094080</t>
        </is>
      </c>
      <c r="D499" t="inlineStr">
        <is>
          <t>cvayulamena@gmail.com</t>
        </is>
      </c>
      <c r="E499" t="inlineStr">
        <is>
          <t>https://lpjk.pu.go.id/search-badan-usaha-detail/S3p6VExOR0J6SllGQ3FUaUMreEliZz09</t>
        </is>
      </c>
      <c r="F499" t="n">
        <v>1</v>
      </c>
      <c r="G499" t="inlineStr">
        <is>
          <t>BG002</t>
        </is>
      </c>
      <c r="H499" t="inlineStr">
        <is>
          <t>6 Januari 2010</t>
        </is>
      </c>
      <c r="I499" s="2" t="n">
        <v>46277</v>
      </c>
      <c r="J499" t="inlineStr">
        <is>
          <t>Disetujui</t>
        </is>
      </c>
      <c r="K499" t="n">
        <v>30</v>
      </c>
      <c r="L499" t="inlineStr">
        <is>
          <t>12 September 2026</t>
        </is>
      </c>
      <c r="M499" t="inlineStr">
        <is>
          <t>Konstruksi Gedung Perkantoran</t>
        </is>
      </c>
      <c r="N499" t="inlineStr">
        <is>
          <t>K</t>
        </is>
      </c>
      <c r="O499" t="inlineStr">
        <is>
          <t>20230908</t>
        </is>
      </c>
      <c r="P499" t="inlineStr">
        <is>
          <t>Sulawesi Tengah</t>
        </is>
      </c>
      <c r="Q499" t="inlineStr"/>
    </row>
    <row r="500">
      <c r="A500" t="inlineStr">
        <is>
          <t>NUR MAYA</t>
        </is>
      </c>
      <c r="B500" t="inlineStr">
        <is>
          <t>Kab. Mamuju</t>
        </is>
      </c>
      <c r="C500" t="inlineStr">
        <is>
          <t>082194677261</t>
        </is>
      </c>
      <c r="D500" t="inlineStr">
        <is>
          <t>muhzaitun123@gmail.com</t>
        </is>
      </c>
      <c r="E500" t="inlineStr">
        <is>
          <t>https://lpjk.pu.go.id/search-badan-usaha-detail/a1F2VWw3aUo1ZUNFNVh5U3FaVE54QT09</t>
        </is>
      </c>
      <c r="F500" t="n">
        <v>1</v>
      </c>
      <c r="G500" t="inlineStr">
        <is>
          <t>BG006</t>
        </is>
      </c>
      <c r="H500" t="inlineStr">
        <is>
          <t>24 Oktober 2012</t>
        </is>
      </c>
      <c r="I500" s="2" t="n">
        <v>46283</v>
      </c>
      <c r="J500" t="inlineStr">
        <is>
          <t>Pencabutan</t>
        </is>
      </c>
      <c r="K500" t="n">
        <v>30</v>
      </c>
      <c r="L500" t="inlineStr">
        <is>
          <t>18 September 2026</t>
        </is>
      </c>
      <c r="M500" t="inlineStr">
        <is>
          <t>Konstruksi Gedung Pendidikan</t>
        </is>
      </c>
      <c r="N500" t="inlineStr">
        <is>
          <t>K</t>
        </is>
      </c>
      <c r="O500" t="inlineStr">
        <is>
          <t>20230918</t>
        </is>
      </c>
      <c r="P500" t="inlineStr">
        <is>
          <t>Sulawesi Barat</t>
        </is>
      </c>
      <c r="Q500" t="inlineStr"/>
    </row>
    <row r="501">
      <c r="A501" t="inlineStr">
        <is>
          <t>NUR TIGA UTAMA</t>
        </is>
      </c>
      <c r="B501" t="inlineStr">
        <is>
          <t>Kab. Kotawaringin Barat</t>
        </is>
      </c>
      <c r="C501" t="inlineStr">
        <is>
          <t>082140971711</t>
        </is>
      </c>
      <c r="D501" t="inlineStr">
        <is>
          <t>cvnurtigautama@gmail.com</t>
        </is>
      </c>
      <c r="E501" t="inlineStr">
        <is>
          <t>https://lpjk.pu.go.id/search-badan-usaha-detail/SGVzL1hLOS9aSzRSU1JDMmlJNUlxUT09</t>
        </is>
      </c>
      <c r="F501" t="n">
        <v>4</v>
      </c>
      <c r="G501" t="inlineStr">
        <is>
          <t>BG009, BS001, BS002, BS004</t>
        </is>
      </c>
      <c r="H501" t="inlineStr">
        <is>
          <t>12 Januari 2023</t>
        </is>
      </c>
      <c r="I501" s="2" t="n">
        <v>46282</v>
      </c>
      <c r="J501" t="inlineStr">
        <is>
          <t>Disetujui</t>
        </is>
      </c>
      <c r="K501" t="n">
        <v>30</v>
      </c>
      <c r="L501" t="inlineStr">
        <is>
          <t>17 September 2026</t>
        </is>
      </c>
      <c r="M501" t="inlineStr">
        <is>
          <t>Bangunan Sipil Jembatan, Jalan Layang, Fly Over, dan Underpass, Konstruksi Bangunan Sipil Jalan, Konstruksi Gedung Lainnya, Konstruksi Jaringan Irigasi dan Drainase</t>
        </is>
      </c>
      <c r="N501" t="inlineStr">
        <is>
          <t>K</t>
        </is>
      </c>
      <c r="O501" t="inlineStr">
        <is>
          <t>20230913</t>
        </is>
      </c>
      <c r="P501" t="inlineStr">
        <is>
          <t>Kalimantan Tengah</t>
        </is>
      </c>
      <c r="Q501" t="inlineStr"/>
    </row>
    <row r="502">
      <c r="A502" t="inlineStr">
        <is>
          <t>NURA KARYA KONSULTAN</t>
        </is>
      </c>
      <c r="B502" t="inlineStr">
        <is>
          <t>Kota Serang</t>
        </is>
      </c>
      <c r="C502" t="inlineStr">
        <is>
          <t>082127233911</t>
        </is>
      </c>
      <c r="D502" t="inlineStr">
        <is>
          <t>cv.nurakaryakonsultan@gmail.com</t>
        </is>
      </c>
      <c r="E502" t="inlineStr">
        <is>
          <t>https://lpjk.pu.go.id/search-badan-usaha-detail/SStpVk5aemorYjY3TTlTVzBTd3RJZz09</t>
        </is>
      </c>
      <c r="F502" t="n">
        <v>1</v>
      </c>
      <c r="G502" t="inlineStr">
        <is>
          <t>RK001</t>
        </is>
      </c>
      <c r="H502" t="inlineStr">
        <is>
          <t>7 Januari 2021</t>
        </is>
      </c>
      <c r="I502" s="2" t="n">
        <v>46282</v>
      </c>
      <c r="J502" t="inlineStr">
        <is>
          <t>Disetujui</t>
        </is>
      </c>
      <c r="K502" t="n">
        <v>30</v>
      </c>
      <c r="L502" t="inlineStr">
        <is>
          <t>17 September 2026</t>
        </is>
      </c>
      <c r="M502" t="inlineStr">
        <is>
          <t>Jasa Rekayasa Konstruksi Bangunan Gedung Hunian dan Non Hunian</t>
        </is>
      </c>
      <c r="N502" t="inlineStr">
        <is>
          <t>K</t>
        </is>
      </c>
      <c r="O502" t="inlineStr">
        <is>
          <t>20230904</t>
        </is>
      </c>
      <c r="P502" t="inlineStr">
        <is>
          <t>Banten</t>
        </is>
      </c>
      <c r="Q502" t="inlineStr"/>
    </row>
    <row r="503">
      <c r="A503" t="inlineStr">
        <is>
          <t>NUSA INDAH RAYA</t>
        </is>
      </c>
      <c r="B503" t="inlineStr">
        <is>
          <t>Kota Banjarmasin</t>
        </is>
      </c>
      <c r="C503" t="inlineStr">
        <is>
          <t>081251994739</t>
        </is>
      </c>
      <c r="D503" t="inlineStr">
        <is>
          <t>cv_nusaindahraya@yahoo.com</t>
        </is>
      </c>
      <c r="E503" t="inlineStr">
        <is>
          <t>https://lpjk.pu.go.id/search-badan-usaha-detail/SkJqSTVVZG1iUytIeEg0WlBNOFp5UT09</t>
        </is>
      </c>
      <c r="F503" t="n">
        <v>1</v>
      </c>
      <c r="G503" t="inlineStr">
        <is>
          <t>BG009</t>
        </is>
      </c>
      <c r="H503" t="inlineStr">
        <is>
          <t>18 Desember 2000</t>
        </is>
      </c>
      <c r="I503" s="2" t="n">
        <v>46278</v>
      </c>
      <c r="J503" t="inlineStr">
        <is>
          <t>Disetujui</t>
        </is>
      </c>
      <c r="K503" t="n">
        <v>30</v>
      </c>
      <c r="L503" t="inlineStr">
        <is>
          <t>13 September 2026</t>
        </is>
      </c>
      <c r="M503" t="inlineStr">
        <is>
          <t>Konstruksi Gedung Lainnya</t>
        </is>
      </c>
      <c r="N503" t="inlineStr">
        <is>
          <t>K</t>
        </is>
      </c>
      <c r="O503" t="inlineStr">
        <is>
          <t>20230828</t>
        </is>
      </c>
      <c r="P503" t="inlineStr">
        <is>
          <t>Kalimantan Selatan</t>
        </is>
      </c>
      <c r="Q503" t="inlineStr"/>
    </row>
    <row r="504">
      <c r="A504" t="inlineStr">
        <is>
          <t>NUSA JAYA SENTOSA</t>
        </is>
      </c>
      <c r="B504" t="inlineStr">
        <is>
          <t>Kota Adm. Jakarta Utara</t>
        </is>
      </c>
      <c r="C504" t="inlineStr">
        <is>
          <t>02122667357</t>
        </is>
      </c>
      <c r="D504" t="inlineStr">
        <is>
          <t>jakarta@njsentosa.com</t>
        </is>
      </c>
      <c r="E504" t="inlineStr">
        <is>
          <t>https://lpjk.pu.go.id/search-badan-usaha-detail/Z1hhdGNiZ0gwSWRmUlRIR1A1N00zZz09</t>
        </is>
      </c>
      <c r="F504" t="n">
        <v>1</v>
      </c>
      <c r="G504" t="inlineStr">
        <is>
          <t>IN003</t>
        </is>
      </c>
      <c r="H504" t="inlineStr">
        <is>
          <t>24 Mei 2002</t>
        </is>
      </c>
      <c r="I504" s="2" t="n">
        <v>46277</v>
      </c>
      <c r="J504" t="inlineStr">
        <is>
          <t>Pencabutan</t>
        </is>
      </c>
      <c r="K504" t="n">
        <v>30</v>
      </c>
      <c r="L504" t="inlineStr">
        <is>
          <t>12 September 2026</t>
        </is>
      </c>
      <c r="M504" t="inlineStr">
        <is>
          <t>Instalasi Peralatan Infrastruktur Pertambangan dan Manufaktur</t>
        </is>
      </c>
      <c r="N504" t="inlineStr">
        <is>
          <t>Spesialis</t>
        </is>
      </c>
      <c r="O504" t="inlineStr">
        <is>
          <t>20230725</t>
        </is>
      </c>
      <c r="P504" t="inlineStr">
        <is>
          <t>DKI Jakarta</t>
        </is>
      </c>
      <c r="Q504" t="inlineStr"/>
    </row>
    <row r="505">
      <c r="A505" t="inlineStr">
        <is>
          <t>NUSA PRATAMA SEJAHTERA</t>
        </is>
      </c>
      <c r="B505" t="inlineStr">
        <is>
          <t>Kab. Gresik</t>
        </is>
      </c>
      <c r="C505" t="inlineStr">
        <is>
          <t>0881036031338</t>
        </is>
      </c>
      <c r="D505" t="inlineStr">
        <is>
          <t>ptnusa.ps@gmail.com</t>
        </is>
      </c>
      <c r="E505" t="inlineStr">
        <is>
          <t>https://lpjk.pu.go.id/search-badan-usaha-detail/N1phRWg3VkR6WldrK2ZEZ0tnS1QvZz09</t>
        </is>
      </c>
      <c r="F505" t="n">
        <v>1</v>
      </c>
      <c r="G505" t="inlineStr">
        <is>
          <t>BS007</t>
        </is>
      </c>
      <c r="H505" t="inlineStr">
        <is>
          <t>15 Oktober 2021</t>
        </is>
      </c>
      <c r="I505" s="2" t="n">
        <v>46280</v>
      </c>
      <c r="J505" t="inlineStr">
        <is>
          <t>Disetujui</t>
        </is>
      </c>
      <c r="K505" t="n">
        <v>30</v>
      </c>
      <c r="L505" t="inlineStr">
        <is>
          <t>15 September 2026</t>
        </is>
      </c>
      <c r="M505" t="inlineStr">
        <is>
          <t>Konstruksi Bangunan Sipil Elektrikal</t>
        </is>
      </c>
      <c r="N505" t="inlineStr">
        <is>
          <t>K</t>
        </is>
      </c>
      <c r="O505" t="inlineStr">
        <is>
          <t>20230915</t>
        </is>
      </c>
      <c r="P505" t="inlineStr">
        <is>
          <t>Jawa Timur</t>
        </is>
      </c>
      <c r="Q505" t="inlineStr"/>
    </row>
    <row r="506">
      <c r="A506" t="inlineStr">
        <is>
          <t>NUSANTARA HSR</t>
        </is>
      </c>
      <c r="B506" t="inlineStr">
        <is>
          <t>Kota Adm. Jakarta Selatan</t>
        </is>
      </c>
      <c r="C506" t="inlineStr">
        <is>
          <t>081318919293</t>
        </is>
      </c>
      <c r="D506" t="inlineStr">
        <is>
          <t>info.nusantarahsr@gmail.com</t>
        </is>
      </c>
      <c r="E506" t="inlineStr">
        <is>
          <t>https://lpjk.pu.go.id/search-badan-usaha-detail/S3NnMVM2RHI0cm9XcWF3bUtnM0NWUT09</t>
        </is>
      </c>
      <c r="F506" t="n">
        <v>1</v>
      </c>
      <c r="G506" t="inlineStr">
        <is>
          <t>BG001</t>
        </is>
      </c>
      <c r="H506" t="inlineStr">
        <is>
          <t>6 Februari 2012</t>
        </is>
      </c>
      <c r="I506" s="2" t="n">
        <v>46283</v>
      </c>
      <c r="J506" t="inlineStr">
        <is>
          <t>Disetujui</t>
        </is>
      </c>
      <c r="K506" t="n">
        <v>30</v>
      </c>
      <c r="L506" t="inlineStr">
        <is>
          <t>18 September 2026</t>
        </is>
      </c>
      <c r="M506" t="inlineStr">
        <is>
          <t>Konstruksi Gedung Hunian</t>
        </is>
      </c>
      <c r="N506" t="inlineStr">
        <is>
          <t>K</t>
        </is>
      </c>
      <c r="O506" t="inlineStr">
        <is>
          <t>20230911</t>
        </is>
      </c>
      <c r="P506" t="inlineStr">
        <is>
          <t>DKI Jakarta</t>
        </is>
      </c>
      <c r="Q506" t="inlineStr"/>
    </row>
    <row r="507">
      <c r="A507" t="inlineStr">
        <is>
          <t>ORION</t>
        </is>
      </c>
      <c r="B507" t="inlineStr">
        <is>
          <t>Kab. Merauke</t>
        </is>
      </c>
      <c r="C507" t="inlineStr">
        <is>
          <t>082238828008</t>
        </is>
      </c>
      <c r="D507" t="inlineStr">
        <is>
          <t>cvorion06@gmail.com</t>
        </is>
      </c>
      <c r="E507" t="inlineStr">
        <is>
          <t>https://lpjk.pu.go.id/search-badan-usaha-detail/SXR3bkl5MStjelAySS9TQTNlSWhodz09</t>
        </is>
      </c>
      <c r="F507" t="n">
        <v>1</v>
      </c>
      <c r="G507" t="inlineStr">
        <is>
          <t>BG005</t>
        </is>
      </c>
      <c r="H507" t="inlineStr">
        <is>
          <t>10 Desember 1999</t>
        </is>
      </c>
      <c r="I507" s="2" t="n">
        <v>46277</v>
      </c>
      <c r="J507" t="inlineStr">
        <is>
          <t>Disetujui</t>
        </is>
      </c>
      <c r="K507" t="n">
        <v>30</v>
      </c>
      <c r="L507" t="inlineStr">
        <is>
          <t>12 September 2026</t>
        </is>
      </c>
      <c r="M507" t="inlineStr">
        <is>
          <t>Konstruksi Gedung Kesehatan</t>
        </is>
      </c>
      <c r="N507" t="inlineStr">
        <is>
          <t>K</t>
        </is>
      </c>
      <c r="O507" t="inlineStr">
        <is>
          <t>20230911</t>
        </is>
      </c>
      <c r="P507" t="inlineStr">
        <is>
          <t>Papua Selatan</t>
        </is>
      </c>
      <c r="Q507" t="inlineStr"/>
    </row>
    <row r="508">
      <c r="A508" t="inlineStr">
        <is>
          <t>PADA PAYU</t>
        </is>
      </c>
      <c r="B508" t="inlineStr">
        <is>
          <t>Kab. Gianyar</t>
        </is>
      </c>
      <c r="C508" t="inlineStr">
        <is>
          <t>085101875126</t>
        </is>
      </c>
      <c r="D508" t="inlineStr">
        <is>
          <t>padapayu@yahoo.com</t>
        </is>
      </c>
      <c r="E508" t="inlineStr">
        <is>
          <t>https://lpjk.pu.go.id/search-badan-usaha-detail/dXZWeWtUQ0ZHcmN3VTRhaHRVV241dz09</t>
        </is>
      </c>
      <c r="F508" t="n">
        <v>1</v>
      </c>
      <c r="G508" t="inlineStr">
        <is>
          <t>BG002</t>
        </is>
      </c>
      <c r="H508" t="inlineStr">
        <is>
          <t>13 Februari 2007</t>
        </is>
      </c>
      <c r="I508" s="2" t="n">
        <v>46280</v>
      </c>
      <c r="J508" t="inlineStr">
        <is>
          <t>Disetujui</t>
        </is>
      </c>
      <c r="K508" t="n">
        <v>30</v>
      </c>
      <c r="L508" t="inlineStr">
        <is>
          <t>15 September 2026</t>
        </is>
      </c>
      <c r="M508" t="inlineStr">
        <is>
          <t>Konstruksi Gedung Perkantoran</t>
        </is>
      </c>
      <c r="N508" t="inlineStr">
        <is>
          <t>K</t>
        </is>
      </c>
      <c r="O508" t="inlineStr">
        <is>
          <t>20230912</t>
        </is>
      </c>
      <c r="P508" t="inlineStr">
        <is>
          <t>Bali</t>
        </is>
      </c>
      <c r="Q508" t="inlineStr"/>
    </row>
    <row r="509">
      <c r="A509" t="inlineStr">
        <is>
          <t>PADJADJARAN</t>
        </is>
      </c>
      <c r="B509" t="inlineStr">
        <is>
          <t>Kab. Tasikmalaya</t>
        </is>
      </c>
      <c r="C509" t="inlineStr">
        <is>
          <t>081220237536</t>
        </is>
      </c>
      <c r="D509" t="inlineStr">
        <is>
          <t>cv.padjadjarankm21@gmail.com</t>
        </is>
      </c>
      <c r="E509" t="inlineStr">
        <is>
          <t>https://lpjk.pu.go.id/search-badan-usaha-detail/eHAzVlNjVUhOaDFFZExrUmRva0Y4UT09</t>
        </is>
      </c>
      <c r="F509" t="n">
        <v>4</v>
      </c>
      <c r="G509" t="inlineStr">
        <is>
          <t>BG006, BG009, BS001, BS004</t>
        </is>
      </c>
      <c r="H509" t="inlineStr">
        <is>
          <t>9 September 1999</t>
        </is>
      </c>
      <c r="I509" s="2" t="n">
        <v>46281</v>
      </c>
      <c r="J509" t="inlineStr">
        <is>
          <t>Disetujui</t>
        </is>
      </c>
      <c r="K509" t="n">
        <v>30</v>
      </c>
      <c r="L509" t="inlineStr">
        <is>
          <t>16 September 2026</t>
        </is>
      </c>
      <c r="M509" t="inlineStr">
        <is>
          <t>Konstruksi Bangunan Sipil Jalan, Konstruksi Gedung Lainnya, Konstruksi Gedung Pendidikan, Konstruksi Jaringan Irigasi dan Drainase</t>
        </is>
      </c>
      <c r="N509" t="inlineStr">
        <is>
          <t>K</t>
        </is>
      </c>
      <c r="O509" t="inlineStr">
        <is>
          <t>20230630, 20230914, 20230917</t>
        </is>
      </c>
      <c r="P509" t="inlineStr">
        <is>
          <t>Jawa Barat</t>
        </is>
      </c>
      <c r="Q509" t="inlineStr"/>
    </row>
    <row r="510">
      <c r="A510" t="inlineStr">
        <is>
          <t>PAHALA ABADI</t>
        </is>
      </c>
      <c r="B510" t="inlineStr">
        <is>
          <t>Kab. Bojonegoro</t>
        </is>
      </c>
      <c r="C510" t="inlineStr">
        <is>
          <t>081335702788</t>
        </is>
      </c>
      <c r="D510" t="inlineStr">
        <is>
          <t>cv_pahalaabadi@yahoo.com</t>
        </is>
      </c>
      <c r="E510" t="inlineStr">
        <is>
          <t>https://lpjk.pu.go.id/search-badan-usaha-detail/OUk3bkVXemwraDdLRFQxclozbmxRQT09</t>
        </is>
      </c>
      <c r="F510" t="n">
        <v>1</v>
      </c>
      <c r="G510" t="inlineStr">
        <is>
          <t>BS001</t>
        </is>
      </c>
      <c r="H510" t="inlineStr">
        <is>
          <t>30 Desember 2003</t>
        </is>
      </c>
      <c r="I510" s="2" t="n">
        <v>46279</v>
      </c>
      <c r="J510" t="inlineStr">
        <is>
          <t>Disetujui</t>
        </is>
      </c>
      <c r="K510" t="n">
        <v>30</v>
      </c>
      <c r="L510" t="inlineStr">
        <is>
          <t>14 September 2026</t>
        </is>
      </c>
      <c r="M510" t="inlineStr">
        <is>
          <t>Konstruksi Bangunan Sipil Jalan</t>
        </is>
      </c>
      <c r="N510" t="inlineStr">
        <is>
          <t>K</t>
        </is>
      </c>
      <c r="O510" t="inlineStr">
        <is>
          <t>20230907</t>
        </is>
      </c>
      <c r="P510" t="inlineStr">
        <is>
          <t>Jawa Timur</t>
        </is>
      </c>
      <c r="Q510" t="inlineStr"/>
    </row>
    <row r="511">
      <c r="A511" t="inlineStr">
        <is>
          <t>PALMA UTAMA LESTARI</t>
        </is>
      </c>
      <c r="B511" t="inlineStr">
        <is>
          <t>Kota Medan</t>
        </is>
      </c>
      <c r="C511" t="inlineStr">
        <is>
          <t>0811610251</t>
        </is>
      </c>
      <c r="D511" t="inlineStr">
        <is>
          <t>pt.palmautamalestari@gmail.com</t>
        </is>
      </c>
      <c r="E511" t="inlineStr">
        <is>
          <t>https://lpjk.pu.go.id/search-badan-usaha-detail/N0krL2JuNmVCQWcyZ2hRN2tkQ1ZlQT09</t>
        </is>
      </c>
      <c r="F511" t="n">
        <v>1</v>
      </c>
      <c r="G511" t="inlineStr">
        <is>
          <t>BG009</t>
        </is>
      </c>
      <c r="H511" t="inlineStr">
        <is>
          <t>13 Mei 2014</t>
        </is>
      </c>
      <c r="I511" s="2" t="n">
        <v>46278</v>
      </c>
      <c r="J511" t="inlineStr">
        <is>
          <t>Pencabutan</t>
        </is>
      </c>
      <c r="K511" t="n">
        <v>30</v>
      </c>
      <c r="L511" t="inlineStr">
        <is>
          <t>13 September 2026</t>
        </is>
      </c>
      <c r="M511" t="inlineStr">
        <is>
          <t>Konstruksi Gedung Lainnya</t>
        </is>
      </c>
      <c r="N511" t="inlineStr">
        <is>
          <t>K</t>
        </is>
      </c>
      <c r="O511" t="inlineStr">
        <is>
          <t>20230913</t>
        </is>
      </c>
      <c r="P511" t="inlineStr">
        <is>
          <t>Sumatera Utara</t>
        </is>
      </c>
      <c r="Q511" t="inlineStr"/>
    </row>
    <row r="512">
      <c r="A512" t="inlineStr">
        <is>
          <t>PALUTA JAYA KONSTRUKSI</t>
        </is>
      </c>
      <c r="B512" t="inlineStr">
        <is>
          <t>Kab. Pasaman</t>
        </is>
      </c>
      <c r="C512" t="inlineStr">
        <is>
          <t>085213231466</t>
        </is>
      </c>
      <c r="D512" t="inlineStr">
        <is>
          <t>palutajayakonstruksi@gmail.com</t>
        </is>
      </c>
      <c r="E512" t="inlineStr">
        <is>
          <t>https://lpjk.pu.go.id/search-badan-usaha-detail/eVBtdE5XSi9OV3B4SVZCTFA1czdKdz09</t>
        </is>
      </c>
      <c r="F512" t="n">
        <v>1</v>
      </c>
      <c r="G512" t="inlineStr">
        <is>
          <t>BS001</t>
        </is>
      </c>
      <c r="H512" t="inlineStr">
        <is>
          <t>22 Januari 2020</t>
        </is>
      </c>
      <c r="I512" s="2" t="n">
        <v>46280</v>
      </c>
      <c r="J512" t="inlineStr">
        <is>
          <t>Pencabutan</t>
        </is>
      </c>
      <c r="K512" t="n">
        <v>30</v>
      </c>
      <c r="L512" t="inlineStr">
        <is>
          <t>15 September 2026</t>
        </is>
      </c>
      <c r="M512" t="inlineStr">
        <is>
          <t>Konstruksi Bangunan Sipil Jalan</t>
        </is>
      </c>
      <c r="N512" t="inlineStr">
        <is>
          <t>K</t>
        </is>
      </c>
      <c r="O512" t="inlineStr">
        <is>
          <t>20230915</t>
        </is>
      </c>
      <c r="P512" t="inlineStr">
        <is>
          <t>Sumatera Barat</t>
        </is>
      </c>
      <c r="Q512" t="inlineStr"/>
    </row>
    <row r="513">
      <c r="A513" t="inlineStr">
        <is>
          <t>PANCA DUTA KARYA ABADI</t>
        </is>
      </c>
      <c r="B513" t="inlineStr">
        <is>
          <t>Kota Jayapura</t>
        </is>
      </c>
      <c r="C513" t="inlineStr">
        <is>
          <t>0967537776</t>
        </is>
      </c>
      <c r="D513" t="inlineStr">
        <is>
          <t>jayapura_ptpdka@yahoo.com</t>
        </is>
      </c>
      <c r="E513" t="inlineStr">
        <is>
          <t>https://lpjk.pu.go.id/search-badan-usaha-detail/d3F4TG41dGMzd0Vhbm4xQ2NJVmFBZz09</t>
        </is>
      </c>
      <c r="F513" t="n">
        <v>2</v>
      </c>
      <c r="G513" t="inlineStr">
        <is>
          <t>BG006, BS002</t>
        </is>
      </c>
      <c r="H513" t="inlineStr">
        <is>
          <t>21 Mei 1983</t>
        </is>
      </c>
      <c r="I513" s="2" t="n">
        <v>46282</v>
      </c>
      <c r="J513" t="inlineStr">
        <is>
          <t>Disetujui</t>
        </is>
      </c>
      <c r="K513" t="n">
        <v>30</v>
      </c>
      <c r="L513" t="inlineStr">
        <is>
          <t>17 September 2026</t>
        </is>
      </c>
      <c r="M513" t="inlineStr">
        <is>
          <t>Bangunan Sipil Jembatan, Jalan Layang, Fly Over, dan Underpass, Konstruksi Gedung Pendidikan</t>
        </is>
      </c>
      <c r="N513" t="inlineStr">
        <is>
          <t>K</t>
        </is>
      </c>
      <c r="O513" t="inlineStr">
        <is>
          <t>20230607</t>
        </is>
      </c>
      <c r="P513" t="inlineStr">
        <is>
          <t>Papua</t>
        </is>
      </c>
      <c r="Q513" t="inlineStr"/>
    </row>
    <row r="514">
      <c r="A514" t="inlineStr">
        <is>
          <t>PANCANG JAYA</t>
        </is>
      </c>
      <c r="B514" t="inlineStr">
        <is>
          <t>Kab. Kebumen</t>
        </is>
      </c>
      <c r="C514" t="inlineStr">
        <is>
          <t>081392447977</t>
        </is>
      </c>
      <c r="D514" t="inlineStr">
        <is>
          <t>cvpancangjaya@gmail.com</t>
        </is>
      </c>
      <c r="E514" t="inlineStr">
        <is>
          <t>https://lpjk.pu.go.id/search-badan-usaha-detail/RzRjaTA4YkNRSGhkbHRMV0xmNzViUT09</t>
        </is>
      </c>
      <c r="F514" t="n">
        <v>8</v>
      </c>
      <c r="G514" t="inlineStr">
        <is>
          <t>BG005, BG006, BG009, BS002</t>
        </is>
      </c>
      <c r="H514" t="inlineStr">
        <is>
          <t>4 Januari 2011</t>
        </is>
      </c>
      <c r="I514" s="2" t="n">
        <v>46278</v>
      </c>
      <c r="J514" t="inlineStr">
        <is>
          <t>Disetujui</t>
        </is>
      </c>
      <c r="K514" t="n">
        <v>30</v>
      </c>
      <c r="L514" t="inlineStr">
        <is>
          <t>13 September 2026</t>
        </is>
      </c>
      <c r="M514" t="inlineStr">
        <is>
          <t>Bangunan Sipil Jembatan, Jalan Layang, Fly Over, dan Underpass, Konstruksi Gedung Kesehatan, Konstruksi Gedung Lainnya, Konstruksi Gedung Pendidikan</t>
        </is>
      </c>
      <c r="N514" t="inlineStr">
        <is>
          <t>K</t>
        </is>
      </c>
      <c r="O514" t="inlineStr">
        <is>
          <t>20230816</t>
        </is>
      </c>
      <c r="P514" t="inlineStr">
        <is>
          <t>Jawa Tengah</t>
        </is>
      </c>
      <c r="Q514" t="inlineStr"/>
    </row>
    <row r="515">
      <c r="A515" t="inlineStr">
        <is>
          <t>PANDAWA</t>
        </is>
      </c>
      <c r="B515" t="inlineStr">
        <is>
          <t>Kab. Kudus</t>
        </is>
      </c>
      <c r="C515" t="inlineStr">
        <is>
          <t>082242405888</t>
        </is>
      </c>
      <c r="D515" t="inlineStr">
        <is>
          <t>pranoto.cvpandawa123@yahoo.com</t>
        </is>
      </c>
      <c r="E515" t="inlineStr">
        <is>
          <t>https://lpjk.pu.go.id/search-badan-usaha-detail/aUtaMEdXRGZ2OWJYZ21LUXloN3dRQT09</t>
        </is>
      </c>
      <c r="F515" t="n">
        <v>6</v>
      </c>
      <c r="G515" t="inlineStr">
        <is>
          <t>BG001, BG002, BG009</t>
        </is>
      </c>
      <c r="H515" t="inlineStr">
        <is>
          <t>17 Juli 2012</t>
        </is>
      </c>
      <c r="I515" s="2" t="n">
        <v>46278</v>
      </c>
      <c r="J515" t="inlineStr">
        <is>
          <t>Pencabutan</t>
        </is>
      </c>
      <c r="K515" t="n">
        <v>30</v>
      </c>
      <c r="L515" t="inlineStr">
        <is>
          <t>13 September 2026</t>
        </is>
      </c>
      <c r="M515" t="inlineStr">
        <is>
          <t>Konstruksi Gedung Hunian, Konstruksi Gedung Lainnya, Konstruksi Gedung Perkantoran</t>
        </is>
      </c>
      <c r="N515" t="inlineStr">
        <is>
          <t>K</t>
        </is>
      </c>
      <c r="O515" t="inlineStr">
        <is>
          <t>20230911</t>
        </is>
      </c>
      <c r="P515" t="inlineStr">
        <is>
          <t>Jawa Tengah</t>
        </is>
      </c>
      <c r="Q515" t="inlineStr"/>
    </row>
    <row r="516">
      <c r="A516" t="inlineStr">
        <is>
          <t>PANDU SANDEWA</t>
        </is>
      </c>
      <c r="B516" t="inlineStr">
        <is>
          <t>Kab. Bengkulu Utara</t>
        </is>
      </c>
      <c r="C516" t="inlineStr">
        <is>
          <t>085273426244</t>
        </is>
      </c>
      <c r="D516" t="inlineStr">
        <is>
          <t>cv.pandu_sandewa@yahoo.com</t>
        </is>
      </c>
      <c r="E516" t="inlineStr">
        <is>
          <t>https://lpjk.pu.go.id/search-badan-usaha-detail/ZGJjdUpOMHZHVlZVSFh4N05QemZHZz09</t>
        </is>
      </c>
      <c r="F516" t="n">
        <v>4</v>
      </c>
      <c r="G516" t="inlineStr">
        <is>
          <t>BG001, BG002, BG004, BG005</t>
        </is>
      </c>
      <c r="H516" t="inlineStr">
        <is>
          <t>5 April 2017</t>
        </is>
      </c>
      <c r="I516" s="2" t="n">
        <v>46277</v>
      </c>
      <c r="J516" t="inlineStr">
        <is>
          <t>Disetujui</t>
        </is>
      </c>
      <c r="K516" t="n">
        <v>30</v>
      </c>
      <c r="L516" t="inlineStr">
        <is>
          <t>12 September 2026</t>
        </is>
      </c>
      <c r="M516" t="inlineStr">
        <is>
          <t>Konstruksi Gedung Hunian, Konstruksi Gedung Kesehatan, Konstruksi Gedung Perbelanjaan, Konstruksi Gedung Perkantoran</t>
        </is>
      </c>
      <c r="N516" t="inlineStr">
        <is>
          <t>K</t>
        </is>
      </c>
      <c r="O516" t="inlineStr">
        <is>
          <t>20230906, 20230912</t>
        </is>
      </c>
      <c r="P516" t="inlineStr">
        <is>
          <t>Bengkulu</t>
        </is>
      </c>
      <c r="Q516" t="inlineStr"/>
    </row>
    <row r="517">
      <c r="A517" t="inlineStr">
        <is>
          <t>PANTJA WARNA ABADI</t>
        </is>
      </c>
      <c r="B517" t="inlineStr">
        <is>
          <t>Kota Malang</t>
        </is>
      </c>
      <c r="C517" t="inlineStr">
        <is>
          <t>082189313212</t>
        </is>
      </c>
      <c r="D517" t="inlineStr">
        <is>
          <t>pantjawarnaabadi@gmail.com</t>
        </is>
      </c>
      <c r="E517" t="inlineStr">
        <is>
          <t>https://lpjk.pu.go.id/search-badan-usaha-detail/dDlJaFM4MUcwV2l6ZFNMVmNPbWVGUT09</t>
        </is>
      </c>
      <c r="F517" t="n">
        <v>2</v>
      </c>
      <c r="G517" t="inlineStr">
        <is>
          <t>BG001, BG009</t>
        </is>
      </c>
      <c r="H517" t="inlineStr">
        <is>
          <t>11 Oktober 2021</t>
        </is>
      </c>
      <c r="I517" s="2" t="n">
        <v>46282</v>
      </c>
      <c r="J517" t="inlineStr">
        <is>
          <t>Disetujui</t>
        </is>
      </c>
      <c r="K517" t="n">
        <v>30</v>
      </c>
      <c r="L517" t="inlineStr">
        <is>
          <t>17 September 2026</t>
        </is>
      </c>
      <c r="M517" t="inlineStr">
        <is>
          <t>Konstruksi Gedung Hunian, Konstruksi Gedung Lainnya</t>
        </is>
      </c>
      <c r="N517" t="inlineStr">
        <is>
          <t>K</t>
        </is>
      </c>
      <c r="O517" t="inlineStr">
        <is>
          <t>20230914</t>
        </is>
      </c>
      <c r="P517" t="inlineStr">
        <is>
          <t>Jawa Timur</t>
        </is>
      </c>
      <c r="Q517" t="inlineStr"/>
    </row>
    <row r="518">
      <c r="A518" t="inlineStr">
        <is>
          <t>PARDINGOT RIA</t>
        </is>
      </c>
      <c r="B518" t="inlineStr">
        <is>
          <t>Kota Adm. Jakarta Barat</t>
        </is>
      </c>
      <c r="C518" t="inlineStr">
        <is>
          <t>0218221059</t>
        </is>
      </c>
      <c r="D518" t="inlineStr">
        <is>
          <t>pt.pardingotria@gmail.com</t>
        </is>
      </c>
      <c r="E518" t="inlineStr">
        <is>
          <t>https://lpjk.pu.go.id/search-badan-usaha-detail/T3M0N3JXUE5PWE5PRFZzYVd1QmQrZz09</t>
        </is>
      </c>
      <c r="F518" t="n">
        <v>5</v>
      </c>
      <c r="G518" t="inlineStr">
        <is>
          <t>BG003, BG009, BS001, BS006, BS007</t>
        </is>
      </c>
      <c r="H518" t="inlineStr">
        <is>
          <t>16 April 1998</t>
        </is>
      </c>
      <c r="I518" s="2" t="n">
        <v>46283</v>
      </c>
      <c r="J518" t="inlineStr">
        <is>
          <t>Disetujui, Pencabutan</t>
        </is>
      </c>
      <c r="K518" t="n">
        <v>30</v>
      </c>
      <c r="L518" t="inlineStr">
        <is>
          <t>18 September 2026</t>
        </is>
      </c>
      <c r="M518" t="inlineStr">
        <is>
          <t>Konstruksi Bangunan Sipil Elektrikal, Konstruksi Bangunan Sipil Jalan, Konstruksi Bangunan Sipil Prasarana dan Sarana Sistem Pengolahan Limbah Padat, Cair, dan Gas, Konstruksi Gedung Industri, Konstruksi Gedung Lainnya</t>
        </is>
      </c>
      <c r="N518" t="inlineStr">
        <is>
          <t>K</t>
        </is>
      </c>
      <c r="O518" t="inlineStr">
        <is>
          <t>20230919</t>
        </is>
      </c>
      <c r="P518" t="inlineStr">
        <is>
          <t>DKI Jakarta</t>
        </is>
      </c>
      <c r="Q518" t="inlineStr"/>
    </row>
    <row r="519">
      <c r="A519" t="inlineStr">
        <is>
          <t>PARSAMEAN NAULI INTI PERSADA</t>
        </is>
      </c>
      <c r="B519" t="inlineStr">
        <is>
          <t>Kota Medan</t>
        </is>
      </c>
      <c r="C519" t="inlineStr">
        <is>
          <t>085262127774</t>
        </is>
      </c>
      <c r="D519" t="inlineStr">
        <is>
          <t>parsameannauli_intipersada@yahoo.com</t>
        </is>
      </c>
      <c r="E519" t="inlineStr">
        <is>
          <t>https://lpjk.pu.go.id/search-badan-usaha-detail/Tlc1RzhBRTZFbS9xRTd5MkJhQnA4QT09</t>
        </is>
      </c>
      <c r="F519" t="n">
        <v>1</v>
      </c>
      <c r="G519" t="inlineStr">
        <is>
          <t>BG004</t>
        </is>
      </c>
      <c r="H519" t="inlineStr">
        <is>
          <t>18 Februari 2016</t>
        </is>
      </c>
      <c r="I519" s="2" t="n">
        <v>46277</v>
      </c>
      <c r="J519" t="inlineStr">
        <is>
          <t>Disetujui</t>
        </is>
      </c>
      <c r="K519" t="n">
        <v>30</v>
      </c>
      <c r="L519" t="inlineStr">
        <is>
          <t>12 September 2026</t>
        </is>
      </c>
      <c r="M519" t="inlineStr">
        <is>
          <t>Konstruksi Gedung Perbelanjaan</t>
        </is>
      </c>
      <c r="N519" t="inlineStr">
        <is>
          <t>K</t>
        </is>
      </c>
      <c r="O519" t="inlineStr">
        <is>
          <t>20230912</t>
        </is>
      </c>
      <c r="P519" t="inlineStr">
        <is>
          <t>Sumatera Utara</t>
        </is>
      </c>
      <c r="Q519" t="inlineStr"/>
    </row>
    <row r="520">
      <c r="A520" t="inlineStr">
        <is>
          <t>PASTI MAKMUR BERSAMA</t>
        </is>
      </c>
      <c r="B520" t="inlineStr">
        <is>
          <t>Kota Batam</t>
        </is>
      </c>
      <c r="C520" t="inlineStr">
        <is>
          <t>07788096115</t>
        </is>
      </c>
      <c r="D520" t="inlineStr">
        <is>
          <t>batam_pmb@yahoo.com</t>
        </is>
      </c>
      <c r="E520" t="inlineStr">
        <is>
          <t>https://lpjk.pu.go.id/search-badan-usaha-detail/K3M3dXpha1RiSlg3cnpFVFhPRUZGQT09</t>
        </is>
      </c>
      <c r="F520" t="n">
        <v>1</v>
      </c>
      <c r="G520" t="inlineStr">
        <is>
          <t>BG005</t>
        </is>
      </c>
      <c r="H520" t="inlineStr">
        <is>
          <t>11 Juni 2013</t>
        </is>
      </c>
      <c r="I520" s="2" t="n">
        <v>46282</v>
      </c>
      <c r="J520" t="inlineStr">
        <is>
          <t>Pencabutan</t>
        </is>
      </c>
      <c r="K520" t="n">
        <v>30</v>
      </c>
      <c r="L520" t="inlineStr">
        <is>
          <t>17 September 2026</t>
        </is>
      </c>
      <c r="M520" t="inlineStr">
        <is>
          <t>Konstruksi Gedung Kesehatan</t>
        </is>
      </c>
      <c r="N520" t="inlineStr">
        <is>
          <t>K</t>
        </is>
      </c>
      <c r="O520" t="inlineStr">
        <is>
          <t>20230911</t>
        </is>
      </c>
      <c r="P520" t="inlineStr">
        <is>
          <t>Kepulauan Riau</t>
        </is>
      </c>
      <c r="Q520" t="inlineStr"/>
    </row>
    <row r="521">
      <c r="A521" t="inlineStr">
        <is>
          <t>PENTAKON</t>
        </is>
      </c>
      <c r="B521" t="inlineStr">
        <is>
          <t>Kota Tangerang</t>
        </is>
      </c>
      <c r="C521" t="inlineStr">
        <is>
          <t>0215600027</t>
        </is>
      </c>
      <c r="D521" t="inlineStr">
        <is>
          <t>ptpentakon@gmail.com</t>
        </is>
      </c>
      <c r="E521" t="inlineStr">
        <is>
          <t>https://lpjk.pu.go.id/search-badan-usaha-detail/bnVObTNSM3BRV0lqUncyUm5CK1hkZz09</t>
        </is>
      </c>
      <c r="F521" t="n">
        <v>1</v>
      </c>
      <c r="G521" t="inlineStr">
        <is>
          <t>BG009</t>
        </is>
      </c>
      <c r="H521" t="inlineStr">
        <is>
          <t>31 Juli 2009</t>
        </is>
      </c>
      <c r="I521" s="2" t="n">
        <v>46283</v>
      </c>
      <c r="J521" t="inlineStr">
        <is>
          <t>Disetujui</t>
        </is>
      </c>
      <c r="K521" t="n">
        <v>30</v>
      </c>
      <c r="L521" t="inlineStr">
        <is>
          <t>18 September 2026</t>
        </is>
      </c>
      <c r="M521" t="inlineStr">
        <is>
          <t>Konstruksi Gedung Lainnya</t>
        </is>
      </c>
      <c r="N521" t="inlineStr">
        <is>
          <t>K</t>
        </is>
      </c>
      <c r="O521" t="inlineStr">
        <is>
          <t>20230918</t>
        </is>
      </c>
      <c r="P521" t="inlineStr">
        <is>
          <t>Banten</t>
        </is>
      </c>
      <c r="Q521" t="inlineStr"/>
    </row>
    <row r="522">
      <c r="A522" t="inlineStr">
        <is>
          <t>PERINTIS PERSADA</t>
        </is>
      </c>
      <c r="B522" t="inlineStr">
        <is>
          <t>Kota Kupang</t>
        </is>
      </c>
      <c r="C522" t="inlineStr">
        <is>
          <t>081339424823</t>
        </is>
      </c>
      <c r="D522" t="inlineStr">
        <is>
          <t>perintispersada72@gmail.com</t>
        </is>
      </c>
      <c r="E522" t="inlineStr">
        <is>
          <t>https://lpjk.pu.go.id/search-badan-usaha-detail/TS9kbDJFSWRWU2hubjk5VWJOaTFoUT09</t>
        </is>
      </c>
      <c r="F522" t="n">
        <v>1</v>
      </c>
      <c r="G522" t="inlineStr">
        <is>
          <t>BG005</t>
        </is>
      </c>
      <c r="H522" t="inlineStr">
        <is>
          <t>18 Januari 1997</t>
        </is>
      </c>
      <c r="I522" s="2" t="n">
        <v>46277</v>
      </c>
      <c r="J522" t="inlineStr">
        <is>
          <t>Pencabutan</t>
        </is>
      </c>
      <c r="K522" t="n">
        <v>30</v>
      </c>
      <c r="L522" t="inlineStr">
        <is>
          <t>12 September 2026</t>
        </is>
      </c>
      <c r="M522" t="inlineStr">
        <is>
          <t>Konstruksi Gedung Kesehatan</t>
        </is>
      </c>
      <c r="N522" t="inlineStr">
        <is>
          <t>K</t>
        </is>
      </c>
      <c r="O522" t="inlineStr">
        <is>
          <t>20230905</t>
        </is>
      </c>
      <c r="P522" t="inlineStr">
        <is>
          <t>Nusa Tenggara Timur</t>
        </is>
      </c>
      <c r="Q522" t="inlineStr"/>
    </row>
    <row r="523">
      <c r="A523" t="inlineStr">
        <is>
          <t>PERKASA BERKAT MANDIRI</t>
        </is>
      </c>
      <c r="B523" t="inlineStr">
        <is>
          <t>Kota Tangerang</t>
        </is>
      </c>
      <c r="C523" t="inlineStr">
        <is>
          <t>081315734734</t>
        </is>
      </c>
      <c r="D523" t="inlineStr">
        <is>
          <t>perkasaberkat@yahoo.com</t>
        </is>
      </c>
      <c r="E523" t="inlineStr">
        <is>
          <t>https://lpjk.pu.go.id/search-badan-usaha-detail/QnRsai92ZTAvckdwTEthQmIxc2dSdz09</t>
        </is>
      </c>
      <c r="F523" t="n">
        <v>1</v>
      </c>
      <c r="G523" t="inlineStr">
        <is>
          <t>BG001</t>
        </is>
      </c>
      <c r="H523" t="inlineStr">
        <is>
          <t>22 Juni 2012</t>
        </is>
      </c>
      <c r="I523" s="2" t="n">
        <v>46278</v>
      </c>
      <c r="J523" t="inlineStr">
        <is>
          <t>Disetujui</t>
        </is>
      </c>
      <c r="K523" t="n">
        <v>30</v>
      </c>
      <c r="L523" t="inlineStr">
        <is>
          <t>13 September 2026</t>
        </is>
      </c>
      <c r="M523" t="inlineStr">
        <is>
          <t>Konstruksi Gedung Hunian</t>
        </is>
      </c>
      <c r="N523" t="inlineStr">
        <is>
          <t>K</t>
        </is>
      </c>
      <c r="O523" t="inlineStr">
        <is>
          <t>20230908</t>
        </is>
      </c>
      <c r="P523" t="inlineStr">
        <is>
          <t>Banten</t>
        </is>
      </c>
      <c r="Q523" t="inlineStr"/>
    </row>
    <row r="524">
      <c r="A524" t="inlineStr">
        <is>
          <t>PERMATA</t>
        </is>
      </c>
      <c r="B524" t="inlineStr">
        <is>
          <t>Kab. Bandung Barat</t>
        </is>
      </c>
      <c r="C524" t="inlineStr">
        <is>
          <t>082121206969</t>
        </is>
      </c>
      <c r="D524" t="inlineStr">
        <is>
          <t>cvpermatakbb@gmail.com</t>
        </is>
      </c>
      <c r="E524" t="inlineStr">
        <is>
          <t>https://lpjk.pu.go.id/search-badan-usaha-detail/UHdEdzQrcHJnZmpzY2tYSmk5ZWFMUT09</t>
        </is>
      </c>
      <c r="F524" t="n">
        <v>1</v>
      </c>
      <c r="G524" t="inlineStr">
        <is>
          <t>BG006</t>
        </is>
      </c>
      <c r="H524" t="inlineStr">
        <is>
          <t>31 Januari 2011</t>
        </is>
      </c>
      <c r="I524" s="2" t="n">
        <v>46277</v>
      </c>
      <c r="J524" t="inlineStr">
        <is>
          <t>Disetujui</t>
        </is>
      </c>
      <c r="K524" t="n">
        <v>30</v>
      </c>
      <c r="L524" t="inlineStr">
        <is>
          <t>12 September 2026</t>
        </is>
      </c>
      <c r="M524" t="inlineStr">
        <is>
          <t>Konstruksi Gedung Pendidikan</t>
        </is>
      </c>
      <c r="N524" t="inlineStr">
        <is>
          <t>K</t>
        </is>
      </c>
      <c r="O524" t="inlineStr">
        <is>
          <t>20230906</t>
        </is>
      </c>
      <c r="P524" t="inlineStr">
        <is>
          <t>Jawa Barat</t>
        </is>
      </c>
      <c r="Q524" t="inlineStr"/>
    </row>
    <row r="525">
      <c r="A525" t="inlineStr">
        <is>
          <t>PERMATA BANGUN KHARISMA</t>
        </is>
      </c>
      <c r="B525" t="inlineStr">
        <is>
          <t>Kab. Tangerang</t>
        </is>
      </c>
      <c r="C525" t="inlineStr">
        <is>
          <t>081298544855</t>
        </is>
      </c>
      <c r="D525" t="inlineStr">
        <is>
          <t>permatabangunkharism4@gmail.com</t>
        </is>
      </c>
      <c r="E525" t="inlineStr">
        <is>
          <t>https://lpjk.pu.go.id/search-badan-usaha-detail/VTQyVEtPejEyUTVGRHArM0s0U3RQdz09</t>
        </is>
      </c>
      <c r="F525" t="n">
        <v>2</v>
      </c>
      <c r="G525" t="inlineStr">
        <is>
          <t>BG002, BG003</t>
        </is>
      </c>
      <c r="H525" t="inlineStr">
        <is>
          <t>11 September 2023</t>
        </is>
      </c>
      <c r="I525" s="2" t="n">
        <v>46279</v>
      </c>
      <c r="J525" t="inlineStr">
        <is>
          <t>Pencabutan</t>
        </is>
      </c>
      <c r="K525" t="n">
        <v>30</v>
      </c>
      <c r="L525" t="inlineStr">
        <is>
          <t>14 September 2026</t>
        </is>
      </c>
      <c r="M525" t="inlineStr">
        <is>
          <t>Konstruksi Gedung Industri, Konstruksi Gedung Perkantoran</t>
        </is>
      </c>
      <c r="N525" t="inlineStr">
        <is>
          <t>K</t>
        </is>
      </c>
      <c r="O525" t="inlineStr">
        <is>
          <t>20230914</t>
        </is>
      </c>
      <c r="P525" t="inlineStr">
        <is>
          <t>Banten</t>
        </is>
      </c>
      <c r="Q525" t="inlineStr"/>
    </row>
    <row r="526">
      <c r="A526" t="inlineStr">
        <is>
          <t>PERMATA JAYA TEHNIK</t>
        </is>
      </c>
      <c r="B526" t="inlineStr">
        <is>
          <t>Kota Bandung</t>
        </is>
      </c>
      <c r="C526" t="inlineStr">
        <is>
          <t>02263196046</t>
        </is>
      </c>
      <c r="D526" t="inlineStr">
        <is>
          <t>permatajayatehnik2019@gmail.com</t>
        </is>
      </c>
      <c r="E526" t="inlineStr">
        <is>
          <t>https://lpjk.pu.go.id/search-badan-usaha-detail/aWVxYTZpYVoxMU1Sd1NnZXQ5Vi9lUT09</t>
        </is>
      </c>
      <c r="F526" t="n">
        <v>1</v>
      </c>
      <c r="G526" t="inlineStr">
        <is>
          <t>BG009</t>
        </is>
      </c>
      <c r="H526" t="inlineStr">
        <is>
          <t>22 Desember 2017</t>
        </is>
      </c>
      <c r="I526" s="2" t="n">
        <v>46279</v>
      </c>
      <c r="J526" t="inlineStr">
        <is>
          <t>Disetujui</t>
        </is>
      </c>
      <c r="K526" t="n">
        <v>30</v>
      </c>
      <c r="L526" t="inlineStr">
        <is>
          <t>14 September 2026</t>
        </is>
      </c>
      <c r="M526" t="inlineStr">
        <is>
          <t>Konstruksi Gedung Lainnya</t>
        </is>
      </c>
      <c r="N526" t="inlineStr">
        <is>
          <t>K</t>
        </is>
      </c>
      <c r="O526" t="inlineStr">
        <is>
          <t>20230913</t>
        </is>
      </c>
      <c r="P526" t="inlineStr">
        <is>
          <t>Jawa Barat</t>
        </is>
      </c>
      <c r="Q526" t="inlineStr"/>
    </row>
    <row r="527">
      <c r="A527" t="inlineStr">
        <is>
          <t>PESONA ALAM MULIA</t>
        </is>
      </c>
      <c r="B527" t="inlineStr">
        <is>
          <t>Kab. Madiun</t>
        </is>
      </c>
      <c r="C527" t="inlineStr">
        <is>
          <t>081359538946</t>
        </is>
      </c>
      <c r="D527" t="inlineStr">
        <is>
          <t>pesonaalammulia@gmail.com</t>
        </is>
      </c>
      <c r="E527" t="inlineStr">
        <is>
          <t>https://lpjk.pu.go.id/search-badan-usaha-detail/RG8zZVMyNHY1TEFIT2dPeml2eEVsdz09</t>
        </is>
      </c>
      <c r="F527" t="n">
        <v>2</v>
      </c>
      <c r="G527" t="inlineStr">
        <is>
          <t>BS001, BS004</t>
        </is>
      </c>
      <c r="H527" t="inlineStr">
        <is>
          <t>19 Desember 2018</t>
        </is>
      </c>
      <c r="I527" s="2" t="n">
        <v>46278</v>
      </c>
      <c r="J527" t="inlineStr">
        <is>
          <t>Disetujui</t>
        </is>
      </c>
      <c r="K527" t="n">
        <v>30</v>
      </c>
      <c r="L527" t="inlineStr">
        <is>
          <t>13 September 2026</t>
        </is>
      </c>
      <c r="M527" t="inlineStr">
        <is>
          <t>Konstruksi Bangunan Sipil Jalan, Konstruksi Jaringan Irigasi dan Drainase</t>
        </is>
      </c>
      <c r="N527" t="inlineStr">
        <is>
          <t>K</t>
        </is>
      </c>
      <c r="O527" t="inlineStr">
        <is>
          <t>20230906, 20230907</t>
        </is>
      </c>
      <c r="P527" t="inlineStr">
        <is>
          <t>Jawa Timur</t>
        </is>
      </c>
      <c r="Q527" t="inlineStr"/>
    </row>
    <row r="528">
      <c r="A528" t="inlineStr">
        <is>
          <t>PILAR 94</t>
        </is>
      </c>
      <c r="B528" t="inlineStr">
        <is>
          <t>Kab. Banyumas</t>
        </is>
      </c>
      <c r="C528" t="inlineStr">
        <is>
          <t>0281639882</t>
        </is>
      </c>
      <c r="D528" t="inlineStr">
        <is>
          <t>rudipilar94@gmail.com</t>
        </is>
      </c>
      <c r="E528" t="inlineStr">
        <is>
          <t>https://lpjk.pu.go.id/search-badan-usaha-detail/ZUE0b24zUFI4dGhFRk8xcXI1TVR0UT09</t>
        </is>
      </c>
      <c r="F528" t="n">
        <v>2</v>
      </c>
      <c r="G528" t="inlineStr">
        <is>
          <t>BG005, BG006</t>
        </is>
      </c>
      <c r="H528" t="inlineStr">
        <is>
          <t>14 Desember 1993</t>
        </is>
      </c>
      <c r="I528" s="2" t="n">
        <v>46277</v>
      </c>
      <c r="J528" t="inlineStr">
        <is>
          <t>Disetujui</t>
        </is>
      </c>
      <c r="K528" t="n">
        <v>30</v>
      </c>
      <c r="L528" t="inlineStr">
        <is>
          <t>12 September 2026</t>
        </is>
      </c>
      <c r="M528" t="inlineStr">
        <is>
          <t>Konstruksi Gedung Kesehatan, Konstruksi Gedung Pendidikan</t>
        </is>
      </c>
      <c r="N528" t="inlineStr">
        <is>
          <t>K</t>
        </is>
      </c>
      <c r="O528" t="inlineStr">
        <is>
          <t>20230906, 20230911</t>
        </is>
      </c>
      <c r="P528" t="inlineStr">
        <is>
          <t>Jawa Tengah</t>
        </is>
      </c>
      <c r="Q528" t="inlineStr"/>
    </row>
    <row r="529">
      <c r="A529" t="inlineStr">
        <is>
          <t>PILAR JAYA KONSTRUKSI</t>
        </is>
      </c>
      <c r="B529" t="inlineStr">
        <is>
          <t>Kota Kupang</t>
        </is>
      </c>
      <c r="C529" t="inlineStr">
        <is>
          <t>082236069997</t>
        </is>
      </c>
      <c r="D529" t="inlineStr">
        <is>
          <t>pilararch16@gmail.com</t>
        </is>
      </c>
      <c r="E529" t="inlineStr">
        <is>
          <t>https://lpjk.pu.go.id/search-badan-usaha-detail/QzZnOE5pR2FJcGwraXo0N2NRQ2VVZz09</t>
        </is>
      </c>
      <c r="F529" t="n">
        <v>1</v>
      </c>
      <c r="G529" t="inlineStr">
        <is>
          <t>BG009</t>
        </is>
      </c>
      <c r="H529" t="inlineStr">
        <is>
          <t>16 Maret 2018</t>
        </is>
      </c>
      <c r="I529" s="2" t="n">
        <v>46279</v>
      </c>
      <c r="J529" t="inlineStr">
        <is>
          <t>Disetujui</t>
        </is>
      </c>
      <c r="K529" t="n">
        <v>30</v>
      </c>
      <c r="L529" t="inlineStr">
        <is>
          <t>14 September 2026</t>
        </is>
      </c>
      <c r="M529" t="inlineStr">
        <is>
          <t>Konstruksi Gedung Lainnya</t>
        </is>
      </c>
      <c r="N529" t="inlineStr">
        <is>
          <t>K</t>
        </is>
      </c>
      <c r="O529" t="inlineStr">
        <is>
          <t>20230905</t>
        </is>
      </c>
      <c r="P529" t="inlineStr">
        <is>
          <t>Nusa Tenggara Timur</t>
        </is>
      </c>
      <c r="Q529" t="inlineStr"/>
    </row>
    <row r="530">
      <c r="A530" t="inlineStr">
        <is>
          <t>PILAR PERMATA ABADI</t>
        </is>
      </c>
      <c r="B530" t="inlineStr">
        <is>
          <t>Kota Pontianak</t>
        </is>
      </c>
      <c r="C530" t="inlineStr">
        <is>
          <t>082157880958</t>
        </is>
      </c>
      <c r="D530" t="inlineStr">
        <is>
          <t>cv.ppa.2020@gmail.com</t>
        </is>
      </c>
      <c r="E530" t="inlineStr">
        <is>
          <t>https://lpjk.pu.go.id/search-badan-usaha-detail/cElGTHY3ODVmeVBtU0hnL2hLaFVTQT09</t>
        </is>
      </c>
      <c r="F530" t="n">
        <v>2</v>
      </c>
      <c r="G530" t="inlineStr">
        <is>
          <t>BG006, BG008</t>
        </is>
      </c>
      <c r="H530" t="inlineStr">
        <is>
          <t>7 Januari 2020</t>
        </is>
      </c>
      <c r="I530" s="2" t="n">
        <v>46282</v>
      </c>
      <c r="J530" t="inlineStr">
        <is>
          <t>Disetujui</t>
        </is>
      </c>
      <c r="K530" t="n">
        <v>30</v>
      </c>
      <c r="L530" t="inlineStr">
        <is>
          <t>17 September 2026</t>
        </is>
      </c>
      <c r="M530" t="inlineStr">
        <is>
          <t>Konstruksi Gedung Pendidikan, Konstruksi Gedung Tempat Hiburan dan Olahraga</t>
        </is>
      </c>
      <c r="N530" t="inlineStr">
        <is>
          <t>K</t>
        </is>
      </c>
      <c r="O530" t="inlineStr">
        <is>
          <t>20230909</t>
        </is>
      </c>
      <c r="P530" t="inlineStr">
        <is>
          <t>Kalimantan Barat</t>
        </is>
      </c>
      <c r="Q530" t="inlineStr"/>
    </row>
    <row r="531">
      <c r="A531" t="inlineStr">
        <is>
          <t>POLAWES RAYA</t>
        </is>
      </c>
      <c r="B531" t="inlineStr">
        <is>
          <t>Kota Adm. Jakarta Selatan</t>
        </is>
      </c>
      <c r="C531" t="inlineStr">
        <is>
          <t>0218305481</t>
        </is>
      </c>
      <c r="D531" t="inlineStr">
        <is>
          <t>polawesraya@gmail.com</t>
        </is>
      </c>
      <c r="E531" t="inlineStr">
        <is>
          <t>https://lpjk.pu.go.id/search-badan-usaha-detail/WjN0TnVDZytvTURwdGtqayt3RUVYUT09</t>
        </is>
      </c>
      <c r="F531" t="n">
        <v>3</v>
      </c>
      <c r="G531" t="inlineStr">
        <is>
          <t>BS010, BS011, BS012</t>
        </is>
      </c>
      <c r="H531" t="inlineStr">
        <is>
          <t>24 September 1987</t>
        </is>
      </c>
      <c r="I531" s="2" t="n">
        <v>46283</v>
      </c>
      <c r="J531" t="inlineStr">
        <is>
          <t>Disetujui</t>
        </is>
      </c>
      <c r="K531" t="n">
        <v>30</v>
      </c>
      <c r="L531" t="inlineStr">
        <is>
          <t>18 September 2026</t>
        </is>
      </c>
      <c r="M531" t="inlineStr">
        <is>
          <t>Konstruksi Bangunan Pelabuhan Bukan Perikanan, Konstruksi Bangunan Pelabuhan Perikanan, Konstruksi Bangunan Prasarana Sumber Daya Air</t>
        </is>
      </c>
      <c r="N531" t="inlineStr">
        <is>
          <t>K</t>
        </is>
      </c>
      <c r="O531" t="inlineStr">
        <is>
          <t>20230919</t>
        </is>
      </c>
      <c r="P531" t="inlineStr">
        <is>
          <t>DKI Jakarta</t>
        </is>
      </c>
      <c r="Q531" t="inlineStr"/>
    </row>
    <row r="532">
      <c r="A532" t="inlineStr">
        <is>
          <t>PRATAMA KONSTRUKSI</t>
        </is>
      </c>
      <c r="B532" t="inlineStr">
        <is>
          <t>Kab. Gowa</t>
        </is>
      </c>
      <c r="C532" t="inlineStr">
        <is>
          <t>085397770691</t>
        </is>
      </c>
      <c r="D532" t="inlineStr">
        <is>
          <t>cv.pratamakonstruksi@gmail.com</t>
        </is>
      </c>
      <c r="E532" t="inlineStr">
        <is>
          <t>https://lpjk.pu.go.id/search-badan-usaha-detail/Z1VVUXBDbXFMOVJrNnJlUmF4WWl4Zz09</t>
        </is>
      </c>
      <c r="F532" t="n">
        <v>1</v>
      </c>
      <c r="G532" t="inlineStr">
        <is>
          <t>BS004</t>
        </is>
      </c>
      <c r="H532" t="inlineStr">
        <is>
          <t>30 Juni 2015</t>
        </is>
      </c>
      <c r="I532" s="2" t="n">
        <v>46279</v>
      </c>
      <c r="J532" t="inlineStr">
        <is>
          <t>Disetujui</t>
        </is>
      </c>
      <c r="K532" t="n">
        <v>30</v>
      </c>
      <c r="L532" t="inlineStr">
        <is>
          <t>14 September 2026</t>
        </is>
      </c>
      <c r="M532" t="inlineStr">
        <is>
          <t>Konstruksi Jaringan Irigasi dan Drainase</t>
        </is>
      </c>
      <c r="N532" t="inlineStr">
        <is>
          <t>K</t>
        </is>
      </c>
      <c r="O532" t="inlineStr">
        <is>
          <t>20230913</t>
        </is>
      </c>
      <c r="P532" t="inlineStr">
        <is>
          <t>Sulawesi Selatan</t>
        </is>
      </c>
      <c r="Q532" t="inlineStr"/>
    </row>
    <row r="533">
      <c r="A533" t="inlineStr">
        <is>
          <t>PRATAMA PERSADA AIRBORNE</t>
        </is>
      </c>
      <c r="B533" t="inlineStr">
        <is>
          <t>Kota Adm. Jakarta Selatan</t>
        </is>
      </c>
      <c r="C533" t="inlineStr">
        <is>
          <t>081212120909</t>
        </is>
      </c>
      <c r="D533" t="inlineStr">
        <is>
          <t>info.ppairborne@gmail.com</t>
        </is>
      </c>
      <c r="E533" t="inlineStr">
        <is>
          <t>https://lpjk.pu.go.id/search-badan-usaha-detail/cVlHYkM4dUxpaEhid1hiQzJJU3lwZz09</t>
        </is>
      </c>
      <c r="F533" t="n">
        <v>3</v>
      </c>
      <c r="G533" t="inlineStr">
        <is>
          <t>IT001, IT002, IT003</t>
        </is>
      </c>
      <c r="H533" t="inlineStr">
        <is>
          <t>29 Desember 2016</t>
        </is>
      </c>
      <c r="I533" s="2" t="n">
        <v>46279</v>
      </c>
      <c r="J533" t="inlineStr">
        <is>
          <t>Disetujui</t>
        </is>
      </c>
      <c r="K533" t="n">
        <v>30</v>
      </c>
      <c r="L533" t="inlineStr">
        <is>
          <t>14 September 2026</t>
        </is>
      </c>
      <c r="M533" t="inlineStr">
        <is>
          <t>Jasa Konsultansi Ilmiah dan Teknis Bawah Tanah, Jasa Konsultansi Ilmiah dan Teknis Permukaan Tanah dan Pembuatan Peta, Jasa Pembuatan Prospektus Geologi dan Geofisika</t>
        </is>
      </c>
      <c r="N533" t="inlineStr">
        <is>
          <t>Spesialis</t>
        </is>
      </c>
      <c r="O533" t="inlineStr">
        <is>
          <t>20230912</t>
        </is>
      </c>
      <c r="P533" t="inlineStr">
        <is>
          <t>DKI Jakarta</t>
        </is>
      </c>
      <c r="Q533" t="inlineStr"/>
    </row>
    <row r="534">
      <c r="A534" t="inlineStr">
        <is>
          <t>PRIMA BERKARYA BERSAMA</t>
        </is>
      </c>
      <c r="B534" t="inlineStr">
        <is>
          <t>Kota Makassar</t>
        </is>
      </c>
      <c r="C534" t="inlineStr">
        <is>
          <t>082195016585</t>
        </is>
      </c>
      <c r="D534" t="inlineStr">
        <is>
          <t>pt.pbb@yahoo.com</t>
        </is>
      </c>
      <c r="E534" t="inlineStr">
        <is>
          <t>https://lpjk.pu.go.id/search-badan-usaha-detail/eUlNNVVvYk9XVmtPODN1ZlhyQ2hUUT09</t>
        </is>
      </c>
      <c r="F534" t="n">
        <v>1</v>
      </c>
      <c r="G534" t="inlineStr">
        <is>
          <t>BG002</t>
        </is>
      </c>
      <c r="H534" t="inlineStr">
        <is>
          <t>20 Januari 2018</t>
        </is>
      </c>
      <c r="I534" s="2" t="n">
        <v>46283</v>
      </c>
      <c r="J534" t="inlineStr">
        <is>
          <t>Disetujui</t>
        </is>
      </c>
      <c r="K534" t="n">
        <v>30</v>
      </c>
      <c r="L534" t="inlineStr">
        <is>
          <t>18 September 2026</t>
        </is>
      </c>
      <c r="M534" t="inlineStr">
        <is>
          <t>Konstruksi Gedung Perkantoran</t>
        </is>
      </c>
      <c r="N534" t="inlineStr">
        <is>
          <t>K</t>
        </is>
      </c>
      <c r="O534" t="inlineStr">
        <is>
          <t>20230919</t>
        </is>
      </c>
      <c r="P534" t="inlineStr">
        <is>
          <t>Sulawesi Selatan</t>
        </is>
      </c>
      <c r="Q534" t="inlineStr"/>
    </row>
    <row r="535">
      <c r="A535" t="inlineStr">
        <is>
          <t>PRIMA DARMA</t>
        </is>
      </c>
      <c r="B535" t="inlineStr">
        <is>
          <t>Kota Makassar</t>
        </is>
      </c>
      <c r="C535" t="inlineStr">
        <is>
          <t>085299239170</t>
        </is>
      </c>
      <c r="D535" t="inlineStr">
        <is>
          <t>primadarma22@gmail.com</t>
        </is>
      </c>
      <c r="E535" t="inlineStr">
        <is>
          <t>https://lpjk.pu.go.id/search-badan-usaha-detail/ZERidCszT1BqNmRmY3VjdTRSRkF3dz09</t>
        </is>
      </c>
      <c r="F535" t="n">
        <v>2</v>
      </c>
      <c r="G535" t="inlineStr">
        <is>
          <t>BG001, BS001</t>
        </is>
      </c>
      <c r="H535" t="inlineStr">
        <is>
          <t>27 Oktober 2017</t>
        </is>
      </c>
      <c r="I535" s="2" t="n">
        <v>46278</v>
      </c>
      <c r="J535" t="inlineStr">
        <is>
          <t>Disetujui, Pencabutan</t>
        </is>
      </c>
      <c r="K535" t="n">
        <v>30</v>
      </c>
      <c r="L535" t="inlineStr">
        <is>
          <t>13 September 2026</t>
        </is>
      </c>
      <c r="M535" t="inlineStr">
        <is>
          <t>Konstruksi Bangunan Sipil Jalan, Konstruksi Gedung Hunian</t>
        </is>
      </c>
      <c r="N535" t="inlineStr">
        <is>
          <t>K</t>
        </is>
      </c>
      <c r="O535" t="inlineStr">
        <is>
          <t>20230914</t>
        </is>
      </c>
      <c r="P535" t="inlineStr">
        <is>
          <t>Sulawesi Selatan</t>
        </is>
      </c>
      <c r="Q535" t="inlineStr"/>
    </row>
    <row r="536">
      <c r="A536" t="inlineStr">
        <is>
          <t>PRIMA KARYA KONTRUKSI</t>
        </is>
      </c>
      <c r="B536" t="inlineStr">
        <is>
          <t>Kab. Solok</t>
        </is>
      </c>
      <c r="C536" t="inlineStr">
        <is>
          <t>82169616410</t>
        </is>
      </c>
      <c r="D536" t="inlineStr">
        <is>
          <t>kontruksiprimakarya5@gmail.com</t>
        </is>
      </c>
      <c r="E536" t="inlineStr">
        <is>
          <t>https://lpjk.pu.go.id/search-badan-usaha-detail/dFVzZVU1TVFTZXB4NFJKRk8wUHNKdz09</t>
        </is>
      </c>
      <c r="F536" t="n">
        <v>2</v>
      </c>
      <c r="G536" t="inlineStr">
        <is>
          <t>BS002, BS004</t>
        </is>
      </c>
      <c r="H536" t="inlineStr">
        <is>
          <t>19 Januari 2023</t>
        </is>
      </c>
      <c r="I536" s="2" t="n">
        <v>46277</v>
      </c>
      <c r="J536" t="inlineStr">
        <is>
          <t>Disetujui</t>
        </is>
      </c>
      <c r="K536" t="n">
        <v>30</v>
      </c>
      <c r="L536" t="inlineStr">
        <is>
          <t>12 September 2026</t>
        </is>
      </c>
      <c r="M536" t="inlineStr">
        <is>
          <t>Bangunan Sipil Jembatan, Jalan Layang, Fly Over, dan Underpass, Konstruksi Jaringan Irigasi dan Drainase</t>
        </is>
      </c>
      <c r="N536" t="inlineStr">
        <is>
          <t>K</t>
        </is>
      </c>
      <c r="O536" t="inlineStr">
        <is>
          <t>20230810, 20230903</t>
        </is>
      </c>
      <c r="P536" t="inlineStr">
        <is>
          <t>Sumatera Barat</t>
        </is>
      </c>
      <c r="Q536" t="inlineStr"/>
    </row>
    <row r="537">
      <c r="A537" t="inlineStr">
        <is>
          <t>PRIMA KARYA UTAMA</t>
        </is>
      </c>
      <c r="B537" t="inlineStr">
        <is>
          <t>Kota Solok</t>
        </is>
      </c>
      <c r="C537" t="inlineStr">
        <is>
          <t>085263804893</t>
        </is>
      </c>
      <c r="D537" t="inlineStr">
        <is>
          <t>primautamaslk@gmail.com</t>
        </is>
      </c>
      <c r="E537" t="inlineStr">
        <is>
          <t>https://lpjk.pu.go.id/search-badan-usaha-detail/MmxvR05LNUZVdjdUalFoRmVHOVlwUT09</t>
        </is>
      </c>
      <c r="F537" t="n">
        <v>1</v>
      </c>
      <c r="G537" t="inlineStr">
        <is>
          <t>BS002</t>
        </is>
      </c>
      <c r="H537" t="inlineStr">
        <is>
          <t>10 Februari 2006</t>
        </is>
      </c>
      <c r="I537" s="2" t="n">
        <v>46277</v>
      </c>
      <c r="J537" t="inlineStr">
        <is>
          <t>Disetujui</t>
        </is>
      </c>
      <c r="K537" t="n">
        <v>30</v>
      </c>
      <c r="L537" t="inlineStr">
        <is>
          <t>12 September 2026</t>
        </is>
      </c>
      <c r="M537" t="inlineStr">
        <is>
          <t>Bangunan Sipil Jembatan, Jalan Layang, Fly Over, dan Underpass</t>
        </is>
      </c>
      <c r="N537" t="inlineStr">
        <is>
          <t>K</t>
        </is>
      </c>
      <c r="O537" t="inlineStr">
        <is>
          <t>20230903</t>
        </is>
      </c>
      <c r="P537" t="inlineStr">
        <is>
          <t>Sumatera Barat</t>
        </is>
      </c>
      <c r="Q537" t="inlineStr"/>
    </row>
    <row r="538">
      <c r="A538" t="inlineStr">
        <is>
          <t>PRIMA KONSTRUKSI</t>
        </is>
      </c>
      <c r="B538" t="inlineStr">
        <is>
          <t>Kota Banda Aceh</t>
        </is>
      </c>
      <c r="C538" t="inlineStr">
        <is>
          <t>085260921535</t>
        </is>
      </c>
      <c r="D538" t="inlineStr">
        <is>
          <t>primakonstruksi88@gmail.com</t>
        </is>
      </c>
      <c r="E538" t="inlineStr">
        <is>
          <t>https://lpjk.pu.go.id/search-badan-usaha-detail/dHV6VUlMMWJ0YlhwR2g1cXlZSVhVQT09</t>
        </is>
      </c>
      <c r="F538" t="n">
        <v>5</v>
      </c>
      <c r="G538" t="inlineStr">
        <is>
          <t>BG001, BG006, BG008, BG009, BS002</t>
        </is>
      </c>
      <c r="H538" t="inlineStr">
        <is>
          <t>26 Februari 2014</t>
        </is>
      </c>
      <c r="I538" s="2" t="n">
        <v>46283</v>
      </c>
      <c r="J538" t="inlineStr">
        <is>
          <t>Disetujui, Pencabutan</t>
        </is>
      </c>
      <c r="K538" t="n">
        <v>30</v>
      </c>
      <c r="L538" t="inlineStr">
        <is>
          <t>18 September 2026</t>
        </is>
      </c>
      <c r="M538" t="inlineStr">
        <is>
          <t>Bangunan Sipil Jembatan, Jalan Layang, Fly Over, dan Underpass, Konstruksi Gedung Hunian, Konstruksi Gedung Lainnya, Konstruksi Gedung Pendidikan, Konstruksi Gedung Tempat Hiburan dan Olahraga</t>
        </is>
      </c>
      <c r="N538" t="inlineStr">
        <is>
          <t>K</t>
        </is>
      </c>
      <c r="O538" t="inlineStr">
        <is>
          <t>20230918</t>
        </is>
      </c>
      <c r="P538" t="inlineStr">
        <is>
          <t>Aceh</t>
        </is>
      </c>
      <c r="Q538" t="inlineStr"/>
    </row>
    <row r="539">
      <c r="A539" t="inlineStr">
        <is>
          <t>PRIMA LESTARI</t>
        </is>
      </c>
      <c r="B539" t="inlineStr">
        <is>
          <t>Kab. Rejang Lebong</t>
        </is>
      </c>
      <c r="C539" t="inlineStr">
        <is>
          <t>0732</t>
        </is>
      </c>
      <c r="D539" t="inlineStr">
        <is>
          <t>cvprimalestari@ymail.com</t>
        </is>
      </c>
      <c r="E539" t="inlineStr">
        <is>
          <t>https://lpjk.pu.go.id/search-badan-usaha-detail/T29WTEJRenVKYmY2SkQvZEJYd2U1Zz09</t>
        </is>
      </c>
      <c r="F539" t="n">
        <v>1</v>
      </c>
      <c r="G539" t="inlineStr">
        <is>
          <t>BG005</t>
        </is>
      </c>
      <c r="H539" t="inlineStr">
        <is>
          <t>21 Oktober 1993</t>
        </is>
      </c>
      <c r="I539" s="2" t="n">
        <v>46283</v>
      </c>
      <c r="J539" t="inlineStr">
        <is>
          <t>Disetujui</t>
        </is>
      </c>
      <c r="K539" t="n">
        <v>30</v>
      </c>
      <c r="L539" t="inlineStr">
        <is>
          <t>18 September 2026</t>
        </is>
      </c>
      <c r="M539" t="inlineStr">
        <is>
          <t>Konstruksi Gedung Kesehatan</t>
        </is>
      </c>
      <c r="N539" t="inlineStr">
        <is>
          <t>K</t>
        </is>
      </c>
      <c r="O539" t="inlineStr">
        <is>
          <t>20230530</t>
        </is>
      </c>
      <c r="P539" t="inlineStr">
        <is>
          <t>Bengkulu</t>
        </is>
      </c>
      <c r="Q539" t="inlineStr"/>
    </row>
    <row r="540">
      <c r="A540" t="inlineStr">
        <is>
          <t>PRIMA MAULANA</t>
        </is>
      </c>
      <c r="B540" t="inlineStr">
        <is>
          <t>Kota Pariaman</t>
        </is>
      </c>
      <c r="C540" t="inlineStr">
        <is>
          <t>081267158353</t>
        </is>
      </c>
      <c r="D540" t="inlineStr">
        <is>
          <t>maulanacvprima7@gmail.com</t>
        </is>
      </c>
      <c r="E540" t="inlineStr">
        <is>
          <t>https://lpjk.pu.go.id/search-badan-usaha-detail/bnhzK2FOSDZ1ZHhYZFlYTmZ6QUpqZz09</t>
        </is>
      </c>
      <c r="F540" t="n">
        <v>1</v>
      </c>
      <c r="G540" t="inlineStr">
        <is>
          <t>BS001</t>
        </is>
      </c>
      <c r="H540" t="inlineStr">
        <is>
          <t>5 Januari 2005</t>
        </is>
      </c>
      <c r="I540" s="2" t="n">
        <v>46278</v>
      </c>
      <c r="J540" t="inlineStr">
        <is>
          <t>Disetujui</t>
        </is>
      </c>
      <c r="K540" t="n">
        <v>30</v>
      </c>
      <c r="L540" t="inlineStr">
        <is>
          <t>13 September 2026</t>
        </is>
      </c>
      <c r="M540" t="inlineStr">
        <is>
          <t>Konstruksi Bangunan Sipil Jalan</t>
        </is>
      </c>
      <c r="N540" t="inlineStr">
        <is>
          <t>K</t>
        </is>
      </c>
      <c r="O540" t="inlineStr">
        <is>
          <t>20230913</t>
        </is>
      </c>
      <c r="P540" t="inlineStr">
        <is>
          <t>Sumatera Barat</t>
        </is>
      </c>
      <c r="Q540" t="inlineStr"/>
    </row>
    <row r="541">
      <c r="A541" t="inlineStr">
        <is>
          <t>PRIMARAYA DIGAZTA</t>
        </is>
      </c>
      <c r="B541" t="inlineStr">
        <is>
          <t>Kab. Sanggau</t>
        </is>
      </c>
      <c r="C541" t="inlineStr">
        <is>
          <t>082255015447</t>
        </is>
      </c>
      <c r="D541" t="inlineStr">
        <is>
          <t>cvprimarayadigazta2@protonmail.com</t>
        </is>
      </c>
      <c r="E541" t="inlineStr">
        <is>
          <t>https://lpjk.pu.go.id/search-badan-usaha-detail/VDh6VDdzTTZzODhVcG5PRmlPUWVBQT09</t>
        </is>
      </c>
      <c r="F541" t="n">
        <v>1</v>
      </c>
      <c r="G541" t="inlineStr">
        <is>
          <t>BS002</t>
        </is>
      </c>
      <c r="H541" t="inlineStr">
        <is>
          <t>20 Mei 2020</t>
        </is>
      </c>
      <c r="I541" s="2" t="n">
        <v>46278</v>
      </c>
      <c r="J541" t="inlineStr">
        <is>
          <t>Disetujui</t>
        </is>
      </c>
      <c r="K541" t="n">
        <v>30</v>
      </c>
      <c r="L541" t="inlineStr">
        <is>
          <t>13 September 2026</t>
        </is>
      </c>
      <c r="M541" t="inlineStr">
        <is>
          <t>Bangunan Sipil Jembatan, Jalan Layang, Fly Over, dan Underpass</t>
        </is>
      </c>
      <c r="N541" t="inlineStr">
        <is>
          <t>K</t>
        </is>
      </c>
      <c r="O541" t="inlineStr">
        <is>
          <t>20230910</t>
        </is>
      </c>
      <c r="P541" t="inlineStr">
        <is>
          <t>Kalimantan Barat</t>
        </is>
      </c>
      <c r="Q541" t="inlineStr"/>
    </row>
    <row r="542">
      <c r="A542" t="inlineStr">
        <is>
          <t>PUNCAK ARFAK</t>
        </is>
      </c>
      <c r="B542" t="inlineStr">
        <is>
          <t>Kab. Manokwari</t>
        </is>
      </c>
      <c r="C542" t="inlineStr">
        <is>
          <t>085344995675</t>
        </is>
      </c>
      <c r="D542" t="inlineStr">
        <is>
          <t>cv.puncakarfak@gmail.com</t>
        </is>
      </c>
      <c r="E542" t="inlineStr">
        <is>
          <t>https://lpjk.pu.go.id/search-badan-usaha-detail/a2RPc3ZrSVlQbXdFOC8zSlJHUnUrQT09</t>
        </is>
      </c>
      <c r="F542" t="n">
        <v>2</v>
      </c>
      <c r="G542" t="inlineStr">
        <is>
          <t>BG009, BS010</t>
        </is>
      </c>
      <c r="H542" t="inlineStr">
        <is>
          <t>6 Desember 2018</t>
        </is>
      </c>
      <c r="I542" s="2" t="n">
        <v>46279</v>
      </c>
      <c r="J542" t="inlineStr">
        <is>
          <t>Pencabutan</t>
        </is>
      </c>
      <c r="K542" t="n">
        <v>30</v>
      </c>
      <c r="L542" t="inlineStr">
        <is>
          <t>14 September 2026</t>
        </is>
      </c>
      <c r="M542" t="inlineStr">
        <is>
          <t>Konstruksi Bangunan Prasarana Sumber Daya Air, Konstruksi Gedung Lainnya</t>
        </is>
      </c>
      <c r="N542" t="inlineStr">
        <is>
          <t>K</t>
        </is>
      </c>
      <c r="O542" t="inlineStr">
        <is>
          <t>20230821, 20230912</t>
        </is>
      </c>
      <c r="P542" t="inlineStr">
        <is>
          <t>Papua Barat</t>
        </is>
      </c>
      <c r="Q542" t="inlineStr"/>
    </row>
    <row r="543">
      <c r="A543" t="inlineStr">
        <is>
          <t>PUNCAK SEJAHTERA ABADI</t>
        </is>
      </c>
      <c r="B543" t="inlineStr">
        <is>
          <t>Kab. Merauke</t>
        </is>
      </c>
      <c r="C543" t="inlineStr">
        <is>
          <t>082141049134</t>
        </is>
      </c>
      <c r="D543" t="inlineStr">
        <is>
          <t>rikaujuto@gmail.com</t>
        </is>
      </c>
      <c r="E543" t="inlineStr">
        <is>
          <t>https://lpjk.pu.go.id/search-badan-usaha-detail/a0ZzU2N1N3QyNlFndW16eXJOSzZ5dz09</t>
        </is>
      </c>
      <c r="F543" t="n">
        <v>1</v>
      </c>
      <c r="G543" t="inlineStr">
        <is>
          <t>BS010</t>
        </is>
      </c>
      <c r="H543" t="inlineStr">
        <is>
          <t>12 Desember 2014</t>
        </is>
      </c>
      <c r="I543" s="2" t="n">
        <v>46280</v>
      </c>
      <c r="J543" t="inlineStr">
        <is>
          <t>Pembekuan</t>
        </is>
      </c>
      <c r="K543" t="n">
        <v>30</v>
      </c>
      <c r="L543" t="inlineStr">
        <is>
          <t>15 September 2026</t>
        </is>
      </c>
      <c r="M543" t="inlineStr">
        <is>
          <t>Konstruksi Bangunan Prasarana Sumber Daya Air</t>
        </is>
      </c>
      <c r="N543" t="inlineStr">
        <is>
          <t>M</t>
        </is>
      </c>
      <c r="O543" t="inlineStr">
        <is>
          <t>20230915</t>
        </is>
      </c>
      <c r="P543" t="inlineStr">
        <is>
          <t>Papua Selatan</t>
        </is>
      </c>
      <c r="Q543" t="inlineStr"/>
    </row>
    <row r="544">
      <c r="A544" t="inlineStr">
        <is>
          <t>PURNAMA BAHAGIA</t>
        </is>
      </c>
      <c r="B544" t="inlineStr">
        <is>
          <t>Kab. Sumbawa</t>
        </is>
      </c>
      <c r="C544" t="inlineStr">
        <is>
          <t>081359709814</t>
        </is>
      </c>
      <c r="D544" t="inlineStr">
        <is>
          <t>purnamabahagia20@gmail.com</t>
        </is>
      </c>
      <c r="E544" t="inlineStr">
        <is>
          <t>https://lpjk.pu.go.id/search-badan-usaha-detail/OFN0SUxSRlMyK3A3alk5S000SS94UT09</t>
        </is>
      </c>
      <c r="F544" t="n">
        <v>4</v>
      </c>
      <c r="G544" t="inlineStr">
        <is>
          <t>BG009, BS004</t>
        </is>
      </c>
      <c r="H544" t="inlineStr">
        <is>
          <t>8 Oktober 2019</t>
        </is>
      </c>
      <c r="I544" s="2" t="n">
        <v>46282</v>
      </c>
      <c r="J544" t="inlineStr">
        <is>
          <t>Pencabutan</t>
        </is>
      </c>
      <c r="K544" t="n">
        <v>30</v>
      </c>
      <c r="L544" t="inlineStr">
        <is>
          <t>17 September 2026</t>
        </is>
      </c>
      <c r="M544" t="inlineStr">
        <is>
          <t>Konstruksi Gedung Lainnya, Konstruksi Jaringan Irigasi dan Drainase</t>
        </is>
      </c>
      <c r="N544" t="inlineStr">
        <is>
          <t>K</t>
        </is>
      </c>
      <c r="O544" t="inlineStr">
        <is>
          <t>20230904, 20230912</t>
        </is>
      </c>
      <c r="P544" t="inlineStr">
        <is>
          <t>Nusa Tenggara Barat</t>
        </is>
      </c>
      <c r="Q544" t="inlineStr"/>
    </row>
    <row r="545">
      <c r="A545" t="inlineStr">
        <is>
          <t>PURNAPAM PDAM KOTA DENPASAR</t>
        </is>
      </c>
      <c r="B545" t="inlineStr">
        <is>
          <t>Kota Denpasar</t>
        </is>
      </c>
      <c r="C545" t="inlineStr">
        <is>
          <t>03618442471</t>
        </is>
      </c>
      <c r="D545" t="inlineStr">
        <is>
          <t>koperasipurnapam@yahoo.com</t>
        </is>
      </c>
      <c r="E545" t="inlineStr">
        <is>
          <t>https://lpjk.pu.go.id/search-badan-usaha-detail/S3dtZzFmQW1JYlFndjlJRmxOZDRhUT09</t>
        </is>
      </c>
      <c r="F545" t="n">
        <v>1</v>
      </c>
      <c r="G545" t="inlineStr">
        <is>
          <t>BS005</t>
        </is>
      </c>
      <c r="H545" t="inlineStr">
        <is>
          <t>16 November 2010</t>
        </is>
      </c>
      <c r="I545" s="2" t="n">
        <v>46282</v>
      </c>
      <c r="J545" t="inlineStr">
        <is>
          <t>Disetujui</t>
        </is>
      </c>
      <c r="K545" t="n">
        <v>30</v>
      </c>
      <c r="L545" t="inlineStr">
        <is>
          <t>17 September 2026</t>
        </is>
      </c>
      <c r="M545" t="inlineStr">
        <is>
          <t>Konstruksi Bangunan Sipil Pengolahan Air Bersih</t>
        </is>
      </c>
      <c r="N545" t="inlineStr">
        <is>
          <t>K</t>
        </is>
      </c>
      <c r="O545" t="inlineStr">
        <is>
          <t>20230908</t>
        </is>
      </c>
      <c r="P545" t="inlineStr">
        <is>
          <t>Bali</t>
        </is>
      </c>
      <c r="Q545" t="inlineStr"/>
    </row>
    <row r="546">
      <c r="A546" t="inlineStr">
        <is>
          <t>PURWA KARYA</t>
        </is>
      </c>
      <c r="B546" t="inlineStr">
        <is>
          <t>Kab. Pemalang</t>
        </is>
      </c>
      <c r="C546" t="inlineStr">
        <is>
          <t>081903608909</t>
        </is>
      </c>
      <c r="D546" t="inlineStr">
        <is>
          <t>cv.purwakarya@gmail.com</t>
        </is>
      </c>
      <c r="E546" t="inlineStr">
        <is>
          <t>https://lpjk.pu.go.id/search-badan-usaha-detail/aFI2dlZYZWJmeit2RW1HSllzUzAzdz09</t>
        </is>
      </c>
      <c r="F546" t="n">
        <v>2</v>
      </c>
      <c r="G546" t="inlineStr">
        <is>
          <t>BS001, BS005</t>
        </is>
      </c>
      <c r="H546" t="inlineStr">
        <is>
          <t>2 November 1990</t>
        </is>
      </c>
      <c r="I546" s="2" t="n">
        <v>46282</v>
      </c>
      <c r="J546" t="inlineStr">
        <is>
          <t>Disetujui</t>
        </is>
      </c>
      <c r="K546" t="n">
        <v>30</v>
      </c>
      <c r="L546" t="inlineStr">
        <is>
          <t>17 September 2026</t>
        </is>
      </c>
      <c r="M546" t="inlineStr">
        <is>
          <t>Konstruksi Bangunan Sipil Jalan, Konstruksi Bangunan Sipil Pengolahan Air Bersih</t>
        </is>
      </c>
      <c r="N546" t="inlineStr">
        <is>
          <t>K</t>
        </is>
      </c>
      <c r="O546" t="inlineStr">
        <is>
          <t>20230912, 20230914</t>
        </is>
      </c>
      <c r="P546" t="inlineStr">
        <is>
          <t>Jawa Tengah</t>
        </is>
      </c>
      <c r="Q546" t="inlineStr"/>
    </row>
    <row r="547">
      <c r="A547" t="inlineStr">
        <is>
          <t>PUSAKA TEKNIK UTAMA</t>
        </is>
      </c>
      <c r="B547" t="inlineStr">
        <is>
          <t>Kota Surabaya</t>
        </is>
      </c>
      <c r="C547" t="inlineStr">
        <is>
          <t>08113050844</t>
        </is>
      </c>
      <c r="D547" t="inlineStr">
        <is>
          <t>ptpusakateknikutama@gmail.com</t>
        </is>
      </c>
      <c r="E547" t="inlineStr">
        <is>
          <t>https://lpjk.pu.go.id/search-badan-usaha-detail/cDdqUWZIL3c5ajZmL0JOQXV0RFBEQT09</t>
        </is>
      </c>
      <c r="F547" t="n">
        <v>1</v>
      </c>
      <c r="G547" t="inlineStr">
        <is>
          <t>BG009</t>
        </is>
      </c>
      <c r="H547" t="inlineStr">
        <is>
          <t>12 Mei 2022</t>
        </is>
      </c>
      <c r="I547" s="2" t="n">
        <v>46282</v>
      </c>
      <c r="J547" t="inlineStr">
        <is>
          <t>Disetujui</t>
        </is>
      </c>
      <c r="K547" t="n">
        <v>30</v>
      </c>
      <c r="L547" t="inlineStr">
        <is>
          <t>17 September 2026</t>
        </is>
      </c>
      <c r="M547" t="inlineStr">
        <is>
          <t>Konstruksi Gedung Lainnya</t>
        </is>
      </c>
      <c r="N547" t="inlineStr">
        <is>
          <t>K</t>
        </is>
      </c>
      <c r="O547" t="inlineStr">
        <is>
          <t>20230913</t>
        </is>
      </c>
      <c r="P547" t="inlineStr">
        <is>
          <t>Jawa Timur</t>
        </is>
      </c>
      <c r="Q547" t="inlineStr"/>
    </row>
    <row r="548">
      <c r="A548" t="inlineStr">
        <is>
          <t>PUSPA JAYA KONSTRUKSI</t>
        </is>
      </c>
      <c r="B548" t="inlineStr">
        <is>
          <t>Kota Madiun</t>
        </is>
      </c>
      <c r="C548" t="inlineStr">
        <is>
          <t>081249841391</t>
        </is>
      </c>
      <c r="D548" t="inlineStr">
        <is>
          <t>cvpuspajayakonstruksi@gmail.com</t>
        </is>
      </c>
      <c r="E548" t="inlineStr">
        <is>
          <t>https://lpjk.pu.go.id/search-badan-usaha-detail/dk1qOWQ2Y2Z1cU12bTVpb1NrdldIdz09</t>
        </is>
      </c>
      <c r="F548" t="n">
        <v>1</v>
      </c>
      <c r="G548" t="inlineStr">
        <is>
          <t>BG009</t>
        </is>
      </c>
      <c r="H548" t="inlineStr">
        <is>
          <t>1 Agustus 2017</t>
        </is>
      </c>
      <c r="I548" s="2" t="n">
        <v>46283</v>
      </c>
      <c r="J548" t="inlineStr">
        <is>
          <t>Disetujui</t>
        </is>
      </c>
      <c r="K548" t="n">
        <v>30</v>
      </c>
      <c r="L548" t="inlineStr">
        <is>
          <t>18 September 2026</t>
        </is>
      </c>
      <c r="M548" t="inlineStr">
        <is>
          <t>Konstruksi Gedung Lainnya</t>
        </is>
      </c>
      <c r="N548" t="inlineStr">
        <is>
          <t>K</t>
        </is>
      </c>
      <c r="O548" t="inlineStr">
        <is>
          <t>20230915</t>
        </is>
      </c>
      <c r="P548" t="inlineStr">
        <is>
          <t>Jawa Timur</t>
        </is>
      </c>
      <c r="Q548" t="inlineStr"/>
    </row>
    <row r="549">
      <c r="A549" t="inlineStr">
        <is>
          <t>PUTERA DEWA</t>
        </is>
      </c>
      <c r="B549" t="inlineStr">
        <is>
          <t>Kab. Kubu Raya</t>
        </is>
      </c>
      <c r="C549" t="inlineStr">
        <is>
          <t>-</t>
        </is>
      </c>
      <c r="D549" t="inlineStr">
        <is>
          <t>cv.puteradewa@gmail.com</t>
        </is>
      </c>
      <c r="E549" t="inlineStr">
        <is>
          <t>https://lpjk.pu.go.id/search-badan-usaha-detail/c1k5Mnl6UzNham5lSzAzSE82LzJ5QT09</t>
        </is>
      </c>
      <c r="F549" t="n">
        <v>1</v>
      </c>
      <c r="G549" t="inlineStr">
        <is>
          <t>BS004</t>
        </is>
      </c>
      <c r="H549" t="inlineStr">
        <is>
          <t>6 Maret 2023</t>
        </is>
      </c>
      <c r="I549" s="2" t="n">
        <v>46279</v>
      </c>
      <c r="J549" t="inlineStr">
        <is>
          <t>Disetujui</t>
        </is>
      </c>
      <c r="K549" t="n">
        <v>30</v>
      </c>
      <c r="L549" t="inlineStr">
        <is>
          <t>14 September 2026</t>
        </is>
      </c>
      <c r="M549" t="inlineStr">
        <is>
          <t>Konstruksi Jaringan Irigasi dan Drainase</t>
        </is>
      </c>
      <c r="N549" t="inlineStr">
        <is>
          <t>K</t>
        </is>
      </c>
      <c r="O549" t="inlineStr">
        <is>
          <t>20230909</t>
        </is>
      </c>
      <c r="P549" t="inlineStr">
        <is>
          <t>Kalimantan Barat</t>
        </is>
      </c>
      <c r="Q549" t="inlineStr"/>
    </row>
    <row r="550">
      <c r="A550" t="inlineStr">
        <is>
          <t>PUTRA ADITYA UTAMA</t>
        </is>
      </c>
      <c r="B550" t="inlineStr">
        <is>
          <t>Kota Bandung</t>
        </is>
      </c>
      <c r="C550" t="inlineStr">
        <is>
          <t>02287346364</t>
        </is>
      </c>
      <c r="D550" t="inlineStr">
        <is>
          <t>putraadityautama@gmail.com</t>
        </is>
      </c>
      <c r="E550" t="inlineStr">
        <is>
          <t>https://lpjk.pu.go.id/search-badan-usaha-detail/dkU5T0g3OHdOM3AxbDNpR2hydDkvZz09</t>
        </is>
      </c>
      <c r="F550" t="n">
        <v>2</v>
      </c>
      <c r="G550" t="inlineStr">
        <is>
          <t>BG002, BG009</t>
        </is>
      </c>
      <c r="H550" t="inlineStr">
        <is>
          <t>6 Agustus 2004</t>
        </is>
      </c>
      <c r="I550" s="2" t="n">
        <v>46280</v>
      </c>
      <c r="J550" t="inlineStr">
        <is>
          <t>Disetujui</t>
        </is>
      </c>
      <c r="K550" t="n">
        <v>30</v>
      </c>
      <c r="L550" t="inlineStr">
        <is>
          <t>15 September 2026</t>
        </is>
      </c>
      <c r="M550" t="inlineStr">
        <is>
          <t>Konstruksi Gedung Lainnya, Konstruksi Gedung Perkantoran</t>
        </is>
      </c>
      <c r="N550" t="inlineStr">
        <is>
          <t>K</t>
        </is>
      </c>
      <c r="O550" t="inlineStr">
        <is>
          <t>20230914</t>
        </is>
      </c>
      <c r="P550" t="inlineStr">
        <is>
          <t>Jawa Barat</t>
        </is>
      </c>
      <c r="Q550" t="inlineStr"/>
    </row>
    <row r="551">
      <c r="A551" t="inlineStr">
        <is>
          <t>PUTRA ARION</t>
        </is>
      </c>
      <c r="B551" t="inlineStr">
        <is>
          <t>Kab. Manokwari Selatan</t>
        </is>
      </c>
      <c r="C551" t="inlineStr">
        <is>
          <t>082198514699</t>
        </is>
      </c>
      <c r="D551" t="inlineStr">
        <is>
          <t>cvputraarion@gmail.com</t>
        </is>
      </c>
      <c r="E551" t="inlineStr">
        <is>
          <t>https://lpjk.pu.go.id/search-badan-usaha-detail/MDJEdFVKbE0zNkVYcW9pdTNIOElYQT09</t>
        </is>
      </c>
      <c r="F551" t="n">
        <v>1</v>
      </c>
      <c r="G551" t="inlineStr">
        <is>
          <t>BS001</t>
        </is>
      </c>
      <c r="H551" t="inlineStr">
        <is>
          <t>3 Oktober 2022</t>
        </is>
      </c>
      <c r="I551" s="2" t="n">
        <v>46280</v>
      </c>
      <c r="J551" t="inlineStr">
        <is>
          <t>Pencabutan</t>
        </is>
      </c>
      <c r="K551" t="n">
        <v>30</v>
      </c>
      <c r="L551" t="inlineStr">
        <is>
          <t>15 September 2026</t>
        </is>
      </c>
      <c r="M551" t="inlineStr">
        <is>
          <t>Konstruksi Bangunan Sipil Jalan</t>
        </is>
      </c>
      <c r="N551" t="inlineStr">
        <is>
          <t>K</t>
        </is>
      </c>
      <c r="O551" t="inlineStr">
        <is>
          <t>20230913</t>
        </is>
      </c>
      <c r="P551" t="inlineStr">
        <is>
          <t>Papua Barat</t>
        </is>
      </c>
      <c r="Q551" t="inlineStr"/>
    </row>
    <row r="552">
      <c r="A552" t="inlineStr">
        <is>
          <t>PUTRA BINTANG SEMESTA</t>
        </is>
      </c>
      <c r="B552" t="inlineStr">
        <is>
          <t>Kota Pangkal Pinang</t>
        </is>
      </c>
      <c r="C552" t="inlineStr">
        <is>
          <t>082278615975</t>
        </is>
      </c>
      <c r="D552" t="inlineStr">
        <is>
          <t>putrabintangsemesta2021@gmail.com</t>
        </is>
      </c>
      <c r="E552" t="inlineStr">
        <is>
          <t>https://lpjk.pu.go.id/search-badan-usaha-detail/VjdvNy9nNUd3TGg0Y0ozK2hlQVMzdz09</t>
        </is>
      </c>
      <c r="F552" t="n">
        <v>2</v>
      </c>
      <c r="G552" t="inlineStr">
        <is>
          <t>BG002, BG005</t>
        </is>
      </c>
      <c r="H552" t="inlineStr">
        <is>
          <t>21 Februari 2023</t>
        </is>
      </c>
      <c r="I552" s="2" t="n">
        <v>46282</v>
      </c>
      <c r="J552" t="inlineStr">
        <is>
          <t>Disetujui</t>
        </is>
      </c>
      <c r="K552" t="n">
        <v>30</v>
      </c>
      <c r="L552" t="inlineStr">
        <is>
          <t>17 September 2026</t>
        </is>
      </c>
      <c r="M552" t="inlineStr">
        <is>
          <t>Konstruksi Gedung Kesehatan, Konstruksi Gedung Perkantoran</t>
        </is>
      </c>
      <c r="N552" t="inlineStr">
        <is>
          <t>K</t>
        </is>
      </c>
      <c r="O552" t="inlineStr">
        <is>
          <t>20230824</t>
        </is>
      </c>
      <c r="P552" t="inlineStr">
        <is>
          <t>Kepulauan Bangka Belitung</t>
        </is>
      </c>
      <c r="Q552" t="inlineStr"/>
    </row>
    <row r="553">
      <c r="A553" t="inlineStr">
        <is>
          <t>PUTRA CORA</t>
        </is>
      </c>
      <c r="B553" t="inlineStr">
        <is>
          <t>Kota Metro</t>
        </is>
      </c>
      <c r="C553" t="inlineStr">
        <is>
          <t>081279209939</t>
        </is>
      </c>
      <c r="D553" t="inlineStr">
        <is>
          <t>putracora21@gmail.com</t>
        </is>
      </c>
      <c r="E553" t="inlineStr">
        <is>
          <t>https://lpjk.pu.go.id/search-badan-usaha-detail/cEt6MjR3d2FNUzNGZ2FCazNXUmt4Zz09</t>
        </is>
      </c>
      <c r="F553" t="n">
        <v>1</v>
      </c>
      <c r="G553" t="inlineStr">
        <is>
          <t>BS004</t>
        </is>
      </c>
      <c r="H553" t="inlineStr">
        <is>
          <t>6 Juli 1999</t>
        </is>
      </c>
      <c r="I553" s="2" t="n">
        <v>46278</v>
      </c>
      <c r="J553" t="inlineStr">
        <is>
          <t>Disetujui</t>
        </is>
      </c>
      <c r="K553" t="n">
        <v>30</v>
      </c>
      <c r="L553" t="inlineStr">
        <is>
          <t>13 September 2026</t>
        </is>
      </c>
      <c r="M553" t="inlineStr">
        <is>
          <t>Konstruksi Jaringan Irigasi dan Drainase</t>
        </is>
      </c>
      <c r="N553" t="inlineStr">
        <is>
          <t>K</t>
        </is>
      </c>
      <c r="O553" t="inlineStr">
        <is>
          <t>20230914</t>
        </is>
      </c>
      <c r="P553" t="inlineStr">
        <is>
          <t>Lampung</t>
        </is>
      </c>
      <c r="Q553" t="inlineStr"/>
    </row>
    <row r="554">
      <c r="A554" t="inlineStr">
        <is>
          <t>PUTRA ERHA ZHAFMI</t>
        </is>
      </c>
      <c r="B554" t="inlineStr">
        <is>
          <t>Kota Tangerang Selatan</t>
        </is>
      </c>
      <c r="C554" t="inlineStr">
        <is>
          <t>085692692022</t>
        </is>
      </c>
      <c r="D554" t="inlineStr">
        <is>
          <t>cvputraerhazhafmi@gmail.com</t>
        </is>
      </c>
      <c r="E554" t="inlineStr">
        <is>
          <t>https://lpjk.pu.go.id/search-badan-usaha-detail/b2lCelY0aVVwSmdtbjY1YUJpTjFVUT09</t>
        </is>
      </c>
      <c r="F554" t="n">
        <v>2</v>
      </c>
      <c r="G554" t="inlineStr">
        <is>
          <t>BS001, BS004</t>
        </is>
      </c>
      <c r="H554" t="inlineStr">
        <is>
          <t>23 Juni 2023</t>
        </is>
      </c>
      <c r="I554" s="2" t="n">
        <v>46283</v>
      </c>
      <c r="J554" t="inlineStr">
        <is>
          <t>Pencabutan</t>
        </is>
      </c>
      <c r="K554" t="n">
        <v>30</v>
      </c>
      <c r="L554" t="inlineStr">
        <is>
          <t>18 September 2026</t>
        </is>
      </c>
      <c r="M554" t="inlineStr">
        <is>
          <t>Konstruksi Bangunan Sipil Jalan, Konstruksi Jaringan Irigasi dan Drainase</t>
        </is>
      </c>
      <c r="N554" t="inlineStr">
        <is>
          <t>K</t>
        </is>
      </c>
      <c r="O554" t="inlineStr">
        <is>
          <t>20230919</t>
        </is>
      </c>
      <c r="P554" t="inlineStr">
        <is>
          <t>Banten</t>
        </is>
      </c>
      <c r="Q554" t="inlineStr"/>
    </row>
    <row r="555">
      <c r="A555" t="inlineStr">
        <is>
          <t>PUTRA KAMPAR ABADI</t>
        </is>
      </c>
      <c r="B555" t="inlineStr">
        <is>
          <t>Kab. Kampar</t>
        </is>
      </c>
      <c r="C555" t="inlineStr">
        <is>
          <t>081371158369</t>
        </is>
      </c>
      <c r="D555" t="inlineStr">
        <is>
          <t>cv.putrakamparabadi@gmail.com</t>
        </is>
      </c>
      <c r="E555" t="inlineStr">
        <is>
          <t>https://lpjk.pu.go.id/search-badan-usaha-detail/SDNrcnJxVFhRdmVFakkwWmpXcDlyUT09</t>
        </is>
      </c>
      <c r="F555" t="n">
        <v>1</v>
      </c>
      <c r="G555" t="inlineStr">
        <is>
          <t>PB010</t>
        </is>
      </c>
      <c r="H555" t="inlineStr">
        <is>
          <t>11 September 2023</t>
        </is>
      </c>
      <c r="I555" s="2" t="n">
        <v>46281</v>
      </c>
      <c r="J555" t="inlineStr">
        <is>
          <t>Pencabutan</t>
        </is>
      </c>
      <c r="K555" t="n">
        <v>30</v>
      </c>
      <c r="L555" t="inlineStr">
        <is>
          <t>16 September 2026</t>
        </is>
      </c>
      <c r="M555" t="inlineStr">
        <is>
          <t>Pekerjaan Lanskap, Pertamanan, dan Penanaman Vegetasi</t>
        </is>
      </c>
      <c r="N555" t="inlineStr">
        <is>
          <t>Spesialis</t>
        </is>
      </c>
      <c r="O555" t="inlineStr">
        <is>
          <t>20230916</t>
        </is>
      </c>
      <c r="P555" t="inlineStr">
        <is>
          <t>Riau</t>
        </is>
      </c>
      <c r="Q555" t="inlineStr"/>
    </row>
    <row r="556">
      <c r="A556" t="inlineStr">
        <is>
          <t>PUTRA KRUENG JREU</t>
        </is>
      </c>
      <c r="B556" t="inlineStr">
        <is>
          <t>Kab. Aceh Besar</t>
        </is>
      </c>
      <c r="C556" t="inlineStr">
        <is>
          <t>085260460993</t>
        </is>
      </c>
      <c r="D556" t="inlineStr">
        <is>
          <t>putrakruengjreu.cv@gmail.com</t>
        </is>
      </c>
      <c r="E556" t="inlineStr">
        <is>
          <t>https://lpjk.pu.go.id/search-badan-usaha-detail/WnV6MlRvcmZqbHBYV0FkUGNFZXo4dz09</t>
        </is>
      </c>
      <c r="F556" t="n">
        <v>1</v>
      </c>
      <c r="G556" t="inlineStr">
        <is>
          <t>BS004</t>
        </is>
      </c>
      <c r="H556" t="inlineStr">
        <is>
          <t>24 Desember 2009</t>
        </is>
      </c>
      <c r="I556" s="2" t="n">
        <v>46277</v>
      </c>
      <c r="J556" t="inlineStr">
        <is>
          <t>Disetujui</t>
        </is>
      </c>
      <c r="K556" t="n">
        <v>30</v>
      </c>
      <c r="L556" t="inlineStr">
        <is>
          <t>12 September 2026</t>
        </is>
      </c>
      <c r="M556" t="inlineStr">
        <is>
          <t>Konstruksi Jaringan Irigasi dan Drainase</t>
        </is>
      </c>
      <c r="N556" t="inlineStr">
        <is>
          <t>K</t>
        </is>
      </c>
      <c r="O556" t="inlineStr">
        <is>
          <t>20230904</t>
        </is>
      </c>
      <c r="P556" t="inlineStr">
        <is>
          <t>Aceh</t>
        </is>
      </c>
      <c r="Q556" t="inlineStr"/>
    </row>
    <row r="557">
      <c r="A557" t="inlineStr">
        <is>
          <t>PUTRA LAKSANA PERWIRA</t>
        </is>
      </c>
      <c r="B557" t="inlineStr">
        <is>
          <t>Kab. Purbalingga</t>
        </is>
      </c>
      <c r="C557" t="inlineStr">
        <is>
          <t>085712392117</t>
        </is>
      </c>
      <c r="D557" t="inlineStr">
        <is>
          <t>cvputralaksanaperwira@gmail.com</t>
        </is>
      </c>
      <c r="E557" t="inlineStr">
        <is>
          <t>https://lpjk.pu.go.id/search-badan-usaha-detail/dmw5RDVKN0kzOFF5cC9uUFMwc3hkQT09</t>
        </is>
      </c>
      <c r="F557" t="n">
        <v>3</v>
      </c>
      <c r="G557" t="inlineStr">
        <is>
          <t>BS001, BS002, BS004</t>
        </is>
      </c>
      <c r="H557" t="inlineStr">
        <is>
          <t>31 Agustus 2023</t>
        </is>
      </c>
      <c r="I557" s="2" t="n">
        <v>46283</v>
      </c>
      <c r="J557" t="inlineStr">
        <is>
          <t>Disetujui</t>
        </is>
      </c>
      <c r="K557" t="n">
        <v>30</v>
      </c>
      <c r="L557" t="inlineStr">
        <is>
          <t>18 September 2026</t>
        </is>
      </c>
      <c r="M557" t="inlineStr">
        <is>
          <t>Bangunan Sipil Jembatan, Jalan Layang, Fly Over, dan Underpass, Konstruksi Bangunan Sipil Jalan, Konstruksi Jaringan Irigasi dan Drainase</t>
        </is>
      </c>
      <c r="N557" t="inlineStr">
        <is>
          <t>K</t>
        </is>
      </c>
      <c r="O557" t="inlineStr">
        <is>
          <t>20230915</t>
        </is>
      </c>
      <c r="P557" t="inlineStr">
        <is>
          <t>Jawa Tengah</t>
        </is>
      </c>
      <c r="Q557" t="inlineStr"/>
    </row>
    <row r="558">
      <c r="A558" t="inlineStr">
        <is>
          <t>PUTRA MAHKOTA</t>
        </is>
      </c>
      <c r="B558" t="inlineStr">
        <is>
          <t>Kab. Sintang</t>
        </is>
      </c>
      <c r="C558" t="inlineStr">
        <is>
          <t>085252607434</t>
        </is>
      </c>
      <c r="D558" t="inlineStr">
        <is>
          <t>cv.putramahkota02@gmail.com</t>
        </is>
      </c>
      <c r="E558" t="inlineStr">
        <is>
          <t>https://lpjk.pu.go.id/search-badan-usaha-detail/WmxDUEQ2VGM2eFE1QStaSGRqV2lWQT09</t>
        </is>
      </c>
      <c r="F558" t="n">
        <v>1</v>
      </c>
      <c r="G558" t="inlineStr">
        <is>
          <t>BS001</t>
        </is>
      </c>
      <c r="H558" t="inlineStr">
        <is>
          <t>11 Januari 2018</t>
        </is>
      </c>
      <c r="I558" s="2" t="n">
        <v>46282</v>
      </c>
      <c r="J558" t="inlineStr">
        <is>
          <t>Disetujui</t>
        </is>
      </c>
      <c r="K558" t="n">
        <v>30</v>
      </c>
      <c r="L558" t="inlineStr">
        <is>
          <t>17 September 2026</t>
        </is>
      </c>
      <c r="M558" t="inlineStr">
        <is>
          <t>Konstruksi Bangunan Sipil Jalan</t>
        </is>
      </c>
      <c r="N558" t="inlineStr">
        <is>
          <t>K</t>
        </is>
      </c>
      <c r="O558" t="inlineStr">
        <is>
          <t>20230917</t>
        </is>
      </c>
      <c r="P558" t="inlineStr">
        <is>
          <t>Kalimantan Barat</t>
        </is>
      </c>
      <c r="Q558" t="inlineStr"/>
    </row>
    <row r="559">
      <c r="A559" t="inlineStr">
        <is>
          <t>PUTRA MAHKOTA ADYAKSA</t>
        </is>
      </c>
      <c r="B559" t="inlineStr">
        <is>
          <t>Kab. Luwu Utara</t>
        </is>
      </c>
      <c r="C559" t="inlineStr">
        <is>
          <t>085396177272</t>
        </is>
      </c>
      <c r="D559" t="inlineStr">
        <is>
          <t>mahkota_adyaksa@yahoo.com</t>
        </is>
      </c>
      <c r="E559" t="inlineStr">
        <is>
          <t>https://lpjk.pu.go.id/search-badan-usaha-detail/ZEVZaFQvcG5WREYvZ1F3T1RxQ3dZQT09</t>
        </is>
      </c>
      <c r="F559" t="n">
        <v>3</v>
      </c>
      <c r="G559" t="inlineStr">
        <is>
          <t>BG002, BG006, BG009</t>
        </is>
      </c>
      <c r="H559" t="inlineStr">
        <is>
          <t>11 Januari 2016</t>
        </is>
      </c>
      <c r="I559" s="2" t="n">
        <v>46278</v>
      </c>
      <c r="J559" t="inlineStr">
        <is>
          <t>Disetujui</t>
        </is>
      </c>
      <c r="K559" t="n">
        <v>30</v>
      </c>
      <c r="L559" t="inlineStr">
        <is>
          <t>13 September 2026</t>
        </is>
      </c>
      <c r="M559" t="inlineStr">
        <is>
          <t>Konstruksi Gedung Lainnya, Konstruksi Gedung Pendidikan, Konstruksi Gedung Perkantoran</t>
        </is>
      </c>
      <c r="N559" t="inlineStr">
        <is>
          <t>K</t>
        </is>
      </c>
      <c r="O559" t="inlineStr">
        <is>
          <t>20230914</t>
        </is>
      </c>
      <c r="P559" t="inlineStr">
        <is>
          <t>Sulawesi Selatan</t>
        </is>
      </c>
      <c r="Q559" t="inlineStr"/>
    </row>
    <row r="560">
      <c r="A560" t="inlineStr">
        <is>
          <t>PUTRA MAHKOTA MADANI</t>
        </is>
      </c>
      <c r="B560" t="inlineStr">
        <is>
          <t>Kab. Langkat</t>
        </is>
      </c>
      <c r="C560" t="inlineStr">
        <is>
          <t>085297258778</t>
        </is>
      </c>
      <c r="D560" t="inlineStr">
        <is>
          <t>putramahkotamadani@gmail.com</t>
        </is>
      </c>
      <c r="E560" t="inlineStr">
        <is>
          <t>https://lpjk.pu.go.id/search-badan-usaha-detail/VHVJeHVwN1RXMmszNmZxR2xjL1FPQT09</t>
        </is>
      </c>
      <c r="F560" t="n">
        <v>3</v>
      </c>
      <c r="G560" t="inlineStr">
        <is>
          <t>BG005, BG006, BG009</t>
        </is>
      </c>
      <c r="H560" t="inlineStr">
        <is>
          <t>18 September 2017</t>
        </is>
      </c>
      <c r="I560" s="2" t="n">
        <v>46278</v>
      </c>
      <c r="J560" t="inlineStr">
        <is>
          <t>Disetujui</t>
        </is>
      </c>
      <c r="K560" t="n">
        <v>30</v>
      </c>
      <c r="L560" t="inlineStr">
        <is>
          <t>13 September 2026</t>
        </is>
      </c>
      <c r="M560" t="inlineStr">
        <is>
          <t>Konstruksi Gedung Kesehatan, Konstruksi Gedung Lainnya, Konstruksi Gedung Pendidikan</t>
        </is>
      </c>
      <c r="N560" t="inlineStr">
        <is>
          <t>K</t>
        </is>
      </c>
      <c r="O560" t="inlineStr">
        <is>
          <t>20230913</t>
        </is>
      </c>
      <c r="P560" t="inlineStr">
        <is>
          <t>Sumatera Utara</t>
        </is>
      </c>
      <c r="Q560" t="inlineStr"/>
    </row>
    <row r="561">
      <c r="A561" t="inlineStr">
        <is>
          <t>PUTRA MAHKOTA TELUK PANDAN</t>
        </is>
      </c>
      <c r="B561" t="inlineStr">
        <is>
          <t>Kab. Kutai Timur</t>
        </is>
      </c>
      <c r="C561" t="inlineStr">
        <is>
          <t>082252590553</t>
        </is>
      </c>
      <c r="D561" t="inlineStr">
        <is>
          <t>putramahkotatelukpandan.cv@gmail.com</t>
        </is>
      </c>
      <c r="E561" t="inlineStr">
        <is>
          <t>https://lpjk.pu.go.id/search-badan-usaha-detail/V3hjNEw2T1pkY1VQVTdJby81T1MzUT09</t>
        </is>
      </c>
      <c r="F561" t="n">
        <v>1</v>
      </c>
      <c r="G561" t="inlineStr">
        <is>
          <t>BG006</t>
        </is>
      </c>
      <c r="H561" t="inlineStr">
        <is>
          <t>2 September 2019</t>
        </is>
      </c>
      <c r="I561" s="2" t="n">
        <v>46278</v>
      </c>
      <c r="J561" t="inlineStr">
        <is>
          <t>Disetujui</t>
        </is>
      </c>
      <c r="K561" t="n">
        <v>30</v>
      </c>
      <c r="L561" t="inlineStr">
        <is>
          <t>13 September 2026</t>
        </is>
      </c>
      <c r="M561" t="inlineStr">
        <is>
          <t>Konstruksi Gedung Pendidikan</t>
        </is>
      </c>
      <c r="N561" t="inlineStr">
        <is>
          <t>K</t>
        </is>
      </c>
      <c r="O561" t="inlineStr">
        <is>
          <t>20230913</t>
        </is>
      </c>
      <c r="P561" t="inlineStr">
        <is>
          <t>Kalimantan Timur</t>
        </is>
      </c>
      <c r="Q561" t="inlineStr"/>
    </row>
    <row r="562">
      <c r="A562" t="inlineStr">
        <is>
          <t>PUTRA MANDIRI</t>
        </is>
      </c>
      <c r="B562" t="inlineStr">
        <is>
          <t>Kab. Maros</t>
        </is>
      </c>
      <c r="C562" t="inlineStr">
        <is>
          <t>081356961558</t>
        </is>
      </c>
      <c r="D562" t="inlineStr">
        <is>
          <t>andhy233@gmail.com</t>
        </is>
      </c>
      <c r="E562" t="inlineStr">
        <is>
          <t>https://lpjk.pu.go.id/search-badan-usaha-detail/OWFtZlR0c1dxZ0ZrTWhDZHhWcUlNUT09</t>
        </is>
      </c>
      <c r="F562" t="n">
        <v>5</v>
      </c>
      <c r="G562" t="inlineStr">
        <is>
          <t>BG002, BG006, BG009, BS001, BS010</t>
        </is>
      </c>
      <c r="H562" t="inlineStr">
        <is>
          <t>28 Februari 2014</t>
        </is>
      </c>
      <c r="I562" s="2" t="n">
        <v>46282</v>
      </c>
      <c r="J562" t="inlineStr">
        <is>
          <t>Disetujui</t>
        </is>
      </c>
      <c r="K562" t="n">
        <v>30</v>
      </c>
      <c r="L562" t="inlineStr">
        <is>
          <t>17 September 2026</t>
        </is>
      </c>
      <c r="M562" t="inlineStr">
        <is>
          <t>Konstruksi Bangunan Prasarana Sumber Daya Air, Konstruksi Bangunan Sipil Jalan, Konstruksi Gedung Lainnya, Konstruksi Gedung Pendidikan, Konstruksi Gedung Perkantoran</t>
        </is>
      </c>
      <c r="N562" t="inlineStr">
        <is>
          <t>K</t>
        </is>
      </c>
      <c r="O562" t="inlineStr">
        <is>
          <t>20230914, 20230915</t>
        </is>
      </c>
      <c r="P562" t="inlineStr">
        <is>
          <t>Sulawesi Selatan</t>
        </is>
      </c>
      <c r="Q562" t="inlineStr"/>
    </row>
    <row r="563">
      <c r="A563" t="inlineStr">
        <is>
          <t>PUTRA MANDIRI</t>
        </is>
      </c>
      <c r="B563" t="inlineStr">
        <is>
          <t>Kab. Purbalingga</t>
        </is>
      </c>
      <c r="C563" t="inlineStr">
        <is>
          <t>0281758223</t>
        </is>
      </c>
      <c r="D563" t="inlineStr">
        <is>
          <t>cvputramandiribaru@gmail.com</t>
        </is>
      </c>
      <c r="E563" t="inlineStr">
        <is>
          <t>https://lpjk.pu.go.id/search-badan-usaha-detail/NUFGckovbkZSTXp4ZktQZkRvNTVzdz09</t>
        </is>
      </c>
      <c r="F563" t="n">
        <v>3</v>
      </c>
      <c r="G563" t="inlineStr">
        <is>
          <t>BG006, BS001, BS002</t>
        </is>
      </c>
      <c r="H563" t="inlineStr">
        <is>
          <t>26 November 2001</t>
        </is>
      </c>
      <c r="I563" s="2" t="n">
        <v>46279</v>
      </c>
      <c r="J563" t="inlineStr">
        <is>
          <t>Disetujui</t>
        </is>
      </c>
      <c r="K563" t="n">
        <v>30</v>
      </c>
      <c r="L563" t="inlineStr">
        <is>
          <t>14 September 2026</t>
        </is>
      </c>
      <c r="M563" t="inlineStr">
        <is>
          <t>Bangunan Sipil Jembatan, Jalan Layang, Fly Over, dan Underpass, Konstruksi Bangunan Sipil Jalan, Konstruksi Gedung Pendidikan</t>
        </is>
      </c>
      <c r="N563" t="inlineStr">
        <is>
          <t>K</t>
        </is>
      </c>
      <c r="O563" t="inlineStr">
        <is>
          <t>20230906, 20230914</t>
        </is>
      </c>
      <c r="P563" t="inlineStr">
        <is>
          <t>Jawa Tengah</t>
        </is>
      </c>
      <c r="Q563" t="inlineStr"/>
    </row>
    <row r="564">
      <c r="A564" t="inlineStr">
        <is>
          <t>PUTRA OSEIGOR</t>
        </is>
      </c>
      <c r="B564" t="inlineStr">
        <is>
          <t>Kab. Manokwari</t>
        </is>
      </c>
      <c r="C564" t="inlineStr">
        <is>
          <t>081240735224</t>
        </is>
      </c>
      <c r="D564" t="inlineStr">
        <is>
          <t>yupitertowansiba@gmail.com</t>
        </is>
      </c>
      <c r="E564" t="inlineStr">
        <is>
          <t>https://lpjk.pu.go.id/search-badan-usaha-detail/MlpLdC9wQWtORTFaWVNKNmxSMHJEdz09</t>
        </is>
      </c>
      <c r="F564" t="n">
        <v>1</v>
      </c>
      <c r="G564" t="inlineStr">
        <is>
          <t>BG005</t>
        </is>
      </c>
      <c r="H564" t="inlineStr">
        <is>
          <t>1 November 2018</t>
        </is>
      </c>
      <c r="I564" s="2" t="n">
        <v>46279</v>
      </c>
      <c r="J564" t="inlineStr">
        <is>
          <t>Disetujui</t>
        </is>
      </c>
      <c r="K564" t="n">
        <v>30</v>
      </c>
      <c r="L564" t="inlineStr">
        <is>
          <t>14 September 2026</t>
        </is>
      </c>
      <c r="M564" t="inlineStr">
        <is>
          <t>Konstruksi Gedung Kesehatan</t>
        </is>
      </c>
      <c r="N564" t="inlineStr">
        <is>
          <t>K</t>
        </is>
      </c>
      <c r="O564" t="inlineStr">
        <is>
          <t>20230914</t>
        </is>
      </c>
      <c r="P564" t="inlineStr">
        <is>
          <t>Papua Barat</t>
        </is>
      </c>
      <c r="Q564" t="inlineStr"/>
    </row>
    <row r="565">
      <c r="A565" t="inlineStr">
        <is>
          <t>PUTRA PERSADA</t>
        </is>
      </c>
      <c r="B565" t="inlineStr">
        <is>
          <t>Kota Balikpapan</t>
        </is>
      </c>
      <c r="C565" t="inlineStr">
        <is>
          <t>0811542910</t>
        </is>
      </c>
      <c r="D565" t="inlineStr">
        <is>
          <t>putrapersadabpn@gmail.com</t>
        </is>
      </c>
      <c r="E565" t="inlineStr">
        <is>
          <t>https://lpjk.pu.go.id/search-badan-usaha-detail/dlA2TVJlUEU4akpJRnVTaE00bk94dz09</t>
        </is>
      </c>
      <c r="F565" t="n">
        <v>1</v>
      </c>
      <c r="G565" t="inlineStr">
        <is>
          <t>BS004</t>
        </is>
      </c>
      <c r="H565" t="inlineStr">
        <is>
          <t>23 Maret 2007</t>
        </is>
      </c>
      <c r="I565" s="2" t="n">
        <v>46279</v>
      </c>
      <c r="J565" t="inlineStr">
        <is>
          <t>Disetujui</t>
        </is>
      </c>
      <c r="K565" t="n">
        <v>30</v>
      </c>
      <c r="L565" t="inlineStr">
        <is>
          <t>14 September 2026</t>
        </is>
      </c>
      <c r="M565" t="inlineStr">
        <is>
          <t>Konstruksi Jaringan Irigasi dan Drainase</t>
        </is>
      </c>
      <c r="N565" t="inlineStr">
        <is>
          <t>K</t>
        </is>
      </c>
      <c r="O565" t="inlineStr">
        <is>
          <t>20230911</t>
        </is>
      </c>
      <c r="P565" t="inlineStr">
        <is>
          <t>Kalimantan Timur</t>
        </is>
      </c>
      <c r="Q565" t="inlineStr"/>
    </row>
    <row r="566">
      <c r="A566" t="inlineStr">
        <is>
          <t>PUTRA PHOENNA</t>
        </is>
      </c>
      <c r="B566" t="inlineStr">
        <is>
          <t>Kab. Aceh Timur</t>
        </is>
      </c>
      <c r="C566" t="inlineStr">
        <is>
          <t>085277608843</t>
        </is>
      </c>
      <c r="D566" t="inlineStr">
        <is>
          <t>cvputraphoenna@yahoo.com</t>
        </is>
      </c>
      <c r="E566" t="inlineStr">
        <is>
          <t>https://lpjk.pu.go.id/search-badan-usaha-detail/L2haSTlISGI0RjNuZ09ISk90RzhPZz09</t>
        </is>
      </c>
      <c r="F566" t="n">
        <v>1</v>
      </c>
      <c r="G566" t="inlineStr">
        <is>
          <t>BS001</t>
        </is>
      </c>
      <c r="H566" t="inlineStr">
        <is>
          <t>28 Juli 2020</t>
        </is>
      </c>
      <c r="I566" s="2" t="n">
        <v>46282</v>
      </c>
      <c r="J566" t="inlineStr">
        <is>
          <t>Disetujui</t>
        </is>
      </c>
      <c r="K566" t="n">
        <v>30</v>
      </c>
      <c r="L566" t="inlineStr">
        <is>
          <t>17 September 2026</t>
        </is>
      </c>
      <c r="M566" t="inlineStr">
        <is>
          <t>Konstruksi Bangunan Sipil Jalan</t>
        </is>
      </c>
      <c r="N566" t="inlineStr">
        <is>
          <t>K</t>
        </is>
      </c>
      <c r="O566" t="inlineStr">
        <is>
          <t>20220909</t>
        </is>
      </c>
      <c r="P566" t="inlineStr">
        <is>
          <t>Aceh</t>
        </is>
      </c>
      <c r="Q566" t="inlineStr"/>
    </row>
    <row r="567">
      <c r="A567" t="inlineStr">
        <is>
          <t>PUTRA PUTRI SEMPURNA</t>
        </is>
      </c>
      <c r="B567" t="inlineStr">
        <is>
          <t>Kota Balikpapan</t>
        </is>
      </c>
      <c r="C567" t="inlineStr">
        <is>
          <t>082255818512</t>
        </is>
      </c>
      <c r="D567" t="inlineStr">
        <is>
          <t>chusaynis@gmail.com</t>
        </is>
      </c>
      <c r="E567" t="inlineStr">
        <is>
          <t>https://lpjk.pu.go.id/search-badan-usaha-detail/YXNNWUxHMVNBdlE3Q01JM2VzQk5uUT09</t>
        </is>
      </c>
      <c r="F567" t="n">
        <v>1</v>
      </c>
      <c r="G567" t="inlineStr">
        <is>
          <t>BS001</t>
        </is>
      </c>
      <c r="H567" t="inlineStr">
        <is>
          <t>30 Juni 2018</t>
        </is>
      </c>
      <c r="I567" s="2" t="n">
        <v>46279</v>
      </c>
      <c r="J567" t="inlineStr">
        <is>
          <t>Disetujui</t>
        </is>
      </c>
      <c r="K567" t="n">
        <v>30</v>
      </c>
      <c r="L567" t="inlineStr">
        <is>
          <t>14 September 2026</t>
        </is>
      </c>
      <c r="M567" t="inlineStr">
        <is>
          <t>Konstruksi Bangunan Sipil Jalan</t>
        </is>
      </c>
      <c r="N567" t="inlineStr">
        <is>
          <t>K</t>
        </is>
      </c>
      <c r="O567" t="inlineStr">
        <is>
          <t>20230914</t>
        </is>
      </c>
      <c r="P567" t="inlineStr">
        <is>
          <t>Kalimantan Timur</t>
        </is>
      </c>
      <c r="Q567" t="inlineStr"/>
    </row>
    <row r="568">
      <c r="A568" t="inlineStr">
        <is>
          <t>PUTRA RAHMAN GRESINDO</t>
        </is>
      </c>
      <c r="B568" t="inlineStr">
        <is>
          <t>Kab. Lombok Timur</t>
        </is>
      </c>
      <c r="C568" t="inlineStr">
        <is>
          <t>081779677459</t>
        </is>
      </c>
      <c r="D568" t="inlineStr">
        <is>
          <t>cvputrarahmangresindo@gmail.com</t>
        </is>
      </c>
      <c r="E568" t="inlineStr">
        <is>
          <t>https://lpjk.pu.go.id/search-badan-usaha-detail/SWx0RzhmVm9PSEtubUNqOXRXOU91Zz09</t>
        </is>
      </c>
      <c r="F568" t="n">
        <v>1</v>
      </c>
      <c r="G568" t="inlineStr">
        <is>
          <t>BS002</t>
        </is>
      </c>
      <c r="H568" t="inlineStr">
        <is>
          <t>2 April 2020</t>
        </is>
      </c>
      <c r="I568" s="2" t="n">
        <v>46282</v>
      </c>
      <c r="J568" t="inlineStr">
        <is>
          <t>Pencabutan</t>
        </is>
      </c>
      <c r="K568" t="n">
        <v>30</v>
      </c>
      <c r="L568" t="inlineStr">
        <is>
          <t>17 September 2026</t>
        </is>
      </c>
      <c r="M568" t="inlineStr">
        <is>
          <t>Bangunan Sipil Jembatan, Jalan Layang, Fly Over, dan Underpass</t>
        </is>
      </c>
      <c r="N568" t="inlineStr">
        <is>
          <t>K</t>
        </is>
      </c>
      <c r="O568" t="inlineStr">
        <is>
          <t>20230903</t>
        </is>
      </c>
      <c r="P568" t="inlineStr">
        <is>
          <t>Nusa Tenggara Barat</t>
        </is>
      </c>
      <c r="Q568" t="inlineStr"/>
    </row>
    <row r="569">
      <c r="A569" t="inlineStr">
        <is>
          <t>PUTRA SAMBUNGDUA</t>
        </is>
      </c>
      <c r="B569" t="inlineStr">
        <is>
          <t>Kota Palembang</t>
        </is>
      </c>
      <c r="C569" t="inlineStr">
        <is>
          <t>081367997336</t>
        </is>
      </c>
      <c r="D569" t="inlineStr">
        <is>
          <t>cv.putrasambungdua@gmail.com</t>
        </is>
      </c>
      <c r="E569" t="inlineStr">
        <is>
          <t>https://lpjk.pu.go.id/search-badan-usaha-detail/QzRPa2xubWQ0T3BRMzFnOWJjd1ZYZz09</t>
        </is>
      </c>
      <c r="F569" t="n">
        <v>2</v>
      </c>
      <c r="G569" t="inlineStr">
        <is>
          <t>BG003, BG009</t>
        </is>
      </c>
      <c r="H569" t="inlineStr">
        <is>
          <t>1 Juni 2020</t>
        </is>
      </c>
      <c r="I569" s="2" t="n">
        <v>46282</v>
      </c>
      <c r="J569" t="inlineStr">
        <is>
          <t>Disetujui</t>
        </is>
      </c>
      <c r="K569" t="n">
        <v>30</v>
      </c>
      <c r="L569" t="inlineStr">
        <is>
          <t>17 September 2026</t>
        </is>
      </c>
      <c r="M569" t="inlineStr">
        <is>
          <t>Konstruksi Gedung Industri, Konstruksi Gedung Lainnya</t>
        </is>
      </c>
      <c r="N569" t="inlineStr">
        <is>
          <t>K</t>
        </is>
      </c>
      <c r="O569" t="inlineStr">
        <is>
          <t>20230917</t>
        </is>
      </c>
      <c r="P569" t="inlineStr">
        <is>
          <t>Sumatera Selatan</t>
        </is>
      </c>
      <c r="Q569" t="inlineStr"/>
    </row>
    <row r="570">
      <c r="A570" t="inlineStr">
        <is>
          <t>PUTRA SILABAH JAYA</t>
        </is>
      </c>
      <c r="B570" t="inlineStr">
        <is>
          <t>Kota Batam</t>
        </is>
      </c>
      <c r="C570" t="inlineStr">
        <is>
          <t>081396670058</t>
        </is>
      </c>
      <c r="D570" t="inlineStr">
        <is>
          <t>cv.silabahjaya@gmail.com</t>
        </is>
      </c>
      <c r="E570" t="inlineStr">
        <is>
          <t>https://lpjk.pu.go.id/search-badan-usaha-detail/QURNK0N2RWEzWjNpZ1hldFAxdkdEdz09</t>
        </is>
      </c>
      <c r="F570" t="n">
        <v>1</v>
      </c>
      <c r="G570" t="inlineStr">
        <is>
          <t>BG008</t>
        </is>
      </c>
      <c r="H570" t="inlineStr">
        <is>
          <t>6 Juli 2015</t>
        </is>
      </c>
      <c r="I570" s="2" t="n">
        <v>46282</v>
      </c>
      <c r="J570" t="inlineStr">
        <is>
          <t>Disetujui</t>
        </is>
      </c>
      <c r="K570" t="n">
        <v>30</v>
      </c>
      <c r="L570" t="inlineStr">
        <is>
          <t>17 September 2026</t>
        </is>
      </c>
      <c r="M570" t="inlineStr">
        <is>
          <t>Konstruksi Gedung Tempat Hiburan dan Olahraga</t>
        </is>
      </c>
      <c r="N570" t="inlineStr">
        <is>
          <t>K</t>
        </is>
      </c>
      <c r="O570" t="inlineStr">
        <is>
          <t>20230916</t>
        </is>
      </c>
      <c r="P570" t="inlineStr">
        <is>
          <t>Kepulauan Riau</t>
        </is>
      </c>
      <c r="Q570" t="inlineStr"/>
    </row>
    <row r="571">
      <c r="A571" t="inlineStr">
        <is>
          <t>PUTRA SOFHIA PRATIWI</t>
        </is>
      </c>
      <c r="B571" t="inlineStr">
        <is>
          <t>Kab. Toba Samosir</t>
        </is>
      </c>
      <c r="C571" t="inlineStr">
        <is>
          <t>081265361540</t>
        </is>
      </c>
      <c r="D571" t="inlineStr">
        <is>
          <t>simangunsongandro2016@gmail.com</t>
        </is>
      </c>
      <c r="E571" t="inlineStr">
        <is>
          <t>https://lpjk.pu.go.id/search-badan-usaha-detail/cmdkRVlvNzk5S2RCZmJaMlhpVG9Pdz09</t>
        </is>
      </c>
      <c r="F571" t="n">
        <v>3</v>
      </c>
      <c r="G571" t="inlineStr">
        <is>
          <t>BG002, BS001, BS004</t>
        </is>
      </c>
      <c r="H571" t="inlineStr">
        <is>
          <t>25 Juli 2012</t>
        </is>
      </c>
      <c r="I571" s="2" t="n">
        <v>46277</v>
      </c>
      <c r="J571" t="inlineStr">
        <is>
          <t>Disetujui</t>
        </is>
      </c>
      <c r="K571" t="n">
        <v>30</v>
      </c>
      <c r="L571" t="inlineStr">
        <is>
          <t>12 September 2026</t>
        </is>
      </c>
      <c r="M571" t="inlineStr">
        <is>
          <t>Konstruksi Bangunan Sipil Jalan, Konstruksi Gedung Perkantoran, Konstruksi Jaringan Irigasi dan Drainase</t>
        </is>
      </c>
      <c r="N571" t="inlineStr">
        <is>
          <t>K</t>
        </is>
      </c>
      <c r="O571" t="inlineStr">
        <is>
          <t>20230907, 20230912</t>
        </is>
      </c>
      <c r="P571" t="inlineStr">
        <is>
          <t>Sumatera Utara</t>
        </is>
      </c>
      <c r="Q571" t="inlineStr"/>
    </row>
    <row r="572">
      <c r="A572" t="inlineStr">
        <is>
          <t>PUTRA TUBAN</t>
        </is>
      </c>
      <c r="B572" t="inlineStr">
        <is>
          <t>Kota Medan</t>
        </is>
      </c>
      <c r="C572" t="inlineStr">
        <is>
          <t>081375383187</t>
        </is>
      </c>
      <c r="D572" t="inlineStr">
        <is>
          <t>cvputratuban02@gmail.com</t>
        </is>
      </c>
      <c r="E572" t="inlineStr">
        <is>
          <t>https://lpjk.pu.go.id/search-badan-usaha-detail/RDhzVEVtcHk1WlJqQWIvTERZMHp6QT09</t>
        </is>
      </c>
      <c r="F572" t="n">
        <v>1</v>
      </c>
      <c r="G572" t="inlineStr">
        <is>
          <t>BS001</t>
        </is>
      </c>
      <c r="H572" t="inlineStr">
        <is>
          <t>2 Juni 2010</t>
        </is>
      </c>
      <c r="I572" s="2" t="n">
        <v>46280</v>
      </c>
      <c r="J572" t="inlineStr">
        <is>
          <t>Pencabutan</t>
        </is>
      </c>
      <c r="K572" t="n">
        <v>30</v>
      </c>
      <c r="L572" t="inlineStr">
        <is>
          <t>15 September 2026</t>
        </is>
      </c>
      <c r="M572" t="inlineStr">
        <is>
          <t>Konstruksi Bangunan Sipil Jalan</t>
        </is>
      </c>
      <c r="N572" t="inlineStr">
        <is>
          <t>K</t>
        </is>
      </c>
      <c r="O572" t="inlineStr">
        <is>
          <t>20230915</t>
        </is>
      </c>
      <c r="P572" t="inlineStr">
        <is>
          <t>Sumatera Utara</t>
        </is>
      </c>
      <c r="Q572" t="inlineStr"/>
    </row>
    <row r="573">
      <c r="A573" t="inlineStr">
        <is>
          <t>PUTRA TUNGGAL DESIGN</t>
        </is>
      </c>
      <c r="B573" t="inlineStr">
        <is>
          <t>Kota Makassar</t>
        </is>
      </c>
      <c r="C573" t="inlineStr">
        <is>
          <t>081344017466</t>
        </is>
      </c>
      <c r="D573" t="inlineStr">
        <is>
          <t>putratunggaldesign@gmail.com</t>
        </is>
      </c>
      <c r="E573" t="inlineStr">
        <is>
          <t>https://lpjk.pu.go.id/search-badan-usaha-detail/WDBMYzNMajBkMlM2bzE3enBEV0Jhdz09</t>
        </is>
      </c>
      <c r="F573" t="n">
        <v>3</v>
      </c>
      <c r="G573" t="inlineStr">
        <is>
          <t>RK002, RK003, RK005</t>
        </is>
      </c>
      <c r="H573" t="inlineStr">
        <is>
          <t>11 September 2015</t>
        </is>
      </c>
      <c r="I573" s="2" t="n">
        <v>46283</v>
      </c>
      <c r="J573" t="inlineStr">
        <is>
          <t>Disetujui</t>
        </is>
      </c>
      <c r="K573" t="n">
        <v>30</v>
      </c>
      <c r="L573" t="inlineStr">
        <is>
          <t>18 September 2026</t>
        </is>
      </c>
      <c r="M573" t="inlineStr">
        <is>
          <t>Jasa Rekayasa Lainnya, Jasa Rekayasa Pekerjaan Teknik Sipil Sumber Daya Air, Jasa Rekayasa Pekerjaan Teknik Sipil Transportasi</t>
        </is>
      </c>
      <c r="N573" t="inlineStr">
        <is>
          <t>K</t>
        </is>
      </c>
      <c r="O573" t="inlineStr">
        <is>
          <t>20230630, 20230830</t>
        </is>
      </c>
      <c r="P573" t="inlineStr">
        <is>
          <t>Sulawesi Selatan</t>
        </is>
      </c>
      <c r="Q573" t="inlineStr"/>
    </row>
    <row r="574">
      <c r="A574" t="inlineStr">
        <is>
          <t>PUTRA YAWON</t>
        </is>
      </c>
      <c r="B574" t="inlineStr">
        <is>
          <t>Kota Jayapura</t>
        </is>
      </c>
      <c r="C574" t="inlineStr">
        <is>
          <t>081248579101</t>
        </is>
      </c>
      <c r="D574" t="inlineStr">
        <is>
          <t>putrayawon385@gmail.com</t>
        </is>
      </c>
      <c r="E574" t="inlineStr">
        <is>
          <t>https://lpjk.pu.go.id/search-badan-usaha-detail/Q1g3SThzK0FLTllWVCs1Mm1uMHlBZz09</t>
        </is>
      </c>
      <c r="F574" t="n">
        <v>1</v>
      </c>
      <c r="G574" t="inlineStr">
        <is>
          <t>BS001</t>
        </is>
      </c>
      <c r="H574" t="inlineStr">
        <is>
          <t>6 Januari 2017</t>
        </is>
      </c>
      <c r="I574" s="2" t="n">
        <v>46282</v>
      </c>
      <c r="J574" t="inlineStr">
        <is>
          <t>Pembekuan</t>
        </is>
      </c>
      <c r="K574" t="n">
        <v>30</v>
      </c>
      <c r="L574" t="inlineStr">
        <is>
          <t>17 September 2026</t>
        </is>
      </c>
      <c r="M574" t="inlineStr">
        <is>
          <t>Konstruksi Bangunan Sipil Jalan</t>
        </is>
      </c>
      <c r="N574" t="inlineStr">
        <is>
          <t>K</t>
        </is>
      </c>
      <c r="O574" t="inlineStr">
        <is>
          <t>20230915</t>
        </is>
      </c>
      <c r="P574" t="inlineStr">
        <is>
          <t>Papua</t>
        </is>
      </c>
      <c r="Q574" t="inlineStr"/>
    </row>
    <row r="575">
      <c r="A575" t="inlineStr">
        <is>
          <t>PUTRASINDO MULTI PERKASA</t>
        </is>
      </c>
      <c r="B575" t="inlineStr">
        <is>
          <t>Kota Tangerang Selatan</t>
        </is>
      </c>
      <c r="C575" t="inlineStr">
        <is>
          <t>02122226549</t>
        </is>
      </c>
      <c r="D575" t="inlineStr">
        <is>
          <t>putrasindo_eddy@yahoo.com</t>
        </is>
      </c>
      <c r="E575" t="inlineStr">
        <is>
          <t>https://lpjk.pu.go.id/search-badan-usaha-detail/Tjlla3NNVkZlSDV5L0dLdTlGT29Odz09</t>
        </is>
      </c>
      <c r="F575" t="n">
        <v>2</v>
      </c>
      <c r="G575" t="inlineStr">
        <is>
          <t>BG001, BG002</t>
        </is>
      </c>
      <c r="H575" t="inlineStr">
        <is>
          <t>20 April 2012</t>
        </is>
      </c>
      <c r="I575" s="2" t="n">
        <v>46278</v>
      </c>
      <c r="J575" t="inlineStr">
        <is>
          <t>Disetujui</t>
        </is>
      </c>
      <c r="K575" t="n">
        <v>30</v>
      </c>
      <c r="L575" t="inlineStr">
        <is>
          <t>13 September 2026</t>
        </is>
      </c>
      <c r="M575" t="inlineStr">
        <is>
          <t>Konstruksi Gedung Hunian, Konstruksi Gedung Perkantoran</t>
        </is>
      </c>
      <c r="N575" t="inlineStr">
        <is>
          <t>K</t>
        </is>
      </c>
      <c r="O575" t="inlineStr">
        <is>
          <t>20221213</t>
        </is>
      </c>
      <c r="P575" t="inlineStr">
        <is>
          <t>Banten</t>
        </is>
      </c>
      <c r="Q575" t="inlineStr"/>
    </row>
    <row r="576">
      <c r="A576" t="inlineStr">
        <is>
          <t>PUTRI MAHARANI</t>
        </is>
      </c>
      <c r="B576" t="inlineStr">
        <is>
          <t>Kab. Bandung</t>
        </is>
      </c>
      <c r="C576" t="inlineStr">
        <is>
          <t>082129534002</t>
        </is>
      </c>
      <c r="D576" t="inlineStr">
        <is>
          <t>maharani_putri8284@yahoo.com</t>
        </is>
      </c>
      <c r="E576" t="inlineStr">
        <is>
          <t>https://lpjk.pu.go.id/search-badan-usaha-detail/VEg4UEVFS2NGdUJqc2tDcmFFZUtmdz09</t>
        </is>
      </c>
      <c r="F576" t="n">
        <v>2</v>
      </c>
      <c r="G576" t="inlineStr">
        <is>
          <t>BS001, BS004</t>
        </is>
      </c>
      <c r="H576" t="inlineStr">
        <is>
          <t>27 April 2018</t>
        </is>
      </c>
      <c r="I576" s="2" t="n">
        <v>46282</v>
      </c>
      <c r="J576" t="inlineStr">
        <is>
          <t>Disetujui</t>
        </is>
      </c>
      <c r="K576" t="n">
        <v>30</v>
      </c>
      <c r="L576" t="inlineStr">
        <is>
          <t>17 September 2026</t>
        </is>
      </c>
      <c r="M576" t="inlineStr">
        <is>
          <t>Konstruksi Bangunan Sipil Jalan, Konstruksi Jaringan Irigasi dan Drainase</t>
        </is>
      </c>
      <c r="N576" t="inlineStr">
        <is>
          <t>K</t>
        </is>
      </c>
      <c r="O576" t="inlineStr">
        <is>
          <t>20230914, 20230918</t>
        </is>
      </c>
      <c r="P576" t="inlineStr">
        <is>
          <t>Jawa Barat</t>
        </is>
      </c>
      <c r="Q576" t="inlineStr"/>
    </row>
    <row r="577">
      <c r="A577" t="inlineStr">
        <is>
          <t>PUTRI PERMATASARI</t>
        </is>
      </c>
      <c r="B577" t="inlineStr">
        <is>
          <t>Kab. Wonosobo</t>
        </is>
      </c>
      <c r="C577" t="inlineStr">
        <is>
          <t>085292876672</t>
        </is>
      </c>
      <c r="D577" t="inlineStr">
        <is>
          <t>cv.putripermatasari@gmail.com</t>
        </is>
      </c>
      <c r="E577" t="inlineStr">
        <is>
          <t>https://lpjk.pu.go.id/search-badan-usaha-detail/SzVMRGpqMm45R0c1ekg4NG04TGNzQT09</t>
        </is>
      </c>
      <c r="F577" t="n">
        <v>4</v>
      </c>
      <c r="G577" t="inlineStr">
        <is>
          <t>BG002, BG005, BG008, BG009</t>
        </is>
      </c>
      <c r="H577" t="inlineStr">
        <is>
          <t>8 September 2001</t>
        </is>
      </c>
      <c r="I577" s="2" t="n">
        <v>46283</v>
      </c>
      <c r="J577" t="inlineStr">
        <is>
          <t>Disetujui</t>
        </is>
      </c>
      <c r="K577" t="n">
        <v>30</v>
      </c>
      <c r="L577" t="inlineStr">
        <is>
          <t>18 September 2026</t>
        </is>
      </c>
      <c r="M577" t="inlineStr">
        <is>
          <t>Konstruksi Gedung Kesehatan, Konstruksi Gedung Lainnya, Konstruksi Gedung Perkantoran, Konstruksi Gedung Tempat Hiburan dan Olahraga</t>
        </is>
      </c>
      <c r="N577" t="inlineStr">
        <is>
          <t>K</t>
        </is>
      </c>
      <c r="O577" t="inlineStr">
        <is>
          <t>20230812</t>
        </is>
      </c>
      <c r="P577" t="inlineStr">
        <is>
          <t>Jawa Tengah</t>
        </is>
      </c>
      <c r="Q577" t="inlineStr"/>
    </row>
    <row r="578">
      <c r="A578" t="inlineStr">
        <is>
          <t>PolaRIS</t>
        </is>
      </c>
      <c r="B578" t="inlineStr">
        <is>
          <t>Kab. Kudus</t>
        </is>
      </c>
      <c r="C578" t="inlineStr">
        <is>
          <t>8122882028</t>
        </is>
      </c>
      <c r="D578" t="inlineStr">
        <is>
          <t>ppolaris704@gmail.com</t>
        </is>
      </c>
      <c r="E578" t="inlineStr">
        <is>
          <t>https://lpjk.pu.go.id/search-badan-usaha-detail/Sjh2T3gzR3J6VlRSc0JBeldRVkl6Zz09</t>
        </is>
      </c>
      <c r="F578" t="n">
        <v>2</v>
      </c>
      <c r="G578" t="inlineStr">
        <is>
          <t>AR001</t>
        </is>
      </c>
      <c r="H578" t="inlineStr">
        <is>
          <t>27 Februari 2006</t>
        </is>
      </c>
      <c r="I578" s="2" t="n">
        <v>46283</v>
      </c>
      <c r="J578" t="inlineStr">
        <is>
          <t>Disetujui</t>
        </is>
      </c>
      <c r="K578" t="n">
        <v>30</v>
      </c>
      <c r="L578" t="inlineStr">
        <is>
          <t>18 September 2026</t>
        </is>
      </c>
      <c r="M578" t="inlineStr">
        <is>
          <t>Jasa Arsitektural Bangunan Gedung Hunian dan Non Hunian</t>
        </is>
      </c>
      <c r="N578" t="inlineStr">
        <is>
          <t>K</t>
        </is>
      </c>
      <c r="O578" t="inlineStr">
        <is>
          <t>20230907</t>
        </is>
      </c>
      <c r="P578" t="inlineStr">
        <is>
          <t>Jawa Tengah</t>
        </is>
      </c>
      <c r="Q578" t="inlineStr"/>
    </row>
    <row r="579">
      <c r="A579" t="inlineStr">
        <is>
          <t>RADJA SINGA</t>
        </is>
      </c>
      <c r="B579" t="inlineStr">
        <is>
          <t>Kab. Karawang</t>
        </is>
      </c>
      <c r="C579" t="inlineStr">
        <is>
          <t>085289412110</t>
        </is>
      </c>
      <c r="D579" t="inlineStr">
        <is>
          <t>cvradjasinga@gmail.com</t>
        </is>
      </c>
      <c r="E579" t="inlineStr">
        <is>
          <t>https://lpjk.pu.go.id/search-badan-usaha-detail/NHBMUkF1bTUzSzZJQ0dpU0NNeFBWUT09</t>
        </is>
      </c>
      <c r="F579" t="n">
        <v>5</v>
      </c>
      <c r="G579" t="inlineStr">
        <is>
          <t>BG001, BG003, BG009, BS001, BS004</t>
        </is>
      </c>
      <c r="H579" t="inlineStr">
        <is>
          <t>5 September 2023</t>
        </is>
      </c>
      <c r="I579" s="2" t="n">
        <v>46281</v>
      </c>
      <c r="J579" t="inlineStr">
        <is>
          <t>Disetujui</t>
        </is>
      </c>
      <c r="K579" t="n">
        <v>30</v>
      </c>
      <c r="L579" t="inlineStr">
        <is>
          <t>16 September 2026</t>
        </is>
      </c>
      <c r="M579" t="inlineStr">
        <is>
          <t>Konstruksi Bangunan Sipil Jalan, Konstruksi Gedung Hunian, Konstruksi Gedung Industri, Konstruksi Gedung Lainnya, Konstruksi Jaringan Irigasi dan Drainase</t>
        </is>
      </c>
      <c r="N579" t="inlineStr">
        <is>
          <t>K</t>
        </is>
      </c>
      <c r="O579" t="inlineStr">
        <is>
          <t>20230915, 20230916</t>
        </is>
      </c>
      <c r="P579" t="inlineStr">
        <is>
          <t>Jawa Barat</t>
        </is>
      </c>
      <c r="Q579" t="inlineStr"/>
    </row>
    <row r="580">
      <c r="A580" t="inlineStr">
        <is>
          <t>RAF DIFFERENT</t>
        </is>
      </c>
      <c r="B580" t="inlineStr">
        <is>
          <t>Kab. Kapuas</t>
        </is>
      </c>
      <c r="C580" t="inlineStr">
        <is>
          <t>082259011764</t>
        </is>
      </c>
      <c r="D580" t="inlineStr">
        <is>
          <t>rafdifferent@gmail.com</t>
        </is>
      </c>
      <c r="E580" t="inlineStr">
        <is>
          <t>https://lpjk.pu.go.id/search-badan-usaha-detail/a0YrWjZWZU9yaWpsZEFGWWtIMW1Rdz09</t>
        </is>
      </c>
      <c r="F580" t="n">
        <v>3</v>
      </c>
      <c r="G580" t="inlineStr">
        <is>
          <t>BG009, BS001, BS004</t>
        </is>
      </c>
      <c r="H580" t="inlineStr">
        <is>
          <t>25 Juli 2023</t>
        </is>
      </c>
      <c r="I580" s="2" t="n">
        <v>46278</v>
      </c>
      <c r="J580" t="inlineStr">
        <is>
          <t>Disetujui, Pencabutan</t>
        </is>
      </c>
      <c r="K580" t="n">
        <v>30</v>
      </c>
      <c r="L580" t="inlineStr">
        <is>
          <t>13 September 2026</t>
        </is>
      </c>
      <c r="M580" t="inlineStr">
        <is>
          <t>Konstruksi Bangunan Sipil Jalan, Konstruksi Gedung Lainnya, Konstruksi Jaringan Irigasi dan Drainase</t>
        </is>
      </c>
      <c r="N580" t="inlineStr">
        <is>
          <t>K</t>
        </is>
      </c>
      <c r="O580" t="inlineStr">
        <is>
          <t>20230908</t>
        </is>
      </c>
      <c r="P580" t="inlineStr">
        <is>
          <t>Kalimantan Tengah</t>
        </is>
      </c>
      <c r="Q580" t="inlineStr"/>
    </row>
    <row r="581">
      <c r="A581" t="inlineStr">
        <is>
          <t>RAFFA ALKALIFI PERKASA</t>
        </is>
      </c>
      <c r="B581" t="inlineStr">
        <is>
          <t>Kota Prabumulih</t>
        </is>
      </c>
      <c r="C581" t="inlineStr">
        <is>
          <t>081368477882</t>
        </is>
      </c>
      <c r="D581" t="inlineStr">
        <is>
          <t>raffaalkalifiperkasa@gmail.com</t>
        </is>
      </c>
      <c r="E581" t="inlineStr">
        <is>
          <t>https://lpjk.pu.go.id/search-badan-usaha-detail/akJJUXpXSk9yL29TYllGcE4zbis3UT09</t>
        </is>
      </c>
      <c r="F581" t="n">
        <v>2</v>
      </c>
      <c r="G581" t="inlineStr">
        <is>
          <t>BS001</t>
        </is>
      </c>
      <c r="H581" t="inlineStr">
        <is>
          <t>12 Desember 2019</t>
        </is>
      </c>
      <c r="I581" s="2" t="n">
        <v>46283</v>
      </c>
      <c r="J581" t="inlineStr">
        <is>
          <t>Disetujui</t>
        </is>
      </c>
      <c r="K581" t="n">
        <v>30</v>
      </c>
      <c r="L581" t="inlineStr">
        <is>
          <t>18 September 2026</t>
        </is>
      </c>
      <c r="M581" t="inlineStr">
        <is>
          <t>Konstruksi Bangunan Sipil Jalan</t>
        </is>
      </c>
      <c r="N581" t="inlineStr">
        <is>
          <t>K</t>
        </is>
      </c>
      <c r="O581" t="inlineStr">
        <is>
          <t>20230918</t>
        </is>
      </c>
      <c r="P581" t="inlineStr">
        <is>
          <t>Sumatera Selatan</t>
        </is>
      </c>
      <c r="Q581" t="inlineStr"/>
    </row>
    <row r="582">
      <c r="A582" t="inlineStr">
        <is>
          <t>RAFFI JAYA PERKASA</t>
        </is>
      </c>
      <c r="B582" t="inlineStr">
        <is>
          <t>Kab. Musi Banyuasin</t>
        </is>
      </c>
      <c r="C582" t="inlineStr">
        <is>
          <t>082286966767</t>
        </is>
      </c>
      <c r="D582" t="inlineStr">
        <is>
          <t>cv.raffijayaperkasa2022@gmail.com</t>
        </is>
      </c>
      <c r="E582" t="inlineStr">
        <is>
          <t>https://lpjk.pu.go.id/search-badan-usaha-detail/WFFQUGRhM2dMa0xxcE45bEpLanVlUT09</t>
        </is>
      </c>
      <c r="F582" t="n">
        <v>6</v>
      </c>
      <c r="G582" t="inlineStr">
        <is>
          <t>BG006, BG009, BS001, BS004, BS005, BS010</t>
        </is>
      </c>
      <c r="H582" t="inlineStr">
        <is>
          <t>19 Juli 2005</t>
        </is>
      </c>
      <c r="I582" s="2" t="n">
        <v>46282</v>
      </c>
      <c r="J582" t="inlineStr">
        <is>
          <t>Disetujui</t>
        </is>
      </c>
      <c r="K582" t="n">
        <v>30</v>
      </c>
      <c r="L582" t="inlineStr">
        <is>
          <t>17 September 2026</t>
        </is>
      </c>
      <c r="M582" t="inlineStr">
        <is>
          <t>Konstruksi Bangunan Prasarana Sumber Daya Air, Konstruksi Bangunan Sipil Jalan, Konstruksi Bangunan Sipil Pengolahan Air Bersih, Konstruksi Gedung Lainnya, Konstruksi Gedung Pendidikan, Konstruksi Jaringan Irigasi dan Drainase</t>
        </is>
      </c>
      <c r="N582" t="inlineStr">
        <is>
          <t>K</t>
        </is>
      </c>
      <c r="O582" t="inlineStr">
        <is>
          <t>20230911</t>
        </is>
      </c>
      <c r="P582" t="inlineStr">
        <is>
          <t>Sumatera Selatan</t>
        </is>
      </c>
      <c r="Q582" t="inlineStr"/>
    </row>
    <row r="583">
      <c r="A583" t="inlineStr">
        <is>
          <t>RAFFI LAKSONO</t>
        </is>
      </c>
      <c r="B583" t="inlineStr">
        <is>
          <t>Kab. Nganjuk</t>
        </is>
      </c>
      <c r="C583" t="inlineStr">
        <is>
          <t>081359234569</t>
        </is>
      </c>
      <c r="D583" t="inlineStr">
        <is>
          <t>gadingklopo@gmail.com</t>
        </is>
      </c>
      <c r="E583" t="inlineStr">
        <is>
          <t>https://lpjk.pu.go.id/search-badan-usaha-detail/UXozWi9rOEFvMW8yZmFaaWM0bHlLQT09</t>
        </is>
      </c>
      <c r="F583" t="n">
        <v>6</v>
      </c>
      <c r="G583" t="inlineStr">
        <is>
          <t>BG002, BG005, BG006, BG009, BS001, BS004</t>
        </is>
      </c>
      <c r="H583" t="inlineStr">
        <is>
          <t>13 Desember 2006</t>
        </is>
      </c>
      <c r="I583" s="2" t="n">
        <v>46282</v>
      </c>
      <c r="J583" t="inlineStr">
        <is>
          <t>Disetujui</t>
        </is>
      </c>
      <c r="K583" t="n">
        <v>30</v>
      </c>
      <c r="L583" t="inlineStr">
        <is>
          <t>17 September 2026</t>
        </is>
      </c>
      <c r="M583" t="inlineStr">
        <is>
          <t>Konstruksi Bangunan Sipil Jalan, Konstruksi Gedung Kesehatan, Konstruksi Gedung Lainnya, Konstruksi Gedung Pendidikan, Konstruksi Gedung Perkantoran, Konstruksi Jaringan Irigasi dan Drainase</t>
        </is>
      </c>
      <c r="N583" t="inlineStr">
        <is>
          <t>K</t>
        </is>
      </c>
      <c r="O583" t="inlineStr">
        <is>
          <t>20230914, 20230915</t>
        </is>
      </c>
      <c r="P583" t="inlineStr">
        <is>
          <t>Jawa Timur</t>
        </is>
      </c>
      <c r="Q583" t="inlineStr"/>
    </row>
    <row r="584">
      <c r="A584" t="inlineStr">
        <is>
          <t>RAFIATAMA MANDIRI</t>
        </is>
      </c>
      <c r="B584" t="inlineStr">
        <is>
          <t>Kota Semarang</t>
        </is>
      </c>
      <c r="C584" t="inlineStr">
        <is>
          <t>024 - 6581997</t>
        </is>
      </c>
      <c r="D584" t="inlineStr">
        <is>
          <t>rafiatama.mandiri@yahoo.com</t>
        </is>
      </c>
      <c r="E584" t="inlineStr">
        <is>
          <t>https://lpjk.pu.go.id/search-badan-usaha-detail/Z2V3aHJoeWFNcE9kcUJQbndHTDlHZz09</t>
        </is>
      </c>
      <c r="F584" t="n">
        <v>2</v>
      </c>
      <c r="G584" t="inlineStr">
        <is>
          <t>BG005, BS001</t>
        </is>
      </c>
      <c r="H584" t="inlineStr">
        <is>
          <t>8 Januari 2007</t>
        </is>
      </c>
      <c r="I584" s="2" t="n">
        <v>46279</v>
      </c>
      <c r="J584" t="inlineStr">
        <is>
          <t>Disetujui</t>
        </is>
      </c>
      <c r="K584" t="n">
        <v>30</v>
      </c>
      <c r="L584" t="inlineStr">
        <is>
          <t>14 September 2026</t>
        </is>
      </c>
      <c r="M584" t="inlineStr">
        <is>
          <t>Konstruksi Bangunan Sipil Jalan, Konstruksi Gedung Kesehatan</t>
        </is>
      </c>
      <c r="N584" t="inlineStr">
        <is>
          <t>K</t>
        </is>
      </c>
      <c r="O584" t="inlineStr">
        <is>
          <t>20230908, 20230912</t>
        </is>
      </c>
      <c r="P584" t="inlineStr">
        <is>
          <t>Jawa Tengah</t>
        </is>
      </c>
      <c r="Q584" t="inlineStr"/>
    </row>
    <row r="585">
      <c r="A585" t="inlineStr">
        <is>
          <t>RAHAAYU PUTRA MANDIRI</t>
        </is>
      </c>
      <c r="B585" t="inlineStr">
        <is>
          <t>Kota Tasikmalaya</t>
        </is>
      </c>
      <c r="C585" t="inlineStr">
        <is>
          <t>082219436963</t>
        </is>
      </c>
      <c r="D585" t="inlineStr">
        <is>
          <t>rahaayuputramandiri@gmail.com</t>
        </is>
      </c>
      <c r="E585" t="inlineStr">
        <is>
          <t>https://lpjk.pu.go.id/search-badan-usaha-detail/SW5KK1JMRjlVV1BLNzBPQXp1UENDUT09</t>
        </is>
      </c>
      <c r="F585" t="n">
        <v>2</v>
      </c>
      <c r="G585" t="inlineStr">
        <is>
          <t>BG009</t>
        </is>
      </c>
      <c r="H585" t="inlineStr">
        <is>
          <t>8 Mei 2023</t>
        </is>
      </c>
      <c r="I585" s="2" t="n">
        <v>46283</v>
      </c>
      <c r="J585" t="inlineStr">
        <is>
          <t>Disetujui</t>
        </is>
      </c>
      <c r="K585" t="n">
        <v>30</v>
      </c>
      <c r="L585" t="inlineStr">
        <is>
          <t>18 September 2026</t>
        </is>
      </c>
      <c r="M585" t="inlineStr">
        <is>
          <t>Konstruksi Gedung Lainnya</t>
        </is>
      </c>
      <c r="N585" t="inlineStr">
        <is>
          <t>K</t>
        </is>
      </c>
      <c r="O585" t="inlineStr">
        <is>
          <t>20230914</t>
        </is>
      </c>
      <c r="P585" t="inlineStr">
        <is>
          <t>Jawa Barat</t>
        </is>
      </c>
      <c r="Q585" t="inlineStr"/>
    </row>
    <row r="586">
      <c r="A586" t="inlineStr">
        <is>
          <t>RAHAYU PRIMA PERKASA</t>
        </is>
      </c>
      <c r="B586" t="inlineStr">
        <is>
          <t>Kota Palangkaraya</t>
        </is>
      </c>
      <c r="C586" t="inlineStr">
        <is>
          <t>08125098792</t>
        </is>
      </c>
      <c r="D586" t="inlineStr">
        <is>
          <t>cv.rahayuprimaperkasa@gmail.com</t>
        </is>
      </c>
      <c r="E586" t="inlineStr">
        <is>
          <t>https://lpjk.pu.go.id/search-badan-usaha-detail/ZldBL2lzVzNIQUxWd2dpNmQrcVhvUT09</t>
        </is>
      </c>
      <c r="F586" t="n">
        <v>2</v>
      </c>
      <c r="G586" t="inlineStr">
        <is>
          <t>BG002, BG006</t>
        </is>
      </c>
      <c r="H586" t="inlineStr">
        <is>
          <t>21 Juli 2023</t>
        </is>
      </c>
      <c r="I586" s="2" t="n">
        <v>46283</v>
      </c>
      <c r="J586" t="inlineStr">
        <is>
          <t>Disetujui</t>
        </is>
      </c>
      <c r="K586" t="n">
        <v>30</v>
      </c>
      <c r="L586" t="inlineStr">
        <is>
          <t>18 September 2026</t>
        </is>
      </c>
      <c r="M586" t="inlineStr">
        <is>
          <t>Konstruksi Gedung Pendidikan, Konstruksi Gedung Perkantoran</t>
        </is>
      </c>
      <c r="N586" t="inlineStr">
        <is>
          <t>K</t>
        </is>
      </c>
      <c r="O586" t="inlineStr">
        <is>
          <t>20230811, 20230918</t>
        </is>
      </c>
      <c r="P586" t="inlineStr">
        <is>
          <t>Kalimantan Tengah</t>
        </is>
      </c>
      <c r="Q586" t="inlineStr"/>
    </row>
    <row r="587">
      <c r="A587" t="inlineStr">
        <is>
          <t>RAHMA AULIA MANDIRI</t>
        </is>
      </c>
      <c r="B587" t="inlineStr">
        <is>
          <t>Kab. Bandung Barat</t>
        </is>
      </c>
      <c r="C587" t="inlineStr">
        <is>
          <t>083822781148</t>
        </is>
      </c>
      <c r="D587" t="inlineStr">
        <is>
          <t>rahma.auliamandirikbb223@gmail.com</t>
        </is>
      </c>
      <c r="E587" t="inlineStr">
        <is>
          <t>https://lpjk.pu.go.id/search-badan-usaha-detail/cGFVQktFUEFOK1NKcWMyZUFxNEpVdz09</t>
        </is>
      </c>
      <c r="F587" t="n">
        <v>1</v>
      </c>
      <c r="G587" t="inlineStr">
        <is>
          <t>BS004</t>
        </is>
      </c>
      <c r="H587" t="inlineStr">
        <is>
          <t>25 Januari 2019</t>
        </is>
      </c>
      <c r="I587" s="2" t="n">
        <v>46282</v>
      </c>
      <c r="J587" t="inlineStr">
        <is>
          <t>Disetujui</t>
        </is>
      </c>
      <c r="K587" t="n">
        <v>30</v>
      </c>
      <c r="L587" t="inlineStr">
        <is>
          <t>17 September 2026</t>
        </is>
      </c>
      <c r="M587" t="inlineStr">
        <is>
          <t>Konstruksi Jaringan Irigasi dan Drainase</t>
        </is>
      </c>
      <c r="N587" t="inlineStr">
        <is>
          <t>K</t>
        </is>
      </c>
      <c r="O587" t="inlineStr">
        <is>
          <t>20230913</t>
        </is>
      </c>
      <c r="P587" t="inlineStr">
        <is>
          <t>Jawa Barat</t>
        </is>
      </c>
      <c r="Q587" t="inlineStr"/>
    </row>
    <row r="588">
      <c r="A588" t="inlineStr">
        <is>
          <t>RAHMA JAYA KONTRAKTOR</t>
        </is>
      </c>
      <c r="B588" t="inlineStr">
        <is>
          <t>Kab. Seram Bagian Timur</t>
        </is>
      </c>
      <c r="C588" t="inlineStr">
        <is>
          <t>081247262011</t>
        </is>
      </c>
      <c r="D588" t="inlineStr">
        <is>
          <t>cvrahmajayakontraktor.oss@gmail.com</t>
        </is>
      </c>
      <c r="E588" t="inlineStr">
        <is>
          <t>https://lpjk.pu.go.id/search-badan-usaha-detail/TUNxVkpxclJFOEtWMUFzTTRlS0Vrdz09</t>
        </is>
      </c>
      <c r="F588" t="n">
        <v>1</v>
      </c>
      <c r="G588" t="inlineStr">
        <is>
          <t>BS010</t>
        </is>
      </c>
      <c r="H588" t="inlineStr">
        <is>
          <t>1 Juli 2022</t>
        </is>
      </c>
      <c r="I588" s="2" t="n">
        <v>46277</v>
      </c>
      <c r="J588" t="inlineStr">
        <is>
          <t>Disetujui</t>
        </is>
      </c>
      <c r="K588" t="n">
        <v>30</v>
      </c>
      <c r="L588" t="inlineStr">
        <is>
          <t>12 September 2026</t>
        </is>
      </c>
      <c r="M588" t="inlineStr">
        <is>
          <t>Konstruksi Bangunan Prasarana Sumber Daya Air</t>
        </is>
      </c>
      <c r="N588" t="inlineStr">
        <is>
          <t>K</t>
        </is>
      </c>
      <c r="O588" t="inlineStr">
        <is>
          <t>20230715</t>
        </is>
      </c>
      <c r="P588" t="inlineStr">
        <is>
          <t>Maluku</t>
        </is>
      </c>
      <c r="Q588" t="inlineStr"/>
    </row>
    <row r="589">
      <c r="A589" t="inlineStr">
        <is>
          <t>RAHMAN JAYA</t>
        </is>
      </c>
      <c r="B589" t="inlineStr">
        <is>
          <t>Kab. Minahasa Selatan</t>
        </is>
      </c>
      <c r="C589" t="inlineStr">
        <is>
          <t>08114317171</t>
        </is>
      </c>
      <c r="D589" t="inlineStr">
        <is>
          <t>cv.rahmanjaya123@gmail.com</t>
        </is>
      </c>
      <c r="E589" t="inlineStr">
        <is>
          <t>https://lpjk.pu.go.id/search-badan-usaha-detail/aXdLd1lxdnVodm02eXlHbVZSbUN6Zz09</t>
        </is>
      </c>
      <c r="F589" t="n">
        <v>2</v>
      </c>
      <c r="G589" t="inlineStr">
        <is>
          <t>IN001</t>
        </is>
      </c>
      <c r="H589" t="inlineStr">
        <is>
          <t>3 April 2020</t>
        </is>
      </c>
      <c r="I589" s="2" t="n">
        <v>46277</v>
      </c>
      <c r="J589" t="inlineStr">
        <is>
          <t>Pembekuan</t>
        </is>
      </c>
      <c r="K589" t="n">
        <v>30</v>
      </c>
      <c r="L589" t="inlineStr">
        <is>
          <t>12 September 2026</t>
        </is>
      </c>
      <c r="M589" t="inlineStr">
        <is>
          <t>Instalasi Mekanikal</t>
        </is>
      </c>
      <c r="N589" t="inlineStr">
        <is>
          <t>Spesialis</t>
        </is>
      </c>
      <c r="O589" t="inlineStr">
        <is>
          <t>20230905</t>
        </is>
      </c>
      <c r="P589" t="inlineStr">
        <is>
          <t>Sulawesi Utara</t>
        </is>
      </c>
      <c r="Q589" t="inlineStr"/>
    </row>
    <row r="590">
      <c r="A590" t="inlineStr">
        <is>
          <t>RAJA KARYA MANDIRI</t>
        </is>
      </c>
      <c r="B590" t="inlineStr">
        <is>
          <t>Kab. Minahasa</t>
        </is>
      </c>
      <c r="C590" t="inlineStr">
        <is>
          <t>082290579797</t>
        </is>
      </c>
      <c r="D590" t="inlineStr">
        <is>
          <t>pt.rajakaryamandiri@yahoo.com</t>
        </is>
      </c>
      <c r="E590" t="inlineStr">
        <is>
          <t>https://lpjk.pu.go.id/search-badan-usaha-detail/WHZHOHZoZzYxbzhqNVhGU2NIaWFmdz09</t>
        </is>
      </c>
      <c r="F590" t="n">
        <v>1</v>
      </c>
      <c r="G590" t="inlineStr">
        <is>
          <t>BS001</t>
        </is>
      </c>
      <c r="H590" t="inlineStr">
        <is>
          <t>2 Juni 2014</t>
        </is>
      </c>
      <c r="I590" s="2" t="n">
        <v>46278</v>
      </c>
      <c r="J590" t="inlineStr">
        <is>
          <t>Disetujui</t>
        </is>
      </c>
      <c r="K590" t="n">
        <v>30</v>
      </c>
      <c r="L590" t="inlineStr">
        <is>
          <t>13 September 2026</t>
        </is>
      </c>
      <c r="M590" t="inlineStr">
        <is>
          <t>Konstruksi Bangunan Sipil Jalan</t>
        </is>
      </c>
      <c r="N590" t="inlineStr">
        <is>
          <t>M</t>
        </is>
      </c>
      <c r="O590" t="inlineStr">
        <is>
          <t>20230908</t>
        </is>
      </c>
      <c r="P590" t="inlineStr">
        <is>
          <t>Sulawesi Utara</t>
        </is>
      </c>
      <c r="Q590" t="inlineStr"/>
    </row>
    <row r="591">
      <c r="A591" t="inlineStr">
        <is>
          <t>RAJASA MITRA ABADI</t>
        </is>
      </c>
      <c r="B591" t="inlineStr">
        <is>
          <t>Kota Manado</t>
        </is>
      </c>
      <c r="C591" t="inlineStr">
        <is>
          <t>081340217781</t>
        </is>
      </c>
      <c r="D591" t="inlineStr">
        <is>
          <t>info.rajasa@gmail.com</t>
        </is>
      </c>
      <c r="E591" t="inlineStr">
        <is>
          <t>https://lpjk.pu.go.id/search-badan-usaha-detail/enpDT0hYaDh5U2FFVVBEQ2cyUVBDUT09</t>
        </is>
      </c>
      <c r="F591" t="n">
        <v>2</v>
      </c>
      <c r="G591" t="inlineStr">
        <is>
          <t>BS002</t>
        </is>
      </c>
      <c r="H591" t="inlineStr">
        <is>
          <t>11 Januari 2007</t>
        </is>
      </c>
      <c r="I591" s="2" t="n">
        <v>46279</v>
      </c>
      <c r="J591" t="inlineStr">
        <is>
          <t>Pembekuan</t>
        </is>
      </c>
      <c r="K591" t="n">
        <v>30</v>
      </c>
      <c r="L591" t="inlineStr">
        <is>
          <t>14 September 2026</t>
        </is>
      </c>
      <c r="M591" t="inlineStr">
        <is>
          <t>Bangunan Sipil Jembatan, Jalan Layang, Fly Over, dan Underpass</t>
        </is>
      </c>
      <c r="N591" t="inlineStr">
        <is>
          <t>M</t>
        </is>
      </c>
      <c r="O591" t="inlineStr">
        <is>
          <t>20230912</t>
        </is>
      </c>
      <c r="P591" t="inlineStr">
        <is>
          <t>Sulawesi Utara</t>
        </is>
      </c>
      <c r="Q591" t="inlineStr"/>
    </row>
    <row r="592">
      <c r="A592" t="inlineStr">
        <is>
          <t>RAJAWALI SAKTI</t>
        </is>
      </c>
      <c r="B592" t="inlineStr">
        <is>
          <t>Kab. Mamuju</t>
        </is>
      </c>
      <c r="C592" t="inlineStr">
        <is>
          <t>081343833380</t>
        </is>
      </c>
      <c r="D592" t="inlineStr">
        <is>
          <t>rajawali_sakti49@yahoo.com</t>
        </is>
      </c>
      <c r="E592" t="inlineStr">
        <is>
          <t>https://lpjk.pu.go.id/search-badan-usaha-detail/bGg2OXZCdy8zT1U4RWxIVnNLUDh2Zz09</t>
        </is>
      </c>
      <c r="F592" t="n">
        <v>2</v>
      </c>
      <c r="G592" t="inlineStr">
        <is>
          <t>BG009</t>
        </is>
      </c>
      <c r="H592" t="inlineStr">
        <is>
          <t>29 Desember 2004</t>
        </is>
      </c>
      <c r="I592" s="2" t="n">
        <v>46281</v>
      </c>
      <c r="J592" t="inlineStr">
        <is>
          <t>Disetujui</t>
        </is>
      </c>
      <c r="K592" t="n">
        <v>30</v>
      </c>
      <c r="L592" t="inlineStr">
        <is>
          <t>16 September 2026</t>
        </is>
      </c>
      <c r="M592" t="inlineStr">
        <is>
          <t>Konstruksi Gedung Lainnya</t>
        </is>
      </c>
      <c r="N592" t="inlineStr">
        <is>
          <t>K</t>
        </is>
      </c>
      <c r="O592" t="inlineStr">
        <is>
          <t>20230914</t>
        </is>
      </c>
      <c r="P592" t="inlineStr">
        <is>
          <t>Sulawesi Barat</t>
        </is>
      </c>
      <c r="Q592" t="inlineStr"/>
    </row>
    <row r="593">
      <c r="A593" t="inlineStr">
        <is>
          <t>RAKATAMA ASTRA WIRA</t>
        </is>
      </c>
      <c r="B593" t="inlineStr">
        <is>
          <t>Kota Tangerang Selatan</t>
        </is>
      </c>
      <c r="C593" t="inlineStr">
        <is>
          <t>08112225761</t>
        </is>
      </c>
      <c r="D593" t="inlineStr">
        <is>
          <t>rakatamaastrawira@gmail.com</t>
        </is>
      </c>
      <c r="E593" t="inlineStr">
        <is>
          <t>https://lpjk.pu.go.id/search-badan-usaha-detail/MlRYKzUwUzZzM1Z2SDdXSUNHVE9tQT09</t>
        </is>
      </c>
      <c r="F593" t="n">
        <v>8</v>
      </c>
      <c r="G593" t="inlineStr">
        <is>
          <t>BG009, BS001, BS002, BS004</t>
        </is>
      </c>
      <c r="H593" t="inlineStr">
        <is>
          <t>15 Agustus 2023</t>
        </is>
      </c>
      <c r="I593" s="2" t="n">
        <v>46283</v>
      </c>
      <c r="J593" t="inlineStr">
        <is>
          <t>Disetujui</t>
        </is>
      </c>
      <c r="K593" t="n">
        <v>30</v>
      </c>
      <c r="L593" t="inlineStr">
        <is>
          <t>18 September 2026</t>
        </is>
      </c>
      <c r="M593" t="inlineStr">
        <is>
          <t>Bangunan Sipil Jembatan, Jalan Layang, Fly Over, dan Underpass, Konstruksi Bangunan Sipil Jalan, Konstruksi Gedung Lainnya, Konstruksi Jaringan Irigasi dan Drainase</t>
        </is>
      </c>
      <c r="N593" t="inlineStr">
        <is>
          <t>K</t>
        </is>
      </c>
      <c r="O593" t="inlineStr">
        <is>
          <t>20230916, 20230918</t>
        </is>
      </c>
      <c r="P593" t="inlineStr">
        <is>
          <t>Banten</t>
        </is>
      </c>
      <c r="Q593" t="inlineStr"/>
    </row>
    <row r="594">
      <c r="A594" t="inlineStr">
        <is>
          <t>RAMA SUKSES MANDIRI</t>
        </is>
      </c>
      <c r="B594" t="inlineStr">
        <is>
          <t>Kota Semarang</t>
        </is>
      </c>
      <c r="C594" t="inlineStr">
        <is>
          <t>0248508134</t>
        </is>
      </c>
      <c r="D594" t="inlineStr">
        <is>
          <t>ptrama.sm@gmail.com</t>
        </is>
      </c>
      <c r="E594" t="inlineStr">
        <is>
          <t>https://lpjk.pu.go.id/search-badan-usaha-detail/WE81NUVDZGxacU9yQ3RGdGRBR1F3dz09</t>
        </is>
      </c>
      <c r="F594" t="n">
        <v>3</v>
      </c>
      <c r="G594" t="inlineStr">
        <is>
          <t>PL003, PL005, PL006</t>
        </is>
      </c>
      <c r="H594" t="inlineStr">
        <is>
          <t>22 Maret 2010</t>
        </is>
      </c>
      <c r="I594" s="2" t="n">
        <v>46277</v>
      </c>
      <c r="J594" t="inlineStr">
        <is>
          <t>Disetujui</t>
        </is>
      </c>
      <c r="K594" t="n">
        <v>30</v>
      </c>
      <c r="L594" t="inlineStr">
        <is>
          <t>12 September 2026</t>
        </is>
      </c>
      <c r="M594" t="inlineStr">
        <is>
          <t>Pelaksanaan Pekerjaan Utilitas, Pembuatan/Pengeboran Sumur Air Tanah, Penyiapan Lahan Konstruksi</t>
        </is>
      </c>
      <c r="N594" t="inlineStr">
        <is>
          <t>Spesialis</t>
        </is>
      </c>
      <c r="O594" t="inlineStr">
        <is>
          <t>20230904</t>
        </is>
      </c>
      <c r="P594" t="inlineStr">
        <is>
          <t>Jawa Tengah</t>
        </is>
      </c>
      <c r="Q594" t="inlineStr"/>
    </row>
    <row r="595">
      <c r="A595" t="inlineStr">
        <is>
          <t>RANGGANA MAHA KARYA</t>
        </is>
      </c>
      <c r="B595" t="inlineStr">
        <is>
          <t>Kota Padang Sidempuan</t>
        </is>
      </c>
      <c r="C595" t="inlineStr">
        <is>
          <t>082362584725</t>
        </is>
      </c>
      <c r="D595" t="inlineStr">
        <is>
          <t>rangganamahakarya@gmail.com</t>
        </is>
      </c>
      <c r="E595" t="inlineStr">
        <is>
          <t>https://lpjk.pu.go.id/search-badan-usaha-detail/a1pnQWFEbVpobkRINmNEYjJaek1Pdz09</t>
        </is>
      </c>
      <c r="F595" t="n">
        <v>3</v>
      </c>
      <c r="G595" t="inlineStr">
        <is>
          <t>BG006, BG009, BS004</t>
        </is>
      </c>
      <c r="H595" t="inlineStr">
        <is>
          <t>12 September 2023</t>
        </is>
      </c>
      <c r="I595" s="2" t="n">
        <v>46283</v>
      </c>
      <c r="J595" t="inlineStr">
        <is>
          <t>Disetujui</t>
        </is>
      </c>
      <c r="K595" t="n">
        <v>30</v>
      </c>
      <c r="L595" t="inlineStr">
        <is>
          <t>18 September 2026</t>
        </is>
      </c>
      <c r="M595" t="inlineStr">
        <is>
          <t>Konstruksi Gedung Lainnya, Konstruksi Gedung Pendidikan, Konstruksi Jaringan Irigasi dan Drainase</t>
        </is>
      </c>
      <c r="N595" t="inlineStr">
        <is>
          <t>K</t>
        </is>
      </c>
      <c r="O595" t="inlineStr">
        <is>
          <t>20230914, 20230917</t>
        </is>
      </c>
      <c r="P595" t="inlineStr">
        <is>
          <t>Sumatera Utara</t>
        </is>
      </c>
      <c r="Q595" t="inlineStr"/>
    </row>
    <row r="596">
      <c r="A596" t="inlineStr">
        <is>
          <t>RANGKAI KARSA BERSAMA</t>
        </is>
      </c>
      <c r="B596" t="inlineStr">
        <is>
          <t>Kota Adm. Jakarta Pusat</t>
        </is>
      </c>
      <c r="C596" t="inlineStr">
        <is>
          <t>081283780827</t>
        </is>
      </c>
      <c r="D596" t="inlineStr">
        <is>
          <t>admin@rakascaffold.com</t>
        </is>
      </c>
      <c r="E596" t="inlineStr">
        <is>
          <t>https://lpjk.pu.go.id/search-badan-usaha-detail/OFprREcyQmhSa1FWQUQwMSt4VXJDdz09</t>
        </is>
      </c>
      <c r="F596" t="n">
        <v>1</v>
      </c>
      <c r="G596" t="inlineStr">
        <is>
          <t>PA001</t>
        </is>
      </c>
      <c r="H596" t="inlineStr">
        <is>
          <t>21 Juli 2023</t>
        </is>
      </c>
      <c r="I596" s="2" t="n">
        <v>46281</v>
      </c>
      <c r="J596" t="inlineStr">
        <is>
          <t>Pembekuan</t>
        </is>
      </c>
      <c r="K596" t="n">
        <v>30</v>
      </c>
      <c r="L596" t="inlineStr">
        <is>
          <t>16 September 2026</t>
        </is>
      </c>
      <c r="M596" t="inlineStr">
        <is>
          <t>Penyewaan Peralatan Konstruksi</t>
        </is>
      </c>
      <c r="N596" t="inlineStr">
        <is>
          <t>Spesialis</t>
        </is>
      </c>
      <c r="O596" t="inlineStr">
        <is>
          <t>20230904</t>
        </is>
      </c>
      <c r="P596" t="inlineStr">
        <is>
          <t>DKI Jakarta</t>
        </is>
      </c>
      <c r="Q596" t="inlineStr"/>
    </row>
    <row r="597">
      <c r="A597" t="inlineStr">
        <is>
          <t>REKATAMA SOLUSINDO</t>
        </is>
      </c>
      <c r="B597" t="inlineStr">
        <is>
          <t>Kota Tangerang Selatan</t>
        </is>
      </c>
      <c r="C597" t="inlineStr">
        <is>
          <t>081296147899</t>
        </is>
      </c>
      <c r="D597" t="inlineStr">
        <is>
          <t>rickyybastian1@gmail.com</t>
        </is>
      </c>
      <c r="E597" t="inlineStr">
        <is>
          <t>https://lpjk.pu.go.id/search-badan-usaha-detail/ei8ycmd5d21ac1FOcFpMeERoM2VnQT09</t>
        </is>
      </c>
      <c r="F597" t="n">
        <v>2</v>
      </c>
      <c r="G597" t="inlineStr">
        <is>
          <t>BS009</t>
        </is>
      </c>
      <c r="H597" t="inlineStr">
        <is>
          <t>21 Agustus 2013</t>
        </is>
      </c>
      <c r="I597" s="2" t="n">
        <v>46279</v>
      </c>
      <c r="J597" t="inlineStr">
        <is>
          <t>Disetujui</t>
        </is>
      </c>
      <c r="K597" t="n">
        <v>30</v>
      </c>
      <c r="L597" t="inlineStr">
        <is>
          <t>14 September 2026</t>
        </is>
      </c>
      <c r="M597" t="inlineStr">
        <is>
          <t>Konstruksi Sentral Telekomunikasi</t>
        </is>
      </c>
      <c r="N597" t="inlineStr">
        <is>
          <t>K</t>
        </is>
      </c>
      <c r="O597" t="inlineStr">
        <is>
          <t>20230909</t>
        </is>
      </c>
      <c r="P597" t="inlineStr">
        <is>
          <t>Banten</t>
        </is>
      </c>
      <c r="Q597" t="inlineStr"/>
    </row>
    <row r="598">
      <c r="A598" t="inlineStr">
        <is>
          <t>REKAYASA UTAMA</t>
        </is>
      </c>
      <c r="B598" t="inlineStr">
        <is>
          <t>Kab. Tabanan</t>
        </is>
      </c>
      <c r="C598" t="inlineStr">
        <is>
          <t>0361814164</t>
        </is>
      </c>
      <c r="D598" t="inlineStr">
        <is>
          <t>rekayasautamautama@yahoo.co.id</t>
        </is>
      </c>
      <c r="E598" t="inlineStr">
        <is>
          <t>https://lpjk.pu.go.id/search-badan-usaha-detail/ci9sQWlnTjBHUGo1aGI0bFN5Z0VOZz09</t>
        </is>
      </c>
      <c r="F598" t="n">
        <v>2</v>
      </c>
      <c r="G598" t="inlineStr">
        <is>
          <t>BG009</t>
        </is>
      </c>
      <c r="H598" t="inlineStr">
        <is>
          <t>23 Juni 1994</t>
        </is>
      </c>
      <c r="I598" s="2" t="n">
        <v>46283</v>
      </c>
      <c r="J598" t="inlineStr">
        <is>
          <t>Disetujui</t>
        </is>
      </c>
      <c r="K598" t="n">
        <v>30</v>
      </c>
      <c r="L598" t="inlineStr">
        <is>
          <t>18 September 2026</t>
        </is>
      </c>
      <c r="M598" t="inlineStr">
        <is>
          <t>Konstruksi Gedung Lainnya</t>
        </is>
      </c>
      <c r="N598" t="inlineStr">
        <is>
          <t>K</t>
        </is>
      </c>
      <c r="O598" t="inlineStr">
        <is>
          <t>20230912</t>
        </is>
      </c>
      <c r="P598" t="inlineStr">
        <is>
          <t>Bali</t>
        </is>
      </c>
      <c r="Q598" t="inlineStr"/>
    </row>
    <row r="599">
      <c r="A599" t="inlineStr">
        <is>
          <t>REKSA JAYA</t>
        </is>
      </c>
      <c r="B599" t="inlineStr">
        <is>
          <t>Kota Makassar</t>
        </is>
      </c>
      <c r="C599" t="inlineStr">
        <is>
          <t>0811411999</t>
        </is>
      </c>
      <c r="D599" t="inlineStr">
        <is>
          <t>cv.reksajaya@gmail.com</t>
        </is>
      </c>
      <c r="E599" t="inlineStr">
        <is>
          <t>https://lpjk.pu.go.id/search-badan-usaha-detail/NFc2Z3JmblVvRmN3Z2ZTMlZBY0RCUT09</t>
        </is>
      </c>
      <c r="F599" t="n">
        <v>2</v>
      </c>
      <c r="G599" t="inlineStr">
        <is>
          <t>BG001, BG006</t>
        </is>
      </c>
      <c r="H599" t="inlineStr">
        <is>
          <t>20 September 2021</t>
        </is>
      </c>
      <c r="I599" s="2" t="n">
        <v>46283</v>
      </c>
      <c r="J599" t="inlineStr">
        <is>
          <t>Disetujui</t>
        </is>
      </c>
      <c r="K599" t="n">
        <v>30</v>
      </c>
      <c r="L599" t="inlineStr">
        <is>
          <t>18 September 2026</t>
        </is>
      </c>
      <c r="M599" t="inlineStr">
        <is>
          <t>Konstruksi Gedung Hunian, Konstruksi Gedung Pendidikan</t>
        </is>
      </c>
      <c r="N599" t="inlineStr">
        <is>
          <t>K</t>
        </is>
      </c>
      <c r="O599" t="inlineStr">
        <is>
          <t>20220414, 20230822</t>
        </is>
      </c>
      <c r="P599" t="inlineStr">
        <is>
          <t>Sulawesi Selatan</t>
        </is>
      </c>
      <c r="Q599" t="inlineStr"/>
    </row>
    <row r="600">
      <c r="A600" t="inlineStr">
        <is>
          <t>REZKY BUKIT PERMAI</t>
        </is>
      </c>
      <c r="B600" t="inlineStr">
        <is>
          <t>Kab. Kampar</t>
        </is>
      </c>
      <c r="C600" t="inlineStr">
        <is>
          <t>082173440619</t>
        </is>
      </c>
      <c r="D600" t="inlineStr">
        <is>
          <t>cvbukitpermai71@gmail.com</t>
        </is>
      </c>
      <c r="E600" t="inlineStr">
        <is>
          <t>https://lpjk.pu.go.id/search-badan-usaha-detail/dXk4K2RlNGJJN1prZG5ySXhXQlNTZz09</t>
        </is>
      </c>
      <c r="F600" t="n">
        <v>1</v>
      </c>
      <c r="G600" t="inlineStr">
        <is>
          <t>BS002</t>
        </is>
      </c>
      <c r="H600" t="inlineStr">
        <is>
          <t>28 Januari 2012</t>
        </is>
      </c>
      <c r="I600" s="2" t="n">
        <v>46279</v>
      </c>
      <c r="J600" t="inlineStr">
        <is>
          <t>Disetujui</t>
        </is>
      </c>
      <c r="K600" t="n">
        <v>30</v>
      </c>
      <c r="L600" t="inlineStr">
        <is>
          <t>14 September 2026</t>
        </is>
      </c>
      <c r="M600" t="inlineStr">
        <is>
          <t>Bangunan Sipil Jembatan, Jalan Layang, Fly Over, dan Underpass</t>
        </is>
      </c>
      <c r="N600" t="inlineStr">
        <is>
          <t>K</t>
        </is>
      </c>
      <c r="O600" t="inlineStr">
        <is>
          <t>20230914</t>
        </is>
      </c>
      <c r="P600" t="inlineStr">
        <is>
          <t>Riau</t>
        </is>
      </c>
      <c r="Q600" t="inlineStr"/>
    </row>
    <row r="601">
      <c r="A601" t="inlineStr">
        <is>
          <t>RIDOAJI PUTRA</t>
        </is>
      </c>
      <c r="B601" t="inlineStr">
        <is>
          <t>Kota Sukabumi</t>
        </is>
      </c>
      <c r="C601" t="inlineStr">
        <is>
          <t>085603886063</t>
        </is>
      </c>
      <c r="D601" t="inlineStr">
        <is>
          <t>putraridoaji@gmail.com</t>
        </is>
      </c>
      <c r="E601" t="inlineStr">
        <is>
          <t>https://lpjk.pu.go.id/search-badan-usaha-detail/THZSZVBjSmxwNThENloweUhNOHRRdz09</t>
        </is>
      </c>
      <c r="F601" t="n">
        <v>2</v>
      </c>
      <c r="G601" t="inlineStr">
        <is>
          <t>BS004</t>
        </is>
      </c>
      <c r="H601" t="inlineStr">
        <is>
          <t>1 Februari 2018</t>
        </is>
      </c>
      <c r="I601" s="2" t="n">
        <v>46278</v>
      </c>
      <c r="J601" t="inlineStr">
        <is>
          <t>Pencabutan</t>
        </is>
      </c>
      <c r="K601" t="n">
        <v>30</v>
      </c>
      <c r="L601" t="inlineStr">
        <is>
          <t>13 September 2026</t>
        </is>
      </c>
      <c r="M601" t="inlineStr">
        <is>
          <t>Konstruksi Jaringan Irigasi dan Drainase</t>
        </is>
      </c>
      <c r="N601" t="inlineStr">
        <is>
          <t>K</t>
        </is>
      </c>
      <c r="O601" t="inlineStr">
        <is>
          <t>20230823</t>
        </is>
      </c>
      <c r="P601" t="inlineStr">
        <is>
          <t>Jawa Barat</t>
        </is>
      </c>
      <c r="Q601" t="inlineStr"/>
    </row>
    <row r="602">
      <c r="A602" t="inlineStr">
        <is>
          <t>RIDWAN LESTARI</t>
        </is>
      </c>
      <c r="B602" t="inlineStr">
        <is>
          <t>Kota Palopo</t>
        </is>
      </c>
      <c r="C602" t="inlineStr">
        <is>
          <t>082189914128</t>
        </is>
      </c>
      <c r="D602" t="inlineStr">
        <is>
          <t>cv.ridwan.lestari@gmail.com</t>
        </is>
      </c>
      <c r="E602" t="inlineStr">
        <is>
          <t>https://lpjk.pu.go.id/search-badan-usaha-detail/TzJuN2hjL2lDcmR2cFhtNFBtQVNwQT09</t>
        </is>
      </c>
      <c r="F602" t="n">
        <v>1</v>
      </c>
      <c r="G602" t="inlineStr">
        <is>
          <t>BG002</t>
        </is>
      </c>
      <c r="H602" t="inlineStr">
        <is>
          <t>17 Juni 2005</t>
        </is>
      </c>
      <c r="I602" s="2" t="n">
        <v>46277</v>
      </c>
      <c r="J602" t="inlineStr">
        <is>
          <t>Disetujui</t>
        </is>
      </c>
      <c r="K602" t="n">
        <v>30</v>
      </c>
      <c r="L602" t="inlineStr">
        <is>
          <t>12 September 2026</t>
        </is>
      </c>
      <c r="M602" t="inlineStr">
        <is>
          <t>Konstruksi Gedung Perkantoran</t>
        </is>
      </c>
      <c r="N602" t="inlineStr">
        <is>
          <t>K</t>
        </is>
      </c>
      <c r="O602" t="inlineStr">
        <is>
          <t>20230911</t>
        </is>
      </c>
      <c r="P602" t="inlineStr">
        <is>
          <t>Sulawesi Selatan</t>
        </is>
      </c>
      <c r="Q602" t="inlineStr"/>
    </row>
    <row r="603">
      <c r="A603" t="inlineStr">
        <is>
          <t>RIFQI PRATAMA</t>
        </is>
      </c>
      <c r="B603" t="inlineStr">
        <is>
          <t>Kab. Tanjung Jabung Barat</t>
        </is>
      </c>
      <c r="C603" t="inlineStr">
        <is>
          <t>085384153005</t>
        </is>
      </c>
      <c r="D603" t="inlineStr">
        <is>
          <t>rifqi.pratama2020@gmail.com</t>
        </is>
      </c>
      <c r="E603" t="inlineStr">
        <is>
          <t>https://lpjk.pu.go.id/search-badan-usaha-detail/cFh3M3FxLy9wNmhSaDJjclQzRXQ0UT09</t>
        </is>
      </c>
      <c r="F603" t="n">
        <v>1</v>
      </c>
      <c r="G603" t="inlineStr">
        <is>
          <t>BS001</t>
        </is>
      </c>
      <c r="H603" t="inlineStr">
        <is>
          <t>13 Januari 2020</t>
        </is>
      </c>
      <c r="I603" s="2" t="n">
        <v>46280</v>
      </c>
      <c r="J603" t="inlineStr">
        <is>
          <t>Disetujui</t>
        </is>
      </c>
      <c r="K603" t="n">
        <v>30</v>
      </c>
      <c r="L603" t="inlineStr">
        <is>
          <t>15 September 2026</t>
        </is>
      </c>
      <c r="M603" t="inlineStr">
        <is>
          <t>Konstruksi Bangunan Sipil Jalan</t>
        </is>
      </c>
      <c r="N603" t="inlineStr">
        <is>
          <t>K</t>
        </is>
      </c>
      <c r="O603" t="inlineStr">
        <is>
          <t>20230725</t>
        </is>
      </c>
      <c r="P603" t="inlineStr">
        <is>
          <t>Jambi</t>
        </is>
      </c>
      <c r="Q603" t="inlineStr"/>
    </row>
    <row r="604">
      <c r="A604" t="inlineStr">
        <is>
          <t>RISWANA SATU DARAH</t>
        </is>
      </c>
      <c r="B604" t="inlineStr">
        <is>
          <t>Kab. Bandung</t>
        </is>
      </c>
      <c r="C604" t="inlineStr">
        <is>
          <t>081222841451</t>
        </is>
      </c>
      <c r="D604" t="inlineStr">
        <is>
          <t>riswana.satu.darah@gmail.com</t>
        </is>
      </c>
      <c r="E604" t="inlineStr">
        <is>
          <t>https://lpjk.pu.go.id/search-badan-usaha-detail/Z0Z2U3lZdzBPS3RjL041a2tINStNQT09</t>
        </is>
      </c>
      <c r="F604" t="n">
        <v>4</v>
      </c>
      <c r="G604" t="inlineStr">
        <is>
          <t>BG007, BG008</t>
        </is>
      </c>
      <c r="H604" t="inlineStr">
        <is>
          <t>1 Agustus 2022</t>
        </is>
      </c>
      <c r="I604" s="2" t="n">
        <v>46278</v>
      </c>
      <c r="J604" t="inlineStr">
        <is>
          <t>Pencabutan</t>
        </is>
      </c>
      <c r="K604" t="n">
        <v>30</v>
      </c>
      <c r="L604" t="inlineStr">
        <is>
          <t>13 September 2026</t>
        </is>
      </c>
      <c r="M604" t="inlineStr">
        <is>
          <t>Konstruksi Gedung Penginapan, Konstruksi Gedung Tempat Hiburan dan Olahraga</t>
        </is>
      </c>
      <c r="N604" t="inlineStr">
        <is>
          <t>K</t>
        </is>
      </c>
      <c r="O604" t="inlineStr">
        <is>
          <t>20230914</t>
        </is>
      </c>
      <c r="P604" t="inlineStr">
        <is>
          <t>Jawa Barat</t>
        </is>
      </c>
      <c r="Q604" t="inlineStr"/>
    </row>
    <row r="605">
      <c r="A605" t="inlineStr">
        <is>
          <t>RIZKI GARDA USAHA</t>
        </is>
      </c>
      <c r="B605" t="inlineStr">
        <is>
          <t>Kab. Kubu Raya</t>
        </is>
      </c>
      <c r="C605" t="inlineStr">
        <is>
          <t>082255899966</t>
        </is>
      </c>
      <c r="D605" t="inlineStr">
        <is>
          <t>cvrizkigardausaha@gmail.com</t>
        </is>
      </c>
      <c r="E605" t="inlineStr">
        <is>
          <t>https://lpjk.pu.go.id/search-badan-usaha-detail/SHpGTGwzNWVZOHJYS1VWdEtwbDlUUT09</t>
        </is>
      </c>
      <c r="F605" t="n">
        <v>1</v>
      </c>
      <c r="G605" t="inlineStr">
        <is>
          <t>BS004</t>
        </is>
      </c>
      <c r="H605" t="inlineStr">
        <is>
          <t>29 November 2017</t>
        </is>
      </c>
      <c r="I605" s="2" t="n">
        <v>46279</v>
      </c>
      <c r="J605" t="inlineStr">
        <is>
          <t>Disetujui</t>
        </is>
      </c>
      <c r="K605" t="n">
        <v>30</v>
      </c>
      <c r="L605" t="inlineStr">
        <is>
          <t>14 September 2026</t>
        </is>
      </c>
      <c r="M605" t="inlineStr">
        <is>
          <t>Konstruksi Jaringan Irigasi dan Drainase</t>
        </is>
      </c>
      <c r="N605" t="inlineStr">
        <is>
          <t>K</t>
        </is>
      </c>
      <c r="O605" t="inlineStr">
        <is>
          <t>20230904</t>
        </is>
      </c>
      <c r="P605" t="inlineStr">
        <is>
          <t>Kalimantan Barat</t>
        </is>
      </c>
      <c r="Q605" t="inlineStr"/>
    </row>
    <row r="606">
      <c r="A606" t="inlineStr">
        <is>
          <t>RIZKI JAYA ABADI</t>
        </is>
      </c>
      <c r="B606" t="inlineStr">
        <is>
          <t>Kab. Mojokerto</t>
        </is>
      </c>
      <c r="C606" t="inlineStr">
        <is>
          <t>081252260368</t>
        </is>
      </c>
      <c r="D606" t="inlineStr">
        <is>
          <t>abadi_rizkijaya@yahoo.com</t>
        </is>
      </c>
      <c r="E606" t="inlineStr">
        <is>
          <t>https://lpjk.pu.go.id/search-badan-usaha-detail/d0crMWhETzJDRzZZaXhiR0FoYXYrdz09</t>
        </is>
      </c>
      <c r="F606" t="n">
        <v>1</v>
      </c>
      <c r="G606" t="inlineStr">
        <is>
          <t>BS001</t>
        </is>
      </c>
      <c r="H606" t="inlineStr">
        <is>
          <t>26 November 2015</t>
        </is>
      </c>
      <c r="I606" s="2" t="n">
        <v>46279</v>
      </c>
      <c r="J606" t="inlineStr">
        <is>
          <t>Disetujui</t>
        </is>
      </c>
      <c r="K606" t="n">
        <v>30</v>
      </c>
      <c r="L606" t="inlineStr">
        <is>
          <t>14 September 2026</t>
        </is>
      </c>
      <c r="M606" t="inlineStr">
        <is>
          <t>Konstruksi Bangunan Sipil Jalan</t>
        </is>
      </c>
      <c r="N606" t="inlineStr">
        <is>
          <t>K</t>
        </is>
      </c>
      <c r="O606" t="inlineStr">
        <is>
          <t>20230720</t>
        </is>
      </c>
      <c r="P606" t="inlineStr">
        <is>
          <t>Jawa Timur</t>
        </is>
      </c>
      <c r="Q606" t="inlineStr"/>
    </row>
    <row r="607">
      <c r="A607" t="inlineStr">
        <is>
          <t>RIZKY MANDIRI</t>
        </is>
      </c>
      <c r="B607" t="inlineStr">
        <is>
          <t>Kota Pangkal Pinang</t>
        </is>
      </c>
      <c r="C607" t="inlineStr">
        <is>
          <t>085268085189</t>
        </is>
      </c>
      <c r="D607" t="inlineStr">
        <is>
          <t>rizkymndiri@gmail.com</t>
        </is>
      </c>
      <c r="E607" t="inlineStr">
        <is>
          <t>https://lpjk.pu.go.id/search-badan-usaha-detail/RzUxak8yTTgvTjVJU3BKR2JvcnhxUT09</t>
        </is>
      </c>
      <c r="F607" t="n">
        <v>1</v>
      </c>
      <c r="G607" t="inlineStr">
        <is>
          <t>BS001</t>
        </is>
      </c>
      <c r="H607" t="inlineStr">
        <is>
          <t>7 Juni 2003</t>
        </is>
      </c>
      <c r="I607" s="2" t="n">
        <v>46283</v>
      </c>
      <c r="J607" t="inlineStr">
        <is>
          <t>Disetujui</t>
        </is>
      </c>
      <c r="K607" t="n">
        <v>30</v>
      </c>
      <c r="L607" t="inlineStr">
        <is>
          <t>18 September 2026</t>
        </is>
      </c>
      <c r="M607" t="inlineStr">
        <is>
          <t>Konstruksi Bangunan Sipil Jalan</t>
        </is>
      </c>
      <c r="N607" t="inlineStr">
        <is>
          <t>K</t>
        </is>
      </c>
      <c r="O607" t="inlineStr">
        <is>
          <t>20230904</t>
        </is>
      </c>
      <c r="P607" t="inlineStr">
        <is>
          <t>Kepulauan Bangka Belitung</t>
        </is>
      </c>
      <c r="Q607" t="inlineStr"/>
    </row>
    <row r="608">
      <c r="A608" t="inlineStr">
        <is>
          <t>ROMAS RAYA</t>
        </is>
      </c>
      <c r="B608" t="inlineStr">
        <is>
          <t>Kota Palu</t>
        </is>
      </c>
      <c r="C608" t="inlineStr">
        <is>
          <t>085397707796</t>
        </is>
      </c>
      <c r="D608" t="inlineStr">
        <is>
          <t>cvromasraya22@gmail.com</t>
        </is>
      </c>
      <c r="E608" t="inlineStr">
        <is>
          <t>https://lpjk.pu.go.id/search-badan-usaha-detail/QlI0K3F4YWczaUJyM0hLRjJ1OUFnZz09</t>
        </is>
      </c>
      <c r="F608" t="n">
        <v>1</v>
      </c>
      <c r="G608" t="inlineStr">
        <is>
          <t>PL003</t>
        </is>
      </c>
      <c r="H608" t="inlineStr">
        <is>
          <t>9 Januari 2013</t>
        </is>
      </c>
      <c r="I608" s="2" t="n">
        <v>46278</v>
      </c>
      <c r="J608" t="inlineStr">
        <is>
          <t>Pembekuan</t>
        </is>
      </c>
      <c r="K608" t="n">
        <v>30</v>
      </c>
      <c r="L608" t="inlineStr">
        <is>
          <t>13 September 2026</t>
        </is>
      </c>
      <c r="M608" t="inlineStr">
        <is>
          <t>Penyiapan Lahan Konstruksi</t>
        </is>
      </c>
      <c r="N608" t="inlineStr">
        <is>
          <t>Spesialis</t>
        </is>
      </c>
      <c r="O608" t="inlineStr">
        <is>
          <t>20230913</t>
        </is>
      </c>
      <c r="P608" t="inlineStr">
        <is>
          <t>Sulawesi Tengah</t>
        </is>
      </c>
      <c r="Q608" t="inlineStr"/>
    </row>
    <row r="609">
      <c r="A609" t="inlineStr">
        <is>
          <t>RONA PAPUA</t>
        </is>
      </c>
      <c r="B609" t="inlineStr">
        <is>
          <t>Kota Sorong</t>
        </is>
      </c>
      <c r="C609" t="inlineStr">
        <is>
          <t>-</t>
        </is>
      </c>
      <c r="D609" t="inlineStr">
        <is>
          <t>cv.ronapapua@gmail.com</t>
        </is>
      </c>
      <c r="E609" t="inlineStr">
        <is>
          <t>https://lpjk.pu.go.id/search-badan-usaha-detail/QWZUemZFM2lVVVdDQkVhMS80cGxRdz09</t>
        </is>
      </c>
      <c r="F609" t="n">
        <v>2</v>
      </c>
      <c r="G609" t="inlineStr">
        <is>
          <t>BG004, BG009</t>
        </is>
      </c>
      <c r="H609" t="inlineStr">
        <is>
          <t>2 September 2020</t>
        </is>
      </c>
      <c r="I609" s="2" t="n">
        <v>46282</v>
      </c>
      <c r="J609" t="inlineStr">
        <is>
          <t>Disetujui</t>
        </is>
      </c>
      <c r="K609" t="n">
        <v>30</v>
      </c>
      <c r="L609" t="inlineStr">
        <is>
          <t>17 September 2026</t>
        </is>
      </c>
      <c r="M609" t="inlineStr">
        <is>
          <t>Konstruksi Gedung Lainnya, Konstruksi Gedung Perbelanjaan</t>
        </is>
      </c>
      <c r="N609" t="inlineStr">
        <is>
          <t>K</t>
        </is>
      </c>
      <c r="O609" t="inlineStr">
        <is>
          <t>20230917</t>
        </is>
      </c>
      <c r="P609" t="inlineStr">
        <is>
          <t>Papua Barat</t>
        </is>
      </c>
      <c r="Q609" t="inlineStr"/>
    </row>
    <row r="610">
      <c r="A610" t="inlineStr">
        <is>
          <t>RONAL BERKAT KALAHIEN</t>
        </is>
      </c>
      <c r="B610" t="inlineStr">
        <is>
          <t>Kab. Barito Selatan</t>
        </is>
      </c>
      <c r="C610" t="inlineStr">
        <is>
          <t>081248565285</t>
        </is>
      </c>
      <c r="D610" t="inlineStr">
        <is>
          <t>cvronalberkatkalahien@gmail.com</t>
        </is>
      </c>
      <c r="E610" t="inlineStr">
        <is>
          <t>https://lpjk.pu.go.id/search-badan-usaha-detail/SVlzVWJaQVowNWk3MGU0a3pMdGVmdz09</t>
        </is>
      </c>
      <c r="F610" t="n">
        <v>6</v>
      </c>
      <c r="G610" t="inlineStr">
        <is>
          <t>BG002, BG005, BG006, BG009, BS001, BS004</t>
        </is>
      </c>
      <c r="H610" t="inlineStr">
        <is>
          <t>13 Juli 2023</t>
        </is>
      </c>
      <c r="I610" s="2" t="n">
        <v>46282</v>
      </c>
      <c r="J610" t="inlineStr">
        <is>
          <t>Disetujui</t>
        </is>
      </c>
      <c r="K610" t="n">
        <v>30</v>
      </c>
      <c r="L610" t="inlineStr">
        <is>
          <t>17 September 2026</t>
        </is>
      </c>
      <c r="M610" t="inlineStr">
        <is>
          <t>Konstruksi Bangunan Sipil Jalan, Konstruksi Gedung Kesehatan, Konstruksi Gedung Lainnya, Konstruksi Gedung Pendidikan, Konstruksi Gedung Perkantoran, Konstruksi Jaringan Irigasi dan Drainase</t>
        </is>
      </c>
      <c r="N610" t="inlineStr">
        <is>
          <t>K</t>
        </is>
      </c>
      <c r="O610" t="inlineStr">
        <is>
          <t>20230913</t>
        </is>
      </c>
      <c r="P610" t="inlineStr">
        <is>
          <t>Kalimantan Tengah</t>
        </is>
      </c>
      <c r="Q610" t="inlineStr"/>
    </row>
    <row r="611">
      <c r="A611" t="inlineStr">
        <is>
          <t>RUDIN</t>
        </is>
      </c>
      <c r="B611" t="inlineStr">
        <is>
          <t>Kab. Yahukimo</t>
        </is>
      </c>
      <c r="C611" t="inlineStr">
        <is>
          <t>081247141553</t>
        </is>
      </c>
      <c r="D611" t="inlineStr">
        <is>
          <t>rudinyahukimo304@gmail.com</t>
        </is>
      </c>
      <c r="E611" t="inlineStr">
        <is>
          <t>https://lpjk.pu.go.id/search-badan-usaha-detail/ekV6QXlTNElKNUowVHhBMGgyQzd2dz09</t>
        </is>
      </c>
      <c r="F611" t="n">
        <v>1</v>
      </c>
      <c r="G611" t="inlineStr">
        <is>
          <t>BG009</t>
        </is>
      </c>
      <c r="H611" t="inlineStr">
        <is>
          <t>9 Juni 2009</t>
        </is>
      </c>
      <c r="I611" s="2" t="n">
        <v>46282</v>
      </c>
      <c r="J611" t="inlineStr">
        <is>
          <t>Disetujui</t>
        </is>
      </c>
      <c r="K611" t="n">
        <v>30</v>
      </c>
      <c r="L611" t="inlineStr">
        <is>
          <t>17 September 2026</t>
        </is>
      </c>
      <c r="M611" t="inlineStr">
        <is>
          <t>Konstruksi Gedung Lainnya</t>
        </is>
      </c>
      <c r="N611" t="inlineStr">
        <is>
          <t>K</t>
        </is>
      </c>
      <c r="O611" t="inlineStr">
        <is>
          <t>20230918</t>
        </is>
      </c>
      <c r="P611" t="inlineStr">
        <is>
          <t>Papua</t>
        </is>
      </c>
      <c r="Q611" t="inlineStr"/>
    </row>
    <row r="612">
      <c r="A612" t="inlineStr">
        <is>
          <t>RUKUN JAYA ABADI</t>
        </is>
      </c>
      <c r="B612" t="inlineStr">
        <is>
          <t>Kota Surabaya</t>
        </is>
      </c>
      <c r="C612" t="inlineStr">
        <is>
          <t>0317311925</t>
        </is>
      </c>
      <c r="D612" t="inlineStr">
        <is>
          <t>rukunjayaabadi2@gmail.com</t>
        </is>
      </c>
      <c r="E612" t="inlineStr">
        <is>
          <t>https://lpjk.pu.go.id/search-badan-usaha-detail/SkJHUi9NaDE2QjFONm16RFFEUWFLZz09</t>
        </is>
      </c>
      <c r="F612" t="n">
        <v>5</v>
      </c>
      <c r="G612" t="inlineStr">
        <is>
          <t>BG001, BG002, BG003, BG004, BG009</t>
        </is>
      </c>
      <c r="H612" t="inlineStr">
        <is>
          <t>14 Maret 1996</t>
        </is>
      </c>
      <c r="I612" s="2" t="n">
        <v>46280</v>
      </c>
      <c r="J612" t="inlineStr">
        <is>
          <t>Disetujui</t>
        </is>
      </c>
      <c r="K612" t="n">
        <v>30</v>
      </c>
      <c r="L612" t="inlineStr">
        <is>
          <t>15 September 2026</t>
        </is>
      </c>
      <c r="M612" t="inlineStr">
        <is>
          <t>Konstruksi Gedung Hunian, Konstruksi Gedung Industri, Konstruksi Gedung Lainnya, Konstruksi Gedung Perbelanjaan, Konstruksi Gedung Perkantoran</t>
        </is>
      </c>
      <c r="N612" t="inlineStr">
        <is>
          <t>K</t>
        </is>
      </c>
      <c r="O612" t="inlineStr">
        <is>
          <t>20230915</t>
        </is>
      </c>
      <c r="P612" t="inlineStr">
        <is>
          <t>Jawa Timur</t>
        </is>
      </c>
      <c r="Q612" t="inlineStr"/>
    </row>
    <row r="613">
      <c r="A613" t="inlineStr">
        <is>
          <t>SAHABAT TEKNIK ENERGI</t>
        </is>
      </c>
      <c r="B613" t="inlineStr">
        <is>
          <t>Kota Medan</t>
        </is>
      </c>
      <c r="C613" t="inlineStr">
        <is>
          <t>082110714717</t>
        </is>
      </c>
      <c r="D613" t="inlineStr">
        <is>
          <t>pt.sahabat.teknik.energi@gmail.com</t>
        </is>
      </c>
      <c r="E613" t="inlineStr">
        <is>
          <t>https://lpjk.pu.go.id/search-badan-usaha-detail/TnZTS2hudUxNMU9aRzg2U2lDdzFPZz09</t>
        </is>
      </c>
      <c r="F613" t="n">
        <v>1</v>
      </c>
      <c r="G613" t="inlineStr">
        <is>
          <t>BG003</t>
        </is>
      </c>
      <c r="H613" t="inlineStr">
        <is>
          <t>2 Juli 2022</t>
        </is>
      </c>
      <c r="I613" s="2" t="n">
        <v>46277</v>
      </c>
      <c r="J613" t="inlineStr">
        <is>
          <t>Disetujui</t>
        </is>
      </c>
      <c r="K613" t="n">
        <v>30</v>
      </c>
      <c r="L613" t="inlineStr">
        <is>
          <t>12 September 2026</t>
        </is>
      </c>
      <c r="M613" t="inlineStr">
        <is>
          <t>Konstruksi Gedung Industri</t>
        </is>
      </c>
      <c r="N613" t="inlineStr">
        <is>
          <t>K</t>
        </is>
      </c>
      <c r="O613" t="inlineStr">
        <is>
          <t>20230906</t>
        </is>
      </c>
      <c r="P613" t="inlineStr">
        <is>
          <t>Sumatera Utara</t>
        </is>
      </c>
      <c r="Q613" t="inlineStr"/>
    </row>
    <row r="614">
      <c r="A614" t="inlineStr">
        <is>
          <t>SALMAN MAHAJAYA</t>
        </is>
      </c>
      <c r="B614" t="inlineStr">
        <is>
          <t>Kab. Pesisir Selatan</t>
        </is>
      </c>
      <c r="C614" t="inlineStr">
        <is>
          <t>081374661754</t>
        </is>
      </c>
      <c r="D614" t="inlineStr">
        <is>
          <t>cvsalmanmahajaya23@gmail.com</t>
        </is>
      </c>
      <c r="E614" t="inlineStr">
        <is>
          <t>https://lpjk.pu.go.id/search-badan-usaha-detail/OENKaWpJQnVSQjNGWkZJTTQwSFk2dz09</t>
        </is>
      </c>
      <c r="F614" t="n">
        <v>8</v>
      </c>
      <c r="G614" t="inlineStr">
        <is>
          <t>BG002, BG005, BG006, BG009</t>
        </is>
      </c>
      <c r="H614" t="inlineStr">
        <is>
          <t>8 Agustus 2023</t>
        </is>
      </c>
      <c r="I614" s="2" t="n">
        <v>46278</v>
      </c>
      <c r="J614" t="inlineStr">
        <is>
          <t>Pencabutan</t>
        </is>
      </c>
      <c r="K614" t="n">
        <v>30</v>
      </c>
      <c r="L614" t="inlineStr">
        <is>
          <t>13 September 2026</t>
        </is>
      </c>
      <c r="M614" t="inlineStr">
        <is>
          <t>Konstruksi Gedung Kesehatan, Konstruksi Gedung Lainnya, Konstruksi Gedung Pendidikan, Konstruksi Gedung Perkantoran</t>
        </is>
      </c>
      <c r="N614" t="inlineStr">
        <is>
          <t>K</t>
        </is>
      </c>
      <c r="O614" t="inlineStr">
        <is>
          <t>20230913</t>
        </is>
      </c>
      <c r="P614" t="inlineStr">
        <is>
          <t>Sumatera Barat</t>
        </is>
      </c>
      <c r="Q614" t="inlineStr"/>
    </row>
    <row r="615">
      <c r="A615" t="inlineStr">
        <is>
          <t>SALSABILA</t>
        </is>
      </c>
      <c r="B615" t="inlineStr">
        <is>
          <t>Kab. Sumedang</t>
        </is>
      </c>
      <c r="C615" t="inlineStr">
        <is>
          <t>08112408008</t>
        </is>
      </c>
      <c r="D615" t="inlineStr">
        <is>
          <t>salsabilacv88@gmail.com</t>
        </is>
      </c>
      <c r="E615" t="inlineStr">
        <is>
          <t>https://lpjk.pu.go.id/search-badan-usaha-detail/aWRTUndYdCt5bTZqUTFBSjF5M0d0UT09</t>
        </is>
      </c>
      <c r="F615" t="n">
        <v>2</v>
      </c>
      <c r="G615" t="inlineStr">
        <is>
          <t>BS001, BS004</t>
        </is>
      </c>
      <c r="H615" t="inlineStr">
        <is>
          <t>22 Januari 2009</t>
        </is>
      </c>
      <c r="I615" s="2" t="n">
        <v>46282</v>
      </c>
      <c r="J615" t="inlineStr">
        <is>
          <t>Disetujui</t>
        </is>
      </c>
      <c r="K615" t="n">
        <v>30</v>
      </c>
      <c r="L615" t="inlineStr">
        <is>
          <t>17 September 2026</t>
        </is>
      </c>
      <c r="M615" t="inlineStr">
        <is>
          <t>Konstruksi Bangunan Sipil Jalan, Konstruksi Jaringan Irigasi dan Drainase</t>
        </is>
      </c>
      <c r="N615" t="inlineStr">
        <is>
          <t>K</t>
        </is>
      </c>
      <c r="O615" t="inlineStr">
        <is>
          <t>20230912</t>
        </is>
      </c>
      <c r="P615" t="inlineStr">
        <is>
          <t>Jawa Barat</t>
        </is>
      </c>
      <c r="Q615" t="inlineStr"/>
    </row>
    <row r="616">
      <c r="A616" t="inlineStr">
        <is>
          <t>SALSABILA MULTI JASA</t>
        </is>
      </c>
      <c r="B616" t="inlineStr">
        <is>
          <t>Kota Palembang</t>
        </is>
      </c>
      <c r="C616" t="inlineStr">
        <is>
          <t>082181399928</t>
        </is>
      </c>
      <c r="D616" t="inlineStr">
        <is>
          <t>salsabila.multijasa@gmail.com</t>
        </is>
      </c>
      <c r="E616" t="inlineStr">
        <is>
          <t>https://lpjk.pu.go.id/search-badan-usaha-detail/emJRdC96ZWFJME5kaE1tekFlY3VLQT09</t>
        </is>
      </c>
      <c r="F616" t="n">
        <v>1</v>
      </c>
      <c r="G616" t="inlineStr">
        <is>
          <t>BS001</t>
        </is>
      </c>
      <c r="H616" t="inlineStr">
        <is>
          <t>15 Januari 2002</t>
        </is>
      </c>
      <c r="I616" s="2" t="n">
        <v>46281</v>
      </c>
      <c r="J616" t="inlineStr">
        <is>
          <t>Disetujui</t>
        </is>
      </c>
      <c r="K616" t="n">
        <v>30</v>
      </c>
      <c r="L616" t="inlineStr">
        <is>
          <t>16 September 2026</t>
        </is>
      </c>
      <c r="M616" t="inlineStr">
        <is>
          <t>Konstruksi Bangunan Sipil Jalan</t>
        </is>
      </c>
      <c r="N616" t="inlineStr">
        <is>
          <t>K</t>
        </is>
      </c>
      <c r="O616" t="inlineStr">
        <is>
          <t>20230914</t>
        </is>
      </c>
      <c r="P616" t="inlineStr">
        <is>
          <t>Sumatera Selatan</t>
        </is>
      </c>
      <c r="Q616" t="inlineStr"/>
    </row>
    <row r="617">
      <c r="A617" t="inlineStr">
        <is>
          <t>SAMADYA PILAR KONSTRUKSI</t>
        </is>
      </c>
      <c r="B617" t="inlineStr">
        <is>
          <t>Kab. Serang</t>
        </is>
      </c>
      <c r="C617" t="inlineStr">
        <is>
          <t>087871024452</t>
        </is>
      </c>
      <c r="D617" t="inlineStr">
        <is>
          <t>Samadyakonstruksi@gmail.com</t>
        </is>
      </c>
      <c r="E617" t="inlineStr">
        <is>
          <t>https://lpjk.pu.go.id/search-badan-usaha-detail/ejRaL0dVY2ZzanhySkxGYkpsYit4UT09</t>
        </is>
      </c>
      <c r="F617" t="n">
        <v>1</v>
      </c>
      <c r="G617" t="inlineStr">
        <is>
          <t>BS001</t>
        </is>
      </c>
      <c r="H617" t="inlineStr">
        <is>
          <t>12 September 2020</t>
        </is>
      </c>
      <c r="I617" s="2" t="n">
        <v>46278</v>
      </c>
      <c r="J617" t="inlineStr">
        <is>
          <t>Disetujui</t>
        </is>
      </c>
      <c r="K617" t="n">
        <v>30</v>
      </c>
      <c r="L617" t="inlineStr">
        <is>
          <t>13 September 2026</t>
        </is>
      </c>
      <c r="M617" t="inlineStr">
        <is>
          <t>Konstruksi Bangunan Sipil Jalan</t>
        </is>
      </c>
      <c r="N617" t="inlineStr">
        <is>
          <t>K</t>
        </is>
      </c>
      <c r="O617" t="inlineStr">
        <is>
          <t>20230227</t>
        </is>
      </c>
      <c r="P617" t="inlineStr">
        <is>
          <t>Banten</t>
        </is>
      </c>
      <c r="Q617" t="inlineStr"/>
    </row>
    <row r="618">
      <c r="A618" t="inlineStr">
        <is>
          <t>SANGGA BHUMI KONSTRUKSI</t>
        </is>
      </c>
      <c r="B618" t="inlineStr">
        <is>
          <t>Kota Pontianak</t>
        </is>
      </c>
      <c r="C618" t="inlineStr">
        <is>
          <t>081258615889</t>
        </is>
      </c>
      <c r="D618" t="inlineStr">
        <is>
          <t>pt.sbk.08@gmail.com</t>
        </is>
      </c>
      <c r="E618" t="inlineStr">
        <is>
          <t>https://lpjk.pu.go.id/search-badan-usaha-detail/ZjFQWUJYenQ4ZTRxb1FSOGZsRWt5Zz09</t>
        </is>
      </c>
      <c r="F618" t="n">
        <v>4</v>
      </c>
      <c r="G618" t="inlineStr">
        <is>
          <t>RK002, RK003</t>
        </is>
      </c>
      <c r="H618" t="inlineStr">
        <is>
          <t>23 Februari 2023</t>
        </is>
      </c>
      <c r="I618" s="2" t="n">
        <v>46282</v>
      </c>
      <c r="J618" t="inlineStr">
        <is>
          <t>Disetujui</t>
        </is>
      </c>
      <c r="K618" t="n">
        <v>30</v>
      </c>
      <c r="L618" t="inlineStr">
        <is>
          <t>17 September 2026</t>
        </is>
      </c>
      <c r="M618" t="inlineStr">
        <is>
          <t>Jasa Rekayasa Pekerjaan Teknik Sipil Sumber Daya Air, Jasa Rekayasa Pekerjaan Teknik Sipil Transportasi</t>
        </is>
      </c>
      <c r="N618" t="inlineStr">
        <is>
          <t>K</t>
        </is>
      </c>
      <c r="O618" t="inlineStr">
        <is>
          <t>20230904, 20230905</t>
        </is>
      </c>
      <c r="P618" t="inlineStr">
        <is>
          <t>Kalimantan Barat</t>
        </is>
      </c>
      <c r="Q618" t="inlineStr"/>
    </row>
    <row r="619">
      <c r="A619" t="inlineStr">
        <is>
          <t>SANJAYA SAHAJA PUTRA</t>
        </is>
      </c>
      <c r="B619" t="inlineStr">
        <is>
          <t>Kab. Tegal</t>
        </is>
      </c>
      <c r="C619" t="inlineStr">
        <is>
          <t>0895411326964</t>
        </is>
      </c>
      <c r="D619" t="inlineStr">
        <is>
          <t>sanjayasahajap@gmail.com</t>
        </is>
      </c>
      <c r="E619" t="inlineStr">
        <is>
          <t>https://lpjk.pu.go.id/search-badan-usaha-detail/aGJCVlVtVlVhdXZFbktaSW8xT3dVZz09</t>
        </is>
      </c>
      <c r="F619" t="n">
        <v>8</v>
      </c>
      <c r="G619" t="inlineStr">
        <is>
          <t>BG001, BG005, BG006, BG009</t>
        </is>
      </c>
      <c r="H619" t="inlineStr">
        <is>
          <t>11 Januari 2023</t>
        </is>
      </c>
      <c r="I619" s="2" t="n">
        <v>46280</v>
      </c>
      <c r="J619" t="inlineStr">
        <is>
          <t>Pencabutan</t>
        </is>
      </c>
      <c r="K619" t="n">
        <v>30</v>
      </c>
      <c r="L619" t="inlineStr">
        <is>
          <t>15 September 2026</t>
        </is>
      </c>
      <c r="M619" t="inlineStr">
        <is>
          <t>Konstruksi Gedung Hunian, Konstruksi Gedung Kesehatan, Konstruksi Gedung Lainnya, Konstruksi Gedung Pendidikan</t>
        </is>
      </c>
      <c r="N619" t="inlineStr">
        <is>
          <t>K</t>
        </is>
      </c>
      <c r="O619" t="inlineStr">
        <is>
          <t>20230912, 20230917</t>
        </is>
      </c>
      <c r="P619" t="inlineStr">
        <is>
          <t>Jawa Tengah</t>
        </is>
      </c>
      <c r="Q619" t="inlineStr"/>
    </row>
    <row r="620">
      <c r="A620" t="inlineStr">
        <is>
          <t>SANTIRA AGUNG</t>
        </is>
      </c>
      <c r="B620" t="inlineStr">
        <is>
          <t>Kota Medan</t>
        </is>
      </c>
      <c r="C620" t="inlineStr">
        <is>
          <t>81235753828</t>
        </is>
      </c>
      <c r="D620" t="inlineStr">
        <is>
          <t>santiraagung1@gmail.com</t>
        </is>
      </c>
      <c r="E620" t="inlineStr">
        <is>
          <t>https://lpjk.pu.go.id/search-badan-usaha-detail/eFNHNS8vRXVOTnMxclJmWmFsdEhuQT09</t>
        </is>
      </c>
      <c r="F620" t="n">
        <v>2</v>
      </c>
      <c r="G620" t="inlineStr">
        <is>
          <t>BS004, BS010</t>
        </is>
      </c>
      <c r="H620" t="inlineStr">
        <is>
          <t>28 Desember 2007</t>
        </is>
      </c>
      <c r="I620" s="2" t="n">
        <v>46277</v>
      </c>
      <c r="J620" t="inlineStr">
        <is>
          <t>Disetujui</t>
        </is>
      </c>
      <c r="K620" t="n">
        <v>30</v>
      </c>
      <c r="L620" t="inlineStr">
        <is>
          <t>12 September 2026</t>
        </is>
      </c>
      <c r="M620" t="inlineStr">
        <is>
          <t>Konstruksi Bangunan Prasarana Sumber Daya Air, Konstruksi Jaringan Irigasi dan Drainase</t>
        </is>
      </c>
      <c r="N620" t="inlineStr">
        <is>
          <t>K</t>
        </is>
      </c>
      <c r="O620" t="inlineStr">
        <is>
          <t>20230906</t>
        </is>
      </c>
      <c r="P620" t="inlineStr">
        <is>
          <t>Sumatera Utara</t>
        </is>
      </c>
      <c r="Q620" t="inlineStr"/>
    </row>
    <row r="621">
      <c r="A621" t="inlineStr">
        <is>
          <t>SAPUTRA RAMBANG BERJAYA</t>
        </is>
      </c>
      <c r="B621" t="inlineStr">
        <is>
          <t>Kota Prabumulih</t>
        </is>
      </c>
      <c r="C621" t="inlineStr">
        <is>
          <t>081368477882</t>
        </is>
      </c>
      <c r="D621" t="inlineStr">
        <is>
          <t>saputrarambangberjaya@gmail.com</t>
        </is>
      </c>
      <c r="E621" t="inlineStr">
        <is>
          <t>https://lpjk.pu.go.id/search-badan-usaha-detail/TmxCMlZmT2Y1bnlWdk1DY21IR1E2dz09</t>
        </is>
      </c>
      <c r="F621" t="n">
        <v>2</v>
      </c>
      <c r="G621" t="inlineStr">
        <is>
          <t>BG006</t>
        </is>
      </c>
      <c r="H621" t="inlineStr">
        <is>
          <t>1 September 2023</t>
        </is>
      </c>
      <c r="I621" s="2" t="n">
        <v>46278</v>
      </c>
      <c r="J621" t="inlineStr">
        <is>
          <t>Disetujui</t>
        </is>
      </c>
      <c r="K621" t="n">
        <v>30</v>
      </c>
      <c r="L621" t="inlineStr">
        <is>
          <t>13 September 2026</t>
        </is>
      </c>
      <c r="M621" t="inlineStr">
        <is>
          <t>Konstruksi Gedung Pendidikan</t>
        </is>
      </c>
      <c r="N621" t="inlineStr">
        <is>
          <t>K</t>
        </is>
      </c>
      <c r="O621" t="inlineStr">
        <is>
          <t>20230913</t>
        </is>
      </c>
      <c r="P621" t="inlineStr">
        <is>
          <t>Sumatera Selatan</t>
        </is>
      </c>
      <c r="Q621" t="inlineStr"/>
    </row>
    <row r="622">
      <c r="A622" t="inlineStr">
        <is>
          <t>SARANA ABADI JAYA RAYA</t>
        </is>
      </c>
      <c r="B622" t="inlineStr">
        <is>
          <t>Kab. Karawang</t>
        </is>
      </c>
      <c r="C622" t="inlineStr">
        <is>
          <t>082213858951</t>
        </is>
      </c>
      <c r="D622" t="inlineStr">
        <is>
          <t>abadi_sarana@yahoo.com</t>
        </is>
      </c>
      <c r="E622" t="inlineStr">
        <is>
          <t>https://lpjk.pu.go.id/search-badan-usaha-detail/eVpIOFBsQkxySWhqREd4d1liY1MrUT09</t>
        </is>
      </c>
      <c r="F622" t="n">
        <v>2</v>
      </c>
      <c r="G622" t="inlineStr">
        <is>
          <t>BG005, BS004</t>
        </is>
      </c>
      <c r="H622" t="inlineStr">
        <is>
          <t>3 September 2014</t>
        </is>
      </c>
      <c r="I622" s="2" t="n">
        <v>46283</v>
      </c>
      <c r="J622" t="inlineStr">
        <is>
          <t>Disetujui, Pencabutan</t>
        </is>
      </c>
      <c r="K622" t="n">
        <v>30</v>
      </c>
      <c r="L622" t="inlineStr">
        <is>
          <t>18 September 2026</t>
        </is>
      </c>
      <c r="M622" t="inlineStr">
        <is>
          <t>Konstruksi Gedung Kesehatan, Konstruksi Jaringan Irigasi dan Drainase</t>
        </is>
      </c>
      <c r="N622" t="inlineStr">
        <is>
          <t>K</t>
        </is>
      </c>
      <c r="O622" t="inlineStr">
        <is>
          <t>20230918</t>
        </is>
      </c>
      <c r="P622" t="inlineStr">
        <is>
          <t>Jawa Barat</t>
        </is>
      </c>
      <c r="Q622" t="inlineStr"/>
    </row>
    <row r="623">
      <c r="A623" t="inlineStr">
        <is>
          <t>SARANA BINA KONSTRUKSI</t>
        </is>
      </c>
      <c r="B623" t="inlineStr">
        <is>
          <t>Kab. Tabanan</t>
        </is>
      </c>
      <c r="C623" t="inlineStr">
        <is>
          <t>082144862955</t>
        </is>
      </c>
      <c r="D623" t="inlineStr">
        <is>
          <t>saranabinakonstruksi01@gmail.com</t>
        </is>
      </c>
      <c r="E623" t="inlineStr">
        <is>
          <t>https://lpjk.pu.go.id/search-badan-usaha-detail/TEFJWjVLeklpaCtBU0dZcVpTK3FxQT09</t>
        </is>
      </c>
      <c r="F623" t="n">
        <v>2</v>
      </c>
      <c r="G623" t="inlineStr">
        <is>
          <t>AR001, RK001</t>
        </is>
      </c>
      <c r="H623" t="inlineStr">
        <is>
          <t>9 Juli 2021</t>
        </is>
      </c>
      <c r="I623" s="2" t="n">
        <v>46282</v>
      </c>
      <c r="J623" t="inlineStr">
        <is>
          <t>Disetujui</t>
        </is>
      </c>
      <c r="K623" t="n">
        <v>30</v>
      </c>
      <c r="L623" t="inlineStr">
        <is>
          <t>17 September 2026</t>
        </is>
      </c>
      <c r="M623" t="inlineStr">
        <is>
          <t>Jasa Arsitektural Bangunan Gedung Hunian dan Non Hunian, Jasa Rekayasa Konstruksi Bangunan Gedung Hunian dan Non Hunian</t>
        </is>
      </c>
      <c r="N623" t="inlineStr">
        <is>
          <t>K</t>
        </is>
      </c>
      <c r="O623" t="inlineStr">
        <is>
          <t>20230914</t>
        </is>
      </c>
      <c r="P623" t="inlineStr">
        <is>
          <t>Bali</t>
        </is>
      </c>
      <c r="Q623" t="inlineStr"/>
    </row>
    <row r="624">
      <c r="A624" t="inlineStr">
        <is>
          <t>SARANA JAYA</t>
        </is>
      </c>
      <c r="B624" t="inlineStr">
        <is>
          <t>Kab. Jepara</t>
        </is>
      </c>
      <c r="C624" t="inlineStr">
        <is>
          <t>08122801528</t>
        </is>
      </c>
      <c r="D624" t="inlineStr">
        <is>
          <t>saranajaya.jpr@gmail.com</t>
        </is>
      </c>
      <c r="E624" t="inlineStr">
        <is>
          <t>https://lpjk.pu.go.id/search-badan-usaha-detail/NTdscWFyVWZhQUFick9oMy8wQTNOZz09</t>
        </is>
      </c>
      <c r="F624" t="n">
        <v>1</v>
      </c>
      <c r="G624" t="inlineStr">
        <is>
          <t>BS004</t>
        </is>
      </c>
      <c r="H624" t="inlineStr">
        <is>
          <t>7 Desember 2009</t>
        </is>
      </c>
      <c r="I624" s="2" t="n">
        <v>46278</v>
      </c>
      <c r="J624" t="inlineStr">
        <is>
          <t>Disetujui</t>
        </is>
      </c>
      <c r="K624" t="n">
        <v>30</v>
      </c>
      <c r="L624" t="inlineStr">
        <is>
          <t>13 September 2026</t>
        </is>
      </c>
      <c r="M624" t="inlineStr">
        <is>
          <t>Konstruksi Jaringan Irigasi dan Drainase</t>
        </is>
      </c>
      <c r="N624" t="inlineStr">
        <is>
          <t>K</t>
        </is>
      </c>
      <c r="O624" t="inlineStr">
        <is>
          <t>20230912</t>
        </is>
      </c>
      <c r="P624" t="inlineStr">
        <is>
          <t>Jawa Tengah</t>
        </is>
      </c>
      <c r="Q624" t="inlineStr"/>
    </row>
    <row r="625">
      <c r="A625" t="inlineStr">
        <is>
          <t>SARANA KALIANDRA YASA</t>
        </is>
      </c>
      <c r="B625" t="inlineStr">
        <is>
          <t>Kota Adm. Jakarta Selatan</t>
        </is>
      </c>
      <c r="C625" t="inlineStr">
        <is>
          <t>02180607926</t>
        </is>
      </c>
      <c r="D625" t="inlineStr">
        <is>
          <t>ptsky.id@gmail.com</t>
        </is>
      </c>
      <c r="E625" t="inlineStr">
        <is>
          <t>https://lpjk.pu.go.id/search-badan-usaha-detail/MHFJM3NMMDVOVlZ5Q2FINkVPRm9Qdz09</t>
        </is>
      </c>
      <c r="F625" t="n">
        <v>1</v>
      </c>
      <c r="G625" t="inlineStr">
        <is>
          <t>BG002</t>
        </is>
      </c>
      <c r="H625" t="inlineStr">
        <is>
          <t>20 Maret 2019</t>
        </is>
      </c>
      <c r="I625" s="2" t="n">
        <v>46279</v>
      </c>
      <c r="J625" t="inlineStr">
        <is>
          <t>Disetujui</t>
        </is>
      </c>
      <c r="K625" t="n">
        <v>30</v>
      </c>
      <c r="L625" t="inlineStr">
        <is>
          <t>14 September 2026</t>
        </is>
      </c>
      <c r="M625" t="inlineStr">
        <is>
          <t>Konstruksi Gedung Perkantoran</t>
        </is>
      </c>
      <c r="N625" t="inlineStr">
        <is>
          <t>K</t>
        </is>
      </c>
      <c r="O625" t="inlineStr">
        <is>
          <t>20230824</t>
        </is>
      </c>
      <c r="P625" t="inlineStr">
        <is>
          <t>DKI Jakarta</t>
        </is>
      </c>
      <c r="Q625" t="inlineStr"/>
    </row>
    <row r="626">
      <c r="A626" t="inlineStr">
        <is>
          <t>SATRIA BHAKTI</t>
        </is>
      </c>
      <c r="B626" t="inlineStr">
        <is>
          <t>Kab. Sumenep</t>
        </is>
      </c>
      <c r="C626" t="inlineStr">
        <is>
          <t>081222525401</t>
        </is>
      </c>
      <c r="D626" t="inlineStr">
        <is>
          <t>agungcahya94@gmail.com</t>
        </is>
      </c>
      <c r="E626" t="inlineStr">
        <is>
          <t>https://lpjk.pu.go.id/search-badan-usaha-detail/RGpGZE56c01SK2J4VDZTREk2MERnQT09</t>
        </is>
      </c>
      <c r="F626" t="n">
        <v>7</v>
      </c>
      <c r="G626" t="inlineStr">
        <is>
          <t>BG002, BG004, BG005, BG006, BG009, BS004</t>
        </is>
      </c>
      <c r="H626" t="inlineStr">
        <is>
          <t>13 Februari 1999</t>
        </is>
      </c>
      <c r="I626" s="2" t="n">
        <v>46282</v>
      </c>
      <c r="J626" t="inlineStr">
        <is>
          <t>Disetujui</t>
        </is>
      </c>
      <c r="K626" t="n">
        <v>30</v>
      </c>
      <c r="L626" t="inlineStr">
        <is>
          <t>17 September 2026</t>
        </is>
      </c>
      <c r="M626" t="inlineStr">
        <is>
          <t>Konstruksi Gedung Kesehatan, Konstruksi Gedung Lainnya, Konstruksi Gedung Pendidikan, Konstruksi Gedung Perbelanjaan, Konstruksi Gedung Perkantoran, Konstruksi Jaringan Irigasi dan Drainase</t>
        </is>
      </c>
      <c r="N626" t="inlineStr">
        <is>
          <t>K</t>
        </is>
      </c>
      <c r="O626" t="inlineStr">
        <is>
          <t>20230911, 20230912, 20230915</t>
        </is>
      </c>
      <c r="P626" t="inlineStr">
        <is>
          <t>Jawa Timur</t>
        </is>
      </c>
      <c r="Q626" t="inlineStr"/>
    </row>
    <row r="627">
      <c r="A627" t="inlineStr">
        <is>
          <t>SATRIA PERSADA</t>
        </is>
      </c>
      <c r="B627" t="inlineStr">
        <is>
          <t>Kota Medan</t>
        </is>
      </c>
      <c r="C627" t="inlineStr">
        <is>
          <t>08116355886</t>
        </is>
      </c>
      <c r="D627" t="inlineStr">
        <is>
          <t>satriapersada123@gmail.com</t>
        </is>
      </c>
      <c r="E627" t="inlineStr">
        <is>
          <t>https://lpjk.pu.go.id/search-badan-usaha-detail/VkluVUkxVG4zdHNvS3MrQUREb3NYQT09</t>
        </is>
      </c>
      <c r="F627" t="n">
        <v>1</v>
      </c>
      <c r="G627" t="inlineStr">
        <is>
          <t>BS005</t>
        </is>
      </c>
      <c r="H627" t="inlineStr">
        <is>
          <t>27 September 2010</t>
        </is>
      </c>
      <c r="I627" s="2" t="n">
        <v>46283</v>
      </c>
      <c r="J627" t="inlineStr">
        <is>
          <t>Disetujui</t>
        </is>
      </c>
      <c r="K627" t="n">
        <v>30</v>
      </c>
      <c r="L627" t="inlineStr">
        <is>
          <t>18 September 2026</t>
        </is>
      </c>
      <c r="M627" t="inlineStr">
        <is>
          <t>Konstruksi Bangunan Sipil Pengolahan Air Bersih</t>
        </is>
      </c>
      <c r="N627" t="inlineStr">
        <is>
          <t>K</t>
        </is>
      </c>
      <c r="O627" t="inlineStr">
        <is>
          <t>20230916</t>
        </is>
      </c>
      <c r="P627" t="inlineStr">
        <is>
          <t>Sumatera Utara</t>
        </is>
      </c>
      <c r="Q627" t="inlineStr"/>
    </row>
    <row r="628">
      <c r="A628" t="inlineStr">
        <is>
          <t>SATRIA SAFIRA BETON</t>
        </is>
      </c>
      <c r="B628" t="inlineStr">
        <is>
          <t>Kota Semarang</t>
        </is>
      </c>
      <c r="C628" t="inlineStr">
        <is>
          <t>08112766468</t>
        </is>
      </c>
      <c r="D628" t="inlineStr">
        <is>
          <t>satriasafirabeton@gmail.com</t>
        </is>
      </c>
      <c r="E628" t="inlineStr">
        <is>
          <t>https://lpjk.pu.go.id/search-badan-usaha-detail/QXZqN2FxWEpOM01tb1QyNmlaWEtGZz09</t>
        </is>
      </c>
      <c r="F628" t="n">
        <v>2</v>
      </c>
      <c r="G628" t="inlineStr">
        <is>
          <t>BS001, BS004</t>
        </is>
      </c>
      <c r="H628" t="inlineStr">
        <is>
          <t>9 Desember 2016</t>
        </is>
      </c>
      <c r="I628" s="2" t="n">
        <v>46283</v>
      </c>
      <c r="J628" t="inlineStr">
        <is>
          <t>Disetujui</t>
        </is>
      </c>
      <c r="K628" t="n">
        <v>30</v>
      </c>
      <c r="L628" t="inlineStr">
        <is>
          <t>18 September 2026</t>
        </is>
      </c>
      <c r="M628" t="inlineStr">
        <is>
          <t>Konstruksi Bangunan Sipil Jalan, Konstruksi Jaringan Irigasi dan Drainase</t>
        </is>
      </c>
      <c r="N628" t="inlineStr">
        <is>
          <t>K</t>
        </is>
      </c>
      <c r="O628" t="inlineStr">
        <is>
          <t>20230913, 20230914</t>
        </is>
      </c>
      <c r="P628" t="inlineStr">
        <is>
          <t>Jawa Tengah</t>
        </is>
      </c>
      <c r="Q628" t="inlineStr"/>
    </row>
    <row r="629">
      <c r="A629" t="inlineStr">
        <is>
          <t>SATRIA UTAMA</t>
        </is>
      </c>
      <c r="B629" t="inlineStr">
        <is>
          <t>Kab. Karanganyar</t>
        </is>
      </c>
      <c r="C629" t="inlineStr">
        <is>
          <t>082134387811</t>
        </is>
      </c>
      <c r="D629" t="inlineStr">
        <is>
          <t>satriautama1974@yahoo.co.id</t>
        </is>
      </c>
      <c r="E629" t="inlineStr">
        <is>
          <t>https://lpjk.pu.go.id/search-badan-usaha-detail/SC9sbTFZMG54VmVDb0xyR0xxZ01tZz09</t>
        </is>
      </c>
      <c r="F629" t="n">
        <v>1</v>
      </c>
      <c r="G629" t="inlineStr">
        <is>
          <t>BG005</t>
        </is>
      </c>
      <c r="H629" t="inlineStr">
        <is>
          <t>19 Juni 2004</t>
        </is>
      </c>
      <c r="I629" s="2" t="n">
        <v>46279</v>
      </c>
      <c r="J629" t="inlineStr">
        <is>
          <t>Disetujui</t>
        </is>
      </c>
      <c r="K629" t="n">
        <v>30</v>
      </c>
      <c r="L629" t="inlineStr">
        <is>
          <t>14 September 2026</t>
        </is>
      </c>
      <c r="M629" t="inlineStr">
        <is>
          <t>Konstruksi Gedung Kesehatan</t>
        </is>
      </c>
      <c r="N629" t="inlineStr">
        <is>
          <t>K</t>
        </is>
      </c>
      <c r="O629" t="inlineStr">
        <is>
          <t>20230904</t>
        </is>
      </c>
      <c r="P629" t="inlineStr">
        <is>
          <t>Jawa Tengah</t>
        </is>
      </c>
      <c r="Q629" t="inlineStr"/>
    </row>
    <row r="630">
      <c r="A630" t="inlineStr">
        <is>
          <t>SATU INDONESIA KIRANA</t>
        </is>
      </c>
      <c r="B630" t="inlineStr">
        <is>
          <t>Kota Makassar</t>
        </is>
      </c>
      <c r="C630" t="inlineStr">
        <is>
          <t>0411830723</t>
        </is>
      </c>
      <c r="D630" t="inlineStr">
        <is>
          <t>pt.satuindonesiakirana@gmail.com</t>
        </is>
      </c>
      <c r="E630" t="inlineStr">
        <is>
          <t>https://lpjk.pu.go.id/search-badan-usaha-detail/aU4rc2syM2ZETGVaeFUyL1JkYzdpUT09</t>
        </is>
      </c>
      <c r="F630" t="n">
        <v>1</v>
      </c>
      <c r="G630" t="inlineStr">
        <is>
          <t>BG002</t>
        </is>
      </c>
      <c r="H630" t="inlineStr">
        <is>
          <t>5 Januari 2016</t>
        </is>
      </c>
      <c r="I630" s="2" t="n">
        <v>46277</v>
      </c>
      <c r="J630" t="inlineStr">
        <is>
          <t>Pembekuan</t>
        </is>
      </c>
      <c r="K630" t="n">
        <v>30</v>
      </c>
      <c r="L630" t="inlineStr">
        <is>
          <t>12 September 2026</t>
        </is>
      </c>
      <c r="M630" t="inlineStr">
        <is>
          <t>Konstruksi Gedung Perkantoran</t>
        </is>
      </c>
      <c r="N630" t="inlineStr">
        <is>
          <t>M</t>
        </is>
      </c>
      <c r="O630" t="inlineStr">
        <is>
          <t>20230911</t>
        </is>
      </c>
      <c r="P630" t="inlineStr">
        <is>
          <t>Sulawesi Selatan</t>
        </is>
      </c>
      <c r="Q630" t="inlineStr"/>
    </row>
    <row r="631">
      <c r="A631" t="inlineStr">
        <is>
          <t>SEGITIGA EMAS KONSULTAN</t>
        </is>
      </c>
      <c r="B631" t="inlineStr">
        <is>
          <t>Kota Banda Aceh</t>
        </is>
      </c>
      <c r="C631" t="inlineStr">
        <is>
          <t>085260021888</t>
        </is>
      </c>
      <c r="D631" t="inlineStr">
        <is>
          <t>segitigaemasconsultant@yahoo.co.id</t>
        </is>
      </c>
      <c r="E631" t="inlineStr">
        <is>
          <t>https://lpjk.pu.go.id/search-badan-usaha-detail/ckJ6Sm1rajVhWVAvTnYxOEZUT3pwUT09</t>
        </is>
      </c>
      <c r="F631" t="n">
        <v>1</v>
      </c>
      <c r="G631" t="inlineStr">
        <is>
          <t>RK005</t>
        </is>
      </c>
      <c r="H631" t="inlineStr">
        <is>
          <t>21 Agustus 2007</t>
        </is>
      </c>
      <c r="I631" s="2" t="n">
        <v>46282</v>
      </c>
      <c r="J631" t="inlineStr">
        <is>
          <t>Disetujui</t>
        </is>
      </c>
      <c r="K631" t="n">
        <v>30</v>
      </c>
      <c r="L631" t="inlineStr">
        <is>
          <t>17 September 2026</t>
        </is>
      </c>
      <c r="M631" t="inlineStr">
        <is>
          <t>Jasa Rekayasa Lainnya</t>
        </is>
      </c>
      <c r="N631" t="inlineStr">
        <is>
          <t>K</t>
        </is>
      </c>
      <c r="O631" t="inlineStr">
        <is>
          <t>20230901</t>
        </is>
      </c>
      <c r="P631" t="inlineStr">
        <is>
          <t>Aceh</t>
        </is>
      </c>
      <c r="Q631" t="inlineStr"/>
    </row>
    <row r="632">
      <c r="A632" t="inlineStr">
        <is>
          <t>SEKAR MULYA ABADI</t>
        </is>
      </c>
      <c r="B632" t="inlineStr">
        <is>
          <t>Kab. Muara Enim</t>
        </is>
      </c>
      <c r="C632" t="inlineStr">
        <is>
          <t>081278777434</t>
        </is>
      </c>
      <c r="D632" t="inlineStr">
        <is>
          <t>antonpinangbanjar@gmail.com</t>
        </is>
      </c>
      <c r="E632" t="inlineStr">
        <is>
          <t>https://lpjk.pu.go.id/search-badan-usaha-detail/QjhMelhhY2ZqVDd5SDBjeWttbTZFdz09</t>
        </is>
      </c>
      <c r="F632" t="n">
        <v>12</v>
      </c>
      <c r="G632" t="inlineStr">
        <is>
          <t>BG002, BG005, BG006, BG009, BS001, BS004</t>
        </is>
      </c>
      <c r="H632" t="inlineStr">
        <is>
          <t>2 Februari 2023</t>
        </is>
      </c>
      <c r="I632" s="2" t="n">
        <v>46277</v>
      </c>
      <c r="J632" t="inlineStr">
        <is>
          <t>Disetujui</t>
        </is>
      </c>
      <c r="K632" t="n">
        <v>30</v>
      </c>
      <c r="L632" t="inlineStr">
        <is>
          <t>12 September 2026</t>
        </is>
      </c>
      <c r="M632" t="inlineStr">
        <is>
          <t>Konstruksi Bangunan Sipil Jalan, Konstruksi Gedung Kesehatan, Konstruksi Gedung Lainnya, Konstruksi Gedung Pendidikan, Konstruksi Gedung Perkantoran, Konstruksi Jaringan Irigasi dan Drainase</t>
        </is>
      </c>
      <c r="N632" t="inlineStr">
        <is>
          <t>K</t>
        </is>
      </c>
      <c r="O632" t="inlineStr">
        <is>
          <t>20230907</t>
        </is>
      </c>
      <c r="P632" t="inlineStr">
        <is>
          <t>Sumatera Selatan</t>
        </is>
      </c>
      <c r="Q632" t="inlineStr"/>
    </row>
    <row r="633">
      <c r="A633" t="inlineStr">
        <is>
          <t>SELARAS SERASAN SIANDANAN</t>
        </is>
      </c>
      <c r="B633" t="inlineStr">
        <is>
          <t>Kab. Ogan Komering Ulu</t>
        </is>
      </c>
      <c r="C633" t="inlineStr">
        <is>
          <t>081272648796</t>
        </is>
      </c>
      <c r="D633" t="inlineStr">
        <is>
          <t>selaras2023@gmail.com</t>
        </is>
      </c>
      <c r="E633" t="inlineStr">
        <is>
          <t>https://lpjk.pu.go.id/search-badan-usaha-detail/OWpXSTBvVUtsQlkwaFQ5OGlXdmp4Zz09</t>
        </is>
      </c>
      <c r="F633" t="n">
        <v>4</v>
      </c>
      <c r="G633" t="inlineStr">
        <is>
          <t>BG002, BG005, BG006, BS001</t>
        </is>
      </c>
      <c r="H633" t="inlineStr">
        <is>
          <t>5 Juni 2023</t>
        </is>
      </c>
      <c r="I633" s="2" t="n">
        <v>46283</v>
      </c>
      <c r="J633" t="inlineStr">
        <is>
          <t>Disetujui</t>
        </is>
      </c>
      <c r="K633" t="n">
        <v>30</v>
      </c>
      <c r="L633" t="inlineStr">
        <is>
          <t>18 September 2026</t>
        </is>
      </c>
      <c r="M633" t="inlineStr">
        <is>
          <t>Konstruksi Bangunan Sipil Jalan, Konstruksi Gedung Kesehatan, Konstruksi Gedung Pendidikan, Konstruksi Gedung Perkantoran</t>
        </is>
      </c>
      <c r="N633" t="inlineStr">
        <is>
          <t>K</t>
        </is>
      </c>
      <c r="O633" t="inlineStr">
        <is>
          <t>20230917</t>
        </is>
      </c>
      <c r="P633" t="inlineStr">
        <is>
          <t>Sumatera Selatan</t>
        </is>
      </c>
      <c r="Q633" t="inlineStr"/>
    </row>
    <row r="634">
      <c r="A634" t="inlineStr">
        <is>
          <t>SEMBILAN SEMBILAN</t>
        </is>
      </c>
      <c r="B634" t="inlineStr">
        <is>
          <t>Kab. Demak</t>
        </is>
      </c>
      <c r="C634" t="inlineStr">
        <is>
          <t>082323947999</t>
        </is>
      </c>
      <c r="D634" t="inlineStr">
        <is>
          <t>cvsembilansembilan@yahoo.co.id</t>
        </is>
      </c>
      <c r="E634" t="inlineStr">
        <is>
          <t>https://lpjk.pu.go.id/search-badan-usaha-detail/SVpBajRERUp6RkdQeDlJNjlGOVk4dz09</t>
        </is>
      </c>
      <c r="F634" t="n">
        <v>4</v>
      </c>
      <c r="G634" t="inlineStr">
        <is>
          <t>BG002, BG005, BG006, BG009</t>
        </is>
      </c>
      <c r="H634" t="inlineStr">
        <is>
          <t>22 Juni 2012</t>
        </is>
      </c>
      <c r="I634" s="2" t="n">
        <v>46278</v>
      </c>
      <c r="J634" t="inlineStr">
        <is>
          <t>Disetujui</t>
        </is>
      </c>
      <c r="K634" t="n">
        <v>30</v>
      </c>
      <c r="L634" t="inlineStr">
        <is>
          <t>13 September 2026</t>
        </is>
      </c>
      <c r="M634" t="inlineStr">
        <is>
          <t>Konstruksi Gedung Kesehatan, Konstruksi Gedung Lainnya, Konstruksi Gedung Pendidikan, Konstruksi Gedung Perkantoran</t>
        </is>
      </c>
      <c r="N634" t="inlineStr">
        <is>
          <t>K</t>
        </is>
      </c>
      <c r="O634" t="inlineStr">
        <is>
          <t>20230830, 20230912</t>
        </is>
      </c>
      <c r="P634" t="inlineStr">
        <is>
          <t>Jawa Tengah</t>
        </is>
      </c>
      <c r="Q634" t="inlineStr"/>
    </row>
    <row r="635">
      <c r="A635" t="inlineStr">
        <is>
          <t>SEMPURNA</t>
        </is>
      </c>
      <c r="B635" t="inlineStr">
        <is>
          <t>Kota Bima</t>
        </is>
      </c>
      <c r="C635" t="inlineStr">
        <is>
          <t>085338378223</t>
        </is>
      </c>
      <c r="D635" t="inlineStr">
        <is>
          <t>cvsempurnab@gmail.com</t>
        </is>
      </c>
      <c r="E635" t="inlineStr">
        <is>
          <t>https://lpjk.pu.go.id/search-badan-usaha-detail/TkVrbHM2cDdDTFVGLytlRDAzWkZjUT09</t>
        </is>
      </c>
      <c r="F635" t="n">
        <v>4</v>
      </c>
      <c r="G635" t="inlineStr">
        <is>
          <t>BS001, BS004</t>
        </is>
      </c>
      <c r="H635" t="inlineStr">
        <is>
          <t>7 Februari 2011</t>
        </is>
      </c>
      <c r="I635" s="2" t="n">
        <v>46278</v>
      </c>
      <c r="J635" t="inlineStr">
        <is>
          <t>Disetujui</t>
        </is>
      </c>
      <c r="K635" t="n">
        <v>30</v>
      </c>
      <c r="L635" t="inlineStr">
        <is>
          <t>13 September 2026</t>
        </is>
      </c>
      <c r="M635" t="inlineStr">
        <is>
          <t>Konstruksi Bangunan Sipil Jalan, Konstruksi Jaringan Irigasi dan Drainase</t>
        </is>
      </c>
      <c r="N635" t="inlineStr">
        <is>
          <t>K</t>
        </is>
      </c>
      <c r="O635" t="inlineStr">
        <is>
          <t>20230907</t>
        </is>
      </c>
      <c r="P635" t="inlineStr">
        <is>
          <t>Nusa Tenggara Barat</t>
        </is>
      </c>
      <c r="Q635" t="inlineStr"/>
    </row>
    <row r="636">
      <c r="A636" t="inlineStr">
        <is>
          <t>SENTOSA LAJU SEJAHTERA</t>
        </is>
      </c>
      <c r="B636" t="inlineStr">
        <is>
          <t>Kab. Sidoarjo</t>
        </is>
      </c>
      <c r="C636" t="inlineStr">
        <is>
          <t>0317879848</t>
        </is>
      </c>
      <c r="D636" t="inlineStr">
        <is>
          <t>sentosalajusejahterapt@gmail.com</t>
        </is>
      </c>
      <c r="E636" t="inlineStr">
        <is>
          <t>https://lpjk.pu.go.id/search-badan-usaha-detail/Y2E5Lzg5OEEvZVdYMzU5cDdmakpndz09</t>
        </is>
      </c>
      <c r="F636" t="n">
        <v>1</v>
      </c>
      <c r="G636" t="inlineStr">
        <is>
          <t>BS011</t>
        </is>
      </c>
      <c r="H636" t="inlineStr">
        <is>
          <t>24 Juli 2023</t>
        </is>
      </c>
      <c r="I636" s="2" t="n">
        <v>46280</v>
      </c>
      <c r="J636" t="inlineStr">
        <is>
          <t>Disetujui</t>
        </is>
      </c>
      <c r="K636" t="n">
        <v>30</v>
      </c>
      <c r="L636" t="inlineStr">
        <is>
          <t>15 September 2026</t>
        </is>
      </c>
      <c r="M636" t="inlineStr">
        <is>
          <t>Konstruksi Bangunan Pelabuhan Bukan Perikanan</t>
        </is>
      </c>
      <c r="N636" t="inlineStr">
        <is>
          <t>K</t>
        </is>
      </c>
      <c r="O636" t="inlineStr">
        <is>
          <t>20230915</t>
        </is>
      </c>
      <c r="P636" t="inlineStr">
        <is>
          <t>Jawa Timur</t>
        </is>
      </c>
      <c r="Q636" t="inlineStr"/>
    </row>
    <row r="637">
      <c r="A637" t="inlineStr">
        <is>
          <t>SENTOSA LIFE</t>
        </is>
      </c>
      <c r="B637" t="inlineStr">
        <is>
          <t>Kab. Landak</t>
        </is>
      </c>
      <c r="C637" t="inlineStr">
        <is>
          <t>081230266421</t>
        </is>
      </c>
      <c r="D637" t="inlineStr">
        <is>
          <t>handekanelson1@gmail.com</t>
        </is>
      </c>
      <c r="E637" t="inlineStr">
        <is>
          <t>https://lpjk.pu.go.id/search-badan-usaha-detail/bnhsRVAxVWtMZnpFeENHVkY1US9WUT09</t>
        </is>
      </c>
      <c r="F637" t="n">
        <v>3</v>
      </c>
      <c r="G637" t="inlineStr">
        <is>
          <t>BG006, BS002, BS004</t>
        </is>
      </c>
      <c r="H637" t="inlineStr">
        <is>
          <t>29 Desember 2015</t>
        </is>
      </c>
      <c r="I637" s="2" t="n">
        <v>46279</v>
      </c>
      <c r="J637" t="inlineStr">
        <is>
          <t>Disetujui</t>
        </is>
      </c>
      <c r="K637" t="n">
        <v>30</v>
      </c>
      <c r="L637" t="inlineStr">
        <is>
          <t>14 September 2026</t>
        </is>
      </c>
      <c r="M637" t="inlineStr">
        <is>
          <t>Bangunan Sipil Jembatan, Jalan Layang, Fly Over, dan Underpass, Konstruksi Gedung Pendidikan, Konstruksi Jaringan Irigasi dan Drainase</t>
        </is>
      </c>
      <c r="N637" t="inlineStr">
        <is>
          <t>K</t>
        </is>
      </c>
      <c r="O637" t="inlineStr">
        <is>
          <t>20230818, 20230910</t>
        </is>
      </c>
      <c r="P637" t="inlineStr">
        <is>
          <t>Kalimantan Barat</t>
        </is>
      </c>
      <c r="Q637" t="inlineStr"/>
    </row>
    <row r="638">
      <c r="A638" t="inlineStr">
        <is>
          <t>SHENYANG YUANDA ALUMINIUM INDUSTRY ENGINEERING</t>
        </is>
      </c>
      <c r="B638" t="inlineStr">
        <is>
          <t>Kota Adm. Jakarta Selatan</t>
        </is>
      </c>
      <c r="C638" t="inlineStr">
        <is>
          <t>02125558702</t>
        </is>
      </c>
      <c r="D638" t="inlineStr">
        <is>
          <t>cnydindo2023@gmail.com</t>
        </is>
      </c>
      <c r="E638" t="inlineStr">
        <is>
          <t>https://lpjk.pu.go.id/search-badan-usaha-detail/NzhWb1lVMFFWMzdjcnY1d3NWMVVGdz09</t>
        </is>
      </c>
      <c r="F638" t="n">
        <v>3</v>
      </c>
      <c r="G638" t="inlineStr">
        <is>
          <t>BG001, BG002, BG007</t>
        </is>
      </c>
      <c r="H638" t="inlineStr">
        <is>
          <t>3 Agustus 2010</t>
        </is>
      </c>
      <c r="I638" s="2" t="n">
        <v>46279</v>
      </c>
      <c r="J638" t="inlineStr">
        <is>
          <t>Disetujui</t>
        </is>
      </c>
      <c r="K638" t="n">
        <v>30</v>
      </c>
      <c r="L638" t="inlineStr">
        <is>
          <t>14 September 2026</t>
        </is>
      </c>
      <c r="M638" t="inlineStr">
        <is>
          <t>Konstruksi Gedung Hunian, Konstruksi Gedung Penginapan, Konstruksi Gedung Perkantoran</t>
        </is>
      </c>
      <c r="N638" t="inlineStr">
        <is>
          <t>B</t>
        </is>
      </c>
      <c r="O638" t="inlineStr">
        <is>
          <t>20230830</t>
        </is>
      </c>
      <c r="P638" t="inlineStr">
        <is>
          <t>DKI Jakarta</t>
        </is>
      </c>
      <c r="Q638" t="inlineStr"/>
    </row>
    <row r="639">
      <c r="A639" t="inlineStr">
        <is>
          <t>SIMALUNGUN MILENIAL BERKARYA</t>
        </is>
      </c>
      <c r="B639" t="inlineStr">
        <is>
          <t>Kab. Simalungun</t>
        </is>
      </c>
      <c r="C639" t="inlineStr">
        <is>
          <t>081370310890</t>
        </is>
      </c>
      <c r="D639" t="inlineStr">
        <is>
          <t>simalungun.milenial@gmail.com</t>
        </is>
      </c>
      <c r="E639" t="inlineStr">
        <is>
          <t>https://lpjk.pu.go.id/search-badan-usaha-detail/cEt3ZENQWVlmbHU5REZlM0oySitOZz09</t>
        </is>
      </c>
      <c r="F639" t="n">
        <v>1</v>
      </c>
      <c r="G639" t="inlineStr">
        <is>
          <t>BG006</t>
        </is>
      </c>
      <c r="H639" t="inlineStr">
        <is>
          <t>1 Januari 2018</t>
        </is>
      </c>
      <c r="I639" s="2" t="n">
        <v>46278</v>
      </c>
      <c r="J639" t="inlineStr">
        <is>
          <t>Disetujui</t>
        </is>
      </c>
      <c r="K639" t="n">
        <v>30</v>
      </c>
      <c r="L639" t="inlineStr">
        <is>
          <t>13 September 2026</t>
        </is>
      </c>
      <c r="M639" t="inlineStr">
        <is>
          <t>Konstruksi Gedung Pendidikan</t>
        </is>
      </c>
      <c r="N639" t="inlineStr">
        <is>
          <t>K</t>
        </is>
      </c>
      <c r="O639" t="inlineStr">
        <is>
          <t>20230831</t>
        </is>
      </c>
      <c r="P639" t="inlineStr">
        <is>
          <t>Sumatera Utara</t>
        </is>
      </c>
      <c r="Q639" t="inlineStr"/>
    </row>
    <row r="640">
      <c r="A640" t="inlineStr">
        <is>
          <t>SINAR ARIFIN UNGGUL</t>
        </is>
      </c>
      <c r="B640" t="inlineStr">
        <is>
          <t>Kab. Pandeglang</t>
        </is>
      </c>
      <c r="C640" t="inlineStr">
        <is>
          <t>087805626131</t>
        </is>
      </c>
      <c r="D640" t="inlineStr">
        <is>
          <t>sinararifinunggulpt@yahoo.com</t>
        </is>
      </c>
      <c r="E640" t="inlineStr">
        <is>
          <t>https://lpjk.pu.go.id/search-badan-usaha-detail/K08xd1V4d2NXUHg4L28vajJ2QWdlQT09</t>
        </is>
      </c>
      <c r="F640" t="n">
        <v>2</v>
      </c>
      <c r="G640" t="inlineStr">
        <is>
          <t>BG009, BS001</t>
        </is>
      </c>
      <c r="H640" t="inlineStr">
        <is>
          <t>3 Februari 2014</t>
        </is>
      </c>
      <c r="I640" s="2" t="n">
        <v>46278</v>
      </c>
      <c r="J640" t="inlineStr">
        <is>
          <t>Disetujui</t>
        </is>
      </c>
      <c r="K640" t="n">
        <v>30</v>
      </c>
      <c r="L640" t="inlineStr">
        <is>
          <t>13 September 2026</t>
        </is>
      </c>
      <c r="M640" t="inlineStr">
        <is>
          <t>Konstruksi Bangunan Sipil Jalan, Konstruksi Gedung Lainnya</t>
        </is>
      </c>
      <c r="N640" t="inlineStr">
        <is>
          <t>K</t>
        </is>
      </c>
      <c r="O640" t="inlineStr">
        <is>
          <t>20230905, 20230914</t>
        </is>
      </c>
      <c r="P640" t="inlineStr">
        <is>
          <t>Banten</t>
        </is>
      </c>
      <c r="Q640" t="inlineStr"/>
    </row>
    <row r="641">
      <c r="A641" t="inlineStr">
        <is>
          <t>SINAR BINTANG</t>
        </is>
      </c>
      <c r="B641" t="inlineStr">
        <is>
          <t>Kab. Bandung</t>
        </is>
      </c>
      <c r="C641" t="inlineStr">
        <is>
          <t>081322964044</t>
        </is>
      </c>
      <c r="D641" t="inlineStr">
        <is>
          <t>sb681538@gmail.com</t>
        </is>
      </c>
      <c r="E641" t="inlineStr">
        <is>
          <t>https://lpjk.pu.go.id/search-badan-usaha-detail/OWk3eERUaTloOVhmNXBjVDlISjVMUT09</t>
        </is>
      </c>
      <c r="F641" t="n">
        <v>2</v>
      </c>
      <c r="G641" t="inlineStr">
        <is>
          <t>IN007, PB004</t>
        </is>
      </c>
      <c r="H641" t="inlineStr">
        <is>
          <t>8 Maret 2016</t>
        </is>
      </c>
      <c r="I641" s="2" t="n">
        <v>46277</v>
      </c>
      <c r="J641" t="inlineStr">
        <is>
          <t>Pembekuan, Pencabutan</t>
        </is>
      </c>
      <c r="K641" t="n">
        <v>30</v>
      </c>
      <c r="L641" t="inlineStr">
        <is>
          <t>12 September 2026</t>
        </is>
      </c>
      <c r="M641" t="inlineStr">
        <is>
          <t>Dekorasi Interior, Instalasi Saluran Air (Plambing)</t>
        </is>
      </c>
      <c r="N641" t="inlineStr">
        <is>
          <t>Spesialis</t>
        </is>
      </c>
      <c r="O641" t="inlineStr">
        <is>
          <t>20230909, 20230912</t>
        </is>
      </c>
      <c r="P641" t="inlineStr">
        <is>
          <t>Jawa Barat</t>
        </is>
      </c>
      <c r="Q641" t="inlineStr"/>
    </row>
    <row r="642">
      <c r="A642" t="inlineStr">
        <is>
          <t>SINAR DUA PUTRA MANDIRI</t>
        </is>
      </c>
      <c r="B642" t="inlineStr">
        <is>
          <t>Kab. Karawang</t>
        </is>
      </c>
      <c r="C642" t="inlineStr">
        <is>
          <t>085885936222</t>
        </is>
      </c>
      <c r="D642" t="inlineStr">
        <is>
          <t>sinar2putri19@gmail.com</t>
        </is>
      </c>
      <c r="E642" t="inlineStr">
        <is>
          <t>https://lpjk.pu.go.id/search-badan-usaha-detail/L0hEUE9VQWpoYVBzK2VxR1FpMWVsZz09</t>
        </is>
      </c>
      <c r="F642" t="n">
        <v>1</v>
      </c>
      <c r="G642" t="inlineStr">
        <is>
          <t>BG009</t>
        </is>
      </c>
      <c r="H642" t="inlineStr">
        <is>
          <t>11 September 2019</t>
        </is>
      </c>
      <c r="I642" s="2" t="n">
        <v>46283</v>
      </c>
      <c r="J642" t="inlineStr">
        <is>
          <t>Disetujui</t>
        </is>
      </c>
      <c r="K642" t="n">
        <v>30</v>
      </c>
      <c r="L642" t="inlineStr">
        <is>
          <t>18 September 2026</t>
        </is>
      </c>
      <c r="M642" t="inlineStr">
        <is>
          <t>Konstruksi Gedung Lainnya</t>
        </is>
      </c>
      <c r="N642" t="inlineStr">
        <is>
          <t>K</t>
        </is>
      </c>
      <c r="O642" t="inlineStr">
        <is>
          <t>20230913</t>
        </is>
      </c>
      <c r="P642" t="inlineStr">
        <is>
          <t>Jawa Barat</t>
        </is>
      </c>
      <c r="Q642" t="inlineStr"/>
    </row>
    <row r="643">
      <c r="A643" t="inlineStr">
        <is>
          <t>SINAR GEMILANG</t>
        </is>
      </c>
      <c r="B643" t="inlineStr">
        <is>
          <t>Kab. Tuban</t>
        </is>
      </c>
      <c r="C643" t="inlineStr">
        <is>
          <t>081332413436</t>
        </is>
      </c>
      <c r="D643" t="inlineStr">
        <is>
          <t>sinargemilang25@gmail.com</t>
        </is>
      </c>
      <c r="E643" t="inlineStr">
        <is>
          <t>https://lpjk.pu.go.id/search-badan-usaha-detail/Vk93S3Z1bmQ5S2pKRlRQNW9hR1lqQT09</t>
        </is>
      </c>
      <c r="F643" t="n">
        <v>4</v>
      </c>
      <c r="G643" t="inlineStr">
        <is>
          <t>BG002, BG005, BG006, BG009</t>
        </is>
      </c>
      <c r="H643" t="inlineStr">
        <is>
          <t>23 Desember 2015</t>
        </is>
      </c>
      <c r="I643" s="2" t="n">
        <v>46283</v>
      </c>
      <c r="J643" t="inlineStr">
        <is>
          <t>Disetujui</t>
        </is>
      </c>
      <c r="K643" t="n">
        <v>30</v>
      </c>
      <c r="L643" t="inlineStr">
        <is>
          <t>18 September 2026</t>
        </is>
      </c>
      <c r="M643" t="inlineStr">
        <is>
          <t>Konstruksi Gedung Kesehatan, Konstruksi Gedung Lainnya, Konstruksi Gedung Pendidikan, Konstruksi Gedung Perkantoran</t>
        </is>
      </c>
      <c r="N643" t="inlineStr">
        <is>
          <t>K</t>
        </is>
      </c>
      <c r="O643" t="inlineStr">
        <is>
          <t>20230915</t>
        </is>
      </c>
      <c r="P643" t="inlineStr">
        <is>
          <t>Jawa Timur</t>
        </is>
      </c>
      <c r="Q643" t="inlineStr"/>
    </row>
    <row r="644">
      <c r="A644" t="inlineStr">
        <is>
          <t>SINAR JAYA</t>
        </is>
      </c>
      <c r="B644" t="inlineStr">
        <is>
          <t>Kota Medan</t>
        </is>
      </c>
      <c r="C644" t="inlineStr">
        <is>
          <t>085830287900</t>
        </is>
      </c>
      <c r="D644" t="inlineStr">
        <is>
          <t>cvsinarjaya@rocketmail.com</t>
        </is>
      </c>
      <c r="E644" t="inlineStr">
        <is>
          <t>https://lpjk.pu.go.id/search-badan-usaha-detail/WnpQSC81alljdE1GeC9BUWZ6RG9NZz09</t>
        </is>
      </c>
      <c r="F644" t="n">
        <v>3</v>
      </c>
      <c r="G644" t="inlineStr">
        <is>
          <t>BG003, BS002, BS006</t>
        </is>
      </c>
      <c r="H644" t="inlineStr">
        <is>
          <t>18 Oktober 2005</t>
        </is>
      </c>
      <c r="I644" s="2" t="n">
        <v>46281</v>
      </c>
      <c r="J644" t="inlineStr">
        <is>
          <t>Disetujui</t>
        </is>
      </c>
      <c r="K644" t="n">
        <v>30</v>
      </c>
      <c r="L644" t="inlineStr">
        <is>
          <t>16 September 2026</t>
        </is>
      </c>
      <c r="M644" t="inlineStr">
        <is>
          <t>Bangunan Sipil Jembatan, Jalan Layang, Fly Over, dan Underpass, Konstruksi Bangunan Sipil Prasarana dan Sarana Sistem Pengolahan Limbah Padat, Cair, dan Gas, Konstruksi Gedung Industri</t>
        </is>
      </c>
      <c r="N644" t="inlineStr">
        <is>
          <t>K</t>
        </is>
      </c>
      <c r="O644" t="inlineStr">
        <is>
          <t>20230916, 20230919</t>
        </is>
      </c>
      <c r="P644" t="inlineStr">
        <is>
          <t>Sumatera Utara</t>
        </is>
      </c>
      <c r="Q644" t="inlineStr"/>
    </row>
    <row r="645">
      <c r="A645" t="inlineStr">
        <is>
          <t>SINAR JAYA ENERGI</t>
        </is>
      </c>
      <c r="B645" t="inlineStr">
        <is>
          <t>Kab. Lampung Timur</t>
        </is>
      </c>
      <c r="C645" t="inlineStr">
        <is>
          <t>081379527899</t>
        </is>
      </c>
      <c r="D645" t="inlineStr">
        <is>
          <t>sinarjayaenergy@gmail.com</t>
        </is>
      </c>
      <c r="E645" t="inlineStr">
        <is>
          <t>https://lpjk.pu.go.id/search-badan-usaha-detail/OWNqSzdTdlkxK3RFUldyWnJLSUk5QT09</t>
        </is>
      </c>
      <c r="F645" t="n">
        <v>1</v>
      </c>
      <c r="G645" t="inlineStr">
        <is>
          <t>BG009</t>
        </is>
      </c>
      <c r="H645" t="inlineStr">
        <is>
          <t>28 November 2013</t>
        </is>
      </c>
      <c r="I645" s="2" t="n">
        <v>46277</v>
      </c>
      <c r="J645" t="inlineStr">
        <is>
          <t>Disetujui</t>
        </is>
      </c>
      <c r="K645" t="n">
        <v>30</v>
      </c>
      <c r="L645" t="inlineStr">
        <is>
          <t>12 September 2026</t>
        </is>
      </c>
      <c r="M645" t="inlineStr">
        <is>
          <t>Konstruksi Gedung Lainnya</t>
        </is>
      </c>
      <c r="N645" t="inlineStr">
        <is>
          <t>K</t>
        </is>
      </c>
      <c r="O645" t="inlineStr">
        <is>
          <t>20230908</t>
        </is>
      </c>
      <c r="P645" t="inlineStr">
        <is>
          <t>Lampung</t>
        </is>
      </c>
      <c r="Q645" t="inlineStr"/>
    </row>
    <row r="646">
      <c r="A646" t="inlineStr">
        <is>
          <t>SINAR KEMUNING</t>
        </is>
      </c>
      <c r="B646" t="inlineStr">
        <is>
          <t>Kab. Cilacap</t>
        </is>
      </c>
      <c r="C646" t="inlineStr">
        <is>
          <t>085725780345</t>
        </is>
      </c>
      <c r="D646" t="inlineStr">
        <is>
          <t>sinarkemuningcv@gmail.com</t>
        </is>
      </c>
      <c r="E646" t="inlineStr">
        <is>
          <t>https://lpjk.pu.go.id/search-badan-usaha-detail/czUyY1A1Z0R3Si9GZlV1a2cxT0ZQZz09</t>
        </is>
      </c>
      <c r="F646" t="n">
        <v>6</v>
      </c>
      <c r="G646" t="inlineStr">
        <is>
          <t>BG002, BG004, BG005, BG006, BS002, BS004</t>
        </is>
      </c>
      <c r="H646" t="inlineStr">
        <is>
          <t>1 September 1986</t>
        </is>
      </c>
      <c r="I646" s="2" t="n">
        <v>46277</v>
      </c>
      <c r="J646" t="inlineStr">
        <is>
          <t>Disetujui</t>
        </is>
      </c>
      <c r="K646" t="n">
        <v>30</v>
      </c>
      <c r="L646" t="inlineStr">
        <is>
          <t>12 September 2026</t>
        </is>
      </c>
      <c r="M646" t="inlineStr">
        <is>
          <t>Bangunan Sipil Jembatan, Jalan Layang, Fly Over, dan Underpass, Konstruksi Gedung Kesehatan, Konstruksi Gedung Pendidikan, Konstruksi Gedung Perbelanjaan, Konstruksi Gedung Perkantoran, Konstruksi Jaringan Irigasi dan Drainase</t>
        </is>
      </c>
      <c r="N646" t="inlineStr">
        <is>
          <t>K</t>
        </is>
      </c>
      <c r="O646" t="inlineStr">
        <is>
          <t>20230815, 20230907</t>
        </is>
      </c>
      <c r="P646" t="inlineStr">
        <is>
          <t>Jawa Tengah</t>
        </is>
      </c>
      <c r="Q646" t="inlineStr"/>
    </row>
    <row r="647">
      <c r="A647" t="inlineStr">
        <is>
          <t>SINAR MANDIRI</t>
        </is>
      </c>
      <c r="B647" t="inlineStr">
        <is>
          <t>Kota Semarang</t>
        </is>
      </c>
      <c r="C647" t="inlineStr">
        <is>
          <t>081575880202</t>
        </is>
      </c>
      <c r="D647" t="inlineStr">
        <is>
          <t>sinarmandiri.srg@gmail.com</t>
        </is>
      </c>
      <c r="E647" t="inlineStr">
        <is>
          <t>https://lpjk.pu.go.id/search-badan-usaha-detail/Z3NlTzZ5RHpWME5KbmhxT2MvOHg0UT09</t>
        </is>
      </c>
      <c r="F647" t="n">
        <v>3</v>
      </c>
      <c r="G647" t="inlineStr">
        <is>
          <t>BG006, BG009, BS001</t>
        </is>
      </c>
      <c r="H647" t="inlineStr">
        <is>
          <t>17 Desember 2015</t>
        </is>
      </c>
      <c r="I647" s="2" t="n">
        <v>46278</v>
      </c>
      <c r="J647" t="inlineStr">
        <is>
          <t>Disetujui</t>
        </is>
      </c>
      <c r="K647" t="n">
        <v>30</v>
      </c>
      <c r="L647" t="inlineStr">
        <is>
          <t>13 September 2026</t>
        </is>
      </c>
      <c r="M647" t="inlineStr">
        <is>
          <t>Konstruksi Bangunan Sipil Jalan, Konstruksi Gedung Lainnya, Konstruksi Gedung Pendidikan</t>
        </is>
      </c>
      <c r="N647" t="inlineStr">
        <is>
          <t>K</t>
        </is>
      </c>
      <c r="O647" t="inlineStr">
        <is>
          <t>20230913</t>
        </is>
      </c>
      <c r="P647" t="inlineStr">
        <is>
          <t>Jawa Tengah</t>
        </is>
      </c>
      <c r="Q647" t="inlineStr"/>
    </row>
    <row r="648">
      <c r="A648" t="inlineStr">
        <is>
          <t>SINAR MENTARI</t>
        </is>
      </c>
      <c r="B648" t="inlineStr">
        <is>
          <t>Kota Bandung</t>
        </is>
      </c>
      <c r="C648" t="inlineStr">
        <is>
          <t>08122059695</t>
        </is>
      </c>
      <c r="D648" t="inlineStr">
        <is>
          <t>mentaricvsinar@gmail.com</t>
        </is>
      </c>
      <c r="E648" t="inlineStr">
        <is>
          <t>https://lpjk.pu.go.id/search-badan-usaha-detail/dE9PdzEyYlptVEFXblNhR01xakZ5UT09</t>
        </is>
      </c>
      <c r="F648" t="n">
        <v>1</v>
      </c>
      <c r="G648" t="inlineStr">
        <is>
          <t>BS001</t>
        </is>
      </c>
      <c r="H648" t="inlineStr">
        <is>
          <t>24 Januari 2023</t>
        </is>
      </c>
      <c r="I648" s="2" t="n">
        <v>46282</v>
      </c>
      <c r="J648" t="inlineStr">
        <is>
          <t>Disetujui</t>
        </is>
      </c>
      <c r="K648" t="n">
        <v>30</v>
      </c>
      <c r="L648" t="inlineStr">
        <is>
          <t>17 September 2026</t>
        </is>
      </c>
      <c r="M648" t="inlineStr">
        <is>
          <t>Konstruksi Bangunan Sipil Jalan</t>
        </is>
      </c>
      <c r="N648" t="inlineStr">
        <is>
          <t>K</t>
        </is>
      </c>
      <c r="O648" t="inlineStr">
        <is>
          <t>20230912</t>
        </is>
      </c>
      <c r="P648" t="inlineStr">
        <is>
          <t>Jawa Barat</t>
        </is>
      </c>
      <c r="Q648" t="inlineStr"/>
    </row>
    <row r="649">
      <c r="A649" t="inlineStr">
        <is>
          <t>SINAR PERMATA PAPUA</t>
        </is>
      </c>
      <c r="B649" t="inlineStr">
        <is>
          <t>Kab. Kepulauan Yapen</t>
        </is>
      </c>
      <c r="C649" t="inlineStr">
        <is>
          <t>085299309588</t>
        </is>
      </c>
      <c r="D649" t="inlineStr">
        <is>
          <t>cv.sinarpermatapapua@gmail.com</t>
        </is>
      </c>
      <c r="E649" t="inlineStr">
        <is>
          <t>https://lpjk.pu.go.id/search-badan-usaha-detail/NUZlWWdPZTV6MElVNEIrRi85ZUNKUT09</t>
        </is>
      </c>
      <c r="F649" t="n">
        <v>7</v>
      </c>
      <c r="G649" t="inlineStr">
        <is>
          <t>BG002, BG003, BG005, BG006, BG009, BS001, BS002</t>
        </is>
      </c>
      <c r="H649" t="inlineStr">
        <is>
          <t>7 Agustus 2023</t>
        </is>
      </c>
      <c r="I649" s="2" t="n">
        <v>46283</v>
      </c>
      <c r="J649" t="inlineStr">
        <is>
          <t>Dokumen Tidak Lengkap, Konfirmasi Pembayaran</t>
        </is>
      </c>
      <c r="K649" t="n">
        <v>30</v>
      </c>
      <c r="L649" t="inlineStr">
        <is>
          <t>18 September 2026</t>
        </is>
      </c>
      <c r="M649" t="inlineStr">
        <is>
          <t>Bangunan Sipil Jembatan, Jalan Layang, Fly Over, dan Underpass, Konstruksi Bangunan Sipil Jalan, Konstruksi Gedung Industri, Konstruksi Gedung Kesehatan, Konstruksi Gedung Lainnya, Konstruksi Gedung Pendidikan, Konstruksi Gedung Perkantoran</t>
        </is>
      </c>
      <c r="N649" t="inlineStr">
        <is>
          <t>K</t>
        </is>
      </c>
      <c r="O649" t="inlineStr">
        <is>
          <t>20230915</t>
        </is>
      </c>
      <c r="P649" t="inlineStr">
        <is>
          <t>Papua</t>
        </is>
      </c>
      <c r="Q649" t="inlineStr"/>
    </row>
    <row r="650">
      <c r="A650" t="inlineStr">
        <is>
          <t>SINAR PUTRA SANTOSO</t>
        </is>
      </c>
      <c r="B650" t="inlineStr">
        <is>
          <t>Kab. Cirebon</t>
        </is>
      </c>
      <c r="C650" t="inlineStr">
        <is>
          <t>082227221001</t>
        </is>
      </c>
      <c r="D650" t="inlineStr">
        <is>
          <t>sinarputrasantoso@ymail.com</t>
        </is>
      </c>
      <c r="E650" t="inlineStr">
        <is>
          <t>https://lpjk.pu.go.id/search-badan-usaha-detail/dVJRU2VscTJ2Vzlpak1odmY0eTRtdz09</t>
        </is>
      </c>
      <c r="F650" t="n">
        <v>1</v>
      </c>
      <c r="G650" t="inlineStr">
        <is>
          <t>BG006</t>
        </is>
      </c>
      <c r="H650" t="inlineStr">
        <is>
          <t>27 Agustus 2003</t>
        </is>
      </c>
      <c r="I650" s="2" t="n">
        <v>46277</v>
      </c>
      <c r="J650" t="inlineStr">
        <is>
          <t>Disetujui</t>
        </is>
      </c>
      <c r="K650" t="n">
        <v>30</v>
      </c>
      <c r="L650" t="inlineStr">
        <is>
          <t>12 September 2026</t>
        </is>
      </c>
      <c r="M650" t="inlineStr">
        <is>
          <t>Konstruksi Gedung Pendidikan</t>
        </is>
      </c>
      <c r="N650" t="inlineStr">
        <is>
          <t>K</t>
        </is>
      </c>
      <c r="O650" t="inlineStr">
        <is>
          <t>20230908</t>
        </is>
      </c>
      <c r="P650" t="inlineStr">
        <is>
          <t>Jawa Barat</t>
        </is>
      </c>
      <c r="Q650" t="inlineStr"/>
    </row>
    <row r="651">
      <c r="A651" t="inlineStr">
        <is>
          <t>SINAR TIRTA CEMERLANG</t>
        </is>
      </c>
      <c r="B651" t="inlineStr">
        <is>
          <t>Kab. Tanah Bumbu</t>
        </is>
      </c>
      <c r="C651" t="inlineStr">
        <is>
          <t>082251863867</t>
        </is>
      </c>
      <c r="D651" t="inlineStr">
        <is>
          <t>cv.sinartirtacemerlang@gmail.com</t>
        </is>
      </c>
      <c r="E651" t="inlineStr">
        <is>
          <t>https://lpjk.pu.go.id/search-badan-usaha-detail/dmVuNGdiQ3pZT3RvWjJZL1RraTYyUT09</t>
        </is>
      </c>
      <c r="F651" t="n">
        <v>2</v>
      </c>
      <c r="G651" t="inlineStr">
        <is>
          <t>BS001, BS004</t>
        </is>
      </c>
      <c r="H651" t="inlineStr">
        <is>
          <t>8 November 2021</t>
        </is>
      </c>
      <c r="I651" s="2" t="n">
        <v>46283</v>
      </c>
      <c r="J651" t="inlineStr">
        <is>
          <t>Disetujui</t>
        </is>
      </c>
      <c r="K651" t="n">
        <v>30</v>
      </c>
      <c r="L651" t="inlineStr">
        <is>
          <t>18 September 2026</t>
        </is>
      </c>
      <c r="M651" t="inlineStr">
        <is>
          <t>Konstruksi Bangunan Sipil Jalan, Konstruksi Jaringan Irigasi dan Drainase</t>
        </is>
      </c>
      <c r="N651" t="inlineStr">
        <is>
          <t>K</t>
        </is>
      </c>
      <c r="O651" t="inlineStr">
        <is>
          <t>20230913</t>
        </is>
      </c>
      <c r="P651" t="inlineStr">
        <is>
          <t>Kalimantan Selatan</t>
        </is>
      </c>
      <c r="Q651" t="inlineStr"/>
    </row>
    <row r="652">
      <c r="A652" t="inlineStr">
        <is>
          <t>SINERGI KARYA UTAMA</t>
        </is>
      </c>
      <c r="B652" t="inlineStr">
        <is>
          <t>Kota Pontianak</t>
        </is>
      </c>
      <c r="C652" t="inlineStr">
        <is>
          <t>08125642804</t>
        </is>
      </c>
      <c r="D652" t="inlineStr">
        <is>
          <t>ptsinergikaryautama08@gmail.com</t>
        </is>
      </c>
      <c r="E652" t="inlineStr">
        <is>
          <t>https://lpjk.pu.go.id/search-badan-usaha-detail/K2N4YTZ1KzFYbUthWWZ6RC9HK2JSQT09</t>
        </is>
      </c>
      <c r="F652" t="n">
        <v>1</v>
      </c>
      <c r="G652" t="inlineStr">
        <is>
          <t>AL003</t>
        </is>
      </c>
      <c r="H652" t="inlineStr">
        <is>
          <t>16 Desember 2009</t>
        </is>
      </c>
      <c r="I652" s="2" t="n">
        <v>46278</v>
      </c>
      <c r="J652" t="inlineStr">
        <is>
          <t>Disetujui</t>
        </is>
      </c>
      <c r="K652" t="n">
        <v>30</v>
      </c>
      <c r="L652" t="inlineStr">
        <is>
          <t>13 September 2026</t>
        </is>
      </c>
      <c r="M652" t="inlineStr">
        <is>
          <t>Jasa Pengembangan Perkotaan</t>
        </is>
      </c>
      <c r="N652" t="inlineStr">
        <is>
          <t>K</t>
        </is>
      </c>
      <c r="O652" t="inlineStr">
        <is>
          <t>20230906</t>
        </is>
      </c>
      <c r="P652" t="inlineStr">
        <is>
          <t>Kalimantan Barat</t>
        </is>
      </c>
      <c r="Q652" t="inlineStr"/>
    </row>
    <row r="653">
      <c r="A653" t="inlineStr">
        <is>
          <t>SOCA INTEN</t>
        </is>
      </c>
      <c r="B653" t="inlineStr">
        <is>
          <t>Kab. Sukabumi</t>
        </is>
      </c>
      <c r="C653" t="inlineStr">
        <is>
          <t>085871309079</t>
        </is>
      </c>
      <c r="D653" t="inlineStr">
        <is>
          <t>cvsocainten22@gmail.com</t>
        </is>
      </c>
      <c r="E653" t="inlineStr">
        <is>
          <t>https://lpjk.pu.go.id/search-badan-usaha-detail/T2ZSb3NiK2JEeVBQTnk2OWdKWkRkdz09</t>
        </is>
      </c>
      <c r="F653" t="n">
        <v>2</v>
      </c>
      <c r="G653" t="inlineStr">
        <is>
          <t>BS001, BS004</t>
        </is>
      </c>
      <c r="H653" t="inlineStr">
        <is>
          <t>4 Desember 2012</t>
        </is>
      </c>
      <c r="I653" s="2" t="n">
        <v>46278</v>
      </c>
      <c r="J653" t="inlineStr">
        <is>
          <t>Disetujui</t>
        </is>
      </c>
      <c r="K653" t="n">
        <v>30</v>
      </c>
      <c r="L653" t="inlineStr">
        <is>
          <t>13 September 2026</t>
        </is>
      </c>
      <c r="M653" t="inlineStr">
        <is>
          <t>Konstruksi Bangunan Sipil Jalan, Konstruksi Jaringan Irigasi dan Drainase</t>
        </is>
      </c>
      <c r="N653" t="inlineStr">
        <is>
          <t>K</t>
        </is>
      </c>
      <c r="O653" t="inlineStr">
        <is>
          <t>20230913</t>
        </is>
      </c>
      <c r="P653" t="inlineStr">
        <is>
          <t>Jawa Barat</t>
        </is>
      </c>
      <c r="Q653" t="inlineStr"/>
    </row>
    <row r="654">
      <c r="A654" t="inlineStr">
        <is>
          <t>SPARTA DUTA PERKASA</t>
        </is>
      </c>
      <c r="B654" t="inlineStr">
        <is>
          <t>Kota Pariaman</t>
        </is>
      </c>
      <c r="C654" t="inlineStr">
        <is>
          <t>082384123272</t>
        </is>
      </c>
      <c r="D654" t="inlineStr">
        <is>
          <t>ptspartadutaperkasa@gmail.com</t>
        </is>
      </c>
      <c r="E654" t="inlineStr">
        <is>
          <t>https://lpjk.pu.go.id/search-badan-usaha-detail/eENmQ3l1UzI5cExod01haGo3aSthQT09</t>
        </is>
      </c>
      <c r="F654" t="n">
        <v>1</v>
      </c>
      <c r="G654" t="inlineStr">
        <is>
          <t>BG002</t>
        </is>
      </c>
      <c r="H654" t="inlineStr">
        <is>
          <t>21 Januari 2004</t>
        </is>
      </c>
      <c r="I654" s="2" t="n">
        <v>46283</v>
      </c>
      <c r="J654" t="inlineStr">
        <is>
          <t>Disetujui</t>
        </is>
      </c>
      <c r="K654" t="n">
        <v>30</v>
      </c>
      <c r="L654" t="inlineStr">
        <is>
          <t>18 September 2026</t>
        </is>
      </c>
      <c r="M654" t="inlineStr">
        <is>
          <t>Konstruksi Gedung Perkantoran</t>
        </is>
      </c>
      <c r="N654" t="inlineStr">
        <is>
          <t>K</t>
        </is>
      </c>
      <c r="O654" t="inlineStr">
        <is>
          <t>20230918</t>
        </is>
      </c>
      <c r="P654" t="inlineStr">
        <is>
          <t>Sumatera Barat</t>
        </is>
      </c>
      <c r="Q654" t="inlineStr"/>
    </row>
    <row r="655">
      <c r="A655" t="inlineStr">
        <is>
          <t>SRIKANDI NAWASENA PAPUA</t>
        </is>
      </c>
      <c r="B655" t="inlineStr">
        <is>
          <t>Kab. Merauke</t>
        </is>
      </c>
      <c r="C655" t="inlineStr">
        <is>
          <t>082250688488</t>
        </is>
      </c>
      <c r="D655" t="inlineStr">
        <is>
          <t>cvsrikandinawasenapapua@gmail.com</t>
        </is>
      </c>
      <c r="E655" t="inlineStr">
        <is>
          <t>https://lpjk.pu.go.id/search-badan-usaha-detail/ZEZSVGdERzdqeUJUYUMrQklEU2dGQT09</t>
        </is>
      </c>
      <c r="F655" t="n">
        <v>1</v>
      </c>
      <c r="G655" t="inlineStr">
        <is>
          <t>BS004</t>
        </is>
      </c>
      <c r="H655" t="inlineStr">
        <is>
          <t>26 Juli 2023</t>
        </is>
      </c>
      <c r="I655" s="2" t="n">
        <v>46277</v>
      </c>
      <c r="J655" t="inlineStr">
        <is>
          <t>Disetujui</t>
        </is>
      </c>
      <c r="K655" t="n">
        <v>30</v>
      </c>
      <c r="L655" t="inlineStr">
        <is>
          <t>12 September 2026</t>
        </is>
      </c>
      <c r="M655" t="inlineStr">
        <is>
          <t>Konstruksi Jaringan Irigasi dan Drainase</t>
        </is>
      </c>
      <c r="N655" t="inlineStr">
        <is>
          <t>K</t>
        </is>
      </c>
      <c r="O655" t="inlineStr">
        <is>
          <t>20230905</t>
        </is>
      </c>
      <c r="P655" t="inlineStr">
        <is>
          <t>Papua Selatan</t>
        </is>
      </c>
      <c r="Q655" t="inlineStr"/>
    </row>
    <row r="656">
      <c r="A656" t="inlineStr">
        <is>
          <t>SUBUR DAYA PERKASA</t>
        </is>
      </c>
      <c r="B656" t="inlineStr">
        <is>
          <t>Kab. Sidoarjo</t>
        </is>
      </c>
      <c r="C656" t="inlineStr">
        <is>
          <t>0318537928</t>
        </is>
      </c>
      <c r="D656" t="inlineStr">
        <is>
          <t>cv.suburdayaperkasa.info@gmail.com</t>
        </is>
      </c>
      <c r="E656" t="inlineStr">
        <is>
          <t>https://lpjk.pu.go.id/search-badan-usaha-detail/NjlVLy93eTN6UVN4eEdNbldWLy9yZz09</t>
        </is>
      </c>
      <c r="F656" t="n">
        <v>2</v>
      </c>
      <c r="G656" t="inlineStr">
        <is>
          <t>BG001</t>
        </is>
      </c>
      <c r="H656" t="inlineStr">
        <is>
          <t>3 Agustus 2009</t>
        </is>
      </c>
      <c r="I656" s="2" t="n">
        <v>46282</v>
      </c>
      <c r="J656" t="inlineStr">
        <is>
          <t>Disetujui</t>
        </is>
      </c>
      <c r="K656" t="n">
        <v>30</v>
      </c>
      <c r="L656" t="inlineStr">
        <is>
          <t>17 September 2026</t>
        </is>
      </c>
      <c r="M656" t="inlineStr">
        <is>
          <t>Konstruksi Gedung Hunian</t>
        </is>
      </c>
      <c r="N656" t="inlineStr">
        <is>
          <t>K</t>
        </is>
      </c>
      <c r="O656" t="inlineStr">
        <is>
          <t>20230911</t>
        </is>
      </c>
      <c r="P656" t="inlineStr">
        <is>
          <t>Jawa Timur</t>
        </is>
      </c>
      <c r="Q656" t="inlineStr"/>
    </row>
    <row r="657">
      <c r="A657" t="inlineStr">
        <is>
          <t>SUKAMAJU</t>
        </is>
      </c>
      <c r="B657" t="inlineStr">
        <is>
          <t>Kab. Mimika</t>
        </is>
      </c>
      <c r="C657" t="inlineStr">
        <is>
          <t>081240382950</t>
        </is>
      </c>
      <c r="D657" t="inlineStr">
        <is>
          <t>pt.sukamaju@yahoo.co.id</t>
        </is>
      </c>
      <c r="E657" t="inlineStr">
        <is>
          <t>https://lpjk.pu.go.id/search-badan-usaha-detail/ZTlibE1TQUtJRTBMQUtlOWc2Wk9MQT09</t>
        </is>
      </c>
      <c r="F657" t="n">
        <v>2</v>
      </c>
      <c r="G657" t="inlineStr">
        <is>
          <t>BS001</t>
        </is>
      </c>
      <c r="H657" t="inlineStr">
        <is>
          <t>5 Maret 2007</t>
        </is>
      </c>
      <c r="I657" s="2" t="n">
        <v>46278</v>
      </c>
      <c r="J657" t="inlineStr">
        <is>
          <t>Pembekuan</t>
        </is>
      </c>
      <c r="K657" t="n">
        <v>30</v>
      </c>
      <c r="L657" t="inlineStr">
        <is>
          <t>13 September 2026</t>
        </is>
      </c>
      <c r="M657" t="inlineStr">
        <is>
          <t>Konstruksi Bangunan Sipil Jalan</t>
        </is>
      </c>
      <c r="N657" t="inlineStr">
        <is>
          <t>M</t>
        </is>
      </c>
      <c r="O657" t="inlineStr">
        <is>
          <t>20230912</t>
        </is>
      </c>
      <c r="P657" t="inlineStr">
        <is>
          <t>Papua</t>
        </is>
      </c>
      <c r="Q657" t="inlineStr"/>
    </row>
    <row r="658">
      <c r="A658" t="inlineStr">
        <is>
          <t>SULTAN ADI RAYA</t>
        </is>
      </c>
      <c r="B658" t="inlineStr">
        <is>
          <t>Kab. Bojonegoro</t>
        </is>
      </c>
      <c r="C658" t="inlineStr">
        <is>
          <t>081357793008</t>
        </is>
      </c>
      <c r="D658" t="inlineStr">
        <is>
          <t>cv.sultanadiraya@gmail.com</t>
        </is>
      </c>
      <c r="E658" t="inlineStr">
        <is>
          <t>https://lpjk.pu.go.id/search-badan-usaha-detail/VkRGYlBzTGhTdkZKaTdoY2k4cjlFZz09</t>
        </is>
      </c>
      <c r="F658" t="n">
        <v>2</v>
      </c>
      <c r="G658" t="inlineStr">
        <is>
          <t>BS001, BS010</t>
        </is>
      </c>
      <c r="H658" t="inlineStr">
        <is>
          <t>18 Agustus 2023</t>
        </is>
      </c>
      <c r="I658" s="2" t="n">
        <v>46281</v>
      </c>
      <c r="J658" t="inlineStr">
        <is>
          <t>Disetujui, Pencabutan</t>
        </is>
      </c>
      <c r="K658" t="n">
        <v>30</v>
      </c>
      <c r="L658" t="inlineStr">
        <is>
          <t>16 September 2026</t>
        </is>
      </c>
      <c r="M658" t="inlineStr">
        <is>
          <t>Konstruksi Bangunan Prasarana Sumber Daya Air, Konstruksi Bangunan Sipil Jalan</t>
        </is>
      </c>
      <c r="N658" t="inlineStr">
        <is>
          <t>K</t>
        </is>
      </c>
      <c r="O658" t="inlineStr">
        <is>
          <t>20230916</t>
        </is>
      </c>
      <c r="P658" t="inlineStr">
        <is>
          <t>Jawa Timur</t>
        </is>
      </c>
      <c r="Q658" t="inlineStr"/>
    </row>
    <row r="659">
      <c r="A659" t="inlineStr">
        <is>
          <t>SULTAN ASROFI</t>
        </is>
      </c>
      <c r="B659" t="inlineStr">
        <is>
          <t>Kab. Lombok Timur</t>
        </is>
      </c>
      <c r="C659" t="inlineStr">
        <is>
          <t>081910221828</t>
        </is>
      </c>
      <c r="D659" t="inlineStr">
        <is>
          <t>sadulabsor1984@gmail.com</t>
        </is>
      </c>
      <c r="E659" t="inlineStr">
        <is>
          <t>https://lpjk.pu.go.id/search-badan-usaha-detail/dmxCNUczR1hVRytlRHYwdm9GeTJvdz09</t>
        </is>
      </c>
      <c r="F659" t="n">
        <v>4</v>
      </c>
      <c r="G659" t="inlineStr">
        <is>
          <t>BG001, BG009, BS001, BS004</t>
        </is>
      </c>
      <c r="H659" t="inlineStr">
        <is>
          <t>13 Maret 2023</t>
        </is>
      </c>
      <c r="I659" s="2" t="n">
        <v>46278</v>
      </c>
      <c r="J659" t="inlineStr">
        <is>
          <t>Disetujui</t>
        </is>
      </c>
      <c r="K659" t="n">
        <v>30</v>
      </c>
      <c r="L659" t="inlineStr">
        <is>
          <t>13 September 2026</t>
        </is>
      </c>
      <c r="M659" t="inlineStr">
        <is>
          <t>Konstruksi Bangunan Sipil Jalan, Konstruksi Gedung Hunian, Konstruksi Gedung Lainnya, Konstruksi Jaringan Irigasi dan Drainase</t>
        </is>
      </c>
      <c r="N659" t="inlineStr">
        <is>
          <t>K</t>
        </is>
      </c>
      <c r="O659" t="inlineStr">
        <is>
          <t>20230513, 20230908</t>
        </is>
      </c>
      <c r="P659" t="inlineStr">
        <is>
          <t>Nusa Tenggara Barat</t>
        </is>
      </c>
      <c r="Q659" t="inlineStr"/>
    </row>
    <row r="660">
      <c r="A660" t="inlineStr">
        <is>
          <t>SUMBER ARTHA MAKMUR</t>
        </is>
      </c>
      <c r="B660" t="inlineStr">
        <is>
          <t>Kota Semarang</t>
        </is>
      </c>
      <c r="C660" t="inlineStr">
        <is>
          <t>082242148399</t>
        </is>
      </c>
      <c r="D660" t="inlineStr">
        <is>
          <t>sumberarthamakmur292@gmail.com</t>
        </is>
      </c>
      <c r="E660" t="inlineStr">
        <is>
          <t>https://lpjk.pu.go.id/search-badan-usaha-detail/MndrZHBPSGF1VG5QciszVk4vcS9rZz09</t>
        </is>
      </c>
      <c r="F660" t="n">
        <v>1</v>
      </c>
      <c r="G660" t="inlineStr">
        <is>
          <t>BS004</t>
        </is>
      </c>
      <c r="H660" t="inlineStr">
        <is>
          <t>22 Juni 2012</t>
        </is>
      </c>
      <c r="I660" s="2" t="n">
        <v>46282</v>
      </c>
      <c r="J660" t="inlineStr">
        <is>
          <t>Disetujui</t>
        </is>
      </c>
      <c r="K660" t="n">
        <v>30</v>
      </c>
      <c r="L660" t="inlineStr">
        <is>
          <t>17 September 2026</t>
        </is>
      </c>
      <c r="M660" t="inlineStr">
        <is>
          <t>Konstruksi Jaringan Irigasi dan Drainase</t>
        </is>
      </c>
      <c r="N660" t="inlineStr">
        <is>
          <t>K</t>
        </is>
      </c>
      <c r="O660" t="inlineStr">
        <is>
          <t>20230913</t>
        </is>
      </c>
      <c r="P660" t="inlineStr">
        <is>
          <t>Jawa Tengah</t>
        </is>
      </c>
      <c r="Q660" t="inlineStr"/>
    </row>
    <row r="661">
      <c r="A661" t="inlineStr">
        <is>
          <t>SUMBER KARYA SENTOSA</t>
        </is>
      </c>
      <c r="B661" t="inlineStr">
        <is>
          <t>Kota Adm. Jakarta Pusat</t>
        </is>
      </c>
      <c r="C661" t="inlineStr">
        <is>
          <t>08129082372</t>
        </is>
      </c>
      <c r="D661" t="inlineStr">
        <is>
          <t>info@sumberkaryasentosa.com</t>
        </is>
      </c>
      <c r="E661" t="inlineStr">
        <is>
          <t>https://lpjk.pu.go.id/search-badan-usaha-detail/cTNnWTkrRFcxSS9UbnhicFE2TVFJQT09</t>
        </is>
      </c>
      <c r="F661" t="n">
        <v>1</v>
      </c>
      <c r="G661" t="inlineStr">
        <is>
          <t>IN008</t>
        </is>
      </c>
      <c r="H661" t="inlineStr">
        <is>
          <t>20 Mei 2013</t>
        </is>
      </c>
      <c r="I661" s="2" t="n">
        <v>46279</v>
      </c>
      <c r="J661" t="inlineStr">
        <is>
          <t>Pembekuan</t>
        </is>
      </c>
      <c r="K661" t="n">
        <v>30</v>
      </c>
      <c r="L661" t="inlineStr">
        <is>
          <t>14 September 2026</t>
        </is>
      </c>
      <c r="M661" t="inlineStr">
        <is>
          <t>Instalasi Pendingin Dan Ventilasi Udara</t>
        </is>
      </c>
      <c r="N661" t="inlineStr">
        <is>
          <t>Spesialis</t>
        </is>
      </c>
      <c r="O661" t="inlineStr">
        <is>
          <t>20230908</t>
        </is>
      </c>
      <c r="P661" t="inlineStr">
        <is>
          <t>DKI Jakarta</t>
        </is>
      </c>
      <c r="Q661" t="inlineStr"/>
    </row>
    <row r="662">
      <c r="A662" t="inlineStr">
        <is>
          <t>SUMBER MAKMUR</t>
        </is>
      </c>
      <c r="B662" t="inlineStr">
        <is>
          <t>Kab. Gunungkidul</t>
        </is>
      </c>
      <c r="C662" t="inlineStr">
        <is>
          <t>08112516155</t>
        </is>
      </c>
      <c r="D662" t="inlineStr">
        <is>
          <t>giyantoro411@gmail.com</t>
        </is>
      </c>
      <c r="E662" t="inlineStr">
        <is>
          <t>https://lpjk.pu.go.id/search-badan-usaha-detail/NmkvTkVUaVFETzJ0SXprYzJWb1hyZz09</t>
        </is>
      </c>
      <c r="F662" t="n">
        <v>2</v>
      </c>
      <c r="G662" t="inlineStr">
        <is>
          <t>BG005, BG006</t>
        </is>
      </c>
      <c r="H662" t="inlineStr">
        <is>
          <t>22 Juni 2012</t>
        </is>
      </c>
      <c r="I662" s="2" t="n">
        <v>46278</v>
      </c>
      <c r="J662" t="inlineStr">
        <is>
          <t>Pencabutan</t>
        </is>
      </c>
      <c r="K662" t="n">
        <v>30</v>
      </c>
      <c r="L662" t="inlineStr">
        <is>
          <t>13 September 2026</t>
        </is>
      </c>
      <c r="M662" t="inlineStr">
        <is>
          <t>Konstruksi Gedung Kesehatan, Konstruksi Gedung Pendidikan</t>
        </is>
      </c>
      <c r="N662" t="inlineStr">
        <is>
          <t>K</t>
        </is>
      </c>
      <c r="O662" t="inlineStr">
        <is>
          <t>20230814, 20230815</t>
        </is>
      </c>
      <c r="P662" t="inlineStr">
        <is>
          <t>DI Yogyakarta</t>
        </is>
      </c>
      <c r="Q662" t="inlineStr"/>
    </row>
    <row r="663">
      <c r="A663" t="inlineStr">
        <is>
          <t>SUMBER REJEKI STEEL</t>
        </is>
      </c>
      <c r="B663" t="inlineStr">
        <is>
          <t>Kab. Lumajang</t>
        </is>
      </c>
      <c r="C663" t="inlineStr">
        <is>
          <t>085234014118</t>
        </is>
      </c>
      <c r="D663" t="inlineStr">
        <is>
          <t>pt.srs.engineering@gmail.com</t>
        </is>
      </c>
      <c r="E663" t="inlineStr">
        <is>
          <t>https://lpjk.pu.go.id/search-badan-usaha-detail/RnA2QldNUncxZ2drWVB0K1JZMmpDdz09</t>
        </is>
      </c>
      <c r="F663" t="n">
        <v>4</v>
      </c>
      <c r="G663" t="inlineStr">
        <is>
          <t>BG003, BG009</t>
        </is>
      </c>
      <c r="H663" t="inlineStr">
        <is>
          <t>27 Agustus 2020</t>
        </is>
      </c>
      <c r="I663" s="2" t="n">
        <v>46277</v>
      </c>
      <c r="J663" t="inlineStr">
        <is>
          <t>Disetujui</t>
        </is>
      </c>
      <c r="K663" t="n">
        <v>30</v>
      </c>
      <c r="L663" t="inlineStr">
        <is>
          <t>12 September 2026</t>
        </is>
      </c>
      <c r="M663" t="inlineStr">
        <is>
          <t>Konstruksi Gedung Industri, Konstruksi Gedung Lainnya</t>
        </is>
      </c>
      <c r="N663" t="inlineStr">
        <is>
          <t>K</t>
        </is>
      </c>
      <c r="O663" t="inlineStr">
        <is>
          <t>20230906, N/A</t>
        </is>
      </c>
      <c r="P663" t="inlineStr">
        <is>
          <t>Jawa Timur</t>
        </is>
      </c>
      <c r="Q663" t="inlineStr"/>
    </row>
    <row r="664">
      <c r="A664" t="inlineStr">
        <is>
          <t>SUN LATIMOJONG</t>
        </is>
      </c>
      <c r="B664" t="inlineStr">
        <is>
          <t>Kota Palopo</t>
        </is>
      </c>
      <c r="C664" t="inlineStr">
        <is>
          <t>085255831966</t>
        </is>
      </c>
      <c r="D664" t="inlineStr">
        <is>
          <t>sapri.geta@yahoo.co.id</t>
        </is>
      </c>
      <c r="E664" t="inlineStr">
        <is>
          <t>https://lpjk.pu.go.id/search-badan-usaha-detail/dmhsZjBTbGlqTFc1bk5zU2x4NXFBZz09</t>
        </is>
      </c>
      <c r="F664" t="n">
        <v>1</v>
      </c>
      <c r="G664" t="inlineStr">
        <is>
          <t>BS001</t>
        </is>
      </c>
      <c r="H664" t="inlineStr">
        <is>
          <t>30 Agustus 2023</t>
        </is>
      </c>
      <c r="I664" s="2" t="n">
        <v>46281</v>
      </c>
      <c r="J664" t="inlineStr">
        <is>
          <t>Disetujui</t>
        </is>
      </c>
      <c r="K664" t="n">
        <v>30</v>
      </c>
      <c r="L664" t="inlineStr">
        <is>
          <t>16 September 2026</t>
        </is>
      </c>
      <c r="M664" t="inlineStr">
        <is>
          <t>Konstruksi Bangunan Sipil Jalan</t>
        </is>
      </c>
      <c r="N664" t="inlineStr">
        <is>
          <t>K</t>
        </is>
      </c>
      <c r="O664" t="inlineStr">
        <is>
          <t>20230916</t>
        </is>
      </c>
      <c r="P664" t="inlineStr">
        <is>
          <t>Sulawesi Selatan</t>
        </is>
      </c>
      <c r="Q664" t="inlineStr"/>
    </row>
    <row r="665">
      <c r="A665" t="inlineStr">
        <is>
          <t>SURYA ADHI DAYA</t>
        </is>
      </c>
      <c r="B665" t="inlineStr">
        <is>
          <t>Kota Surabaya</t>
        </is>
      </c>
      <c r="C665" t="inlineStr">
        <is>
          <t>081233433466</t>
        </is>
      </c>
      <c r="D665" t="inlineStr">
        <is>
          <t>suryaadhidaya@yahoo.com</t>
        </is>
      </c>
      <c r="E665" t="inlineStr">
        <is>
          <t>https://lpjk.pu.go.id/search-badan-usaha-detail/R1h4bGoxLzh2dElxSlpzeDl0QWlkZz09</t>
        </is>
      </c>
      <c r="F665" t="n">
        <v>1</v>
      </c>
      <c r="G665" t="inlineStr">
        <is>
          <t>BG001</t>
        </is>
      </c>
      <c r="H665" t="inlineStr">
        <is>
          <t>25 Juli 2023</t>
        </is>
      </c>
      <c r="I665" s="2" t="n">
        <v>46282</v>
      </c>
      <c r="J665" t="inlineStr">
        <is>
          <t>Disetujui</t>
        </is>
      </c>
      <c r="K665" t="n">
        <v>30</v>
      </c>
      <c r="L665" t="inlineStr">
        <is>
          <t>17 September 2026</t>
        </is>
      </c>
      <c r="M665" t="inlineStr">
        <is>
          <t>Konstruksi Gedung Hunian</t>
        </is>
      </c>
      <c r="N665" t="inlineStr">
        <is>
          <t>K</t>
        </is>
      </c>
      <c r="O665" t="inlineStr">
        <is>
          <t>20230918</t>
        </is>
      </c>
      <c r="P665" t="inlineStr">
        <is>
          <t>Jawa Timur</t>
        </is>
      </c>
      <c r="Q665" t="inlineStr"/>
    </row>
    <row r="666">
      <c r="A666" t="inlineStr">
        <is>
          <t>SURYA PERDANA MANDIRI</t>
        </is>
      </c>
      <c r="B666" t="inlineStr">
        <is>
          <t>Kab. Pandeglang</t>
        </is>
      </c>
      <c r="C666" t="inlineStr">
        <is>
          <t>081285757565</t>
        </is>
      </c>
      <c r="D666" t="inlineStr">
        <is>
          <t>cv.suryaperdanamandiri@yahoo.com</t>
        </is>
      </c>
      <c r="E666" t="inlineStr">
        <is>
          <t>https://lpjk.pu.go.id/search-badan-usaha-detail/Z1hYakNJaGVLczE3UEF3cFhuWEViUT09</t>
        </is>
      </c>
      <c r="F666" t="n">
        <v>1</v>
      </c>
      <c r="G666" t="inlineStr">
        <is>
          <t>BS004</t>
        </is>
      </c>
      <c r="H666" t="inlineStr">
        <is>
          <t>2 Maret 2015</t>
        </is>
      </c>
      <c r="I666" s="2" t="n">
        <v>46283</v>
      </c>
      <c r="J666" t="inlineStr">
        <is>
          <t>Disetujui</t>
        </is>
      </c>
      <c r="K666" t="n">
        <v>30</v>
      </c>
      <c r="L666" t="inlineStr">
        <is>
          <t>18 September 2026</t>
        </is>
      </c>
      <c r="M666" t="inlineStr">
        <is>
          <t>Konstruksi Jaringan Irigasi dan Drainase</t>
        </is>
      </c>
      <c r="N666" t="inlineStr">
        <is>
          <t>K</t>
        </is>
      </c>
      <c r="O666" t="inlineStr">
        <is>
          <t>20230915</t>
        </is>
      </c>
      <c r="P666" t="inlineStr">
        <is>
          <t>Banten</t>
        </is>
      </c>
      <c r="Q666" t="inlineStr"/>
    </row>
    <row r="667">
      <c r="A667" t="inlineStr">
        <is>
          <t>TAKALLUF ANDALAN PRATAMA</t>
        </is>
      </c>
      <c r="B667" t="inlineStr">
        <is>
          <t>Kab. Pangandaran</t>
        </is>
      </c>
      <c r="C667" t="inlineStr">
        <is>
          <t>08128006840</t>
        </is>
      </c>
      <c r="D667" t="inlineStr">
        <is>
          <t>maunk.cipicung@gmail.com</t>
        </is>
      </c>
      <c r="E667" t="inlineStr">
        <is>
          <t>https://lpjk.pu.go.id/search-badan-usaha-detail/SnNSVnViS3M4MkdkaWhhZW9xRFMzdz09</t>
        </is>
      </c>
      <c r="F667" t="n">
        <v>2</v>
      </c>
      <c r="G667" t="inlineStr">
        <is>
          <t>BG009</t>
        </is>
      </c>
      <c r="H667" t="inlineStr">
        <is>
          <t>16 November 2013</t>
        </is>
      </c>
      <c r="I667" s="2" t="n">
        <v>46278</v>
      </c>
      <c r="J667" t="inlineStr">
        <is>
          <t>Disetujui</t>
        </is>
      </c>
      <c r="K667" t="n">
        <v>30</v>
      </c>
      <c r="L667" t="inlineStr">
        <is>
          <t>13 September 2026</t>
        </is>
      </c>
      <c r="M667" t="inlineStr">
        <is>
          <t>Konstruksi Gedung Lainnya</t>
        </is>
      </c>
      <c r="N667" t="inlineStr">
        <is>
          <t>K</t>
        </is>
      </c>
      <c r="O667" t="inlineStr">
        <is>
          <t>20230911</t>
        </is>
      </c>
      <c r="P667" t="inlineStr">
        <is>
          <t>Jawa Barat</t>
        </is>
      </c>
      <c r="Q667" t="inlineStr"/>
    </row>
    <row r="668">
      <c r="A668" t="inlineStr">
        <is>
          <t>TATA GEMA PERSADA</t>
        </is>
      </c>
      <c r="B668" t="inlineStr">
        <is>
          <t>Kab. Pasuruan</t>
        </is>
      </c>
      <c r="C668" t="inlineStr">
        <is>
          <t>0</t>
        </is>
      </c>
      <c r="D668" t="inlineStr">
        <is>
          <t>tatagema220@gmail.com</t>
        </is>
      </c>
      <c r="E668" t="inlineStr">
        <is>
          <t>https://lpjk.pu.go.id/search-badan-usaha-detail/bGtUWXdSMTJoUmdMblpTRmFPTk54QT09</t>
        </is>
      </c>
      <c r="F668" t="n">
        <v>1</v>
      </c>
      <c r="G668" t="inlineStr">
        <is>
          <t>BS001</t>
        </is>
      </c>
      <c r="H668" t="inlineStr">
        <is>
          <t>14 Februari 2007</t>
        </is>
      </c>
      <c r="I668" s="2" t="n">
        <v>46277</v>
      </c>
      <c r="J668" t="inlineStr">
        <is>
          <t>Disetujui</t>
        </is>
      </c>
      <c r="K668" t="n">
        <v>30</v>
      </c>
      <c r="L668" t="inlineStr">
        <is>
          <t>12 September 2026</t>
        </is>
      </c>
      <c r="M668" t="inlineStr">
        <is>
          <t>Konstruksi Bangunan Sipil Jalan</t>
        </is>
      </c>
      <c r="N668" t="inlineStr">
        <is>
          <t>K</t>
        </is>
      </c>
      <c r="O668" t="inlineStr">
        <is>
          <t>20230909</t>
        </is>
      </c>
      <c r="P668" t="inlineStr">
        <is>
          <t>Jawa Timur</t>
        </is>
      </c>
      <c r="Q668" t="inlineStr"/>
    </row>
    <row r="669">
      <c r="A669" t="inlineStr">
        <is>
          <t>TEGAR RAJAWALI PERKASA</t>
        </is>
      </c>
      <c r="B669" t="inlineStr">
        <is>
          <t>Kab. Landak</t>
        </is>
      </c>
      <c r="C669" t="inlineStr">
        <is>
          <t>082270223137</t>
        </is>
      </c>
      <c r="D669" t="inlineStr">
        <is>
          <t>pt.tegarrajawali137@gmail.com</t>
        </is>
      </c>
      <c r="E669" t="inlineStr">
        <is>
          <t>https://lpjk.pu.go.id/search-badan-usaha-detail/MGl1c3E3WmtGbHpPaVc2UWVpbG8xdz09</t>
        </is>
      </c>
      <c r="F669" t="n">
        <v>1</v>
      </c>
      <c r="G669" t="inlineStr">
        <is>
          <t>BS004</t>
        </is>
      </c>
      <c r="H669" t="inlineStr">
        <is>
          <t>1 April 2006</t>
        </is>
      </c>
      <c r="I669" s="2" t="n">
        <v>46283</v>
      </c>
      <c r="J669" t="inlineStr">
        <is>
          <t>Disetujui</t>
        </is>
      </c>
      <c r="K669" t="n">
        <v>30</v>
      </c>
      <c r="L669" t="inlineStr">
        <is>
          <t>18 September 2026</t>
        </is>
      </c>
      <c r="M669" t="inlineStr">
        <is>
          <t>Konstruksi Jaringan Irigasi dan Drainase</t>
        </is>
      </c>
      <c r="N669" t="inlineStr">
        <is>
          <t>K</t>
        </is>
      </c>
      <c r="O669" t="inlineStr">
        <is>
          <t>20230914</t>
        </is>
      </c>
      <c r="P669" t="inlineStr">
        <is>
          <t>Kalimantan Barat</t>
        </is>
      </c>
      <c r="Q669" t="inlineStr"/>
    </row>
    <row r="670">
      <c r="A670" t="inlineStr">
        <is>
          <t>TELATENIKA JAYA</t>
        </is>
      </c>
      <c r="B670" t="inlineStr">
        <is>
          <t>Kab. Cirebon</t>
        </is>
      </c>
      <c r="C670" t="inlineStr">
        <is>
          <t>0231205504</t>
        </is>
      </c>
      <c r="D670" t="inlineStr">
        <is>
          <t>telatenika@yahoo.co.id</t>
        </is>
      </c>
      <c r="E670" t="inlineStr">
        <is>
          <t>https://lpjk.pu.go.id/search-badan-usaha-detail/T0ZKT1NIbitveS9tRkdKWnhodGhSdz09</t>
        </is>
      </c>
      <c r="F670" t="n">
        <v>2</v>
      </c>
      <c r="G670" t="inlineStr">
        <is>
          <t>BS002, BS003</t>
        </is>
      </c>
      <c r="H670" t="inlineStr">
        <is>
          <t>24 April 2008</t>
        </is>
      </c>
      <c r="I670" s="2" t="n">
        <v>46277</v>
      </c>
      <c r="J670" t="inlineStr">
        <is>
          <t>Pembekuan</t>
        </is>
      </c>
      <c r="K670" t="n">
        <v>30</v>
      </c>
      <c r="L670" t="inlineStr">
        <is>
          <t>12 September 2026</t>
        </is>
      </c>
      <c r="M670" t="inlineStr">
        <is>
          <t>Bangunan Sipil Jembatan, Jalan Layang, Fly Over, dan Underpass, Konstruksi Jalan Rel</t>
        </is>
      </c>
      <c r="N670" t="inlineStr">
        <is>
          <t>M</t>
        </is>
      </c>
      <c r="O670" t="inlineStr">
        <is>
          <t>20230910, 20230911</t>
        </is>
      </c>
      <c r="P670" t="inlineStr">
        <is>
          <t>Jawa Barat</t>
        </is>
      </c>
      <c r="Q670" t="inlineStr"/>
    </row>
    <row r="671">
      <c r="A671" t="inlineStr">
        <is>
          <t>TERATAI INDAH CEMERLANG</t>
        </is>
      </c>
      <c r="B671" t="inlineStr">
        <is>
          <t>Kab. Kutai Timur</t>
        </is>
      </c>
      <c r="C671" t="inlineStr">
        <is>
          <t>081352579999</t>
        </is>
      </c>
      <c r="D671" t="inlineStr">
        <is>
          <t>pt.terataiindahcemerlang@gmail.com</t>
        </is>
      </c>
      <c r="E671" t="inlineStr">
        <is>
          <t>https://lpjk.pu.go.id/search-badan-usaha-detail/blVNUUVRWmFMSVhzdkh2bVZKVGd6dz09</t>
        </is>
      </c>
      <c r="F671" t="n">
        <v>2</v>
      </c>
      <c r="G671" t="inlineStr">
        <is>
          <t>BG006, BG009</t>
        </is>
      </c>
      <c r="H671" t="inlineStr">
        <is>
          <t>10 Mei 2021</t>
        </is>
      </c>
      <c r="I671" s="2" t="n">
        <v>46277</v>
      </c>
      <c r="J671" t="inlineStr">
        <is>
          <t>Disetujui</t>
        </is>
      </c>
      <c r="K671" t="n">
        <v>30</v>
      </c>
      <c r="L671" t="inlineStr">
        <is>
          <t>12 September 2026</t>
        </is>
      </c>
      <c r="M671" t="inlineStr">
        <is>
          <t>Konstruksi Gedung Lainnya, Konstruksi Gedung Pendidikan</t>
        </is>
      </c>
      <c r="N671" t="inlineStr">
        <is>
          <t>K</t>
        </is>
      </c>
      <c r="O671" t="inlineStr">
        <is>
          <t>20230912</t>
        </is>
      </c>
      <c r="P671" t="inlineStr">
        <is>
          <t>Kalimantan Timur</t>
        </is>
      </c>
      <c r="Q671" t="inlineStr"/>
    </row>
    <row r="672">
      <c r="A672" t="inlineStr">
        <is>
          <t>THOMAS ADITYA JAYA ABADI</t>
        </is>
      </c>
      <c r="B672" t="inlineStr">
        <is>
          <t>Kab. Karawang</t>
        </is>
      </c>
      <c r="C672" t="inlineStr">
        <is>
          <t>087773175590</t>
        </is>
      </c>
      <c r="D672" t="inlineStr">
        <is>
          <t>cv.thomasaja1@gmail.com</t>
        </is>
      </c>
      <c r="E672" t="inlineStr">
        <is>
          <t>https://lpjk.pu.go.id/search-badan-usaha-detail/ZzJBL3pEcm92YUxoa205VTM1RkY5UT09</t>
        </is>
      </c>
      <c r="F672" t="n">
        <v>4</v>
      </c>
      <c r="G672" t="inlineStr">
        <is>
          <t>BG006, BG009, BS001, BS004</t>
        </is>
      </c>
      <c r="H672" t="inlineStr">
        <is>
          <t>31 Agustus 2023</t>
        </is>
      </c>
      <c r="I672" s="2" t="n">
        <v>46278</v>
      </c>
      <c r="J672" t="inlineStr">
        <is>
          <t>Disetujui</t>
        </is>
      </c>
      <c r="K672" t="n">
        <v>30</v>
      </c>
      <c r="L672" t="inlineStr">
        <is>
          <t>13 September 2026</t>
        </is>
      </c>
      <c r="M672" t="inlineStr">
        <is>
          <t>Konstruksi Bangunan Sipil Jalan, Konstruksi Gedung Lainnya, Konstruksi Gedung Pendidikan, Konstruksi Jaringan Irigasi dan Drainase</t>
        </is>
      </c>
      <c r="N672" t="inlineStr">
        <is>
          <t>K</t>
        </is>
      </c>
      <c r="O672" t="inlineStr">
        <is>
          <t>20230913</t>
        </is>
      </c>
      <c r="P672" t="inlineStr">
        <is>
          <t>Jawa Barat</t>
        </is>
      </c>
      <c r="Q672" t="inlineStr"/>
    </row>
    <row r="673">
      <c r="A673" t="inlineStr">
        <is>
          <t>TIANJIN DEGONG CONSTRUCTION ENGINEERING CO., LTD</t>
        </is>
      </c>
      <c r="B673" t="inlineStr">
        <is>
          <t>Kota Adm. Jakarta Utara</t>
        </is>
      </c>
      <c r="C673" t="inlineStr">
        <is>
          <t>13932939699</t>
        </is>
      </c>
      <c r="D673" t="inlineStr">
        <is>
          <t>13932939699@139.com</t>
        </is>
      </c>
      <c r="E673" t="inlineStr">
        <is>
          <t>https://lpjk.pu.go.id/search-badan-usaha-detail/UFg4T0VSVVgvckEyQVR3YzhpTnZVUT09</t>
        </is>
      </c>
      <c r="F673" t="n">
        <v>1</v>
      </c>
      <c r="G673" t="inlineStr">
        <is>
          <t>BG003</t>
        </is>
      </c>
      <c r="H673" t="inlineStr">
        <is>
          <t>10 Juni 2021</t>
        </is>
      </c>
      <c r="I673" s="2" t="n">
        <v>46277</v>
      </c>
      <c r="J673" t="inlineStr">
        <is>
          <t>Disetujui</t>
        </is>
      </c>
      <c r="K673" t="n">
        <v>30</v>
      </c>
      <c r="L673" t="inlineStr">
        <is>
          <t>12 September 2026</t>
        </is>
      </c>
      <c r="M673" t="inlineStr">
        <is>
          <t>Konstruksi Gedung Industri</t>
        </is>
      </c>
      <c r="N673" t="inlineStr">
        <is>
          <t>B</t>
        </is>
      </c>
      <c r="O673" t="inlineStr">
        <is>
          <t>20230905</t>
        </is>
      </c>
      <c r="P673" t="inlineStr">
        <is>
          <t>DKI Jakarta</t>
        </is>
      </c>
      <c r="Q673" t="inlineStr"/>
    </row>
    <row r="674">
      <c r="A674" t="inlineStr">
        <is>
          <t>TIGA DARA MANDIRI</t>
        </is>
      </c>
      <c r="B674" t="inlineStr">
        <is>
          <t>Kab. Bandung Barat</t>
        </is>
      </c>
      <c r="C674" t="inlineStr">
        <is>
          <t>087821095105</t>
        </is>
      </c>
      <c r="D674" t="inlineStr">
        <is>
          <t>cv.tigadaramandiri@gmail.com</t>
        </is>
      </c>
      <c r="E674" t="inlineStr">
        <is>
          <t>https://lpjk.pu.go.id/search-badan-usaha-detail/Y0syZncwNnFaOTJsYkYwT2RQTzlMUT09</t>
        </is>
      </c>
      <c r="F674" t="n">
        <v>3</v>
      </c>
      <c r="G674" t="inlineStr">
        <is>
          <t>BG006, BG009, BS004</t>
        </is>
      </c>
      <c r="H674" t="inlineStr">
        <is>
          <t>24 Januari 2019</t>
        </is>
      </c>
      <c r="I674" s="2" t="n">
        <v>46279</v>
      </c>
      <c r="J674" t="inlineStr">
        <is>
          <t>Disetujui</t>
        </is>
      </c>
      <c r="K674" t="n">
        <v>30</v>
      </c>
      <c r="L674" t="inlineStr">
        <is>
          <t>14 September 2026</t>
        </is>
      </c>
      <c r="M674" t="inlineStr">
        <is>
          <t>Konstruksi Gedung Lainnya, Konstruksi Gedung Pendidikan, Konstruksi Jaringan Irigasi dan Drainase</t>
        </is>
      </c>
      <c r="N674" t="inlineStr">
        <is>
          <t>K</t>
        </is>
      </c>
      <c r="O674" t="inlineStr">
        <is>
          <t>20230914</t>
        </is>
      </c>
      <c r="P674" t="inlineStr">
        <is>
          <t>Jawa Barat</t>
        </is>
      </c>
      <c r="Q674" t="inlineStr"/>
    </row>
    <row r="675">
      <c r="A675" t="inlineStr">
        <is>
          <t>TIGA PUTRA</t>
        </is>
      </c>
      <c r="B675" t="inlineStr">
        <is>
          <t>Kab. Banjarnegara</t>
        </is>
      </c>
      <c r="C675" t="inlineStr">
        <is>
          <t>089665674878</t>
        </is>
      </c>
      <c r="D675" t="inlineStr">
        <is>
          <t>cv_tigaputra93@yahoo.com</t>
        </is>
      </c>
      <c r="E675" t="inlineStr">
        <is>
          <t>https://lpjk.pu.go.id/search-badan-usaha-detail/ekJtcDFUVnNaYTNSSjFPeitZQVRBZz09</t>
        </is>
      </c>
      <c r="F675" t="n">
        <v>5</v>
      </c>
      <c r="G675" t="inlineStr">
        <is>
          <t>BG001, BG002, BG006, BG009, BS001</t>
        </is>
      </c>
      <c r="H675" t="inlineStr">
        <is>
          <t>5 April 2013</t>
        </is>
      </c>
      <c r="I675" s="2" t="n">
        <v>46278</v>
      </c>
      <c r="J675" t="inlineStr">
        <is>
          <t>Disetujui</t>
        </is>
      </c>
      <c r="K675" t="n">
        <v>30</v>
      </c>
      <c r="L675" t="inlineStr">
        <is>
          <t>13 September 2026</t>
        </is>
      </c>
      <c r="M675" t="inlineStr">
        <is>
          <t>Konstruksi Bangunan Sipil Jalan, Konstruksi Gedung Hunian, Konstruksi Gedung Lainnya, Konstruksi Gedung Pendidikan, Konstruksi Gedung Perkantoran</t>
        </is>
      </c>
      <c r="N675" t="inlineStr">
        <is>
          <t>K</t>
        </is>
      </c>
      <c r="O675" t="inlineStr">
        <is>
          <t>20230907, 20230908</t>
        </is>
      </c>
      <c r="P675" t="inlineStr">
        <is>
          <t>Jawa Tengah</t>
        </is>
      </c>
      <c r="Q675" t="inlineStr"/>
    </row>
    <row r="676">
      <c r="A676" t="inlineStr">
        <is>
          <t>TIGA PUTRA</t>
        </is>
      </c>
      <c r="B676" t="inlineStr">
        <is>
          <t>Kab. Jember</t>
        </is>
      </c>
      <c r="C676" t="inlineStr">
        <is>
          <t>081294477575</t>
        </is>
      </c>
      <c r="D676" t="inlineStr">
        <is>
          <t>putra.hairul@yahoo.com</t>
        </is>
      </c>
      <c r="E676" t="inlineStr">
        <is>
          <t>https://lpjk.pu.go.id/search-badan-usaha-detail/ZGFCckgwTmdlWXQxaUtqWWt6c3YyUT09</t>
        </is>
      </c>
      <c r="F676" t="n">
        <v>1</v>
      </c>
      <c r="G676" t="inlineStr">
        <is>
          <t>BS001</t>
        </is>
      </c>
      <c r="H676" t="inlineStr">
        <is>
          <t>26 Februari 1997</t>
        </is>
      </c>
      <c r="I676" s="2" t="n">
        <v>46280</v>
      </c>
      <c r="J676" t="inlineStr">
        <is>
          <t>Disetujui</t>
        </is>
      </c>
      <c r="K676" t="n">
        <v>30</v>
      </c>
      <c r="L676" t="inlineStr">
        <is>
          <t>15 September 2026</t>
        </is>
      </c>
      <c r="M676" t="inlineStr">
        <is>
          <t>Konstruksi Bangunan Sipil Jalan</t>
        </is>
      </c>
      <c r="N676" t="inlineStr">
        <is>
          <t>K</t>
        </is>
      </c>
      <c r="O676" t="inlineStr">
        <is>
          <t>20230915</t>
        </is>
      </c>
      <c r="P676" t="inlineStr">
        <is>
          <t>Jawa Timur</t>
        </is>
      </c>
      <c r="Q676" t="inlineStr"/>
    </row>
    <row r="677">
      <c r="A677" t="inlineStr">
        <is>
          <t>TIGA PUTRA MOPA</t>
        </is>
      </c>
      <c r="B677" t="inlineStr">
        <is>
          <t>Kab. Konawe Utara</t>
        </is>
      </c>
      <c r="C677" t="inlineStr">
        <is>
          <t>085255504011</t>
        </is>
      </c>
      <c r="D677" t="inlineStr">
        <is>
          <t>cv.tigaputramorpa@gmail.com</t>
        </is>
      </c>
      <c r="E677" t="inlineStr">
        <is>
          <t>https://lpjk.pu.go.id/search-badan-usaha-detail/R09TVU8vNExrMXpvS0h5YWlRZGZFdz09</t>
        </is>
      </c>
      <c r="F677" t="n">
        <v>1</v>
      </c>
      <c r="G677" t="inlineStr">
        <is>
          <t>BG002</t>
        </is>
      </c>
      <c r="H677" t="inlineStr">
        <is>
          <t>31 Maret 2023</t>
        </is>
      </c>
      <c r="I677" s="2" t="n">
        <v>46283</v>
      </c>
      <c r="J677" t="inlineStr">
        <is>
          <t>Disetujui</t>
        </is>
      </c>
      <c r="K677" t="n">
        <v>30</v>
      </c>
      <c r="L677" t="inlineStr">
        <is>
          <t>18 September 2026</t>
        </is>
      </c>
      <c r="M677" t="inlineStr">
        <is>
          <t>Konstruksi Gedung Perkantoran</t>
        </is>
      </c>
      <c r="N677" t="inlineStr">
        <is>
          <t>K</t>
        </is>
      </c>
      <c r="O677" t="inlineStr">
        <is>
          <t>20230805</t>
        </is>
      </c>
      <c r="P677" t="inlineStr">
        <is>
          <t>Sulawesi Tenggara</t>
        </is>
      </c>
      <c r="Q677" t="inlineStr"/>
    </row>
    <row r="678">
      <c r="A678" t="inlineStr">
        <is>
          <t>TIGA TIGA TUJUH CONSULTANT</t>
        </is>
      </c>
      <c r="B678" t="inlineStr">
        <is>
          <t>Kota Makassar</t>
        </is>
      </c>
      <c r="C678" t="inlineStr">
        <is>
          <t>085399098839</t>
        </is>
      </c>
      <c r="D678" t="inlineStr">
        <is>
          <t>tiga3tujuh.consultant@gmail.com</t>
        </is>
      </c>
      <c r="E678" t="inlineStr">
        <is>
          <t>https://lpjk.pu.go.id/search-badan-usaha-detail/YzkzQTRUOXRGQkVZS1JnZkVLR3k1dz09</t>
        </is>
      </c>
      <c r="F678" t="n">
        <v>1</v>
      </c>
      <c r="G678" t="inlineStr">
        <is>
          <t>AR002</t>
        </is>
      </c>
      <c r="H678" t="inlineStr">
        <is>
          <t>22 Februari 2016</t>
        </is>
      </c>
      <c r="I678" s="2" t="n">
        <v>46282</v>
      </c>
      <c r="J678" t="inlineStr">
        <is>
          <t>Disetujui</t>
        </is>
      </c>
      <c r="K678" t="n">
        <v>30</v>
      </c>
      <c r="L678" t="inlineStr">
        <is>
          <t>17 September 2026</t>
        </is>
      </c>
      <c r="M678" t="inlineStr">
        <is>
          <t>Jasa Arsitektural Lainnya</t>
        </is>
      </c>
      <c r="N678" t="inlineStr">
        <is>
          <t>K</t>
        </is>
      </c>
      <c r="O678" t="inlineStr">
        <is>
          <t>20230904</t>
        </is>
      </c>
      <c r="P678" t="inlineStr">
        <is>
          <t>Sulawesi Selatan</t>
        </is>
      </c>
      <c r="Q678" t="inlineStr"/>
    </row>
    <row r="679">
      <c r="A679" t="inlineStr">
        <is>
          <t>TIGA UTAMA</t>
        </is>
      </c>
      <c r="B679" t="inlineStr">
        <is>
          <t>Kab. Indramayu</t>
        </is>
      </c>
      <c r="C679" t="inlineStr">
        <is>
          <t>087828986040</t>
        </is>
      </c>
      <c r="D679" t="inlineStr">
        <is>
          <t>tigautama194@yahoo.com</t>
        </is>
      </c>
      <c r="E679" t="inlineStr">
        <is>
          <t>https://lpjk.pu.go.id/search-badan-usaha-detail/QzkxR3VGMncxcUhQcTNGVUFIYTFUdz09</t>
        </is>
      </c>
      <c r="F679" t="n">
        <v>3</v>
      </c>
      <c r="G679" t="inlineStr">
        <is>
          <t>BG005, BG006, BG009</t>
        </is>
      </c>
      <c r="H679" t="inlineStr">
        <is>
          <t>2 Oktober 2002</t>
        </is>
      </c>
      <c r="I679" s="2" t="n">
        <v>46282</v>
      </c>
      <c r="J679" t="inlineStr">
        <is>
          <t>Disetujui</t>
        </is>
      </c>
      <c r="K679" t="n">
        <v>30</v>
      </c>
      <c r="L679" t="inlineStr">
        <is>
          <t>17 September 2026</t>
        </is>
      </c>
      <c r="M679" t="inlineStr">
        <is>
          <t>Konstruksi Gedung Kesehatan, Konstruksi Gedung Lainnya, Konstruksi Gedung Pendidikan</t>
        </is>
      </c>
      <c r="N679" t="inlineStr">
        <is>
          <t>K</t>
        </is>
      </c>
      <c r="O679" t="inlineStr">
        <is>
          <t>20230915</t>
        </is>
      </c>
      <c r="P679" t="inlineStr">
        <is>
          <t>Jawa Barat</t>
        </is>
      </c>
      <c r="Q679" t="inlineStr"/>
    </row>
    <row r="680">
      <c r="A680" t="inlineStr">
        <is>
          <t>TIMUR MAKMUR</t>
        </is>
      </c>
      <c r="B680" t="inlineStr">
        <is>
          <t>Kab. Kayong Utara</t>
        </is>
      </c>
      <c r="C680" t="inlineStr">
        <is>
          <t>089612562728</t>
        </is>
      </c>
      <c r="D680" t="inlineStr">
        <is>
          <t>afizahmuntaz@gmail.com</t>
        </is>
      </c>
      <c r="E680" t="inlineStr">
        <is>
          <t>https://lpjk.pu.go.id/search-badan-usaha-detail/QnhIZUNKZzhTWEswZWN3SUE3UFgrdz09</t>
        </is>
      </c>
      <c r="F680" t="n">
        <v>5</v>
      </c>
      <c r="G680" t="inlineStr">
        <is>
          <t>BG001, BG009, BS001, BS002, BS004</t>
        </is>
      </c>
      <c r="H680" t="inlineStr">
        <is>
          <t>11 Januari 2008</t>
        </is>
      </c>
      <c r="I680" s="2" t="n">
        <v>46279</v>
      </c>
      <c r="J680" t="inlineStr">
        <is>
          <t>Disetujui</t>
        </is>
      </c>
      <c r="K680" t="n">
        <v>30</v>
      </c>
      <c r="L680" t="inlineStr">
        <is>
          <t>14 September 2026</t>
        </is>
      </c>
      <c r="M680" t="inlineStr">
        <is>
          <t>Bangunan Sipil Jembatan, Jalan Layang, Fly Over, dan Underpass, Konstruksi Bangunan Sipil Jalan, Konstruksi Gedung Hunian, Konstruksi Gedung Lainnya, Konstruksi Jaringan Irigasi dan Drainase</t>
        </is>
      </c>
      <c r="N680" t="inlineStr">
        <is>
          <t>K</t>
        </is>
      </c>
      <c r="O680" t="inlineStr">
        <is>
          <t>20230824, 20230825, 20230907</t>
        </is>
      </c>
      <c r="P680" t="inlineStr">
        <is>
          <t>Kalimantan Barat</t>
        </is>
      </c>
      <c r="Q680" t="inlineStr"/>
    </row>
    <row r="681">
      <c r="A681" t="inlineStr">
        <is>
          <t>TIRTA ARUM MESARI</t>
        </is>
      </c>
      <c r="B681" t="inlineStr">
        <is>
          <t>Kab. Bangli</t>
        </is>
      </c>
      <c r="C681" t="inlineStr">
        <is>
          <t>03665502840</t>
        </is>
      </c>
      <c r="D681" t="inlineStr">
        <is>
          <t>pttirtaarummesari@gmail.com</t>
        </is>
      </c>
      <c r="E681" t="inlineStr">
        <is>
          <t>https://lpjk.pu.go.id/search-badan-usaha-detail/MGFTYVJyWmFPMlJDWWp0TWQrejJzdz09</t>
        </is>
      </c>
      <c r="F681" t="n">
        <v>1</v>
      </c>
      <c r="G681" t="inlineStr">
        <is>
          <t>BS001</t>
        </is>
      </c>
      <c r="H681" t="inlineStr">
        <is>
          <t>10 Juli 2004</t>
        </is>
      </c>
      <c r="I681" s="2" t="n">
        <v>46279</v>
      </c>
      <c r="J681" t="inlineStr">
        <is>
          <t>Disetujui</t>
        </is>
      </c>
      <c r="K681" t="n">
        <v>30</v>
      </c>
      <c r="L681" t="inlineStr">
        <is>
          <t>14 September 2026</t>
        </is>
      </c>
      <c r="M681" t="inlineStr">
        <is>
          <t>Konstruksi Bangunan Sipil Jalan</t>
        </is>
      </c>
      <c r="N681" t="inlineStr">
        <is>
          <t>K</t>
        </is>
      </c>
      <c r="O681" t="inlineStr">
        <is>
          <t>20230816</t>
        </is>
      </c>
      <c r="P681" t="inlineStr">
        <is>
          <t>Bali</t>
        </is>
      </c>
      <c r="Q681" t="inlineStr"/>
    </row>
    <row r="682">
      <c r="A682" t="inlineStr">
        <is>
          <t>TIRTA HARUM</t>
        </is>
      </c>
      <c r="B682" t="inlineStr">
        <is>
          <t>Kab. Karangasem</t>
        </is>
      </c>
      <c r="C682" t="inlineStr">
        <is>
          <t>08123913947</t>
        </is>
      </c>
      <c r="D682" t="inlineStr">
        <is>
          <t>tirtaharum16@yahoo.com</t>
        </is>
      </c>
      <c r="E682" t="inlineStr">
        <is>
          <t>https://lpjk.pu.go.id/search-badan-usaha-detail/MFdXTkNXNGhqVit3c2FjRUJwRE5xZz09</t>
        </is>
      </c>
      <c r="F682" t="n">
        <v>1</v>
      </c>
      <c r="G682" t="inlineStr">
        <is>
          <t>BS001</t>
        </is>
      </c>
      <c r="H682" t="inlineStr">
        <is>
          <t>24 Juni 1993</t>
        </is>
      </c>
      <c r="I682" s="2" t="n">
        <v>46278</v>
      </c>
      <c r="J682" t="inlineStr">
        <is>
          <t>Disetujui</t>
        </is>
      </c>
      <c r="K682" t="n">
        <v>30</v>
      </c>
      <c r="L682" t="inlineStr">
        <is>
          <t>13 September 2026</t>
        </is>
      </c>
      <c r="M682" t="inlineStr">
        <is>
          <t>Konstruksi Bangunan Sipil Jalan</t>
        </is>
      </c>
      <c r="N682" t="inlineStr">
        <is>
          <t>K</t>
        </is>
      </c>
      <c r="O682" t="inlineStr">
        <is>
          <t>20230620</t>
        </is>
      </c>
      <c r="P682" t="inlineStr">
        <is>
          <t>Bali</t>
        </is>
      </c>
      <c r="Q682" t="inlineStr"/>
    </row>
    <row r="683">
      <c r="A683" t="inlineStr">
        <is>
          <t>TIRTA MULIA</t>
        </is>
      </c>
      <c r="B683" t="inlineStr">
        <is>
          <t>Kab. Banggai Laut</t>
        </is>
      </c>
      <c r="C683" t="inlineStr">
        <is>
          <t>085341463994</t>
        </is>
      </c>
      <c r="D683" t="inlineStr">
        <is>
          <t>tirtamulia.cv@gmail.com</t>
        </is>
      </c>
      <c r="E683" t="inlineStr">
        <is>
          <t>https://lpjk.pu.go.id/search-badan-usaha-detail/SWo0QWY5T2xuWktDbkJzaTBIbmVsdz09</t>
        </is>
      </c>
      <c r="F683" t="n">
        <v>2</v>
      </c>
      <c r="G683" t="inlineStr">
        <is>
          <t>BG002, BG009</t>
        </is>
      </c>
      <c r="H683" t="inlineStr">
        <is>
          <t>24 Mei 2004</t>
        </is>
      </c>
      <c r="I683" s="2" t="n">
        <v>46282</v>
      </c>
      <c r="J683" t="inlineStr">
        <is>
          <t>Disetujui</t>
        </is>
      </c>
      <c r="K683" t="n">
        <v>30</v>
      </c>
      <c r="L683" t="inlineStr">
        <is>
          <t>17 September 2026</t>
        </is>
      </c>
      <c r="M683" t="inlineStr">
        <is>
          <t>Konstruksi Gedung Lainnya, Konstruksi Gedung Perkantoran</t>
        </is>
      </c>
      <c r="N683" t="inlineStr">
        <is>
          <t>K</t>
        </is>
      </c>
      <c r="O683" t="inlineStr">
        <is>
          <t>20230918</t>
        </is>
      </c>
      <c r="P683" t="inlineStr">
        <is>
          <t>Sulawesi Tengah</t>
        </is>
      </c>
      <c r="Q683" t="inlineStr"/>
    </row>
    <row r="684">
      <c r="A684" t="inlineStr">
        <is>
          <t>TIRTA UTAMA KONSTRUKSI</t>
        </is>
      </c>
      <c r="B684" t="inlineStr">
        <is>
          <t>Kab. Lombok Tengah</t>
        </is>
      </c>
      <c r="C684" t="inlineStr">
        <is>
          <t>081805554141</t>
        </is>
      </c>
      <c r="D684" t="inlineStr">
        <is>
          <t>tirtautamakonstruksi@gmail.com</t>
        </is>
      </c>
      <c r="E684" t="inlineStr">
        <is>
          <t>https://lpjk.pu.go.id/search-badan-usaha-detail/ZTNsNzFjUXpOcllVRzFYbGdZWURWUT09</t>
        </is>
      </c>
      <c r="F684" t="n">
        <v>2</v>
      </c>
      <c r="G684" t="inlineStr">
        <is>
          <t>BS001, BS004</t>
        </is>
      </c>
      <c r="H684" t="inlineStr">
        <is>
          <t>3 Agustus 2023</t>
        </is>
      </c>
      <c r="I684" s="2" t="n">
        <v>46280</v>
      </c>
      <c r="J684" t="inlineStr">
        <is>
          <t>Disetujui</t>
        </is>
      </c>
      <c r="K684" t="n">
        <v>30</v>
      </c>
      <c r="L684" t="inlineStr">
        <is>
          <t>15 September 2026</t>
        </is>
      </c>
      <c r="M684" t="inlineStr">
        <is>
          <t>Konstruksi Bangunan Sipil Jalan, Konstruksi Jaringan Irigasi dan Drainase</t>
        </is>
      </c>
      <c r="N684" t="inlineStr">
        <is>
          <t>K</t>
        </is>
      </c>
      <c r="O684" t="inlineStr">
        <is>
          <t>20230914, 20230918</t>
        </is>
      </c>
      <c r="P684" t="inlineStr">
        <is>
          <t>Nusa Tenggara Barat</t>
        </is>
      </c>
      <c r="Q684" t="inlineStr"/>
    </row>
    <row r="685">
      <c r="A685" t="inlineStr">
        <is>
          <t>TITANIA CIPTA KONSULTAN</t>
        </is>
      </c>
      <c r="B685" t="inlineStr">
        <is>
          <t>Kota Palembang</t>
        </is>
      </c>
      <c r="C685" t="inlineStr">
        <is>
          <t>0812-7126-371</t>
        </is>
      </c>
      <c r="D685" t="inlineStr">
        <is>
          <t>titaniaciptakonsultan@gmail.com</t>
        </is>
      </c>
      <c r="E685" t="inlineStr">
        <is>
          <t>https://lpjk.pu.go.id/search-badan-usaha-detail/c05uY3cxUDFYK1pqVGsxZy9rTWxmZz09</t>
        </is>
      </c>
      <c r="F685" t="n">
        <v>1</v>
      </c>
      <c r="G685" t="inlineStr">
        <is>
          <t>RK003</t>
        </is>
      </c>
      <c r="H685" t="inlineStr">
        <is>
          <t>12 Desember 2006</t>
        </is>
      </c>
      <c r="I685" s="2" t="n">
        <v>46277</v>
      </c>
      <c r="J685" t="inlineStr">
        <is>
          <t>Disetujui</t>
        </is>
      </c>
      <c r="K685" t="n">
        <v>30</v>
      </c>
      <c r="L685" t="inlineStr">
        <is>
          <t>12 September 2026</t>
        </is>
      </c>
      <c r="M685" t="inlineStr">
        <is>
          <t>Jasa Rekayasa Pekerjaan Teknik Sipil Transportasi</t>
        </is>
      </c>
      <c r="N685" t="inlineStr">
        <is>
          <t>K</t>
        </is>
      </c>
      <c r="O685" t="inlineStr">
        <is>
          <t>20230905</t>
        </is>
      </c>
      <c r="P685" t="inlineStr">
        <is>
          <t>Sumatera Selatan</t>
        </is>
      </c>
      <c r="Q685" t="inlineStr"/>
    </row>
    <row r="686">
      <c r="A686" t="inlineStr">
        <is>
          <t>TITIAN JATI</t>
        </is>
      </c>
      <c r="B686" t="inlineStr">
        <is>
          <t>Kab. Lombok Barat</t>
        </is>
      </c>
      <c r="C686" t="inlineStr">
        <is>
          <t>081907066440</t>
        </is>
      </c>
      <c r="D686" t="inlineStr">
        <is>
          <t>titianjati.cv@gmail.com</t>
        </is>
      </c>
      <c r="E686" t="inlineStr">
        <is>
          <t>https://lpjk.pu.go.id/search-badan-usaha-detail/K3dieVJrMW53eGdKMFNmY0lZLzQ2dz09</t>
        </is>
      </c>
      <c r="F686" t="n">
        <v>2</v>
      </c>
      <c r="G686" t="inlineStr">
        <is>
          <t>BG006</t>
        </is>
      </c>
      <c r="H686" t="inlineStr">
        <is>
          <t>12 Desember 1998</t>
        </is>
      </c>
      <c r="I686" s="2" t="n">
        <v>46282</v>
      </c>
      <c r="J686" t="inlineStr">
        <is>
          <t>Disetujui</t>
        </is>
      </c>
      <c r="K686" t="n">
        <v>30</v>
      </c>
      <c r="L686" t="inlineStr">
        <is>
          <t>17 September 2026</t>
        </is>
      </c>
      <c r="M686" t="inlineStr">
        <is>
          <t>Konstruksi Gedung Pendidikan</t>
        </is>
      </c>
      <c r="N686" t="inlineStr">
        <is>
          <t>K</t>
        </is>
      </c>
      <c r="O686" t="inlineStr">
        <is>
          <t>20230913</t>
        </is>
      </c>
      <c r="P686" t="inlineStr">
        <is>
          <t>Nusa Tenggara Barat</t>
        </is>
      </c>
      <c r="Q686" t="inlineStr"/>
    </row>
    <row r="687">
      <c r="A687" t="inlineStr">
        <is>
          <t>TONY ENVI REKAYASA</t>
        </is>
      </c>
      <c r="B687" t="inlineStr">
        <is>
          <t>Kota Bandung</t>
        </is>
      </c>
      <c r="C687" t="inlineStr">
        <is>
          <t>082120216888</t>
        </is>
      </c>
      <c r="D687" t="inlineStr">
        <is>
          <t>tera.envi@gmail.com</t>
        </is>
      </c>
      <c r="E687" t="inlineStr">
        <is>
          <t>https://lpjk.pu.go.id/search-badan-usaha-detail/UWVlbHdBbmhnSmxnTFNRWi9hd0Q0Zz09</t>
        </is>
      </c>
      <c r="F687" t="n">
        <v>1</v>
      </c>
      <c r="G687" t="inlineStr">
        <is>
          <t>BS001</t>
        </is>
      </c>
      <c r="H687" t="inlineStr">
        <is>
          <t>27 Juli 2023</t>
        </is>
      </c>
      <c r="I687" s="2" t="n">
        <v>46277</v>
      </c>
      <c r="J687" t="inlineStr">
        <is>
          <t>Disetujui</t>
        </is>
      </c>
      <c r="K687" t="n">
        <v>30</v>
      </c>
      <c r="L687" t="inlineStr">
        <is>
          <t>12 September 2026</t>
        </is>
      </c>
      <c r="M687" t="inlineStr">
        <is>
          <t>Konstruksi Bangunan Sipil Jalan</t>
        </is>
      </c>
      <c r="N687" t="inlineStr">
        <is>
          <t>K</t>
        </is>
      </c>
      <c r="O687" t="inlineStr">
        <is>
          <t>20230828</t>
        </is>
      </c>
      <c r="P687" t="inlineStr">
        <is>
          <t>Jawa Barat</t>
        </is>
      </c>
      <c r="Q687" t="inlineStr"/>
    </row>
    <row r="688">
      <c r="A688" t="inlineStr">
        <is>
          <t>TOP DIESEL</t>
        </is>
      </c>
      <c r="B688" t="inlineStr">
        <is>
          <t>Kota Banda Aceh</t>
        </is>
      </c>
      <c r="C688" t="inlineStr">
        <is>
          <t>08116816777</t>
        </is>
      </c>
      <c r="D688" t="inlineStr">
        <is>
          <t>top_diesel2015@yahoo.com</t>
        </is>
      </c>
      <c r="E688" t="inlineStr">
        <is>
          <t>https://lpjk.pu.go.id/search-badan-usaha-detail/SEh1MEtVMlZpeFZZaHo2cWg4TEdEUT09</t>
        </is>
      </c>
      <c r="F688" t="n">
        <v>1</v>
      </c>
      <c r="G688" t="inlineStr">
        <is>
          <t>BS001</t>
        </is>
      </c>
      <c r="H688" t="inlineStr">
        <is>
          <t>31 Maret 2015</t>
        </is>
      </c>
      <c r="I688" s="2" t="n">
        <v>46279</v>
      </c>
      <c r="J688" t="inlineStr">
        <is>
          <t>Disetujui</t>
        </is>
      </c>
      <c r="K688" t="n">
        <v>30</v>
      </c>
      <c r="L688" t="inlineStr">
        <is>
          <t>14 September 2026</t>
        </is>
      </c>
      <c r="M688" t="inlineStr">
        <is>
          <t>Konstruksi Bangunan Sipil Jalan</t>
        </is>
      </c>
      <c r="N688" t="inlineStr">
        <is>
          <t>K</t>
        </is>
      </c>
      <c r="O688" t="inlineStr">
        <is>
          <t>20230912</t>
        </is>
      </c>
      <c r="P688" t="inlineStr">
        <is>
          <t>Aceh</t>
        </is>
      </c>
      <c r="Q688" t="inlineStr"/>
    </row>
    <row r="689">
      <c r="A689" t="inlineStr">
        <is>
          <t>TORINA AZZAM JAYA</t>
        </is>
      </c>
      <c r="B689" t="inlineStr">
        <is>
          <t>Kota Adm. Jakarta Selatan</t>
        </is>
      </c>
      <c r="C689" t="inlineStr">
        <is>
          <t>02150812001</t>
        </is>
      </c>
      <c r="D689" t="inlineStr">
        <is>
          <t>cs.torinaazzamjaya.pt@gmail.com</t>
        </is>
      </c>
      <c r="E689" t="inlineStr">
        <is>
          <t>https://lpjk.pu.go.id/search-badan-usaha-detail/dWxDc1k5ZWlnK2Z6L05LUDlwdWo2Zz09</t>
        </is>
      </c>
      <c r="F689" t="n">
        <v>10</v>
      </c>
      <c r="G689" t="inlineStr">
        <is>
          <t>BG001, BG002, BG005, BG006, BG009</t>
        </is>
      </c>
      <c r="H689" t="inlineStr">
        <is>
          <t>21 Juni 2023</t>
        </is>
      </c>
      <c r="I689" s="2" t="n">
        <v>46283</v>
      </c>
      <c r="J689" t="inlineStr">
        <is>
          <t>Disetujui</t>
        </is>
      </c>
      <c r="K689" t="n">
        <v>30</v>
      </c>
      <c r="L689" t="inlineStr">
        <is>
          <t>18 September 2026</t>
        </is>
      </c>
      <c r="M689" t="inlineStr">
        <is>
          <t>Konstruksi Gedung Hunian, Konstruksi Gedung Kesehatan, Konstruksi Gedung Lainnya, Konstruksi Gedung Pendidikan, Konstruksi Gedung Perkantoran</t>
        </is>
      </c>
      <c r="N689" t="inlineStr">
        <is>
          <t>K</t>
        </is>
      </c>
      <c r="O689" t="inlineStr">
        <is>
          <t>20230911</t>
        </is>
      </c>
      <c r="P689" t="inlineStr">
        <is>
          <t>DKI Jakarta</t>
        </is>
      </c>
      <c r="Q689" t="inlineStr"/>
    </row>
    <row r="690">
      <c r="A690" t="inlineStr">
        <is>
          <t>TOTAL SOYUREN INDONESIA</t>
        </is>
      </c>
      <c r="B690" t="inlineStr">
        <is>
          <t>Kab. Sleman</t>
        </is>
      </c>
      <c r="C690" t="inlineStr">
        <is>
          <t>0811252291</t>
        </is>
      </c>
      <c r="D690" t="inlineStr">
        <is>
          <t>pt.totalsoyuren@gmail.com</t>
        </is>
      </c>
      <c r="E690" t="inlineStr">
        <is>
          <t>https://lpjk.pu.go.id/search-badan-usaha-detail/Wjh2Q0Y1S2dYVnJRVkN2c0JZaXNsdz09</t>
        </is>
      </c>
      <c r="F690" t="n">
        <v>2</v>
      </c>
      <c r="G690" t="inlineStr">
        <is>
          <t>BS001, BS002</t>
        </is>
      </c>
      <c r="H690" t="inlineStr">
        <is>
          <t>16 April 2021</t>
        </is>
      </c>
      <c r="I690" s="2" t="n">
        <v>46279</v>
      </c>
      <c r="J690" t="inlineStr">
        <is>
          <t>Pencabutan</t>
        </is>
      </c>
      <c r="K690" t="n">
        <v>30</v>
      </c>
      <c r="L690" t="inlineStr">
        <is>
          <t>14 September 2026</t>
        </is>
      </c>
      <c r="M690" t="inlineStr">
        <is>
          <t>Bangunan Sipil Jembatan, Jalan Layang, Fly Over, dan Underpass, Konstruksi Bangunan Sipil Jalan</t>
        </is>
      </c>
      <c r="N690" t="inlineStr">
        <is>
          <t>K, M</t>
        </is>
      </c>
      <c r="O690" t="inlineStr">
        <is>
          <t>20230914, 20230918</t>
        </is>
      </c>
      <c r="P690" t="inlineStr">
        <is>
          <t>DI Yogyakarta</t>
        </is>
      </c>
      <c r="Q690" t="inlineStr"/>
    </row>
    <row r="691">
      <c r="A691" t="inlineStr">
        <is>
          <t>TRANS INDO NUSA</t>
        </is>
      </c>
      <c r="B691" t="inlineStr">
        <is>
          <t>Kab. Sumenep</t>
        </is>
      </c>
      <c r="C691" t="inlineStr">
        <is>
          <t>082148383883</t>
        </is>
      </c>
      <c r="D691" t="inlineStr">
        <is>
          <t>putraandikaprasetya@gmail.com</t>
        </is>
      </c>
      <c r="E691" t="inlineStr">
        <is>
          <t>https://lpjk.pu.go.id/search-badan-usaha-detail/N1FqcXJ1WkswbVh4Y2NSNXVMY0JrQT09</t>
        </is>
      </c>
      <c r="F691" t="n">
        <v>2</v>
      </c>
      <c r="G691" t="inlineStr">
        <is>
          <t>BS004</t>
        </is>
      </c>
      <c r="H691" t="inlineStr">
        <is>
          <t>28 Juli 2023</t>
        </is>
      </c>
      <c r="I691" s="2" t="n">
        <v>46279</v>
      </c>
      <c r="J691" t="inlineStr">
        <is>
          <t>Disetujui</t>
        </is>
      </c>
      <c r="K691" t="n">
        <v>30</v>
      </c>
      <c r="L691" t="inlineStr">
        <is>
          <t>14 September 2026</t>
        </is>
      </c>
      <c r="M691" t="inlineStr">
        <is>
          <t>Konstruksi Jaringan Irigasi dan Drainase</t>
        </is>
      </c>
      <c r="N691" t="inlineStr">
        <is>
          <t>K</t>
        </is>
      </c>
      <c r="O691" t="inlineStr">
        <is>
          <t>20230910</t>
        </is>
      </c>
      <c r="P691" t="inlineStr">
        <is>
          <t>Jawa Timur</t>
        </is>
      </c>
      <c r="Q691" t="inlineStr"/>
    </row>
    <row r="692">
      <c r="A692" t="inlineStr">
        <is>
          <t>TRI BASKARA</t>
        </is>
      </c>
      <c r="B692" t="inlineStr">
        <is>
          <t>Kab. Tuban</t>
        </is>
      </c>
      <c r="C692" t="inlineStr">
        <is>
          <t>081331115152</t>
        </is>
      </c>
      <c r="D692" t="inlineStr">
        <is>
          <t>tribaskara.tuban@yahoo.com</t>
        </is>
      </c>
      <c r="E692" t="inlineStr">
        <is>
          <t>https://lpjk.pu.go.id/search-badan-usaha-detail/YU8xTGJ4S1YrQWw3dVdMMWJCNERjUT09</t>
        </is>
      </c>
      <c r="F692" t="n">
        <v>6</v>
      </c>
      <c r="G692" t="inlineStr">
        <is>
          <t>BG002, BG005, BG006, BG009, BS001, BS004</t>
        </is>
      </c>
      <c r="H692" t="inlineStr">
        <is>
          <t>17 November 2015</t>
        </is>
      </c>
      <c r="I692" s="2" t="n">
        <v>46282</v>
      </c>
      <c r="J692" t="inlineStr">
        <is>
          <t>Disetujui</t>
        </is>
      </c>
      <c r="K692" t="n">
        <v>30</v>
      </c>
      <c r="L692" t="inlineStr">
        <is>
          <t>17 September 2026</t>
        </is>
      </c>
      <c r="M692" t="inlineStr">
        <is>
          <t>Konstruksi Bangunan Sipil Jalan, Konstruksi Gedung Kesehatan, Konstruksi Gedung Lainnya, Konstruksi Gedung Pendidikan, Konstruksi Gedung Perkantoran, Konstruksi Jaringan Irigasi dan Drainase</t>
        </is>
      </c>
      <c r="N692" t="inlineStr">
        <is>
          <t>K</t>
        </is>
      </c>
      <c r="O692" t="inlineStr">
        <is>
          <t>20230911, 20230912</t>
        </is>
      </c>
      <c r="P692" t="inlineStr">
        <is>
          <t>Jawa Timur</t>
        </is>
      </c>
      <c r="Q692" t="inlineStr"/>
    </row>
    <row r="693">
      <c r="A693" t="inlineStr">
        <is>
          <t>TRI DARMA PERDANA</t>
        </is>
      </c>
      <c r="B693" t="inlineStr">
        <is>
          <t>Kota Mataram</t>
        </is>
      </c>
      <c r="C693" t="inlineStr">
        <is>
          <t>087865837999</t>
        </is>
      </c>
      <c r="D693" t="inlineStr">
        <is>
          <t>tridarmaperdana@yahoo.co.id</t>
        </is>
      </c>
      <c r="E693" t="inlineStr">
        <is>
          <t>https://lpjk.pu.go.id/search-badan-usaha-detail/UndWZHREdlQ1aVozOEtSOFNvMXgwUT09</t>
        </is>
      </c>
      <c r="F693" t="n">
        <v>2</v>
      </c>
      <c r="G693" t="inlineStr">
        <is>
          <t>BG006, BG009</t>
        </is>
      </c>
      <c r="H693" t="inlineStr">
        <is>
          <t>22 Desember 2000</t>
        </is>
      </c>
      <c r="I693" s="2" t="n">
        <v>46277</v>
      </c>
      <c r="J693" t="inlineStr">
        <is>
          <t>Disetujui</t>
        </is>
      </c>
      <c r="K693" t="n">
        <v>30</v>
      </c>
      <c r="L693" t="inlineStr">
        <is>
          <t>12 September 2026</t>
        </is>
      </c>
      <c r="M693" t="inlineStr">
        <is>
          <t>Konstruksi Gedung Lainnya, Konstruksi Gedung Pendidikan</t>
        </is>
      </c>
      <c r="N693" t="inlineStr">
        <is>
          <t>K</t>
        </is>
      </c>
      <c r="O693" t="inlineStr">
        <is>
          <t>20230904, 20230908</t>
        </is>
      </c>
      <c r="P693" t="inlineStr">
        <is>
          <t>Nusa Tenggara Barat</t>
        </is>
      </c>
      <c r="Q693" t="inlineStr"/>
    </row>
    <row r="694">
      <c r="A694" t="inlineStr">
        <is>
          <t>TRI ENERGI TEKNOLOGI</t>
        </is>
      </c>
      <c r="B694" t="inlineStr">
        <is>
          <t>Kota Bandung</t>
        </is>
      </c>
      <c r="C694" t="inlineStr">
        <is>
          <t>02220513757</t>
        </is>
      </c>
      <c r="D694" t="inlineStr">
        <is>
          <t>trietek@gmail.com</t>
        </is>
      </c>
      <c r="E694" t="inlineStr">
        <is>
          <t>https://lpjk.pu.go.id/search-badan-usaha-detail/YzFKVXJHUllWdFZ4Z3VLamlueDlEQT09</t>
        </is>
      </c>
      <c r="F694" t="n">
        <v>1</v>
      </c>
      <c r="G694" t="inlineStr">
        <is>
          <t>IN004</t>
        </is>
      </c>
      <c r="H694" t="inlineStr">
        <is>
          <t>25 Maret 2009</t>
        </is>
      </c>
      <c r="I694" s="2" t="n">
        <v>46283</v>
      </c>
      <c r="J694" t="inlineStr">
        <is>
          <t>Disetujui</t>
        </is>
      </c>
      <c r="K694" t="n">
        <v>30</v>
      </c>
      <c r="L694" t="inlineStr">
        <is>
          <t>18 September 2026</t>
        </is>
      </c>
      <c r="M694" t="inlineStr">
        <is>
          <t>Instalasi Minyak dan Gas</t>
        </is>
      </c>
      <c r="N694" t="inlineStr">
        <is>
          <t>Spesialis</t>
        </is>
      </c>
      <c r="O694" t="inlineStr">
        <is>
          <t>20230914</t>
        </is>
      </c>
      <c r="P694" t="inlineStr">
        <is>
          <t>Jawa Barat</t>
        </is>
      </c>
      <c r="Q694" t="inlineStr"/>
    </row>
    <row r="695">
      <c r="A695" t="inlineStr">
        <is>
          <t>TRI KARYA PRIMA</t>
        </is>
      </c>
      <c r="B695" t="inlineStr">
        <is>
          <t>Kab. Sleman</t>
        </is>
      </c>
      <c r="C695" t="inlineStr">
        <is>
          <t>081215084014</t>
        </is>
      </c>
      <c r="D695" t="inlineStr">
        <is>
          <t>trikaryaprima2023@gmail.com</t>
        </is>
      </c>
      <c r="E695" t="inlineStr">
        <is>
          <t>https://lpjk.pu.go.id/search-badan-usaha-detail/bkNOaFVSQ0VrbFdXRjNqVFpTSDY2QT09</t>
        </is>
      </c>
      <c r="F695" t="n">
        <v>1</v>
      </c>
      <c r="G695" t="inlineStr">
        <is>
          <t>AR001</t>
        </is>
      </c>
      <c r="H695" t="inlineStr">
        <is>
          <t>9 Februari 2023</t>
        </is>
      </c>
      <c r="I695" s="2" t="n">
        <v>46282</v>
      </c>
      <c r="J695" t="inlineStr">
        <is>
          <t>Disetujui</t>
        </is>
      </c>
      <c r="K695" t="n">
        <v>30</v>
      </c>
      <c r="L695" t="inlineStr">
        <is>
          <t>17 September 2026</t>
        </is>
      </c>
      <c r="M695" t="inlineStr">
        <is>
          <t>Jasa Arsitektural Bangunan Gedung Hunian dan Non Hunian</t>
        </is>
      </c>
      <c r="N695" t="inlineStr">
        <is>
          <t>K</t>
        </is>
      </c>
      <c r="O695" t="inlineStr">
        <is>
          <t>20230821</t>
        </is>
      </c>
      <c r="P695" t="inlineStr">
        <is>
          <t>DI Yogyakarta</t>
        </is>
      </c>
      <c r="Q695" t="inlineStr"/>
    </row>
    <row r="696">
      <c r="A696" t="inlineStr">
        <is>
          <t>TRI MANUNGGAL BAWANA</t>
        </is>
      </c>
      <c r="B696" t="inlineStr">
        <is>
          <t>Kab. Sleman</t>
        </is>
      </c>
      <c r="C696" t="inlineStr">
        <is>
          <t>081328705333</t>
        </is>
      </c>
      <c r="D696" t="inlineStr">
        <is>
          <t>tritunggalciptasarana@gmail.com</t>
        </is>
      </c>
      <c r="E696" t="inlineStr">
        <is>
          <t>https://lpjk.pu.go.id/search-badan-usaha-detail/MWRjMzg1OU5SbGJSK1EwVC9EKy9wUT09</t>
        </is>
      </c>
      <c r="F696" t="n">
        <v>2</v>
      </c>
      <c r="G696" t="inlineStr">
        <is>
          <t>BG002</t>
        </is>
      </c>
      <c r="H696" t="inlineStr">
        <is>
          <t>14 Agustus 2023</t>
        </is>
      </c>
      <c r="I696" s="2" t="n">
        <v>46278</v>
      </c>
      <c r="J696" t="inlineStr">
        <is>
          <t>Pencabutan</t>
        </is>
      </c>
      <c r="K696" t="n">
        <v>30</v>
      </c>
      <c r="L696" t="inlineStr">
        <is>
          <t>13 September 2026</t>
        </is>
      </c>
      <c r="M696" t="inlineStr">
        <is>
          <t>Konstruksi Gedung Perkantoran</t>
        </is>
      </c>
      <c r="N696" t="inlineStr">
        <is>
          <t>K</t>
        </is>
      </c>
      <c r="O696" t="inlineStr">
        <is>
          <t>20230912</t>
        </is>
      </c>
      <c r="P696" t="inlineStr">
        <is>
          <t>DI Yogyakarta</t>
        </is>
      </c>
      <c r="Q696" t="inlineStr"/>
    </row>
    <row r="697">
      <c r="A697" t="inlineStr">
        <is>
          <t>TRI MANUNGGAL KARYA</t>
        </is>
      </c>
      <c r="B697" t="inlineStr">
        <is>
          <t>Kab. Bandung Barat</t>
        </is>
      </c>
      <c r="C697" t="inlineStr">
        <is>
          <t>0226640119</t>
        </is>
      </c>
      <c r="D697" t="inlineStr">
        <is>
          <t>cv.tri.manunggal.karya@gmail.com</t>
        </is>
      </c>
      <c r="E697" t="inlineStr">
        <is>
          <t>https://lpjk.pu.go.id/search-badan-usaha-detail/K01lWlhNWVJ6NGxkdG4xYi9lb2JHUT09</t>
        </is>
      </c>
      <c r="F697" t="n">
        <v>1</v>
      </c>
      <c r="G697" t="inlineStr">
        <is>
          <t>BG009</t>
        </is>
      </c>
      <c r="H697" t="inlineStr">
        <is>
          <t>14 November 2001</t>
        </is>
      </c>
      <c r="I697" s="2" t="n">
        <v>46279</v>
      </c>
      <c r="J697" t="inlineStr">
        <is>
          <t>Disetujui</t>
        </is>
      </c>
      <c r="K697" t="n">
        <v>30</v>
      </c>
      <c r="L697" t="inlineStr">
        <is>
          <t>14 September 2026</t>
        </is>
      </c>
      <c r="M697" t="inlineStr">
        <is>
          <t>Konstruksi Gedung Lainnya</t>
        </is>
      </c>
      <c r="N697" t="inlineStr">
        <is>
          <t>K</t>
        </is>
      </c>
      <c r="O697" t="inlineStr">
        <is>
          <t>20230907</t>
        </is>
      </c>
      <c r="P697" t="inlineStr">
        <is>
          <t>Jawa Barat</t>
        </is>
      </c>
      <c r="Q697" t="inlineStr"/>
    </row>
    <row r="698">
      <c r="A698" t="inlineStr">
        <is>
          <t>TRI MITRA MEKANINDO</t>
        </is>
      </c>
      <c r="B698" t="inlineStr">
        <is>
          <t>Kab. Deli Serdang</t>
        </is>
      </c>
      <c r="C698" t="inlineStr">
        <is>
          <t>08126460690</t>
        </is>
      </c>
      <c r="D698" t="inlineStr">
        <is>
          <t>adm@trimekanindo.com</t>
        </is>
      </c>
      <c r="E698" t="inlineStr">
        <is>
          <t>https://lpjk.pu.go.id/search-badan-usaha-detail/SEVuQ3grOWNkTitoM1I3RkxQWVo0dz09</t>
        </is>
      </c>
      <c r="F698" t="n">
        <v>1</v>
      </c>
      <c r="G698" t="inlineStr">
        <is>
          <t>BG003</t>
        </is>
      </c>
      <c r="H698" t="inlineStr">
        <is>
          <t>25 November 2015</t>
        </is>
      </c>
      <c r="I698" s="2" t="n">
        <v>46279</v>
      </c>
      <c r="J698" t="inlineStr">
        <is>
          <t>Pembekuan</t>
        </is>
      </c>
      <c r="K698" t="n">
        <v>30</v>
      </c>
      <c r="L698" t="inlineStr">
        <is>
          <t>14 September 2026</t>
        </is>
      </c>
      <c r="M698" t="inlineStr">
        <is>
          <t>Konstruksi Gedung Industri</t>
        </is>
      </c>
      <c r="N698" t="inlineStr">
        <is>
          <t>M</t>
        </is>
      </c>
      <c r="O698" t="inlineStr">
        <is>
          <t>20230912</t>
        </is>
      </c>
      <c r="P698" t="inlineStr">
        <is>
          <t>Sumatera Utara</t>
        </is>
      </c>
      <c r="Q698" t="inlineStr"/>
    </row>
    <row r="699">
      <c r="A699" t="inlineStr">
        <is>
          <t>TRIA CIPTA GUNA</t>
        </is>
      </c>
      <c r="B699" t="inlineStr">
        <is>
          <t>Kota Surabaya</t>
        </is>
      </c>
      <c r="C699" t="inlineStr">
        <is>
          <t>081357755797</t>
        </is>
      </c>
      <c r="D699" t="inlineStr">
        <is>
          <t>3ciptaguna@gmail.com</t>
        </is>
      </c>
      <c r="E699" t="inlineStr">
        <is>
          <t>https://lpjk.pu.go.id/search-badan-usaha-detail/b2o0SEo4QUJYS0oxZEtsR0hnV2JNZz09</t>
        </is>
      </c>
      <c r="F699" t="n">
        <v>1</v>
      </c>
      <c r="G699" t="inlineStr">
        <is>
          <t>BS001</t>
        </is>
      </c>
      <c r="H699" t="inlineStr">
        <is>
          <t>19 Agustus 2022</t>
        </is>
      </c>
      <c r="I699" s="2" t="n">
        <v>46277</v>
      </c>
      <c r="J699" t="inlineStr">
        <is>
          <t>Pencabutan</t>
        </is>
      </c>
      <c r="K699" t="n">
        <v>30</v>
      </c>
      <c r="L699" t="inlineStr">
        <is>
          <t>12 September 2026</t>
        </is>
      </c>
      <c r="M699" t="inlineStr">
        <is>
          <t>Konstruksi Bangunan Sipil Jalan</t>
        </is>
      </c>
      <c r="N699" t="inlineStr">
        <is>
          <t>K</t>
        </is>
      </c>
      <c r="O699" t="inlineStr">
        <is>
          <t>20230609</t>
        </is>
      </c>
      <c r="P699" t="inlineStr">
        <is>
          <t>Jawa Timur</t>
        </is>
      </c>
      <c r="Q699" t="inlineStr"/>
    </row>
    <row r="700">
      <c r="A700" t="inlineStr">
        <is>
          <t>TRIAFF PUTRA MANDIRI</t>
        </is>
      </c>
      <c r="B700" t="inlineStr">
        <is>
          <t>Kab. Cilacap</t>
        </is>
      </c>
      <c r="C700" t="inlineStr">
        <is>
          <t>085747794900</t>
        </is>
      </c>
      <c r="D700" t="inlineStr">
        <is>
          <t>triaffputramandiri88@gmail.com</t>
        </is>
      </c>
      <c r="E700" t="inlineStr">
        <is>
          <t>https://lpjk.pu.go.id/search-badan-usaha-detail/VjZub1NvQXZ3QXUrSzdVU1Y1R0NTQT09</t>
        </is>
      </c>
      <c r="F700" t="n">
        <v>1</v>
      </c>
      <c r="G700" t="inlineStr">
        <is>
          <t>BG003</t>
        </is>
      </c>
      <c r="H700" t="inlineStr">
        <is>
          <t>27 Juni 1997</t>
        </is>
      </c>
      <c r="I700" s="2" t="n">
        <v>46279</v>
      </c>
      <c r="J700" t="inlineStr">
        <is>
          <t>Disetujui</t>
        </is>
      </c>
      <c r="K700" t="n">
        <v>30</v>
      </c>
      <c r="L700" t="inlineStr">
        <is>
          <t>14 September 2026</t>
        </is>
      </c>
      <c r="M700" t="inlineStr">
        <is>
          <t>Konstruksi Gedung Industri</t>
        </is>
      </c>
      <c r="N700" t="inlineStr">
        <is>
          <t>K</t>
        </is>
      </c>
      <c r="O700" t="inlineStr">
        <is>
          <t>20230821</t>
        </is>
      </c>
      <c r="P700" t="inlineStr">
        <is>
          <t>Jawa Tengah</t>
        </is>
      </c>
      <c r="Q700" t="inlineStr"/>
    </row>
    <row r="701">
      <c r="A701" t="inlineStr">
        <is>
          <t>TRIO PUSPA PERDANA</t>
        </is>
      </c>
      <c r="B701" t="inlineStr">
        <is>
          <t>Kota Langsa</t>
        </is>
      </c>
      <c r="C701" t="inlineStr">
        <is>
          <t>081269992254</t>
        </is>
      </c>
      <c r="D701" t="inlineStr">
        <is>
          <t>triopuspaperdana@gmail.com</t>
        </is>
      </c>
      <c r="E701" t="inlineStr">
        <is>
          <t>https://lpjk.pu.go.id/search-badan-usaha-detail/YUdZS0JNNVo5V1RNdGtkeHhjQjVCUT09</t>
        </is>
      </c>
      <c r="F701" t="n">
        <v>1</v>
      </c>
      <c r="G701" t="inlineStr">
        <is>
          <t>BG006</t>
        </is>
      </c>
      <c r="H701" t="inlineStr">
        <is>
          <t>17 Maret 2016</t>
        </is>
      </c>
      <c r="I701" s="2" t="n">
        <v>46279</v>
      </c>
      <c r="J701" t="inlineStr">
        <is>
          <t>Disetujui</t>
        </is>
      </c>
      <c r="K701" t="n">
        <v>30</v>
      </c>
      <c r="L701" t="inlineStr">
        <is>
          <t>14 September 2026</t>
        </is>
      </c>
      <c r="M701" t="inlineStr">
        <is>
          <t>Konstruksi Gedung Pendidikan</t>
        </is>
      </c>
      <c r="N701" t="inlineStr">
        <is>
          <t>K</t>
        </is>
      </c>
      <c r="O701" t="inlineStr">
        <is>
          <t>20230828</t>
        </is>
      </c>
      <c r="P701" t="inlineStr">
        <is>
          <t>Aceh</t>
        </is>
      </c>
      <c r="Q701" t="inlineStr"/>
    </row>
    <row r="702">
      <c r="A702" t="inlineStr">
        <is>
          <t>TRION KARYA OPTIMIS</t>
        </is>
      </c>
      <c r="B702" t="inlineStr">
        <is>
          <t>Kota Palembang</t>
        </is>
      </c>
      <c r="C702" t="inlineStr">
        <is>
          <t>08111600024</t>
        </is>
      </c>
      <c r="D702" t="inlineStr">
        <is>
          <t>trionkarya@yahoo.com</t>
        </is>
      </c>
      <c r="E702" t="inlineStr">
        <is>
          <t>https://lpjk.pu.go.id/search-badan-usaha-detail/d0o1b1JlaWZ2OVNhVGEyS0lKY3IrQT09</t>
        </is>
      </c>
      <c r="F702" t="n">
        <v>1</v>
      </c>
      <c r="G702" t="inlineStr">
        <is>
          <t>BG005</t>
        </is>
      </c>
      <c r="H702" t="inlineStr">
        <is>
          <t>2 Oktober 2019</t>
        </is>
      </c>
      <c r="I702" s="2" t="n">
        <v>46279</v>
      </c>
      <c r="J702" t="inlineStr">
        <is>
          <t>Disetujui</t>
        </is>
      </c>
      <c r="K702" t="n">
        <v>30</v>
      </c>
      <c r="L702" t="inlineStr">
        <is>
          <t>14 September 2026</t>
        </is>
      </c>
      <c r="M702" t="inlineStr">
        <is>
          <t>Konstruksi Gedung Kesehatan</t>
        </is>
      </c>
      <c r="N702" t="inlineStr">
        <is>
          <t>K</t>
        </is>
      </c>
      <c r="O702" t="inlineStr">
        <is>
          <t>20230914</t>
        </is>
      </c>
      <c r="P702" t="inlineStr">
        <is>
          <t>Sumatera Selatan</t>
        </is>
      </c>
      <c r="Q702" t="inlineStr"/>
    </row>
    <row r="703">
      <c r="A703" t="inlineStr">
        <is>
          <t>TUAH ENERGY NUSANTARA</t>
        </is>
      </c>
      <c r="B703" t="inlineStr">
        <is>
          <t>Kota Adm. Jakarta Selatan</t>
        </is>
      </c>
      <c r="C703" t="inlineStr">
        <is>
          <t>02127624174</t>
        </is>
      </c>
      <c r="D703" t="inlineStr">
        <is>
          <t>tuahenergy.nusantara@gmail.com</t>
        </is>
      </c>
      <c r="E703" t="inlineStr">
        <is>
          <t>https://lpjk.pu.go.id/search-badan-usaha-detail/QWtFRFRxZ2VPdnFNS3drc2hEV0Z3dz09</t>
        </is>
      </c>
      <c r="F703" t="n">
        <v>1</v>
      </c>
      <c r="G703" t="inlineStr">
        <is>
          <t>RT003</t>
        </is>
      </c>
      <c r="H703" t="inlineStr">
        <is>
          <t>21 Juli 2023</t>
        </is>
      </c>
      <c r="I703" s="2" t="n">
        <v>46282</v>
      </c>
      <c r="J703" t="inlineStr">
        <is>
          <t>Disetujui</t>
        </is>
      </c>
      <c r="K703" t="n">
        <v>30</v>
      </c>
      <c r="L703" t="inlineStr">
        <is>
          <t>17 September 2026</t>
        </is>
      </c>
      <c r="M703" t="inlineStr">
        <is>
          <t>Jasa Rekayasa Konstruksi Proses Industrial, Produksi, dan Fasilitas Produksi</t>
        </is>
      </c>
      <c r="N703" t="inlineStr">
        <is>
          <t>K</t>
        </is>
      </c>
      <c r="O703" t="inlineStr">
        <is>
          <t>20230821</t>
        </is>
      </c>
      <c r="P703" t="inlineStr">
        <is>
          <t>DKI Jakarta</t>
        </is>
      </c>
      <c r="Q703" t="inlineStr"/>
    </row>
    <row r="704">
      <c r="A704" t="inlineStr">
        <is>
          <t>TUAH RISIKI</t>
        </is>
      </c>
      <c r="B704" t="inlineStr">
        <is>
          <t>Kab. Sintang</t>
        </is>
      </c>
      <c r="C704" t="inlineStr">
        <is>
          <t>085252600604</t>
        </is>
      </c>
      <c r="D704" t="inlineStr">
        <is>
          <t>tuahrisiki@gmail.com</t>
        </is>
      </c>
      <c r="E704" t="inlineStr">
        <is>
          <t>https://lpjk.pu.go.id/search-badan-usaha-detail/ckJ5ZUsvL0NJYWp3UWY4YThzalhHdz09</t>
        </is>
      </c>
      <c r="F704" t="n">
        <v>1</v>
      </c>
      <c r="G704" t="inlineStr">
        <is>
          <t>BS002</t>
        </is>
      </c>
      <c r="H704" t="inlineStr">
        <is>
          <t>19 November 2019</t>
        </is>
      </c>
      <c r="I704" s="2" t="n">
        <v>46281</v>
      </c>
      <c r="J704" t="inlineStr">
        <is>
          <t>Disetujui</t>
        </is>
      </c>
      <c r="K704" t="n">
        <v>30</v>
      </c>
      <c r="L704" t="inlineStr">
        <is>
          <t>16 September 2026</t>
        </is>
      </c>
      <c r="M704" t="inlineStr">
        <is>
          <t>Bangunan Sipil Jembatan, Jalan Layang, Fly Over, dan Underpass</t>
        </is>
      </c>
      <c r="N704" t="inlineStr">
        <is>
          <t>K</t>
        </is>
      </c>
      <c r="O704" t="inlineStr">
        <is>
          <t>20230916</t>
        </is>
      </c>
      <c r="P704" t="inlineStr">
        <is>
          <t>Kalimantan Barat</t>
        </is>
      </c>
      <c r="Q704" t="inlineStr"/>
    </row>
    <row r="705">
      <c r="A705" t="inlineStr">
        <is>
          <t>TUJUH PILAR PATINRA</t>
        </is>
      </c>
      <c r="B705" t="inlineStr">
        <is>
          <t>Kota Palu</t>
        </is>
      </c>
      <c r="C705" t="inlineStr">
        <is>
          <t>085375184822</t>
        </is>
      </c>
      <c r="D705" t="inlineStr">
        <is>
          <t>cvtujuhpilarpatinra@gmail.com</t>
        </is>
      </c>
      <c r="E705" t="inlineStr">
        <is>
          <t>https://lpjk.pu.go.id/search-badan-usaha-detail/T0dBT0JBSlp5ekkxZkFzMjRVV1Nodz09</t>
        </is>
      </c>
      <c r="F705" t="n">
        <v>2</v>
      </c>
      <c r="G705" t="inlineStr">
        <is>
          <t>BS001, BS004</t>
        </is>
      </c>
      <c r="H705" t="inlineStr">
        <is>
          <t>24 Juli 2023</t>
        </is>
      </c>
      <c r="I705" s="2" t="n">
        <v>46277</v>
      </c>
      <c r="J705" t="inlineStr">
        <is>
          <t>Disetujui</t>
        </is>
      </c>
      <c r="K705" t="n">
        <v>30</v>
      </c>
      <c r="L705" t="inlineStr">
        <is>
          <t>12 September 2026</t>
        </is>
      </c>
      <c r="M705" t="inlineStr">
        <is>
          <t>Konstruksi Bangunan Sipil Jalan, Konstruksi Jaringan Irigasi dan Drainase</t>
        </is>
      </c>
      <c r="N705" t="inlineStr">
        <is>
          <t>K</t>
        </is>
      </c>
      <c r="O705" t="inlineStr">
        <is>
          <t>20230911</t>
        </is>
      </c>
      <c r="P705" t="inlineStr">
        <is>
          <t>Sulawesi Tengah</t>
        </is>
      </c>
      <c r="Q705" t="inlineStr"/>
    </row>
    <row r="706">
      <c r="A706" t="inlineStr">
        <is>
          <t>TUNAS BESTARI ADHIWANGSA</t>
        </is>
      </c>
      <c r="B706" t="inlineStr">
        <is>
          <t>Kota Surabaya</t>
        </is>
      </c>
      <c r="C706" t="inlineStr">
        <is>
          <t>081217179944</t>
        </is>
      </c>
      <c r="D706" t="inlineStr">
        <is>
          <t>pt.tunasbestariadhiwangsa@gmail.com</t>
        </is>
      </c>
      <c r="E706" t="inlineStr">
        <is>
          <t>https://lpjk.pu.go.id/search-badan-usaha-detail/T2FUa1lDYzgyVlc5cHBBZ29YWWFWUT09</t>
        </is>
      </c>
      <c r="F706" t="n">
        <v>1</v>
      </c>
      <c r="G706" t="inlineStr">
        <is>
          <t>RK005</t>
        </is>
      </c>
      <c r="H706" t="inlineStr">
        <is>
          <t>8 April 2023</t>
        </is>
      </c>
      <c r="I706" s="2" t="n">
        <v>46277</v>
      </c>
      <c r="J706" t="inlineStr">
        <is>
          <t>Disetujui</t>
        </is>
      </c>
      <c r="K706" t="n">
        <v>30</v>
      </c>
      <c r="L706" t="inlineStr">
        <is>
          <t>12 September 2026</t>
        </is>
      </c>
      <c r="M706" t="inlineStr">
        <is>
          <t>Jasa Rekayasa Lainnya</t>
        </is>
      </c>
      <c r="N706" t="inlineStr">
        <is>
          <t>K</t>
        </is>
      </c>
      <c r="O706" t="inlineStr">
        <is>
          <t>20230901</t>
        </is>
      </c>
      <c r="P706" t="inlineStr">
        <is>
          <t>Jawa Timur</t>
        </is>
      </c>
      <c r="Q706" t="inlineStr"/>
    </row>
    <row r="707">
      <c r="A707" t="inlineStr">
        <is>
          <t>ULFA FAJRUL MUSTANIR</t>
        </is>
      </c>
      <c r="B707" t="inlineStr">
        <is>
          <t>Kab. Aceh Selatan</t>
        </is>
      </c>
      <c r="C707" t="inlineStr">
        <is>
          <t>085260840034</t>
        </is>
      </c>
      <c r="D707" t="inlineStr">
        <is>
          <t>cv.ulfafajrul@gmail.com</t>
        </is>
      </c>
      <c r="E707" t="inlineStr">
        <is>
          <t>https://lpjk.pu.go.id/search-badan-usaha-detail/YnJoZ2YxWDYxa0c2bnRQdXUzdEpaUT09</t>
        </is>
      </c>
      <c r="F707" t="n">
        <v>1</v>
      </c>
      <c r="G707" t="inlineStr">
        <is>
          <t>BG006</t>
        </is>
      </c>
      <c r="H707" t="inlineStr">
        <is>
          <t>15 Mei 2020</t>
        </is>
      </c>
      <c r="I707" s="2" t="n">
        <v>46283</v>
      </c>
      <c r="J707" t="inlineStr">
        <is>
          <t>Disetujui</t>
        </is>
      </c>
      <c r="K707" t="n">
        <v>30</v>
      </c>
      <c r="L707" t="inlineStr">
        <is>
          <t>18 September 2026</t>
        </is>
      </c>
      <c r="M707" t="inlineStr">
        <is>
          <t>Konstruksi Gedung Pendidikan</t>
        </is>
      </c>
      <c r="N707" t="inlineStr">
        <is>
          <t>K</t>
        </is>
      </c>
      <c r="O707" t="inlineStr">
        <is>
          <t>20230919</t>
        </is>
      </c>
      <c r="P707" t="inlineStr">
        <is>
          <t>Aceh</t>
        </is>
      </c>
      <c r="Q707" t="inlineStr"/>
    </row>
    <row r="708">
      <c r="A708" t="inlineStr">
        <is>
          <t>UNGGUL BUANA</t>
        </is>
      </c>
      <c r="B708" t="inlineStr">
        <is>
          <t>Kab. Purwakarta</t>
        </is>
      </c>
      <c r="C708" t="inlineStr">
        <is>
          <t>087879716066</t>
        </is>
      </c>
      <c r="D708" t="inlineStr">
        <is>
          <t>unggulbuana@hotmail.com</t>
        </is>
      </c>
      <c r="E708" t="inlineStr">
        <is>
          <t>https://lpjk.pu.go.id/search-badan-usaha-detail/Z0R0b1RZQmhuWnpwdTV2Qzc0OU1xZz09</t>
        </is>
      </c>
      <c r="F708" t="n">
        <v>2</v>
      </c>
      <c r="G708" t="inlineStr">
        <is>
          <t>BG009, BS001</t>
        </is>
      </c>
      <c r="H708" t="inlineStr">
        <is>
          <t>12 November 2018</t>
        </is>
      </c>
      <c r="I708" s="2" t="n">
        <v>46282</v>
      </c>
      <c r="J708" t="inlineStr">
        <is>
          <t>Disetujui</t>
        </is>
      </c>
      <c r="K708" t="n">
        <v>30</v>
      </c>
      <c r="L708" t="inlineStr">
        <is>
          <t>17 September 2026</t>
        </is>
      </c>
      <c r="M708" t="inlineStr">
        <is>
          <t>Konstruksi Bangunan Sipil Jalan, Konstruksi Gedung Lainnya</t>
        </is>
      </c>
      <c r="N708" t="inlineStr">
        <is>
          <t>K</t>
        </is>
      </c>
      <c r="O708" t="inlineStr">
        <is>
          <t>20230818, 20230912</t>
        </is>
      </c>
      <c r="P708" t="inlineStr">
        <is>
          <t>Jawa Barat</t>
        </is>
      </c>
      <c r="Q708" t="inlineStr"/>
    </row>
    <row r="709">
      <c r="A709" t="inlineStr">
        <is>
          <t>USAHA BERSAMA</t>
        </is>
      </c>
      <c r="B709" t="inlineStr">
        <is>
          <t>Kab. Solok</t>
        </is>
      </c>
      <c r="C709" t="inlineStr">
        <is>
          <t>08534720252</t>
        </is>
      </c>
      <c r="D709" t="inlineStr">
        <is>
          <t>cvzulhendri44@gmail.com</t>
        </is>
      </c>
      <c r="E709" t="inlineStr">
        <is>
          <t>https://lpjk.pu.go.id/search-badan-usaha-detail/dFdEMStXV0xiY1pXaUNhSEozRTF5Zz09</t>
        </is>
      </c>
      <c r="F709" t="n">
        <v>1</v>
      </c>
      <c r="G709" t="inlineStr">
        <is>
          <t>BS001</t>
        </is>
      </c>
      <c r="H709" t="inlineStr">
        <is>
          <t>28 Januari 2019</t>
        </is>
      </c>
      <c r="I709" s="2" t="n">
        <v>46278</v>
      </c>
      <c r="J709" t="inlineStr">
        <is>
          <t>Pencabutan</t>
        </is>
      </c>
      <c r="K709" t="n">
        <v>30</v>
      </c>
      <c r="L709" t="inlineStr">
        <is>
          <t>13 September 2026</t>
        </is>
      </c>
      <c r="M709" t="inlineStr">
        <is>
          <t>Konstruksi Bangunan Sipil Jalan</t>
        </is>
      </c>
      <c r="N709" t="inlineStr">
        <is>
          <t>K</t>
        </is>
      </c>
      <c r="O709" t="inlineStr">
        <is>
          <t>20230828</t>
        </is>
      </c>
      <c r="P709" t="inlineStr">
        <is>
          <t>Sumatera Barat</t>
        </is>
      </c>
      <c r="Q709" t="inlineStr"/>
    </row>
    <row r="710">
      <c r="A710" t="inlineStr">
        <is>
          <t>USAHA MULTI GUNA</t>
        </is>
      </c>
      <c r="B710" t="inlineStr">
        <is>
          <t>Kota Semarang</t>
        </is>
      </c>
      <c r="C710" t="inlineStr">
        <is>
          <t>02476636993</t>
        </is>
      </c>
      <c r="D710" t="inlineStr">
        <is>
          <t>usahamultiguna.pt@gmail.com</t>
        </is>
      </c>
      <c r="E710" t="inlineStr">
        <is>
          <t>https://lpjk.pu.go.id/search-badan-usaha-detail/eU9wLzVYNjVlUkowOFQ2SlVDaTJPdz09</t>
        </is>
      </c>
      <c r="F710" t="n">
        <v>1</v>
      </c>
      <c r="G710" t="inlineStr">
        <is>
          <t>IN012</t>
        </is>
      </c>
      <c r="H710" t="inlineStr">
        <is>
          <t>29 Januari 2004</t>
        </is>
      </c>
      <c r="I710" s="2" t="n">
        <v>46282</v>
      </c>
      <c r="J710" t="inlineStr">
        <is>
          <t>Disetujui</t>
        </is>
      </c>
      <c r="K710" t="n">
        <v>30</v>
      </c>
      <c r="L710" t="inlineStr">
        <is>
          <t>17 September 2026</t>
        </is>
      </c>
      <c r="M710" t="inlineStr">
        <is>
          <t>Instalasi Sinyal dan Telekomunikasi Kereta Api</t>
        </is>
      </c>
      <c r="N710" t="inlineStr">
        <is>
          <t>Spesialis</t>
        </is>
      </c>
      <c r="O710" t="inlineStr">
        <is>
          <t>20230822</t>
        </is>
      </c>
      <c r="P710" t="inlineStr">
        <is>
          <t>Jawa Tengah</t>
        </is>
      </c>
      <c r="Q710" t="inlineStr"/>
    </row>
    <row r="711">
      <c r="A711" t="inlineStr">
        <is>
          <t>USAHA PERDANA JAYA</t>
        </is>
      </c>
      <c r="B711" t="inlineStr">
        <is>
          <t>Kab. Langkat</t>
        </is>
      </c>
      <c r="C711" t="inlineStr">
        <is>
          <t>082163214918</t>
        </is>
      </c>
      <c r="D711" t="inlineStr">
        <is>
          <t>cv.usahaperdanajaya@datangyuk.site</t>
        </is>
      </c>
      <c r="E711" t="inlineStr">
        <is>
          <t>https://lpjk.pu.go.id/search-badan-usaha-detail/Q09qQUtPWGZOVTBrZ1YwVXpPV29Idz09</t>
        </is>
      </c>
      <c r="F711" t="n">
        <v>1</v>
      </c>
      <c r="G711" t="inlineStr">
        <is>
          <t>BS001</t>
        </is>
      </c>
      <c r="H711" t="inlineStr">
        <is>
          <t>25 Januari 2023</t>
        </is>
      </c>
      <c r="I711" s="2" t="n">
        <v>46277</v>
      </c>
      <c r="J711" t="inlineStr">
        <is>
          <t>Disetujui</t>
        </is>
      </c>
      <c r="K711" t="n">
        <v>30</v>
      </c>
      <c r="L711" t="inlineStr">
        <is>
          <t>12 September 2026</t>
        </is>
      </c>
      <c r="M711" t="inlineStr">
        <is>
          <t>Konstruksi Bangunan Sipil Jalan</t>
        </is>
      </c>
      <c r="N711" t="inlineStr">
        <is>
          <t>K</t>
        </is>
      </c>
      <c r="O711" t="inlineStr">
        <is>
          <t>20230908</t>
        </is>
      </c>
      <c r="P711" t="inlineStr">
        <is>
          <t>Sumatera Utara</t>
        </is>
      </c>
      <c r="Q711" t="inlineStr"/>
    </row>
    <row r="712">
      <c r="A712" t="inlineStr">
        <is>
          <t>UTAMA KARYA ALMEIRA</t>
        </is>
      </c>
      <c r="B712" t="inlineStr">
        <is>
          <t>Kota Palembang</t>
        </is>
      </c>
      <c r="C712" t="inlineStr">
        <is>
          <t>081367934123</t>
        </is>
      </c>
      <c r="D712" t="inlineStr">
        <is>
          <t>almeiraalmeira.cv@gmail.com</t>
        </is>
      </c>
      <c r="E712" t="inlineStr">
        <is>
          <t>https://lpjk.pu.go.id/search-badan-usaha-detail/aGtKZnJRNjY0U1pJMjBHWXA3QVNZQT09</t>
        </is>
      </c>
      <c r="F712" t="n">
        <v>1</v>
      </c>
      <c r="G712" t="inlineStr">
        <is>
          <t>BS005</t>
        </is>
      </c>
      <c r="H712" t="inlineStr">
        <is>
          <t>15 Desember 2022</t>
        </is>
      </c>
      <c r="I712" s="2" t="n">
        <v>46277</v>
      </c>
      <c r="J712" t="inlineStr">
        <is>
          <t>Disetujui</t>
        </is>
      </c>
      <c r="K712" t="n">
        <v>30</v>
      </c>
      <c r="L712" t="inlineStr">
        <is>
          <t>12 September 2026</t>
        </is>
      </c>
      <c r="M712" t="inlineStr">
        <is>
          <t>Konstruksi Bangunan Sipil Pengolahan Air Bersih</t>
        </is>
      </c>
      <c r="N712" t="inlineStr">
        <is>
          <t>K</t>
        </is>
      </c>
      <c r="O712" t="inlineStr">
        <is>
          <t>20230223</t>
        </is>
      </c>
      <c r="P712" t="inlineStr">
        <is>
          <t>Sumatera Selatan</t>
        </is>
      </c>
      <c r="Q712" t="inlineStr"/>
    </row>
    <row r="713">
      <c r="A713" t="inlineStr">
        <is>
          <t>VALUE CITRA MANDIRI</t>
        </is>
      </c>
      <c r="B713" t="inlineStr">
        <is>
          <t>Kota Surabaya</t>
        </is>
      </c>
      <c r="C713" t="inlineStr">
        <is>
          <t>081332207668</t>
        </is>
      </c>
      <c r="D713" t="inlineStr">
        <is>
          <t>pt.vcm.direksi@gmail.com</t>
        </is>
      </c>
      <c r="E713" t="inlineStr">
        <is>
          <t>https://lpjk.pu.go.id/search-badan-usaha-detail/NUlIV3d0WEpxRkRONjRabE5zMWJNZz09</t>
        </is>
      </c>
      <c r="F713" t="n">
        <v>1</v>
      </c>
      <c r="G713" t="inlineStr">
        <is>
          <t>BG001</t>
        </is>
      </c>
      <c r="H713" t="inlineStr">
        <is>
          <t>7 Mei 2015</t>
        </is>
      </c>
      <c r="I713" s="2" t="n">
        <v>46283</v>
      </c>
      <c r="J713" t="inlineStr">
        <is>
          <t>Disetujui</t>
        </is>
      </c>
      <c r="K713" t="n">
        <v>30</v>
      </c>
      <c r="L713" t="inlineStr">
        <is>
          <t>18 September 2026</t>
        </is>
      </c>
      <c r="M713" t="inlineStr">
        <is>
          <t>Konstruksi Gedung Hunian</t>
        </is>
      </c>
      <c r="N713" t="inlineStr">
        <is>
          <t>K</t>
        </is>
      </c>
      <c r="O713" t="inlineStr">
        <is>
          <t>20230808</t>
        </is>
      </c>
      <c r="P713" t="inlineStr">
        <is>
          <t>Jawa Timur</t>
        </is>
      </c>
      <c r="Q713" t="inlineStr"/>
    </row>
    <row r="714">
      <c r="A714" t="inlineStr">
        <is>
          <t>VARIASI</t>
        </is>
      </c>
      <c r="B714" t="inlineStr">
        <is>
          <t>Kab. Buru</t>
        </is>
      </c>
      <c r="C714" t="inlineStr">
        <is>
          <t>081369851206</t>
        </is>
      </c>
      <c r="D714" t="inlineStr">
        <is>
          <t>cvvariasi79@gmail.com</t>
        </is>
      </c>
      <c r="E714" t="inlineStr">
        <is>
          <t>https://lpjk.pu.go.id/search-badan-usaha-detail/V3VmVU9wOUcyNi9MUVMrbVBmOGIwQT09</t>
        </is>
      </c>
      <c r="F714" t="n">
        <v>2</v>
      </c>
      <c r="G714" t="inlineStr">
        <is>
          <t>BG005, BS001</t>
        </is>
      </c>
      <c r="H714" t="inlineStr">
        <is>
          <t>10 Februari 2012</t>
        </is>
      </c>
      <c r="I714" s="2" t="n">
        <v>46283</v>
      </c>
      <c r="J714" t="inlineStr">
        <is>
          <t>Disetujui</t>
        </is>
      </c>
      <c r="K714" t="n">
        <v>30</v>
      </c>
      <c r="L714" t="inlineStr">
        <is>
          <t>18 September 2026</t>
        </is>
      </c>
      <c r="M714" t="inlineStr">
        <is>
          <t>Konstruksi Bangunan Sipil Jalan, Konstruksi Gedung Kesehatan</t>
        </is>
      </c>
      <c r="N714" t="inlineStr">
        <is>
          <t>K</t>
        </is>
      </c>
      <c r="O714" t="inlineStr">
        <is>
          <t>20230916, 20230918</t>
        </is>
      </c>
      <c r="P714" t="inlineStr">
        <is>
          <t>Maluku</t>
        </is>
      </c>
      <c r="Q714" t="inlineStr"/>
    </row>
    <row r="715">
      <c r="A715" t="inlineStr">
        <is>
          <t>VICTORY OKA CIPTA</t>
        </is>
      </c>
      <c r="B715" t="inlineStr">
        <is>
          <t>Kab. Karanganyar</t>
        </is>
      </c>
      <c r="C715" t="inlineStr">
        <is>
          <t>02714991208</t>
        </is>
      </c>
      <c r="D715" t="inlineStr">
        <is>
          <t>cv.victory.voc@gmail.com</t>
        </is>
      </c>
      <c r="E715" t="inlineStr">
        <is>
          <t>https://lpjk.pu.go.id/search-badan-usaha-detail/QnRwVi9BenNhb1U0cFBUQVNqaW1pZz09</t>
        </is>
      </c>
      <c r="F715" t="n">
        <v>2</v>
      </c>
      <c r="G715" t="inlineStr">
        <is>
          <t>RK001, RK003</t>
        </is>
      </c>
      <c r="H715" t="inlineStr">
        <is>
          <t>21 Mei 2019</t>
        </is>
      </c>
      <c r="I715" s="2" t="n">
        <v>46279</v>
      </c>
      <c r="J715" t="inlineStr">
        <is>
          <t>Disetujui, Pencabutan</t>
        </is>
      </c>
      <c r="K715" t="n">
        <v>30</v>
      </c>
      <c r="L715" t="inlineStr">
        <is>
          <t>14 September 2026</t>
        </is>
      </c>
      <c r="M715" t="inlineStr">
        <is>
          <t>Jasa Rekayasa Konstruksi Bangunan Gedung Hunian dan Non Hunian, Jasa Rekayasa Pekerjaan Teknik Sipil Transportasi</t>
        </is>
      </c>
      <c r="N715" t="inlineStr">
        <is>
          <t>K</t>
        </is>
      </c>
      <c r="O715" t="inlineStr">
        <is>
          <t>20230830</t>
        </is>
      </c>
      <c r="P715" t="inlineStr">
        <is>
          <t>Jawa Tengah</t>
        </is>
      </c>
      <c r="Q715" t="inlineStr"/>
    </row>
    <row r="716">
      <c r="A716" t="inlineStr">
        <is>
          <t>VISTATAMA MULTI ENGINEERING CONSULTANT</t>
        </is>
      </c>
      <c r="B716" t="inlineStr">
        <is>
          <t>Kota Tanjung Pinang</t>
        </is>
      </c>
      <c r="C716" t="inlineStr">
        <is>
          <t>081371651252</t>
        </is>
      </c>
      <c r="D716" t="inlineStr">
        <is>
          <t>vistatama_cons@yahoo.co.id</t>
        </is>
      </c>
      <c r="E716" t="inlineStr">
        <is>
          <t>https://lpjk.pu.go.id/search-badan-usaha-detail/bmw5d1RCMkRrbTlWQys4blRxdlNtQT09</t>
        </is>
      </c>
      <c r="F716" t="n">
        <v>1</v>
      </c>
      <c r="G716" t="inlineStr">
        <is>
          <t>RK003</t>
        </is>
      </c>
      <c r="H716" t="inlineStr">
        <is>
          <t>8 Maret 2008</t>
        </is>
      </c>
      <c r="I716" s="2" t="n">
        <v>46282</v>
      </c>
      <c r="J716" t="inlineStr">
        <is>
          <t>Disetujui</t>
        </is>
      </c>
      <c r="K716" t="n">
        <v>30</v>
      </c>
      <c r="L716" t="inlineStr">
        <is>
          <t>17 September 2026</t>
        </is>
      </c>
      <c r="M716" t="inlineStr">
        <is>
          <t>Jasa Rekayasa Pekerjaan Teknik Sipil Transportasi</t>
        </is>
      </c>
      <c r="N716" t="inlineStr">
        <is>
          <t>K</t>
        </is>
      </c>
      <c r="O716" t="inlineStr">
        <is>
          <t>20230909</t>
        </is>
      </c>
      <c r="P716" t="inlineStr">
        <is>
          <t>Kepulauan Riau</t>
        </is>
      </c>
      <c r="Q716" t="inlineStr"/>
    </row>
    <row r="717">
      <c r="A717" t="inlineStr">
        <is>
          <t>WAHANA GREEN ENERGY</t>
        </is>
      </c>
      <c r="B717" t="inlineStr">
        <is>
          <t>Kota Adm. Jakarta Selatan</t>
        </is>
      </c>
      <c r="C717" t="inlineStr">
        <is>
          <t>02172780214</t>
        </is>
      </c>
      <c r="D717" t="inlineStr">
        <is>
          <t>wahanagreenenergy.wge@gmail.com</t>
        </is>
      </c>
      <c r="E717" t="inlineStr">
        <is>
          <t>https://lpjk.pu.go.id/search-badan-usaha-detail/MXRkOWZlb09FUjduK1ZidUZFdW0zUT09</t>
        </is>
      </c>
      <c r="F717" t="n">
        <v>1</v>
      </c>
      <c r="G717" t="inlineStr">
        <is>
          <t>BG009</t>
        </is>
      </c>
      <c r="H717" t="inlineStr">
        <is>
          <t>13 Oktober 2019</t>
        </is>
      </c>
      <c r="I717" s="2" t="n">
        <v>46280</v>
      </c>
      <c r="J717" t="inlineStr">
        <is>
          <t>Disetujui</t>
        </is>
      </c>
      <c r="K717" t="n">
        <v>30</v>
      </c>
      <c r="L717" t="inlineStr">
        <is>
          <t>15 September 2026</t>
        </is>
      </c>
      <c r="M717" t="inlineStr">
        <is>
          <t>Konstruksi Gedung Lainnya</t>
        </is>
      </c>
      <c r="N717" t="inlineStr">
        <is>
          <t>M</t>
        </is>
      </c>
      <c r="O717" t="inlineStr">
        <is>
          <t>20230914</t>
        </is>
      </c>
      <c r="P717" t="inlineStr">
        <is>
          <t>DKI Jakarta</t>
        </is>
      </c>
      <c r="Q717" t="inlineStr"/>
    </row>
    <row r="718">
      <c r="A718" t="inlineStr">
        <is>
          <t>WAHANA KONSTRUKSI TEKNIK</t>
        </is>
      </c>
      <c r="B718" t="inlineStr">
        <is>
          <t>Kab. Serdang Bedagai</t>
        </is>
      </c>
      <c r="C718" t="inlineStr">
        <is>
          <t>081260117685</t>
        </is>
      </c>
      <c r="D718" t="inlineStr">
        <is>
          <t>ptwahanakonstruksi@yahoo.com</t>
        </is>
      </c>
      <c r="E718" t="inlineStr">
        <is>
          <t>https://lpjk.pu.go.id/search-badan-usaha-detail/amNBRmVCcHAzUzI0UjRCMFN3eTh0QT09</t>
        </is>
      </c>
      <c r="F718" t="n">
        <v>1</v>
      </c>
      <c r="G718" t="inlineStr">
        <is>
          <t>BG006</t>
        </is>
      </c>
      <c r="H718" t="inlineStr">
        <is>
          <t>26 Mei 2023</t>
        </is>
      </c>
      <c r="I718" s="2" t="n">
        <v>46282</v>
      </c>
      <c r="J718" t="inlineStr">
        <is>
          <t>Disetujui</t>
        </is>
      </c>
      <c r="K718" t="n">
        <v>30</v>
      </c>
      <c r="L718" t="inlineStr">
        <is>
          <t>17 September 2026</t>
        </is>
      </c>
      <c r="M718" t="inlineStr">
        <is>
          <t>Konstruksi Gedung Pendidikan</t>
        </is>
      </c>
      <c r="N718" t="inlineStr">
        <is>
          <t>K</t>
        </is>
      </c>
      <c r="O718" t="inlineStr">
        <is>
          <t>20230916</t>
        </is>
      </c>
      <c r="P718" t="inlineStr">
        <is>
          <t>Sumatera Utara</t>
        </is>
      </c>
      <c r="Q718" t="inlineStr"/>
    </row>
    <row r="719">
      <c r="A719" t="inlineStr">
        <is>
          <t>WAHANA MITRA ABADI</t>
        </is>
      </c>
      <c r="B719" t="inlineStr">
        <is>
          <t>Kab. Muaro Jambi</t>
        </is>
      </c>
      <c r="C719" t="inlineStr">
        <is>
          <t>085268509536</t>
        </is>
      </c>
      <c r="D719" t="inlineStr">
        <is>
          <t>wmajambi@yahoo.com</t>
        </is>
      </c>
      <c r="E719" t="inlineStr">
        <is>
          <t>https://lpjk.pu.go.id/search-badan-usaha-detail/ZnovZ2MxMm1yTmNVOVJ4UXZQME0zdz09</t>
        </is>
      </c>
      <c r="F719" t="n">
        <v>3</v>
      </c>
      <c r="G719" t="inlineStr">
        <is>
          <t>BG009</t>
        </is>
      </c>
      <c r="H719" t="inlineStr">
        <is>
          <t>14 Agustus 2019</t>
        </is>
      </c>
      <c r="I719" s="2" t="n">
        <v>46278</v>
      </c>
      <c r="J719" t="inlineStr">
        <is>
          <t>Disetujui</t>
        </is>
      </c>
      <c r="K719" t="n">
        <v>30</v>
      </c>
      <c r="L719" t="inlineStr">
        <is>
          <t>13 September 2026</t>
        </is>
      </c>
      <c r="M719" t="inlineStr">
        <is>
          <t>Konstruksi Gedung Lainnya</t>
        </is>
      </c>
      <c r="N719" t="inlineStr">
        <is>
          <t>K</t>
        </is>
      </c>
      <c r="O719" t="inlineStr">
        <is>
          <t>20230911</t>
        </is>
      </c>
      <c r="P719" t="inlineStr">
        <is>
          <t>Jambi</t>
        </is>
      </c>
      <c r="Q719" t="inlineStr"/>
    </row>
    <row r="720">
      <c r="A720" t="inlineStr">
        <is>
          <t>WAHANA NUANSA INDONESIA</t>
        </is>
      </c>
      <c r="B720" t="inlineStr">
        <is>
          <t>Kab. Tangerang</t>
        </is>
      </c>
      <c r="C720" t="inlineStr">
        <is>
          <t>02155662873</t>
        </is>
      </c>
      <c r="D720" t="inlineStr">
        <is>
          <t>pt.wahananuansaindonesia17@gmail.com</t>
        </is>
      </c>
      <c r="E720" t="inlineStr">
        <is>
          <t>https://lpjk.pu.go.id/search-badan-usaha-detail/OS9RTlBnMUNreUx0alRRNURqOHUrZz09</t>
        </is>
      </c>
      <c r="F720" t="n">
        <v>1</v>
      </c>
      <c r="G720" t="inlineStr">
        <is>
          <t>PB003</t>
        </is>
      </c>
      <c r="H720" t="inlineStr">
        <is>
          <t>17 Maret 2017</t>
        </is>
      </c>
      <c r="I720" s="2" t="n">
        <v>46277</v>
      </c>
      <c r="J720" t="inlineStr">
        <is>
          <t>Pencabutan</t>
        </is>
      </c>
      <c r="K720" t="n">
        <v>30</v>
      </c>
      <c r="L720" t="inlineStr">
        <is>
          <t>12 September 2026</t>
        </is>
      </c>
      <c r="M720" t="inlineStr">
        <is>
          <t>Pengerjaan Lantai, Dinding, Peralatan Saniter dan Plafon</t>
        </is>
      </c>
      <c r="N720" t="inlineStr">
        <is>
          <t>Spesialis</t>
        </is>
      </c>
      <c r="O720" t="inlineStr">
        <is>
          <t>20230901</t>
        </is>
      </c>
      <c r="P720" t="inlineStr">
        <is>
          <t>Banten</t>
        </is>
      </c>
      <c r="Q720" t="inlineStr"/>
    </row>
    <row r="721">
      <c r="A721" t="inlineStr">
        <is>
          <t>WAHANA SULAWESI</t>
        </is>
      </c>
      <c r="B721" t="inlineStr">
        <is>
          <t>Kota Palu</t>
        </is>
      </c>
      <c r="C721" t="inlineStr">
        <is>
          <t>085230135325</t>
        </is>
      </c>
      <c r="D721" t="inlineStr">
        <is>
          <t>wahana_sulawesi@yahoo.co.id</t>
        </is>
      </c>
      <c r="E721" t="inlineStr">
        <is>
          <t>https://lpjk.pu.go.id/search-badan-usaha-detail/akVTYklrYXRQNnZydFZRUmY3Ni9Kdz09</t>
        </is>
      </c>
      <c r="F721" t="n">
        <v>1</v>
      </c>
      <c r="G721" t="inlineStr">
        <is>
          <t>BG009</t>
        </is>
      </c>
      <c r="H721" t="inlineStr">
        <is>
          <t>25 Juni 1997</t>
        </is>
      </c>
      <c r="I721" s="2" t="n">
        <v>46282</v>
      </c>
      <c r="J721" t="inlineStr">
        <is>
          <t>Disetujui</t>
        </is>
      </c>
      <c r="K721" t="n">
        <v>30</v>
      </c>
      <c r="L721" t="inlineStr">
        <is>
          <t>17 September 2026</t>
        </is>
      </c>
      <c r="M721" t="inlineStr">
        <is>
          <t>Konstruksi Gedung Lainnya</t>
        </is>
      </c>
      <c r="N721" t="inlineStr">
        <is>
          <t>K</t>
        </is>
      </c>
      <c r="O721" t="inlineStr">
        <is>
          <t>20230914</t>
        </is>
      </c>
      <c r="P721" t="inlineStr">
        <is>
          <t>Sulawesi Tengah</t>
        </is>
      </c>
      <c r="Q721" t="inlineStr"/>
    </row>
    <row r="722">
      <c r="A722" t="inlineStr">
        <is>
          <t>WAHYU MEGAH ABADI</t>
        </is>
      </c>
      <c r="B722" t="inlineStr">
        <is>
          <t>Kab. Banyuwangi</t>
        </is>
      </c>
      <c r="C722" t="inlineStr">
        <is>
          <t>081221008117</t>
        </is>
      </c>
      <c r="D722" t="inlineStr">
        <is>
          <t>pt.wmabanyuwangi@gmail.com</t>
        </is>
      </c>
      <c r="E722" t="inlineStr">
        <is>
          <t>https://lpjk.pu.go.id/search-badan-usaha-detail/eGR5Q1VuN3lIaEJ1N096Qjg5QnlIQT09</t>
        </is>
      </c>
      <c r="F722" t="n">
        <v>1</v>
      </c>
      <c r="G722" t="inlineStr">
        <is>
          <t>BG009</t>
        </is>
      </c>
      <c r="H722" t="inlineStr">
        <is>
          <t>20 Maret 1998</t>
        </is>
      </c>
      <c r="I722" s="2" t="n">
        <v>46282</v>
      </c>
      <c r="J722" t="inlineStr">
        <is>
          <t>Disetujui</t>
        </is>
      </c>
      <c r="K722" t="n">
        <v>30</v>
      </c>
      <c r="L722" t="inlineStr">
        <is>
          <t>17 September 2026</t>
        </is>
      </c>
      <c r="M722" t="inlineStr">
        <is>
          <t>Konstruksi Gedung Lainnya</t>
        </is>
      </c>
      <c r="N722" t="inlineStr">
        <is>
          <t>K</t>
        </is>
      </c>
      <c r="O722" t="inlineStr">
        <is>
          <t>20230908</t>
        </is>
      </c>
      <c r="P722" t="inlineStr">
        <is>
          <t>Jawa Timur</t>
        </is>
      </c>
      <c r="Q722" t="inlineStr"/>
    </row>
    <row r="723">
      <c r="A723" t="inlineStr">
        <is>
          <t>WAHYU RAMADHAN</t>
        </is>
      </c>
      <c r="B723" t="inlineStr">
        <is>
          <t>Kota Batu</t>
        </is>
      </c>
      <c r="C723" t="inlineStr">
        <is>
          <t>0341468181</t>
        </is>
      </c>
      <c r="D723" t="inlineStr">
        <is>
          <t>wahyuramadhan.cv@gmail.com</t>
        </is>
      </c>
      <c r="E723" t="inlineStr">
        <is>
          <t>https://lpjk.pu.go.id/search-badan-usaha-detail/T2drMnVYOHB0NHJaZWxZdG93Nlg1QT09</t>
        </is>
      </c>
      <c r="F723" t="n">
        <v>2</v>
      </c>
      <c r="G723" t="inlineStr">
        <is>
          <t>BS002, BS004</t>
        </is>
      </c>
      <c r="H723" t="inlineStr">
        <is>
          <t>29 Agustus 2009</t>
        </is>
      </c>
      <c r="I723" s="2" t="n">
        <v>46278</v>
      </c>
      <c r="J723" t="inlineStr">
        <is>
          <t>Disetujui, Validasi</t>
        </is>
      </c>
      <c r="K723" t="n">
        <v>30</v>
      </c>
      <c r="L723" t="inlineStr">
        <is>
          <t>13 September 2026</t>
        </is>
      </c>
      <c r="M723" t="inlineStr">
        <is>
          <t>Bangunan Sipil Jembatan, Jalan Layang, Fly Over, dan Underpass, Konstruksi Jaringan Irigasi dan Drainase</t>
        </is>
      </c>
      <c r="N723" t="inlineStr">
        <is>
          <t>K</t>
        </is>
      </c>
      <c r="O723" t="inlineStr">
        <is>
          <t>20230724, 20230911</t>
        </is>
      </c>
      <c r="P723" t="inlineStr">
        <is>
          <t>Jawa Timur</t>
        </is>
      </c>
      <c r="Q723" t="inlineStr"/>
    </row>
    <row r="724">
      <c r="A724" t="inlineStr">
        <is>
          <t>WELLTECH POWERIC INDONESIA</t>
        </is>
      </c>
      <c r="B724" t="inlineStr">
        <is>
          <t>Kota Batam</t>
        </is>
      </c>
      <c r="C724" t="inlineStr">
        <is>
          <t>085374537333</t>
        </is>
      </c>
      <c r="D724" t="inlineStr">
        <is>
          <t>Ptwelltechpoweric@gmail.com</t>
        </is>
      </c>
      <c r="E724" t="inlineStr">
        <is>
          <t>https://lpjk.pu.go.id/search-badan-usaha-detail/Sk9qZDNENHJQTDgrSWpNYmFxTWZrZz09</t>
        </is>
      </c>
      <c r="F724" t="n">
        <v>4</v>
      </c>
      <c r="G724" t="inlineStr">
        <is>
          <t>BG001, BG002, BG003, BS007</t>
        </is>
      </c>
      <c r="H724" t="inlineStr">
        <is>
          <t>15 Mei 2023</t>
        </is>
      </c>
      <c r="I724" s="2" t="n">
        <v>46278</v>
      </c>
      <c r="J724" t="inlineStr">
        <is>
          <t>Disetujui</t>
        </is>
      </c>
      <c r="K724" t="n">
        <v>30</v>
      </c>
      <c r="L724" t="inlineStr">
        <is>
          <t>13 September 2026</t>
        </is>
      </c>
      <c r="M724" t="inlineStr">
        <is>
          <t>Konstruksi Bangunan Sipil Elektrikal, Konstruksi Gedung Hunian, Konstruksi Gedung Industri, Konstruksi Gedung Perkantoran</t>
        </is>
      </c>
      <c r="N724" t="inlineStr">
        <is>
          <t>K</t>
        </is>
      </c>
      <c r="O724" t="inlineStr">
        <is>
          <t>20230913</t>
        </is>
      </c>
      <c r="P724" t="inlineStr">
        <is>
          <t>Kepulauan Riau</t>
        </is>
      </c>
      <c r="Q724" t="inlineStr"/>
    </row>
    <row r="725">
      <c r="A725" t="inlineStr">
        <is>
          <t>WIJAYA KONSULTAN INDEPENDENT</t>
        </is>
      </c>
      <c r="B725" t="inlineStr">
        <is>
          <t>Kota Adm. Jakarta Selatan</t>
        </is>
      </c>
      <c r="C725" t="inlineStr">
        <is>
          <t>081351105275</t>
        </is>
      </c>
      <c r="D725" t="inlineStr">
        <is>
          <t>wijaya.konsultan.independent@bisnismail.com</t>
        </is>
      </c>
      <c r="E725" t="inlineStr">
        <is>
          <t>https://lpjk.pu.go.id/search-badan-usaha-detail/dlN2bW56V0lYK1YvVmZlMlV4Q3IzQT09</t>
        </is>
      </c>
      <c r="F725" t="n">
        <v>6</v>
      </c>
      <c r="G725" t="inlineStr">
        <is>
          <t>AR001, AR002, AR003</t>
        </is>
      </c>
      <c r="H725" t="inlineStr">
        <is>
          <t>10 Agustus 2023</t>
        </is>
      </c>
      <c r="I725" s="2" t="n">
        <v>46283</v>
      </c>
      <c r="J725" t="inlineStr">
        <is>
          <t>Disetujui</t>
        </is>
      </c>
      <c r="K725" t="n">
        <v>30</v>
      </c>
      <c r="L725" t="inlineStr">
        <is>
          <t>18 September 2026</t>
        </is>
      </c>
      <c r="M725" t="inlineStr">
        <is>
          <t>Jasa Arsitektural Bangunan Gedung Hunian dan Non Hunian, Jasa Arsitektural Lainnya, Jasa Desain Interior pada Bangunan Gedung dan Bangunan Sipil</t>
        </is>
      </c>
      <c r="N725" t="inlineStr">
        <is>
          <t>K</t>
        </is>
      </c>
      <c r="O725" t="inlineStr">
        <is>
          <t>20230905</t>
        </is>
      </c>
      <c r="P725" t="inlineStr">
        <is>
          <t>DKI Jakarta</t>
        </is>
      </c>
      <c r="Q725" t="inlineStr"/>
    </row>
    <row r="726">
      <c r="A726" t="inlineStr">
        <is>
          <t>WIJAYA NUSANTARAA</t>
        </is>
      </c>
      <c r="B726" t="inlineStr">
        <is>
          <t>Kab. Bengkulu Utara</t>
        </is>
      </c>
      <c r="C726" t="inlineStr">
        <is>
          <t>081368749461</t>
        </is>
      </c>
      <c r="D726" t="inlineStr">
        <is>
          <t>nusantaracvwijaya@gmail.com</t>
        </is>
      </c>
      <c r="E726" t="inlineStr">
        <is>
          <t>https://lpjk.pu.go.id/search-badan-usaha-detail/bnRuSE1wL2NMcFFSd0dUN2lUUHNZQT09</t>
        </is>
      </c>
      <c r="F726" t="n">
        <v>8</v>
      </c>
      <c r="G726" t="inlineStr">
        <is>
          <t>BG002, BG006, BG009, BS002</t>
        </is>
      </c>
      <c r="H726" t="inlineStr">
        <is>
          <t>2 Agustus 2023</t>
        </is>
      </c>
      <c r="I726" s="2" t="n">
        <v>46283</v>
      </c>
      <c r="J726" t="inlineStr">
        <is>
          <t>Disetujui</t>
        </is>
      </c>
      <c r="K726" t="n">
        <v>30</v>
      </c>
      <c r="L726" t="inlineStr">
        <is>
          <t>18 September 2026</t>
        </is>
      </c>
      <c r="M726" t="inlineStr">
        <is>
          <t>Bangunan Sipil Jembatan, Jalan Layang, Fly Over, dan Underpass, Konstruksi Gedung Lainnya, Konstruksi Gedung Pendidikan, Konstruksi Gedung Perkantoran</t>
        </is>
      </c>
      <c r="N726" t="inlineStr">
        <is>
          <t>K</t>
        </is>
      </c>
      <c r="O726" t="inlineStr">
        <is>
          <t>20230915</t>
        </is>
      </c>
      <c r="P726" t="inlineStr">
        <is>
          <t>Bengkulu</t>
        </is>
      </c>
      <c r="Q726" t="inlineStr"/>
    </row>
    <row r="727">
      <c r="A727" t="inlineStr">
        <is>
          <t>WILLY KARYA</t>
        </is>
      </c>
      <c r="B727" t="inlineStr">
        <is>
          <t>Kota Kupang</t>
        </is>
      </c>
      <c r="C727" t="inlineStr">
        <is>
          <t>081338466777</t>
        </is>
      </c>
      <c r="D727" t="inlineStr">
        <is>
          <t>karya.willy@gmail.com</t>
        </is>
      </c>
      <c r="E727" t="inlineStr">
        <is>
          <t>https://lpjk.pu.go.id/search-badan-usaha-detail/eDFDSGEzVEJ2dFRDbFFrYXJaS0wyZz09</t>
        </is>
      </c>
      <c r="F727" t="n">
        <v>1</v>
      </c>
      <c r="G727" t="inlineStr">
        <is>
          <t>BG005</t>
        </is>
      </c>
      <c r="H727" t="inlineStr">
        <is>
          <t>5 Januari 2015</t>
        </is>
      </c>
      <c r="I727" s="2" t="n">
        <v>46279</v>
      </c>
      <c r="J727" t="inlineStr">
        <is>
          <t>Disetujui</t>
        </is>
      </c>
      <c r="K727" t="n">
        <v>30</v>
      </c>
      <c r="L727" t="inlineStr">
        <is>
          <t>14 September 2026</t>
        </is>
      </c>
      <c r="M727" t="inlineStr">
        <is>
          <t>Konstruksi Gedung Kesehatan</t>
        </is>
      </c>
      <c r="N727" t="inlineStr">
        <is>
          <t>K</t>
        </is>
      </c>
      <c r="O727" t="inlineStr">
        <is>
          <t>20230904</t>
        </is>
      </c>
      <c r="P727" t="inlineStr">
        <is>
          <t>Nusa Tenggara Timur</t>
        </is>
      </c>
      <c r="Q727" t="inlineStr"/>
    </row>
    <row r="728">
      <c r="A728" t="inlineStr">
        <is>
          <t>WIRA AGUNG</t>
        </is>
      </c>
      <c r="B728" t="inlineStr">
        <is>
          <t>Kab. Indramayu</t>
        </is>
      </c>
      <c r="C728" t="inlineStr">
        <is>
          <t>0234271740</t>
        </is>
      </c>
      <c r="D728" t="inlineStr">
        <is>
          <t>wira.agung88@gmail.com</t>
        </is>
      </c>
      <c r="E728" t="inlineStr">
        <is>
          <t>https://lpjk.pu.go.id/search-badan-usaha-detail/aXBLc3ptUEFQeGdWM2R5c0JocGl4dz09</t>
        </is>
      </c>
      <c r="F728" t="n">
        <v>1</v>
      </c>
      <c r="G728" t="inlineStr">
        <is>
          <t>KK005</t>
        </is>
      </c>
      <c r="H728" t="inlineStr">
        <is>
          <t>30 Januari 2003</t>
        </is>
      </c>
      <c r="I728" s="2" t="n">
        <v>46278</v>
      </c>
      <c r="J728" t="inlineStr">
        <is>
          <t>Disetujui</t>
        </is>
      </c>
      <c r="K728" t="n">
        <v>30</v>
      </c>
      <c r="L728" t="inlineStr">
        <is>
          <t>13 September 2026</t>
        </is>
      </c>
      <c r="M728" t="inlineStr">
        <is>
          <t>Pekerjaan Lapis Perkerasan Beton (Rigid Pavement)</t>
        </is>
      </c>
      <c r="N728" t="inlineStr">
        <is>
          <t>Spesialis</t>
        </is>
      </c>
      <c r="O728" t="inlineStr">
        <is>
          <t>20230831</t>
        </is>
      </c>
      <c r="P728" t="inlineStr">
        <is>
          <t>Jawa Barat</t>
        </is>
      </c>
      <c r="Q728" t="inlineStr"/>
    </row>
    <row r="729">
      <c r="A729" t="inlineStr">
        <is>
          <t>WIRA BIMA KARYA</t>
        </is>
      </c>
      <c r="B729" t="inlineStr">
        <is>
          <t>Kota Medan</t>
        </is>
      </c>
      <c r="C729" t="inlineStr">
        <is>
          <t>081360388960</t>
        </is>
      </c>
      <c r="D729" t="inlineStr">
        <is>
          <t>Wirabimakarya@gmail.com</t>
        </is>
      </c>
      <c r="E729" t="inlineStr">
        <is>
          <t>https://lpjk.pu.go.id/search-badan-usaha-detail/YkllTzZpNjlRczJTR1B6RVFKTlVzZz09</t>
        </is>
      </c>
      <c r="F729" t="n">
        <v>4</v>
      </c>
      <c r="G729" t="inlineStr">
        <is>
          <t>BG001, BG002, BG005, BG006</t>
        </is>
      </c>
      <c r="H729" t="inlineStr">
        <is>
          <t>6 Juli 2023</t>
        </is>
      </c>
      <c r="I729" s="2" t="n">
        <v>46279</v>
      </c>
      <c r="J729" t="inlineStr">
        <is>
          <t>Disetujui</t>
        </is>
      </c>
      <c r="K729" t="n">
        <v>30</v>
      </c>
      <c r="L729" t="inlineStr">
        <is>
          <t>14 September 2026</t>
        </is>
      </c>
      <c r="M729" t="inlineStr">
        <is>
          <t>Konstruksi Gedung Hunian, Konstruksi Gedung Kesehatan, Konstruksi Gedung Pendidikan, Konstruksi Gedung Perkantoran</t>
        </is>
      </c>
      <c r="N729" t="inlineStr">
        <is>
          <t>K</t>
        </is>
      </c>
      <c r="O729" t="inlineStr">
        <is>
          <t>20230913, 20230914, 20230919</t>
        </is>
      </c>
      <c r="P729" t="inlineStr">
        <is>
          <t>Sumatera Utara</t>
        </is>
      </c>
      <c r="Q729" t="inlineStr"/>
    </row>
    <row r="730">
      <c r="A730" t="inlineStr">
        <is>
          <t>WIRAHADI DJAYA</t>
        </is>
      </c>
      <c r="B730" t="inlineStr">
        <is>
          <t>Kab. Indramayu</t>
        </is>
      </c>
      <c r="C730" t="inlineStr">
        <is>
          <t>0818459271</t>
        </is>
      </c>
      <c r="D730" t="inlineStr">
        <is>
          <t>cvwirahadidjaya@gmail.com</t>
        </is>
      </c>
      <c r="E730" t="inlineStr">
        <is>
          <t>https://lpjk.pu.go.id/search-badan-usaha-detail/YXlGR0RqeVJGMFBOSFF5a29KM0dQQT09</t>
        </is>
      </c>
      <c r="F730" t="n">
        <v>2</v>
      </c>
      <c r="G730" t="inlineStr">
        <is>
          <t>BG005</t>
        </is>
      </c>
      <c r="H730" t="inlineStr">
        <is>
          <t>3 April 2013</t>
        </is>
      </c>
      <c r="I730" s="2" t="n">
        <v>46277</v>
      </c>
      <c r="J730" t="inlineStr">
        <is>
          <t>Disetujui</t>
        </is>
      </c>
      <c r="K730" t="n">
        <v>30</v>
      </c>
      <c r="L730" t="inlineStr">
        <is>
          <t>12 September 2026</t>
        </is>
      </c>
      <c r="M730" t="inlineStr">
        <is>
          <t>Konstruksi Gedung Kesehatan</t>
        </is>
      </c>
      <c r="N730" t="inlineStr">
        <is>
          <t>K</t>
        </is>
      </c>
      <c r="O730" t="inlineStr">
        <is>
          <t>20230414</t>
        </is>
      </c>
      <c r="P730" t="inlineStr">
        <is>
          <t>Jawa Barat</t>
        </is>
      </c>
      <c r="Q730" t="inlineStr"/>
    </row>
    <row r="731">
      <c r="A731" t="inlineStr">
        <is>
          <t>WIRATAMA SENTOSA</t>
        </is>
      </c>
      <c r="B731" t="inlineStr">
        <is>
          <t>Kota Palembang</t>
        </is>
      </c>
      <c r="C731" t="inlineStr">
        <is>
          <t>081278570061</t>
        </is>
      </c>
      <c r="D731" t="inlineStr">
        <is>
          <t>wiratamasentosa21@gmail.com</t>
        </is>
      </c>
      <c r="E731" t="inlineStr">
        <is>
          <t>https://lpjk.pu.go.id/search-badan-usaha-detail/WmZHY2d4THFFZis5UWNYcStsNVFsdz09</t>
        </is>
      </c>
      <c r="F731" t="n">
        <v>8</v>
      </c>
      <c r="G731" t="inlineStr">
        <is>
          <t>BG001, BG003, BG006, BG009</t>
        </is>
      </c>
      <c r="H731" t="inlineStr">
        <is>
          <t>9 September 2018</t>
        </is>
      </c>
      <c r="I731" s="2" t="n">
        <v>46280</v>
      </c>
      <c r="J731" t="inlineStr">
        <is>
          <t>Disetujui</t>
        </is>
      </c>
      <c r="K731" t="n">
        <v>30</v>
      </c>
      <c r="L731" t="inlineStr">
        <is>
          <t>15 September 2026</t>
        </is>
      </c>
      <c r="M731" t="inlineStr">
        <is>
          <t>Konstruksi Gedung Hunian, Konstruksi Gedung Industri, Konstruksi Gedung Lainnya, Konstruksi Gedung Pendidikan</t>
        </is>
      </c>
      <c r="N731" t="inlineStr">
        <is>
          <t>K</t>
        </is>
      </c>
      <c r="O731" t="inlineStr">
        <is>
          <t>20230914, 20230915</t>
        </is>
      </c>
      <c r="P731" t="inlineStr">
        <is>
          <t>Sumatera Selatan</t>
        </is>
      </c>
      <c r="Q731" t="inlineStr"/>
    </row>
    <row r="732">
      <c r="A732" t="inlineStr">
        <is>
          <t>WULAN</t>
        </is>
      </c>
      <c r="B732" t="inlineStr">
        <is>
          <t>Kab. Tanah Laut</t>
        </is>
      </c>
      <c r="C732" t="inlineStr">
        <is>
          <t>082240349988</t>
        </is>
      </c>
      <c r="D732" t="inlineStr">
        <is>
          <t>cv.wulan@ymail.com</t>
        </is>
      </c>
      <c r="E732" t="inlineStr">
        <is>
          <t>https://lpjk.pu.go.id/search-badan-usaha-detail/VmFTaGkxWDhTS3VwMGRqRXdOZ0FsZz09</t>
        </is>
      </c>
      <c r="F732" t="n">
        <v>1</v>
      </c>
      <c r="G732" t="inlineStr">
        <is>
          <t>BS001</t>
        </is>
      </c>
      <c r="H732" t="inlineStr">
        <is>
          <t>17 Januari 2001</t>
        </is>
      </c>
      <c r="I732" s="2" t="n">
        <v>46279</v>
      </c>
      <c r="J732" t="inlineStr">
        <is>
          <t>Disetujui</t>
        </is>
      </c>
      <c r="K732" t="n">
        <v>30</v>
      </c>
      <c r="L732" t="inlineStr">
        <is>
          <t>14 September 2026</t>
        </is>
      </c>
      <c r="M732" t="inlineStr">
        <is>
          <t>Konstruksi Bangunan Sipil Jalan</t>
        </is>
      </c>
      <c r="N732" t="inlineStr">
        <is>
          <t>K</t>
        </is>
      </c>
      <c r="O732" t="inlineStr">
        <is>
          <t>20230908</t>
        </is>
      </c>
      <c r="P732" t="inlineStr">
        <is>
          <t>Kalimantan Selatan</t>
        </is>
      </c>
      <c r="Q732" t="inlineStr"/>
    </row>
    <row r="733">
      <c r="A733" t="inlineStr">
        <is>
          <t>YANA MAJU BERSAMA</t>
        </is>
      </c>
      <c r="B733" t="inlineStr">
        <is>
          <t>Kab. Banyuwangi</t>
        </is>
      </c>
      <c r="C733" t="inlineStr">
        <is>
          <t>081238139788</t>
        </is>
      </c>
      <c r="D733" t="inlineStr">
        <is>
          <t>yanamajubersama@gmail.com</t>
        </is>
      </c>
      <c r="E733" t="inlineStr">
        <is>
          <t>https://lpjk.pu.go.id/search-badan-usaha-detail/Y2tFYU80Qzl4eVplekQyZGJMbytFdz09</t>
        </is>
      </c>
      <c r="F733" t="n">
        <v>1</v>
      </c>
      <c r="G733" t="inlineStr">
        <is>
          <t>BG005</t>
        </is>
      </c>
      <c r="H733" t="inlineStr">
        <is>
          <t>25 April 2016</t>
        </is>
      </c>
      <c r="I733" s="2" t="n">
        <v>46282</v>
      </c>
      <c r="J733" t="inlineStr">
        <is>
          <t>Disetujui</t>
        </is>
      </c>
      <c r="K733" t="n">
        <v>30</v>
      </c>
      <c r="L733" t="inlineStr">
        <is>
          <t>17 September 2026</t>
        </is>
      </c>
      <c r="M733" t="inlineStr">
        <is>
          <t>Konstruksi Gedung Kesehatan</t>
        </is>
      </c>
      <c r="N733" t="inlineStr">
        <is>
          <t>K</t>
        </is>
      </c>
      <c r="O733" t="inlineStr">
        <is>
          <t>20230914</t>
        </is>
      </c>
      <c r="P733" t="inlineStr">
        <is>
          <t>Jawa Timur</t>
        </is>
      </c>
      <c r="Q733" t="inlineStr"/>
    </row>
    <row r="734">
      <c r="A734" t="inlineStr">
        <is>
          <t>YOGA DESAIN ARSITEK</t>
        </is>
      </c>
      <c r="B734" t="inlineStr">
        <is>
          <t>Kota Denpasar</t>
        </is>
      </c>
      <c r="C734" t="inlineStr">
        <is>
          <t>081339397039</t>
        </is>
      </c>
      <c r="D734" t="inlineStr">
        <is>
          <t>cvyogadesignarchitect@gmail.com</t>
        </is>
      </c>
      <c r="E734" t="inlineStr">
        <is>
          <t>https://lpjk.pu.go.id/search-badan-usaha-detail/QjFNSDdTZmhFWnBuTG5nWFVOREdyZz09</t>
        </is>
      </c>
      <c r="F734" t="n">
        <v>2</v>
      </c>
      <c r="G734" t="inlineStr">
        <is>
          <t>AR001, AR002</t>
        </is>
      </c>
      <c r="H734" t="inlineStr">
        <is>
          <t>2 September 2022</t>
        </is>
      </c>
      <c r="I734" s="2" t="n">
        <v>46282</v>
      </c>
      <c r="J734" t="inlineStr">
        <is>
          <t>Disetujui</t>
        </is>
      </c>
      <c r="K734" t="n">
        <v>30</v>
      </c>
      <c r="L734" t="inlineStr">
        <is>
          <t>17 September 2026</t>
        </is>
      </c>
      <c r="M734" t="inlineStr">
        <is>
          <t>Jasa Arsitektural Bangunan Gedung Hunian dan Non Hunian, Jasa Arsitektural Lainnya</t>
        </is>
      </c>
      <c r="N734" t="inlineStr">
        <is>
          <t>K</t>
        </is>
      </c>
      <c r="O734" t="inlineStr">
        <is>
          <t>20230912</t>
        </is>
      </c>
      <c r="P734" t="inlineStr">
        <is>
          <t>Bali</t>
        </is>
      </c>
      <c r="Q734" t="inlineStr"/>
    </row>
    <row r="735">
      <c r="A735" t="inlineStr">
        <is>
          <t>YOGA UTAMA KONSTRUKSI</t>
        </is>
      </c>
      <c r="B735" t="inlineStr">
        <is>
          <t>Kab. Gianyar</t>
        </is>
      </c>
      <c r="C735" t="inlineStr">
        <is>
          <t>08123647568</t>
        </is>
      </c>
      <c r="D735" t="inlineStr">
        <is>
          <t>yogautamakonstruksi@gmail.com</t>
        </is>
      </c>
      <c r="E735" t="inlineStr">
        <is>
          <t>https://lpjk.pu.go.id/search-badan-usaha-detail/ZUFteXZNY0FROGNNOHY5REJOL0FQdz09</t>
        </is>
      </c>
      <c r="F735" t="n">
        <v>1</v>
      </c>
      <c r="G735" t="inlineStr">
        <is>
          <t>BG007</t>
        </is>
      </c>
      <c r="H735" t="inlineStr">
        <is>
          <t>24 Juli 2023</t>
        </is>
      </c>
      <c r="I735" s="2" t="n">
        <v>46280</v>
      </c>
      <c r="J735" t="inlineStr">
        <is>
          <t>Disetujui</t>
        </is>
      </c>
      <c r="K735" t="n">
        <v>30</v>
      </c>
      <c r="L735" t="inlineStr">
        <is>
          <t>15 September 2026</t>
        </is>
      </c>
      <c r="M735" t="inlineStr">
        <is>
          <t>Konstruksi Gedung Penginapan</t>
        </is>
      </c>
      <c r="N735" t="inlineStr">
        <is>
          <t>K</t>
        </is>
      </c>
      <c r="O735" t="inlineStr">
        <is>
          <t>20230915</t>
        </is>
      </c>
      <c r="P735" t="inlineStr">
        <is>
          <t>Bali</t>
        </is>
      </c>
      <c r="Q735" t="inlineStr"/>
    </row>
    <row r="736">
      <c r="A736" t="inlineStr">
        <is>
          <t>YUDHA UTAMA</t>
        </is>
      </c>
      <c r="B736" t="inlineStr">
        <is>
          <t>Kota Denpasar</t>
        </is>
      </c>
      <c r="C736" t="inlineStr">
        <is>
          <t>0361420873</t>
        </is>
      </c>
      <c r="D736" t="inlineStr">
        <is>
          <t>yudhautama.cv@gmail.com</t>
        </is>
      </c>
      <c r="E736" t="inlineStr">
        <is>
          <t>https://lpjk.pu.go.id/search-badan-usaha-detail/MzdkL0pwQnZNelJzSE15RURxdkxXdz09</t>
        </is>
      </c>
      <c r="F736" t="n">
        <v>1</v>
      </c>
      <c r="G736" t="inlineStr">
        <is>
          <t>BS001</t>
        </is>
      </c>
      <c r="H736" t="inlineStr">
        <is>
          <t>11 Juni 1996</t>
        </is>
      </c>
      <c r="I736" s="2" t="n">
        <v>46283</v>
      </c>
      <c r="J736" t="inlineStr">
        <is>
          <t>Disetujui</t>
        </is>
      </c>
      <c r="K736" t="n">
        <v>30</v>
      </c>
      <c r="L736" t="inlineStr">
        <is>
          <t>18 September 2026</t>
        </is>
      </c>
      <c r="M736" t="inlineStr">
        <is>
          <t>Konstruksi Bangunan Sipil Jalan</t>
        </is>
      </c>
      <c r="N736" t="inlineStr">
        <is>
          <t>K</t>
        </is>
      </c>
      <c r="O736" t="inlineStr">
        <is>
          <t>20230814</t>
        </is>
      </c>
      <c r="P736" t="inlineStr">
        <is>
          <t>Bali</t>
        </is>
      </c>
      <c r="Q736" t="inlineStr"/>
    </row>
    <row r="737">
      <c r="A737" t="inlineStr">
        <is>
          <t>ZAHRA BINTANG LESTARI</t>
        </is>
      </c>
      <c r="B737" t="inlineStr">
        <is>
          <t>Kab. Kutai Timur</t>
        </is>
      </c>
      <c r="C737" t="inlineStr">
        <is>
          <t>085299129870</t>
        </is>
      </c>
      <c r="D737" t="inlineStr">
        <is>
          <t>zahra.bintanglestari@gmail.com</t>
        </is>
      </c>
      <c r="E737" t="inlineStr">
        <is>
          <t>https://lpjk.pu.go.id/search-badan-usaha-detail/MUNZVFU0UmJMT3ZHckxCWmpvVkhpdz09</t>
        </is>
      </c>
      <c r="F737" t="n">
        <v>6</v>
      </c>
      <c r="G737" t="inlineStr">
        <is>
          <t>BG006, BG009, BS004</t>
        </is>
      </c>
      <c r="H737" t="inlineStr">
        <is>
          <t>5 Mei 2021</t>
        </is>
      </c>
      <c r="I737" s="2" t="n">
        <v>46279</v>
      </c>
      <c r="J737" t="inlineStr">
        <is>
          <t>Disetujui</t>
        </is>
      </c>
      <c r="K737" t="n">
        <v>30</v>
      </c>
      <c r="L737" t="inlineStr">
        <is>
          <t>14 September 2026</t>
        </is>
      </c>
      <c r="M737" t="inlineStr">
        <is>
          <t>Konstruksi Gedung Lainnya, Konstruksi Gedung Pendidikan, Konstruksi Jaringan Irigasi dan Drainase</t>
        </is>
      </c>
      <c r="N737" t="inlineStr">
        <is>
          <t>K</t>
        </is>
      </c>
      <c r="O737" t="inlineStr">
        <is>
          <t>20230906, 20230914</t>
        </is>
      </c>
      <c r="P737" t="inlineStr">
        <is>
          <t>Kalimantan Timur</t>
        </is>
      </c>
      <c r="Q737" t="inlineStr"/>
    </row>
    <row r="738">
      <c r="A738" t="inlineStr">
        <is>
          <t>ZAKY ZIKRI</t>
        </is>
      </c>
      <c r="B738" t="inlineStr">
        <is>
          <t>Kab. Aceh Utara</t>
        </is>
      </c>
      <c r="C738" t="inlineStr">
        <is>
          <t>082288216008</t>
        </is>
      </c>
      <c r="D738" t="inlineStr">
        <is>
          <t>zakyzikri@yahoo.co.id</t>
        </is>
      </c>
      <c r="E738" t="inlineStr">
        <is>
          <t>https://lpjk.pu.go.id/search-badan-usaha-detail/YmcxaGJyUFVZUFV6aVZhL3ZXdzVpZz09</t>
        </is>
      </c>
      <c r="F738" t="n">
        <v>4</v>
      </c>
      <c r="G738" t="inlineStr">
        <is>
          <t>BG002, BG004, BG006, BG008</t>
        </is>
      </c>
      <c r="H738" t="inlineStr">
        <is>
          <t>5 Januari 2016</t>
        </is>
      </c>
      <c r="I738" s="2" t="n">
        <v>46278</v>
      </c>
      <c r="J738" t="inlineStr">
        <is>
          <t>Disetujui</t>
        </is>
      </c>
      <c r="K738" t="n">
        <v>30</v>
      </c>
      <c r="L738" t="inlineStr">
        <is>
          <t>13 September 2026</t>
        </is>
      </c>
      <c r="M738" t="inlineStr">
        <is>
          <t>Konstruksi Gedung Pendidikan, Konstruksi Gedung Perbelanjaan, Konstruksi Gedung Perkantoran, Konstruksi Gedung Tempat Hiburan dan Olahraga</t>
        </is>
      </c>
      <c r="N738" t="inlineStr">
        <is>
          <t>K</t>
        </is>
      </c>
      <c r="O738" t="inlineStr">
        <is>
          <t>20230913, 20230914, 20230915</t>
        </is>
      </c>
      <c r="P738" t="inlineStr">
        <is>
          <t>Aceh</t>
        </is>
      </c>
      <c r="Q738" t="inlineStr"/>
    </row>
    <row r="739">
      <c r="A739" t="inlineStr">
        <is>
          <t>ZARA FARADISE</t>
        </is>
      </c>
      <c r="B739" t="inlineStr">
        <is>
          <t>Kota Tegal</t>
        </is>
      </c>
      <c r="C739" t="inlineStr">
        <is>
          <t>082313859005</t>
        </is>
      </c>
      <c r="D739" t="inlineStr">
        <is>
          <t>zarafaradise2020@gmail.com</t>
        </is>
      </c>
      <c r="E739" t="inlineStr">
        <is>
          <t>https://lpjk.pu.go.id/search-badan-usaha-detail/eUZxVHV5Z0x4ZndBTCtXeGZLVWZJUT09</t>
        </is>
      </c>
      <c r="F739" t="n">
        <v>1</v>
      </c>
      <c r="G739" t="inlineStr">
        <is>
          <t>BS004</t>
        </is>
      </c>
      <c r="H739" t="inlineStr">
        <is>
          <t>24 Juli 2020</t>
        </is>
      </c>
      <c r="I739" s="2" t="n">
        <v>46278</v>
      </c>
      <c r="J739" t="inlineStr">
        <is>
          <t>Pencabutan</t>
        </is>
      </c>
      <c r="K739" t="n">
        <v>30</v>
      </c>
      <c r="L739" t="inlineStr">
        <is>
          <t>13 September 2026</t>
        </is>
      </c>
      <c r="M739" t="inlineStr">
        <is>
          <t>Konstruksi Jaringan Irigasi dan Drainase</t>
        </is>
      </c>
      <c r="N739" t="inlineStr">
        <is>
          <t>K</t>
        </is>
      </c>
      <c r="O739" t="inlineStr">
        <is>
          <t>20230913</t>
        </is>
      </c>
      <c r="P739" t="inlineStr">
        <is>
          <t>Jawa Tengah</t>
        </is>
      </c>
      <c r="Q739" t="inlineStr"/>
    </row>
    <row r="740">
      <c r="A740" t="inlineStr">
        <is>
          <t>ZHAFRAN PUTRA UTAMA</t>
        </is>
      </c>
      <c r="B740" t="inlineStr">
        <is>
          <t>Kab. Soppeng</t>
        </is>
      </c>
      <c r="C740" t="inlineStr">
        <is>
          <t>085241770198</t>
        </is>
      </c>
      <c r="D740" t="inlineStr">
        <is>
          <t>pt.zhafranputrautama@gmail.com</t>
        </is>
      </c>
      <c r="E740" t="inlineStr">
        <is>
          <t>https://lpjk.pu.go.id/search-badan-usaha-detail/VE1EbExQeDdwWkdoQVZWMEpXNmEyZz09</t>
        </is>
      </c>
      <c r="F740" t="n">
        <v>2</v>
      </c>
      <c r="G740" t="inlineStr">
        <is>
          <t>BG001, BS001</t>
        </is>
      </c>
      <c r="H740" t="inlineStr">
        <is>
          <t>30 September 2019</t>
        </is>
      </c>
      <c r="I740" s="2" t="n">
        <v>46281</v>
      </c>
      <c r="J740" t="inlineStr">
        <is>
          <t>Disetujui</t>
        </is>
      </c>
      <c r="K740" t="n">
        <v>30</v>
      </c>
      <c r="L740" t="inlineStr">
        <is>
          <t>16 September 2026</t>
        </is>
      </c>
      <c r="M740" t="inlineStr">
        <is>
          <t>Konstruksi Bangunan Sipil Jalan, Konstruksi Gedung Hunian</t>
        </is>
      </c>
      <c r="N740" t="inlineStr">
        <is>
          <t>K</t>
        </is>
      </c>
      <c r="O740" t="inlineStr">
        <is>
          <t>20230907</t>
        </is>
      </c>
      <c r="P740" t="inlineStr">
        <is>
          <t>Sulawesi Selatan</t>
        </is>
      </c>
      <c r="Q740" t="inlineStr"/>
    </row>
    <row r="741">
      <c r="A741" t="inlineStr">
        <is>
          <t>ZIFADA SEJAHTERA</t>
        </is>
      </c>
      <c r="B741" t="inlineStr">
        <is>
          <t>Kab. Malang</t>
        </is>
      </c>
      <c r="C741" t="inlineStr">
        <is>
          <t>085100427133</t>
        </is>
      </c>
      <c r="D741" t="inlineStr">
        <is>
          <t>zifadasejahtera@yahoo.com</t>
        </is>
      </c>
      <c r="E741" t="inlineStr">
        <is>
          <t>https://lpjk.pu.go.id/search-badan-usaha-detail/MjlsSEs1RC81MFl0Y2hJQXNjSEF0QT09</t>
        </is>
      </c>
      <c r="F741" t="n">
        <v>2</v>
      </c>
      <c r="G741" t="inlineStr">
        <is>
          <t>BG006</t>
        </is>
      </c>
      <c r="H741" t="inlineStr">
        <is>
          <t>13 Januari 2010</t>
        </is>
      </c>
      <c r="I741" s="2" t="n">
        <v>46283</v>
      </c>
      <c r="J741" t="inlineStr">
        <is>
          <t>Disetujui</t>
        </is>
      </c>
      <c r="K741" t="n">
        <v>30</v>
      </c>
      <c r="L741" t="inlineStr">
        <is>
          <t>18 September 2026</t>
        </is>
      </c>
      <c r="M741" t="inlineStr">
        <is>
          <t>Konstruksi Gedung Pendidikan</t>
        </is>
      </c>
      <c r="N741" t="inlineStr">
        <is>
          <t>K</t>
        </is>
      </c>
      <c r="O741" t="inlineStr">
        <is>
          <t>20230704</t>
        </is>
      </c>
      <c r="P741" t="inlineStr">
        <is>
          <t>Jawa Timur</t>
        </is>
      </c>
      <c r="Q7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2026-08-13T00:57:20Z</dcterms:created>
  <dcterms:modified xsi:type="dcterms:W3CDTF">2026-08-13T00:57:21Z</dcterms:modified>
</cp:coreProperties>
</file>