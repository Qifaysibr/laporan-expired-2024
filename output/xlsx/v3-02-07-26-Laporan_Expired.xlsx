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cols>
    <col width="30" customWidth="1" min="1" max="1"/>
    <col width="25" customWidth="1" min="2" max="2"/>
    <col width="16" customWidth="1" min="3" max="3"/>
    <col width="37" customWidth="1" min="4" max="4"/>
    <col width="50" customWidth="1" min="5" max="5"/>
    <col width="18" customWidth="1" min="6" max="6"/>
    <col width="35" customWidth="1" min="7" max="7"/>
    <col width="20" customWidth="1" min="8" max="8"/>
    <col width="28" customWidth="1" min="9" max="9"/>
    <col width="12" customWidth="1" min="10" max="10"/>
    <col width="11" customWidth="1" min="11" max="11"/>
    <col width="19" customWidth="1" min="12" max="12"/>
    <col width="50" customWidth="1" min="13" max="13"/>
    <col width="13" customWidth="1" min="14" max="14"/>
    <col width="20" customWidth="1" min="15" max="15"/>
    <col width="20"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ADHIA KARYAINDO</t>
        </is>
      </c>
      <c r="B2" t="inlineStr">
        <is>
          <t>Kota Bogor</t>
        </is>
      </c>
      <c r="C2" t="inlineStr">
        <is>
          <t>082113360062</t>
        </is>
      </c>
      <c r="D2" t="inlineStr">
        <is>
          <t>trieramdhaniiklas@gmail.com</t>
        </is>
      </c>
      <c r="E2" t="inlineStr">
        <is>
          <t>https://lpjk.pu.go.id/search-badan-usaha-detail/UE1MZHRzYU4xWWo0MXV5OWdFQVkvdz09</t>
        </is>
      </c>
      <c r="F2" t="n">
        <v>15</v>
      </c>
      <c r="G2" t="inlineStr">
        <is>
          <t>BS001, BS004</t>
        </is>
      </c>
      <c r="H2" t="inlineStr">
        <is>
          <t>24 Agustus 2023</t>
        </is>
      </c>
      <c r="I2" s="2" t="n">
        <v>46295</v>
      </c>
      <c r="J2" t="inlineStr">
        <is>
          <t>Disetujui</t>
        </is>
      </c>
      <c r="K2" t="n">
        <v>90</v>
      </c>
      <c r="L2" t="inlineStr">
        <is>
          <t>30 September 2026</t>
        </is>
      </c>
      <c r="M2" t="inlineStr">
        <is>
          <t>Konstruksi Bangunan Sipil Jalan, Konstruksi Jaringan Irigasi dan Drainase</t>
        </is>
      </c>
      <c r="N2" t="inlineStr">
        <is>
          <t>K</t>
        </is>
      </c>
      <c r="O2" t="inlineStr">
        <is>
          <t>20230908</t>
        </is>
      </c>
      <c r="P2" t="inlineStr">
        <is>
          <t>Jawa Barat</t>
        </is>
      </c>
      <c r="Q2" s="3">
        <f>HYPERLINK("https://wa.me/6282113360062?text=Selamat siang Bapak/Ibu pimpinan ADHIA KARYAINDO,%0A%0ASemoga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ANUGERAH BANGUNJAYA ABADI</t>
        </is>
      </c>
      <c r="B3" t="inlineStr">
        <is>
          <t>Kota Bekasi</t>
        </is>
      </c>
      <c r="C3" t="inlineStr">
        <is>
          <t>02188954583</t>
        </is>
      </c>
      <c r="D3" t="inlineStr">
        <is>
          <t>anugerahdatabase@gmail.com</t>
        </is>
      </c>
      <c r="E3" t="inlineStr">
        <is>
          <t>https://lpjk.pu.go.id/search-badan-usaha-detail/dzhBZjVCR3Y3MnFIN1Fjem5ZYTVMUT09</t>
        </is>
      </c>
      <c r="F3" t="n">
        <v>1</v>
      </c>
      <c r="G3" t="inlineStr">
        <is>
          <t>BG009</t>
        </is>
      </c>
      <c r="H3" t="inlineStr">
        <is>
          <t>25 Oktober 2005</t>
        </is>
      </c>
      <c r="I3" s="2" t="n">
        <v>46295</v>
      </c>
      <c r="J3" t="inlineStr">
        <is>
          <t>Disetujui</t>
        </is>
      </c>
      <c r="K3" t="n">
        <v>90</v>
      </c>
      <c r="L3" t="inlineStr">
        <is>
          <t>30 September 2026</t>
        </is>
      </c>
      <c r="M3" t="inlineStr">
        <is>
          <t>Konstruksi Gedung Lainnya</t>
        </is>
      </c>
      <c r="N3" t="inlineStr">
        <is>
          <t>K</t>
        </is>
      </c>
      <c r="O3" t="inlineStr">
        <is>
          <t>20230927</t>
        </is>
      </c>
      <c r="P3" t="inlineStr">
        <is>
          <t>Jawa Barat</t>
        </is>
      </c>
      <c r="Q3" t="inlineStr"/>
    </row>
    <row r="4">
      <c r="A4" t="inlineStr">
        <is>
          <t>DINDA JAYA PERSADA</t>
        </is>
      </c>
      <c r="B4" t="inlineStr">
        <is>
          <t>Kota Depok</t>
        </is>
      </c>
      <c r="C4" t="inlineStr">
        <is>
          <t>081380132123</t>
        </is>
      </c>
      <c r="D4" t="inlineStr">
        <is>
          <t>djpyadin72@gmail.com</t>
        </is>
      </c>
      <c r="E4" t="inlineStr">
        <is>
          <t>https://lpjk.pu.go.id/search-badan-usaha-detail/bFFKTmU2R0lmYmUrQWQ1dXkzNU00QT09</t>
        </is>
      </c>
      <c r="F4" t="n">
        <v>1</v>
      </c>
      <c r="G4" t="inlineStr">
        <is>
          <t>BG002</t>
        </is>
      </c>
      <c r="H4" t="inlineStr">
        <is>
          <t>2 Juli 2019</t>
        </is>
      </c>
      <c r="I4" s="2" t="n">
        <v>46295</v>
      </c>
      <c r="J4" t="inlineStr">
        <is>
          <t>Disetujui</t>
        </is>
      </c>
      <c r="K4" t="n">
        <v>90</v>
      </c>
      <c r="L4" t="inlineStr">
        <is>
          <t>30 September 2026</t>
        </is>
      </c>
      <c r="M4" t="inlineStr">
        <is>
          <t>Konstruksi Gedung Perkantoran</t>
        </is>
      </c>
      <c r="N4" t="inlineStr">
        <is>
          <t>K</t>
        </is>
      </c>
      <c r="O4" t="inlineStr">
        <is>
          <t>20230926</t>
        </is>
      </c>
      <c r="P4" t="inlineStr">
        <is>
          <t>Jawa Barat</t>
        </is>
      </c>
      <c r="Q4" s="3">
        <f>HYPERLINK("https://wa.me/6281380132123?text=Selamat siang Bapak/Ibu pimpinan DINDA JAYA PERSADA,%0A%0ASemoga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INDOTAMA SAKTI SEJAHTERA</t>
        </is>
      </c>
      <c r="B5" t="inlineStr">
        <is>
          <t>Kota Bekasi</t>
        </is>
      </c>
      <c r="C5" t="inlineStr">
        <is>
          <t>02189993502</t>
        </is>
      </c>
      <c r="D5" t="inlineStr">
        <is>
          <t>pt.indotamasaktisejahtera@gmail.com</t>
        </is>
      </c>
      <c r="E5" t="inlineStr">
        <is>
          <t>https://lpjk.pu.go.id/search-badan-usaha-detail/cXFXTG9hWklqbmJpSUhZTEVFRjVwZz09</t>
        </is>
      </c>
      <c r="F5" t="n">
        <v>2</v>
      </c>
      <c r="G5" t="inlineStr">
        <is>
          <t>BS001</t>
        </is>
      </c>
      <c r="H5" t="inlineStr">
        <is>
          <t>26 Oktober 2021</t>
        </is>
      </c>
      <c r="I5" s="2" t="n">
        <v>46295</v>
      </c>
      <c r="J5" t="inlineStr">
        <is>
          <t>Pencabutan</t>
        </is>
      </c>
      <c r="K5" t="n">
        <v>90</v>
      </c>
      <c r="L5" t="inlineStr">
        <is>
          <t>30 September 2026</t>
        </is>
      </c>
      <c r="M5" t="inlineStr">
        <is>
          <t>Konstruksi Bangunan Sipil Jalan</t>
        </is>
      </c>
      <c r="N5" t="inlineStr">
        <is>
          <t>K</t>
        </is>
      </c>
      <c r="O5" t="inlineStr">
        <is>
          <t>20230921</t>
        </is>
      </c>
      <c r="P5" t="inlineStr">
        <is>
          <t>Jawa Barat</t>
        </is>
      </c>
      <c r="Q5" t="inlineStr"/>
    </row>
    <row r="6">
      <c r="A6" t="inlineStr">
        <is>
          <t>KARYAPUTRA MANDIRI SEJAHTERA</t>
        </is>
      </c>
      <c r="B6" t="inlineStr">
        <is>
          <t>Kota Bogor</t>
        </is>
      </c>
      <c r="C6" t="inlineStr">
        <is>
          <t>02517538323</t>
        </is>
      </c>
      <c r="D6" t="inlineStr">
        <is>
          <t>pt_karyaputrams@yahoo.com</t>
        </is>
      </c>
      <c r="E6" t="inlineStr">
        <is>
          <t>https://lpjk.pu.go.id/search-badan-usaha-detail/VUxLK1p1S0ZTcjdJcTM2UFVGUUdoUT09</t>
        </is>
      </c>
      <c r="F6" t="n">
        <v>4</v>
      </c>
      <c r="G6" t="inlineStr">
        <is>
          <t>BG009, BS002</t>
        </is>
      </c>
      <c r="H6" t="inlineStr">
        <is>
          <t>5 Juni 2020</t>
        </is>
      </c>
      <c r="I6" s="2" t="n">
        <v>46295</v>
      </c>
      <c r="J6" t="inlineStr">
        <is>
          <t>Disetujui</t>
        </is>
      </c>
      <c r="K6" t="n">
        <v>90</v>
      </c>
      <c r="L6" t="inlineStr">
        <is>
          <t>30 September 2026</t>
        </is>
      </c>
      <c r="M6" t="inlineStr">
        <is>
          <t>Bangunan Sipil Jembatan, Jalan Layang, Fly Over, dan Underpass, Konstruksi Gedung Lainnya</t>
        </is>
      </c>
      <c r="N6" t="inlineStr">
        <is>
          <t>K</t>
        </is>
      </c>
      <c r="O6" t="inlineStr">
        <is>
          <t>20230926, 20230927</t>
        </is>
      </c>
      <c r="P6" t="inlineStr">
        <is>
          <t>Jawa Barat</t>
        </is>
      </c>
      <c r="Q6" s="3">
        <f>HYPERLINK("https://wa.me/622517538323?text=Selamat siang Bapak/Ibu pimpinan KARYAPUTRA MANDIRI SEJAHTERA,%0A%0ASemoga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ALAM MITRA KARYA</t>
        </is>
      </c>
      <c r="B7" t="inlineStr">
        <is>
          <t>Kota Palangkaraya</t>
        </is>
      </c>
      <c r="C7" t="inlineStr">
        <is>
          <t>081257566610</t>
        </is>
      </c>
      <c r="D7" t="inlineStr">
        <is>
          <t>alam.mitrakarya@gmail.com</t>
        </is>
      </c>
      <c r="E7" t="inlineStr">
        <is>
          <t>https://lpjk.pu.go.id/search-badan-usaha-detail/VVJTWmZUcUtNbmVXYWR5OXNZN0RWdz09</t>
        </is>
      </c>
      <c r="F7" t="n">
        <v>4</v>
      </c>
      <c r="G7" t="inlineStr">
        <is>
          <t>BG001, BG002, BG003, BG007</t>
        </is>
      </c>
      <c r="H7" t="inlineStr">
        <is>
          <t>11 Juli 2023</t>
        </is>
      </c>
      <c r="I7" s="2" t="n">
        <v>46295</v>
      </c>
      <c r="J7" t="inlineStr">
        <is>
          <t>Pencabutan</t>
        </is>
      </c>
      <c r="K7" t="n">
        <v>90</v>
      </c>
      <c r="L7" t="inlineStr">
        <is>
          <t>30 September 2026</t>
        </is>
      </c>
      <c r="M7" t="inlineStr">
        <is>
          <t>Konstruksi Gedung Hunian, Konstruksi Gedung Industri, Konstruksi Gedung Penginapan, Konstruksi Gedung Perkantoran</t>
        </is>
      </c>
      <c r="N7" t="inlineStr">
        <is>
          <t>K</t>
        </is>
      </c>
      <c r="O7" t="inlineStr">
        <is>
          <t>20230828</t>
        </is>
      </c>
      <c r="P7" t="inlineStr">
        <is>
          <t>Kalimantan Tengah</t>
        </is>
      </c>
      <c r="Q7" t="inlineStr"/>
    </row>
    <row r="8">
      <c r="A8" t="inlineStr">
        <is>
          <t>AMINY MANDIRI PAPUA</t>
        </is>
      </c>
      <c r="B8" t="inlineStr">
        <is>
          <t>Kab. Mimika</t>
        </is>
      </c>
      <c r="C8" t="inlineStr">
        <is>
          <t>081344318480</t>
        </is>
      </c>
      <c r="D8" t="inlineStr">
        <is>
          <t>cvaminymandiripapua@gmail.com</t>
        </is>
      </c>
      <c r="E8" t="inlineStr">
        <is>
          <t>https://lpjk.pu.go.id/search-badan-usaha-detail/QXA0M2M0TmE0S25MSkxsZzkwTHk0UT09</t>
        </is>
      </c>
      <c r="F8" t="n">
        <v>1</v>
      </c>
      <c r="G8" t="inlineStr">
        <is>
          <t>BG002</t>
        </is>
      </c>
      <c r="H8" t="inlineStr">
        <is>
          <t>16 Agustus 2023</t>
        </is>
      </c>
      <c r="I8" s="2" t="n">
        <v>46295</v>
      </c>
      <c r="J8" t="inlineStr">
        <is>
          <t>Pencabutan</t>
        </is>
      </c>
      <c r="K8" t="n">
        <v>90</v>
      </c>
      <c r="L8" t="inlineStr">
        <is>
          <t>30 September 2026</t>
        </is>
      </c>
      <c r="M8" t="inlineStr">
        <is>
          <t>Konstruksi Gedung Perkantoran</t>
        </is>
      </c>
      <c r="N8" t="inlineStr">
        <is>
          <t>K</t>
        </is>
      </c>
      <c r="O8" t="inlineStr">
        <is>
          <t>20230930</t>
        </is>
      </c>
      <c r="P8" t="inlineStr">
        <is>
          <t>Papua</t>
        </is>
      </c>
      <c r="Q8" t="inlineStr"/>
    </row>
    <row r="9">
      <c r="A9" t="inlineStr">
        <is>
          <t>ANUGRAH ILAHI</t>
        </is>
      </c>
      <c r="B9" t="inlineStr">
        <is>
          <t>Kab. Merauke</t>
        </is>
      </c>
      <c r="C9" t="inlineStr">
        <is>
          <t>082397195859</t>
        </is>
      </c>
      <c r="D9" t="inlineStr">
        <is>
          <t>cvanugrahilahi2019gmail.com</t>
        </is>
      </c>
      <c r="E9" t="inlineStr">
        <is>
          <t>https://lpjk.pu.go.id/search-badan-usaha-detail/MmErdE9JSVA5Y0F5RS9CR3NxYzNoUT09</t>
        </is>
      </c>
      <c r="F9" t="n">
        <v>6</v>
      </c>
      <c r="G9" t="inlineStr">
        <is>
          <t>BG002, BG008, BG009</t>
        </is>
      </c>
      <c r="H9" t="inlineStr">
        <is>
          <t>24 April 2014</t>
        </is>
      </c>
      <c r="I9" s="2" t="n">
        <v>46295</v>
      </c>
      <c r="J9" t="inlineStr">
        <is>
          <t>Disetujui</t>
        </is>
      </c>
      <c r="K9" t="n">
        <v>90</v>
      </c>
      <c r="L9" t="inlineStr">
        <is>
          <t>30 September 2026</t>
        </is>
      </c>
      <c r="M9" t="inlineStr">
        <is>
          <t>Konstruksi Gedung Lainnya, Konstruksi Gedung Perkantoran, Konstruksi Gedung Tempat Hiburan dan Olahraga</t>
        </is>
      </c>
      <c r="N9" t="inlineStr">
        <is>
          <t>K</t>
        </is>
      </c>
      <c r="O9" t="inlineStr">
        <is>
          <t>20230926, 20230927</t>
        </is>
      </c>
      <c r="P9" t="inlineStr">
        <is>
          <t>Papua</t>
        </is>
      </c>
      <c r="Q9" t="inlineStr"/>
    </row>
    <row r="10">
      <c r="A10" t="inlineStr">
        <is>
          <t>ARIS KARYA</t>
        </is>
      </c>
      <c r="B10" t="inlineStr">
        <is>
          <t>Kota Padang Sidempuan</t>
        </is>
      </c>
      <c r="C10" t="inlineStr">
        <is>
          <t>082276778267</t>
        </is>
      </c>
      <c r="D10" t="inlineStr">
        <is>
          <t>cvariskaryapsp@gmail.com</t>
        </is>
      </c>
      <c r="E10" t="inlineStr">
        <is>
          <t>https://lpjk.pu.go.id/search-badan-usaha-detail/Ymg0Q0xvYWdtdjhadHhRcUtiOUZoUT09</t>
        </is>
      </c>
      <c r="F10" t="n">
        <v>1</v>
      </c>
      <c r="G10" t="inlineStr">
        <is>
          <t>BS001</t>
        </is>
      </c>
      <c r="H10" t="inlineStr">
        <is>
          <t>2 April 2011</t>
        </is>
      </c>
      <c r="I10" s="2" t="n">
        <v>46295</v>
      </c>
      <c r="J10" t="inlineStr">
        <is>
          <t>Disetujui</t>
        </is>
      </c>
      <c r="K10" t="n">
        <v>90</v>
      </c>
      <c r="L10" t="inlineStr">
        <is>
          <t>30 September 2026</t>
        </is>
      </c>
      <c r="M10" t="inlineStr">
        <is>
          <t>Konstruksi Bangunan Sipil Jalan</t>
        </is>
      </c>
      <c r="N10" t="inlineStr">
        <is>
          <t>K</t>
        </is>
      </c>
      <c r="O10" t="inlineStr">
        <is>
          <t>20230929</t>
        </is>
      </c>
      <c r="P10" t="inlineStr">
        <is>
          <t>Sumatera Utara</t>
        </is>
      </c>
      <c r="Q10" t="inlineStr"/>
    </row>
    <row r="11">
      <c r="A11" t="inlineStr">
        <is>
          <t>BAROKAT ALAM LESTARI</t>
        </is>
      </c>
      <c r="B11" t="inlineStr">
        <is>
          <t>Kab. Deli Serdang</t>
        </is>
      </c>
      <c r="C11" t="inlineStr">
        <is>
          <t>082165571075</t>
        </is>
      </c>
      <c r="D11" t="inlineStr">
        <is>
          <t>barokatalamlestari@gmail.com</t>
        </is>
      </c>
      <c r="E11" t="inlineStr">
        <is>
          <t>https://lpjk.pu.go.id/search-badan-usaha-detail/azF6bU1ya1FRcll6eUlVZ2IyYWI5dz09</t>
        </is>
      </c>
      <c r="F11" t="n">
        <v>2</v>
      </c>
      <c r="G11" t="inlineStr">
        <is>
          <t>BG002</t>
        </is>
      </c>
      <c r="H11" t="inlineStr">
        <is>
          <t>1 Desember 2020</t>
        </is>
      </c>
      <c r="I11" s="2" t="n">
        <v>46295</v>
      </c>
      <c r="J11" t="inlineStr">
        <is>
          <t>Disetujui</t>
        </is>
      </c>
      <c r="K11" t="n">
        <v>90</v>
      </c>
      <c r="L11" t="inlineStr">
        <is>
          <t>30 September 2026</t>
        </is>
      </c>
      <c r="M11" t="inlineStr">
        <is>
          <t>Konstruksi Gedung Perkantoran</t>
        </is>
      </c>
      <c r="N11" t="inlineStr">
        <is>
          <t>K</t>
        </is>
      </c>
      <c r="O11" t="inlineStr">
        <is>
          <t>20230930</t>
        </is>
      </c>
      <c r="P11" t="inlineStr">
        <is>
          <t>Sumatera Utara</t>
        </is>
      </c>
      <c r="Q11" t="inlineStr"/>
    </row>
    <row r="12">
      <c r="A12" t="inlineStr">
        <is>
          <t>BERKAH JAYA SENTOSA</t>
        </is>
      </c>
      <c r="B12" t="inlineStr">
        <is>
          <t>Kab. Kampar</t>
        </is>
      </c>
      <c r="C12" t="inlineStr">
        <is>
          <t>081260199262</t>
        </is>
      </c>
      <c r="D12" t="inlineStr">
        <is>
          <t>cv.berkahjayasentos4@gmail.com</t>
        </is>
      </c>
      <c r="E12" t="inlineStr">
        <is>
          <t>https://lpjk.pu.go.id/search-badan-usaha-detail/RmowRkk1bklrZVJLWHBFaUh3emdOUT09</t>
        </is>
      </c>
      <c r="F12" t="n">
        <v>2</v>
      </c>
      <c r="G12" t="inlineStr">
        <is>
          <t>BG009</t>
        </is>
      </c>
      <c r="H12" t="inlineStr">
        <is>
          <t>23 April 2018</t>
        </is>
      </c>
      <c r="I12" s="2" t="n">
        <v>46295</v>
      </c>
      <c r="J12" t="inlineStr">
        <is>
          <t>Disetujui</t>
        </is>
      </c>
      <c r="K12" t="n">
        <v>90</v>
      </c>
      <c r="L12" t="inlineStr">
        <is>
          <t>30 September 2026</t>
        </is>
      </c>
      <c r="M12" t="inlineStr">
        <is>
          <t>Konstruksi Gedung Lainnya</t>
        </is>
      </c>
      <c r="N12" t="inlineStr">
        <is>
          <t>K</t>
        </is>
      </c>
      <c r="O12" t="inlineStr">
        <is>
          <t>20230929</t>
        </is>
      </c>
      <c r="P12" t="inlineStr">
        <is>
          <t>Riau</t>
        </is>
      </c>
      <c r="Q12" t="inlineStr"/>
    </row>
    <row r="13">
      <c r="A13" t="inlineStr">
        <is>
          <t>BERKAH SURYA</t>
        </is>
      </c>
      <c r="B13" t="inlineStr">
        <is>
          <t>Kota Pontianak</t>
        </is>
      </c>
      <c r="C13" t="inlineStr">
        <is>
          <t>05616731244</t>
        </is>
      </c>
      <c r="D13" t="inlineStr">
        <is>
          <t>cvberkahsurya@yahoo.com</t>
        </is>
      </c>
      <c r="E13" t="inlineStr">
        <is>
          <t>https://lpjk.pu.go.id/search-badan-usaha-detail/WDNrYTZlT1BqMUtqd3NhZGhtRUxpdz09</t>
        </is>
      </c>
      <c r="F13" t="n">
        <v>2</v>
      </c>
      <c r="G13" t="inlineStr">
        <is>
          <t>BG001</t>
        </is>
      </c>
      <c r="H13" t="inlineStr">
        <is>
          <t>29 Januari 2011</t>
        </is>
      </c>
      <c r="I13" s="2" t="n">
        <v>46295</v>
      </c>
      <c r="J13" t="inlineStr">
        <is>
          <t>Disetujui</t>
        </is>
      </c>
      <c r="K13" t="n">
        <v>90</v>
      </c>
      <c r="L13" t="inlineStr">
        <is>
          <t>30 September 2026</t>
        </is>
      </c>
      <c r="M13" t="inlineStr">
        <is>
          <t>Konstruksi Gedung Hunian</t>
        </is>
      </c>
      <c r="N13" t="inlineStr">
        <is>
          <t>K</t>
        </is>
      </c>
      <c r="O13" t="inlineStr">
        <is>
          <t>20230926</t>
        </is>
      </c>
      <c r="P13" t="inlineStr">
        <is>
          <t>Kalimantan Barat</t>
        </is>
      </c>
      <c r="Q13" t="inlineStr"/>
    </row>
    <row r="14">
      <c r="A14" t="inlineStr">
        <is>
          <t>BERKAT ABAH BERKAT MAMA</t>
        </is>
      </c>
      <c r="B14" t="inlineStr">
        <is>
          <t>Kota Banjarbaru</t>
        </is>
      </c>
      <c r="C14" t="inlineStr">
        <is>
          <t>081257048989</t>
        </is>
      </c>
      <c r="D14" t="inlineStr">
        <is>
          <t>cv.berkatabahmama@gmal.com</t>
        </is>
      </c>
      <c r="E14" t="inlineStr">
        <is>
          <t>https://lpjk.pu.go.id/search-badan-usaha-detail/TVNEOFE4SVJDRm4zNHNDaXFRTE1pdz09</t>
        </is>
      </c>
      <c r="F14" t="n">
        <v>2</v>
      </c>
      <c r="G14" t="inlineStr">
        <is>
          <t>BS010</t>
        </is>
      </c>
      <c r="H14" t="inlineStr">
        <is>
          <t>21 September 2023</t>
        </is>
      </c>
      <c r="I14" s="2" t="n">
        <v>46295</v>
      </c>
      <c r="J14" t="inlineStr">
        <is>
          <t>Disetujui</t>
        </is>
      </c>
      <c r="K14" t="n">
        <v>90</v>
      </c>
      <c r="L14" t="inlineStr">
        <is>
          <t>30 September 2026</t>
        </is>
      </c>
      <c r="M14" t="inlineStr">
        <is>
          <t>Konstruksi Bangunan Prasarana Sumber Daya Air</t>
        </is>
      </c>
      <c r="N14" t="inlineStr">
        <is>
          <t>K</t>
        </is>
      </c>
      <c r="O14" t="inlineStr">
        <is>
          <t>20230930</t>
        </is>
      </c>
      <c r="P14" t="inlineStr">
        <is>
          <t>Kalimantan Selatan</t>
        </is>
      </c>
      <c r="Q14" t="inlineStr"/>
    </row>
    <row r="15">
      <c r="A15" t="inlineStr">
        <is>
          <t>BUMI SRIWIJAYA</t>
        </is>
      </c>
      <c r="B15" t="inlineStr">
        <is>
          <t>Kota Palembang</t>
        </is>
      </c>
      <c r="C15" t="inlineStr">
        <is>
          <t>081286183303</t>
        </is>
      </c>
      <c r="D15" t="inlineStr">
        <is>
          <t>bsrpalembang@gmail.com</t>
        </is>
      </c>
      <c r="E15" t="inlineStr">
        <is>
          <t>https://lpjk.pu.go.id/search-badan-usaha-detail/QnhNZ1g5M01XZE1GVFBhUkZabDJGUT09</t>
        </is>
      </c>
      <c r="F15" t="n">
        <v>4</v>
      </c>
      <c r="G15" t="inlineStr">
        <is>
          <t>BG006, BG009</t>
        </is>
      </c>
      <c r="H15" t="inlineStr">
        <is>
          <t>29 Mei 2000</t>
        </is>
      </c>
      <c r="I15" s="2" t="n">
        <v>46295</v>
      </c>
      <c r="J15" t="inlineStr">
        <is>
          <t>Disetujui</t>
        </is>
      </c>
      <c r="K15" t="n">
        <v>90</v>
      </c>
      <c r="L15" t="inlineStr">
        <is>
          <t>30 September 2026</t>
        </is>
      </c>
      <c r="M15" t="inlineStr">
        <is>
          <t>Konstruksi Gedung Lainnya, Konstruksi Gedung Pendidikan</t>
        </is>
      </c>
      <c r="N15" t="inlineStr">
        <is>
          <t>K</t>
        </is>
      </c>
      <c r="O15" t="inlineStr">
        <is>
          <t>20230929</t>
        </is>
      </c>
      <c r="P15" t="inlineStr">
        <is>
          <t>Sumatera Selatan</t>
        </is>
      </c>
      <c r="Q15" t="inlineStr"/>
    </row>
    <row r="16">
      <c r="A16" t="inlineStr">
        <is>
          <t>CAHAYA ELANG SEMESTA</t>
        </is>
      </c>
      <c r="B16" t="inlineStr">
        <is>
          <t>Kab. Gowa</t>
        </is>
      </c>
      <c r="C16" t="inlineStr">
        <is>
          <t>082188961817</t>
        </is>
      </c>
      <c r="D16" t="inlineStr">
        <is>
          <t>fteneces09@gmail.com</t>
        </is>
      </c>
      <c r="E16" t="inlineStr">
        <is>
          <t>https://lpjk.pu.go.id/search-badan-usaha-detail/NHFzRFJob0t2R3ZYWHlBR2xidGlZZz09</t>
        </is>
      </c>
      <c r="F16" t="n">
        <v>1</v>
      </c>
      <c r="G16" t="inlineStr">
        <is>
          <t>BG006</t>
        </is>
      </c>
      <c r="H16" t="inlineStr">
        <is>
          <t>21 November 2022</t>
        </is>
      </c>
      <c r="I16" s="2" t="n">
        <v>46295</v>
      </c>
      <c r="J16" t="inlineStr">
        <is>
          <t>Pencabutan</t>
        </is>
      </c>
      <c r="K16" t="n">
        <v>90</v>
      </c>
      <c r="L16" t="inlineStr">
        <is>
          <t>30 September 2026</t>
        </is>
      </c>
      <c r="M16" t="inlineStr">
        <is>
          <t>Konstruksi Gedung Pendidikan</t>
        </is>
      </c>
      <c r="N16" t="inlineStr">
        <is>
          <t>K</t>
        </is>
      </c>
      <c r="O16" t="inlineStr">
        <is>
          <t>20230930</t>
        </is>
      </c>
      <c r="P16" t="inlineStr">
        <is>
          <t>Sulawesi Selatan</t>
        </is>
      </c>
      <c r="Q16" t="inlineStr"/>
    </row>
    <row r="17">
      <c r="A17" t="inlineStr">
        <is>
          <t>CIPTA KARYA WATERINDO</t>
        </is>
      </c>
      <c r="B17" t="inlineStr">
        <is>
          <t>Kota Adm. Jakarta Utara</t>
        </is>
      </c>
      <c r="C17" t="inlineStr">
        <is>
          <t>081318459592</t>
        </is>
      </c>
      <c r="D17" t="inlineStr">
        <is>
          <t>ckw.izin2020@gmail.com</t>
        </is>
      </c>
      <c r="E17" t="inlineStr">
        <is>
          <t>https://lpjk.pu.go.id/search-badan-usaha-detail/eFBKT2tvUDNVRm5qZ2VCUkJDUUc2Zz09</t>
        </is>
      </c>
      <c r="F17" t="n">
        <v>2</v>
      </c>
      <c r="G17" t="inlineStr">
        <is>
          <t>BG008</t>
        </is>
      </c>
      <c r="H17" t="inlineStr">
        <is>
          <t>26 Juni 2019</t>
        </is>
      </c>
      <c r="I17" s="2" t="n">
        <v>46295</v>
      </c>
      <c r="J17" t="inlineStr">
        <is>
          <t>Pencabutan</t>
        </is>
      </c>
      <c r="K17" t="n">
        <v>90</v>
      </c>
      <c r="L17" t="inlineStr">
        <is>
          <t>30 September 2026</t>
        </is>
      </c>
      <c r="M17" t="inlineStr">
        <is>
          <t>Konstruksi Gedung Tempat Hiburan dan Olahraga</t>
        </is>
      </c>
      <c r="N17" t="inlineStr">
        <is>
          <t>K</t>
        </is>
      </c>
      <c r="O17" t="inlineStr">
        <is>
          <t>20230905</t>
        </is>
      </c>
      <c r="P17" t="inlineStr">
        <is>
          <t>DKI Jakarta</t>
        </is>
      </c>
      <c r="Q17" t="inlineStr"/>
    </row>
    <row r="18">
      <c r="A18" t="inlineStr">
        <is>
          <t>ELFATIH JAYA PERKASA</t>
        </is>
      </c>
      <c r="B18" t="inlineStr">
        <is>
          <t>Kota Lubuk Linggau</t>
        </is>
      </c>
      <c r="C18" t="inlineStr">
        <is>
          <t>082175114606</t>
        </is>
      </c>
      <c r="D18" t="inlineStr">
        <is>
          <t>cvelfatihjayaperkasa@gmail.com</t>
        </is>
      </c>
      <c r="E18" t="inlineStr">
        <is>
          <t>https://lpjk.pu.go.id/search-badan-usaha-detail/Z2tpRm9RaWpVcHRpSTRTVk1yelRxZz09</t>
        </is>
      </c>
      <c r="F18" t="n">
        <v>1</v>
      </c>
      <c r="G18" t="inlineStr">
        <is>
          <t>BG009</t>
        </is>
      </c>
      <c r="H18" t="inlineStr">
        <is>
          <t>8 Juni 2023</t>
        </is>
      </c>
      <c r="I18" s="2" t="n">
        <v>46295</v>
      </c>
      <c r="J18" t="inlineStr">
        <is>
          <t>Pencabutan</t>
        </is>
      </c>
      <c r="K18" t="n">
        <v>90</v>
      </c>
      <c r="L18" t="inlineStr">
        <is>
          <t>30 September 2026</t>
        </is>
      </c>
      <c r="M18" t="inlineStr">
        <is>
          <t>Konstruksi Gedung Lainnya</t>
        </is>
      </c>
      <c r="N18" t="inlineStr">
        <is>
          <t>K</t>
        </is>
      </c>
      <c r="O18" t="inlineStr">
        <is>
          <t>20231001</t>
        </is>
      </c>
      <c r="P18" t="inlineStr">
        <is>
          <t>Sumatera Selatan</t>
        </is>
      </c>
      <c r="Q18" t="inlineStr"/>
    </row>
    <row r="19">
      <c r="A19" t="inlineStr">
        <is>
          <t>GEMA PUTRA TUNGGAL MAKMUR</t>
        </is>
      </c>
      <c r="B19" t="inlineStr">
        <is>
          <t>Kota Bandar Lampung</t>
        </is>
      </c>
      <c r="C19" t="inlineStr">
        <is>
          <t>082278214466</t>
        </is>
      </c>
      <c r="D19" t="inlineStr">
        <is>
          <t>Putratunggalmakmur22@gmail.com</t>
        </is>
      </c>
      <c r="E19" t="inlineStr">
        <is>
          <t>https://lpjk.pu.go.id/search-badan-usaha-detail/cjBCcXhJYkw5K0F5T0ovQnNKMXk3dz09</t>
        </is>
      </c>
      <c r="F19" t="n">
        <v>2</v>
      </c>
      <c r="G19" t="inlineStr">
        <is>
          <t>BS001, BS009</t>
        </is>
      </c>
      <c r="H19" t="inlineStr">
        <is>
          <t>9 Mei 2025</t>
        </is>
      </c>
      <c r="I19" s="2" t="n">
        <v>46295</v>
      </c>
      <c r="J19" t="inlineStr">
        <is>
          <t>Disetujui</t>
        </is>
      </c>
      <c r="K19" t="n">
        <v>90</v>
      </c>
      <c r="L19" t="inlineStr">
        <is>
          <t>30 September 2026</t>
        </is>
      </c>
      <c r="M19" t="inlineStr">
        <is>
          <t>Konstruksi Bangunan Sipil Jalan, Konstruksi Sentral Telekomunikasi</t>
        </is>
      </c>
      <c r="N19" t="inlineStr">
        <is>
          <t>K</t>
        </is>
      </c>
      <c r="O19" t="inlineStr">
        <is>
          <t>20230925</t>
        </is>
      </c>
      <c r="P19" t="inlineStr">
        <is>
          <t>Lampung</t>
        </is>
      </c>
      <c r="Q19" t="inlineStr"/>
    </row>
    <row r="20">
      <c r="A20" t="inlineStr">
        <is>
          <t>HUMAERAH WARDANA PROPERTINDO</t>
        </is>
      </c>
      <c r="B20" t="inlineStr">
        <is>
          <t>Kab. Maros</t>
        </is>
      </c>
      <c r="C20" t="inlineStr">
        <is>
          <t>081270012534</t>
        </is>
      </c>
      <c r="D20" t="inlineStr">
        <is>
          <t>humaerah.wardana@gmail.com</t>
        </is>
      </c>
      <c r="E20" t="inlineStr">
        <is>
          <t>https://lpjk.pu.go.id/search-badan-usaha-detail/dnVYOSt3cUhGcDBxR2EvR05tWHRTZz09</t>
        </is>
      </c>
      <c r="F20" t="n">
        <v>1</v>
      </c>
      <c r="G20" t="inlineStr">
        <is>
          <t>BG001</t>
        </is>
      </c>
      <c r="H20" t="inlineStr">
        <is>
          <t>2 Februari 2023</t>
        </is>
      </c>
      <c r="I20" s="2" t="n">
        <v>46295</v>
      </c>
      <c r="J20" t="inlineStr">
        <is>
          <t>Pencabutan</t>
        </is>
      </c>
      <c r="K20" t="n">
        <v>90</v>
      </c>
      <c r="L20" t="inlineStr">
        <is>
          <t>30 September 2026</t>
        </is>
      </c>
      <c r="M20" t="inlineStr">
        <is>
          <t>Konstruksi Gedung Hunian</t>
        </is>
      </c>
      <c r="N20" t="inlineStr">
        <is>
          <t>K</t>
        </is>
      </c>
      <c r="O20" t="inlineStr">
        <is>
          <t>20230929</t>
        </is>
      </c>
      <c r="P20" t="inlineStr">
        <is>
          <t>Sulawesi Selatan</t>
        </is>
      </c>
      <c r="Q20" t="inlineStr"/>
    </row>
    <row r="21">
      <c r="A21" t="inlineStr">
        <is>
          <t>INTI SAMUDERA MAS</t>
        </is>
      </c>
      <c r="B21" t="inlineStr">
        <is>
          <t>Kota Semarang</t>
        </is>
      </c>
      <c r="C21" t="inlineStr">
        <is>
          <t>081334199800</t>
        </is>
      </c>
      <c r="D21" t="inlineStr">
        <is>
          <t>intisamuderamas@gmail.com</t>
        </is>
      </c>
      <c r="E21" t="inlineStr">
        <is>
          <t>https://lpjk.pu.go.id/search-badan-usaha-detail/Q00xOW15NXljeWw5ME9TRDZEUWtYUT09</t>
        </is>
      </c>
      <c r="F21" t="n">
        <v>5</v>
      </c>
      <c r="G21" t="inlineStr">
        <is>
          <t>BG001, BG002, BG003, BG006, BG007</t>
        </is>
      </c>
      <c r="H21" t="inlineStr">
        <is>
          <t>16 September 2023</t>
        </is>
      </c>
      <c r="I21" s="2" t="n">
        <v>46295</v>
      </c>
      <c r="J21" t="inlineStr">
        <is>
          <t>Pencabutan</t>
        </is>
      </c>
      <c r="K21" t="n">
        <v>90</v>
      </c>
      <c r="L21" t="inlineStr">
        <is>
          <t>30 September 2026</t>
        </is>
      </c>
      <c r="M21" t="inlineStr">
        <is>
          <t>Konstruksi Gedung Hunian, Konstruksi Gedung Industri, Konstruksi Gedung Pendidikan, Konstruksi Gedung Penginapan, Konstruksi Gedung Perkantoran</t>
        </is>
      </c>
      <c r="N21" t="inlineStr">
        <is>
          <t>K</t>
        </is>
      </c>
      <c r="O21" t="inlineStr">
        <is>
          <t>20230930</t>
        </is>
      </c>
      <c r="P21" t="inlineStr">
        <is>
          <t>Jawa Tengah</t>
        </is>
      </c>
      <c r="Q21" t="inlineStr"/>
    </row>
    <row r="22">
      <c r="A22" t="inlineStr">
        <is>
          <t>JAYA ABADI</t>
        </is>
      </c>
      <c r="B22" t="inlineStr">
        <is>
          <t>Kab. Sanggau</t>
        </is>
      </c>
      <c r="C22" t="inlineStr">
        <is>
          <t>085245250869</t>
        </is>
      </c>
      <c r="D22" t="inlineStr">
        <is>
          <t>cvjayaabadi797@gmail.com</t>
        </is>
      </c>
      <c r="E22" t="inlineStr">
        <is>
          <t>https://lpjk.pu.go.id/search-badan-usaha-detail/QVJ1QnRtZkVDZlc2MStlRURsRlZEUT09</t>
        </is>
      </c>
      <c r="F22" t="n">
        <v>1</v>
      </c>
      <c r="G22" t="inlineStr">
        <is>
          <t>BG006</t>
        </is>
      </c>
      <c r="H22" t="inlineStr">
        <is>
          <t>22 Juni 2012</t>
        </is>
      </c>
      <c r="I22" s="2" t="n">
        <v>46295</v>
      </c>
      <c r="J22" t="inlineStr">
        <is>
          <t>Pencabutan</t>
        </is>
      </c>
      <c r="K22" t="n">
        <v>90</v>
      </c>
      <c r="L22" t="inlineStr">
        <is>
          <t>30 September 2026</t>
        </is>
      </c>
      <c r="M22" t="inlineStr">
        <is>
          <t>Konstruksi Gedung Pendidikan</t>
        </is>
      </c>
      <c r="N22" t="inlineStr">
        <is>
          <t>K</t>
        </is>
      </c>
      <c r="O22" t="inlineStr">
        <is>
          <t>20230923</t>
        </is>
      </c>
      <c r="P22" t="inlineStr">
        <is>
          <t>Kalimantan Barat</t>
        </is>
      </c>
      <c r="Q22" t="inlineStr"/>
    </row>
    <row r="23">
      <c r="A23" t="inlineStr">
        <is>
          <t>KARYA PRIBUMI</t>
        </is>
      </c>
      <c r="B23" t="inlineStr">
        <is>
          <t>Kab. Pinrang</t>
        </is>
      </c>
      <c r="C23" t="inlineStr">
        <is>
          <t>0852 5082 2177</t>
        </is>
      </c>
      <c r="D23" t="inlineStr">
        <is>
          <t>karyapribumi14@gmail.com</t>
        </is>
      </c>
      <c r="E23" t="inlineStr">
        <is>
          <t>https://lpjk.pu.go.id/search-badan-usaha-detail/dDJBbUNkNC9wL0k1VE1UN0lxR0QwQT09</t>
        </is>
      </c>
      <c r="F23" t="n">
        <v>2</v>
      </c>
      <c r="G23" t="inlineStr">
        <is>
          <t>BG005, BG009</t>
        </is>
      </c>
      <c r="H23" t="inlineStr">
        <is>
          <t>14 April 2014</t>
        </is>
      </c>
      <c r="I23" s="2" t="n">
        <v>46295</v>
      </c>
      <c r="J23" t="inlineStr">
        <is>
          <t>Disetujui</t>
        </is>
      </c>
      <c r="K23" t="n">
        <v>90</v>
      </c>
      <c r="L23" t="inlineStr">
        <is>
          <t>30 September 2026</t>
        </is>
      </c>
      <c r="M23" t="inlineStr">
        <is>
          <t>Konstruksi Gedung Kesehatan, Konstruksi Gedung Lainnya</t>
        </is>
      </c>
      <c r="N23" t="inlineStr">
        <is>
          <t>K</t>
        </is>
      </c>
      <c r="O23" t="inlineStr">
        <is>
          <t>20211208, 20230928</t>
        </is>
      </c>
      <c r="P23" t="inlineStr">
        <is>
          <t>Sulawesi Selatan</t>
        </is>
      </c>
      <c r="Q23" t="inlineStr"/>
    </row>
    <row r="24">
      <c r="A24" t="inlineStr">
        <is>
          <t>LISANDO NUSANTARA KARYA</t>
        </is>
      </c>
      <c r="B24" t="inlineStr">
        <is>
          <t>Kab. Majalengka</t>
        </is>
      </c>
      <c r="C24" t="inlineStr">
        <is>
          <t>081221608720</t>
        </is>
      </c>
      <c r="D24" t="inlineStr">
        <is>
          <t>lindonusakarya@gmail.com</t>
        </is>
      </c>
      <c r="E24" t="inlineStr">
        <is>
          <t>https://lpjk.pu.go.id/search-badan-usaha-detail/L2YrYXAzY0p4MDg3MFZEbTJFT00zZz09</t>
        </is>
      </c>
      <c r="F24" t="n">
        <v>1</v>
      </c>
      <c r="G24" t="inlineStr">
        <is>
          <t>BS004</t>
        </is>
      </c>
      <c r="H24" t="inlineStr">
        <is>
          <t>14 Oktober 2020</t>
        </is>
      </c>
      <c r="I24" s="2" t="n">
        <v>46295</v>
      </c>
      <c r="J24" t="inlineStr">
        <is>
          <t>Disetujui</t>
        </is>
      </c>
      <c r="K24" t="n">
        <v>90</v>
      </c>
      <c r="L24" t="inlineStr">
        <is>
          <t>30 September 2026</t>
        </is>
      </c>
      <c r="M24" t="inlineStr">
        <is>
          <t>Konstruksi Jaringan Irigasi dan Drainase</t>
        </is>
      </c>
      <c r="N24" t="inlineStr">
        <is>
          <t>K</t>
        </is>
      </c>
      <c r="O24" t="inlineStr">
        <is>
          <t>20230929</t>
        </is>
      </c>
      <c r="P24" t="inlineStr">
        <is>
          <t>Jawa Barat</t>
        </is>
      </c>
      <c r="Q24" t="inlineStr"/>
    </row>
    <row r="25">
      <c r="A25" t="inlineStr">
        <is>
          <t>MEDIANA INDO GROUP</t>
        </is>
      </c>
      <c r="B25" t="inlineStr">
        <is>
          <t>Kota Makassar</t>
        </is>
      </c>
      <c r="C25" t="inlineStr">
        <is>
          <t>085399137984</t>
        </is>
      </c>
      <c r="D25" t="inlineStr">
        <is>
          <t>ptmedianaindogrouop@gmail.com</t>
        </is>
      </c>
      <c r="E25" t="inlineStr">
        <is>
          <t>https://lpjk.pu.go.id/search-badan-usaha-detail/Z2xJNkI4bG5DcUU2TDRmcERqcmJGZz09</t>
        </is>
      </c>
      <c r="F25" t="n">
        <v>2</v>
      </c>
      <c r="G25" t="inlineStr">
        <is>
          <t>BG009</t>
        </is>
      </c>
      <c r="H25" t="inlineStr">
        <is>
          <t>4 Februari 2023</t>
        </is>
      </c>
      <c r="I25" s="2" t="n">
        <v>46295</v>
      </c>
      <c r="J25" t="inlineStr">
        <is>
          <t>Pencabutan</t>
        </is>
      </c>
      <c r="K25" t="n">
        <v>90</v>
      </c>
      <c r="L25" t="inlineStr">
        <is>
          <t>30 September 2026</t>
        </is>
      </c>
      <c r="M25" t="inlineStr">
        <is>
          <t>Konstruksi Gedung Lainnya</t>
        </is>
      </c>
      <c r="N25" t="inlineStr">
        <is>
          <t>K</t>
        </is>
      </c>
      <c r="O25" t="inlineStr">
        <is>
          <t>20230930</t>
        </is>
      </c>
      <c r="P25" t="inlineStr">
        <is>
          <t>Sulawesi Selatan</t>
        </is>
      </c>
      <c r="Q25" t="inlineStr"/>
    </row>
    <row r="26">
      <c r="A26" t="inlineStr">
        <is>
          <t>MUTIARA KARYA FAMILY</t>
        </is>
      </c>
      <c r="B26" t="inlineStr">
        <is>
          <t>Kab. Maluku Tengah</t>
        </is>
      </c>
      <c r="C26" t="inlineStr">
        <is>
          <t>85236145324</t>
        </is>
      </c>
      <c r="D26" t="inlineStr">
        <is>
          <t>mutiaraalyacv@gmail.com</t>
        </is>
      </c>
      <c r="E26" t="inlineStr">
        <is>
          <t>https://lpjk.pu.go.id/search-badan-usaha-detail/Y1lWVTRUZVNPYWRoblhsUXJxVklzUT09</t>
        </is>
      </c>
      <c r="F26" t="n">
        <v>4</v>
      </c>
      <c r="G26" t="inlineStr">
        <is>
          <t>BS002, BS004</t>
        </is>
      </c>
      <c r="H26" t="inlineStr">
        <is>
          <t>21 Agustus 2023</t>
        </is>
      </c>
      <c r="I26" s="2" t="n">
        <v>46295</v>
      </c>
      <c r="J26" t="inlineStr">
        <is>
          <t>Disetujui</t>
        </is>
      </c>
      <c r="K26" t="n">
        <v>90</v>
      </c>
      <c r="L26" t="inlineStr">
        <is>
          <t>30 September 2026</t>
        </is>
      </c>
      <c r="M26" t="inlineStr">
        <is>
          <t>Bangunan Sipil Jembatan, Jalan Layang, Fly Over, dan Underpass, Konstruksi Jaringan Irigasi dan Drainase</t>
        </is>
      </c>
      <c r="N26" t="inlineStr">
        <is>
          <t>K</t>
        </is>
      </c>
      <c r="O26" t="inlineStr">
        <is>
          <t>20230929</t>
        </is>
      </c>
      <c r="P26" t="inlineStr">
        <is>
          <t>Maluku</t>
        </is>
      </c>
      <c r="Q26" t="inlineStr"/>
    </row>
    <row r="27">
      <c r="A27" t="inlineStr">
        <is>
          <t>NABILA SALMA</t>
        </is>
      </c>
      <c r="B27" t="inlineStr">
        <is>
          <t>Kab. Subang</t>
        </is>
      </c>
      <c r="C27" t="inlineStr">
        <is>
          <t>085158811627</t>
        </is>
      </c>
      <c r="D27" t="inlineStr">
        <is>
          <t>cv.nabilasalma@gmail.com</t>
        </is>
      </c>
      <c r="E27" t="inlineStr">
        <is>
          <t>https://lpjk.pu.go.id/search-badan-usaha-detail/S2NhZFFRMjlOcGJ6MUdrLytpZy9Pdz09</t>
        </is>
      </c>
      <c r="F27" t="n">
        <v>4</v>
      </c>
      <c r="G27" t="inlineStr">
        <is>
          <t>BS001, BS004</t>
        </is>
      </c>
      <c r="H27" t="inlineStr">
        <is>
          <t>31 Juli 2023</t>
        </is>
      </c>
      <c r="I27" s="2" t="n">
        <v>46295</v>
      </c>
      <c r="J27" t="inlineStr">
        <is>
          <t>Pencabutan</t>
        </is>
      </c>
      <c r="K27" t="n">
        <v>90</v>
      </c>
      <c r="L27" t="inlineStr">
        <is>
          <t>30 September 2026</t>
        </is>
      </c>
      <c r="M27" t="inlineStr">
        <is>
          <t>Konstruksi Bangunan Sipil Jalan, Konstruksi Jaringan Irigasi dan Drainase</t>
        </is>
      </c>
      <c r="N27" t="inlineStr">
        <is>
          <t>K</t>
        </is>
      </c>
      <c r="O27" t="inlineStr">
        <is>
          <t>20230930</t>
        </is>
      </c>
      <c r="P27" t="inlineStr">
        <is>
          <t>Jawa Barat</t>
        </is>
      </c>
      <c r="Q27" t="inlineStr"/>
    </row>
    <row r="28">
      <c r="A28" t="inlineStr">
        <is>
          <t>RAJENDRA</t>
        </is>
      </c>
      <c r="B28" t="inlineStr">
        <is>
          <t>Kota Madiun</t>
        </is>
      </c>
      <c r="C28" t="inlineStr">
        <is>
          <t>0351455300</t>
        </is>
      </c>
      <c r="D28" t="inlineStr">
        <is>
          <t>cvrajendra002@gmail.com</t>
        </is>
      </c>
      <c r="E28" t="inlineStr">
        <is>
          <t>https://lpjk.pu.go.id/search-badan-usaha-detail/UWJDTGkwbmRJY3crK3BWRXJIL0d1Zz09</t>
        </is>
      </c>
      <c r="F28" t="n">
        <v>5</v>
      </c>
      <c r="G28" t="inlineStr">
        <is>
          <t>BG002, BG004, BG005, BG006, BG009</t>
        </is>
      </c>
      <c r="H28" t="inlineStr">
        <is>
          <t>11 Mei 1994</t>
        </is>
      </c>
      <c r="I28" s="2" t="n">
        <v>46295</v>
      </c>
      <c r="J28" t="inlineStr">
        <is>
          <t>Disetujui</t>
        </is>
      </c>
      <c r="K28" t="n">
        <v>90</v>
      </c>
      <c r="L28" t="inlineStr">
        <is>
          <t>30 September 2026</t>
        </is>
      </c>
      <c r="M28" t="inlineStr">
        <is>
          <t>Konstruksi Gedung Kesehatan, Konstruksi Gedung Lainnya, Konstruksi Gedung Pendidikan, Konstruksi Gedung Perbelanjaan, Konstruksi Gedung Perkantoran</t>
        </is>
      </c>
      <c r="N28" t="inlineStr">
        <is>
          <t>K</t>
        </is>
      </c>
      <c r="O28" t="inlineStr">
        <is>
          <t>20230927, 20230928</t>
        </is>
      </c>
      <c r="P28" t="inlineStr">
        <is>
          <t>Jawa Timur</t>
        </is>
      </c>
      <c r="Q28" t="inlineStr"/>
    </row>
    <row r="29">
      <c r="A29" t="inlineStr">
        <is>
          <t>SEROJA PERSADA MANDIRI</t>
        </is>
      </c>
      <c r="B29" t="inlineStr">
        <is>
          <t>Kota Tangerang Selatan</t>
        </is>
      </c>
      <c r="C29" t="inlineStr">
        <is>
          <t>082210790601</t>
        </is>
      </c>
      <c r="D29" t="inlineStr">
        <is>
          <t>serojapersada.cv@gmail.com</t>
        </is>
      </c>
      <c r="E29" t="inlineStr">
        <is>
          <t>https://lpjk.pu.go.id/search-badan-usaha-detail/TXhJNXMrN3lRQTE0bE1yZkhrZDZkUT09</t>
        </is>
      </c>
      <c r="F29" t="n">
        <v>2</v>
      </c>
      <c r="G29" t="inlineStr">
        <is>
          <t>BG009, BS004</t>
        </is>
      </c>
      <c r="H29" t="inlineStr">
        <is>
          <t>18 Agustus 2020</t>
        </is>
      </c>
      <c r="I29" s="2" t="n">
        <v>46295</v>
      </c>
      <c r="J29" t="inlineStr">
        <is>
          <t>Disetujui</t>
        </is>
      </c>
      <c r="K29" t="n">
        <v>90</v>
      </c>
      <c r="L29" t="inlineStr">
        <is>
          <t>30 September 2026</t>
        </is>
      </c>
      <c r="M29" t="inlineStr">
        <is>
          <t>Konstruksi Gedung Lainnya, Konstruksi Jaringan Irigasi dan Drainase</t>
        </is>
      </c>
      <c r="N29" t="inlineStr">
        <is>
          <t>K</t>
        </is>
      </c>
      <c r="O29" t="inlineStr">
        <is>
          <t>20230929</t>
        </is>
      </c>
      <c r="P29" t="inlineStr">
        <is>
          <t>Banten</t>
        </is>
      </c>
      <c r="Q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4"/>
  <sheetViews>
    <sheetView workbookViewId="0">
      <selection activeCell="A1" sqref="A1"/>
    </sheetView>
  </sheetViews>
  <sheetFormatPr baseColWidth="8" defaultRowHeight="15"/>
  <cols>
    <col width="38" customWidth="1" min="1" max="1"/>
    <col width="27" customWidth="1" min="2" max="2"/>
    <col width="16" customWidth="1" min="3" max="3"/>
    <col width="40"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ALESHA PRATAMA</t>
        </is>
      </c>
      <c r="B2" t="inlineStr">
        <is>
          <t>Kab. Bekasi</t>
        </is>
      </c>
      <c r="C2" t="inlineStr">
        <is>
          <t>081517288480</t>
        </is>
      </c>
      <c r="D2" t="inlineStr">
        <is>
          <t>aleshapratama2@gmai.com</t>
        </is>
      </c>
      <c r="E2" t="inlineStr">
        <is>
          <t>https://lpjk.pu.go.id/search-badan-usaha-detail/OTBNYkRZei9yWWdER1FtcnlhWkJHZz09</t>
        </is>
      </c>
      <c r="F2" t="n">
        <v>2</v>
      </c>
      <c r="G2" t="inlineStr">
        <is>
          <t>BS001, BS004</t>
        </is>
      </c>
      <c r="H2" t="inlineStr">
        <is>
          <t>10 Februari 2020</t>
        </is>
      </c>
      <c r="I2" s="2" t="n">
        <v>46265</v>
      </c>
      <c r="J2" t="inlineStr">
        <is>
          <t>Disetujui</t>
        </is>
      </c>
      <c r="K2" t="n">
        <v>60</v>
      </c>
      <c r="L2" t="inlineStr">
        <is>
          <t>31 Agustus 2026</t>
        </is>
      </c>
      <c r="M2" t="inlineStr">
        <is>
          <t>Konstruksi Bangunan Sipil Jalan, Konstruksi Jaringan Irigasi dan Drainase</t>
        </is>
      </c>
      <c r="N2" t="inlineStr">
        <is>
          <t>K</t>
        </is>
      </c>
      <c r="O2" t="inlineStr">
        <is>
          <t>20230830</t>
        </is>
      </c>
      <c r="P2" t="inlineStr">
        <is>
          <t>Jawa Barat</t>
        </is>
      </c>
      <c r="Q2" s="3">
        <f>HYPERLINK("https://wa.me/6281517288480?text=*[PENGINGAT MASA BERLAKU SBU ALESHA PRATAMA]*%0A%0AYth. Pimpinan ALESHA PRATAMA,%0AMohon izin menginformasikan status SBU Anda di sistem LPJK:%0A%0A📄 SBU: BS001, BS004%0A📅 Expired: 31 Agustus 2026 (60 Hari Lagi)%0A%0AKami tim PT. ESDEA Assistance Management siap men-support proses perpanjangan segera agar administrasi proyek tidak terhambat%0A%0AApakah boleh saya bantu siapkan estimasi biaya dan waktu pengerjaannya?.", "Hubungi")</f>
        <v/>
      </c>
    </row>
    <row r="3">
      <c r="A3" t="inlineStr">
        <is>
          <t>BANGUN PESONA PRIMA</t>
        </is>
      </c>
      <c r="B3" t="inlineStr">
        <is>
          <t>Kab. Bogor</t>
        </is>
      </c>
      <c r="C3" t="inlineStr">
        <is>
          <t>08212234850</t>
        </is>
      </c>
      <c r="D3" t="inlineStr">
        <is>
          <t>bangunpesonaprima_konstruksi@yahoo.com</t>
        </is>
      </c>
      <c r="E3" t="inlineStr">
        <is>
          <t>https://lpjk.pu.go.id/search-badan-usaha-detail/ZGVQQlBaYUFrb3VtNDZRRjd6ZExPZz09</t>
        </is>
      </c>
      <c r="F3" t="n">
        <v>3</v>
      </c>
      <c r="G3" t="inlineStr">
        <is>
          <t>BG002, BG005, BG009</t>
        </is>
      </c>
      <c r="H3" t="inlineStr">
        <is>
          <t>7 September 1991</t>
        </is>
      </c>
      <c r="I3" s="2" t="n">
        <v>46265</v>
      </c>
      <c r="J3" t="inlineStr">
        <is>
          <t>Disetujui</t>
        </is>
      </c>
      <c r="K3" t="n">
        <v>60</v>
      </c>
      <c r="L3" t="inlineStr">
        <is>
          <t>31 Agustus 2026</t>
        </is>
      </c>
      <c r="M3" t="inlineStr">
        <is>
          <t>Konstruksi Gedung Kesehatan, Konstruksi Gedung Lainnya, Konstruksi Gedung Perkantoran</t>
        </is>
      </c>
      <c r="N3" t="inlineStr">
        <is>
          <t>K</t>
        </is>
      </c>
      <c r="O3" t="inlineStr">
        <is>
          <t>20230829</t>
        </is>
      </c>
      <c r="P3" t="inlineStr">
        <is>
          <t>Jawa Barat</t>
        </is>
      </c>
      <c r="Q3" s="3">
        <f>HYPERLINK("https://wa.me/628212234850?text=*[PENGINGAT MASA BERLAKU SBU BANGUN PESONA PRIMA]*%0A%0AYth. Pimpinan BANGUN PESONA PRIMA,%0AMohon izin menginformasikan status SBU Anda di sistem LPJK:%0A%0A📄 SBU: BG002, BG005, BG009%0A📅 Expired: 31 Agustus 2026 (60 Hari Lagi)%0A%0AKami tim PT. ESDEA Assistance Management siap men-support proses perpanjangan segera agar administrasi proyek tidak terhambat%0A%0AApakah boleh saya bantu siapkan estimasi biaya dan waktu pengerjaannya?.", "Hubungi")</f>
        <v/>
      </c>
    </row>
    <row r="4">
      <c r="A4" t="inlineStr">
        <is>
          <t>BERSAMA BUILDING INDONESIA</t>
        </is>
      </c>
      <c r="B4" t="inlineStr">
        <is>
          <t>Kota Adm. Jakarta Timur</t>
        </is>
      </c>
      <c r="C4" t="inlineStr">
        <is>
          <t>02158905002</t>
        </is>
      </c>
      <c r="D4" t="inlineStr">
        <is>
          <t>ptbbi.info@gmail.com</t>
        </is>
      </c>
      <c r="E4" t="inlineStr">
        <is>
          <t>https://lpjk.pu.go.id/search-badan-usaha-detail/RGJibGVzVk5ZdmRpdk5OME81S3dtUT09</t>
        </is>
      </c>
      <c r="F4" t="n">
        <v>1</v>
      </c>
      <c r="G4" t="inlineStr">
        <is>
          <t>AR001</t>
        </is>
      </c>
      <c r="H4" t="inlineStr">
        <is>
          <t>30 November 2022</t>
        </is>
      </c>
      <c r="I4" s="2" t="n">
        <v>46265</v>
      </c>
      <c r="J4" t="inlineStr">
        <is>
          <t>Disetujui</t>
        </is>
      </c>
      <c r="K4" t="n">
        <v>60</v>
      </c>
      <c r="L4" t="inlineStr">
        <is>
          <t>31 Agustus 2026</t>
        </is>
      </c>
      <c r="M4" t="inlineStr">
        <is>
          <t>Jasa Arsitektural Bangunan Gedung Hunian dan Non Hunian</t>
        </is>
      </c>
      <c r="N4" t="inlineStr">
        <is>
          <t>K</t>
        </is>
      </c>
      <c r="O4" t="inlineStr">
        <is>
          <t>20230730</t>
        </is>
      </c>
      <c r="P4" t="inlineStr">
        <is>
          <t>DKI Jakarta</t>
        </is>
      </c>
      <c r="Q4" t="inlineStr"/>
    </row>
    <row r="5">
      <c r="A5" t="inlineStr">
        <is>
          <t>ELANG CIPTA PERSADA</t>
        </is>
      </c>
      <c r="B5" t="inlineStr">
        <is>
          <t>Kab. Bogor</t>
        </is>
      </c>
      <c r="C5" t="inlineStr">
        <is>
          <t>081213970989</t>
        </is>
      </c>
      <c r="D5" t="inlineStr">
        <is>
          <t>pt.elangciptapersada22@gmail.com</t>
        </is>
      </c>
      <c r="E5" t="inlineStr">
        <is>
          <t>https://lpjk.pu.go.id/search-badan-usaha-detail/OUVHayszdWZKVEdKc3o0V0kxUXZjdz09</t>
        </is>
      </c>
      <c r="F5" t="n">
        <v>2</v>
      </c>
      <c r="G5" t="inlineStr">
        <is>
          <t>BS004</t>
        </is>
      </c>
      <c r="H5" t="inlineStr">
        <is>
          <t>2 Agustus 2022</t>
        </is>
      </c>
      <c r="I5" s="2" t="n">
        <v>46265</v>
      </c>
      <c r="J5" t="inlineStr">
        <is>
          <t>Disetujui</t>
        </is>
      </c>
      <c r="K5" t="n">
        <v>60</v>
      </c>
      <c r="L5" t="inlineStr">
        <is>
          <t>31 Agustus 2026</t>
        </is>
      </c>
      <c r="M5" t="inlineStr">
        <is>
          <t>Konstruksi Jaringan Irigasi dan Drainase</t>
        </is>
      </c>
      <c r="N5" t="inlineStr">
        <is>
          <t>K</t>
        </is>
      </c>
      <c r="O5" t="inlineStr">
        <is>
          <t>20230831</t>
        </is>
      </c>
      <c r="P5" t="inlineStr">
        <is>
          <t>Jawa Barat</t>
        </is>
      </c>
      <c r="Q5" s="3">
        <f>HYPERLINK("https://wa.me/6281213970989?text=*[PENGINGAT MASA BERLAKU SBU ELANG CIPTA PERSADA]*%0A%0AYth. Pimpinan ELANG CIPTA PERSADA,%0AMohon izin menginformasikan status SBU Anda di sistem LPJK:%0A%0A📄 SBU: BS004%0A📅 Expired: 31 Agustus 2026 (60 Hari Lagi)%0A%0AKami tim PT. ESDEA Assistance Management siap men-support proses perpanjangan segera agar administrasi proyek tidak terhambat%0A%0AApakah boleh saya bantu siapkan estimasi biaya dan waktu pengerjaannya?.", "Hubungi")</f>
        <v/>
      </c>
    </row>
    <row r="6">
      <c r="A6" t="inlineStr">
        <is>
          <t>JOGINA KARYA KONSTRUKSI</t>
        </is>
      </c>
      <c r="B6" t="inlineStr">
        <is>
          <t>Kab. Bogor</t>
        </is>
      </c>
      <c r="C6" t="inlineStr">
        <is>
          <t>085100174241</t>
        </is>
      </c>
      <c r="D6" t="inlineStr">
        <is>
          <t>joginakaryakonstruksi@gmail.com</t>
        </is>
      </c>
      <c r="E6" t="inlineStr">
        <is>
          <t>https://lpjk.pu.go.id/search-badan-usaha-detail/Q1QxSHpWTFVJMEhVQVNXNkZpTyt0dz09</t>
        </is>
      </c>
      <c r="F6" t="n">
        <v>6</v>
      </c>
      <c r="G6" t="inlineStr">
        <is>
          <t>BG009, BS001, BS004</t>
        </is>
      </c>
      <c r="H6" t="inlineStr">
        <is>
          <t>19 Oktober 2020</t>
        </is>
      </c>
      <c r="I6" s="2" t="n">
        <v>46265</v>
      </c>
      <c r="J6" t="inlineStr">
        <is>
          <t>Pencabutan</t>
        </is>
      </c>
      <c r="K6" t="n">
        <v>60</v>
      </c>
      <c r="L6" t="inlineStr">
        <is>
          <t>31 Agustus 2026</t>
        </is>
      </c>
      <c r="M6" t="inlineStr">
        <is>
          <t>Konstruksi Bangunan Sipil Jalan, Konstruksi Gedung Lainnya, Konstruksi Jaringan Irigasi dan Drainase</t>
        </is>
      </c>
      <c r="N6" t="inlineStr">
        <is>
          <t>K, M</t>
        </is>
      </c>
      <c r="O6" t="inlineStr">
        <is>
          <t>20230827</t>
        </is>
      </c>
      <c r="P6" t="inlineStr">
        <is>
          <t>Jawa Barat</t>
        </is>
      </c>
      <c r="Q6" s="3">
        <f>HYPERLINK("https://wa.me/6285100174241?text=*[PENGINGAT MASA BERLAKU SBU JOGINA KARYA KONSTRUKSI]*%0A%0AYth. Pimpinan JOGINA KARYA KONSTRUKSI,%0AMohon izin menginformasikan status SBU Anda di sistem LPJK:%0A%0A📄 SBU: BG009, BS001, BS004%0A📅 Expired: 31 Agustus 2026 (60 Hari Lagi)%0A%0AKami tim PT. ESDEA Assistance Management siap men-support proses perpanjangan segera agar administrasi proyek tidak terhambat%0A%0AApakah boleh saya bantu siapkan estimasi biaya dan waktu pengerjaannya?.", "Hubungi")</f>
        <v/>
      </c>
    </row>
    <row r="7">
      <c r="A7" t="inlineStr">
        <is>
          <t>KAILANI PRATAMA</t>
        </is>
      </c>
      <c r="B7" t="inlineStr">
        <is>
          <t>Kab. Bogor</t>
        </is>
      </c>
      <c r="C7" t="inlineStr">
        <is>
          <t>085289316644</t>
        </is>
      </c>
      <c r="D7" t="inlineStr">
        <is>
          <t>cv.kailanipratama75@gmail.com</t>
        </is>
      </c>
      <c r="E7" t="inlineStr">
        <is>
          <t>https://lpjk.pu.go.id/search-badan-usaha-detail/cWhDY3M4RkFlM0owK1A1QWU0d1o1dz09</t>
        </is>
      </c>
      <c r="F7" t="n">
        <v>2</v>
      </c>
      <c r="G7" t="inlineStr">
        <is>
          <t>BS005</t>
        </is>
      </c>
      <c r="H7" t="inlineStr">
        <is>
          <t>22 Juni 2012</t>
        </is>
      </c>
      <c r="I7" s="2" t="n">
        <v>46265</v>
      </c>
      <c r="J7" t="inlineStr">
        <is>
          <t>Disetujui</t>
        </is>
      </c>
      <c r="K7" t="n">
        <v>60</v>
      </c>
      <c r="L7" t="inlineStr">
        <is>
          <t>31 Agustus 2026</t>
        </is>
      </c>
      <c r="M7" t="inlineStr">
        <is>
          <t>Konstruksi Bangunan Sipil Pengolahan Air Bersih</t>
        </is>
      </c>
      <c r="N7" t="inlineStr">
        <is>
          <t>K</t>
        </is>
      </c>
      <c r="O7" t="inlineStr">
        <is>
          <t>20230830</t>
        </is>
      </c>
      <c r="P7" t="inlineStr">
        <is>
          <t>Jawa Barat</t>
        </is>
      </c>
      <c r="Q7" s="3">
        <f>HYPERLINK("https://wa.me/6285289316644?text=*[PENGINGAT MASA BERLAKU SBU KAILANI PRATAMA]*%0A%0AYth. Pimpinan KAILANI PRATAMA,%0AMohon izin menginformasikan status SBU Anda di sistem LPJK:%0A%0A📄 SBU: BS005%0A📅 Expired: 31 Agustus 2026 (60 Hari Lagi)%0A%0AKami tim PT. ESDEA Assistance Management siap men-support proses perpanjangan segera agar administrasi proyek tidak terhambat%0A%0AApakah boleh saya bantu siapkan estimasi biaya dan waktu pengerjaannya?.", "Hubungi")</f>
        <v/>
      </c>
    </row>
    <row r="8">
      <c r="A8" t="inlineStr">
        <is>
          <t>MITRABANGUN SELARAS UTAMA</t>
        </is>
      </c>
      <c r="B8" t="inlineStr">
        <is>
          <t>Kota Bekasi</t>
        </is>
      </c>
      <c r="C8" t="inlineStr">
        <is>
          <t>08159424878</t>
        </is>
      </c>
      <c r="D8" t="inlineStr">
        <is>
          <t>mitrabangun_selaras@yahoo.com</t>
        </is>
      </c>
      <c r="E8" t="inlineStr">
        <is>
          <t>https://lpjk.pu.go.id/search-badan-usaha-detail/TnBDSlZwcU1KUGQ1K2cvT1BmMUJ4dz09</t>
        </is>
      </c>
      <c r="F8" t="n">
        <v>2</v>
      </c>
      <c r="G8" t="inlineStr">
        <is>
          <t>BG009</t>
        </is>
      </c>
      <c r="H8" t="inlineStr">
        <is>
          <t>3 April 2003</t>
        </is>
      </c>
      <c r="I8" s="2" t="n">
        <v>46265</v>
      </c>
      <c r="J8" t="inlineStr">
        <is>
          <t>Disetujui</t>
        </is>
      </c>
      <c r="K8" t="n">
        <v>60</v>
      </c>
      <c r="L8" t="inlineStr">
        <is>
          <t>31 Agustus 2026</t>
        </is>
      </c>
      <c r="M8" t="inlineStr">
        <is>
          <t>Konstruksi Gedung Lainnya</t>
        </is>
      </c>
      <c r="N8" t="inlineStr">
        <is>
          <t>K</t>
        </is>
      </c>
      <c r="O8" t="inlineStr">
        <is>
          <t>20230831</t>
        </is>
      </c>
      <c r="P8" t="inlineStr">
        <is>
          <t>Jawa Barat</t>
        </is>
      </c>
      <c r="Q8" s="3">
        <f>HYPERLINK("https://wa.me/628159424878?text=*[PENGINGAT MASA BERLAKU SBU MITRABANGUN SELARAS UTAMA]*%0A%0AYth. Pimpinan MITRABANGUN SELARAS UTAMA,%0AMohon izin menginformasikan status SBU Anda di sistem LPJK:%0A%0A📄 SBU: BG009%0A📅 Expired: 31 Agustus 2026 (60 Hari Lagi)%0A%0AKami tim PT. ESDEA Assistance Management siap men-support proses perpanjangan segera agar administrasi proyek tidak terhambat%0A%0AApakah boleh saya bantu siapkan estimasi biaya dan waktu pengerjaannya?.", "Hubungi")</f>
        <v/>
      </c>
    </row>
    <row r="9">
      <c r="A9" t="inlineStr">
        <is>
          <t>MULTI LANGGENG</t>
        </is>
      </c>
      <c r="B9" t="inlineStr">
        <is>
          <t>Kota Adm. Jakarta Timur</t>
        </is>
      </c>
      <c r="C9" t="inlineStr">
        <is>
          <t>0218611576</t>
        </is>
      </c>
      <c r="D9" t="inlineStr">
        <is>
          <t>multilanggeng@ymail.com</t>
        </is>
      </c>
      <c r="E9" t="inlineStr">
        <is>
          <t>https://lpjk.pu.go.id/search-badan-usaha-detail/Nmx4SXlYU0EwTTh2UnJZTlErMkJkUT09</t>
        </is>
      </c>
      <c r="F9" t="n">
        <v>1</v>
      </c>
      <c r="G9" t="inlineStr">
        <is>
          <t>BS004</t>
        </is>
      </c>
      <c r="H9" t="inlineStr">
        <is>
          <t>27 Desember 2010</t>
        </is>
      </c>
      <c r="I9" s="2" t="n">
        <v>46265</v>
      </c>
      <c r="J9" t="inlineStr">
        <is>
          <t>Pencabutan</t>
        </is>
      </c>
      <c r="K9" t="n">
        <v>60</v>
      </c>
      <c r="L9" t="inlineStr">
        <is>
          <t>31 Agustus 2026</t>
        </is>
      </c>
      <c r="M9" t="inlineStr">
        <is>
          <t>Konstruksi Jaringan Irigasi dan Drainase</t>
        </is>
      </c>
      <c r="N9" t="inlineStr">
        <is>
          <t>K</t>
        </is>
      </c>
      <c r="O9" t="inlineStr">
        <is>
          <t>20230827</t>
        </is>
      </c>
      <c r="P9" t="inlineStr">
        <is>
          <t>DKI Jakarta</t>
        </is>
      </c>
      <c r="Q9" t="inlineStr"/>
    </row>
    <row r="10">
      <c r="A10" t="inlineStr">
        <is>
          <t>NILA ELEKTRIK</t>
        </is>
      </c>
      <c r="B10" t="inlineStr">
        <is>
          <t>Kota Depok</t>
        </is>
      </c>
      <c r="C10" t="inlineStr">
        <is>
          <t>02187913291</t>
        </is>
      </c>
      <c r="D10" t="inlineStr">
        <is>
          <t>nilaelektrik@yahoo.com</t>
        </is>
      </c>
      <c r="E10" t="inlineStr">
        <is>
          <t>https://lpjk.pu.go.id/search-badan-usaha-detail/Vkg4bUQvU1MrS0NUOTE2bSt3S1pEUT09</t>
        </is>
      </c>
      <c r="F10" t="n">
        <v>1</v>
      </c>
      <c r="G10" t="inlineStr">
        <is>
          <t>BG009</t>
        </is>
      </c>
      <c r="H10" t="inlineStr">
        <is>
          <t>19 Juni 2007</t>
        </is>
      </c>
      <c r="I10" s="2" t="n">
        <v>46265</v>
      </c>
      <c r="J10" t="inlineStr">
        <is>
          <t>Disetujui</t>
        </is>
      </c>
      <c r="K10" t="n">
        <v>60</v>
      </c>
      <c r="L10" t="inlineStr">
        <is>
          <t>31 Agustus 2026</t>
        </is>
      </c>
      <c r="M10" t="inlineStr">
        <is>
          <t>Konstruksi Gedung Lainnya</t>
        </is>
      </c>
      <c r="N10" t="inlineStr">
        <is>
          <t>K</t>
        </is>
      </c>
      <c r="O10" t="inlineStr">
        <is>
          <t>20230706</t>
        </is>
      </c>
      <c r="P10" t="inlineStr">
        <is>
          <t>Jawa Barat</t>
        </is>
      </c>
      <c r="Q10" t="inlineStr"/>
    </row>
    <row r="11">
      <c r="A11" t="inlineStr">
        <is>
          <t>SAMUEL RAMA REKSA</t>
        </is>
      </c>
      <c r="B11" t="inlineStr">
        <is>
          <t>Kota Adm. Jakarta Timur</t>
        </is>
      </c>
      <c r="C11" t="inlineStr">
        <is>
          <t>02122865084</t>
        </is>
      </c>
      <c r="D11" t="inlineStr">
        <is>
          <t>samuelramareksa@gmail.com</t>
        </is>
      </c>
      <c r="E11" t="inlineStr">
        <is>
          <t>https://lpjk.pu.go.id/search-badan-usaha-detail/ZGNCYVNTcmRqTm1oWE9iT2t4NkJsQT09</t>
        </is>
      </c>
      <c r="F11" t="n">
        <v>1</v>
      </c>
      <c r="G11" t="inlineStr">
        <is>
          <t>BS001</t>
        </is>
      </c>
      <c r="H11" t="inlineStr">
        <is>
          <t>12 Juli 2023</t>
        </is>
      </c>
      <c r="I11" s="2" t="n">
        <v>46265</v>
      </c>
      <c r="J11" t="inlineStr">
        <is>
          <t>Disetujui</t>
        </is>
      </c>
      <c r="K11" t="n">
        <v>60</v>
      </c>
      <c r="L11" t="inlineStr">
        <is>
          <t>31 Agustus 2026</t>
        </is>
      </c>
      <c r="M11" t="inlineStr">
        <is>
          <t>Konstruksi Bangunan Sipil Jalan</t>
        </is>
      </c>
      <c r="N11" t="inlineStr">
        <is>
          <t>K</t>
        </is>
      </c>
      <c r="O11" t="inlineStr">
        <is>
          <t>20230830</t>
        </is>
      </c>
      <c r="P11" t="inlineStr">
        <is>
          <t>DKI Jakarta</t>
        </is>
      </c>
      <c r="Q11" t="inlineStr"/>
    </row>
    <row r="12">
      <c r="A12" t="inlineStr">
        <is>
          <t>TRIARGA BAYU ARTHA</t>
        </is>
      </c>
      <c r="B12" t="inlineStr">
        <is>
          <t>Kota Adm. Jakarta Timur</t>
        </is>
      </c>
      <c r="C12" t="inlineStr">
        <is>
          <t>02186603430</t>
        </is>
      </c>
      <c r="D12" t="inlineStr">
        <is>
          <t>triargabayu.artha@yahoo.com</t>
        </is>
      </c>
      <c r="E12" t="inlineStr">
        <is>
          <t>https://lpjk.pu.go.id/search-badan-usaha-detail/K0JsWmZwbDFDeUViL0R1RmMyRkdCQT09</t>
        </is>
      </c>
      <c r="F12" t="n">
        <v>1</v>
      </c>
      <c r="G12" t="inlineStr">
        <is>
          <t>BG009</t>
        </is>
      </c>
      <c r="H12" t="inlineStr">
        <is>
          <t>20 Oktober 2010</t>
        </is>
      </c>
      <c r="I12" s="2" t="n">
        <v>46265</v>
      </c>
      <c r="J12" t="inlineStr">
        <is>
          <t>Disetujui</t>
        </is>
      </c>
      <c r="K12" t="n">
        <v>60</v>
      </c>
      <c r="L12" t="inlineStr">
        <is>
          <t>31 Agustus 2026</t>
        </is>
      </c>
      <c r="M12" t="inlineStr">
        <is>
          <t>Konstruksi Gedung Lainnya</t>
        </is>
      </c>
      <c r="N12" t="inlineStr">
        <is>
          <t>M</t>
        </is>
      </c>
      <c r="O12" t="inlineStr">
        <is>
          <t>20230720</t>
        </is>
      </c>
      <c r="P12" t="inlineStr">
        <is>
          <t>DKI Jakarta</t>
        </is>
      </c>
      <c r="Q12" t="inlineStr"/>
    </row>
    <row r="13">
      <c r="A13" t="inlineStr">
        <is>
          <t>WAHASS</t>
        </is>
      </c>
      <c r="B13" t="inlineStr">
        <is>
          <t>Kota Bogor</t>
        </is>
      </c>
      <c r="C13" t="inlineStr">
        <is>
          <t>02518404029</t>
        </is>
      </c>
      <c r="D13" t="inlineStr">
        <is>
          <t>ptwahass11@gmail.com</t>
        </is>
      </c>
      <c r="E13" t="inlineStr">
        <is>
          <t>https://lpjk.pu.go.id/search-badan-usaha-detail/TUYrbElLVUU1NnlCZ09COWg4eHF4UT09</t>
        </is>
      </c>
      <c r="F13" t="n">
        <v>1</v>
      </c>
      <c r="G13" t="inlineStr">
        <is>
          <t>PB010</t>
        </is>
      </c>
      <c r="H13" t="inlineStr">
        <is>
          <t>12 Desember 2022</t>
        </is>
      </c>
      <c r="I13" s="2" t="n">
        <v>46265</v>
      </c>
      <c r="J13" t="inlineStr">
        <is>
          <t>Pembekuan</t>
        </is>
      </c>
      <c r="K13" t="n">
        <v>60</v>
      </c>
      <c r="L13" t="inlineStr">
        <is>
          <t>31 Agustus 2026</t>
        </is>
      </c>
      <c r="M13" t="inlineStr">
        <is>
          <t>Pekerjaan Lanskap, Pertamanan, dan Penanaman Vegetasi</t>
        </is>
      </c>
      <c r="N13" t="inlineStr">
        <is>
          <t>Spesialis</t>
        </is>
      </c>
      <c r="O13" t="inlineStr">
        <is>
          <t>20230831</t>
        </is>
      </c>
      <c r="P13" t="inlineStr">
        <is>
          <t>Jawa Barat</t>
        </is>
      </c>
      <c r="Q13" s="3">
        <f>HYPERLINK("https://wa.me/622518404029?text=*[PENGINGAT MASA BERLAKU SBU WAHASS]*%0A%0AYth. Pimpinan WAHASS,%0AMohon izin menginformasikan status SBU Anda di sistem LPJK:%0A%0A📄 SBU: PB010%0A📅 Expired: 31 Agustus 2026 (60 Hari Lagi)%0A%0AKami tim PT. ESDEA Assistance Management siap men-support proses perpanjangan segera agar administrasi proyek tidak terhambat%0A%0AApakah boleh saya bantu siapkan estimasi biaya dan waktu pengerjaannya?.", "Hubungi")</f>
        <v/>
      </c>
    </row>
    <row r="14">
      <c r="A14" t="inlineStr">
        <is>
          <t>ABADI JAYA AUTOMATIS</t>
        </is>
      </c>
      <c r="B14" t="inlineStr">
        <is>
          <t>Kota Adm. Jakarta Barat</t>
        </is>
      </c>
      <c r="C14" t="inlineStr">
        <is>
          <t>02129863449</t>
        </is>
      </c>
      <c r="D14" t="inlineStr">
        <is>
          <t>info@abadijayaautomatis.co.id</t>
        </is>
      </c>
      <c r="E14" t="inlineStr">
        <is>
          <t>https://lpjk.pu.go.id/search-badan-usaha-detail/dFh4a3VDMkNYNkZoWUQzZnlkdGFBQT09</t>
        </is>
      </c>
      <c r="F14" t="n">
        <v>2</v>
      </c>
      <c r="G14" t="inlineStr">
        <is>
          <t>BG005</t>
        </is>
      </c>
      <c r="H14" t="inlineStr">
        <is>
          <t>7 September 2022</t>
        </is>
      </c>
      <c r="I14" s="2" t="n">
        <v>46265</v>
      </c>
      <c r="J14" t="inlineStr">
        <is>
          <t>Disetujui</t>
        </is>
      </c>
      <c r="K14" t="n">
        <v>60</v>
      </c>
      <c r="L14" t="inlineStr">
        <is>
          <t>31 Agustus 2026</t>
        </is>
      </c>
      <c r="M14" t="inlineStr">
        <is>
          <t>Konstruksi Gedung Kesehatan</t>
        </is>
      </c>
      <c r="N14" t="inlineStr">
        <is>
          <t>K</t>
        </is>
      </c>
      <c r="O14" t="inlineStr">
        <is>
          <t>20230805</t>
        </is>
      </c>
      <c r="P14" t="inlineStr">
        <is>
          <t>DKI Jakarta</t>
        </is>
      </c>
      <c r="Q14" t="inlineStr"/>
    </row>
    <row r="15">
      <c r="A15" t="inlineStr">
        <is>
          <t>ADI CIPTA</t>
        </is>
      </c>
      <c r="B15" t="inlineStr">
        <is>
          <t>Kota Mataram</t>
        </is>
      </c>
      <c r="C15" t="inlineStr">
        <is>
          <t>08123782303</t>
        </is>
      </c>
      <c r="D15" t="inlineStr">
        <is>
          <t>cv_adi_cipta@yahoo.co.id</t>
        </is>
      </c>
      <c r="E15" t="inlineStr">
        <is>
          <t>https://lpjk.pu.go.id/search-badan-usaha-detail/dExxVVBQYnU5UlphM1VXVzdiQlF1dz09</t>
        </is>
      </c>
      <c r="F15" t="n">
        <v>1</v>
      </c>
      <c r="G15" t="inlineStr">
        <is>
          <t>RK003</t>
        </is>
      </c>
      <c r="H15" t="inlineStr">
        <is>
          <t>27 September 1993</t>
        </is>
      </c>
      <c r="I15" s="2" t="n">
        <v>46265</v>
      </c>
      <c r="J15" t="inlineStr">
        <is>
          <t>Disetujui</t>
        </is>
      </c>
      <c r="K15" t="n">
        <v>60</v>
      </c>
      <c r="L15" t="inlineStr">
        <is>
          <t>31 Agustus 2026</t>
        </is>
      </c>
      <c r="M15" t="inlineStr">
        <is>
          <t>Jasa Rekayasa Pekerjaan Teknik Sipil Transportasi</t>
        </is>
      </c>
      <c r="N15" t="inlineStr">
        <is>
          <t>K</t>
        </is>
      </c>
      <c r="O15" t="inlineStr">
        <is>
          <t>20230826</t>
        </is>
      </c>
      <c r="P15" t="inlineStr">
        <is>
          <t>Nusa Tenggara Barat</t>
        </is>
      </c>
      <c r="Q15" t="inlineStr"/>
    </row>
    <row r="16">
      <c r="A16" t="inlineStr">
        <is>
          <t>ADJI MERTHA KARYA</t>
        </is>
      </c>
      <c r="B16" t="inlineStr">
        <is>
          <t>Kab. Pasuruan</t>
        </is>
      </c>
      <c r="C16" t="inlineStr">
        <is>
          <t>08125297937</t>
        </is>
      </c>
      <c r="D16" t="inlineStr">
        <is>
          <t>ajimerthakarya@gmail.com</t>
        </is>
      </c>
      <c r="E16" t="inlineStr">
        <is>
          <t>https://lpjk.pu.go.id/search-badan-usaha-detail/S1pYbHZXWElhVkoxdkxvOGI2anRlQT09</t>
        </is>
      </c>
      <c r="F16" t="n">
        <v>1</v>
      </c>
      <c r="G16" t="inlineStr">
        <is>
          <t>BG005</t>
        </is>
      </c>
      <c r="H16" t="inlineStr">
        <is>
          <t>6 Agustus 1982</t>
        </is>
      </c>
      <c r="I16" s="2" t="n">
        <v>46265</v>
      </c>
      <c r="J16" t="inlineStr">
        <is>
          <t>Disetujui</t>
        </is>
      </c>
      <c r="K16" t="n">
        <v>60</v>
      </c>
      <c r="L16" t="inlineStr">
        <is>
          <t>31 Agustus 2026</t>
        </is>
      </c>
      <c r="M16" t="inlineStr">
        <is>
          <t>Konstruksi Gedung Kesehatan</t>
        </is>
      </c>
      <c r="N16" t="inlineStr">
        <is>
          <t>K</t>
        </is>
      </c>
      <c r="O16" t="inlineStr">
        <is>
          <t>20230605</t>
        </is>
      </c>
      <c r="P16" t="inlineStr">
        <is>
          <t>Jawa Timur</t>
        </is>
      </c>
      <c r="Q16" t="inlineStr"/>
    </row>
    <row r="17">
      <c r="A17" t="inlineStr">
        <is>
          <t>ALAM SEJAHTERA</t>
        </is>
      </c>
      <c r="B17" t="inlineStr">
        <is>
          <t>Kab. Bojonegoro</t>
        </is>
      </c>
      <c r="C17" t="inlineStr">
        <is>
          <t>08123213351</t>
        </is>
      </c>
      <c r="D17" t="inlineStr">
        <is>
          <t>cvalamsejahtera@yahoo.co.id</t>
        </is>
      </c>
      <c r="E17" t="inlineStr">
        <is>
          <t>https://lpjk.pu.go.id/search-badan-usaha-detail/TTdMbmxrbkl6NldLWHBnTjEwMXlrQT09</t>
        </is>
      </c>
      <c r="F17" t="n">
        <v>5</v>
      </c>
      <c r="G17" t="inlineStr">
        <is>
          <t>BG004, BG005, BG006, BG009, BS001</t>
        </is>
      </c>
      <c r="H17" t="inlineStr">
        <is>
          <t>2 Agustus 2000</t>
        </is>
      </c>
      <c r="I17" s="2" t="n">
        <v>46265</v>
      </c>
      <c r="J17" t="inlineStr">
        <is>
          <t>Disetujui</t>
        </is>
      </c>
      <c r="K17" t="n">
        <v>60</v>
      </c>
      <c r="L17" t="inlineStr">
        <is>
          <t>31 Agustus 2026</t>
        </is>
      </c>
      <c r="M17" t="inlineStr">
        <is>
          <t>Konstruksi Bangunan Sipil Jalan, Konstruksi Gedung Kesehatan, Konstruksi Gedung Lainnya, Konstruksi Gedung Pendidikan, Konstruksi Gedung Perbelanjaan</t>
        </is>
      </c>
      <c r="N17" t="inlineStr">
        <is>
          <t>K</t>
        </is>
      </c>
      <c r="O17" t="inlineStr">
        <is>
          <t>20230815, 20230831</t>
        </is>
      </c>
      <c r="P17" t="inlineStr">
        <is>
          <t>Jawa Timur</t>
        </is>
      </c>
      <c r="Q17" t="inlineStr"/>
    </row>
    <row r="18">
      <c r="A18" t="inlineStr">
        <is>
          <t>ALIF CAHAYA SEJAHTERA</t>
        </is>
      </c>
      <c r="B18" t="inlineStr">
        <is>
          <t>Kab. Muaro Jambi</t>
        </is>
      </c>
      <c r="C18" t="inlineStr">
        <is>
          <t>082378240145</t>
        </is>
      </c>
      <c r="D18" t="inlineStr">
        <is>
          <t>cvmat@yahoo.com</t>
        </is>
      </c>
      <c r="E18" t="inlineStr">
        <is>
          <t>https://lpjk.pu.go.id/search-badan-usaha-detail/c1ppdnFNZ3dpeCtrcU9nUlFTTmprUT09</t>
        </is>
      </c>
      <c r="F18" t="n">
        <v>1</v>
      </c>
      <c r="G18" t="inlineStr">
        <is>
          <t>BG009</t>
        </is>
      </c>
      <c r="H18" t="inlineStr">
        <is>
          <t>2 Mei 2017</t>
        </is>
      </c>
      <c r="I18" s="2" t="n">
        <v>46265</v>
      </c>
      <c r="J18" t="inlineStr">
        <is>
          <t>Disetujui</t>
        </is>
      </c>
      <c r="K18" t="n">
        <v>60</v>
      </c>
      <c r="L18" t="inlineStr">
        <is>
          <t>31 Agustus 2026</t>
        </is>
      </c>
      <c r="M18" t="inlineStr">
        <is>
          <t>Konstruksi Gedung Lainnya</t>
        </is>
      </c>
      <c r="N18" t="inlineStr">
        <is>
          <t>K</t>
        </is>
      </c>
      <c r="O18" t="inlineStr">
        <is>
          <t>20230829</t>
        </is>
      </c>
      <c r="P18" t="inlineStr">
        <is>
          <t>Jambi</t>
        </is>
      </c>
      <c r="Q18" t="inlineStr"/>
    </row>
    <row r="19">
      <c r="A19" t="inlineStr">
        <is>
          <t>ALSITAR</t>
        </is>
      </c>
      <c r="B19" t="inlineStr">
        <is>
          <t>Kab. Maluku Tenggara</t>
        </is>
      </c>
      <c r="C19" t="inlineStr">
        <is>
          <t>-</t>
        </is>
      </c>
      <c r="D19" t="inlineStr">
        <is>
          <t>cv.alsitar03@yahoo.co.id</t>
        </is>
      </c>
      <c r="E19" t="inlineStr">
        <is>
          <t>https://lpjk.pu.go.id/search-badan-usaha-detail/Nzd0YzhaMURIQUJCWk12T09FTXVkZz09</t>
        </is>
      </c>
      <c r="F19" t="n">
        <v>1</v>
      </c>
      <c r="G19" t="inlineStr">
        <is>
          <t>BG006</t>
        </is>
      </c>
      <c r="H19" t="inlineStr">
        <is>
          <t>7 September 2002</t>
        </is>
      </c>
      <c r="I19" s="2" t="n">
        <v>46265</v>
      </c>
      <c r="J19" t="inlineStr">
        <is>
          <t>Disetujui</t>
        </is>
      </c>
      <c r="K19" t="n">
        <v>60</v>
      </c>
      <c r="L19" t="inlineStr">
        <is>
          <t>31 Agustus 2026</t>
        </is>
      </c>
      <c r="M19" t="inlineStr">
        <is>
          <t>Konstruksi Gedung Pendidikan</t>
        </is>
      </c>
      <c r="N19" t="inlineStr">
        <is>
          <t>K</t>
        </is>
      </c>
      <c r="O19" t="inlineStr">
        <is>
          <t>20230901</t>
        </is>
      </c>
      <c r="P19" t="inlineStr">
        <is>
          <t>Maluku</t>
        </is>
      </c>
      <c r="Q19" t="inlineStr"/>
    </row>
    <row r="20">
      <c r="A20" t="inlineStr">
        <is>
          <t>AMANDI KARYA</t>
        </is>
      </c>
      <c r="B20" t="inlineStr">
        <is>
          <t>Kota Pontianak</t>
        </is>
      </c>
      <c r="C20" t="inlineStr">
        <is>
          <t>085252765177</t>
        </is>
      </c>
      <c r="D20" t="inlineStr">
        <is>
          <t>amandikarya@gmail.com</t>
        </is>
      </c>
      <c r="E20" t="inlineStr">
        <is>
          <t>https://lpjk.pu.go.id/search-badan-usaha-detail/TDlzbzJzKzBKNkJyWDdTeENlWGcyUT09</t>
        </is>
      </c>
      <c r="F20" t="n">
        <v>1</v>
      </c>
      <c r="G20" t="inlineStr">
        <is>
          <t>BG001</t>
        </is>
      </c>
      <c r="H20" t="inlineStr">
        <is>
          <t>18 Juli 2023</t>
        </is>
      </c>
      <c r="I20" s="2" t="n">
        <v>46265</v>
      </c>
      <c r="J20" t="inlineStr">
        <is>
          <t>Disetujui</t>
        </is>
      </c>
      <c r="K20" t="n">
        <v>60</v>
      </c>
      <c r="L20" t="inlineStr">
        <is>
          <t>31 Agustus 2026</t>
        </is>
      </c>
      <c r="M20" t="inlineStr">
        <is>
          <t>Konstruksi Gedung Hunian</t>
        </is>
      </c>
      <c r="N20" t="inlineStr">
        <is>
          <t>K</t>
        </is>
      </c>
      <c r="O20" t="inlineStr">
        <is>
          <t>20230901</t>
        </is>
      </c>
      <c r="P20" t="inlineStr">
        <is>
          <t>Kalimantan Barat</t>
        </is>
      </c>
      <c r="Q20" t="inlineStr"/>
    </row>
    <row r="21">
      <c r="A21" t="inlineStr">
        <is>
          <t>AMARTHA EKA TUNGGAL</t>
        </is>
      </c>
      <c r="B21" t="inlineStr">
        <is>
          <t>Kota Gorontalo</t>
        </is>
      </c>
      <c r="C21" t="inlineStr">
        <is>
          <t>082120708888</t>
        </is>
      </c>
      <c r="D21" t="inlineStr">
        <is>
          <t>pt.amarthaekatunggal@gmail.com</t>
        </is>
      </c>
      <c r="E21" t="inlineStr">
        <is>
          <t>https://lpjk.pu.go.id/search-badan-usaha-detail/WWJIem9Bek9rZGVaMDhrdjZ0ZldtUT09</t>
        </is>
      </c>
      <c r="F21" t="n">
        <v>6</v>
      </c>
      <c r="G21" t="inlineStr">
        <is>
          <t>BG003</t>
        </is>
      </c>
      <c r="H21" t="inlineStr">
        <is>
          <t>21 Juli 2023</t>
        </is>
      </c>
      <c r="I21" s="2" t="n">
        <v>46265</v>
      </c>
      <c r="J21" t="inlineStr">
        <is>
          <t>Disetujui</t>
        </is>
      </c>
      <c r="K21" t="n">
        <v>60</v>
      </c>
      <c r="L21" t="inlineStr">
        <is>
          <t>31 Agustus 2026</t>
        </is>
      </c>
      <c r="M21" t="inlineStr">
        <is>
          <t>Konstruksi Gedung Industri</t>
        </is>
      </c>
      <c r="N21" t="inlineStr">
        <is>
          <t>K</t>
        </is>
      </c>
      <c r="O21" t="inlineStr">
        <is>
          <t>20230831</t>
        </is>
      </c>
      <c r="P21" t="inlineStr">
        <is>
          <t>Gorontalo</t>
        </is>
      </c>
      <c r="Q21" t="inlineStr"/>
    </row>
    <row r="22">
      <c r="A22" t="inlineStr">
        <is>
          <t>ANDALAN MULTI CONTRACTOR</t>
        </is>
      </c>
      <c r="B22" t="inlineStr">
        <is>
          <t>Kab. Pacitan</t>
        </is>
      </c>
      <c r="C22" t="inlineStr">
        <is>
          <t>08883418127</t>
        </is>
      </c>
      <c r="D22" t="inlineStr">
        <is>
          <t>andalanmulticontractor@gmail.com</t>
        </is>
      </c>
      <c r="E22" t="inlineStr">
        <is>
          <t>https://lpjk.pu.go.id/search-badan-usaha-detail/K2krODdqR0E5WmVNbTNYbWUzWTVndz09</t>
        </is>
      </c>
      <c r="F22" t="n">
        <v>4</v>
      </c>
      <c r="G22" t="inlineStr">
        <is>
          <t>BS001, BS004</t>
        </is>
      </c>
      <c r="H22" t="inlineStr">
        <is>
          <t>24 Januari 2020</t>
        </is>
      </c>
      <c r="I22" s="2" t="n">
        <v>46265</v>
      </c>
      <c r="J22" t="inlineStr">
        <is>
          <t>Disetujui</t>
        </is>
      </c>
      <c r="K22" t="n">
        <v>60</v>
      </c>
      <c r="L22" t="inlineStr">
        <is>
          <t>31 Agustus 2026</t>
        </is>
      </c>
      <c r="M22" t="inlineStr">
        <is>
          <t>Konstruksi Bangunan Sipil Jalan, Konstruksi Jaringan Irigasi dan Drainase</t>
        </is>
      </c>
      <c r="N22" t="inlineStr">
        <is>
          <t>K</t>
        </is>
      </c>
      <c r="O22" t="inlineStr">
        <is>
          <t>20230823</t>
        </is>
      </c>
      <c r="P22" t="inlineStr">
        <is>
          <t>Jawa Timur</t>
        </is>
      </c>
      <c r="Q22" t="inlineStr"/>
    </row>
    <row r="23">
      <c r="A23" t="inlineStr">
        <is>
          <t>ANDI BINA CITRA</t>
        </is>
      </c>
      <c r="B23" t="inlineStr">
        <is>
          <t>Kota Pekanbaru</t>
        </is>
      </c>
      <c r="C23" t="inlineStr">
        <is>
          <t>08122522335</t>
        </is>
      </c>
      <c r="D23" t="inlineStr">
        <is>
          <t>andibinacitra@outlook.com</t>
        </is>
      </c>
      <c r="E23" t="inlineStr">
        <is>
          <t>https://lpjk.pu.go.id/search-badan-usaha-detail/NXNXdnBvZ3RYcFN2UmxuSUhWbnNWUT09</t>
        </is>
      </c>
      <c r="F23" t="n">
        <v>3</v>
      </c>
      <c r="G23" t="inlineStr">
        <is>
          <t>BG002, BG006, BG009</t>
        </is>
      </c>
      <c r="H23" t="inlineStr">
        <is>
          <t>2 Maret 2019</t>
        </is>
      </c>
      <c r="I23" s="2" t="n">
        <v>46265</v>
      </c>
      <c r="J23" t="inlineStr">
        <is>
          <t>Disetujui</t>
        </is>
      </c>
      <c r="K23" t="n">
        <v>60</v>
      </c>
      <c r="L23" t="inlineStr">
        <is>
          <t>31 Agustus 2026</t>
        </is>
      </c>
      <c r="M23" t="inlineStr">
        <is>
          <t>Konstruksi Gedung Lainnya, Konstruksi Gedung Pendidikan, Konstruksi Gedung Perkantoran</t>
        </is>
      </c>
      <c r="N23" t="inlineStr">
        <is>
          <t>K</t>
        </is>
      </c>
      <c r="O23" t="inlineStr">
        <is>
          <t>20230329, 20230831</t>
        </is>
      </c>
      <c r="P23" t="inlineStr">
        <is>
          <t>Riau</t>
        </is>
      </c>
      <c r="Q23" t="inlineStr"/>
    </row>
    <row r="24">
      <c r="A24" t="inlineStr">
        <is>
          <t>ANEUK GALONG HISTORY</t>
        </is>
      </c>
      <c r="B24" t="inlineStr">
        <is>
          <t>Kab. Aceh Besar</t>
        </is>
      </c>
      <c r="C24" t="inlineStr">
        <is>
          <t>08126915940</t>
        </is>
      </c>
      <c r="D24" t="inlineStr">
        <is>
          <t>aneukgalonghistorycv@gmail.com</t>
        </is>
      </c>
      <c r="E24" t="inlineStr">
        <is>
          <t>https://lpjk.pu.go.id/search-badan-usaha-detail/NWhLbSs5YWFxT040WDVhRy9MRExyZz09</t>
        </is>
      </c>
      <c r="F24" t="n">
        <v>5</v>
      </c>
      <c r="G24" t="inlineStr">
        <is>
          <t>BG002, BG003, BG004, BG006, BG009</t>
        </is>
      </c>
      <c r="H24" t="inlineStr">
        <is>
          <t>13 Januari 2015</t>
        </is>
      </c>
      <c r="I24" s="2" t="n">
        <v>46265</v>
      </c>
      <c r="J24" t="inlineStr">
        <is>
          <t>Disetujui</t>
        </is>
      </c>
      <c r="K24" t="n">
        <v>60</v>
      </c>
      <c r="L24" t="inlineStr">
        <is>
          <t>31 Agustus 2026</t>
        </is>
      </c>
      <c r="M24" t="inlineStr">
        <is>
          <t>Konstruksi Gedung Industri, Konstruksi Gedung Lainnya, Konstruksi Gedung Pendidikan, Konstruksi Gedung Perbelanjaan, Konstruksi Gedung Perkantoran</t>
        </is>
      </c>
      <c r="N24" t="inlineStr">
        <is>
          <t>K</t>
        </is>
      </c>
      <c r="O24" t="inlineStr">
        <is>
          <t>20230830</t>
        </is>
      </c>
      <c r="P24" t="inlineStr">
        <is>
          <t>Aceh</t>
        </is>
      </c>
      <c r="Q24" t="inlineStr"/>
    </row>
    <row r="25">
      <c r="A25" t="inlineStr">
        <is>
          <t>ANTASENA MEGAH PERSADA</t>
        </is>
      </c>
      <c r="B25" t="inlineStr">
        <is>
          <t>Kota Adm. Jakarta Selatan</t>
        </is>
      </c>
      <c r="C25" t="inlineStr">
        <is>
          <t>02183709030</t>
        </is>
      </c>
      <c r="D25" t="inlineStr">
        <is>
          <t>fachrul@adhimatratama.co.id</t>
        </is>
      </c>
      <c r="E25" t="inlineStr">
        <is>
          <t>https://lpjk.pu.go.id/search-badan-usaha-detail/U2R4cjZsOE9NbjU0RFM1OGVqZ2ZwQT09</t>
        </is>
      </c>
      <c r="F25" t="n">
        <v>1</v>
      </c>
      <c r="G25" t="inlineStr">
        <is>
          <t>BG009</t>
        </is>
      </c>
      <c r="H25" t="inlineStr">
        <is>
          <t>10 April 2023</t>
        </is>
      </c>
      <c r="I25" s="2" t="n">
        <v>46265</v>
      </c>
      <c r="J25" t="inlineStr">
        <is>
          <t>Pencabutan</t>
        </is>
      </c>
      <c r="K25" t="n">
        <v>60</v>
      </c>
      <c r="L25" t="inlineStr">
        <is>
          <t>31 Agustus 2026</t>
        </is>
      </c>
      <c r="M25" t="inlineStr">
        <is>
          <t>Konstruksi Gedung Lainnya</t>
        </is>
      </c>
      <c r="N25" t="inlineStr">
        <is>
          <t>K</t>
        </is>
      </c>
      <c r="O25" t="inlineStr">
        <is>
          <t>20230830</t>
        </is>
      </c>
      <c r="P25" t="inlineStr">
        <is>
          <t>DKI Jakarta</t>
        </is>
      </c>
      <c r="Q25" t="inlineStr"/>
    </row>
    <row r="26">
      <c r="A26" t="inlineStr">
        <is>
          <t>ANUGERAH MAJU ABADIJAYA</t>
        </is>
      </c>
      <c r="B26" t="inlineStr">
        <is>
          <t>Kota Adm. Jakarta Utara</t>
        </is>
      </c>
      <c r="C26" t="inlineStr">
        <is>
          <t>02130010260</t>
        </is>
      </c>
      <c r="D26" t="inlineStr">
        <is>
          <t>anugerahmajuabadijaya@gmail.com</t>
        </is>
      </c>
      <c r="E26" t="inlineStr">
        <is>
          <t>https://lpjk.pu.go.id/search-badan-usaha-detail/NGl1TUVwYyt1MUFYMGxWSHhOaE9Fdz09</t>
        </is>
      </c>
      <c r="F26" t="n">
        <v>1</v>
      </c>
      <c r="G26" t="inlineStr">
        <is>
          <t>BG001</t>
        </is>
      </c>
      <c r="H26" t="inlineStr">
        <is>
          <t>1 April 2022</t>
        </is>
      </c>
      <c r="I26" s="2" t="n">
        <v>46265</v>
      </c>
      <c r="J26" t="inlineStr">
        <is>
          <t>Pencabutan</t>
        </is>
      </c>
      <c r="K26" t="n">
        <v>60</v>
      </c>
      <c r="L26" t="inlineStr">
        <is>
          <t>31 Agustus 2026</t>
        </is>
      </c>
      <c r="M26" t="inlineStr">
        <is>
          <t>Konstruksi Gedung Hunian</t>
        </is>
      </c>
      <c r="N26" t="inlineStr">
        <is>
          <t>K</t>
        </is>
      </c>
      <c r="O26" t="inlineStr">
        <is>
          <t>20230816</t>
        </is>
      </c>
      <c r="P26" t="inlineStr">
        <is>
          <t>DKI Jakarta</t>
        </is>
      </c>
      <c r="Q26" t="inlineStr"/>
    </row>
    <row r="27">
      <c r="A27" t="inlineStr">
        <is>
          <t>ANUGRAH LANGGENG MUKTI</t>
        </is>
      </c>
      <c r="B27" t="inlineStr">
        <is>
          <t>Kab. Ogan Komering Ulu</t>
        </is>
      </c>
      <c r="C27" t="inlineStr">
        <is>
          <t>0735322225</t>
        </is>
      </c>
      <c r="D27" t="inlineStr">
        <is>
          <t>pt.anugrahoku@yahoo.com</t>
        </is>
      </c>
      <c r="E27" t="inlineStr">
        <is>
          <t>https://lpjk.pu.go.id/search-badan-usaha-detail/NlB4VllZazh5UFJOL1daTzljZ0dyUT09</t>
        </is>
      </c>
      <c r="F27" t="n">
        <v>8</v>
      </c>
      <c r="G27" t="inlineStr">
        <is>
          <t>BG001, BG003, BG009, BS004</t>
        </is>
      </c>
      <c r="H27" t="inlineStr">
        <is>
          <t>23 April 2007</t>
        </is>
      </c>
      <c r="I27" s="2" t="n">
        <v>46265</v>
      </c>
      <c r="J27" t="inlineStr">
        <is>
          <t>Disetujui</t>
        </is>
      </c>
      <c r="K27" t="n">
        <v>60</v>
      </c>
      <c r="L27" t="inlineStr">
        <is>
          <t>31 Agustus 2026</t>
        </is>
      </c>
      <c r="M27" t="inlineStr">
        <is>
          <t>Konstruksi Gedung Hunian, Konstruksi Gedung Industri, Konstruksi Gedung Lainnya, Konstruksi Jaringan Irigasi dan Drainase</t>
        </is>
      </c>
      <c r="N27" t="inlineStr">
        <is>
          <t>K, M</t>
        </is>
      </c>
      <c r="O27" t="inlineStr">
        <is>
          <t>20230802</t>
        </is>
      </c>
      <c r="P27" t="inlineStr">
        <is>
          <t>Sumatera Selatan</t>
        </is>
      </c>
      <c r="Q27" t="inlineStr"/>
    </row>
    <row r="28">
      <c r="A28" t="inlineStr">
        <is>
          <t>ARKONIN ENGINEERING MANGGALA PRATAMA</t>
        </is>
      </c>
      <c r="B28" t="inlineStr">
        <is>
          <t>Kota Adm. Jakarta Selatan</t>
        </is>
      </c>
      <c r="C28" t="inlineStr">
        <is>
          <t>0217350211</t>
        </is>
      </c>
      <c r="D28" t="inlineStr">
        <is>
          <t>arkoninmphrd@yahoo.com</t>
        </is>
      </c>
      <c r="E28" t="inlineStr">
        <is>
          <t>https://lpjk.pu.go.id/search-badan-usaha-detail/U243bXlZeDJqazJXTkE2dHZ3c2Z1dz09</t>
        </is>
      </c>
      <c r="F28" t="n">
        <v>3</v>
      </c>
      <c r="G28" t="inlineStr">
        <is>
          <t>AL002, AR001</t>
        </is>
      </c>
      <c r="H28" t="inlineStr">
        <is>
          <t>31 Agustus 1982</t>
        </is>
      </c>
      <c r="I28" s="2" t="n">
        <v>46265</v>
      </c>
      <c r="J28" t="inlineStr">
        <is>
          <t>Disetujui</t>
        </is>
      </c>
      <c r="K28" t="n">
        <v>60</v>
      </c>
      <c r="L28" t="inlineStr">
        <is>
          <t>31 Agustus 2026</t>
        </is>
      </c>
      <c r="M28" t="inlineStr">
        <is>
          <t>Jasa Arsitektural Bangunan Gedung Hunian dan Non Hunian, Jasa Pengembangan Wilayah</t>
        </is>
      </c>
      <c r="N28" t="inlineStr">
        <is>
          <t>B</t>
        </is>
      </c>
      <c r="O28" t="inlineStr">
        <is>
          <t>20230826, 20230828</t>
        </is>
      </c>
      <c r="P28" t="inlineStr">
        <is>
          <t>DKI Jakarta</t>
        </is>
      </c>
      <c r="Q28" t="inlineStr"/>
    </row>
    <row r="29">
      <c r="A29" t="inlineStr">
        <is>
          <t>ARSHA BUMI</t>
        </is>
      </c>
      <c r="B29" t="inlineStr">
        <is>
          <t>Kota Denpasar</t>
        </is>
      </c>
      <c r="C29" t="inlineStr">
        <is>
          <t>08123632500</t>
        </is>
      </c>
      <c r="D29" t="inlineStr">
        <is>
          <t>arshabumicv@gmail.com</t>
        </is>
      </c>
      <c r="E29" t="inlineStr">
        <is>
          <t>https://lpjk.pu.go.id/search-badan-usaha-detail/U0RtaHZGTjI3bUp2bnBXOWJWS1B1QT09</t>
        </is>
      </c>
      <c r="F29" t="n">
        <v>1</v>
      </c>
      <c r="G29" t="inlineStr">
        <is>
          <t>BG007</t>
        </is>
      </c>
      <c r="H29" t="inlineStr">
        <is>
          <t>27 Juni 2023</t>
        </is>
      </c>
      <c r="I29" s="2" t="n">
        <v>46265</v>
      </c>
      <c r="J29" t="inlineStr">
        <is>
          <t>Disetujui</t>
        </is>
      </c>
      <c r="K29" t="n">
        <v>60</v>
      </c>
      <c r="L29" t="inlineStr">
        <is>
          <t>31 Agustus 2026</t>
        </is>
      </c>
      <c r="M29" t="inlineStr">
        <is>
          <t>Konstruksi Gedung Penginapan</t>
        </is>
      </c>
      <c r="N29" t="inlineStr">
        <is>
          <t>K</t>
        </is>
      </c>
      <c r="O29" t="inlineStr">
        <is>
          <t>20230828</t>
        </is>
      </c>
      <c r="P29" t="inlineStr">
        <is>
          <t>Bali</t>
        </is>
      </c>
      <c r="Q29" t="inlineStr"/>
    </row>
    <row r="30">
      <c r="A30" t="inlineStr">
        <is>
          <t>AZHAR PRATAMA NIKAN</t>
        </is>
      </c>
      <c r="B30" t="inlineStr">
        <is>
          <t>Kab. Ogan Komering Ilir</t>
        </is>
      </c>
      <c r="C30" t="inlineStr">
        <is>
          <t>085269041954</t>
        </is>
      </c>
      <c r="D30" t="inlineStr">
        <is>
          <t>azharpratamanikan@gmail.com</t>
        </is>
      </c>
      <c r="E30" t="inlineStr">
        <is>
          <t>https://lpjk.pu.go.id/search-badan-usaha-detail/SHdpMFNva1JTRVpUMFc5NnZRbWdaZz09</t>
        </is>
      </c>
      <c r="F30" t="n">
        <v>1</v>
      </c>
      <c r="G30" t="inlineStr">
        <is>
          <t>BS002</t>
        </is>
      </c>
      <c r="H30" t="inlineStr">
        <is>
          <t>7 Januari 2021</t>
        </is>
      </c>
      <c r="I30" s="2" t="n">
        <v>46265</v>
      </c>
      <c r="J30" t="inlineStr">
        <is>
          <t>Disetujui</t>
        </is>
      </c>
      <c r="K30" t="n">
        <v>60</v>
      </c>
      <c r="L30" t="inlineStr">
        <is>
          <t>31 Agustus 2026</t>
        </is>
      </c>
      <c r="M30" t="inlineStr">
        <is>
          <t>Bangunan Sipil Jembatan, Jalan Layang, Fly Over, dan Underpass</t>
        </is>
      </c>
      <c r="N30" t="inlineStr">
        <is>
          <t>K</t>
        </is>
      </c>
      <c r="O30" t="inlineStr">
        <is>
          <t>20230901</t>
        </is>
      </c>
      <c r="P30" t="inlineStr">
        <is>
          <t>Sumatera Selatan</t>
        </is>
      </c>
      <c r="Q30" t="inlineStr"/>
    </row>
    <row r="31">
      <c r="A31" t="inlineStr">
        <is>
          <t>BANDA GROUP</t>
        </is>
      </c>
      <c r="B31" t="inlineStr">
        <is>
          <t>Kota Kendari</t>
        </is>
      </c>
      <c r="C31" t="inlineStr">
        <is>
          <t>081248800944</t>
        </is>
      </c>
      <c r="D31" t="inlineStr">
        <is>
          <t>banda.group2023@gmail.com</t>
        </is>
      </c>
      <c r="E31" t="inlineStr">
        <is>
          <t>https://lpjk.pu.go.id/search-badan-usaha-detail/MkR4NUFiekhoN2g0WGVRNzBDLy8zZz09</t>
        </is>
      </c>
      <c r="F31" t="n">
        <v>1</v>
      </c>
      <c r="G31" t="inlineStr">
        <is>
          <t>BS001</t>
        </is>
      </c>
      <c r="H31" t="inlineStr">
        <is>
          <t>28 Juli 2023</t>
        </is>
      </c>
      <c r="I31" s="2" t="n">
        <v>46265</v>
      </c>
      <c r="J31" t="inlineStr">
        <is>
          <t>Disetujui</t>
        </is>
      </c>
      <c r="K31" t="n">
        <v>60</v>
      </c>
      <c r="L31" t="inlineStr">
        <is>
          <t>31 Agustus 2026</t>
        </is>
      </c>
      <c r="M31" t="inlineStr">
        <is>
          <t>Konstruksi Bangunan Sipil Jalan</t>
        </is>
      </c>
      <c r="N31" t="inlineStr">
        <is>
          <t>K</t>
        </is>
      </c>
      <c r="O31" t="inlineStr">
        <is>
          <t>20230830</t>
        </is>
      </c>
      <c r="P31" t="inlineStr">
        <is>
          <t>Sulawesi Tenggara</t>
        </is>
      </c>
      <c r="Q31" t="inlineStr"/>
    </row>
    <row r="32">
      <c r="A32" t="inlineStr">
        <is>
          <t>BANGUN CAKA</t>
        </is>
      </c>
      <c r="B32" t="inlineStr">
        <is>
          <t>Kota Semarang</t>
        </is>
      </c>
      <c r="C32" t="inlineStr">
        <is>
          <t>02476673504</t>
        </is>
      </c>
      <c r="D32" t="inlineStr">
        <is>
          <t>emataka80@gmail.com</t>
        </is>
      </c>
      <c r="E32" t="inlineStr">
        <is>
          <t>https://lpjk.pu.go.id/search-badan-usaha-detail/RkxoeGJPYm5LTVQ3TXY0bmg3ZlA5dz09</t>
        </is>
      </c>
      <c r="F32" t="n">
        <v>1</v>
      </c>
      <c r="G32" t="inlineStr">
        <is>
          <t>BS004</t>
        </is>
      </c>
      <c r="H32" t="inlineStr">
        <is>
          <t>14 September 2022</t>
        </is>
      </c>
      <c r="I32" s="2" t="n">
        <v>46265</v>
      </c>
      <c r="J32" t="inlineStr">
        <is>
          <t>Disetujui</t>
        </is>
      </c>
      <c r="K32" t="n">
        <v>60</v>
      </c>
      <c r="L32" t="inlineStr">
        <is>
          <t>31 Agustus 2026</t>
        </is>
      </c>
      <c r="M32" t="inlineStr">
        <is>
          <t>Konstruksi Jaringan Irigasi dan Drainase</t>
        </is>
      </c>
      <c r="N32" t="inlineStr">
        <is>
          <t>K</t>
        </is>
      </c>
      <c r="O32" t="inlineStr">
        <is>
          <t>20230829</t>
        </is>
      </c>
      <c r="P32" t="inlineStr">
        <is>
          <t>Jawa Tengah</t>
        </is>
      </c>
      <c r="Q32" t="inlineStr"/>
    </row>
    <row r="33">
      <c r="A33" t="inlineStr">
        <is>
          <t>BAYU PRATAMA</t>
        </is>
      </c>
      <c r="B33" t="inlineStr">
        <is>
          <t>Kota Semarang</t>
        </is>
      </c>
      <c r="C33" t="inlineStr">
        <is>
          <t>081575880202</t>
        </is>
      </c>
      <c r="D33" t="inlineStr">
        <is>
          <t>bayupratama.semarang@gmail.com</t>
        </is>
      </c>
      <c r="E33" t="inlineStr">
        <is>
          <t>https://lpjk.pu.go.id/search-badan-usaha-detail/VWRrTGJOUDEvbHo0bTNLcURLNHNXQT09</t>
        </is>
      </c>
      <c r="F33" t="n">
        <v>3</v>
      </c>
      <c r="G33" t="inlineStr">
        <is>
          <t>BG005, BG006, BG009</t>
        </is>
      </c>
      <c r="H33" t="inlineStr">
        <is>
          <t>22 Juni 2016</t>
        </is>
      </c>
      <c r="I33" s="2" t="n">
        <v>46265</v>
      </c>
      <c r="J33" t="inlineStr">
        <is>
          <t>Disetujui</t>
        </is>
      </c>
      <c r="K33" t="n">
        <v>60</v>
      </c>
      <c r="L33" t="inlineStr">
        <is>
          <t>31 Agustus 2026</t>
        </is>
      </c>
      <c r="M33" t="inlineStr">
        <is>
          <t>Konstruksi Gedung Kesehatan, Konstruksi Gedung Lainnya, Konstruksi Gedung Pendidikan</t>
        </is>
      </c>
      <c r="N33" t="inlineStr">
        <is>
          <t>K</t>
        </is>
      </c>
      <c r="O33" t="inlineStr">
        <is>
          <t>20230623</t>
        </is>
      </c>
      <c r="P33" t="inlineStr">
        <is>
          <t>Jawa Tengah</t>
        </is>
      </c>
      <c r="Q33" t="inlineStr"/>
    </row>
    <row r="34">
      <c r="A34" t="inlineStr">
        <is>
          <t>BERKAH</t>
        </is>
      </c>
      <c r="B34" t="inlineStr">
        <is>
          <t>Kab. Sekadau</t>
        </is>
      </c>
      <c r="C34" t="inlineStr">
        <is>
          <t>082251967443</t>
        </is>
      </c>
      <c r="D34" t="inlineStr">
        <is>
          <t>berkahskd6@gmail.com</t>
        </is>
      </c>
      <c r="E34" t="inlineStr">
        <is>
          <t>https://lpjk.pu.go.id/search-badan-usaha-detail/VVJCY1FNK2xna1JielcvUG02OEVCUT09</t>
        </is>
      </c>
      <c r="F34" t="n">
        <v>4</v>
      </c>
      <c r="G34" t="inlineStr">
        <is>
          <t>BG005, BG009</t>
        </is>
      </c>
      <c r="H34" t="inlineStr">
        <is>
          <t>23 Februari 2017</t>
        </is>
      </c>
      <c r="I34" s="2" t="n">
        <v>46265</v>
      </c>
      <c r="J34" t="inlineStr">
        <is>
          <t>Disetujui</t>
        </is>
      </c>
      <c r="K34" t="n">
        <v>60</v>
      </c>
      <c r="L34" t="inlineStr">
        <is>
          <t>31 Agustus 2026</t>
        </is>
      </c>
      <c r="M34" t="inlineStr">
        <is>
          <t>Konstruksi Gedung Kesehatan, Konstruksi Gedung Lainnya</t>
        </is>
      </c>
      <c r="N34" t="inlineStr">
        <is>
          <t>K</t>
        </is>
      </c>
      <c r="O34" t="inlineStr">
        <is>
          <t>20230524, 20230831</t>
        </is>
      </c>
      <c r="P34" t="inlineStr">
        <is>
          <t>Kalimantan Barat</t>
        </is>
      </c>
      <c r="Q34" t="inlineStr"/>
    </row>
    <row r="35">
      <c r="A35" t="inlineStr">
        <is>
          <t>BINTANG ADAU JAYA ABADI</t>
        </is>
      </c>
      <c r="B35" t="inlineStr">
        <is>
          <t>Kab. Sekadau</t>
        </is>
      </c>
      <c r="C35" t="inlineStr">
        <is>
          <t>085346372679</t>
        </is>
      </c>
      <c r="D35" t="inlineStr">
        <is>
          <t>cv.bintangadaujayaabadi@gmail.com</t>
        </is>
      </c>
      <c r="E35" t="inlineStr">
        <is>
          <t>https://lpjk.pu.go.id/search-badan-usaha-detail/YXBzeENQRWQyQ2pUWnUzQk9BN3lnUT09</t>
        </is>
      </c>
      <c r="F35" t="n">
        <v>4</v>
      </c>
      <c r="G35" t="inlineStr">
        <is>
          <t>BS001, BS002</t>
        </is>
      </c>
      <c r="H35" t="inlineStr">
        <is>
          <t>18 Desember 2003</t>
        </is>
      </c>
      <c r="I35" s="2" t="n">
        <v>46265</v>
      </c>
      <c r="J35" t="inlineStr">
        <is>
          <t>Disetujui</t>
        </is>
      </c>
      <c r="K35" t="n">
        <v>60</v>
      </c>
      <c r="L35" t="inlineStr">
        <is>
          <t>31 Agustus 2026</t>
        </is>
      </c>
      <c r="M35" t="inlineStr">
        <is>
          <t>Bangunan Sipil Jembatan, Jalan Layang, Fly Over, dan Underpass, Konstruksi Bangunan Sipil Jalan</t>
        </is>
      </c>
      <c r="N35" t="inlineStr">
        <is>
          <t>K</t>
        </is>
      </c>
      <c r="O35" t="inlineStr">
        <is>
          <t>20230830</t>
        </is>
      </c>
      <c r="P35" t="inlineStr">
        <is>
          <t>Kalimantan Barat</t>
        </is>
      </c>
      <c r="Q35" t="inlineStr"/>
    </row>
    <row r="36">
      <c r="A36" t="inlineStr">
        <is>
          <t>BINTANG ARTHA MAKMUR</t>
        </is>
      </c>
      <c r="B36" t="inlineStr">
        <is>
          <t>Kab. Nabire</t>
        </is>
      </c>
      <c r="C36" t="inlineStr">
        <is>
          <t>081240299952</t>
        </is>
      </c>
      <c r="D36" t="inlineStr">
        <is>
          <t>makmurbintangartha@gmail.com</t>
        </is>
      </c>
      <c r="E36" t="inlineStr">
        <is>
          <t>https://lpjk.pu.go.id/search-badan-usaha-detail/NnlqY0FDRndnazRiTmpDNTVLbjY4Zz09</t>
        </is>
      </c>
      <c r="F36" t="n">
        <v>2</v>
      </c>
      <c r="G36" t="inlineStr">
        <is>
          <t>BS005</t>
        </is>
      </c>
      <c r="H36" t="inlineStr">
        <is>
          <t>5 Agustus 2022</t>
        </is>
      </c>
      <c r="I36" s="2" t="n">
        <v>46265</v>
      </c>
      <c r="J36" t="inlineStr">
        <is>
          <t>Pencabutan</t>
        </is>
      </c>
      <c r="K36" t="n">
        <v>60</v>
      </c>
      <c r="L36" t="inlineStr">
        <is>
          <t>31 Agustus 2026</t>
        </is>
      </c>
      <c r="M36" t="inlineStr">
        <is>
          <t>Konstruksi Bangunan Sipil Pengolahan Air Bersih</t>
        </is>
      </c>
      <c r="N36" t="inlineStr">
        <is>
          <t>K</t>
        </is>
      </c>
      <c r="O36" t="inlineStr">
        <is>
          <t>20230831</t>
        </is>
      </c>
      <c r="P36" t="inlineStr">
        <is>
          <t>Papua</t>
        </is>
      </c>
      <c r="Q36" t="inlineStr"/>
    </row>
    <row r="37">
      <c r="A37" t="inlineStr">
        <is>
          <t>BIRU LANGIT KATULISTIWA</t>
        </is>
      </c>
      <c r="B37" t="inlineStr">
        <is>
          <t>Kota Bandar Lampung</t>
        </is>
      </c>
      <c r="C37" t="inlineStr">
        <is>
          <t>088287187948</t>
        </is>
      </c>
      <c r="D37" t="inlineStr">
        <is>
          <t>birulangitkatulistiwa@yahoo.com</t>
        </is>
      </c>
      <c r="E37" t="inlineStr">
        <is>
          <t>https://lpjk.pu.go.id/search-badan-usaha-detail/L0pvNUx1SjNBdmdhTGJiN3FhZW1aZz09</t>
        </is>
      </c>
      <c r="F37" t="n">
        <v>2</v>
      </c>
      <c r="G37" t="inlineStr">
        <is>
          <t>BG005, BS001</t>
        </is>
      </c>
      <c r="H37" t="inlineStr">
        <is>
          <t>21 Maret 2011</t>
        </is>
      </c>
      <c r="I37" s="2" t="n">
        <v>46265</v>
      </c>
      <c r="J37" t="inlineStr">
        <is>
          <t>Disetujui</t>
        </is>
      </c>
      <c r="K37" t="n">
        <v>60</v>
      </c>
      <c r="L37" t="inlineStr">
        <is>
          <t>31 Agustus 2026</t>
        </is>
      </c>
      <c r="M37" t="inlineStr">
        <is>
          <t>Konstruksi Bangunan Sipil Jalan, Konstruksi Gedung Kesehatan</t>
        </is>
      </c>
      <c r="N37" t="inlineStr">
        <is>
          <t>K</t>
        </is>
      </c>
      <c r="O37" t="inlineStr">
        <is>
          <t>20230830, 20230831</t>
        </is>
      </c>
      <c r="P37" t="inlineStr">
        <is>
          <t>Lampung</t>
        </is>
      </c>
      <c r="Q37" t="inlineStr"/>
    </row>
    <row r="38">
      <c r="A38" t="inlineStr">
        <is>
          <t>BOEMI ANUGRAH</t>
        </is>
      </c>
      <c r="B38" t="inlineStr">
        <is>
          <t>Kab. Hulu Sungai Utara</t>
        </is>
      </c>
      <c r="C38" t="inlineStr">
        <is>
          <t>085346986608</t>
        </is>
      </c>
      <c r="D38" t="inlineStr">
        <is>
          <t>cvboemianugrah@gmail.com</t>
        </is>
      </c>
      <c r="E38" t="inlineStr">
        <is>
          <t>https://lpjk.pu.go.id/search-badan-usaha-detail/K2tXVG1ad3pOTWlnWmRKMUFncmhQQT09</t>
        </is>
      </c>
      <c r="F38" t="n">
        <v>1</v>
      </c>
      <c r="G38" t="inlineStr">
        <is>
          <t>BG006</t>
        </is>
      </c>
      <c r="H38" t="inlineStr">
        <is>
          <t>19 Juni 2019</t>
        </is>
      </c>
      <c r="I38" s="2" t="n">
        <v>46265</v>
      </c>
      <c r="J38" t="inlineStr">
        <is>
          <t>Pencabutan</t>
        </is>
      </c>
      <c r="K38" t="n">
        <v>60</v>
      </c>
      <c r="L38" t="inlineStr">
        <is>
          <t>31 Agustus 2026</t>
        </is>
      </c>
      <c r="M38" t="inlineStr">
        <is>
          <t>Konstruksi Gedung Pendidikan</t>
        </is>
      </c>
      <c r="N38" t="inlineStr">
        <is>
          <t>K</t>
        </is>
      </c>
      <c r="O38" t="inlineStr">
        <is>
          <t>20230820</t>
        </is>
      </c>
      <c r="P38" t="inlineStr">
        <is>
          <t>Kalimantan Selatan</t>
        </is>
      </c>
      <c r="Q38" t="inlineStr"/>
    </row>
    <row r="39">
      <c r="A39" t="inlineStr">
        <is>
          <t>BUMI KONSTRINDO</t>
        </is>
      </c>
      <c r="B39" t="inlineStr">
        <is>
          <t>Kota Makassar</t>
        </is>
      </c>
      <c r="C39" t="inlineStr">
        <is>
          <t>0411860944</t>
        </is>
      </c>
      <c r="D39" t="inlineStr">
        <is>
          <t>bumi.konstrindo12@gmail.com</t>
        </is>
      </c>
      <c r="E39" t="inlineStr">
        <is>
          <t>https://lpjk.pu.go.id/search-badan-usaha-detail/ZFZNUncxY0dkMm5ITlpTRHpzNEQ5dz09</t>
        </is>
      </c>
      <c r="F39" t="n">
        <v>1</v>
      </c>
      <c r="G39" t="inlineStr">
        <is>
          <t>BG002</t>
        </is>
      </c>
      <c r="H39" t="inlineStr">
        <is>
          <t>12 Desember 2012</t>
        </is>
      </c>
      <c r="I39" s="2" t="n">
        <v>46265</v>
      </c>
      <c r="J39" t="inlineStr">
        <is>
          <t>Disetujui</t>
        </is>
      </c>
      <c r="K39" t="n">
        <v>60</v>
      </c>
      <c r="L39" t="inlineStr">
        <is>
          <t>31 Agustus 2026</t>
        </is>
      </c>
      <c r="M39" t="inlineStr">
        <is>
          <t>Konstruksi Gedung Perkantoran</t>
        </is>
      </c>
      <c r="N39" t="inlineStr">
        <is>
          <t>K</t>
        </is>
      </c>
      <c r="O39" t="inlineStr">
        <is>
          <t>20230622</t>
        </is>
      </c>
      <c r="P39" t="inlineStr">
        <is>
          <t>Sulawesi Selatan</t>
        </is>
      </c>
      <c r="Q39" t="inlineStr"/>
    </row>
    <row r="40">
      <c r="A40" t="inlineStr">
        <is>
          <t>BUMI TIMUR SENTOSA</t>
        </is>
      </c>
      <c r="B40" t="inlineStr">
        <is>
          <t>Kab. Jember</t>
        </is>
      </c>
      <c r="C40" t="inlineStr">
        <is>
          <t>087743311462</t>
        </is>
      </c>
      <c r="D40" t="inlineStr">
        <is>
          <t>bumitimursentosa@gmail.com</t>
        </is>
      </c>
      <c r="E40" t="inlineStr">
        <is>
          <t>https://lpjk.pu.go.id/search-badan-usaha-detail/YUtiR3JvNmhQL3Z6Mm9WZ3NsZEYyQT09</t>
        </is>
      </c>
      <c r="F40" t="n">
        <v>3</v>
      </c>
      <c r="G40" t="inlineStr">
        <is>
          <t>BG002, BG005, BG006</t>
        </is>
      </c>
      <c r="H40" t="inlineStr">
        <is>
          <t>14 Juni 2023</t>
        </is>
      </c>
      <c r="I40" s="2" t="n">
        <v>46265</v>
      </c>
      <c r="J40" t="inlineStr">
        <is>
          <t>Disetujui</t>
        </is>
      </c>
      <c r="K40" t="n">
        <v>60</v>
      </c>
      <c r="L40" t="inlineStr">
        <is>
          <t>31 Agustus 2026</t>
        </is>
      </c>
      <c r="M40" t="inlineStr">
        <is>
          <t>Konstruksi Gedung Kesehatan, Konstruksi Gedung Pendidikan, Konstruksi Gedung Perkantoran</t>
        </is>
      </c>
      <c r="N40" t="inlineStr">
        <is>
          <t>K</t>
        </is>
      </c>
      <c r="O40" t="inlineStr">
        <is>
          <t>20230825</t>
        </is>
      </c>
      <c r="P40" t="inlineStr">
        <is>
          <t>Jawa Timur</t>
        </is>
      </c>
      <c r="Q40" t="inlineStr"/>
    </row>
    <row r="41">
      <c r="A41" t="inlineStr">
        <is>
          <t>BUMI UTAMA</t>
        </is>
      </c>
      <c r="B41" t="inlineStr">
        <is>
          <t>Kab. Tabanan</t>
        </is>
      </c>
      <c r="C41" t="inlineStr">
        <is>
          <t>0361813398</t>
        </is>
      </c>
      <c r="D41" t="inlineStr">
        <is>
          <t>bumiutama26@yahoo.com</t>
        </is>
      </c>
      <c r="E41" t="inlineStr">
        <is>
          <t>https://lpjk.pu.go.id/search-badan-usaha-detail/ck91bWlMbDE1bWo1NlQ1aWl1Qk5ZUT09</t>
        </is>
      </c>
      <c r="F41" t="n">
        <v>1</v>
      </c>
      <c r="G41" t="inlineStr">
        <is>
          <t>BS005</t>
        </is>
      </c>
      <c r="H41" t="inlineStr">
        <is>
          <t>3 Oktober 1994</t>
        </is>
      </c>
      <c r="I41" s="2" t="n">
        <v>46265</v>
      </c>
      <c r="J41" t="inlineStr">
        <is>
          <t>Disetujui</t>
        </is>
      </c>
      <c r="K41" t="n">
        <v>60</v>
      </c>
      <c r="L41" t="inlineStr">
        <is>
          <t>31 Agustus 2026</t>
        </is>
      </c>
      <c r="M41" t="inlineStr">
        <is>
          <t>Konstruksi Bangunan Sipil Pengolahan Air Bersih</t>
        </is>
      </c>
      <c r="N41" t="inlineStr">
        <is>
          <t>K</t>
        </is>
      </c>
      <c r="O41" t="inlineStr">
        <is>
          <t>20230828</t>
        </is>
      </c>
      <c r="P41" t="inlineStr">
        <is>
          <t>Bali</t>
        </is>
      </c>
      <c r="Q41" t="inlineStr"/>
    </row>
    <row r="42">
      <c r="A42" t="inlineStr">
        <is>
          <t>BUMI UTAMA MANDIRI</t>
        </is>
      </c>
      <c r="B42" t="inlineStr">
        <is>
          <t>Kab. Ciamis</t>
        </is>
      </c>
      <c r="C42" t="inlineStr">
        <is>
          <t>085281114114</t>
        </is>
      </c>
      <c r="D42" t="inlineStr">
        <is>
          <t>cv.bumiutamamandiri@gmail.com</t>
        </is>
      </c>
      <c r="E42" t="inlineStr">
        <is>
          <t>https://lpjk.pu.go.id/search-badan-usaha-detail/c1ZKb0p4WTdDZFdTZjZWelYzbzViUT09</t>
        </is>
      </c>
      <c r="F42" t="n">
        <v>2</v>
      </c>
      <c r="G42" t="inlineStr">
        <is>
          <t>BS001</t>
        </is>
      </c>
      <c r="H42" t="inlineStr">
        <is>
          <t>23 Februari 2015</t>
        </is>
      </c>
      <c r="I42" s="2" t="n">
        <v>46265</v>
      </c>
      <c r="J42" t="inlineStr">
        <is>
          <t>Disetujui</t>
        </is>
      </c>
      <c r="K42" t="n">
        <v>60</v>
      </c>
      <c r="L42" t="inlineStr">
        <is>
          <t>31 Agustus 2026</t>
        </is>
      </c>
      <c r="M42" t="inlineStr">
        <is>
          <t>Konstruksi Bangunan Sipil Jalan</t>
        </is>
      </c>
      <c r="N42" t="inlineStr">
        <is>
          <t>K</t>
        </is>
      </c>
      <c r="O42" t="inlineStr">
        <is>
          <t>20230828</t>
        </is>
      </c>
      <c r="P42" t="inlineStr">
        <is>
          <t>Jawa Barat</t>
        </is>
      </c>
      <c r="Q42" t="inlineStr"/>
    </row>
    <row r="43">
      <c r="A43" t="inlineStr">
        <is>
          <t>CAHAYA INDAH</t>
        </is>
      </c>
      <c r="B43" t="inlineStr">
        <is>
          <t>Kota Bitung</t>
        </is>
      </c>
      <c r="C43" t="inlineStr">
        <is>
          <t>085399900048</t>
        </is>
      </c>
      <c r="D43" t="inlineStr">
        <is>
          <t>poppietangkilisan@gmail.com</t>
        </is>
      </c>
      <c r="E43" t="inlineStr">
        <is>
          <t>https://lpjk.pu.go.id/search-badan-usaha-detail/WkdLazAzbHN4dE5ZUFNQOW5KdTZ2UT09</t>
        </is>
      </c>
      <c r="F43" t="n">
        <v>1</v>
      </c>
      <c r="G43" t="inlineStr">
        <is>
          <t>BG009</t>
        </is>
      </c>
      <c r="H43" t="inlineStr">
        <is>
          <t>8 Juli 2023</t>
        </is>
      </c>
      <c r="I43" s="2" t="n">
        <v>46265</v>
      </c>
      <c r="J43" t="inlineStr">
        <is>
          <t>Disetujui</t>
        </is>
      </c>
      <c r="K43" t="n">
        <v>60</v>
      </c>
      <c r="L43" t="inlineStr">
        <is>
          <t>31 Agustus 2026</t>
        </is>
      </c>
      <c r="M43" t="inlineStr">
        <is>
          <t>Konstruksi Gedung Lainnya</t>
        </is>
      </c>
      <c r="N43" t="inlineStr">
        <is>
          <t>K</t>
        </is>
      </c>
      <c r="O43" t="inlineStr">
        <is>
          <t>20230831</t>
        </is>
      </c>
      <c r="P43" t="inlineStr">
        <is>
          <t>Sulawesi Utara</t>
        </is>
      </c>
      <c r="Q43" t="inlineStr"/>
    </row>
    <row r="44">
      <c r="A44" t="inlineStr">
        <is>
          <t>CAHAYA MALLUSETASI</t>
        </is>
      </c>
      <c r="B44" t="inlineStr">
        <is>
          <t>Kab. Asmat</t>
        </is>
      </c>
      <c r="C44" t="inlineStr">
        <is>
          <t>082188899933</t>
        </is>
      </c>
      <c r="D44" t="inlineStr">
        <is>
          <t>cahayamallusetasi99@gmail.com</t>
        </is>
      </c>
      <c r="E44" t="inlineStr">
        <is>
          <t>https://lpjk.pu.go.id/search-badan-usaha-detail/TWRCajZMdTRySUs1elh0dUxpSDdCZz09</t>
        </is>
      </c>
      <c r="F44" t="n">
        <v>1</v>
      </c>
      <c r="G44" t="inlineStr">
        <is>
          <t>BG005</t>
        </is>
      </c>
      <c r="H44" t="inlineStr">
        <is>
          <t>29 Juli 2004</t>
        </is>
      </c>
      <c r="I44" s="2" t="n">
        <v>46265</v>
      </c>
      <c r="J44" t="inlineStr">
        <is>
          <t>Disetujui</t>
        </is>
      </c>
      <c r="K44" t="n">
        <v>60</v>
      </c>
      <c r="L44" t="inlineStr">
        <is>
          <t>31 Agustus 2026</t>
        </is>
      </c>
      <c r="M44" t="inlineStr">
        <is>
          <t>Konstruksi Gedung Kesehatan</t>
        </is>
      </c>
      <c r="N44" t="inlineStr">
        <is>
          <t>K</t>
        </is>
      </c>
      <c r="O44" t="inlineStr">
        <is>
          <t>20230825</t>
        </is>
      </c>
      <c r="P44" t="inlineStr">
        <is>
          <t>Papua Selatan</t>
        </is>
      </c>
      <c r="Q44" t="inlineStr"/>
    </row>
    <row r="45">
      <c r="A45" t="inlineStr">
        <is>
          <t>CAHAYA TIRTA TEKNIK</t>
        </is>
      </c>
      <c r="B45" t="inlineStr">
        <is>
          <t>Kab. Jembrana</t>
        </is>
      </c>
      <c r="C45" t="inlineStr">
        <is>
          <t>08123916102</t>
        </is>
      </c>
      <c r="D45" t="inlineStr">
        <is>
          <t>cttbali@yahoo.co.id</t>
        </is>
      </c>
      <c r="E45" t="inlineStr">
        <is>
          <t>https://lpjk.pu.go.id/search-badan-usaha-detail/bWhCcENWVmYxOUswSFhzcFgyUkpZUT09</t>
        </is>
      </c>
      <c r="F45" t="n">
        <v>1</v>
      </c>
      <c r="G45" t="inlineStr">
        <is>
          <t>BS005</t>
        </is>
      </c>
      <c r="H45" t="inlineStr">
        <is>
          <t>22 Juni 2012</t>
        </is>
      </c>
      <c r="I45" s="2" t="n">
        <v>46265</v>
      </c>
      <c r="J45" t="inlineStr">
        <is>
          <t>Disetujui</t>
        </is>
      </c>
      <c r="K45" t="n">
        <v>60</v>
      </c>
      <c r="L45" t="inlineStr">
        <is>
          <t>31 Agustus 2026</t>
        </is>
      </c>
      <c r="M45" t="inlineStr">
        <is>
          <t>Konstruksi Bangunan Sipil Pengolahan Air Bersih</t>
        </is>
      </c>
      <c r="N45" t="inlineStr">
        <is>
          <t>K</t>
        </is>
      </c>
      <c r="O45" t="inlineStr">
        <is>
          <t>20230831</t>
        </is>
      </c>
      <c r="P45" t="inlineStr">
        <is>
          <t>Bali</t>
        </is>
      </c>
      <c r="Q45" t="inlineStr"/>
    </row>
    <row r="46">
      <c r="A46" t="inlineStr">
        <is>
          <t>CALVINDAM JAYA.EC</t>
        </is>
      </c>
      <c r="B46" t="inlineStr">
        <is>
          <t>Kota Pekanbaru</t>
        </is>
      </c>
      <c r="C46" t="inlineStr">
        <is>
          <t>076124277</t>
        </is>
      </c>
      <c r="D46" t="inlineStr">
        <is>
          <t>syamsuddins91@yahoo.co.id</t>
        </is>
      </c>
      <c r="E46" t="inlineStr">
        <is>
          <t>https://lpjk.pu.go.id/search-badan-usaha-detail/RXBpeEFVZHZqM0VpdnJQWm9OZ1VMdz09</t>
        </is>
      </c>
      <c r="F46" t="n">
        <v>4</v>
      </c>
      <c r="G46" t="inlineStr">
        <is>
          <t>RK001, RK002, RK003, RK005</t>
        </is>
      </c>
      <c r="H46" t="inlineStr">
        <is>
          <t>10 September 2001</t>
        </is>
      </c>
      <c r="I46" s="2" t="n">
        <v>46265</v>
      </c>
      <c r="J46" t="inlineStr">
        <is>
          <t>Disetujui</t>
        </is>
      </c>
      <c r="K46" t="n">
        <v>60</v>
      </c>
      <c r="L46" t="inlineStr">
        <is>
          <t>31 Agustus 2026</t>
        </is>
      </c>
      <c r="M46" t="inlineStr">
        <is>
          <t>Jasa Rekayasa Konstruksi Bangunan Gedung Hunian dan Non Hunian, Jasa Rekayasa Lainnya, Jasa Rekayasa Pekerjaan Teknik Sipil Sumber Daya Air, Jasa Rekayasa Pekerjaan Teknik Sipil Transportasi</t>
        </is>
      </c>
      <c r="N46" t="inlineStr">
        <is>
          <t>K</t>
        </is>
      </c>
      <c r="O46" t="inlineStr">
        <is>
          <t>20230809</t>
        </is>
      </c>
      <c r="P46" t="inlineStr">
        <is>
          <t>Riau</t>
        </is>
      </c>
      <c r="Q46" t="inlineStr"/>
    </row>
    <row r="47">
      <c r="A47" t="inlineStr">
        <is>
          <t>CIPTA BERKAH SURYA</t>
        </is>
      </c>
      <c r="B47" t="inlineStr">
        <is>
          <t>Kota Pontianak</t>
        </is>
      </c>
      <c r="C47" t="inlineStr">
        <is>
          <t>081345291491</t>
        </is>
      </c>
      <c r="D47" t="inlineStr">
        <is>
          <t>ptciptaberkahsurya@gmail.com</t>
        </is>
      </c>
      <c r="E47" t="inlineStr">
        <is>
          <t>https://lpjk.pu.go.id/search-badan-usaha-detail/M0VFVExJMkl4M3F4aSs2WHFmd0tvQT09</t>
        </is>
      </c>
      <c r="F47" t="n">
        <v>1</v>
      </c>
      <c r="G47" t="inlineStr">
        <is>
          <t>BS001</t>
        </is>
      </c>
      <c r="H47" t="inlineStr">
        <is>
          <t>19 Februari 2013</t>
        </is>
      </c>
      <c r="I47" s="2" t="n">
        <v>46265</v>
      </c>
      <c r="J47" t="inlineStr">
        <is>
          <t>Disetujui</t>
        </is>
      </c>
      <c r="K47" t="n">
        <v>60</v>
      </c>
      <c r="L47" t="inlineStr">
        <is>
          <t>31 Agustus 2026</t>
        </is>
      </c>
      <c r="M47" t="inlineStr">
        <is>
          <t>Konstruksi Bangunan Sipil Jalan</t>
        </is>
      </c>
      <c r="N47" t="inlineStr">
        <is>
          <t>M</t>
        </is>
      </c>
      <c r="O47" t="inlineStr">
        <is>
          <t>20230812</t>
        </is>
      </c>
      <c r="P47" t="inlineStr">
        <is>
          <t>Kalimantan Barat</t>
        </is>
      </c>
      <c r="Q47" t="inlineStr"/>
    </row>
    <row r="48">
      <c r="A48" t="inlineStr">
        <is>
          <t>CIPTA KANA KONSTRUKSI</t>
        </is>
      </c>
      <c r="B48" t="inlineStr">
        <is>
          <t>Kab. Pidie Jaya</t>
        </is>
      </c>
      <c r="C48" t="inlineStr">
        <is>
          <t>085262539697</t>
        </is>
      </c>
      <c r="D48" t="inlineStr">
        <is>
          <t>cipta.kanakonstruksi@gmail.com</t>
        </is>
      </c>
      <c r="E48" t="inlineStr">
        <is>
          <t>https://lpjk.pu.go.id/search-badan-usaha-detail/MXNWZDdvVUdYTHVxMjVJOHBtRUEvQT09</t>
        </is>
      </c>
      <c r="F48" t="n">
        <v>1</v>
      </c>
      <c r="G48" t="inlineStr">
        <is>
          <t>BG001</t>
        </is>
      </c>
      <c r="H48" t="inlineStr">
        <is>
          <t>7 Maret 2023</t>
        </is>
      </c>
      <c r="I48" s="2" t="n">
        <v>46265</v>
      </c>
      <c r="J48" t="inlineStr">
        <is>
          <t>Disetujui</t>
        </is>
      </c>
      <c r="K48" t="n">
        <v>60</v>
      </c>
      <c r="L48" t="inlineStr">
        <is>
          <t>31 Agustus 2026</t>
        </is>
      </c>
      <c r="M48" t="inlineStr">
        <is>
          <t>Konstruksi Gedung Hunian</t>
        </is>
      </c>
      <c r="N48" t="inlineStr">
        <is>
          <t>K</t>
        </is>
      </c>
      <c r="O48" t="inlineStr">
        <is>
          <t>20230821</t>
        </is>
      </c>
      <c r="P48" t="inlineStr">
        <is>
          <t>Aceh</t>
        </is>
      </c>
      <c r="Q48" t="inlineStr"/>
    </row>
    <row r="49">
      <c r="A49" t="inlineStr">
        <is>
          <t>CIPTA STRADA</t>
        </is>
      </c>
      <c r="B49" t="inlineStr">
        <is>
          <t>Kota Adm. Jakarta Selatan</t>
        </is>
      </c>
      <c r="C49" t="inlineStr">
        <is>
          <t>021-7183700</t>
        </is>
      </c>
      <c r="D49" t="inlineStr">
        <is>
          <t>ciptastrada@yahoo.co.id</t>
        </is>
      </c>
      <c r="E49" t="inlineStr">
        <is>
          <t>https://lpjk.pu.go.id/search-badan-usaha-detail/dUZtaW15TEE2Y3hSekM1MkV6MWE3dz09</t>
        </is>
      </c>
      <c r="F49" t="n">
        <v>2</v>
      </c>
      <c r="G49" t="inlineStr">
        <is>
          <t>RK003</t>
        </is>
      </c>
      <c r="H49" t="inlineStr">
        <is>
          <t>14 Maret 1975</t>
        </is>
      </c>
      <c r="I49" s="2" t="n">
        <v>46265</v>
      </c>
      <c r="J49" t="inlineStr">
        <is>
          <t>Disetujui</t>
        </is>
      </c>
      <c r="K49" t="n">
        <v>60</v>
      </c>
      <c r="L49" t="inlineStr">
        <is>
          <t>31 Agustus 2026</t>
        </is>
      </c>
      <c r="M49" t="inlineStr">
        <is>
          <t>Jasa Rekayasa Pekerjaan Teknik Sipil Transportasi</t>
        </is>
      </c>
      <c r="N49" t="inlineStr">
        <is>
          <t>B</t>
        </is>
      </c>
      <c r="O49" t="inlineStr">
        <is>
          <t>20230821</t>
        </is>
      </c>
      <c r="P49" t="inlineStr">
        <is>
          <t>DKI Jakarta</t>
        </is>
      </c>
      <c r="Q49" t="inlineStr"/>
    </row>
    <row r="50">
      <c r="A50" t="inlineStr">
        <is>
          <t>CITY-AD EXPO INDONESIA</t>
        </is>
      </c>
      <c r="B50" t="inlineStr">
        <is>
          <t>Kota Adm. Jakarta Barat</t>
        </is>
      </c>
      <c r="C50" t="inlineStr">
        <is>
          <t>02156969569</t>
        </is>
      </c>
      <c r="D50" t="inlineStr">
        <is>
          <t>sales@cityadexpo.com</t>
        </is>
      </c>
      <c r="E50" t="inlineStr">
        <is>
          <t>https://lpjk.pu.go.id/search-badan-usaha-detail/VFd3dkdhQzhuUlhiOHJzQ0R4UHAzUT09</t>
        </is>
      </c>
      <c r="F50" t="n">
        <v>1</v>
      </c>
      <c r="G50" t="inlineStr">
        <is>
          <t>BG002</t>
        </is>
      </c>
      <c r="H50" t="inlineStr">
        <is>
          <t>14 Juni 2019</t>
        </is>
      </c>
      <c r="I50" s="2" t="n">
        <v>46265</v>
      </c>
      <c r="J50" t="inlineStr">
        <is>
          <t>Disetujui</t>
        </is>
      </c>
      <c r="K50" t="n">
        <v>60</v>
      </c>
      <c r="L50" t="inlineStr">
        <is>
          <t>31 Agustus 2026</t>
        </is>
      </c>
      <c r="M50" t="inlineStr">
        <is>
          <t>Konstruksi Gedung Perkantoran</t>
        </is>
      </c>
      <c r="N50" t="inlineStr">
        <is>
          <t>K</t>
        </is>
      </c>
      <c r="O50" t="inlineStr">
        <is>
          <t>20230831</t>
        </is>
      </c>
      <c r="P50" t="inlineStr">
        <is>
          <t>DKI Jakarta</t>
        </is>
      </c>
      <c r="Q50" t="inlineStr"/>
    </row>
    <row r="51">
      <c r="A51" t="inlineStr">
        <is>
          <t>DANA SULARSA CIPTA</t>
        </is>
      </c>
      <c r="B51" t="inlineStr">
        <is>
          <t>Kota Denpasar</t>
        </is>
      </c>
      <c r="C51" t="inlineStr">
        <is>
          <t>-</t>
        </is>
      </c>
      <c r="D51" t="inlineStr">
        <is>
          <t>pt_danasularsa@yahoo.com</t>
        </is>
      </c>
      <c r="E51" t="inlineStr">
        <is>
          <t>https://lpjk.pu.go.id/search-badan-usaha-detail/VVRDMFRlT1FDdWYxbldqR3R4eHRZZz09</t>
        </is>
      </c>
      <c r="F51" t="n">
        <v>2</v>
      </c>
      <c r="G51" t="inlineStr">
        <is>
          <t>AR001, AR002</t>
        </is>
      </c>
      <c r="H51" t="inlineStr">
        <is>
          <t>23 September 1993</t>
        </is>
      </c>
      <c r="I51" s="2" t="n">
        <v>46265</v>
      </c>
      <c r="J51" t="inlineStr">
        <is>
          <t>Disetujui</t>
        </is>
      </c>
      <c r="K51" t="n">
        <v>60</v>
      </c>
      <c r="L51" t="inlineStr">
        <is>
          <t>31 Agustus 2026</t>
        </is>
      </c>
      <c r="M51" t="inlineStr">
        <is>
          <t>Jasa Arsitektural Bangunan Gedung Hunian dan Non Hunian, Jasa Arsitektural Lainnya</t>
        </is>
      </c>
      <c r="N51" t="inlineStr">
        <is>
          <t>K</t>
        </is>
      </c>
      <c r="O51" t="inlineStr">
        <is>
          <t>20230825</t>
        </is>
      </c>
      <c r="P51" t="inlineStr">
        <is>
          <t>Bali</t>
        </is>
      </c>
      <c r="Q51" t="inlineStr"/>
    </row>
    <row r="52">
      <c r="A52" t="inlineStr">
        <is>
          <t>DANISWARA</t>
        </is>
      </c>
      <c r="B52" t="inlineStr">
        <is>
          <t>Kab. Ponorogo</t>
        </is>
      </c>
      <c r="C52" t="inlineStr">
        <is>
          <t>N/A</t>
        </is>
      </c>
      <c r="D52" t="inlineStr">
        <is>
          <t>N/A</t>
        </is>
      </c>
      <c r="E52" t="inlineStr">
        <is>
          <t>https://lpjk.pu.go.id/search-badan-usaha-detail/VWt6ZUQyeTRwWGF6K2tqUEE1SVRrQT09</t>
        </is>
      </c>
      <c r="F52" t="n">
        <v>1</v>
      </c>
      <c r="G52" t="inlineStr">
        <is>
          <t>BG006</t>
        </is>
      </c>
      <c r="H52" t="inlineStr"/>
      <c r="I52" s="2" t="n">
        <v>46265</v>
      </c>
      <c r="J52" t="inlineStr">
        <is>
          <t>Disetujui</t>
        </is>
      </c>
      <c r="K52" t="n">
        <v>60</v>
      </c>
      <c r="L52" t="inlineStr">
        <is>
          <t>31 Agustus 2026</t>
        </is>
      </c>
      <c r="M52" t="inlineStr">
        <is>
          <t>Konstruksi Gedung Pendidikan</t>
        </is>
      </c>
      <c r="N52" t="inlineStr">
        <is>
          <t>K</t>
        </is>
      </c>
      <c r="O52" t="inlineStr">
        <is>
          <t>20230829</t>
        </is>
      </c>
      <c r="P52" t="inlineStr">
        <is>
          <t>Jawa Timur</t>
        </is>
      </c>
      <c r="Q52" t="inlineStr"/>
    </row>
    <row r="53">
      <c r="A53" t="inlineStr">
        <is>
          <t>DATATEL INDONESIA</t>
        </is>
      </c>
      <c r="B53" t="inlineStr">
        <is>
          <t>Kota Adm. Jakarta Selatan</t>
        </is>
      </c>
      <c r="C53" t="inlineStr">
        <is>
          <t>02183780136</t>
        </is>
      </c>
      <c r="D53" t="inlineStr">
        <is>
          <t>management@datatelindo.com</t>
        </is>
      </c>
      <c r="E53" t="inlineStr">
        <is>
          <t>https://lpjk.pu.go.id/search-badan-usaha-detail/RGpyUUpZM3B5bTdEZDIyNkZxbnZSZz09</t>
        </is>
      </c>
      <c r="F53" t="n">
        <v>1</v>
      </c>
      <c r="G53" t="inlineStr">
        <is>
          <t>BS009</t>
        </is>
      </c>
      <c r="H53" t="inlineStr">
        <is>
          <t>29 November 2004</t>
        </is>
      </c>
      <c r="I53" s="2" t="n">
        <v>46265</v>
      </c>
      <c r="J53" t="inlineStr">
        <is>
          <t>Disetujui</t>
        </is>
      </c>
      <c r="K53" t="n">
        <v>60</v>
      </c>
      <c r="L53" t="inlineStr">
        <is>
          <t>31 Agustus 2026</t>
        </is>
      </c>
      <c r="M53" t="inlineStr">
        <is>
          <t>Konstruksi Sentral Telekomunikasi</t>
        </is>
      </c>
      <c r="N53" t="inlineStr">
        <is>
          <t>M</t>
        </is>
      </c>
      <c r="O53" t="inlineStr">
        <is>
          <t>20230816</t>
        </is>
      </c>
      <c r="P53" t="inlineStr">
        <is>
          <t>DKI Jakarta</t>
        </is>
      </c>
      <c r="Q53" t="inlineStr"/>
    </row>
    <row r="54">
      <c r="A54" t="inlineStr">
        <is>
          <t>DEWI MULIA CITRA</t>
        </is>
      </c>
      <c r="B54" t="inlineStr">
        <is>
          <t>Kab. Gresik</t>
        </is>
      </c>
      <c r="C54" t="inlineStr">
        <is>
          <t>085732400897</t>
        </is>
      </c>
      <c r="D54" t="inlineStr">
        <is>
          <t>cv.dmcgresik@gmail.com</t>
        </is>
      </c>
      <c r="E54" t="inlineStr">
        <is>
          <t>https://lpjk.pu.go.id/search-badan-usaha-detail/amlXUG1CMkEwT0xCcGNTQ0RleWNtZz09</t>
        </is>
      </c>
      <c r="F54" t="n">
        <v>2</v>
      </c>
      <c r="G54" t="inlineStr">
        <is>
          <t>BS006</t>
        </is>
      </c>
      <c r="H54" t="inlineStr">
        <is>
          <t>22 September 2016</t>
        </is>
      </c>
      <c r="I54" s="2" t="n">
        <v>46265</v>
      </c>
      <c r="J54" t="inlineStr">
        <is>
          <t>Disetujui</t>
        </is>
      </c>
      <c r="K54" t="n">
        <v>60</v>
      </c>
      <c r="L54" t="inlineStr">
        <is>
          <t>31 Agustus 2026</t>
        </is>
      </c>
      <c r="M54" t="inlineStr">
        <is>
          <t>Konstruksi Bangunan Sipil Prasarana dan Sarana Sistem Pengolahan Limbah Padat, Cair, dan Gas</t>
        </is>
      </c>
      <c r="N54" t="inlineStr">
        <is>
          <t>K</t>
        </is>
      </c>
      <c r="O54" t="inlineStr">
        <is>
          <t>20230829</t>
        </is>
      </c>
      <c r="P54" t="inlineStr">
        <is>
          <t>Jawa Timur</t>
        </is>
      </c>
      <c r="Q54" t="inlineStr"/>
    </row>
    <row r="55">
      <c r="A55" t="inlineStr">
        <is>
          <t>DEWI PUTRI PRANATA</t>
        </is>
      </c>
      <c r="B55" t="inlineStr">
        <is>
          <t>Kab. Sintang</t>
        </is>
      </c>
      <c r="C55" t="inlineStr">
        <is>
          <t>081345169204</t>
        </is>
      </c>
      <c r="D55" t="inlineStr">
        <is>
          <t>ptdewiputrip@gmail.com</t>
        </is>
      </c>
      <c r="E55" t="inlineStr">
        <is>
          <t>https://lpjk.pu.go.id/search-badan-usaha-detail/NWNLVEtBUzliVGxkNmJQZElMeVRLZz09</t>
        </is>
      </c>
      <c r="F55" t="n">
        <v>1</v>
      </c>
      <c r="G55" t="inlineStr">
        <is>
          <t>BS001</t>
        </is>
      </c>
      <c r="H55" t="inlineStr">
        <is>
          <t>30 November 2015</t>
        </is>
      </c>
      <c r="I55" s="2" t="n">
        <v>46265</v>
      </c>
      <c r="J55" t="inlineStr">
        <is>
          <t>Disetujui</t>
        </is>
      </c>
      <c r="K55" t="n">
        <v>60</v>
      </c>
      <c r="L55" t="inlineStr">
        <is>
          <t>31 Agustus 2026</t>
        </is>
      </c>
      <c r="M55" t="inlineStr">
        <is>
          <t>Konstruksi Bangunan Sipil Jalan</t>
        </is>
      </c>
      <c r="N55" t="inlineStr">
        <is>
          <t>K</t>
        </is>
      </c>
      <c r="O55" t="inlineStr">
        <is>
          <t>20230831</t>
        </is>
      </c>
      <c r="P55" t="inlineStr">
        <is>
          <t>Kalimantan Barat</t>
        </is>
      </c>
      <c r="Q55" t="inlineStr"/>
    </row>
    <row r="56">
      <c r="A56" t="inlineStr">
        <is>
          <t>DHARMA NUSA</t>
        </is>
      </c>
      <c r="B56" t="inlineStr">
        <is>
          <t>Kab. Malang</t>
        </is>
      </c>
      <c r="C56" t="inlineStr">
        <is>
          <t>083834987465</t>
        </is>
      </c>
      <c r="D56" t="inlineStr">
        <is>
          <t>dharmanusacv@gmail.com</t>
        </is>
      </c>
      <c r="E56" t="inlineStr">
        <is>
          <t>https://lpjk.pu.go.id/search-badan-usaha-detail/WmN6aDBCd2pDdkZsVWdqMFE5SUpOdz09</t>
        </is>
      </c>
      <c r="F56" t="n">
        <v>1</v>
      </c>
      <c r="G56" t="inlineStr">
        <is>
          <t>BS001</t>
        </is>
      </c>
      <c r="H56" t="inlineStr">
        <is>
          <t>13 Maret 2023</t>
        </is>
      </c>
      <c r="I56" s="2" t="n">
        <v>46265</v>
      </c>
      <c r="J56" t="inlineStr">
        <is>
          <t>Pencabutan</t>
        </is>
      </c>
      <c r="K56" t="n">
        <v>60</v>
      </c>
      <c r="L56" t="inlineStr">
        <is>
          <t>31 Agustus 2026</t>
        </is>
      </c>
      <c r="M56" t="inlineStr">
        <is>
          <t>Konstruksi Bangunan Sipil Jalan</t>
        </is>
      </c>
      <c r="N56" t="inlineStr">
        <is>
          <t>K</t>
        </is>
      </c>
      <c r="O56" t="inlineStr">
        <is>
          <t>20230614</t>
        </is>
      </c>
      <c r="P56" t="inlineStr">
        <is>
          <t>Jawa Timur</t>
        </is>
      </c>
      <c r="Q56" t="inlineStr"/>
    </row>
    <row r="57">
      <c r="A57" t="inlineStr">
        <is>
          <t>DWIKA UTAMA</t>
        </is>
      </c>
      <c r="B57" t="inlineStr">
        <is>
          <t>Kab. Bangka Barat</t>
        </is>
      </c>
      <c r="C57" t="inlineStr">
        <is>
          <t>085268208945</t>
        </is>
      </c>
      <c r="D57" t="inlineStr">
        <is>
          <t>utamadwika@gmail.com</t>
        </is>
      </c>
      <c r="E57" t="inlineStr">
        <is>
          <t>https://lpjk.pu.go.id/search-badan-usaha-detail/SjVrOFJwMTFZZEFjeGp3VEVxbVJQQT09</t>
        </is>
      </c>
      <c r="F57" t="n">
        <v>1</v>
      </c>
      <c r="G57" t="inlineStr">
        <is>
          <t>BG006</t>
        </is>
      </c>
      <c r="H57" t="inlineStr">
        <is>
          <t>22 Oktober 2002</t>
        </is>
      </c>
      <c r="I57" s="2" t="n">
        <v>46265</v>
      </c>
      <c r="J57" t="inlineStr">
        <is>
          <t>Disetujui</t>
        </is>
      </c>
      <c r="K57" t="n">
        <v>60</v>
      </c>
      <c r="L57" t="inlineStr">
        <is>
          <t>31 Agustus 2026</t>
        </is>
      </c>
      <c r="M57" t="inlineStr">
        <is>
          <t>Konstruksi Gedung Pendidikan</t>
        </is>
      </c>
      <c r="N57" t="inlineStr">
        <is>
          <t>K</t>
        </is>
      </c>
      <c r="O57" t="inlineStr">
        <is>
          <t>20230829</t>
        </is>
      </c>
      <c r="P57" t="inlineStr">
        <is>
          <t>Kepulauan Bangka Belitung</t>
        </is>
      </c>
      <c r="Q57" t="inlineStr"/>
    </row>
    <row r="58">
      <c r="A58" t="inlineStr">
        <is>
          <t>EKA MAKMUR BERSAMA</t>
        </is>
      </c>
      <c r="B58" t="inlineStr">
        <is>
          <t>Kota Adm. Jakarta Pusat</t>
        </is>
      </c>
      <c r="C58" t="inlineStr">
        <is>
          <t>0214208065</t>
        </is>
      </c>
      <c r="D58" t="inlineStr">
        <is>
          <t>ptekamakmurbersama@gmail.com</t>
        </is>
      </c>
      <c r="E58" t="inlineStr">
        <is>
          <t>https://lpjk.pu.go.id/search-badan-usaha-detail/TDIyQmEzVzltQjRTcVZPdGVsNXpvUT09</t>
        </is>
      </c>
      <c r="F58" t="n">
        <v>1</v>
      </c>
      <c r="G58" t="inlineStr">
        <is>
          <t>PB009</t>
        </is>
      </c>
      <c r="H58" t="inlineStr">
        <is>
          <t>26 Maret 2019</t>
        </is>
      </c>
      <c r="I58" s="2" t="n">
        <v>46265</v>
      </c>
      <c r="J58" t="inlineStr">
        <is>
          <t>Pembekuan</t>
        </is>
      </c>
      <c r="K58" t="n">
        <v>60</v>
      </c>
      <c r="L58" t="inlineStr">
        <is>
          <t>31 Agustus 2026</t>
        </is>
      </c>
      <c r="M58" t="inlineStr">
        <is>
          <t>Pembersihan dan Perapihan Bangunan Gedung dan/atau Bangunan Sipil</t>
        </is>
      </c>
      <c r="N58" t="inlineStr">
        <is>
          <t>Spesialis</t>
        </is>
      </c>
      <c r="O58" t="inlineStr">
        <is>
          <t>20230829</t>
        </is>
      </c>
      <c r="P58" t="inlineStr">
        <is>
          <t>DKI Jakarta</t>
        </is>
      </c>
      <c r="Q58" t="inlineStr"/>
    </row>
    <row r="59">
      <c r="A59" t="inlineStr">
        <is>
          <t>EKA WIJAYA</t>
        </is>
      </c>
      <c r="B59" t="inlineStr">
        <is>
          <t>Kota Metro</t>
        </is>
      </c>
      <c r="C59" t="inlineStr">
        <is>
          <t>-</t>
        </is>
      </c>
      <c r="D59" t="inlineStr">
        <is>
          <t>cv.ekawijaya15a@gmail.com</t>
        </is>
      </c>
      <c r="E59" t="inlineStr">
        <is>
          <t>https://lpjk.pu.go.id/search-badan-usaha-detail/Tmt0QzNaUElXL3RzWDJMTEx3Z25Wdz09</t>
        </is>
      </c>
      <c r="F59" t="n">
        <v>1</v>
      </c>
      <c r="G59" t="inlineStr">
        <is>
          <t>BG006</t>
        </is>
      </c>
      <c r="H59" t="inlineStr">
        <is>
          <t>14 September 1999</t>
        </is>
      </c>
      <c r="I59" s="2" t="n">
        <v>46265</v>
      </c>
      <c r="J59" t="inlineStr">
        <is>
          <t>Disetujui</t>
        </is>
      </c>
      <c r="K59" t="n">
        <v>60</v>
      </c>
      <c r="L59" t="inlineStr">
        <is>
          <t>31 Agustus 2026</t>
        </is>
      </c>
      <c r="M59" t="inlineStr">
        <is>
          <t>Konstruksi Gedung Pendidikan</t>
        </is>
      </c>
      <c r="N59" t="inlineStr">
        <is>
          <t>K</t>
        </is>
      </c>
      <c r="O59" t="inlineStr">
        <is>
          <t>20230824</t>
        </is>
      </c>
      <c r="P59" t="inlineStr">
        <is>
          <t>Lampung</t>
        </is>
      </c>
      <c r="Q59" t="inlineStr"/>
    </row>
    <row r="60">
      <c r="A60" t="inlineStr">
        <is>
          <t>FARIS JAYA PRATAMA</t>
        </is>
      </c>
      <c r="B60" t="inlineStr">
        <is>
          <t>Kota Pontianak</t>
        </is>
      </c>
      <c r="C60" t="inlineStr">
        <is>
          <t>085388449699</t>
        </is>
      </c>
      <c r="D60" t="inlineStr">
        <is>
          <t>fidia23hartika@gmail.com</t>
        </is>
      </c>
      <c r="E60" t="inlineStr">
        <is>
          <t>https://lpjk.pu.go.id/search-badan-usaha-detail/RkFCYkFtaFc4R2VWL3VZelJJL01qZz09</t>
        </is>
      </c>
      <c r="F60" t="n">
        <v>1</v>
      </c>
      <c r="G60" t="inlineStr">
        <is>
          <t>BS010</t>
        </is>
      </c>
      <c r="H60" t="inlineStr">
        <is>
          <t>28 Januari 2019</t>
        </is>
      </c>
      <c r="I60" s="2" t="n">
        <v>46265</v>
      </c>
      <c r="J60" t="inlineStr">
        <is>
          <t>Pencabutan</t>
        </is>
      </c>
      <c r="K60" t="n">
        <v>60</v>
      </c>
      <c r="L60" t="inlineStr">
        <is>
          <t>31 Agustus 2026</t>
        </is>
      </c>
      <c r="M60" t="inlineStr">
        <is>
          <t>Konstruksi Bangunan Prasarana Sumber Daya Air</t>
        </is>
      </c>
      <c r="N60" t="inlineStr">
        <is>
          <t>K</t>
        </is>
      </c>
      <c r="O60" t="inlineStr">
        <is>
          <t>20230825</t>
        </is>
      </c>
      <c r="P60" t="inlineStr">
        <is>
          <t>Kalimantan Barat</t>
        </is>
      </c>
      <c r="Q60" t="inlineStr"/>
    </row>
    <row r="61">
      <c r="A61" t="inlineStr">
        <is>
          <t>FARIZ KARYATAMA</t>
        </is>
      </c>
      <c r="B61" t="inlineStr">
        <is>
          <t>Kab. Banggai</t>
        </is>
      </c>
      <c r="C61" t="inlineStr">
        <is>
          <t>08534133998</t>
        </is>
      </c>
      <c r="D61" t="inlineStr">
        <is>
          <t>farizkaryatama07@gmail.com</t>
        </is>
      </c>
      <c r="E61" t="inlineStr">
        <is>
          <t>https://lpjk.pu.go.id/search-badan-usaha-detail/OWZtbFlPRmUyVDhWa3ViYnJ2TjZlZz09</t>
        </is>
      </c>
      <c r="F61" t="n">
        <v>7</v>
      </c>
      <c r="G61" t="inlineStr">
        <is>
          <t>BG001, BG002, BG004, BS001, BS002, BS004, BS010</t>
        </is>
      </c>
      <c r="H61" t="inlineStr">
        <is>
          <t>6 Januari 2025</t>
        </is>
      </c>
      <c r="I61" s="2" t="n">
        <v>46265</v>
      </c>
      <c r="J61" t="inlineStr">
        <is>
          <t>Disetujui</t>
        </is>
      </c>
      <c r="K61" t="n">
        <v>60</v>
      </c>
      <c r="L61" t="inlineStr">
        <is>
          <t>31 Agustus 2026</t>
        </is>
      </c>
      <c r="M61" t="inlineStr">
        <is>
          <t>Bangunan Sipil Jembatan, Jalan Layang, Fly Over, dan Underpass, Konstruksi Bangunan Prasarana Sumber Daya Air, Konstruksi Bangunan Sipil Jalan, Konstruksi Gedung Hunian, Konstruksi Gedung Perbelanjaan, Konstruksi Gedung Perkantoran, Konstruksi Jaringan Irigasi dan Drainase</t>
        </is>
      </c>
      <c r="N61" t="inlineStr">
        <is>
          <t>K</t>
        </is>
      </c>
      <c r="O61" t="inlineStr">
        <is>
          <t>20230831, 20230901</t>
        </is>
      </c>
      <c r="P61" t="inlineStr">
        <is>
          <t>Sulawesi Tengah</t>
        </is>
      </c>
      <c r="Q61" t="inlineStr"/>
    </row>
    <row r="62">
      <c r="A62" t="inlineStr">
        <is>
          <t>FAZAR ANWARI ADIALOVA</t>
        </is>
      </c>
      <c r="B62" t="inlineStr">
        <is>
          <t>Kab. Bandung</t>
        </is>
      </c>
      <c r="C62" t="inlineStr">
        <is>
          <t>087823090007</t>
        </is>
      </c>
      <c r="D62" t="inlineStr">
        <is>
          <t>fajaradialova234@gmail.com</t>
        </is>
      </c>
      <c r="E62" t="inlineStr">
        <is>
          <t>https://lpjk.pu.go.id/search-badan-usaha-detail/b0d4WUVUdk9OQmFSSGtkWlZYY05BZz09</t>
        </is>
      </c>
      <c r="F62" t="n">
        <v>2</v>
      </c>
      <c r="G62" t="inlineStr">
        <is>
          <t>BG005</t>
        </is>
      </c>
      <c r="H62" t="inlineStr">
        <is>
          <t>26 Agustus 2019</t>
        </is>
      </c>
      <c r="I62" s="2" t="n">
        <v>46265</v>
      </c>
      <c r="J62" t="inlineStr">
        <is>
          <t>Disetujui</t>
        </is>
      </c>
      <c r="K62" t="n">
        <v>60</v>
      </c>
      <c r="L62" t="inlineStr">
        <is>
          <t>31 Agustus 2026</t>
        </is>
      </c>
      <c r="M62" t="inlineStr">
        <is>
          <t>Konstruksi Gedung Kesehatan</t>
        </is>
      </c>
      <c r="N62" t="inlineStr">
        <is>
          <t>K</t>
        </is>
      </c>
      <c r="O62" t="inlineStr">
        <is>
          <t>20230831</t>
        </is>
      </c>
      <c r="P62" t="inlineStr">
        <is>
          <t>Jawa Barat</t>
        </is>
      </c>
      <c r="Q62" t="inlineStr"/>
    </row>
    <row r="63">
      <c r="A63" t="inlineStr">
        <is>
          <t>FORMULA</t>
        </is>
      </c>
      <c r="B63" t="inlineStr">
        <is>
          <t>Kab. Sampang</t>
        </is>
      </c>
      <c r="C63" t="inlineStr">
        <is>
          <t>087701871004</t>
        </is>
      </c>
      <c r="D63" t="inlineStr">
        <is>
          <t>cvformula46@gmail.com</t>
        </is>
      </c>
      <c r="E63" t="inlineStr">
        <is>
          <t>https://lpjk.pu.go.id/search-badan-usaha-detail/N0ZNNTQ3cHg4bk1ZbjZHTy8ybE0yZz09</t>
        </is>
      </c>
      <c r="F63" t="n">
        <v>2</v>
      </c>
      <c r="G63" t="inlineStr">
        <is>
          <t>BG006, BG009</t>
        </is>
      </c>
      <c r="H63" t="inlineStr">
        <is>
          <t>15 November 2006</t>
        </is>
      </c>
      <c r="I63" s="2" t="n">
        <v>46265</v>
      </c>
      <c r="J63" t="inlineStr">
        <is>
          <t>Disetujui</t>
        </is>
      </c>
      <c r="K63" t="n">
        <v>60</v>
      </c>
      <c r="L63" t="inlineStr">
        <is>
          <t>31 Agustus 2026</t>
        </is>
      </c>
      <c r="M63" t="inlineStr">
        <is>
          <t>Konstruksi Gedung Lainnya, Konstruksi Gedung Pendidikan</t>
        </is>
      </c>
      <c r="N63" t="inlineStr">
        <is>
          <t>K</t>
        </is>
      </c>
      <c r="O63" t="inlineStr">
        <is>
          <t>20230831, 20230901</t>
        </is>
      </c>
      <c r="P63" t="inlineStr">
        <is>
          <t>Jawa Timur</t>
        </is>
      </c>
      <c r="Q63" t="inlineStr"/>
    </row>
    <row r="64">
      <c r="A64" t="inlineStr">
        <is>
          <t>GANENDRA ARSYILA SEMESTA</t>
        </is>
      </c>
      <c r="B64" t="inlineStr">
        <is>
          <t>Kota Adm. Jakarta Selatan</t>
        </is>
      </c>
      <c r="C64" t="inlineStr">
        <is>
          <t>081322505175</t>
        </is>
      </c>
      <c r="D64" t="inlineStr">
        <is>
          <t>ganendraarsyilasemesta@yahoo.com</t>
        </is>
      </c>
      <c r="E64" t="inlineStr">
        <is>
          <t>https://lpjk.pu.go.id/search-badan-usaha-detail/RDFMUzhxM2pQeHZybjFKV2dkZUVpZz09</t>
        </is>
      </c>
      <c r="F64" t="n">
        <v>1</v>
      </c>
      <c r="G64" t="inlineStr">
        <is>
          <t>BS017</t>
        </is>
      </c>
      <c r="H64" t="inlineStr">
        <is>
          <t>25 Maret 2022</t>
        </is>
      </c>
      <c r="I64" s="2" t="n">
        <v>46265</v>
      </c>
      <c r="J64" t="inlineStr">
        <is>
          <t>Disetujui</t>
        </is>
      </c>
      <c r="K64" t="n">
        <v>60</v>
      </c>
      <c r="L64" t="inlineStr">
        <is>
          <t>31 Agustus 2026</t>
        </is>
      </c>
      <c r="M64" t="inlineStr">
        <is>
          <t>Konstruksi Bangunan Sipil Lainnya Ytdl</t>
        </is>
      </c>
      <c r="N64" t="inlineStr">
        <is>
          <t>K</t>
        </is>
      </c>
      <c r="O64" t="inlineStr">
        <is>
          <t>20230829</t>
        </is>
      </c>
      <c r="P64" t="inlineStr">
        <is>
          <t>DKI Jakarta</t>
        </is>
      </c>
      <c r="Q64" t="inlineStr"/>
    </row>
    <row r="65">
      <c r="A65" t="inlineStr">
        <is>
          <t>GARUDA SAKTI SUMATERA</t>
        </is>
      </c>
      <c r="B65" t="inlineStr">
        <is>
          <t>Kota Jambi</t>
        </is>
      </c>
      <c r="C65" t="inlineStr">
        <is>
          <t>082278300851</t>
        </is>
      </c>
      <c r="D65" t="inlineStr">
        <is>
          <t>garudasaktisumatera@gmail.com</t>
        </is>
      </c>
      <c r="E65" t="inlineStr">
        <is>
          <t>https://lpjk.pu.go.id/search-badan-usaha-detail/RFNpaXVHTTRvSFNMQjloSFVNdUJLUT09</t>
        </is>
      </c>
      <c r="F65" t="n">
        <v>1</v>
      </c>
      <c r="G65" t="inlineStr">
        <is>
          <t>BS001</t>
        </is>
      </c>
      <c r="H65" t="inlineStr">
        <is>
          <t>26 Juni 2023</t>
        </is>
      </c>
      <c r="I65" s="2" t="n">
        <v>46265</v>
      </c>
      <c r="J65" t="inlineStr">
        <is>
          <t>Disetujui</t>
        </is>
      </c>
      <c r="K65" t="n">
        <v>60</v>
      </c>
      <c r="L65" t="inlineStr">
        <is>
          <t>31 Agustus 2026</t>
        </is>
      </c>
      <c r="M65" t="inlineStr">
        <is>
          <t>Konstruksi Bangunan Sipil Jalan</t>
        </is>
      </c>
      <c r="N65" t="inlineStr">
        <is>
          <t>K</t>
        </is>
      </c>
      <c r="O65" t="inlineStr">
        <is>
          <t>20230829</t>
        </is>
      </c>
      <c r="P65" t="inlineStr">
        <is>
          <t>Jambi</t>
        </is>
      </c>
      <c r="Q65" t="inlineStr"/>
    </row>
    <row r="66">
      <c r="A66" t="inlineStr">
        <is>
          <t>GIRI KENCANA</t>
        </is>
      </c>
      <c r="B66" t="inlineStr">
        <is>
          <t>Kab. Ponorogo</t>
        </is>
      </c>
      <c r="C66" t="inlineStr">
        <is>
          <t>08125909278</t>
        </is>
      </c>
      <c r="D66" t="inlineStr">
        <is>
          <t>girikencana05@yahoo.co.id</t>
        </is>
      </c>
      <c r="E66" t="inlineStr">
        <is>
          <t>https://lpjk.pu.go.id/search-badan-usaha-detail/VzFrWE9UNExWeS9RQWsxVjZjMnlidz09</t>
        </is>
      </c>
      <c r="F66" t="n">
        <v>1</v>
      </c>
      <c r="G66" t="inlineStr">
        <is>
          <t>BS004</t>
        </is>
      </c>
      <c r="H66" t="inlineStr">
        <is>
          <t>15 Juni 2005</t>
        </is>
      </c>
      <c r="I66" s="2" t="n">
        <v>46265</v>
      </c>
      <c r="J66" t="inlineStr">
        <is>
          <t>Disetujui</t>
        </is>
      </c>
      <c r="K66" t="n">
        <v>60</v>
      </c>
      <c r="L66" t="inlineStr">
        <is>
          <t>31 Agustus 2026</t>
        </is>
      </c>
      <c r="M66" t="inlineStr">
        <is>
          <t>Konstruksi Jaringan Irigasi dan Drainase</t>
        </is>
      </c>
      <c r="N66" t="inlineStr">
        <is>
          <t>K</t>
        </is>
      </c>
      <c r="O66" t="inlineStr">
        <is>
          <t>20230829</t>
        </is>
      </c>
      <c r="P66" t="inlineStr">
        <is>
          <t>Jawa Timur</t>
        </is>
      </c>
      <c r="Q66" t="inlineStr"/>
    </row>
    <row r="67">
      <c r="A67" t="inlineStr">
        <is>
          <t>GLOBAL SAWITA JAYAMAS</t>
        </is>
      </c>
      <c r="B67" t="inlineStr">
        <is>
          <t>Kota Adm. Jakarta Selatan</t>
        </is>
      </c>
      <c r="C67" t="inlineStr">
        <is>
          <t>08119348011</t>
        </is>
      </c>
      <c r="D67" t="inlineStr">
        <is>
          <t>globalsj.info@gmail.com</t>
        </is>
      </c>
      <c r="E67" t="inlineStr">
        <is>
          <t>https://lpjk.pu.go.id/search-badan-usaha-detail/RkJuN0Zndm1LMzRWQjBtaVVzeUFpUT09</t>
        </is>
      </c>
      <c r="F67" t="n">
        <v>2</v>
      </c>
      <c r="G67" t="inlineStr">
        <is>
          <t>BG003, BG009</t>
        </is>
      </c>
      <c r="H67" t="inlineStr">
        <is>
          <t>23 November 2017</t>
        </is>
      </c>
      <c r="I67" s="2" t="n">
        <v>46265</v>
      </c>
      <c r="J67" t="inlineStr">
        <is>
          <t>Pencabutan</t>
        </is>
      </c>
      <c r="K67" t="n">
        <v>60</v>
      </c>
      <c r="L67" t="inlineStr">
        <is>
          <t>31 Agustus 2026</t>
        </is>
      </c>
      <c r="M67" t="inlineStr">
        <is>
          <t>Konstruksi Gedung Industri, Konstruksi Gedung Lainnya</t>
        </is>
      </c>
      <c r="N67" t="inlineStr">
        <is>
          <t>K</t>
        </is>
      </c>
      <c r="O67" t="inlineStr">
        <is>
          <t>20230818</t>
        </is>
      </c>
      <c r="P67" t="inlineStr">
        <is>
          <t>DKI Jakarta</t>
        </is>
      </c>
      <c r="Q67" t="inlineStr"/>
    </row>
    <row r="68">
      <c r="A68" t="inlineStr">
        <is>
          <t>GLOBALINDO INTI NUSANTARA</t>
        </is>
      </c>
      <c r="B68" t="inlineStr">
        <is>
          <t>Kota Medan</t>
        </is>
      </c>
      <c r="C68" t="inlineStr">
        <is>
          <t>06188807333</t>
        </is>
      </c>
      <c r="D68" t="inlineStr">
        <is>
          <t>Stephensan118@gmail.com</t>
        </is>
      </c>
      <c r="E68" t="inlineStr">
        <is>
          <t>https://lpjk.pu.go.id/search-badan-usaha-detail/Mkw0UVdtL1VrYy85bTNCRTA5WFJCZz09</t>
        </is>
      </c>
      <c r="F68" t="n">
        <v>6</v>
      </c>
      <c r="G68" t="inlineStr">
        <is>
          <t>BG002, BG003, BG009</t>
        </is>
      </c>
      <c r="H68" t="inlineStr">
        <is>
          <t>23 April 2014</t>
        </is>
      </c>
      <c r="I68" s="2" t="n">
        <v>46265</v>
      </c>
      <c r="J68" t="inlineStr">
        <is>
          <t>Disetujui</t>
        </is>
      </c>
      <c r="K68" t="n">
        <v>60</v>
      </c>
      <c r="L68" t="inlineStr">
        <is>
          <t>31 Agustus 2026</t>
        </is>
      </c>
      <c r="M68" t="inlineStr">
        <is>
          <t>Konstruksi Gedung Industri, Konstruksi Gedung Lainnya, Konstruksi Gedung Perkantoran</t>
        </is>
      </c>
      <c r="N68" t="inlineStr">
        <is>
          <t>M</t>
        </is>
      </c>
      <c r="O68" t="inlineStr">
        <is>
          <t>20230728, 20230814, 20230816</t>
        </is>
      </c>
      <c r="P68" t="inlineStr">
        <is>
          <t>Sumatera Utara</t>
        </is>
      </c>
      <c r="Q68" t="inlineStr"/>
    </row>
    <row r="69">
      <c r="A69" t="inlineStr">
        <is>
          <t>GRADASI DESIGN CONSULTANT</t>
        </is>
      </c>
      <c r="B69" t="inlineStr">
        <is>
          <t>Kab. Ngawi</t>
        </is>
      </c>
      <c r="C69" t="inlineStr">
        <is>
          <t>085655762325</t>
        </is>
      </c>
      <c r="D69" t="inlineStr">
        <is>
          <t>gradasidesignconsultant@gmail.com</t>
        </is>
      </c>
      <c r="E69" t="inlineStr">
        <is>
          <t>https://lpjk.pu.go.id/search-badan-usaha-detail/RUdWdVFOVVhpRFo3WTIway9tVFF5Zz09</t>
        </is>
      </c>
      <c r="F69" t="n">
        <v>2</v>
      </c>
      <c r="G69" t="inlineStr">
        <is>
          <t>RK001, RK003</t>
        </is>
      </c>
      <c r="H69" t="inlineStr">
        <is>
          <t>24 Mei 2019</t>
        </is>
      </c>
      <c r="I69" s="2" t="n">
        <v>46265</v>
      </c>
      <c r="J69" t="inlineStr">
        <is>
          <t>Disetujui</t>
        </is>
      </c>
      <c r="K69" t="n">
        <v>60</v>
      </c>
      <c r="L69" t="inlineStr">
        <is>
          <t>31 Agustus 2026</t>
        </is>
      </c>
      <c r="M69" t="inlineStr">
        <is>
          <t>Jasa Rekayasa Konstruksi Bangunan Gedung Hunian dan Non Hunian, Jasa Rekayasa Pekerjaan Teknik Sipil Transportasi</t>
        </is>
      </c>
      <c r="N69" t="inlineStr">
        <is>
          <t>K</t>
        </is>
      </c>
      <c r="O69" t="inlineStr">
        <is>
          <t>20230821</t>
        </is>
      </c>
      <c r="P69" t="inlineStr">
        <is>
          <t>Jawa Timur</t>
        </is>
      </c>
      <c r="Q69" t="inlineStr"/>
    </row>
    <row r="70">
      <c r="A70" t="inlineStr">
        <is>
          <t>GRAHA TUAH RIAU</t>
        </is>
      </c>
      <c r="B70" t="inlineStr">
        <is>
          <t>Kota Pekanbaru</t>
        </is>
      </c>
      <c r="C70" t="inlineStr">
        <is>
          <t>081365730240</t>
        </is>
      </c>
      <c r="D70" t="inlineStr">
        <is>
          <t>cvgrahatuahriau@gmail.com</t>
        </is>
      </c>
      <c r="E70" t="inlineStr">
        <is>
          <t>https://lpjk.pu.go.id/search-badan-usaha-detail/bTdJdHZRZjNEWU9LYmI5WjQ2YjhRQT09</t>
        </is>
      </c>
      <c r="F70" t="n">
        <v>1</v>
      </c>
      <c r="G70" t="inlineStr">
        <is>
          <t>BG006</t>
        </is>
      </c>
      <c r="H70" t="inlineStr">
        <is>
          <t>3 Juli 2020</t>
        </is>
      </c>
      <c r="I70" s="2" t="n">
        <v>46265</v>
      </c>
      <c r="J70" t="inlineStr">
        <is>
          <t>Disetujui</t>
        </is>
      </c>
      <c r="K70" t="n">
        <v>60</v>
      </c>
      <c r="L70" t="inlineStr">
        <is>
          <t>31 Agustus 2026</t>
        </is>
      </c>
      <c r="M70" t="inlineStr">
        <is>
          <t>Konstruksi Gedung Pendidikan</t>
        </is>
      </c>
      <c r="N70" t="inlineStr">
        <is>
          <t>K</t>
        </is>
      </c>
      <c r="O70" t="inlineStr">
        <is>
          <t>20230821</t>
        </is>
      </c>
      <c r="P70" t="inlineStr">
        <is>
          <t>Riau</t>
        </is>
      </c>
      <c r="Q70" t="inlineStr"/>
    </row>
    <row r="71">
      <c r="A71" t="inlineStr">
        <is>
          <t>GUNUNG RAYA</t>
        </is>
      </c>
      <c r="B71" t="inlineStr">
        <is>
          <t>Kota Samarinda</t>
        </is>
      </c>
      <c r="C71" t="inlineStr">
        <is>
          <t>0541220787</t>
        </is>
      </c>
      <c r="D71" t="inlineStr">
        <is>
          <t>pt.gunung_raya@yahoo.co.id</t>
        </is>
      </c>
      <c r="E71" t="inlineStr">
        <is>
          <t>https://lpjk.pu.go.id/search-badan-usaha-detail/UVZyS1JtQ3hJbHJEK21iZWtpMC9xdz09</t>
        </is>
      </c>
      <c r="F71" t="n">
        <v>1</v>
      </c>
      <c r="G71" t="inlineStr">
        <is>
          <t>BS010</t>
        </is>
      </c>
      <c r="H71" t="inlineStr">
        <is>
          <t>22 Desember 2005</t>
        </is>
      </c>
      <c r="I71" s="2" t="n">
        <v>46265</v>
      </c>
      <c r="J71" t="inlineStr">
        <is>
          <t>Pencabutan</t>
        </is>
      </c>
      <c r="K71" t="n">
        <v>60</v>
      </c>
      <c r="L71" t="inlineStr">
        <is>
          <t>31 Agustus 2026</t>
        </is>
      </c>
      <c r="M71" t="inlineStr">
        <is>
          <t>Konstruksi Bangunan Prasarana Sumber Daya Air</t>
        </is>
      </c>
      <c r="N71" t="inlineStr">
        <is>
          <t>M</t>
        </is>
      </c>
      <c r="O71" t="inlineStr">
        <is>
          <t>20230730</t>
        </is>
      </c>
      <c r="P71" t="inlineStr">
        <is>
          <t>Kalimantan Timur</t>
        </is>
      </c>
      <c r="Q71" t="inlineStr"/>
    </row>
    <row r="72">
      <c r="A72" t="inlineStr">
        <is>
          <t>HARIS MAKMUR LESTARI</t>
        </is>
      </c>
      <c r="B72" t="inlineStr">
        <is>
          <t>Kota Medan</t>
        </is>
      </c>
      <c r="C72" t="inlineStr">
        <is>
          <t>0616621912</t>
        </is>
      </c>
      <c r="D72" t="inlineStr">
        <is>
          <t>hml_haris@yahoo.com</t>
        </is>
      </c>
      <c r="E72" t="inlineStr">
        <is>
          <t>https://lpjk.pu.go.id/search-badan-usaha-detail/OEdlaHkvSGhKbGVweTZCSVdpdUF0dz09</t>
        </is>
      </c>
      <c r="F72" t="n">
        <v>10</v>
      </c>
      <c r="G72" t="inlineStr">
        <is>
          <t>BG001, BG002, BG003, BG004, BG009</t>
        </is>
      </c>
      <c r="H72" t="inlineStr">
        <is>
          <t>26 Desember 2013</t>
        </is>
      </c>
      <c r="I72" s="2" t="n">
        <v>46265</v>
      </c>
      <c r="J72" t="inlineStr">
        <is>
          <t>Disetujui</t>
        </is>
      </c>
      <c r="K72" t="n">
        <v>60</v>
      </c>
      <c r="L72" t="inlineStr">
        <is>
          <t>31 Agustus 2026</t>
        </is>
      </c>
      <c r="M72" t="inlineStr">
        <is>
          <t>Konstruksi Gedung Hunian, Konstruksi Gedung Industri, Konstruksi Gedung Lainnya, Konstruksi Gedung Perbelanjaan, Konstruksi Gedung Perkantoran</t>
        </is>
      </c>
      <c r="N72" t="inlineStr">
        <is>
          <t>K</t>
        </is>
      </c>
      <c r="O72" t="inlineStr">
        <is>
          <t>20230808, 20230810, 20230811</t>
        </is>
      </c>
      <c r="P72" t="inlineStr">
        <is>
          <t>Sumatera Utara</t>
        </is>
      </c>
      <c r="Q72" t="inlineStr"/>
    </row>
    <row r="73">
      <c r="A73" t="inlineStr">
        <is>
          <t>HASIL BARU SEJAHTERA</t>
        </is>
      </c>
      <c r="B73" t="inlineStr">
        <is>
          <t>Kota Cilegon</t>
        </is>
      </c>
      <c r="C73" t="inlineStr">
        <is>
          <t>085281762170</t>
        </is>
      </c>
      <c r="D73" t="inlineStr">
        <is>
          <t>hasilbarusejahtera01@GMAIL.COM</t>
        </is>
      </c>
      <c r="E73" t="inlineStr">
        <is>
          <t>https://lpjk.pu.go.id/search-badan-usaha-detail/T0k3bTY5YStLOCs0TVd5QnZlSXN5dz09</t>
        </is>
      </c>
      <c r="F73" t="n">
        <v>1</v>
      </c>
      <c r="G73" t="inlineStr">
        <is>
          <t>BS004</t>
        </is>
      </c>
      <c r="H73" t="inlineStr">
        <is>
          <t>7 Agustus 2023</t>
        </is>
      </c>
      <c r="I73" s="2" t="n">
        <v>46265</v>
      </c>
      <c r="J73" t="inlineStr">
        <is>
          <t>Disetujui</t>
        </is>
      </c>
      <c r="K73" t="n">
        <v>60</v>
      </c>
      <c r="L73" t="inlineStr">
        <is>
          <t>31 Agustus 2026</t>
        </is>
      </c>
      <c r="M73" t="inlineStr">
        <is>
          <t>Konstruksi Jaringan Irigasi dan Drainase</t>
        </is>
      </c>
      <c r="N73" t="inlineStr">
        <is>
          <t>K</t>
        </is>
      </c>
      <c r="O73" t="inlineStr">
        <is>
          <t>20230831</t>
        </is>
      </c>
      <c r="P73" t="inlineStr">
        <is>
          <t>Banten</t>
        </is>
      </c>
      <c r="Q73" t="inlineStr"/>
    </row>
    <row r="74">
      <c r="A74" t="inlineStr">
        <is>
          <t>HORISON KARYA</t>
        </is>
      </c>
      <c r="B74" t="inlineStr">
        <is>
          <t>Kab. Banyuwangi</t>
        </is>
      </c>
      <c r="C74" t="inlineStr">
        <is>
          <t>081359566182</t>
        </is>
      </c>
      <c r="D74" t="inlineStr">
        <is>
          <t>horisonkarya@gmail.com</t>
        </is>
      </c>
      <c r="E74" t="inlineStr">
        <is>
          <t>https://lpjk.pu.go.id/search-badan-usaha-detail/VVQ3ME1BeDQ1TlVQdDlzb3Q0QUJhUT09</t>
        </is>
      </c>
      <c r="F74" t="n">
        <v>1</v>
      </c>
      <c r="G74" t="inlineStr">
        <is>
          <t>BG005</t>
        </is>
      </c>
      <c r="H74" t="inlineStr">
        <is>
          <t>9 April 2008</t>
        </is>
      </c>
      <c r="I74" s="2" t="n">
        <v>46265</v>
      </c>
      <c r="J74" t="inlineStr">
        <is>
          <t>Disetujui</t>
        </is>
      </c>
      <c r="K74" t="n">
        <v>60</v>
      </c>
      <c r="L74" t="inlineStr">
        <is>
          <t>31 Agustus 2026</t>
        </is>
      </c>
      <c r="M74" t="inlineStr">
        <is>
          <t>Konstruksi Gedung Kesehatan</t>
        </is>
      </c>
      <c r="N74" t="inlineStr">
        <is>
          <t>K</t>
        </is>
      </c>
      <c r="O74" t="inlineStr">
        <is>
          <t>20230822</t>
        </is>
      </c>
      <c r="P74" t="inlineStr">
        <is>
          <t>Jawa Timur</t>
        </is>
      </c>
      <c r="Q74" t="inlineStr"/>
    </row>
    <row r="75">
      <c r="A75" t="inlineStr">
        <is>
          <t>INDAH INSANI</t>
        </is>
      </c>
      <c r="B75" t="inlineStr">
        <is>
          <t>Kab. Padang Lawas</t>
        </is>
      </c>
      <c r="C75" t="inlineStr">
        <is>
          <t>082369093344</t>
        </is>
      </c>
      <c r="D75" t="inlineStr">
        <is>
          <t>cvindahinsani23@gmail.com</t>
        </is>
      </c>
      <c r="E75" t="inlineStr">
        <is>
          <t>https://lpjk.pu.go.id/search-badan-usaha-detail/SWwydW1JVTNCZTYvbWxXYXFoL3J0UT09</t>
        </is>
      </c>
      <c r="F75" t="n">
        <v>1</v>
      </c>
      <c r="G75" t="inlineStr">
        <is>
          <t>BG005</t>
        </is>
      </c>
      <c r="H75" t="inlineStr">
        <is>
          <t>14 Februari 2019</t>
        </is>
      </c>
      <c r="I75" s="2" t="n">
        <v>46265</v>
      </c>
      <c r="J75" t="inlineStr">
        <is>
          <t>Disetujui</t>
        </is>
      </c>
      <c r="K75" t="n">
        <v>60</v>
      </c>
      <c r="L75" t="inlineStr">
        <is>
          <t>31 Agustus 2026</t>
        </is>
      </c>
      <c r="M75" t="inlineStr">
        <is>
          <t>Konstruksi Gedung Kesehatan</t>
        </is>
      </c>
      <c r="N75" t="inlineStr">
        <is>
          <t>K</t>
        </is>
      </c>
      <c r="O75" t="inlineStr">
        <is>
          <t>20230828</t>
        </is>
      </c>
      <c r="P75" t="inlineStr">
        <is>
          <t>Sumatera Utara</t>
        </is>
      </c>
      <c r="Q75" t="inlineStr"/>
    </row>
    <row r="76">
      <c r="A76" t="inlineStr">
        <is>
          <t>INDO MEIDA</t>
        </is>
      </c>
      <c r="B76" t="inlineStr">
        <is>
          <t>Kab. Sukabumi</t>
        </is>
      </c>
      <c r="C76" t="inlineStr">
        <is>
          <t>081280445567</t>
        </is>
      </c>
      <c r="D76" t="inlineStr">
        <is>
          <t>cvindomeida@gmail.com</t>
        </is>
      </c>
      <c r="E76" t="inlineStr">
        <is>
          <t>https://lpjk.pu.go.id/search-badan-usaha-detail/TEgrZFdOdlZwdlFhbXAwanJ2ZWtqdz09</t>
        </is>
      </c>
      <c r="F76" t="n">
        <v>2</v>
      </c>
      <c r="G76" t="inlineStr">
        <is>
          <t>BG009, BS004</t>
        </is>
      </c>
      <c r="H76" t="inlineStr">
        <is>
          <t>16 April 2014</t>
        </is>
      </c>
      <c r="I76" s="2" t="n">
        <v>46265</v>
      </c>
      <c r="J76" t="inlineStr">
        <is>
          <t>Disetujui</t>
        </is>
      </c>
      <c r="K76" t="n">
        <v>60</v>
      </c>
      <c r="L76" t="inlineStr">
        <is>
          <t>31 Agustus 2026</t>
        </is>
      </c>
      <c r="M76" t="inlineStr">
        <is>
          <t>Konstruksi Gedung Lainnya, Konstruksi Jaringan Irigasi dan Drainase</t>
        </is>
      </c>
      <c r="N76" t="inlineStr">
        <is>
          <t>K</t>
        </is>
      </c>
      <c r="O76" t="inlineStr">
        <is>
          <t>20230901</t>
        </is>
      </c>
      <c r="P76" t="inlineStr">
        <is>
          <t>Jawa Barat</t>
        </is>
      </c>
      <c r="Q76" t="inlineStr"/>
    </row>
    <row r="77">
      <c r="A77" t="inlineStr">
        <is>
          <t>INDRA NUGRAHA</t>
        </is>
      </c>
      <c r="B77" t="inlineStr">
        <is>
          <t>Kab. Bandung Barat</t>
        </is>
      </c>
      <c r="C77" t="inlineStr">
        <is>
          <t>087722736443</t>
        </is>
      </c>
      <c r="D77" t="inlineStr">
        <is>
          <t>cv.indranugraha24@gmail.com</t>
        </is>
      </c>
      <c r="E77" t="inlineStr">
        <is>
          <t>https://lpjk.pu.go.id/search-badan-usaha-detail/ZnEwY1FnU203MHQ0VVRVY0xTM0VZQT09</t>
        </is>
      </c>
      <c r="F77" t="n">
        <v>1</v>
      </c>
      <c r="G77" t="inlineStr">
        <is>
          <t>BG001</t>
        </is>
      </c>
      <c r="H77" t="inlineStr">
        <is>
          <t>25 September 1992</t>
        </is>
      </c>
      <c r="I77" s="2" t="n">
        <v>46265</v>
      </c>
      <c r="J77" t="inlineStr">
        <is>
          <t>Pencabutan</t>
        </is>
      </c>
      <c r="K77" t="n">
        <v>60</v>
      </c>
      <c r="L77" t="inlineStr">
        <is>
          <t>31 Agustus 2026</t>
        </is>
      </c>
      <c r="M77" t="inlineStr">
        <is>
          <t>Konstruksi Gedung Hunian</t>
        </is>
      </c>
      <c r="N77" t="inlineStr">
        <is>
          <t>K</t>
        </is>
      </c>
      <c r="O77" t="inlineStr">
        <is>
          <t>20230831</t>
        </is>
      </c>
      <c r="P77" t="inlineStr">
        <is>
          <t>Jawa Barat</t>
        </is>
      </c>
      <c r="Q77" t="inlineStr"/>
    </row>
    <row r="78">
      <c r="A78" t="inlineStr">
        <is>
          <t>INDRA NUGRAHA</t>
        </is>
      </c>
      <c r="B78" t="inlineStr">
        <is>
          <t>Kab. Bandung Barat</t>
        </is>
      </c>
      <c r="C78" t="inlineStr">
        <is>
          <t>08122147347</t>
        </is>
      </c>
      <c r="D78" t="inlineStr">
        <is>
          <t>cv.indranugraha24@gmail.com</t>
        </is>
      </c>
      <c r="E78" t="inlineStr">
        <is>
          <t>https://lpjk.pu.go.id/search-badan-usaha-detail/Z0J5NUdmRVBGTnlKQjlNdHl0dExoY3l6TmhhZEZCZmFLeDNIeVg2R0NKVT0</t>
        </is>
      </c>
      <c r="F78" t="n">
        <v>1</v>
      </c>
      <c r="G78" t="inlineStr">
        <is>
          <t>BG006</t>
        </is>
      </c>
      <c r="H78" t="inlineStr">
        <is>
          <t>29 September 2020</t>
        </is>
      </c>
      <c r="I78" s="2" t="n">
        <v>46265</v>
      </c>
      <c r="J78" t="inlineStr">
        <is>
          <t>Disetujui</t>
        </is>
      </c>
      <c r="K78" t="n">
        <v>60</v>
      </c>
      <c r="L78" t="inlineStr">
        <is>
          <t>31 Agustus 2026</t>
        </is>
      </c>
      <c r="M78" t="inlineStr">
        <is>
          <t>Konstruksi Gedung Pendidikan</t>
        </is>
      </c>
      <c r="N78" t="inlineStr">
        <is>
          <t>K</t>
        </is>
      </c>
      <c r="O78" t="inlineStr">
        <is>
          <t>20230831</t>
        </is>
      </c>
      <c r="P78" t="inlineStr">
        <is>
          <t>Jawa Barat</t>
        </is>
      </c>
      <c r="Q78" t="inlineStr"/>
    </row>
    <row r="79">
      <c r="A79" t="inlineStr">
        <is>
          <t>JAYA ABADI MAGETAN</t>
        </is>
      </c>
      <c r="B79" t="inlineStr">
        <is>
          <t>Kab. Magetan</t>
        </is>
      </c>
      <c r="C79" t="inlineStr">
        <is>
          <t>082122958417</t>
        </is>
      </c>
      <c r="D79" t="inlineStr">
        <is>
          <t>pt.jayaabadimagetan@gmail.com</t>
        </is>
      </c>
      <c r="E79" t="inlineStr">
        <is>
          <t>https://lpjk.pu.go.id/search-badan-usaha-detail/NEVjY3ZzMTN3T3g5L1cwRXZ5SnNVQT09</t>
        </is>
      </c>
      <c r="F79" t="n">
        <v>1</v>
      </c>
      <c r="G79" t="inlineStr">
        <is>
          <t>RK001</t>
        </is>
      </c>
      <c r="H79" t="inlineStr">
        <is>
          <t>22 Juni 2012</t>
        </is>
      </c>
      <c r="I79" s="2" t="n">
        <v>46265</v>
      </c>
      <c r="J79" t="inlineStr">
        <is>
          <t>Disetujui</t>
        </is>
      </c>
      <c r="K79" t="n">
        <v>60</v>
      </c>
      <c r="L79" t="inlineStr">
        <is>
          <t>31 Agustus 2026</t>
        </is>
      </c>
      <c r="M79" t="inlineStr">
        <is>
          <t>Jasa Rekayasa Konstruksi Bangunan Gedung Hunian dan Non Hunian</t>
        </is>
      </c>
      <c r="N79" t="inlineStr">
        <is>
          <t>K</t>
        </is>
      </c>
      <c r="O79" t="inlineStr">
        <is>
          <t>20230814</t>
        </is>
      </c>
      <c r="P79" t="inlineStr">
        <is>
          <t>Jawa Timur</t>
        </is>
      </c>
      <c r="Q79" t="inlineStr"/>
    </row>
    <row r="80">
      <c r="A80" t="inlineStr">
        <is>
          <t>JAYA MAKMUR BERSAMA</t>
        </is>
      </c>
      <c r="B80" t="inlineStr">
        <is>
          <t>Kota Palangkaraya</t>
        </is>
      </c>
      <c r="C80" t="inlineStr">
        <is>
          <t>082155610816</t>
        </is>
      </c>
      <c r="D80" t="inlineStr">
        <is>
          <t>cvjayamakmurbersama@gmail.com</t>
        </is>
      </c>
      <c r="E80" t="inlineStr">
        <is>
          <t>https://lpjk.pu.go.id/search-badan-usaha-detail/VnI0TDJTcXc0MlFVdEt1SzZ2NXRiQT09</t>
        </is>
      </c>
      <c r="F80" t="n">
        <v>1</v>
      </c>
      <c r="G80" t="inlineStr">
        <is>
          <t>PL003</t>
        </is>
      </c>
      <c r="H80" t="inlineStr">
        <is>
          <t>17 Januari 2017</t>
        </is>
      </c>
      <c r="I80" s="2" t="n">
        <v>46265</v>
      </c>
      <c r="J80" t="inlineStr">
        <is>
          <t>Pembekuan</t>
        </is>
      </c>
      <c r="K80" t="n">
        <v>60</v>
      </c>
      <c r="L80" t="inlineStr">
        <is>
          <t>31 Agustus 2026</t>
        </is>
      </c>
      <c r="M80" t="inlineStr">
        <is>
          <t>Penyiapan Lahan Konstruksi</t>
        </is>
      </c>
      <c r="N80" t="inlineStr">
        <is>
          <t>Spesialis</t>
        </is>
      </c>
      <c r="O80" t="inlineStr">
        <is>
          <t>20230831</t>
        </is>
      </c>
      <c r="P80" t="inlineStr">
        <is>
          <t>Kalimantan Tengah</t>
        </is>
      </c>
      <c r="Q80" t="inlineStr"/>
    </row>
    <row r="81">
      <c r="A81" t="inlineStr">
        <is>
          <t>JAYA SAKTI</t>
        </is>
      </c>
      <c r="B81" t="inlineStr">
        <is>
          <t>Kab. Nganjuk</t>
        </is>
      </c>
      <c r="C81" t="inlineStr">
        <is>
          <t>081230401680</t>
        </is>
      </c>
      <c r="D81" t="inlineStr">
        <is>
          <t>jayasakticv5@gmail.com</t>
        </is>
      </c>
      <c r="E81" t="inlineStr">
        <is>
          <t>https://lpjk.pu.go.id/search-badan-usaha-detail/SGtsRC94WWNVckpWK0lydmw2aE1MQT09</t>
        </is>
      </c>
      <c r="F81" t="n">
        <v>1</v>
      </c>
      <c r="G81" t="inlineStr">
        <is>
          <t>BS001</t>
        </is>
      </c>
      <c r="H81" t="inlineStr">
        <is>
          <t>9 Juli 2020</t>
        </is>
      </c>
      <c r="I81" s="2" t="n">
        <v>46265</v>
      </c>
      <c r="J81" t="inlineStr">
        <is>
          <t>Disetujui</t>
        </is>
      </c>
      <c r="K81" t="n">
        <v>60</v>
      </c>
      <c r="L81" t="inlineStr">
        <is>
          <t>31 Agustus 2026</t>
        </is>
      </c>
      <c r="M81" t="inlineStr">
        <is>
          <t>Konstruksi Bangunan Sipil Jalan</t>
        </is>
      </c>
      <c r="N81" t="inlineStr">
        <is>
          <t>K</t>
        </is>
      </c>
      <c r="O81" t="inlineStr">
        <is>
          <t>20230829</t>
        </is>
      </c>
      <c r="P81" t="inlineStr">
        <is>
          <t>Jawa Timur</t>
        </is>
      </c>
      <c r="Q81" t="inlineStr"/>
    </row>
    <row r="82">
      <c r="A82" t="inlineStr">
        <is>
          <t>KALIJAGA</t>
        </is>
      </c>
      <c r="B82" t="inlineStr">
        <is>
          <t>Kab. Jombang</t>
        </is>
      </c>
      <c r="C82" t="inlineStr">
        <is>
          <t>0813 5789 4477</t>
        </is>
      </c>
      <c r="D82" t="inlineStr">
        <is>
          <t>cvkalijaga.ina@gmail.com</t>
        </is>
      </c>
      <c r="E82" t="inlineStr">
        <is>
          <t>https://lpjk.pu.go.id/search-badan-usaha-detail/djVSNTQ3OG9TZFBSdTJocnRES29nUT09</t>
        </is>
      </c>
      <c r="F82" t="n">
        <v>1</v>
      </c>
      <c r="G82" t="inlineStr">
        <is>
          <t>BG009</t>
        </is>
      </c>
      <c r="H82" t="inlineStr">
        <is>
          <t>28 Maret 2018</t>
        </is>
      </c>
      <c r="I82" s="2" t="n">
        <v>46265</v>
      </c>
      <c r="J82" t="inlineStr">
        <is>
          <t>Disetujui</t>
        </is>
      </c>
      <c r="K82" t="n">
        <v>60</v>
      </c>
      <c r="L82" t="inlineStr">
        <is>
          <t>31 Agustus 2026</t>
        </is>
      </c>
      <c r="M82" t="inlineStr">
        <is>
          <t>Konstruksi Gedung Lainnya</t>
        </is>
      </c>
      <c r="N82" t="inlineStr">
        <is>
          <t>K</t>
        </is>
      </c>
      <c r="O82" t="inlineStr">
        <is>
          <t>20230831</t>
        </is>
      </c>
      <c r="P82" t="inlineStr">
        <is>
          <t>Jawa Timur</t>
        </is>
      </c>
      <c r="Q82" t="inlineStr"/>
    </row>
    <row r="83">
      <c r="A83" t="inlineStr">
        <is>
          <t>KANZA SEJAHTERA</t>
        </is>
      </c>
      <c r="B83" t="inlineStr">
        <is>
          <t>Kota Makassar</t>
        </is>
      </c>
      <c r="C83" t="inlineStr">
        <is>
          <t>0411858038</t>
        </is>
      </c>
      <c r="D83" t="inlineStr">
        <is>
          <t>kanzasejahtera@yahoo.co.id</t>
        </is>
      </c>
      <c r="E83" t="inlineStr">
        <is>
          <t>https://lpjk.pu.go.id/search-badan-usaha-detail/MFRWWXhaK3YxUlVZR0ZCUHF3UG1wUT09</t>
        </is>
      </c>
      <c r="F83" t="n">
        <v>1</v>
      </c>
      <c r="G83" t="inlineStr">
        <is>
          <t>BG004</t>
        </is>
      </c>
      <c r="H83" t="inlineStr">
        <is>
          <t>19 Agustus 2011</t>
        </is>
      </c>
      <c r="I83" s="2" t="n">
        <v>46265</v>
      </c>
      <c r="J83" t="inlineStr">
        <is>
          <t>Pembekuan</t>
        </is>
      </c>
      <c r="K83" t="n">
        <v>60</v>
      </c>
      <c r="L83" t="inlineStr">
        <is>
          <t>31 Agustus 2026</t>
        </is>
      </c>
      <c r="M83" t="inlineStr">
        <is>
          <t>Konstruksi Gedung Perbelanjaan</t>
        </is>
      </c>
      <c r="N83" t="inlineStr">
        <is>
          <t>M</t>
        </is>
      </c>
      <c r="O83" t="inlineStr">
        <is>
          <t>20230830</t>
        </is>
      </c>
      <c r="P83" t="inlineStr">
        <is>
          <t>Sulawesi Selatan</t>
        </is>
      </c>
      <c r="Q83" t="inlineStr"/>
    </row>
    <row r="84">
      <c r="A84" t="inlineStr">
        <is>
          <t>KARDI PRATAMA</t>
        </is>
      </c>
      <c r="B84" t="inlineStr">
        <is>
          <t>Kota Denpasar</t>
        </is>
      </c>
      <c r="C84" t="inlineStr">
        <is>
          <t>08155735350</t>
        </is>
      </c>
      <c r="D84" t="inlineStr">
        <is>
          <t>kardipratama14@gmail.com</t>
        </is>
      </c>
      <c r="E84" t="inlineStr">
        <is>
          <t>https://lpjk.pu.go.id/search-badan-usaha-detail/aGJpWHhvRSt0WEhaZXgwZXllV243QT09</t>
        </is>
      </c>
      <c r="F84" t="n">
        <v>1</v>
      </c>
      <c r="G84" t="inlineStr">
        <is>
          <t>BG006</t>
        </is>
      </c>
      <c r="H84" t="inlineStr">
        <is>
          <t>17 Oktober 1994</t>
        </is>
      </c>
      <c r="I84" s="2" t="n">
        <v>46265</v>
      </c>
      <c r="J84" t="inlineStr">
        <is>
          <t>Disetujui</t>
        </is>
      </c>
      <c r="K84" t="n">
        <v>60</v>
      </c>
      <c r="L84" t="inlineStr">
        <is>
          <t>31 Agustus 2026</t>
        </is>
      </c>
      <c r="M84" t="inlineStr">
        <is>
          <t>Konstruksi Gedung Pendidikan</t>
        </is>
      </c>
      <c r="N84" t="inlineStr">
        <is>
          <t>K</t>
        </is>
      </c>
      <c r="O84" t="inlineStr">
        <is>
          <t>20230823</t>
        </is>
      </c>
      <c r="P84" t="inlineStr">
        <is>
          <t>Bali</t>
        </is>
      </c>
      <c r="Q84" t="inlineStr"/>
    </row>
    <row r="85">
      <c r="A85" t="inlineStr">
        <is>
          <t>KARSA SEJATI</t>
        </is>
      </c>
      <c r="B85" t="inlineStr">
        <is>
          <t>Kab. Lombok Tengah</t>
        </is>
      </c>
      <c r="C85" t="inlineStr">
        <is>
          <t>081775101466</t>
        </is>
      </c>
      <c r="D85" t="inlineStr">
        <is>
          <t>cvkarsasejati@gmail.com</t>
        </is>
      </c>
      <c r="E85" t="inlineStr">
        <is>
          <t>https://lpjk.pu.go.id/search-badan-usaha-detail/TzZlRG5NWEhVL0U4WGEzNHJISzJuUT09</t>
        </is>
      </c>
      <c r="F85" t="n">
        <v>4</v>
      </c>
      <c r="G85" t="inlineStr">
        <is>
          <t>BG005</t>
        </is>
      </c>
      <c r="H85" t="inlineStr">
        <is>
          <t>29 November 2011</t>
        </is>
      </c>
      <c r="I85" s="2" t="n">
        <v>46265</v>
      </c>
      <c r="J85" t="inlineStr">
        <is>
          <t>Disetujui</t>
        </is>
      </c>
      <c r="K85" t="n">
        <v>60</v>
      </c>
      <c r="L85" t="inlineStr">
        <is>
          <t>31 Agustus 2026</t>
        </is>
      </c>
      <c r="M85" t="inlineStr">
        <is>
          <t>Konstruksi Gedung Kesehatan</t>
        </is>
      </c>
      <c r="N85" t="inlineStr">
        <is>
          <t>K</t>
        </is>
      </c>
      <c r="O85" t="inlineStr">
        <is>
          <t>20230828</t>
        </is>
      </c>
      <c r="P85" t="inlineStr">
        <is>
          <t>Nusa Tenggara Barat</t>
        </is>
      </c>
      <c r="Q85" t="inlineStr"/>
    </row>
    <row r="86">
      <c r="A86" t="inlineStr">
        <is>
          <t>KARTIKA INDAH JAYA</t>
        </is>
      </c>
      <c r="B86" t="inlineStr">
        <is>
          <t>Kota Tanjung Pinang</t>
        </is>
      </c>
      <c r="C86" t="inlineStr">
        <is>
          <t>082287055997</t>
        </is>
      </c>
      <c r="D86" t="inlineStr">
        <is>
          <t>kartikaindah.pajak@gmail.com</t>
        </is>
      </c>
      <c r="E86" t="inlineStr">
        <is>
          <t>https://lpjk.pu.go.id/search-badan-usaha-detail/MGxRUzkxL0hodCtuRWhyRGlBODBiZz09</t>
        </is>
      </c>
      <c r="F86" t="n">
        <v>1</v>
      </c>
      <c r="G86" t="inlineStr">
        <is>
          <t>BG004</t>
        </is>
      </c>
      <c r="H86" t="inlineStr">
        <is>
          <t>13 Februari 2012</t>
        </is>
      </c>
      <c r="I86" s="2" t="n">
        <v>46265</v>
      </c>
      <c r="J86" t="inlineStr">
        <is>
          <t>Disetujui</t>
        </is>
      </c>
      <c r="K86" t="n">
        <v>60</v>
      </c>
      <c r="L86" t="inlineStr">
        <is>
          <t>31 Agustus 2026</t>
        </is>
      </c>
      <c r="M86" t="inlineStr">
        <is>
          <t>Konstruksi Gedung Perbelanjaan</t>
        </is>
      </c>
      <c r="N86" t="inlineStr">
        <is>
          <t>K</t>
        </is>
      </c>
      <c r="O86" t="inlineStr">
        <is>
          <t>20230713</t>
        </is>
      </c>
      <c r="P86" t="inlineStr">
        <is>
          <t>Kepulauan Riau</t>
        </is>
      </c>
      <c r="Q86" t="inlineStr"/>
    </row>
    <row r="87">
      <c r="A87" t="inlineStr">
        <is>
          <t>KARYA AGUNG BAROKAH</t>
        </is>
      </c>
      <c r="B87" t="inlineStr">
        <is>
          <t>Kab. Kulon Progo</t>
        </is>
      </c>
      <c r="C87" t="inlineStr">
        <is>
          <t>081809704904</t>
        </is>
      </c>
      <c r="D87" t="inlineStr">
        <is>
          <t>cvkaryaagungbarokah@gmail.com</t>
        </is>
      </c>
      <c r="E87" t="inlineStr">
        <is>
          <t>https://lpjk.pu.go.id/search-badan-usaha-detail/cmV6WWFyMmhlbTdwcXoxSkR0bkJCUT09</t>
        </is>
      </c>
      <c r="F87" t="n">
        <v>4</v>
      </c>
      <c r="G87" t="inlineStr">
        <is>
          <t>BG004, BG006</t>
        </is>
      </c>
      <c r="H87" t="inlineStr">
        <is>
          <t>24 Juli 2023</t>
        </is>
      </c>
      <c r="I87" s="2" t="n">
        <v>46265</v>
      </c>
      <c r="J87" t="inlineStr">
        <is>
          <t>Disetujui</t>
        </is>
      </c>
      <c r="K87" t="n">
        <v>60</v>
      </c>
      <c r="L87" t="inlineStr">
        <is>
          <t>31 Agustus 2026</t>
        </is>
      </c>
      <c r="M87" t="inlineStr">
        <is>
          <t>Konstruksi Gedung Pendidikan, Konstruksi Gedung Perbelanjaan</t>
        </is>
      </c>
      <c r="N87" t="inlineStr">
        <is>
          <t>K</t>
        </is>
      </c>
      <c r="O87" t="inlineStr">
        <is>
          <t>20230830</t>
        </is>
      </c>
      <c r="P87" t="inlineStr">
        <is>
          <t>DI Yogyakarta</t>
        </is>
      </c>
      <c r="Q87" t="inlineStr"/>
    </row>
    <row r="88">
      <c r="A88" t="inlineStr">
        <is>
          <t>KARYA MANAKARRA</t>
        </is>
      </c>
      <c r="B88" t="inlineStr">
        <is>
          <t>Kab. Mamuju</t>
        </is>
      </c>
      <c r="C88" t="inlineStr">
        <is>
          <t>081253283106</t>
        </is>
      </c>
      <c r="D88" t="inlineStr">
        <is>
          <t>mamujudarmawan@gmail.com</t>
        </is>
      </c>
      <c r="E88" t="inlineStr">
        <is>
          <t>https://lpjk.pu.go.id/search-badan-usaha-detail/a1VZWkJhSUZlK25RMU1RS0t4ZFJIdz09</t>
        </is>
      </c>
      <c r="F88" t="n">
        <v>1</v>
      </c>
      <c r="G88" t="inlineStr">
        <is>
          <t>RK003</t>
        </is>
      </c>
      <c r="H88" t="inlineStr">
        <is>
          <t>7 Juli 1999</t>
        </is>
      </c>
      <c r="I88" s="2" t="n">
        <v>46265</v>
      </c>
      <c r="J88" t="inlineStr">
        <is>
          <t>Disetujui</t>
        </is>
      </c>
      <c r="K88" t="n">
        <v>60</v>
      </c>
      <c r="L88" t="inlineStr">
        <is>
          <t>31 Agustus 2026</t>
        </is>
      </c>
      <c r="M88" t="inlineStr">
        <is>
          <t>Jasa Rekayasa Pekerjaan Teknik Sipil Transportasi</t>
        </is>
      </c>
      <c r="N88" t="inlineStr">
        <is>
          <t>K</t>
        </is>
      </c>
      <c r="O88" t="inlineStr">
        <is>
          <t>20230612</t>
        </is>
      </c>
      <c r="P88" t="inlineStr">
        <is>
          <t>Sulawesi Barat</t>
        </is>
      </c>
      <c r="Q88" t="inlineStr"/>
    </row>
    <row r="89">
      <c r="A89" t="inlineStr">
        <is>
          <t>KARYA NADIKA</t>
        </is>
      </c>
      <c r="B89" t="inlineStr">
        <is>
          <t>Kab. Kendal</t>
        </is>
      </c>
      <c r="C89" t="inlineStr">
        <is>
          <t>081228859899</t>
        </is>
      </c>
      <c r="D89" t="inlineStr">
        <is>
          <t>karyanadika@gmail.com</t>
        </is>
      </c>
      <c r="E89" t="inlineStr">
        <is>
          <t>https://lpjk.pu.go.id/search-badan-usaha-detail/MVhXcnRnOUNsMU4zNTllUXVESUdJdz09</t>
        </is>
      </c>
      <c r="F89" t="n">
        <v>1</v>
      </c>
      <c r="G89" t="inlineStr">
        <is>
          <t>PL004</t>
        </is>
      </c>
      <c r="H89" t="inlineStr">
        <is>
          <t>25 Maret 2002</t>
        </is>
      </c>
      <c r="I89" s="2" t="n">
        <v>46265</v>
      </c>
      <c r="J89" t="inlineStr">
        <is>
          <t>Pencabutan</t>
        </is>
      </c>
      <c r="K89" t="n">
        <v>60</v>
      </c>
      <c r="L89" t="inlineStr">
        <is>
          <t>31 Agustus 2026</t>
        </is>
      </c>
      <c r="M89" t="inlineStr">
        <is>
          <t>Pekerjaan Tanah</t>
        </is>
      </c>
      <c r="N89" t="inlineStr">
        <is>
          <t>Spesialis</t>
        </is>
      </c>
      <c r="O89" t="inlineStr">
        <is>
          <t>20230801</t>
        </is>
      </c>
      <c r="P89" t="inlineStr">
        <is>
          <t>Jawa Tengah</t>
        </is>
      </c>
      <c r="Q89" t="inlineStr"/>
    </row>
    <row r="90">
      <c r="A90" t="inlineStr">
        <is>
          <t>KARYA PATRA WIRALODRA</t>
        </is>
      </c>
      <c r="B90" t="inlineStr">
        <is>
          <t>Kab. Indramayu</t>
        </is>
      </c>
      <c r="C90" t="inlineStr">
        <is>
          <t>085322207679</t>
        </is>
      </c>
      <c r="D90" t="inlineStr">
        <is>
          <t>pt.karyapatrawiralodra@gmail.com</t>
        </is>
      </c>
      <c r="E90" t="inlineStr">
        <is>
          <t>https://lpjk.pu.go.id/search-badan-usaha-detail/Rmpzci8xUXFnT3Z4aUE1Q1hmRlh3QT09</t>
        </is>
      </c>
      <c r="F90" t="n">
        <v>1</v>
      </c>
      <c r="G90" t="inlineStr">
        <is>
          <t>AR002</t>
        </is>
      </c>
      <c r="H90" t="inlineStr">
        <is>
          <t>5 Juni 2013</t>
        </is>
      </c>
      <c r="I90" s="2" t="n">
        <v>46265</v>
      </c>
      <c r="J90" t="inlineStr">
        <is>
          <t>Disetujui</t>
        </is>
      </c>
      <c r="K90" t="n">
        <v>60</v>
      </c>
      <c r="L90" t="inlineStr">
        <is>
          <t>31 Agustus 2026</t>
        </is>
      </c>
      <c r="M90" t="inlineStr">
        <is>
          <t>Jasa Arsitektural Lainnya</t>
        </is>
      </c>
      <c r="N90" t="inlineStr">
        <is>
          <t>K</t>
        </is>
      </c>
      <c r="O90" t="inlineStr">
        <is>
          <t>20230828</t>
        </is>
      </c>
      <c r="P90" t="inlineStr">
        <is>
          <t>Jawa Barat</t>
        </is>
      </c>
      <c r="Q90" t="inlineStr"/>
    </row>
    <row r="91">
      <c r="A91" t="inlineStr">
        <is>
          <t>KARYA RAHMAH PERKASA CONSULTANT</t>
        </is>
      </c>
      <c r="B91" t="inlineStr">
        <is>
          <t>Kab. Gayo Lues</t>
        </is>
      </c>
      <c r="C91" t="inlineStr">
        <is>
          <t>085260573351</t>
        </is>
      </c>
      <c r="D91" t="inlineStr">
        <is>
          <t>krpgayo14@gmail.com</t>
        </is>
      </c>
      <c r="E91" t="inlineStr">
        <is>
          <t>https://lpjk.pu.go.id/search-badan-usaha-detail/MStmVHZTdWl3WXRQR3NudDc0L0lMQT09</t>
        </is>
      </c>
      <c r="F91" t="n">
        <v>2</v>
      </c>
      <c r="G91" t="inlineStr">
        <is>
          <t>RK001, RK002</t>
        </is>
      </c>
      <c r="H91" t="inlineStr">
        <is>
          <t>12 Desember 2018</t>
        </is>
      </c>
      <c r="I91" s="2" t="n">
        <v>46265</v>
      </c>
      <c r="J91" t="inlineStr">
        <is>
          <t>Pencabutan</t>
        </is>
      </c>
      <c r="K91" t="n">
        <v>60</v>
      </c>
      <c r="L91" t="inlineStr">
        <is>
          <t>31 Agustus 2026</t>
        </is>
      </c>
      <c r="M91" t="inlineStr">
        <is>
          <t>Jasa Rekayasa Konstruksi Bangunan Gedung Hunian dan Non Hunian, Jasa Rekayasa Pekerjaan Teknik Sipil Sumber Daya Air</t>
        </is>
      </c>
      <c r="N91" t="inlineStr">
        <is>
          <t>K</t>
        </is>
      </c>
      <c r="O91" t="inlineStr">
        <is>
          <t>20230828</t>
        </is>
      </c>
      <c r="P91" t="inlineStr">
        <is>
          <t>Aceh</t>
        </is>
      </c>
      <c r="Q91" t="inlineStr"/>
    </row>
    <row r="92">
      <c r="A92" t="inlineStr">
        <is>
          <t>KEMILAU ANDANI</t>
        </is>
      </c>
      <c r="B92" t="inlineStr">
        <is>
          <t>Kota Pekanbaru</t>
        </is>
      </c>
      <c r="C92" t="inlineStr">
        <is>
          <t>085376017073</t>
        </is>
      </c>
      <c r="D92" t="inlineStr">
        <is>
          <t>cvkemilauandani@gmail.com</t>
        </is>
      </c>
      <c r="E92" t="inlineStr">
        <is>
          <t>https://lpjk.pu.go.id/search-badan-usaha-detail/clhSeEk3TU1STk8wRmh4NjIzbU9mZz09</t>
        </is>
      </c>
      <c r="F92" t="n">
        <v>2</v>
      </c>
      <c r="G92" t="inlineStr">
        <is>
          <t>BG006, BG009</t>
        </is>
      </c>
      <c r="H92" t="inlineStr">
        <is>
          <t>6 Februari 2023</t>
        </is>
      </c>
      <c r="I92" s="2" t="n">
        <v>46265</v>
      </c>
      <c r="J92" t="inlineStr">
        <is>
          <t>Disetujui</t>
        </is>
      </c>
      <c r="K92" t="n">
        <v>60</v>
      </c>
      <c r="L92" t="inlineStr">
        <is>
          <t>31 Agustus 2026</t>
        </is>
      </c>
      <c r="M92" t="inlineStr">
        <is>
          <t>Konstruksi Gedung Lainnya, Konstruksi Gedung Pendidikan</t>
        </is>
      </c>
      <c r="N92" t="inlineStr">
        <is>
          <t>K</t>
        </is>
      </c>
      <c r="O92" t="inlineStr">
        <is>
          <t>20230829</t>
        </is>
      </c>
      <c r="P92" t="inlineStr">
        <is>
          <t>Riau</t>
        </is>
      </c>
      <c r="Q92" t="inlineStr"/>
    </row>
    <row r="93">
      <c r="A93" t="inlineStr">
        <is>
          <t>KURNIA AKBAR</t>
        </is>
      </c>
      <c r="B93" t="inlineStr">
        <is>
          <t>Kab. Bangka Barat</t>
        </is>
      </c>
      <c r="C93" t="inlineStr">
        <is>
          <t>081994128908</t>
        </is>
      </c>
      <c r="D93" t="inlineStr">
        <is>
          <t>kurniaakbar1717@gmail.com</t>
        </is>
      </c>
      <c r="E93" t="inlineStr">
        <is>
          <t>https://lpjk.pu.go.id/search-badan-usaha-detail/c1NJMlVGSEFvVk55bjVRSGFkL1prdz09</t>
        </is>
      </c>
      <c r="F93" t="n">
        <v>1</v>
      </c>
      <c r="G93" t="inlineStr">
        <is>
          <t>BG005</t>
        </is>
      </c>
      <c r="H93" t="inlineStr">
        <is>
          <t>22 Oktober 2002</t>
        </is>
      </c>
      <c r="I93" s="2" t="n">
        <v>46265</v>
      </c>
      <c r="J93" t="inlineStr">
        <is>
          <t>Disetujui</t>
        </is>
      </c>
      <c r="K93" t="n">
        <v>60</v>
      </c>
      <c r="L93" t="inlineStr">
        <is>
          <t>31 Agustus 2026</t>
        </is>
      </c>
      <c r="M93" t="inlineStr">
        <is>
          <t>Konstruksi Gedung Kesehatan</t>
        </is>
      </c>
      <c r="N93" t="inlineStr">
        <is>
          <t>K</t>
        </is>
      </c>
      <c r="O93" t="inlineStr">
        <is>
          <t>20230814</t>
        </is>
      </c>
      <c r="P93" t="inlineStr">
        <is>
          <t>Kepulauan Bangka Belitung</t>
        </is>
      </c>
      <c r="Q93" t="inlineStr"/>
    </row>
    <row r="94">
      <c r="A94" t="inlineStr">
        <is>
          <t>LAKSANA ABADI</t>
        </is>
      </c>
      <c r="B94" t="inlineStr">
        <is>
          <t>Kab. Sukabumi</t>
        </is>
      </c>
      <c r="C94" t="inlineStr">
        <is>
          <t>081519279156</t>
        </is>
      </c>
      <c r="D94" t="inlineStr">
        <is>
          <t>herisunjayalaksana81@gmail.com</t>
        </is>
      </c>
      <c r="E94" t="inlineStr">
        <is>
          <t>https://lpjk.pu.go.id/search-badan-usaha-detail/ZzJSblBxcFhGSk9JZFZEZWNsRmhUQT09</t>
        </is>
      </c>
      <c r="F94" t="n">
        <v>2</v>
      </c>
      <c r="G94" t="inlineStr">
        <is>
          <t>BS001, BS004</t>
        </is>
      </c>
      <c r="H94" t="inlineStr">
        <is>
          <t>9 Februari 2023</t>
        </is>
      </c>
      <c r="I94" s="2" t="n">
        <v>46265</v>
      </c>
      <c r="J94" t="inlineStr">
        <is>
          <t>Disetujui</t>
        </is>
      </c>
      <c r="K94" t="n">
        <v>60</v>
      </c>
      <c r="L94" t="inlineStr">
        <is>
          <t>31 Agustus 2026</t>
        </is>
      </c>
      <c r="M94" t="inlineStr">
        <is>
          <t>Konstruksi Bangunan Sipil Jalan, Konstruksi Jaringan Irigasi dan Drainase</t>
        </is>
      </c>
      <c r="N94" t="inlineStr">
        <is>
          <t>K</t>
        </is>
      </c>
      <c r="O94" t="inlineStr">
        <is>
          <t>20230828</t>
        </is>
      </c>
      <c r="P94" t="inlineStr">
        <is>
          <t>Jawa Barat</t>
        </is>
      </c>
      <c r="Q94" t="inlineStr"/>
    </row>
    <row r="95">
      <c r="A95" t="inlineStr">
        <is>
          <t>LIMA PERKASA</t>
        </is>
      </c>
      <c r="B95" t="inlineStr">
        <is>
          <t>Kota Gorontalo</t>
        </is>
      </c>
      <c r="C95" t="inlineStr">
        <is>
          <t>081356659869</t>
        </is>
      </c>
      <c r="D95" t="inlineStr">
        <is>
          <t>lima.perkasa.cv@gmail.com</t>
        </is>
      </c>
      <c r="E95" t="inlineStr">
        <is>
          <t>https://lpjk.pu.go.id/search-badan-usaha-detail/VngrMXNwODhlNzkzMTNFdnRVVDhUdz09</t>
        </is>
      </c>
      <c r="F95" t="n">
        <v>1</v>
      </c>
      <c r="G95" t="inlineStr">
        <is>
          <t>BG002</t>
        </is>
      </c>
      <c r="H95" t="inlineStr">
        <is>
          <t>10 Februari 2014</t>
        </is>
      </c>
      <c r="I95" s="2" t="n">
        <v>46265</v>
      </c>
      <c r="J95" t="inlineStr">
        <is>
          <t>Disetujui</t>
        </is>
      </c>
      <c r="K95" t="n">
        <v>60</v>
      </c>
      <c r="L95" t="inlineStr">
        <is>
          <t>31 Agustus 2026</t>
        </is>
      </c>
      <c r="M95" t="inlineStr">
        <is>
          <t>Konstruksi Gedung Perkantoran</t>
        </is>
      </c>
      <c r="N95" t="inlineStr">
        <is>
          <t>K</t>
        </is>
      </c>
      <c r="O95" t="inlineStr">
        <is>
          <t>20230405</t>
        </is>
      </c>
      <c r="P95" t="inlineStr">
        <is>
          <t>Gorontalo</t>
        </is>
      </c>
      <c r="Q95" t="inlineStr"/>
    </row>
    <row r="96">
      <c r="A96" t="inlineStr">
        <is>
          <t>LUMBUNG MAS RAYA</t>
        </is>
      </c>
      <c r="B96" t="inlineStr">
        <is>
          <t>Kab. Tanah Laut</t>
        </is>
      </c>
      <c r="C96" t="inlineStr">
        <is>
          <t>081258118620</t>
        </is>
      </c>
      <c r="D96" t="inlineStr">
        <is>
          <t>lumbungmas.raya2019@gmail.com</t>
        </is>
      </c>
      <c r="E96" t="inlineStr">
        <is>
          <t>https://lpjk.pu.go.id/search-badan-usaha-detail/bzcxaU9lQXBpMGV0QVd3enlQMzVzZz09</t>
        </is>
      </c>
      <c r="F96" t="n">
        <v>1</v>
      </c>
      <c r="G96" t="inlineStr">
        <is>
          <t>BS002</t>
        </is>
      </c>
      <c r="H96" t="inlineStr">
        <is>
          <t>12 Januari 2016</t>
        </is>
      </c>
      <c r="I96" s="2" t="n">
        <v>46265</v>
      </c>
      <c r="J96" t="inlineStr">
        <is>
          <t>Disetujui</t>
        </is>
      </c>
      <c r="K96" t="n">
        <v>60</v>
      </c>
      <c r="L96" t="inlineStr">
        <is>
          <t>31 Agustus 2026</t>
        </is>
      </c>
      <c r="M96" t="inlineStr">
        <is>
          <t>Bangunan Sipil Jembatan, Jalan Layang, Fly Over, dan Underpass</t>
        </is>
      </c>
      <c r="N96" t="inlineStr">
        <is>
          <t>K</t>
        </is>
      </c>
      <c r="O96" t="inlineStr">
        <is>
          <t>20230829</t>
        </is>
      </c>
      <c r="P96" t="inlineStr">
        <is>
          <t>Kalimantan Selatan</t>
        </is>
      </c>
      <c r="Q96" t="inlineStr"/>
    </row>
    <row r="97">
      <c r="A97" t="inlineStr">
        <is>
          <t>MAHARI GROUP</t>
        </is>
      </c>
      <c r="B97" t="inlineStr">
        <is>
          <t>Kota Padang Sidempuan</t>
        </is>
      </c>
      <c r="C97" t="inlineStr">
        <is>
          <t>082276990785</t>
        </is>
      </c>
      <c r="D97" t="inlineStr">
        <is>
          <t>cvmaharigroup@gmail.com</t>
        </is>
      </c>
      <c r="E97" t="inlineStr">
        <is>
          <t>https://lpjk.pu.go.id/search-badan-usaha-detail/NjlUaGdxREJua0cvdzNtUGRwYXh2QT09</t>
        </is>
      </c>
      <c r="F97" t="n">
        <v>4</v>
      </c>
      <c r="G97" t="inlineStr">
        <is>
          <t>BS001, BS010</t>
        </is>
      </c>
      <c r="H97" t="inlineStr">
        <is>
          <t>11 Agustus 2023</t>
        </is>
      </c>
      <c r="I97" s="2" t="n">
        <v>46265</v>
      </c>
      <c r="J97" t="inlineStr">
        <is>
          <t>Disetujui</t>
        </is>
      </c>
      <c r="K97" t="n">
        <v>60</v>
      </c>
      <c r="L97" t="inlineStr">
        <is>
          <t>31 Agustus 2026</t>
        </is>
      </c>
      <c r="M97" t="inlineStr">
        <is>
          <t>Konstruksi Bangunan Prasarana Sumber Daya Air, Konstruksi Bangunan Sipil Jalan</t>
        </is>
      </c>
      <c r="N97" t="inlineStr">
        <is>
          <t>K</t>
        </is>
      </c>
      <c r="O97" t="inlineStr">
        <is>
          <t>20230827, 20230831</t>
        </is>
      </c>
      <c r="P97" t="inlineStr">
        <is>
          <t>Sumatera Utara</t>
        </is>
      </c>
      <c r="Q97" t="inlineStr"/>
    </row>
    <row r="98">
      <c r="A98" t="inlineStr">
        <is>
          <t>MAJAORKA KONSULTAN</t>
        </is>
      </c>
      <c r="B98" t="inlineStr">
        <is>
          <t>Kota Metro</t>
        </is>
      </c>
      <c r="C98" t="inlineStr">
        <is>
          <t>085316550605</t>
        </is>
      </c>
      <c r="D98" t="inlineStr">
        <is>
          <t>majaorakakonsultan@gmail.com</t>
        </is>
      </c>
      <c r="E98" t="inlineStr">
        <is>
          <t>https://lpjk.pu.go.id/search-badan-usaha-detail/QitML0VaTDg3VWNYRER2b1I5ek5tdz09</t>
        </is>
      </c>
      <c r="F98" t="n">
        <v>1</v>
      </c>
      <c r="G98" t="inlineStr">
        <is>
          <t>RK002</t>
        </is>
      </c>
      <c r="H98" t="inlineStr">
        <is>
          <t>18 Juli 2022</t>
        </is>
      </c>
      <c r="I98" s="2" t="n">
        <v>46265</v>
      </c>
      <c r="J98" t="inlineStr">
        <is>
          <t>Disetujui</t>
        </is>
      </c>
      <c r="K98" t="n">
        <v>60</v>
      </c>
      <c r="L98" t="inlineStr">
        <is>
          <t>31 Agustus 2026</t>
        </is>
      </c>
      <c r="M98" t="inlineStr">
        <is>
          <t>Jasa Rekayasa Pekerjaan Teknik Sipil Sumber Daya Air</t>
        </is>
      </c>
      <c r="N98" t="inlineStr">
        <is>
          <t>K</t>
        </is>
      </c>
      <c r="O98" t="inlineStr">
        <is>
          <t>20230610</t>
        </is>
      </c>
      <c r="P98" t="inlineStr">
        <is>
          <t>Lampung</t>
        </is>
      </c>
      <c r="Q98" t="inlineStr"/>
    </row>
    <row r="99">
      <c r="A99" t="inlineStr">
        <is>
          <t>MANDIRI</t>
        </is>
      </c>
      <c r="B99" t="inlineStr">
        <is>
          <t>Kota Denpasar</t>
        </is>
      </c>
      <c r="C99" t="inlineStr">
        <is>
          <t>081916816449</t>
        </is>
      </c>
      <c r="D99" t="inlineStr">
        <is>
          <t>mandiriyes@gmail.com</t>
        </is>
      </c>
      <c r="E99" t="inlineStr">
        <is>
          <t>https://lpjk.pu.go.id/search-badan-usaha-detail/MHVQU2NGRWJEa2pkR3hSc1JMbklUdz09</t>
        </is>
      </c>
      <c r="F99" t="n">
        <v>1</v>
      </c>
      <c r="G99" t="inlineStr">
        <is>
          <t>BS001</t>
        </is>
      </c>
      <c r="H99" t="inlineStr">
        <is>
          <t>27 Juli 1985</t>
        </is>
      </c>
      <c r="I99" s="2" t="n">
        <v>46265</v>
      </c>
      <c r="J99" t="inlineStr">
        <is>
          <t>Disetujui</t>
        </is>
      </c>
      <c r="K99" t="n">
        <v>60</v>
      </c>
      <c r="L99" t="inlineStr">
        <is>
          <t>31 Agustus 2026</t>
        </is>
      </c>
      <c r="M99" t="inlineStr">
        <is>
          <t>Konstruksi Bangunan Sipil Jalan</t>
        </is>
      </c>
      <c r="N99" t="inlineStr">
        <is>
          <t>K</t>
        </is>
      </c>
      <c r="O99" t="inlineStr">
        <is>
          <t>20230228</t>
        </is>
      </c>
      <c r="P99" t="inlineStr">
        <is>
          <t>Bali</t>
        </is>
      </c>
      <c r="Q99" t="inlineStr"/>
    </row>
    <row r="100">
      <c r="A100" t="inlineStr">
        <is>
          <t>MARSA</t>
        </is>
      </c>
      <c r="B100" t="inlineStr">
        <is>
          <t>Kota Pontianak</t>
        </is>
      </c>
      <c r="C100" t="inlineStr">
        <is>
          <t>085821263245</t>
        </is>
      </c>
      <c r="D100" t="inlineStr">
        <is>
          <t>cvmarsa@gmail.com</t>
        </is>
      </c>
      <c r="E100" t="inlineStr">
        <is>
          <t>https://lpjk.pu.go.id/search-badan-usaha-detail/NjVkNXVnMEVueXdYM0kwU2xBalIzUT09</t>
        </is>
      </c>
      <c r="F100" t="n">
        <v>2</v>
      </c>
      <c r="G100" t="inlineStr">
        <is>
          <t>BG002</t>
        </is>
      </c>
      <c r="H100" t="inlineStr">
        <is>
          <t>12 September 1980</t>
        </is>
      </c>
      <c r="I100" s="2" t="n">
        <v>46265</v>
      </c>
      <c r="J100" t="inlineStr">
        <is>
          <t>Disetujui</t>
        </is>
      </c>
      <c r="K100" t="n">
        <v>60</v>
      </c>
      <c r="L100" t="inlineStr">
        <is>
          <t>31 Agustus 2026</t>
        </is>
      </c>
      <c r="M100" t="inlineStr">
        <is>
          <t>Konstruksi Gedung Perkantoran</t>
        </is>
      </c>
      <c r="N100" t="inlineStr">
        <is>
          <t>K</t>
        </is>
      </c>
      <c r="O100" t="inlineStr">
        <is>
          <t>20230725</t>
        </is>
      </c>
      <c r="P100" t="inlineStr">
        <is>
          <t>Kalimantan Barat</t>
        </is>
      </c>
      <c r="Q100" t="inlineStr"/>
    </row>
    <row r="101">
      <c r="A101" t="inlineStr">
        <is>
          <t>MARSOSE PAPUA SEJAHTERA</t>
        </is>
      </c>
      <c r="B101" t="inlineStr">
        <is>
          <t>Kota Sorong</t>
        </is>
      </c>
      <c r="C101" t="inlineStr">
        <is>
          <t>082155438503</t>
        </is>
      </c>
      <c r="D101" t="inlineStr">
        <is>
          <t>frangklinsangkek@yahoo.de</t>
        </is>
      </c>
      <c r="E101" t="inlineStr">
        <is>
          <t>https://lpjk.pu.go.id/search-badan-usaha-detail/MG9uajZ6aWc3dDVxOERLeC9nS2orUT09</t>
        </is>
      </c>
      <c r="F101" t="n">
        <v>1</v>
      </c>
      <c r="G101" t="inlineStr">
        <is>
          <t>BS001</t>
        </is>
      </c>
      <c r="H101" t="inlineStr">
        <is>
          <t>29 Mei 2023</t>
        </is>
      </c>
      <c r="I101" s="2" t="n">
        <v>46265</v>
      </c>
      <c r="J101" t="inlineStr">
        <is>
          <t>Disetujui</t>
        </is>
      </c>
      <c r="K101" t="n">
        <v>60</v>
      </c>
      <c r="L101" t="inlineStr">
        <is>
          <t>31 Agustus 2026</t>
        </is>
      </c>
      <c r="M101" t="inlineStr">
        <is>
          <t>Konstruksi Bangunan Sipil Jalan</t>
        </is>
      </c>
      <c r="N101" t="inlineStr">
        <is>
          <t>K</t>
        </is>
      </c>
      <c r="O101" t="inlineStr">
        <is>
          <t>20230830</t>
        </is>
      </c>
      <c r="P101" t="inlineStr">
        <is>
          <t>Papua Barat</t>
        </is>
      </c>
      <c r="Q101" t="inlineStr"/>
    </row>
    <row r="102">
      <c r="A102" t="inlineStr">
        <is>
          <t>MEGA ENGINEERING</t>
        </is>
      </c>
      <c r="B102" t="inlineStr">
        <is>
          <t>Kota Padang</t>
        </is>
      </c>
      <c r="C102" t="inlineStr">
        <is>
          <t>081374729842</t>
        </is>
      </c>
      <c r="D102" t="inlineStr">
        <is>
          <t>cv.megaengineering@hotmail.com</t>
        </is>
      </c>
      <c r="E102" t="inlineStr">
        <is>
          <t>https://lpjk.pu.go.id/search-badan-usaha-detail/U1ZEd3V5d2VUTmtwSFo5bDFkY2VCQT09</t>
        </is>
      </c>
      <c r="F102" t="n">
        <v>1</v>
      </c>
      <c r="G102" t="inlineStr">
        <is>
          <t>BS001</t>
        </is>
      </c>
      <c r="H102" t="inlineStr">
        <is>
          <t>24 Januari 2020</t>
        </is>
      </c>
      <c r="I102" s="2" t="n">
        <v>46265</v>
      </c>
      <c r="J102" t="inlineStr">
        <is>
          <t>Disetujui</t>
        </is>
      </c>
      <c r="K102" t="n">
        <v>60</v>
      </c>
      <c r="L102" t="inlineStr">
        <is>
          <t>31 Agustus 2026</t>
        </is>
      </c>
      <c r="M102" t="inlineStr">
        <is>
          <t>Konstruksi Bangunan Sipil Jalan</t>
        </is>
      </c>
      <c r="N102" t="inlineStr">
        <is>
          <t>K</t>
        </is>
      </c>
      <c r="O102" t="inlineStr">
        <is>
          <t>20230831</t>
        </is>
      </c>
      <c r="P102" t="inlineStr">
        <is>
          <t>Sumatera Barat</t>
        </is>
      </c>
      <c r="Q102" t="inlineStr"/>
    </row>
    <row r="103">
      <c r="A103" t="inlineStr">
        <is>
          <t>MIAN GEMILANG</t>
        </is>
      </c>
      <c r="B103" t="inlineStr">
        <is>
          <t>Kota Pematangsiantar</t>
        </is>
      </c>
      <c r="C103" t="inlineStr">
        <is>
          <t>-</t>
        </is>
      </c>
      <c r="D103" t="inlineStr">
        <is>
          <t>gemilangc201@yahoo.com</t>
        </is>
      </c>
      <c r="E103" t="inlineStr">
        <is>
          <t>https://lpjk.pu.go.id/search-badan-usaha-detail/T3c0ek9nZTI4a1QwSnFHVVAzSWt0UT09</t>
        </is>
      </c>
      <c r="F103" t="n">
        <v>1</v>
      </c>
      <c r="G103" t="inlineStr">
        <is>
          <t>BG006</t>
        </is>
      </c>
      <c r="H103" t="inlineStr">
        <is>
          <t>28 Maret 2001</t>
        </is>
      </c>
      <c r="I103" s="2" t="n">
        <v>46265</v>
      </c>
      <c r="J103" t="inlineStr">
        <is>
          <t>Disetujui</t>
        </is>
      </c>
      <c r="K103" t="n">
        <v>60</v>
      </c>
      <c r="L103" t="inlineStr">
        <is>
          <t>31 Agustus 2026</t>
        </is>
      </c>
      <c r="M103" t="inlineStr">
        <is>
          <t>Konstruksi Gedung Pendidikan</t>
        </is>
      </c>
      <c r="N103" t="inlineStr">
        <is>
          <t>K</t>
        </is>
      </c>
      <c r="O103" t="inlineStr">
        <is>
          <t>20230829</t>
        </is>
      </c>
      <c r="P103" t="inlineStr">
        <is>
          <t>Sumatera Utara</t>
        </is>
      </c>
      <c r="Q103" t="inlineStr"/>
    </row>
    <row r="104">
      <c r="A104" t="inlineStr">
        <is>
          <t>MINA UTAMA</t>
        </is>
      </c>
      <c r="B104" t="inlineStr">
        <is>
          <t>Kota Makassar</t>
        </is>
      </c>
      <c r="C104" t="inlineStr">
        <is>
          <t>085299550889</t>
        </is>
      </c>
      <c r="D104" t="inlineStr">
        <is>
          <t>cvminautama@gmail.com</t>
        </is>
      </c>
      <c r="E104" t="inlineStr">
        <is>
          <t>https://lpjk.pu.go.id/search-badan-usaha-detail/eDRVT1NoakpVNkkwRVlTN3M4bmxIdz09</t>
        </is>
      </c>
      <c r="F104" t="n">
        <v>1</v>
      </c>
      <c r="G104" t="inlineStr">
        <is>
          <t>BG002</t>
        </is>
      </c>
      <c r="H104" t="inlineStr">
        <is>
          <t>22 Juni 2012</t>
        </is>
      </c>
      <c r="I104" s="2" t="n">
        <v>46265</v>
      </c>
      <c r="J104" t="inlineStr">
        <is>
          <t>Disetujui</t>
        </is>
      </c>
      <c r="K104" t="n">
        <v>60</v>
      </c>
      <c r="L104" t="inlineStr">
        <is>
          <t>31 Agustus 2026</t>
        </is>
      </c>
      <c r="M104" t="inlineStr">
        <is>
          <t>Konstruksi Gedung Perkantoran</t>
        </is>
      </c>
      <c r="N104" t="inlineStr">
        <is>
          <t>K</t>
        </is>
      </c>
      <c r="O104" t="inlineStr">
        <is>
          <t>20230822</t>
        </is>
      </c>
      <c r="P104" t="inlineStr">
        <is>
          <t>Sulawesi Selatan</t>
        </is>
      </c>
      <c r="Q104" t="inlineStr"/>
    </row>
    <row r="105">
      <c r="A105" t="inlineStr">
        <is>
          <t>MITRA MULIA ANALITIKA</t>
        </is>
      </c>
      <c r="B105" t="inlineStr">
        <is>
          <t>Kab. Aceh Besar</t>
        </is>
      </c>
      <c r="C105" t="inlineStr">
        <is>
          <t>082288216008</t>
        </is>
      </c>
      <c r="D105" t="inlineStr">
        <is>
          <t>widodoagus137@gmail.com</t>
        </is>
      </c>
      <c r="E105" t="inlineStr">
        <is>
          <t>https://lpjk.pu.go.id/search-badan-usaha-detail/VExwVE9qVU1TSldtaUFtZGYyYTBDUT09</t>
        </is>
      </c>
      <c r="F105" t="n">
        <v>1</v>
      </c>
      <c r="G105" t="inlineStr">
        <is>
          <t>BS010</t>
        </is>
      </c>
      <c r="H105" t="inlineStr">
        <is>
          <t>20 Oktober 2015</t>
        </is>
      </c>
      <c r="I105" s="2" t="n">
        <v>46265</v>
      </c>
      <c r="J105" t="inlineStr">
        <is>
          <t>Disetujui</t>
        </is>
      </c>
      <c r="K105" t="n">
        <v>60</v>
      </c>
      <c r="L105" t="inlineStr">
        <is>
          <t>31 Agustus 2026</t>
        </is>
      </c>
      <c r="M105" t="inlineStr">
        <is>
          <t>Konstruksi Bangunan Prasarana Sumber Daya Air</t>
        </is>
      </c>
      <c r="N105" t="inlineStr">
        <is>
          <t>K</t>
        </is>
      </c>
      <c r="O105" t="inlineStr">
        <is>
          <t>20230823</t>
        </is>
      </c>
      <c r="P105" t="inlineStr">
        <is>
          <t>Aceh</t>
        </is>
      </c>
      <c r="Q105" t="inlineStr"/>
    </row>
    <row r="106">
      <c r="A106" t="inlineStr">
        <is>
          <t>MORIZ</t>
        </is>
      </c>
      <c r="B106" t="inlineStr">
        <is>
          <t>Kab. Kepulauan Anambas</t>
        </is>
      </c>
      <c r="C106" t="inlineStr">
        <is>
          <t>081294098472</t>
        </is>
      </c>
      <c r="D106" t="inlineStr">
        <is>
          <t>moriz.anambas@gmail.com</t>
        </is>
      </c>
      <c r="E106" t="inlineStr">
        <is>
          <t>https://lpjk.pu.go.id/search-badan-usaha-detail/UUJ6UVlrQmt1N2h1QzFQL3RqVUdVZz09</t>
        </is>
      </c>
      <c r="F106" t="n">
        <v>2</v>
      </c>
      <c r="G106" t="inlineStr">
        <is>
          <t>BG006, BG009</t>
        </is>
      </c>
      <c r="H106" t="inlineStr">
        <is>
          <t>3 Februari 2014</t>
        </is>
      </c>
      <c r="I106" s="2" t="n">
        <v>46265</v>
      </c>
      <c r="J106" t="inlineStr">
        <is>
          <t>Disetujui</t>
        </is>
      </c>
      <c r="K106" t="n">
        <v>60</v>
      </c>
      <c r="L106" t="inlineStr">
        <is>
          <t>31 Agustus 2026</t>
        </is>
      </c>
      <c r="M106" t="inlineStr">
        <is>
          <t>Konstruksi Gedung Lainnya, Konstruksi Gedung Pendidikan</t>
        </is>
      </c>
      <c r="N106" t="inlineStr">
        <is>
          <t>K</t>
        </is>
      </c>
      <c r="O106" t="inlineStr">
        <is>
          <t>20230828</t>
        </is>
      </c>
      <c r="P106" t="inlineStr">
        <is>
          <t>Kepulauan Riau</t>
        </is>
      </c>
      <c r="Q106" t="inlineStr"/>
    </row>
    <row r="107">
      <c r="A107" t="inlineStr">
        <is>
          <t>MULIA ARINDA</t>
        </is>
      </c>
      <c r="B107" t="inlineStr">
        <is>
          <t>Kab. Tangerang</t>
        </is>
      </c>
      <c r="C107" t="inlineStr">
        <is>
          <t>0215990198</t>
        </is>
      </c>
      <c r="D107" t="inlineStr">
        <is>
          <t>muliaarindacv@yahoo.com</t>
        </is>
      </c>
      <c r="E107" t="inlineStr">
        <is>
          <t>https://lpjk.pu.go.id/search-badan-usaha-detail/ZlNIOUdZMEdZZGg0VmdQV0Q2NU9yZz09</t>
        </is>
      </c>
      <c r="F107" t="n">
        <v>3</v>
      </c>
      <c r="G107" t="inlineStr">
        <is>
          <t>BG005, BG006, BG009</t>
        </is>
      </c>
      <c r="H107" t="inlineStr">
        <is>
          <t>12 Oktober 2009</t>
        </is>
      </c>
      <c r="I107" s="2" t="n">
        <v>46265</v>
      </c>
      <c r="J107" t="inlineStr">
        <is>
          <t>Disetujui</t>
        </is>
      </c>
      <c r="K107" t="n">
        <v>60</v>
      </c>
      <c r="L107" t="inlineStr">
        <is>
          <t>31 Agustus 2026</t>
        </is>
      </c>
      <c r="M107" t="inlineStr">
        <is>
          <t>Konstruksi Gedung Kesehatan, Konstruksi Gedung Lainnya, Konstruksi Gedung Pendidikan</t>
        </is>
      </c>
      <c r="N107" t="inlineStr">
        <is>
          <t>K</t>
        </is>
      </c>
      <c r="O107" t="inlineStr">
        <is>
          <t>20230828</t>
        </is>
      </c>
      <c r="P107" t="inlineStr">
        <is>
          <t>Banten</t>
        </is>
      </c>
      <c r="Q107" t="inlineStr"/>
    </row>
    <row r="108">
      <c r="A108" t="inlineStr">
        <is>
          <t>MULTI INDAH PRATAMA</t>
        </is>
      </c>
      <c r="B108" t="inlineStr">
        <is>
          <t>Kab. Banggai</t>
        </is>
      </c>
      <c r="C108" t="inlineStr">
        <is>
          <t>085240602608</t>
        </is>
      </c>
      <c r="D108" t="inlineStr">
        <is>
          <t>multi_indah_pratama@yahoo.co.id</t>
        </is>
      </c>
      <c r="E108" t="inlineStr">
        <is>
          <t>https://lpjk.pu.go.id/search-badan-usaha-detail/NEM1UjBDcS96TlFTdi9zOVJwWmFidz09</t>
        </is>
      </c>
      <c r="F108" t="n">
        <v>1</v>
      </c>
      <c r="G108" t="inlineStr">
        <is>
          <t>BS001</t>
        </is>
      </c>
      <c r="H108" t="inlineStr">
        <is>
          <t>2 Agustus 1996</t>
        </is>
      </c>
      <c r="I108" s="2" t="n">
        <v>46265</v>
      </c>
      <c r="J108" t="inlineStr">
        <is>
          <t>Disetujui</t>
        </is>
      </c>
      <c r="K108" t="n">
        <v>60</v>
      </c>
      <c r="L108" t="inlineStr">
        <is>
          <t>31 Agustus 2026</t>
        </is>
      </c>
      <c r="M108" t="inlineStr">
        <is>
          <t>Konstruksi Bangunan Sipil Jalan</t>
        </is>
      </c>
      <c r="N108" t="inlineStr">
        <is>
          <t>M</t>
        </is>
      </c>
      <c r="O108" t="inlineStr">
        <is>
          <t>20230630</t>
        </is>
      </c>
      <c r="P108" t="inlineStr">
        <is>
          <t>Sulawesi Tengah</t>
        </is>
      </c>
      <c r="Q108" t="inlineStr"/>
    </row>
    <row r="109">
      <c r="A109" t="inlineStr">
        <is>
          <t>MUMTAZ JAYA MEMBANGUN</t>
        </is>
      </c>
      <c r="B109" t="inlineStr">
        <is>
          <t>Kab. Banggai</t>
        </is>
      </c>
      <c r="C109" t="inlineStr">
        <is>
          <t>082172404587</t>
        </is>
      </c>
      <c r="D109" t="inlineStr">
        <is>
          <t>cv.mumtazjayamembangun@gmail.com</t>
        </is>
      </c>
      <c r="E109" t="inlineStr">
        <is>
          <t>https://lpjk.pu.go.id/search-badan-usaha-detail/Z3gxdFRkNmxQaU1YRUZXRGRKR3o4Zz09</t>
        </is>
      </c>
      <c r="F109" t="n">
        <v>1</v>
      </c>
      <c r="G109" t="inlineStr">
        <is>
          <t>BS005</t>
        </is>
      </c>
      <c r="H109" t="inlineStr">
        <is>
          <t>10 Januari 2022</t>
        </is>
      </c>
      <c r="I109" s="2" t="n">
        <v>46265</v>
      </c>
      <c r="J109" t="inlineStr">
        <is>
          <t>Disetujui</t>
        </is>
      </c>
      <c r="K109" t="n">
        <v>60</v>
      </c>
      <c r="L109" t="inlineStr">
        <is>
          <t>31 Agustus 2026</t>
        </is>
      </c>
      <c r="M109" t="inlineStr">
        <is>
          <t>Konstruksi Bangunan Sipil Pengolahan Air Bersih</t>
        </is>
      </c>
      <c r="N109" t="inlineStr">
        <is>
          <t>K</t>
        </is>
      </c>
      <c r="O109" t="inlineStr">
        <is>
          <t>20230831</t>
        </is>
      </c>
      <c r="P109" t="inlineStr">
        <is>
          <t>Sulawesi Tengah</t>
        </is>
      </c>
      <c r="Q109" t="inlineStr"/>
    </row>
    <row r="110">
      <c r="A110" t="inlineStr">
        <is>
          <t>NAFAS BERKAH ABADI</t>
        </is>
      </c>
      <c r="B110" t="inlineStr">
        <is>
          <t>Kota Cilegon</t>
        </is>
      </c>
      <c r="C110" t="inlineStr">
        <is>
          <t>0254382976</t>
        </is>
      </c>
      <c r="D110" t="inlineStr">
        <is>
          <t>nafasberkahabadi@gmail.com</t>
        </is>
      </c>
      <c r="E110" t="inlineStr">
        <is>
          <t>https://lpjk.pu.go.id/search-badan-usaha-detail/TDc3eWdOcVlpYzFDeHJ2Y1g1YUNSZz09</t>
        </is>
      </c>
      <c r="F110" t="n">
        <v>2</v>
      </c>
      <c r="G110" t="inlineStr">
        <is>
          <t>BS001, BS004</t>
        </is>
      </c>
      <c r="H110" t="inlineStr">
        <is>
          <t>18 Januari 2023</t>
        </is>
      </c>
      <c r="I110" s="2" t="n">
        <v>46265</v>
      </c>
      <c r="J110" t="inlineStr">
        <is>
          <t>Disetujui</t>
        </is>
      </c>
      <c r="K110" t="n">
        <v>60</v>
      </c>
      <c r="L110" t="inlineStr">
        <is>
          <t>31 Agustus 2026</t>
        </is>
      </c>
      <c r="M110" t="inlineStr">
        <is>
          <t>Konstruksi Bangunan Sipil Jalan, Konstruksi Jaringan Irigasi dan Drainase</t>
        </is>
      </c>
      <c r="N110" t="inlineStr">
        <is>
          <t>K</t>
        </is>
      </c>
      <c r="O110" t="inlineStr">
        <is>
          <t>20230828</t>
        </is>
      </c>
      <c r="P110" t="inlineStr">
        <is>
          <t>Banten</t>
        </is>
      </c>
      <c r="Q110" t="inlineStr"/>
    </row>
    <row r="111">
      <c r="A111" t="inlineStr">
        <is>
          <t>NATURA SINERGI PRATAMA</t>
        </is>
      </c>
      <c r="B111" t="inlineStr">
        <is>
          <t>Kab. Tanah Datar</t>
        </is>
      </c>
      <c r="C111" t="inlineStr">
        <is>
          <t>081363132133</t>
        </is>
      </c>
      <c r="D111" t="inlineStr">
        <is>
          <t>iwan.nsp@gmail.com</t>
        </is>
      </c>
      <c r="E111" t="inlineStr">
        <is>
          <t>https://lpjk.pu.go.id/search-badan-usaha-detail/a3dvcjhFV3BIL2tZWUhid2d6WkFGZz09</t>
        </is>
      </c>
      <c r="F111" t="n">
        <v>2</v>
      </c>
      <c r="G111" t="inlineStr">
        <is>
          <t>BG002, BS001</t>
        </is>
      </c>
      <c r="H111" t="inlineStr">
        <is>
          <t>1 Oktober 2007</t>
        </is>
      </c>
      <c r="I111" s="2" t="n">
        <v>46265</v>
      </c>
      <c r="J111" t="inlineStr">
        <is>
          <t>Disetujui</t>
        </is>
      </c>
      <c r="K111" t="n">
        <v>60</v>
      </c>
      <c r="L111" t="inlineStr">
        <is>
          <t>31 Agustus 2026</t>
        </is>
      </c>
      <c r="M111" t="inlineStr">
        <is>
          <t>Konstruksi Bangunan Sipil Jalan, Konstruksi Gedung Perkantoran</t>
        </is>
      </c>
      <c r="N111" t="inlineStr">
        <is>
          <t>K</t>
        </is>
      </c>
      <c r="O111" t="inlineStr">
        <is>
          <t>20230830</t>
        </is>
      </c>
      <c r="P111" t="inlineStr">
        <is>
          <t>Sumatera Barat</t>
        </is>
      </c>
      <c r="Q111" t="inlineStr"/>
    </row>
    <row r="112">
      <c r="A112" t="inlineStr">
        <is>
          <t>NAWA WISNU PERKASA</t>
        </is>
      </c>
      <c r="B112" t="inlineStr">
        <is>
          <t>Kota Adm. Jakarta Pusat</t>
        </is>
      </c>
      <c r="C112" t="inlineStr">
        <is>
          <t>08129445682</t>
        </is>
      </c>
      <c r="D112" t="inlineStr">
        <is>
          <t>legal@nawawisnu.com</t>
        </is>
      </c>
      <c r="E112" t="inlineStr">
        <is>
          <t>https://lpjk.pu.go.id/search-badan-usaha-detail/N292SmRzVEkzRVRKOGhzQmQvYjIxUT09</t>
        </is>
      </c>
      <c r="F112" t="n">
        <v>1</v>
      </c>
      <c r="G112" t="inlineStr">
        <is>
          <t>BS005</t>
        </is>
      </c>
      <c r="H112" t="inlineStr">
        <is>
          <t>12 Desember 2022</t>
        </is>
      </c>
      <c r="I112" s="2" t="n">
        <v>46265</v>
      </c>
      <c r="J112" t="inlineStr">
        <is>
          <t>Disetujui</t>
        </is>
      </c>
      <c r="K112" t="n">
        <v>60</v>
      </c>
      <c r="L112" t="inlineStr">
        <is>
          <t>31 Agustus 2026</t>
        </is>
      </c>
      <c r="M112" t="inlineStr">
        <is>
          <t>Konstruksi Bangunan Sipil Pengolahan Air Bersih</t>
        </is>
      </c>
      <c r="N112" t="inlineStr">
        <is>
          <t>K</t>
        </is>
      </c>
      <c r="O112" t="inlineStr">
        <is>
          <t>20230830</t>
        </is>
      </c>
      <c r="P112" t="inlineStr">
        <is>
          <t>DKI Jakarta</t>
        </is>
      </c>
      <c r="Q112" t="inlineStr"/>
    </row>
    <row r="113">
      <c r="A113" t="inlineStr">
        <is>
          <t>NINDYA ANUGERAH PRATAMA</t>
        </is>
      </c>
      <c r="B113" t="inlineStr">
        <is>
          <t>Kab. Banggai</t>
        </is>
      </c>
      <c r="C113" t="inlineStr">
        <is>
          <t>085341339998</t>
        </is>
      </c>
      <c r="D113" t="inlineStr">
        <is>
          <t>nindyapratama03@gmail.com</t>
        </is>
      </c>
      <c r="E113" t="inlineStr">
        <is>
          <t>https://lpjk.pu.go.id/search-badan-usaha-detail/TnRxaEQwSU5JTmppU2crV2VZNjBxZz09</t>
        </is>
      </c>
      <c r="F113" t="n">
        <v>18</v>
      </c>
      <c r="G113" t="inlineStr">
        <is>
          <t>BG001, BG002, BG005, BG006, BG009, BS004, BS005</t>
        </is>
      </c>
      <c r="H113" t="inlineStr">
        <is>
          <t>18 Agustus 2023</t>
        </is>
      </c>
      <c r="I113" s="2" t="n">
        <v>46265</v>
      </c>
      <c r="J113" t="inlineStr">
        <is>
          <t>Disetujui, Pencabutan</t>
        </is>
      </c>
      <c r="K113" t="n">
        <v>60</v>
      </c>
      <c r="L113" t="inlineStr">
        <is>
          <t>31 Agustus 2026</t>
        </is>
      </c>
      <c r="M113" t="inlineStr">
        <is>
          <t>Konstruksi Bangunan Sipil Pengolahan Air Bersih, Konstruksi Gedung Hunian, Konstruksi Gedung Kesehatan, Konstruksi Gedung Lainnya, Konstruksi Gedung Pendidikan, Konstruksi Gedung Perkantoran, Konstruksi Jaringan Irigasi dan Drainase</t>
        </is>
      </c>
      <c r="N113" t="inlineStr">
        <is>
          <t>K</t>
        </is>
      </c>
      <c r="O113" t="inlineStr">
        <is>
          <t>20230831, 20230901</t>
        </is>
      </c>
      <c r="P113" t="inlineStr">
        <is>
          <t>Sulawesi Tengah</t>
        </is>
      </c>
      <c r="Q113" t="inlineStr"/>
    </row>
    <row r="114">
      <c r="A114" t="inlineStr">
        <is>
          <t>NUSA JAYA SENTOSA</t>
        </is>
      </c>
      <c r="B114" t="inlineStr">
        <is>
          <t>Kota Adm. Jakarta Utara</t>
        </is>
      </c>
      <c r="C114" t="inlineStr">
        <is>
          <t>02122667357</t>
        </is>
      </c>
      <c r="D114" t="inlineStr">
        <is>
          <t>jakarta@njsentosa.com</t>
        </is>
      </c>
      <c r="E114" t="inlineStr">
        <is>
          <t>https://lpjk.pu.go.id/search-badan-usaha-detail/Z1hhdGNiZ0gwSWRmUlRIR1A1N00zZz09</t>
        </is>
      </c>
      <c r="F114" t="n">
        <v>1</v>
      </c>
      <c r="G114" t="inlineStr">
        <is>
          <t>IN004</t>
        </is>
      </c>
      <c r="H114" t="inlineStr">
        <is>
          <t>24 Mei 2002</t>
        </is>
      </c>
      <c r="I114" s="2" t="n">
        <v>46265</v>
      </c>
      <c r="J114" t="inlineStr">
        <is>
          <t>Pencabutan</t>
        </is>
      </c>
      <c r="K114" t="n">
        <v>60</v>
      </c>
      <c r="L114" t="inlineStr">
        <is>
          <t>31 Agustus 2026</t>
        </is>
      </c>
      <c r="M114" t="inlineStr">
        <is>
          <t>Instalasi Minyak dan Gas</t>
        </is>
      </c>
      <c r="N114" t="inlineStr">
        <is>
          <t>Spesialis</t>
        </is>
      </c>
      <c r="O114" t="inlineStr">
        <is>
          <t>20221206</t>
        </is>
      </c>
      <c r="P114" t="inlineStr">
        <is>
          <t>DKI Jakarta</t>
        </is>
      </c>
      <c r="Q114" t="inlineStr"/>
    </row>
    <row r="115">
      <c r="A115" t="inlineStr">
        <is>
          <t>OMEGA</t>
        </is>
      </c>
      <c r="B115" t="inlineStr">
        <is>
          <t>Kab. Jayawijaya</t>
        </is>
      </c>
      <c r="C115" t="inlineStr">
        <is>
          <t>08124029977</t>
        </is>
      </c>
      <c r="D115" t="inlineStr">
        <is>
          <t>cv.omega85@gmail.com</t>
        </is>
      </c>
      <c r="E115" t="inlineStr">
        <is>
          <t>https://lpjk.pu.go.id/search-badan-usaha-detail/ZUM5a0lvd2YxbWd0ZFIxRzRFNHVUZz09</t>
        </is>
      </c>
      <c r="F115" t="n">
        <v>1</v>
      </c>
      <c r="G115" t="inlineStr">
        <is>
          <t>BS001</t>
        </is>
      </c>
      <c r="H115" t="inlineStr">
        <is>
          <t>12 Februari 2001</t>
        </is>
      </c>
      <c r="I115" s="2" t="n">
        <v>46265</v>
      </c>
      <c r="J115" t="inlineStr">
        <is>
          <t>Disetujui</t>
        </is>
      </c>
      <c r="K115" t="n">
        <v>60</v>
      </c>
      <c r="L115" t="inlineStr">
        <is>
          <t>31 Agustus 2026</t>
        </is>
      </c>
      <c r="M115" t="inlineStr">
        <is>
          <t>Konstruksi Bangunan Sipil Jalan</t>
        </is>
      </c>
      <c r="N115" t="inlineStr">
        <is>
          <t>K</t>
        </is>
      </c>
      <c r="O115" t="inlineStr">
        <is>
          <t>20230901</t>
        </is>
      </c>
      <c r="P115" t="inlineStr">
        <is>
          <t>Papua</t>
        </is>
      </c>
      <c r="Q115" t="inlineStr"/>
    </row>
    <row r="116">
      <c r="A116" t="inlineStr">
        <is>
          <t>PADI KARYA</t>
        </is>
      </c>
      <c r="B116" t="inlineStr">
        <is>
          <t>Kab. Kudus</t>
        </is>
      </c>
      <c r="C116" t="inlineStr">
        <is>
          <t>085229940200</t>
        </is>
      </c>
      <c r="D116" t="inlineStr">
        <is>
          <t>padikaryacv@gmail.com</t>
        </is>
      </c>
      <c r="E116" t="inlineStr">
        <is>
          <t>https://lpjk.pu.go.id/search-badan-usaha-detail/dTFjSiszRkZUOWxjRTVReEVnOXBrdz09</t>
        </is>
      </c>
      <c r="F116" t="n">
        <v>1</v>
      </c>
      <c r="G116" t="inlineStr">
        <is>
          <t>BS001</t>
        </is>
      </c>
      <c r="H116" t="inlineStr">
        <is>
          <t>13 Februari 2016</t>
        </is>
      </c>
      <c r="I116" s="2" t="n">
        <v>46265</v>
      </c>
      <c r="J116" t="inlineStr">
        <is>
          <t>Disetujui</t>
        </is>
      </c>
      <c r="K116" t="n">
        <v>60</v>
      </c>
      <c r="L116" t="inlineStr">
        <is>
          <t>31 Agustus 2026</t>
        </is>
      </c>
      <c r="M116" t="inlineStr">
        <is>
          <t>Konstruksi Bangunan Sipil Jalan</t>
        </is>
      </c>
      <c r="N116" t="inlineStr">
        <is>
          <t>K</t>
        </is>
      </c>
      <c r="O116" t="inlineStr">
        <is>
          <t>20230901</t>
        </is>
      </c>
      <c r="P116" t="inlineStr">
        <is>
          <t>Jawa Tengah</t>
        </is>
      </c>
      <c r="Q116" t="inlineStr"/>
    </row>
    <row r="117">
      <c r="A117" t="inlineStr">
        <is>
          <t>PELANGI INDOKARYA</t>
        </is>
      </c>
      <c r="B117" t="inlineStr">
        <is>
          <t>Kota Surabaya</t>
        </is>
      </c>
      <c r="C117" t="inlineStr">
        <is>
          <t>0315982609</t>
        </is>
      </c>
      <c r="D117" t="inlineStr">
        <is>
          <t>pujiartoimam123@gmail.com</t>
        </is>
      </c>
      <c r="E117" t="inlineStr">
        <is>
          <t>https://lpjk.pu.go.id/search-badan-usaha-detail/bWxPc1ZMRDdIYXFMWEQ1T1JvQ0dVUT09</t>
        </is>
      </c>
      <c r="F117" t="n">
        <v>3</v>
      </c>
      <c r="G117" t="inlineStr">
        <is>
          <t>BG001, BG002, BG003</t>
        </is>
      </c>
      <c r="H117" t="inlineStr">
        <is>
          <t>21 Desember 2005</t>
        </is>
      </c>
      <c r="I117" s="2" t="n">
        <v>46265</v>
      </c>
      <c r="J117" t="inlineStr">
        <is>
          <t>Disetujui</t>
        </is>
      </c>
      <c r="K117" t="n">
        <v>60</v>
      </c>
      <c r="L117" t="inlineStr">
        <is>
          <t>31 Agustus 2026</t>
        </is>
      </c>
      <c r="M117" t="inlineStr">
        <is>
          <t>Konstruksi Gedung Hunian, Konstruksi Gedung Industri, Konstruksi Gedung Perkantoran</t>
        </is>
      </c>
      <c r="N117" t="inlineStr">
        <is>
          <t>K</t>
        </is>
      </c>
      <c r="O117" t="inlineStr">
        <is>
          <t>20230825</t>
        </is>
      </c>
      <c r="P117" t="inlineStr">
        <is>
          <t>Jawa Timur</t>
        </is>
      </c>
      <c r="Q117" t="inlineStr"/>
    </row>
    <row r="118">
      <c r="A118" t="inlineStr">
        <is>
          <t>PERMATA HADI</t>
        </is>
      </c>
      <c r="B118" t="inlineStr">
        <is>
          <t>Kota Padang Sidempuan</t>
        </is>
      </c>
      <c r="C118" t="inlineStr">
        <is>
          <t>082166737356</t>
        </is>
      </c>
      <c r="D118" t="inlineStr">
        <is>
          <t>permatahadicv@yahoo.com</t>
        </is>
      </c>
      <c r="E118" t="inlineStr">
        <is>
          <t>https://lpjk.pu.go.id/search-badan-usaha-detail/QkwrZHpaV3JUMElEOE9LeGM0Z25wQT09</t>
        </is>
      </c>
      <c r="F118" t="n">
        <v>1</v>
      </c>
      <c r="G118" t="inlineStr">
        <is>
          <t>BS010</t>
        </is>
      </c>
      <c r="H118" t="inlineStr">
        <is>
          <t>25 Juni 2007</t>
        </is>
      </c>
      <c r="I118" s="2" t="n">
        <v>46265</v>
      </c>
      <c r="J118" t="inlineStr">
        <is>
          <t>Disetujui</t>
        </is>
      </c>
      <c r="K118" t="n">
        <v>60</v>
      </c>
      <c r="L118" t="inlineStr">
        <is>
          <t>31 Agustus 2026</t>
        </is>
      </c>
      <c r="M118" t="inlineStr">
        <is>
          <t>Konstruksi Bangunan Prasarana Sumber Daya Air</t>
        </is>
      </c>
      <c r="N118" t="inlineStr">
        <is>
          <t>K</t>
        </is>
      </c>
      <c r="O118" t="inlineStr">
        <is>
          <t>20230825</t>
        </is>
      </c>
      <c r="P118" t="inlineStr">
        <is>
          <t>Sumatera Utara</t>
        </is>
      </c>
      <c r="Q118" t="inlineStr"/>
    </row>
    <row r="119">
      <c r="A119" t="inlineStr">
        <is>
          <t>PRAKARSA DESAIN KONSULTAN</t>
        </is>
      </c>
      <c r="B119" t="inlineStr">
        <is>
          <t>Kota Palangkaraya</t>
        </is>
      </c>
      <c r="C119" t="inlineStr">
        <is>
          <t>081352716465</t>
        </is>
      </c>
      <c r="D119" t="inlineStr">
        <is>
          <t>pt.prakarsa.desain@gmail.com</t>
        </is>
      </c>
      <c r="E119" t="inlineStr">
        <is>
          <t>https://lpjk.pu.go.id/search-badan-usaha-detail/TDc3UGZnNFB5QVdFOFNlZGY5WTBVdz09</t>
        </is>
      </c>
      <c r="F119" t="n">
        <v>2</v>
      </c>
      <c r="G119" t="inlineStr">
        <is>
          <t>RK001, RK003</t>
        </is>
      </c>
      <c r="H119" t="inlineStr">
        <is>
          <t>30 Juni 2000</t>
        </is>
      </c>
      <c r="I119" s="2" t="n">
        <v>46265</v>
      </c>
      <c r="J119" t="inlineStr">
        <is>
          <t>Disetujui</t>
        </is>
      </c>
      <c r="K119" t="n">
        <v>60</v>
      </c>
      <c r="L119" t="inlineStr">
        <is>
          <t>31 Agustus 2026</t>
        </is>
      </c>
      <c r="M119" t="inlineStr">
        <is>
          <t>Jasa Rekayasa Konstruksi Bangunan Gedung Hunian dan Non Hunian, Jasa Rekayasa Pekerjaan Teknik Sipil Transportasi</t>
        </is>
      </c>
      <c r="N119" t="inlineStr">
        <is>
          <t>M</t>
        </is>
      </c>
      <c r="O119" t="inlineStr">
        <is>
          <t>20230627, 20230727</t>
        </is>
      </c>
      <c r="P119" t="inlineStr">
        <is>
          <t>Kalimantan Tengah</t>
        </is>
      </c>
      <c r="Q119" t="inlineStr"/>
    </row>
    <row r="120">
      <c r="A120" t="inlineStr">
        <is>
          <t>PRATAMA DIPA</t>
        </is>
      </c>
      <c r="B120" t="inlineStr">
        <is>
          <t>Kab. Indramayu</t>
        </is>
      </c>
      <c r="C120" t="inlineStr">
        <is>
          <t>087727267112</t>
        </is>
      </c>
      <c r="D120" t="inlineStr">
        <is>
          <t>cv.pratamadipa@yahoo.com</t>
        </is>
      </c>
      <c r="E120" t="inlineStr">
        <is>
          <t>https://lpjk.pu.go.id/search-badan-usaha-detail/dVkzYkpRVHErdU00WlVWdzZ1bWRjQT09</t>
        </is>
      </c>
      <c r="F120" t="n">
        <v>1</v>
      </c>
      <c r="G120" t="inlineStr">
        <is>
          <t>RK003</t>
        </is>
      </c>
      <c r="H120" t="inlineStr">
        <is>
          <t>27 April 2017</t>
        </is>
      </c>
      <c r="I120" s="2" t="n">
        <v>46265</v>
      </c>
      <c r="J120" t="inlineStr">
        <is>
          <t>Pencabutan</t>
        </is>
      </c>
      <c r="K120" t="n">
        <v>60</v>
      </c>
      <c r="L120" t="inlineStr">
        <is>
          <t>31 Agustus 2026</t>
        </is>
      </c>
      <c r="M120" t="inlineStr">
        <is>
          <t>Jasa Rekayasa Pekerjaan Teknik Sipil Transportasi</t>
        </is>
      </c>
      <c r="N120" t="inlineStr">
        <is>
          <t>K</t>
        </is>
      </c>
      <c r="O120" t="inlineStr">
        <is>
          <t>20230828</t>
        </is>
      </c>
      <c r="P120" t="inlineStr">
        <is>
          <t>Jawa Barat</t>
        </is>
      </c>
      <c r="Q120" t="inlineStr"/>
    </row>
    <row r="121">
      <c r="A121" t="inlineStr">
        <is>
          <t>PRATAMA MAKMUR JAYA</t>
        </is>
      </c>
      <c r="B121" t="inlineStr">
        <is>
          <t>Kota Medan</t>
        </is>
      </c>
      <c r="C121" t="inlineStr">
        <is>
          <t>085261570999</t>
        </is>
      </c>
      <c r="D121" t="inlineStr">
        <is>
          <t>pratamamakmurjaya@yahoo.com</t>
        </is>
      </c>
      <c r="E121" t="inlineStr">
        <is>
          <t>https://lpjk.pu.go.id/search-badan-usaha-detail/elc4R3l6NFIwUWlTQ25NOXlhZ2Uxdz09</t>
        </is>
      </c>
      <c r="F121" t="n">
        <v>1</v>
      </c>
      <c r="G121" t="inlineStr">
        <is>
          <t>IN004</t>
        </is>
      </c>
      <c r="H121" t="inlineStr">
        <is>
          <t>24 Mei 2011</t>
        </is>
      </c>
      <c r="I121" s="2" t="n">
        <v>46265</v>
      </c>
      <c r="J121" t="inlineStr">
        <is>
          <t>Pembekuan</t>
        </is>
      </c>
      <c r="K121" t="n">
        <v>60</v>
      </c>
      <c r="L121" t="inlineStr">
        <is>
          <t>31 Agustus 2026</t>
        </is>
      </c>
      <c r="M121" t="inlineStr">
        <is>
          <t>Instalasi Minyak dan Gas</t>
        </is>
      </c>
      <c r="N121" t="inlineStr">
        <is>
          <t>Spesialis</t>
        </is>
      </c>
      <c r="O121" t="inlineStr">
        <is>
          <t>20230828</t>
        </is>
      </c>
      <c r="P121" t="inlineStr">
        <is>
          <t>Sumatera Utara</t>
        </is>
      </c>
      <c r="Q121" t="inlineStr"/>
    </row>
    <row r="122">
      <c r="A122" t="inlineStr">
        <is>
          <t>PRIMATA DESIGN</t>
        </is>
      </c>
      <c r="B122" t="inlineStr">
        <is>
          <t>Kab. Sidoarjo</t>
        </is>
      </c>
      <c r="C122" t="inlineStr">
        <is>
          <t>0318070872</t>
        </is>
      </c>
      <c r="D122" t="inlineStr">
        <is>
          <t>primata_design@yahoo.com</t>
        </is>
      </c>
      <c r="E122" t="inlineStr">
        <is>
          <t>https://lpjk.pu.go.id/search-badan-usaha-detail/SU8yR3JEN01LbUs2T2FqNExtUGFOUT09</t>
        </is>
      </c>
      <c r="F122" t="n">
        <v>2</v>
      </c>
      <c r="G122" t="inlineStr">
        <is>
          <t>AR002, AR003</t>
        </is>
      </c>
      <c r="H122" t="inlineStr">
        <is>
          <t>28 November 2009</t>
        </is>
      </c>
      <c r="I122" s="2" t="n">
        <v>46265</v>
      </c>
      <c r="J122" t="inlineStr">
        <is>
          <t>Disetujui</t>
        </is>
      </c>
      <c r="K122" t="n">
        <v>60</v>
      </c>
      <c r="L122" t="inlineStr">
        <is>
          <t>31 Agustus 2026</t>
        </is>
      </c>
      <c r="M122" t="inlineStr">
        <is>
          <t>Jasa Arsitektural Lainnya, Jasa Desain Interior pada Bangunan Gedung dan Bangunan Sipil</t>
        </is>
      </c>
      <c r="N122" t="inlineStr">
        <is>
          <t>K</t>
        </is>
      </c>
      <c r="O122" t="inlineStr">
        <is>
          <t>20230825</t>
        </is>
      </c>
      <c r="P122" t="inlineStr">
        <is>
          <t>Jawa Timur</t>
        </is>
      </c>
      <c r="Q122" t="inlineStr"/>
    </row>
    <row r="123">
      <c r="A123" t="inlineStr">
        <is>
          <t>PRISMA ESTETIKA KONSULTAN</t>
        </is>
      </c>
      <c r="B123" t="inlineStr">
        <is>
          <t>Kota Pontianak</t>
        </is>
      </c>
      <c r="C123" t="inlineStr">
        <is>
          <t>085348169318</t>
        </is>
      </c>
      <c r="D123" t="inlineStr">
        <is>
          <t>prismaestetika@gmail.com</t>
        </is>
      </c>
      <c r="E123" t="inlineStr">
        <is>
          <t>https://lpjk.pu.go.id/search-badan-usaha-detail/U2dxenZ0M1IxTVBtc1QwaXBDZXNEUT09</t>
        </is>
      </c>
      <c r="F123" t="n">
        <v>1</v>
      </c>
      <c r="G123" t="inlineStr">
        <is>
          <t>RK002</t>
        </is>
      </c>
      <c r="H123" t="inlineStr">
        <is>
          <t>28 September 2007</t>
        </is>
      </c>
      <c r="I123" s="2" t="n">
        <v>46265</v>
      </c>
      <c r="J123" t="inlineStr">
        <is>
          <t>Disetujui</t>
        </is>
      </c>
      <c r="K123" t="n">
        <v>60</v>
      </c>
      <c r="L123" t="inlineStr">
        <is>
          <t>31 Agustus 2026</t>
        </is>
      </c>
      <c r="M123" t="inlineStr">
        <is>
          <t>Jasa Rekayasa Pekerjaan Teknik Sipil Sumber Daya Air</t>
        </is>
      </c>
      <c r="N123" t="inlineStr">
        <is>
          <t>K</t>
        </is>
      </c>
      <c r="O123" t="inlineStr">
        <is>
          <t>20230824</t>
        </is>
      </c>
      <c r="P123" t="inlineStr">
        <is>
          <t>Kalimantan Barat</t>
        </is>
      </c>
      <c r="Q123" t="inlineStr"/>
    </row>
    <row r="124">
      <c r="A124" t="inlineStr">
        <is>
          <t>PROYEKTA</t>
        </is>
      </c>
      <c r="B124" t="inlineStr">
        <is>
          <t>Kab. Subang</t>
        </is>
      </c>
      <c r="C124" t="inlineStr">
        <is>
          <t>081221192811</t>
        </is>
      </c>
      <c r="D124" t="inlineStr">
        <is>
          <t>proyektacv@gmail.com</t>
        </is>
      </c>
      <c r="E124" t="inlineStr">
        <is>
          <t>https://lpjk.pu.go.id/search-badan-usaha-detail/eVp0WG1KWEdYN3JHZy9aK2YzTlRjdz09</t>
        </is>
      </c>
      <c r="F124" t="n">
        <v>2</v>
      </c>
      <c r="G124" t="inlineStr">
        <is>
          <t>BG001, BG003</t>
        </is>
      </c>
      <c r="H124" t="inlineStr">
        <is>
          <t>18 Desember 1979</t>
        </is>
      </c>
      <c r="I124" s="2" t="n">
        <v>46265</v>
      </c>
      <c r="J124" t="inlineStr">
        <is>
          <t>Disetujui</t>
        </is>
      </c>
      <c r="K124" t="n">
        <v>60</v>
      </c>
      <c r="L124" t="inlineStr">
        <is>
          <t>31 Agustus 2026</t>
        </is>
      </c>
      <c r="M124" t="inlineStr">
        <is>
          <t>Konstruksi Gedung Hunian, Konstruksi Gedung Industri</t>
        </is>
      </c>
      <c r="N124" t="inlineStr">
        <is>
          <t>K</t>
        </is>
      </c>
      <c r="O124" t="inlineStr">
        <is>
          <t>20230828</t>
        </is>
      </c>
      <c r="P124" t="inlineStr">
        <is>
          <t>Jawa Barat</t>
        </is>
      </c>
      <c r="Q124" t="inlineStr"/>
    </row>
    <row r="125">
      <c r="A125" t="inlineStr">
        <is>
          <t>PULO LHEE BLAH</t>
        </is>
      </c>
      <c r="B125" t="inlineStr">
        <is>
          <t>Kab. Aceh Utara</t>
        </is>
      </c>
      <c r="C125" t="inlineStr">
        <is>
          <t>085372829682</t>
        </is>
      </c>
      <c r="D125" t="inlineStr">
        <is>
          <t>pulo_lheeblah@yahoo.com</t>
        </is>
      </c>
      <c r="E125" t="inlineStr">
        <is>
          <t>https://lpjk.pu.go.id/search-badan-usaha-detail/ZDl0bjhOZU1QREI4TTdFb2V4Q3YwQT09</t>
        </is>
      </c>
      <c r="F125" t="n">
        <v>7</v>
      </c>
      <c r="G125" t="inlineStr">
        <is>
          <t>BG003, BG004, BG008, BG009, BS001, BS004, BS006</t>
        </is>
      </c>
      <c r="H125" t="inlineStr">
        <is>
          <t>5 Desember 2009</t>
        </is>
      </c>
      <c r="I125" s="2" t="n">
        <v>46265</v>
      </c>
      <c r="J125" t="inlineStr">
        <is>
          <t>Disetujui</t>
        </is>
      </c>
      <c r="K125" t="n">
        <v>60</v>
      </c>
      <c r="L125" t="inlineStr">
        <is>
          <t>31 Agustus 2026</t>
        </is>
      </c>
      <c r="M125" t="inlineStr">
        <is>
          <t>Konstruksi Bangunan Sipil Jalan, Konstruksi Bangunan Sipil Prasarana dan Sarana Sistem Pengolahan Limbah Padat, Cair, dan Gas, Konstruksi Gedung Industri, Konstruksi Gedung Lainnya, Konstruksi Gedung Perbelanjaan, Konstruksi Gedung Tempat Hiburan dan Olahraga, Konstruksi Jaringan Irigasi dan Drainase</t>
        </is>
      </c>
      <c r="N125" t="inlineStr">
        <is>
          <t>K</t>
        </is>
      </c>
      <c r="O125" t="inlineStr">
        <is>
          <t>20230825</t>
        </is>
      </c>
      <c r="P125" t="inlineStr">
        <is>
          <t>Aceh</t>
        </is>
      </c>
      <c r="Q125" t="inlineStr"/>
    </row>
    <row r="126">
      <c r="A126" t="inlineStr">
        <is>
          <t>PUSPITA MANDIRI</t>
        </is>
      </c>
      <c r="B126" t="inlineStr">
        <is>
          <t>Kab. Aceh Utara</t>
        </is>
      </c>
      <c r="C126" t="inlineStr">
        <is>
          <t>082261834138</t>
        </is>
      </c>
      <c r="D126" t="inlineStr">
        <is>
          <t>puspitamandiri@gmail.com</t>
        </is>
      </c>
      <c r="E126" t="inlineStr">
        <is>
          <t>https://lpjk.pu.go.id/search-badan-usaha-detail/d0lTdFJZUEZXKzBwVEpuano2dzB0QT09</t>
        </is>
      </c>
      <c r="F126" t="n">
        <v>1</v>
      </c>
      <c r="G126" t="inlineStr">
        <is>
          <t>BS001</t>
        </is>
      </c>
      <c r="H126" t="inlineStr">
        <is>
          <t>16 Januari 2018</t>
        </is>
      </c>
      <c r="I126" s="2" t="n">
        <v>46265</v>
      </c>
      <c r="J126" t="inlineStr">
        <is>
          <t>Pencabutan</t>
        </is>
      </c>
      <c r="K126" t="n">
        <v>60</v>
      </c>
      <c r="L126" t="inlineStr">
        <is>
          <t>31 Agustus 2026</t>
        </is>
      </c>
      <c r="M126" t="inlineStr">
        <is>
          <t>Konstruksi Bangunan Sipil Jalan</t>
        </is>
      </c>
      <c r="N126" t="inlineStr">
        <is>
          <t>K</t>
        </is>
      </c>
      <c r="O126" t="inlineStr">
        <is>
          <t>20230818</t>
        </is>
      </c>
      <c r="P126" t="inlineStr">
        <is>
          <t>Aceh</t>
        </is>
      </c>
      <c r="Q126" t="inlineStr"/>
    </row>
    <row r="127">
      <c r="A127" t="inlineStr">
        <is>
          <t>PUTRA PARUNG JAYA</t>
        </is>
      </c>
      <c r="B127" t="inlineStr">
        <is>
          <t>Kab. Karawang</t>
        </is>
      </c>
      <c r="C127" t="inlineStr">
        <is>
          <t>085899987019</t>
        </is>
      </c>
      <c r="D127" t="inlineStr">
        <is>
          <t>ptputraparungjaya9@gmail.com</t>
        </is>
      </c>
      <c r="E127" t="inlineStr">
        <is>
          <t>https://lpjk.pu.go.id/search-badan-usaha-detail/SExTbHZwY3Jjdkp4cUVXbnlYV1ZBQT09</t>
        </is>
      </c>
      <c r="F127" t="n">
        <v>3</v>
      </c>
      <c r="G127" t="inlineStr">
        <is>
          <t>BG002, BG003, BG009</t>
        </is>
      </c>
      <c r="H127" t="inlineStr">
        <is>
          <t>16 Agustus 2021</t>
        </is>
      </c>
      <c r="I127" s="2" t="n">
        <v>46265</v>
      </c>
      <c r="J127" t="inlineStr">
        <is>
          <t>Pencabutan</t>
        </is>
      </c>
      <c r="K127" t="n">
        <v>60</v>
      </c>
      <c r="L127" t="inlineStr">
        <is>
          <t>31 Agustus 2026</t>
        </is>
      </c>
      <c r="M127" t="inlineStr">
        <is>
          <t>Konstruksi Gedung Industri, Konstruksi Gedung Lainnya, Konstruksi Gedung Perkantoran</t>
        </is>
      </c>
      <c r="N127" t="inlineStr">
        <is>
          <t>K</t>
        </is>
      </c>
      <c r="O127" t="inlineStr">
        <is>
          <t>20230830</t>
        </is>
      </c>
      <c r="P127" t="inlineStr">
        <is>
          <t>Jawa Barat</t>
        </is>
      </c>
      <c r="Q127" t="inlineStr"/>
    </row>
    <row r="128">
      <c r="A128" t="inlineStr">
        <is>
          <t>PUTRA SEMBADA</t>
        </is>
      </c>
      <c r="B128" t="inlineStr">
        <is>
          <t>Kab. Demak</t>
        </is>
      </c>
      <c r="C128" t="inlineStr">
        <is>
          <t>085325354797</t>
        </is>
      </c>
      <c r="D128" t="inlineStr">
        <is>
          <t>putrasembada45@gmail.com</t>
        </is>
      </c>
      <c r="E128" t="inlineStr">
        <is>
          <t>https://lpjk.pu.go.id/search-badan-usaha-detail/dkttYTRlRGtVeUhpVmczN2NRbWR4QT09</t>
        </is>
      </c>
      <c r="F128" t="n">
        <v>1</v>
      </c>
      <c r="G128" t="inlineStr">
        <is>
          <t>BG002</t>
        </is>
      </c>
      <c r="H128" t="inlineStr">
        <is>
          <t>19 Januari 2010</t>
        </is>
      </c>
      <c r="I128" s="2" t="n">
        <v>46265</v>
      </c>
      <c r="J128" t="inlineStr">
        <is>
          <t>Disetujui</t>
        </is>
      </c>
      <c r="K128" t="n">
        <v>60</v>
      </c>
      <c r="L128" t="inlineStr">
        <is>
          <t>31 Agustus 2026</t>
        </is>
      </c>
      <c r="M128" t="inlineStr">
        <is>
          <t>Konstruksi Gedung Perkantoran</t>
        </is>
      </c>
      <c r="N128" t="inlineStr">
        <is>
          <t>K</t>
        </is>
      </c>
      <c r="O128" t="inlineStr">
        <is>
          <t>20230829</t>
        </is>
      </c>
      <c r="P128" t="inlineStr">
        <is>
          <t>Jawa Tengah</t>
        </is>
      </c>
      <c r="Q128" t="inlineStr"/>
    </row>
    <row r="129">
      <c r="A129" t="inlineStr">
        <is>
          <t>PUTRI TUNGGAL PERKASA</t>
        </is>
      </c>
      <c r="B129" t="inlineStr">
        <is>
          <t>-</t>
        </is>
      </c>
      <c r="C129" t="inlineStr">
        <is>
          <t>085356525251</t>
        </is>
      </c>
      <c r="D129" t="inlineStr">
        <is>
          <t>putritunggalperkasa79@gmail.com</t>
        </is>
      </c>
      <c r="E129" t="inlineStr">
        <is>
          <t>https://lpjk.pu.go.id/search-badan-usaha-detail/MmlSOXdiZ2lacjV2eTlWNzFnTHd4QT09</t>
        </is>
      </c>
      <c r="F129" t="n">
        <v>1</v>
      </c>
      <c r="G129" t="inlineStr">
        <is>
          <t>BS004</t>
        </is>
      </c>
      <c r="H129" t="inlineStr">
        <is>
          <t>7 Oktober 2009</t>
        </is>
      </c>
      <c r="I129" s="2" t="n">
        <v>46265</v>
      </c>
      <c r="J129" t="inlineStr">
        <is>
          <t>Disetujui</t>
        </is>
      </c>
      <c r="K129" t="n">
        <v>60</v>
      </c>
      <c r="L129" t="inlineStr">
        <is>
          <t>31 Agustus 2026</t>
        </is>
      </c>
      <c r="M129" t="inlineStr">
        <is>
          <t>Konstruksi Jaringan Irigasi dan Drainase</t>
        </is>
      </c>
      <c r="N129" t="inlineStr">
        <is>
          <t>K</t>
        </is>
      </c>
      <c r="O129" t="inlineStr">
        <is>
          <t>20230831</t>
        </is>
      </c>
      <c r="P129" t="inlineStr">
        <is>
          <t>Riau</t>
        </is>
      </c>
      <c r="Q129" t="inlineStr"/>
    </row>
    <row r="130">
      <c r="A130" t="inlineStr">
        <is>
          <t>RAGITA PRAKASA ISTIMEWA</t>
        </is>
      </c>
      <c r="B130" t="inlineStr">
        <is>
          <t>Kab. Purwakarta</t>
        </is>
      </c>
      <c r="C130" t="inlineStr">
        <is>
          <t>0817204980</t>
        </is>
      </c>
      <c r="D130" t="inlineStr">
        <is>
          <t>ragitaprakasaistimewa12@gmail.com</t>
        </is>
      </c>
      <c r="E130" t="inlineStr">
        <is>
          <t>https://lpjk.pu.go.id/search-badan-usaha-detail/M0xLRzU2ZXZ5N2RIRlRrWCtZWTVHdz09</t>
        </is>
      </c>
      <c r="F130" t="n">
        <v>3</v>
      </c>
      <c r="G130" t="inlineStr">
        <is>
          <t>BG003, BS001, BS004</t>
        </is>
      </c>
      <c r="H130" t="inlineStr">
        <is>
          <t>26 Februari 2025</t>
        </is>
      </c>
      <c r="I130" s="2" t="n">
        <v>46265</v>
      </c>
      <c r="J130" t="inlineStr">
        <is>
          <t>Disetujui</t>
        </is>
      </c>
      <c r="K130" t="n">
        <v>60</v>
      </c>
      <c r="L130" t="inlineStr">
        <is>
          <t>31 Agustus 2026</t>
        </is>
      </c>
      <c r="M130" t="inlineStr">
        <is>
          <t>Konstruksi Bangunan Sipil Jalan, Konstruksi Gedung Industri, Konstruksi Jaringan Irigasi dan Drainase</t>
        </is>
      </c>
      <c r="N130" t="inlineStr">
        <is>
          <t>K</t>
        </is>
      </c>
      <c r="O130" t="inlineStr">
        <is>
          <t>20230824, 20230831</t>
        </is>
      </c>
      <c r="P130" t="inlineStr">
        <is>
          <t>Jawa Barat</t>
        </is>
      </c>
      <c r="Q130" t="inlineStr"/>
    </row>
    <row r="131">
      <c r="A131" t="inlineStr">
        <is>
          <t>RAHMA AULIA MANDIRI</t>
        </is>
      </c>
      <c r="B131" t="inlineStr">
        <is>
          <t>Kab. Bandung Barat</t>
        </is>
      </c>
      <c r="C131" t="inlineStr">
        <is>
          <t>083822781148</t>
        </is>
      </c>
      <c r="D131" t="inlineStr">
        <is>
          <t>rahma.auliamandirikbb223@gmail.com</t>
        </is>
      </c>
      <c r="E131" t="inlineStr">
        <is>
          <t>https://lpjk.pu.go.id/search-badan-usaha-detail/cGFVQktFUEFOK1NKcWMyZUFxNEpVdz09</t>
        </is>
      </c>
      <c r="F131" t="n">
        <v>1</v>
      </c>
      <c r="G131" t="inlineStr">
        <is>
          <t>BS001</t>
        </is>
      </c>
      <c r="H131" t="inlineStr">
        <is>
          <t>25 Januari 2019</t>
        </is>
      </c>
      <c r="I131" s="2" t="n">
        <v>46265</v>
      </c>
      <c r="J131" t="inlineStr">
        <is>
          <t>Disetujui</t>
        </is>
      </c>
      <c r="K131" t="n">
        <v>60</v>
      </c>
      <c r="L131" t="inlineStr">
        <is>
          <t>31 Agustus 2026</t>
        </is>
      </c>
      <c r="M131" t="inlineStr">
        <is>
          <t>Konstruksi Bangunan Sipil Jalan</t>
        </is>
      </c>
      <c r="N131" t="inlineStr">
        <is>
          <t>K</t>
        </is>
      </c>
      <c r="O131" t="inlineStr">
        <is>
          <t>20230830</t>
        </is>
      </c>
      <c r="P131" t="inlineStr">
        <is>
          <t>Jawa Barat</t>
        </is>
      </c>
      <c r="Q131" t="inlineStr"/>
    </row>
    <row r="132">
      <c r="A132" t="inlineStr">
        <is>
          <t>RAIHAN PRIMA MANDIRI</t>
        </is>
      </c>
      <c r="B132" t="inlineStr">
        <is>
          <t>Kab. Kotawaringin Barat</t>
        </is>
      </c>
      <c r="C132" t="inlineStr">
        <is>
          <t>08125157941</t>
        </is>
      </c>
      <c r="D132" t="inlineStr">
        <is>
          <t>raihanprimamandiri@yahoo.co.id</t>
        </is>
      </c>
      <c r="E132" t="inlineStr">
        <is>
          <t>https://lpjk.pu.go.id/search-badan-usaha-detail/M1JjQVNWRDBJbW9DR0VMd1VIS1dUdz09</t>
        </is>
      </c>
      <c r="F132" t="n">
        <v>2</v>
      </c>
      <c r="G132" t="inlineStr">
        <is>
          <t>BS010</t>
        </is>
      </c>
      <c r="H132" t="inlineStr">
        <is>
          <t>21 Juni 2012</t>
        </is>
      </c>
      <c r="I132" s="2" t="n">
        <v>46265</v>
      </c>
      <c r="J132" t="inlineStr">
        <is>
          <t>Disetujui</t>
        </is>
      </c>
      <c r="K132" t="n">
        <v>60</v>
      </c>
      <c r="L132" t="inlineStr">
        <is>
          <t>31 Agustus 2026</t>
        </is>
      </c>
      <c r="M132" t="inlineStr">
        <is>
          <t>Konstruksi Bangunan Prasarana Sumber Daya Air</t>
        </is>
      </c>
      <c r="N132" t="inlineStr">
        <is>
          <t>K</t>
        </is>
      </c>
      <c r="O132" t="inlineStr">
        <is>
          <t>20230825</t>
        </is>
      </c>
      <c r="P132" t="inlineStr">
        <is>
          <t>Kalimantan Tengah</t>
        </is>
      </c>
      <c r="Q132" t="inlineStr"/>
    </row>
    <row r="133">
      <c r="A133" t="inlineStr">
        <is>
          <t>RINJANI UTAMA ABADI</t>
        </is>
      </c>
      <c r="B133" t="inlineStr">
        <is>
          <t>Kota Bandung</t>
        </is>
      </c>
      <c r="C133" t="inlineStr">
        <is>
          <t>02220686181</t>
        </is>
      </c>
      <c r="D133" t="inlineStr">
        <is>
          <t>ptrinjaniutama@gmail.com</t>
        </is>
      </c>
      <c r="E133" t="inlineStr">
        <is>
          <t>https://lpjk.pu.go.id/search-badan-usaha-detail/bk9lenFXTWRLS3VaZDc5MXZTbld3Zz09</t>
        </is>
      </c>
      <c r="F133" t="n">
        <v>2</v>
      </c>
      <c r="G133" t="inlineStr">
        <is>
          <t>BG006, BG009</t>
        </is>
      </c>
      <c r="H133" t="inlineStr">
        <is>
          <t>3 Agustus 2021</t>
        </is>
      </c>
      <c r="I133" s="2" t="n">
        <v>46265</v>
      </c>
      <c r="J133" t="inlineStr">
        <is>
          <t>Disetujui</t>
        </is>
      </c>
      <c r="K133" t="n">
        <v>60</v>
      </c>
      <c r="L133" t="inlineStr">
        <is>
          <t>31 Agustus 2026</t>
        </is>
      </c>
      <c r="M133" t="inlineStr">
        <is>
          <t>Konstruksi Gedung Lainnya, Konstruksi Gedung Pendidikan</t>
        </is>
      </c>
      <c r="N133" t="inlineStr">
        <is>
          <t>K</t>
        </is>
      </c>
      <c r="O133" t="inlineStr">
        <is>
          <t>20220603, 20230830</t>
        </is>
      </c>
      <c r="P133" t="inlineStr">
        <is>
          <t>Jawa Barat</t>
        </is>
      </c>
      <c r="Q133" t="inlineStr"/>
    </row>
    <row r="134">
      <c r="A134" t="inlineStr">
        <is>
          <t>RIZKI HALAL</t>
        </is>
      </c>
      <c r="B134" t="inlineStr">
        <is>
          <t>Kab. Kendal</t>
        </is>
      </c>
      <c r="C134" t="inlineStr">
        <is>
          <t>0294384018</t>
        </is>
      </c>
      <c r="D134" t="inlineStr">
        <is>
          <t>guficonst@gmail.com</t>
        </is>
      </c>
      <c r="E134" t="inlineStr">
        <is>
          <t>https://lpjk.pu.go.id/search-badan-usaha-detail/a2NzTE9jNFlMTGc5YWpyY21xRzBIQT09</t>
        </is>
      </c>
      <c r="F134" t="n">
        <v>1</v>
      </c>
      <c r="G134" t="inlineStr">
        <is>
          <t>BS001</t>
        </is>
      </c>
      <c r="H134" t="inlineStr">
        <is>
          <t>1 Februari 2001</t>
        </is>
      </c>
      <c r="I134" s="2" t="n">
        <v>46265</v>
      </c>
      <c r="J134" t="inlineStr">
        <is>
          <t>Disetujui</t>
        </is>
      </c>
      <c r="K134" t="n">
        <v>60</v>
      </c>
      <c r="L134" t="inlineStr">
        <is>
          <t>31 Agustus 2026</t>
        </is>
      </c>
      <c r="M134" t="inlineStr">
        <is>
          <t>Konstruksi Bangunan Sipil Jalan</t>
        </is>
      </c>
      <c r="N134" t="inlineStr">
        <is>
          <t>K</t>
        </is>
      </c>
      <c r="O134" t="inlineStr">
        <is>
          <t>20230829</t>
        </is>
      </c>
      <c r="P134" t="inlineStr">
        <is>
          <t>Jawa Tengah</t>
        </is>
      </c>
      <c r="Q134" t="inlineStr"/>
    </row>
    <row r="135">
      <c r="A135" t="inlineStr">
        <is>
          <t>RIZKI UTAMA TEKNIK</t>
        </is>
      </c>
      <c r="B135" t="inlineStr">
        <is>
          <t>Kota Medan</t>
        </is>
      </c>
      <c r="C135" t="inlineStr">
        <is>
          <t>081269741858</t>
        </is>
      </c>
      <c r="D135" t="inlineStr">
        <is>
          <t>cv.rizkiutamateknik@gmail.com</t>
        </is>
      </c>
      <c r="E135" t="inlineStr">
        <is>
          <t>https://lpjk.pu.go.id/search-badan-usaha-detail/YlpRNTZSRTQ1MjRlcU81TkJ4ZUxoZz09</t>
        </is>
      </c>
      <c r="F135" t="n">
        <v>1</v>
      </c>
      <c r="G135" t="inlineStr">
        <is>
          <t>BS001</t>
        </is>
      </c>
      <c r="H135" t="inlineStr">
        <is>
          <t>7 Februari 2020</t>
        </is>
      </c>
      <c r="I135" s="2" t="n">
        <v>46265</v>
      </c>
      <c r="J135" t="inlineStr">
        <is>
          <t>Disetujui</t>
        </is>
      </c>
      <c r="K135" t="n">
        <v>60</v>
      </c>
      <c r="L135" t="inlineStr">
        <is>
          <t>31 Agustus 2026</t>
        </is>
      </c>
      <c r="M135" t="inlineStr">
        <is>
          <t>Konstruksi Bangunan Sipil Jalan</t>
        </is>
      </c>
      <c r="N135" t="inlineStr">
        <is>
          <t>K</t>
        </is>
      </c>
      <c r="O135" t="inlineStr">
        <is>
          <t>20230830</t>
        </is>
      </c>
      <c r="P135" t="inlineStr">
        <is>
          <t>Sumatera Utara</t>
        </is>
      </c>
      <c r="Q135" t="inlineStr"/>
    </row>
    <row r="136">
      <c r="A136" t="inlineStr">
        <is>
          <t>RIZKY AGUNG ABADI</t>
        </is>
      </c>
      <c r="B136" t="inlineStr">
        <is>
          <t>Kota Pasuruan</t>
        </is>
      </c>
      <c r="C136" t="inlineStr">
        <is>
          <t>081330490677</t>
        </is>
      </c>
      <c r="D136" t="inlineStr">
        <is>
          <t>rizkyagungabadi@gmail.com</t>
        </is>
      </c>
      <c r="E136" t="inlineStr">
        <is>
          <t>https://lpjk.pu.go.id/search-badan-usaha-detail/eEEzdDNkb0N1eEdVV2ZkQmJ6RHc2UT09</t>
        </is>
      </c>
      <c r="F136" t="n">
        <v>3</v>
      </c>
      <c r="G136" t="inlineStr">
        <is>
          <t>BG006, BS001, BS004</t>
        </is>
      </c>
      <c r="H136" t="inlineStr">
        <is>
          <t>7 Maret 2016</t>
        </is>
      </c>
      <c r="I136" s="2" t="n">
        <v>46265</v>
      </c>
      <c r="J136" t="inlineStr">
        <is>
          <t>Disetujui</t>
        </is>
      </c>
      <c r="K136" t="n">
        <v>60</v>
      </c>
      <c r="L136" t="inlineStr">
        <is>
          <t>31 Agustus 2026</t>
        </is>
      </c>
      <c r="M136" t="inlineStr">
        <is>
          <t>Konstruksi Bangunan Sipil Jalan, Konstruksi Gedung Pendidikan, Konstruksi Jaringan Irigasi dan Drainase</t>
        </is>
      </c>
      <c r="N136" t="inlineStr">
        <is>
          <t>K</t>
        </is>
      </c>
      <c r="O136" t="inlineStr">
        <is>
          <t>20230823</t>
        </is>
      </c>
      <c r="P136" t="inlineStr">
        <is>
          <t>Jawa Timur</t>
        </is>
      </c>
      <c r="Q136" t="inlineStr"/>
    </row>
    <row r="137">
      <c r="A137" t="inlineStr">
        <is>
          <t>SABIL KURNIA INDAH</t>
        </is>
      </c>
      <c r="B137" t="inlineStr">
        <is>
          <t>Kab. Cirebon</t>
        </is>
      </c>
      <c r="C137" t="inlineStr">
        <is>
          <t>081395649889</t>
        </is>
      </c>
      <c r="D137" t="inlineStr">
        <is>
          <t>sabilkurniaindah.cv@gmail.com</t>
        </is>
      </c>
      <c r="E137" t="inlineStr">
        <is>
          <t>https://lpjk.pu.go.id/search-badan-usaha-detail/ajNXa0ZGeVcrVTM4WmdqWWs2RkdYUT09</t>
        </is>
      </c>
      <c r="F137" t="n">
        <v>2</v>
      </c>
      <c r="G137" t="inlineStr">
        <is>
          <t>BG005, BG006</t>
        </is>
      </c>
      <c r="H137" t="inlineStr">
        <is>
          <t>11 Juni 2013</t>
        </is>
      </c>
      <c r="I137" s="2" t="n">
        <v>46265</v>
      </c>
      <c r="J137" t="inlineStr">
        <is>
          <t>Disetujui</t>
        </is>
      </c>
      <c r="K137" t="n">
        <v>60</v>
      </c>
      <c r="L137" t="inlineStr">
        <is>
          <t>31 Agustus 2026</t>
        </is>
      </c>
      <c r="M137" t="inlineStr">
        <is>
          <t>Konstruksi Gedung Kesehatan, Konstruksi Gedung Pendidikan</t>
        </is>
      </c>
      <c r="N137" t="inlineStr">
        <is>
          <t>K</t>
        </is>
      </c>
      <c r="O137" t="inlineStr">
        <is>
          <t>20230829</t>
        </is>
      </c>
      <c r="P137" t="inlineStr">
        <is>
          <t>Jawa Barat</t>
        </is>
      </c>
      <c r="Q137" t="inlineStr"/>
    </row>
    <row r="138">
      <c r="A138" t="inlineStr">
        <is>
          <t>SAMUDRA JAYAKARTA</t>
        </is>
      </c>
      <c r="B138" t="inlineStr">
        <is>
          <t>Kab. Lumajang</t>
        </is>
      </c>
      <c r="C138" t="inlineStr">
        <is>
          <t>081222000909</t>
        </is>
      </c>
      <c r="D138" t="inlineStr">
        <is>
          <t>samudrajayakarta49@gmail.com</t>
        </is>
      </c>
      <c r="E138" t="inlineStr">
        <is>
          <t>https://lpjk.pu.go.id/search-badan-usaha-detail/U01jMHpWdkxRNlNlbmk5SHY4UmlWQT09</t>
        </is>
      </c>
      <c r="F138" t="n">
        <v>1</v>
      </c>
      <c r="G138" t="inlineStr">
        <is>
          <t>BS001</t>
        </is>
      </c>
      <c r="H138" t="inlineStr">
        <is>
          <t>1 Agustus 2023</t>
        </is>
      </c>
      <c r="I138" s="2" t="n">
        <v>46265</v>
      </c>
      <c r="J138" t="inlineStr">
        <is>
          <t>Disetujui</t>
        </is>
      </c>
      <c r="K138" t="n">
        <v>60</v>
      </c>
      <c r="L138" t="inlineStr">
        <is>
          <t>31 Agustus 2026</t>
        </is>
      </c>
      <c r="M138" t="inlineStr">
        <is>
          <t>Konstruksi Bangunan Sipil Jalan</t>
        </is>
      </c>
      <c r="N138" t="inlineStr">
        <is>
          <t>K</t>
        </is>
      </c>
      <c r="O138" t="inlineStr">
        <is>
          <t>20230826</t>
        </is>
      </c>
      <c r="P138" t="inlineStr">
        <is>
          <t>Jawa Timur</t>
        </is>
      </c>
      <c r="Q138" t="inlineStr"/>
    </row>
    <row r="139">
      <c r="A139" t="inlineStr">
        <is>
          <t>SARAH HANDIKA</t>
        </is>
      </c>
      <c r="B139" t="inlineStr">
        <is>
          <t>Kab. Seluma</t>
        </is>
      </c>
      <c r="C139" t="inlineStr">
        <is>
          <t>081278601716</t>
        </is>
      </c>
      <c r="D139" t="inlineStr">
        <is>
          <t>cvsarahhandika@gmail.com</t>
        </is>
      </c>
      <c r="E139" t="inlineStr">
        <is>
          <t>https://lpjk.pu.go.id/search-badan-usaha-detail/Z3E0WUxZOUlUN1BYcnVjMmdWVjl4UT09</t>
        </is>
      </c>
      <c r="F139" t="n">
        <v>1</v>
      </c>
      <c r="G139" t="inlineStr">
        <is>
          <t>BG005</t>
        </is>
      </c>
      <c r="H139" t="inlineStr">
        <is>
          <t>16 Januari 1992</t>
        </is>
      </c>
      <c r="I139" s="2" t="n">
        <v>46265</v>
      </c>
      <c r="J139" t="inlineStr">
        <is>
          <t>Disetujui</t>
        </is>
      </c>
      <c r="K139" t="n">
        <v>60</v>
      </c>
      <c r="L139" t="inlineStr">
        <is>
          <t>31 Agustus 2026</t>
        </is>
      </c>
      <c r="M139" t="inlineStr">
        <is>
          <t>Konstruksi Gedung Kesehatan</t>
        </is>
      </c>
      <c r="N139" t="inlineStr">
        <is>
          <t>K</t>
        </is>
      </c>
      <c r="O139" t="inlineStr">
        <is>
          <t>20230830</t>
        </is>
      </c>
      <c r="P139" t="inlineStr">
        <is>
          <t>Bengkulu</t>
        </is>
      </c>
      <c r="Q139" t="inlineStr"/>
    </row>
    <row r="140">
      <c r="A140" t="inlineStr">
        <is>
          <t>SARANA BANGUN NUSA ENGINEERING</t>
        </is>
      </c>
      <c r="B140" t="inlineStr">
        <is>
          <t>Kota Kupang</t>
        </is>
      </c>
      <c r="C140" t="inlineStr">
        <is>
          <t>082244738282</t>
        </is>
      </c>
      <c r="D140" t="inlineStr">
        <is>
          <t>sarana_bangun_nusa_eng@yahoo.com</t>
        </is>
      </c>
      <c r="E140" t="inlineStr">
        <is>
          <t>https://lpjk.pu.go.id/search-badan-usaha-detail/ME1lR1I4UkxpSGVTY2QxcHo2YjJ6UT09</t>
        </is>
      </c>
      <c r="F140" t="n">
        <v>2</v>
      </c>
      <c r="G140" t="inlineStr">
        <is>
          <t>AR001, AR002</t>
        </is>
      </c>
      <c r="H140" t="inlineStr">
        <is>
          <t>4 Oktober 2007</t>
        </is>
      </c>
      <c r="I140" s="2" t="n">
        <v>46265</v>
      </c>
      <c r="J140" t="inlineStr">
        <is>
          <t>Disetujui</t>
        </is>
      </c>
      <c r="K140" t="n">
        <v>60</v>
      </c>
      <c r="L140" t="inlineStr">
        <is>
          <t>31 Agustus 2026</t>
        </is>
      </c>
      <c r="M140" t="inlineStr">
        <is>
          <t>Jasa Arsitektural Bangunan Gedung Hunian dan Non Hunian, Jasa Arsitektural Lainnya</t>
        </is>
      </c>
      <c r="N140" t="inlineStr">
        <is>
          <t>K</t>
        </is>
      </c>
      <c r="O140" t="inlineStr">
        <is>
          <t>20230804, 20230805</t>
        </is>
      </c>
      <c r="P140" t="inlineStr">
        <is>
          <t>Nusa Tenggara Timur</t>
        </is>
      </c>
      <c r="Q140" t="inlineStr"/>
    </row>
    <row r="141">
      <c r="A141" t="inlineStr">
        <is>
          <t>SARANA MULIA</t>
        </is>
      </c>
      <c r="B141" t="inlineStr">
        <is>
          <t>Kota Banjarbaru</t>
        </is>
      </c>
      <c r="C141" t="inlineStr">
        <is>
          <t>085248206246</t>
        </is>
      </c>
      <c r="D141" t="inlineStr">
        <is>
          <t>cv.sarana.mulia.2020@gmail.com</t>
        </is>
      </c>
      <c r="E141" t="inlineStr">
        <is>
          <t>https://lpjk.pu.go.id/search-badan-usaha-detail/Z3hNRjVBOWlqSTJhbElOOGM4L1l6QT09</t>
        </is>
      </c>
      <c r="F141" t="n">
        <v>1</v>
      </c>
      <c r="G141" t="inlineStr">
        <is>
          <t>BG002</t>
        </is>
      </c>
      <c r="H141" t="inlineStr">
        <is>
          <t>10 Februari 2020</t>
        </is>
      </c>
      <c r="I141" s="2" t="n">
        <v>46265</v>
      </c>
      <c r="J141" t="inlineStr">
        <is>
          <t>Disetujui</t>
        </is>
      </c>
      <c r="K141" t="n">
        <v>60</v>
      </c>
      <c r="L141" t="inlineStr">
        <is>
          <t>31 Agustus 2026</t>
        </is>
      </c>
      <c r="M141" t="inlineStr">
        <is>
          <t>Konstruksi Gedung Perkantoran</t>
        </is>
      </c>
      <c r="N141" t="inlineStr">
        <is>
          <t>K</t>
        </is>
      </c>
      <c r="O141" t="inlineStr">
        <is>
          <t>20230901</t>
        </is>
      </c>
      <c r="P141" t="inlineStr">
        <is>
          <t>Kalimantan Selatan</t>
        </is>
      </c>
      <c r="Q141" t="inlineStr"/>
    </row>
    <row r="142">
      <c r="A142" t="inlineStr">
        <is>
          <t>SARANA NUSA UTAMA</t>
        </is>
      </c>
      <c r="B142" t="inlineStr">
        <is>
          <t>Kota Bandung</t>
        </is>
      </c>
      <c r="C142" t="inlineStr">
        <is>
          <t>081911000324</t>
        </is>
      </c>
      <c r="D142" t="inlineStr">
        <is>
          <t>sarananusautama@gmail.com</t>
        </is>
      </c>
      <c r="E142" t="inlineStr">
        <is>
          <t>https://lpjk.pu.go.id/search-badan-usaha-detail/dFdrR3lyVFB2cDRWMFNUUkp3VUJIZz09</t>
        </is>
      </c>
      <c r="F142" t="n">
        <v>2</v>
      </c>
      <c r="G142" t="inlineStr">
        <is>
          <t>BG002, BG008</t>
        </is>
      </c>
      <c r="H142" t="inlineStr">
        <is>
          <t>14 Juni 2023</t>
        </is>
      </c>
      <c r="I142" s="2" t="n">
        <v>46265</v>
      </c>
      <c r="J142" t="inlineStr">
        <is>
          <t>Disetujui</t>
        </is>
      </c>
      <c r="K142" t="n">
        <v>60</v>
      </c>
      <c r="L142" t="inlineStr">
        <is>
          <t>31 Agustus 2026</t>
        </is>
      </c>
      <c r="M142" t="inlineStr">
        <is>
          <t>Konstruksi Gedung Perkantoran, Konstruksi Gedung Tempat Hiburan dan Olahraga</t>
        </is>
      </c>
      <c r="N142" t="inlineStr">
        <is>
          <t>K</t>
        </is>
      </c>
      <c r="O142" t="inlineStr">
        <is>
          <t>20230830</t>
        </is>
      </c>
      <c r="P142" t="inlineStr">
        <is>
          <t>Jawa Barat</t>
        </is>
      </c>
      <c r="Q142" t="inlineStr"/>
    </row>
    <row r="143">
      <c r="A143" t="inlineStr">
        <is>
          <t>SEMERU PRESISI</t>
        </is>
      </c>
      <c r="B143" t="inlineStr">
        <is>
          <t>Kab. Lumajang</t>
        </is>
      </c>
      <c r="C143" t="inlineStr">
        <is>
          <t>082233181553</t>
        </is>
      </c>
      <c r="D143" t="inlineStr">
        <is>
          <t>semerupresisi@gmail.com</t>
        </is>
      </c>
      <c r="E143" t="inlineStr">
        <is>
          <t>https://lpjk.pu.go.id/search-badan-usaha-detail/ejFuTm1TeStWNytpM2trZWVacUJDUT09</t>
        </is>
      </c>
      <c r="F143" t="n">
        <v>1</v>
      </c>
      <c r="G143" t="inlineStr">
        <is>
          <t>BS004</t>
        </is>
      </c>
      <c r="H143" t="inlineStr">
        <is>
          <t>25 Juli 2023</t>
        </is>
      </c>
      <c r="I143" s="2" t="n">
        <v>46265</v>
      </c>
      <c r="J143" t="inlineStr">
        <is>
          <t>Disetujui</t>
        </is>
      </c>
      <c r="K143" t="n">
        <v>60</v>
      </c>
      <c r="L143" t="inlineStr">
        <is>
          <t>31 Agustus 2026</t>
        </is>
      </c>
      <c r="M143" t="inlineStr">
        <is>
          <t>Konstruksi Jaringan Irigasi dan Drainase</t>
        </is>
      </c>
      <c r="N143" t="inlineStr">
        <is>
          <t>K</t>
        </is>
      </c>
      <c r="O143" t="inlineStr">
        <is>
          <t>20230818</t>
        </is>
      </c>
      <c r="P143" t="inlineStr">
        <is>
          <t>Jawa Timur</t>
        </is>
      </c>
      <c r="Q143" t="inlineStr"/>
    </row>
    <row r="144">
      <c r="A144" t="inlineStr">
        <is>
          <t>SENDANG DAKARA NUSANTARA</t>
        </is>
      </c>
      <c r="B144" t="inlineStr">
        <is>
          <t>Kab. Badung</t>
        </is>
      </c>
      <c r="C144" t="inlineStr">
        <is>
          <t>081999964805</t>
        </is>
      </c>
      <c r="D144" t="inlineStr">
        <is>
          <t>ptsendangdaksaranusantara@gmail.com</t>
        </is>
      </c>
      <c r="E144" t="inlineStr">
        <is>
          <t>https://lpjk.pu.go.id/search-badan-usaha-detail/ZHQ5SVR2cjFJTllxS3IwM1JGREd3dz09</t>
        </is>
      </c>
      <c r="F144" t="n">
        <v>2</v>
      </c>
      <c r="G144" t="inlineStr">
        <is>
          <t>BG003, BS004</t>
        </is>
      </c>
      <c r="H144" t="inlineStr">
        <is>
          <t>11 Oktober 2022</t>
        </is>
      </c>
      <c r="I144" s="2" t="n">
        <v>46265</v>
      </c>
      <c r="J144" t="inlineStr">
        <is>
          <t>Disetujui</t>
        </is>
      </c>
      <c r="K144" t="n">
        <v>60</v>
      </c>
      <c r="L144" t="inlineStr">
        <is>
          <t>31 Agustus 2026</t>
        </is>
      </c>
      <c r="M144" t="inlineStr">
        <is>
          <t>Konstruksi Gedung Industri, Konstruksi Jaringan Irigasi dan Drainase</t>
        </is>
      </c>
      <c r="N144" t="inlineStr">
        <is>
          <t>K</t>
        </is>
      </c>
      <c r="O144" t="inlineStr">
        <is>
          <t>20230823</t>
        </is>
      </c>
      <c r="P144" t="inlineStr">
        <is>
          <t>Bali</t>
        </is>
      </c>
      <c r="Q144" t="inlineStr"/>
    </row>
    <row r="145">
      <c r="A145" t="inlineStr">
        <is>
          <t>SHERIL PUTRI MANDIRI</t>
        </is>
      </c>
      <c r="B145" t="inlineStr">
        <is>
          <t>Kab. Cirebon</t>
        </is>
      </c>
      <c r="C145" t="inlineStr">
        <is>
          <t>081313117751</t>
        </is>
      </c>
      <c r="D145" t="inlineStr">
        <is>
          <t>CVSHERILPUTRIMANDIRI@GMAIL.COM</t>
        </is>
      </c>
      <c r="E145" t="inlineStr">
        <is>
          <t>https://lpjk.pu.go.id/search-badan-usaha-detail/OW5CcFNxUHlvVmRsa1ZvM0Vha0t3dz09</t>
        </is>
      </c>
      <c r="F145" t="n">
        <v>1</v>
      </c>
      <c r="G145" t="inlineStr">
        <is>
          <t>BS005</t>
        </is>
      </c>
      <c r="H145" t="inlineStr">
        <is>
          <t>8 Juni 2023</t>
        </is>
      </c>
      <c r="I145" s="2" t="n">
        <v>46265</v>
      </c>
      <c r="J145" t="inlineStr">
        <is>
          <t>Disetujui</t>
        </is>
      </c>
      <c r="K145" t="n">
        <v>60</v>
      </c>
      <c r="L145" t="inlineStr">
        <is>
          <t>31 Agustus 2026</t>
        </is>
      </c>
      <c r="M145" t="inlineStr">
        <is>
          <t>Konstruksi Bangunan Sipil Pengolahan Air Bersih</t>
        </is>
      </c>
      <c r="N145" t="inlineStr">
        <is>
          <t>K</t>
        </is>
      </c>
      <c r="O145" t="inlineStr">
        <is>
          <t>20230824</t>
        </is>
      </c>
      <c r="P145" t="inlineStr">
        <is>
          <t>Jawa Barat</t>
        </is>
      </c>
      <c r="Q145" t="inlineStr"/>
    </row>
    <row r="146">
      <c r="A146" t="inlineStr">
        <is>
          <t>SINAR DUNIA</t>
        </is>
      </c>
      <c r="B146" t="inlineStr">
        <is>
          <t>Kab. Banggai Kepulauan</t>
        </is>
      </c>
      <c r="C146" t="inlineStr">
        <is>
          <t>085394100700</t>
        </is>
      </c>
      <c r="D146" t="inlineStr">
        <is>
          <t>sdunia110@gmail.com</t>
        </is>
      </c>
      <c r="E146" t="inlineStr">
        <is>
          <t>https://lpjk.pu.go.id/search-badan-usaha-detail/VFJXWS9ZYWJrK3RSK0pINW9HNElVdz09</t>
        </is>
      </c>
      <c r="F146" t="n">
        <v>1</v>
      </c>
      <c r="G146" t="inlineStr">
        <is>
          <t>BG005</t>
        </is>
      </c>
      <c r="H146" t="inlineStr">
        <is>
          <t>22 Desember 2015</t>
        </is>
      </c>
      <c r="I146" s="2" t="n">
        <v>46265</v>
      </c>
      <c r="J146" t="inlineStr">
        <is>
          <t>Disetujui</t>
        </is>
      </c>
      <c r="K146" t="n">
        <v>60</v>
      </c>
      <c r="L146" t="inlineStr">
        <is>
          <t>31 Agustus 2026</t>
        </is>
      </c>
      <c r="M146" t="inlineStr">
        <is>
          <t>Konstruksi Gedung Kesehatan</t>
        </is>
      </c>
      <c r="N146" t="inlineStr">
        <is>
          <t>K</t>
        </is>
      </c>
      <c r="O146" t="inlineStr">
        <is>
          <t>20230901</t>
        </is>
      </c>
      <c r="P146" t="inlineStr">
        <is>
          <t>Sulawesi Tengah</t>
        </is>
      </c>
      <c r="Q146" t="inlineStr"/>
    </row>
    <row r="147">
      <c r="A147" t="inlineStr">
        <is>
          <t>SINAR INTAN</t>
        </is>
      </c>
      <c r="B147" t="inlineStr">
        <is>
          <t>Kab. Lombok Tengah</t>
        </is>
      </c>
      <c r="C147" t="inlineStr">
        <is>
          <t>087863996150</t>
        </is>
      </c>
      <c r="D147" t="inlineStr">
        <is>
          <t>sinarintan49@gmail.com</t>
        </is>
      </c>
      <c r="E147" t="inlineStr">
        <is>
          <t>https://lpjk.pu.go.id/search-badan-usaha-detail/eFBMais3OG5UeWxZek96QjA5Um5VZz09</t>
        </is>
      </c>
      <c r="F147" t="n">
        <v>1</v>
      </c>
      <c r="G147" t="inlineStr">
        <is>
          <t>BS001</t>
        </is>
      </c>
      <c r="H147" t="inlineStr">
        <is>
          <t>14 Februari 2013</t>
        </is>
      </c>
      <c r="I147" s="2" t="n">
        <v>46265</v>
      </c>
      <c r="J147" t="inlineStr">
        <is>
          <t>Pencabutan</t>
        </is>
      </c>
      <c r="K147" t="n">
        <v>60</v>
      </c>
      <c r="L147" t="inlineStr">
        <is>
          <t>31 Agustus 2026</t>
        </is>
      </c>
      <c r="M147" t="inlineStr">
        <is>
          <t>Konstruksi Bangunan Sipil Jalan</t>
        </is>
      </c>
      <c r="N147" t="inlineStr">
        <is>
          <t>K</t>
        </is>
      </c>
      <c r="O147" t="inlineStr">
        <is>
          <t>20230901</t>
        </is>
      </c>
      <c r="P147" t="inlineStr">
        <is>
          <t>Nusa Tenggara Barat</t>
        </is>
      </c>
      <c r="Q147" t="inlineStr"/>
    </row>
    <row r="148">
      <c r="A148" t="inlineStr">
        <is>
          <t>SINERGI LIMA EMPAT</t>
        </is>
      </c>
      <c r="B148" t="inlineStr">
        <is>
          <t>Kota Surabaya</t>
        </is>
      </c>
      <c r="C148" t="inlineStr">
        <is>
          <t>081216835619</t>
        </is>
      </c>
      <c r="D148" t="inlineStr">
        <is>
          <t>cvsinergilimaempat@gmail.com</t>
        </is>
      </c>
      <c r="E148" t="inlineStr">
        <is>
          <t>https://lpjk.pu.go.id/search-badan-usaha-detail/RGV1Z0pTa1J3WWlzWDhEeHU3RUMwUHJIZldESzQvRW5jeWh5WnpPQ2pXOD0</t>
        </is>
      </c>
      <c r="F148" t="n">
        <v>1</v>
      </c>
      <c r="G148" t="inlineStr">
        <is>
          <t>BG004</t>
        </is>
      </c>
      <c r="H148" t="inlineStr">
        <is>
          <t>5 Juli 2023</t>
        </is>
      </c>
      <c r="I148" s="2" t="n">
        <v>46265</v>
      </c>
      <c r="J148" t="inlineStr">
        <is>
          <t>Disetujui</t>
        </is>
      </c>
      <c r="K148" t="n">
        <v>60</v>
      </c>
      <c r="L148" t="inlineStr">
        <is>
          <t>31 Agustus 2026</t>
        </is>
      </c>
      <c r="M148" t="inlineStr">
        <is>
          <t>Konstruksi Gedung Perbelanjaan</t>
        </is>
      </c>
      <c r="N148" t="inlineStr">
        <is>
          <t>K</t>
        </is>
      </c>
      <c r="O148" t="inlineStr">
        <is>
          <t>20230831</t>
        </is>
      </c>
      <c r="P148" t="inlineStr">
        <is>
          <t>Jawa Timur</t>
        </is>
      </c>
      <c r="Q148" t="inlineStr"/>
    </row>
    <row r="149">
      <c r="A149" t="inlineStr">
        <is>
          <t>SUMATERA PIONEER BUILDINGMATERIAL</t>
        </is>
      </c>
      <c r="B149" t="inlineStr">
        <is>
          <t>Kab. Deli Serdang</t>
        </is>
      </c>
      <c r="C149" t="inlineStr">
        <is>
          <t>06180520571</t>
        </is>
      </c>
      <c r="D149" t="inlineStr">
        <is>
          <t>kraton@kreasibeton.com</t>
        </is>
      </c>
      <c r="E149" t="inlineStr">
        <is>
          <t>https://lpjk.pu.go.id/search-badan-usaha-detail/ajl3Rzl3QVcrQ0FobFZickNXNWoydz09</t>
        </is>
      </c>
      <c r="F149" t="n">
        <v>1</v>
      </c>
      <c r="G149" t="inlineStr">
        <is>
          <t>BS004</t>
        </is>
      </c>
      <c r="H149" t="inlineStr">
        <is>
          <t>2 Agustus 2002</t>
        </is>
      </c>
      <c r="I149" s="2" t="n">
        <v>46265</v>
      </c>
      <c r="J149" t="inlineStr">
        <is>
          <t>Pencabutan</t>
        </is>
      </c>
      <c r="K149" t="n">
        <v>60</v>
      </c>
      <c r="L149" t="inlineStr">
        <is>
          <t>31 Agustus 2026</t>
        </is>
      </c>
      <c r="M149" t="inlineStr">
        <is>
          <t>Konstruksi Jaringan Irigasi dan Drainase</t>
        </is>
      </c>
      <c r="N149" t="inlineStr">
        <is>
          <t>K</t>
        </is>
      </c>
      <c r="O149" t="inlineStr">
        <is>
          <t>20230830</t>
        </is>
      </c>
      <c r="P149" t="inlineStr">
        <is>
          <t>Sumatera Utara</t>
        </is>
      </c>
      <c r="Q149" t="inlineStr"/>
    </row>
    <row r="150">
      <c r="A150" t="inlineStr">
        <is>
          <t>SUMBER RESKY</t>
        </is>
      </c>
      <c r="B150" t="inlineStr">
        <is>
          <t>Kota Pontianak</t>
        </is>
      </c>
      <c r="C150" t="inlineStr">
        <is>
          <t>082157818272</t>
        </is>
      </c>
      <c r="D150" t="inlineStr">
        <is>
          <t>CV.SumberResky@gmail.com</t>
        </is>
      </c>
      <c r="E150" t="inlineStr">
        <is>
          <t>https://lpjk.pu.go.id/search-badan-usaha-detail/NHduU0NUVkluK1ltT0lIdEFuU0Fzdz09</t>
        </is>
      </c>
      <c r="F150" t="n">
        <v>1</v>
      </c>
      <c r="G150" t="inlineStr">
        <is>
          <t>BS004</t>
        </is>
      </c>
      <c r="H150" t="inlineStr">
        <is>
          <t>7 Agustus 2019</t>
        </is>
      </c>
      <c r="I150" s="2" t="n">
        <v>46265</v>
      </c>
      <c r="J150" t="inlineStr">
        <is>
          <t>Pencabutan</t>
        </is>
      </c>
      <c r="K150" t="n">
        <v>60</v>
      </c>
      <c r="L150" t="inlineStr">
        <is>
          <t>31 Agustus 2026</t>
        </is>
      </c>
      <c r="M150" t="inlineStr">
        <is>
          <t>Konstruksi Jaringan Irigasi dan Drainase</t>
        </is>
      </c>
      <c r="N150" t="inlineStr">
        <is>
          <t>K</t>
        </is>
      </c>
      <c r="O150" t="inlineStr">
        <is>
          <t>20230510</t>
        </is>
      </c>
      <c r="P150" t="inlineStr">
        <is>
          <t>Kalimantan Barat</t>
        </is>
      </c>
      <c r="Q150" t="inlineStr"/>
    </row>
    <row r="151">
      <c r="A151" t="inlineStr">
        <is>
          <t>SURYA</t>
        </is>
      </c>
      <c r="B151" t="inlineStr">
        <is>
          <t>Kab. Trenggalek</t>
        </is>
      </c>
      <c r="C151" t="inlineStr">
        <is>
          <t>085335054171</t>
        </is>
      </c>
      <c r="D151" t="inlineStr">
        <is>
          <t>cvsurya506@gmail.com</t>
        </is>
      </c>
      <c r="E151" t="inlineStr">
        <is>
          <t>https://lpjk.pu.go.id/search-badan-usaha-detail/UDBFcWFzTitBSDRGR2RKNlQzMG5VQT09</t>
        </is>
      </c>
      <c r="F151" t="n">
        <v>1</v>
      </c>
      <c r="G151" t="inlineStr">
        <is>
          <t>BS004</t>
        </is>
      </c>
      <c r="H151" t="inlineStr">
        <is>
          <t>24 Februari 2004</t>
        </is>
      </c>
      <c r="I151" s="2" t="n">
        <v>46265</v>
      </c>
      <c r="J151" t="inlineStr">
        <is>
          <t>Disetujui</t>
        </is>
      </c>
      <c r="K151" t="n">
        <v>60</v>
      </c>
      <c r="L151" t="inlineStr">
        <is>
          <t>31 Agustus 2026</t>
        </is>
      </c>
      <c r="M151" t="inlineStr">
        <is>
          <t>Konstruksi Jaringan Irigasi dan Drainase</t>
        </is>
      </c>
      <c r="N151" t="inlineStr">
        <is>
          <t>K</t>
        </is>
      </c>
      <c r="O151" t="inlineStr">
        <is>
          <t>20230829</t>
        </is>
      </c>
      <c r="P151" t="inlineStr">
        <is>
          <t>Jawa Timur</t>
        </is>
      </c>
      <c r="Q151" t="inlineStr"/>
    </row>
    <row r="152">
      <c r="A152" t="inlineStr">
        <is>
          <t>TERANG DARMA SEJAHTERA</t>
        </is>
      </c>
      <c r="B152" t="inlineStr">
        <is>
          <t>Kota Adm. Jakarta Barat</t>
        </is>
      </c>
      <c r="C152" t="inlineStr">
        <is>
          <t>02122541876</t>
        </is>
      </c>
      <c r="D152" t="inlineStr">
        <is>
          <t>YAKUB.DARMAWAN@YAHOO.COM</t>
        </is>
      </c>
      <c r="E152" t="inlineStr">
        <is>
          <t>https://lpjk.pu.go.id/search-badan-usaha-detail/WUQwaWNGS1haTVByR1ltRk10a3FKQT09</t>
        </is>
      </c>
      <c r="F152" t="n">
        <v>4</v>
      </c>
      <c r="G152" t="inlineStr">
        <is>
          <t>BG003, BG009</t>
        </is>
      </c>
      <c r="H152" t="inlineStr">
        <is>
          <t>2 Agustus 2023</t>
        </is>
      </c>
      <c r="I152" s="2" t="n">
        <v>46265</v>
      </c>
      <c r="J152" t="inlineStr">
        <is>
          <t>Disetujui</t>
        </is>
      </c>
      <c r="K152" t="n">
        <v>60</v>
      </c>
      <c r="L152" t="inlineStr">
        <is>
          <t>31 Agustus 2026</t>
        </is>
      </c>
      <c r="M152" t="inlineStr">
        <is>
          <t>Konstruksi Gedung Industri, Konstruksi Gedung Lainnya</t>
        </is>
      </c>
      <c r="N152" t="inlineStr">
        <is>
          <t>K</t>
        </is>
      </c>
      <c r="O152" t="inlineStr">
        <is>
          <t>20230829</t>
        </is>
      </c>
      <c r="P152" t="inlineStr">
        <is>
          <t>DKI Jakarta</t>
        </is>
      </c>
      <c r="Q152" t="inlineStr"/>
    </row>
    <row r="153">
      <c r="A153" t="inlineStr">
        <is>
          <t>THREE LIONS</t>
        </is>
      </c>
      <c r="B153" t="inlineStr">
        <is>
          <t>Kab. Semarang</t>
        </is>
      </c>
      <c r="C153" t="inlineStr">
        <is>
          <t>0822 7408 8881</t>
        </is>
      </c>
      <c r="D153" t="inlineStr">
        <is>
          <t>threelions.cv@gmail.com</t>
        </is>
      </c>
      <c r="E153" t="inlineStr">
        <is>
          <t>https://lpjk.pu.go.id/search-badan-usaha-detail/QTg1K2FMQWJIOHB4T1JuWHpHOTREdz09</t>
        </is>
      </c>
      <c r="F153" t="n">
        <v>1</v>
      </c>
      <c r="G153" t="inlineStr">
        <is>
          <t>BS005</t>
        </is>
      </c>
      <c r="H153" t="inlineStr">
        <is>
          <t>13 November 2015</t>
        </is>
      </c>
      <c r="I153" s="2" t="n">
        <v>46265</v>
      </c>
      <c r="J153" t="inlineStr">
        <is>
          <t>Disetujui</t>
        </is>
      </c>
      <c r="K153" t="n">
        <v>60</v>
      </c>
      <c r="L153" t="inlineStr">
        <is>
          <t>31 Agustus 2026</t>
        </is>
      </c>
      <c r="M153" t="inlineStr">
        <is>
          <t>Konstruksi Bangunan Sipil Pengolahan Air Bersih</t>
        </is>
      </c>
      <c r="N153" t="inlineStr">
        <is>
          <t>K</t>
        </is>
      </c>
      <c r="O153" t="inlineStr">
        <is>
          <t>20230829</t>
        </is>
      </c>
      <c r="P153" t="inlineStr">
        <is>
          <t>Jawa Tengah</t>
        </is>
      </c>
      <c r="Q153" t="inlineStr"/>
    </row>
    <row r="154">
      <c r="A154" t="inlineStr">
        <is>
          <t>TIGA DARA MANDIRI</t>
        </is>
      </c>
      <c r="B154" t="inlineStr">
        <is>
          <t>Kab. Bandung Barat</t>
        </is>
      </c>
      <c r="C154" t="inlineStr">
        <is>
          <t>087821095105</t>
        </is>
      </c>
      <c r="D154" t="inlineStr">
        <is>
          <t>cv.tigadaramandiri@gmail.com</t>
        </is>
      </c>
      <c r="E154" t="inlineStr">
        <is>
          <t>https://lpjk.pu.go.id/search-badan-usaha-detail/Y0syZncwNnFaOTJsYkYwT2RQTzlMUT09</t>
        </is>
      </c>
      <c r="F154" t="n">
        <v>1</v>
      </c>
      <c r="G154" t="inlineStr">
        <is>
          <t>BS001</t>
        </is>
      </c>
      <c r="H154" t="inlineStr">
        <is>
          <t>24 Januari 2019</t>
        </is>
      </c>
      <c r="I154" s="2" t="n">
        <v>46265</v>
      </c>
      <c r="J154" t="inlineStr">
        <is>
          <t>Disetujui</t>
        </is>
      </c>
      <c r="K154" t="n">
        <v>60</v>
      </c>
      <c r="L154" t="inlineStr">
        <is>
          <t>31 Agustus 2026</t>
        </is>
      </c>
      <c r="M154" t="inlineStr">
        <is>
          <t>Konstruksi Bangunan Sipil Jalan</t>
        </is>
      </c>
      <c r="N154" t="inlineStr">
        <is>
          <t>K</t>
        </is>
      </c>
      <c r="O154" t="inlineStr">
        <is>
          <t>20230830</t>
        </is>
      </c>
      <c r="P154" t="inlineStr">
        <is>
          <t>Jawa Barat</t>
        </is>
      </c>
      <c r="Q154" t="inlineStr"/>
    </row>
    <row r="155">
      <c r="A155" t="inlineStr">
        <is>
          <t>TIGA MITRA KARYA</t>
        </is>
      </c>
      <c r="B155" t="inlineStr">
        <is>
          <t>Kab. Kutai Timur</t>
        </is>
      </c>
      <c r="C155" t="inlineStr">
        <is>
          <t>081289821414</t>
        </is>
      </c>
      <c r="D155" t="inlineStr">
        <is>
          <t>tigamitrakarya.cv@gmail.com</t>
        </is>
      </c>
      <c r="E155" t="inlineStr">
        <is>
          <t>https://lpjk.pu.go.id/search-badan-usaha-detail/SU5tbVpGMHJhRjZKeEVOZE5vOTFCQT09</t>
        </is>
      </c>
      <c r="F155" t="n">
        <v>1</v>
      </c>
      <c r="G155" t="inlineStr">
        <is>
          <t>BS001</t>
        </is>
      </c>
      <c r="H155" t="inlineStr">
        <is>
          <t>26 November 2019</t>
        </is>
      </c>
      <c r="I155" s="2" t="n">
        <v>46265</v>
      </c>
      <c r="J155" t="inlineStr">
        <is>
          <t>Disetujui</t>
        </is>
      </c>
      <c r="K155" t="n">
        <v>60</v>
      </c>
      <c r="L155" t="inlineStr">
        <is>
          <t>31 Agustus 2026</t>
        </is>
      </c>
      <c r="M155" t="inlineStr">
        <is>
          <t>Konstruksi Bangunan Sipil Jalan</t>
        </is>
      </c>
      <c r="N155" t="inlineStr">
        <is>
          <t>K</t>
        </is>
      </c>
      <c r="O155" t="inlineStr">
        <is>
          <t>20230831</t>
        </is>
      </c>
      <c r="P155" t="inlineStr">
        <is>
          <t>Kalimantan Timur</t>
        </is>
      </c>
      <c r="Q155" t="inlineStr"/>
    </row>
    <row r="156">
      <c r="A156" t="inlineStr">
        <is>
          <t>TIGA PUTRA</t>
        </is>
      </c>
      <c r="B156" t="inlineStr">
        <is>
          <t>Kab. Jepara</t>
        </is>
      </c>
      <c r="C156" t="inlineStr">
        <is>
          <t>081228153285</t>
        </is>
      </c>
      <c r="D156" t="inlineStr">
        <is>
          <t>cv.tigaputra45@gmail.com</t>
        </is>
      </c>
      <c r="E156" t="inlineStr">
        <is>
          <t>https://lpjk.pu.go.id/search-badan-usaha-detail/eXM2R3pMSnFWSW9DRWE1SDBJbUNPZz09</t>
        </is>
      </c>
      <c r="F156" t="n">
        <v>1</v>
      </c>
      <c r="G156" t="inlineStr">
        <is>
          <t>BS001</t>
        </is>
      </c>
      <c r="H156" t="inlineStr">
        <is>
          <t>24 Oktober 2008</t>
        </is>
      </c>
      <c r="I156" s="2" t="n">
        <v>46265</v>
      </c>
      <c r="J156" t="inlineStr">
        <is>
          <t>Disetujui</t>
        </is>
      </c>
      <c r="K156" t="n">
        <v>60</v>
      </c>
      <c r="L156" t="inlineStr">
        <is>
          <t>31 Agustus 2026</t>
        </is>
      </c>
      <c r="M156" t="inlineStr">
        <is>
          <t>Konstruksi Bangunan Sipil Jalan</t>
        </is>
      </c>
      <c r="N156" t="inlineStr">
        <is>
          <t>K</t>
        </is>
      </c>
      <c r="O156" t="inlineStr">
        <is>
          <t>20230901</t>
        </is>
      </c>
      <c r="P156" t="inlineStr">
        <is>
          <t>Jawa Tengah</t>
        </is>
      </c>
      <c r="Q156" t="inlineStr"/>
    </row>
    <row r="157">
      <c r="A157" t="inlineStr">
        <is>
          <t>TIRTA ANUGRAH GEOSERVINDO</t>
        </is>
      </c>
      <c r="B157" t="inlineStr">
        <is>
          <t>Kota Adm. Jakarta Barat</t>
        </is>
      </c>
      <c r="C157" t="inlineStr">
        <is>
          <t>02122528513</t>
        </is>
      </c>
      <c r="D157" t="inlineStr">
        <is>
          <t>tirtaanugrahgeoservindo@yahoo.com</t>
        </is>
      </c>
      <c r="E157" t="inlineStr">
        <is>
          <t>https://lpjk.pu.go.id/search-badan-usaha-detail/UVJJcEp6K0lpc2NnNkE5SFV2TWZKZz09</t>
        </is>
      </c>
      <c r="F157" t="n">
        <v>1</v>
      </c>
      <c r="G157" t="inlineStr">
        <is>
          <t>PL005</t>
        </is>
      </c>
      <c r="H157" t="inlineStr">
        <is>
          <t>3 Juni 2013</t>
        </is>
      </c>
      <c r="I157" s="2" t="n">
        <v>46265</v>
      </c>
      <c r="J157" t="inlineStr">
        <is>
          <t>Disetujui</t>
        </is>
      </c>
      <c r="K157" t="n">
        <v>60</v>
      </c>
      <c r="L157" t="inlineStr">
        <is>
          <t>31 Agustus 2026</t>
        </is>
      </c>
      <c r="M157" t="inlineStr">
        <is>
          <t>Pembuatan/Pengeboran Sumur Air Tanah</t>
        </is>
      </c>
      <c r="N157" t="inlineStr">
        <is>
          <t>Spesialis</t>
        </is>
      </c>
      <c r="O157" t="inlineStr">
        <is>
          <t>20230809</t>
        </is>
      </c>
      <c r="P157" t="inlineStr">
        <is>
          <t>DKI Jakarta</t>
        </is>
      </c>
      <c r="Q157" t="inlineStr"/>
    </row>
    <row r="158">
      <c r="A158" t="inlineStr">
        <is>
          <t>TRI ADI KONSTRUKSI</t>
        </is>
      </c>
      <c r="B158" t="inlineStr">
        <is>
          <t>Kab. Asahan</t>
        </is>
      </c>
      <c r="C158" t="inlineStr">
        <is>
          <t>081233333365</t>
        </is>
      </c>
      <c r="D158" t="inlineStr">
        <is>
          <t>3adikonstruksi@gmail.com</t>
        </is>
      </c>
      <c r="E158" t="inlineStr">
        <is>
          <t>https://lpjk.pu.go.id/search-badan-usaha-detail/emY5Z2JiZGdydThYdFRuWXRpM2Q4UT09</t>
        </is>
      </c>
      <c r="F158" t="n">
        <v>4</v>
      </c>
      <c r="G158" t="inlineStr">
        <is>
          <t>BG006, BG009, BS004, BS005</t>
        </is>
      </c>
      <c r="H158" t="inlineStr">
        <is>
          <t>21 Agustus 2023</t>
        </is>
      </c>
      <c r="I158" s="2" t="n">
        <v>46265</v>
      </c>
      <c r="J158" t="inlineStr">
        <is>
          <t>Disetujui</t>
        </is>
      </c>
      <c r="K158" t="n">
        <v>60</v>
      </c>
      <c r="L158" t="inlineStr">
        <is>
          <t>31 Agustus 2026</t>
        </is>
      </c>
      <c r="M158" t="inlineStr">
        <is>
          <t>Konstruksi Bangunan Sipil Pengolahan Air Bersih, Konstruksi Gedung Lainnya, Konstruksi Gedung Pendidikan, Konstruksi Jaringan Irigasi dan Drainase</t>
        </is>
      </c>
      <c r="N158" t="inlineStr">
        <is>
          <t>K</t>
        </is>
      </c>
      <c r="O158" t="inlineStr">
        <is>
          <t>20230829, 20230901</t>
        </is>
      </c>
      <c r="P158" t="inlineStr">
        <is>
          <t>Sumatera Utara</t>
        </is>
      </c>
      <c r="Q158" t="inlineStr"/>
    </row>
    <row r="159">
      <c r="A159" t="inlineStr">
        <is>
          <t>TRI BAJRA SENA</t>
        </is>
      </c>
      <c r="B159" t="inlineStr">
        <is>
          <t>Kab. Indramayu</t>
        </is>
      </c>
      <c r="C159" t="inlineStr">
        <is>
          <t>089520946464</t>
        </is>
      </c>
      <c r="D159" t="inlineStr">
        <is>
          <t>cv.tribajrasenaindramayu@gmail.com</t>
        </is>
      </c>
      <c r="E159" t="inlineStr">
        <is>
          <t>https://lpjk.pu.go.id/search-badan-usaha-detail/QjhYMDROVDdOTzFaTDM4ZWhpMEgrdz09</t>
        </is>
      </c>
      <c r="F159" t="n">
        <v>2</v>
      </c>
      <c r="G159" t="inlineStr">
        <is>
          <t>BS001, BS002</t>
        </is>
      </c>
      <c r="H159" t="inlineStr">
        <is>
          <t>25 Juli 2023</t>
        </is>
      </c>
      <c r="I159" s="2" t="n">
        <v>46265</v>
      </c>
      <c r="J159" t="inlineStr">
        <is>
          <t>Disetujui</t>
        </is>
      </c>
      <c r="K159" t="n">
        <v>60</v>
      </c>
      <c r="L159" t="inlineStr">
        <is>
          <t>31 Agustus 2026</t>
        </is>
      </c>
      <c r="M159" t="inlineStr">
        <is>
          <t>Bangunan Sipil Jembatan, Jalan Layang, Fly Over, dan Underpass, Konstruksi Bangunan Sipil Jalan</t>
        </is>
      </c>
      <c r="N159" t="inlineStr">
        <is>
          <t>K</t>
        </is>
      </c>
      <c r="O159" t="inlineStr">
        <is>
          <t>20230831</t>
        </is>
      </c>
      <c r="P159" t="inlineStr">
        <is>
          <t>Jawa Barat</t>
        </is>
      </c>
      <c r="Q159" t="inlineStr"/>
    </row>
    <row r="160">
      <c r="A160" t="inlineStr">
        <is>
          <t>TRI MITRA IMS</t>
        </is>
      </c>
      <c r="B160" t="inlineStr">
        <is>
          <t>Kab. Tangerang</t>
        </is>
      </c>
      <c r="C160" t="inlineStr">
        <is>
          <t>08119334212</t>
        </is>
      </c>
      <c r="D160" t="inlineStr">
        <is>
          <t>3mitra.ims@gmail.com</t>
        </is>
      </c>
      <c r="E160" t="inlineStr">
        <is>
          <t>https://lpjk.pu.go.id/search-badan-usaha-detail/QXJ3UThjNkQ5NkpvSjhrSHVoTStMUT09</t>
        </is>
      </c>
      <c r="F160" t="n">
        <v>3</v>
      </c>
      <c r="G160" t="inlineStr">
        <is>
          <t>RK001, RK002, RK003</t>
        </is>
      </c>
      <c r="H160" t="inlineStr">
        <is>
          <t>7 September 2018</t>
        </is>
      </c>
      <c r="I160" s="2" t="n">
        <v>46265</v>
      </c>
      <c r="J160" t="inlineStr">
        <is>
          <t>Disetujui</t>
        </is>
      </c>
      <c r="K160" t="n">
        <v>60</v>
      </c>
      <c r="L160" t="inlineStr">
        <is>
          <t>31 Agustus 2026</t>
        </is>
      </c>
      <c r="M160" t="inlineStr">
        <is>
          <t>Jasa Rekayasa Konstruksi Bangunan Gedung Hunian dan Non Hunian, Jasa Rekayasa Pekerjaan Teknik Sipil Sumber Daya Air, Jasa Rekayasa Pekerjaan Teknik Sipil Transportasi</t>
        </is>
      </c>
      <c r="N160" t="inlineStr">
        <is>
          <t>K</t>
        </is>
      </c>
      <c r="O160" t="inlineStr">
        <is>
          <t>20230817</t>
        </is>
      </c>
      <c r="P160" t="inlineStr">
        <is>
          <t>Banten</t>
        </is>
      </c>
      <c r="Q160" t="inlineStr"/>
    </row>
    <row r="161">
      <c r="A161" t="inlineStr">
        <is>
          <t>TRI PUTRA BARITO</t>
        </is>
      </c>
      <c r="B161" t="inlineStr">
        <is>
          <t>Kota Padang Sidempuan</t>
        </is>
      </c>
      <c r="C161" t="inlineStr">
        <is>
          <t>081269840269</t>
        </is>
      </c>
      <c r="D161" t="inlineStr">
        <is>
          <t>triputrabaritocv@gmail.com</t>
        </is>
      </c>
      <c r="E161" t="inlineStr">
        <is>
          <t>https://lpjk.pu.go.id/search-badan-usaha-detail/UXQvUXhQMXF2ZkxlRWNrNDJqdElFZz09</t>
        </is>
      </c>
      <c r="F161" t="n">
        <v>1</v>
      </c>
      <c r="G161" t="inlineStr">
        <is>
          <t>BS010</t>
        </is>
      </c>
      <c r="H161" t="inlineStr">
        <is>
          <t>17 Januari 2013</t>
        </is>
      </c>
      <c r="I161" s="2" t="n">
        <v>46265</v>
      </c>
      <c r="J161" t="inlineStr">
        <is>
          <t>Disetujui</t>
        </is>
      </c>
      <c r="K161" t="n">
        <v>60</v>
      </c>
      <c r="L161" t="inlineStr">
        <is>
          <t>31 Agustus 2026</t>
        </is>
      </c>
      <c r="M161" t="inlineStr">
        <is>
          <t>Konstruksi Bangunan Prasarana Sumber Daya Air</t>
        </is>
      </c>
      <c r="N161" t="inlineStr">
        <is>
          <t>K</t>
        </is>
      </c>
      <c r="O161" t="inlineStr">
        <is>
          <t>20230825</t>
        </is>
      </c>
      <c r="P161" t="inlineStr">
        <is>
          <t>Sumatera Utara</t>
        </is>
      </c>
      <c r="Q161" t="inlineStr"/>
    </row>
    <row r="162">
      <c r="A162" t="inlineStr">
        <is>
          <t>TRI ROYAL KONSTRUKSI</t>
        </is>
      </c>
      <c r="B162" t="inlineStr">
        <is>
          <t>Kota Bandar Lampung</t>
        </is>
      </c>
      <c r="C162" t="inlineStr">
        <is>
          <t>082281193222</t>
        </is>
      </c>
      <c r="D162" t="inlineStr">
        <is>
          <t>cv.triroyal@gmail.com</t>
        </is>
      </c>
      <c r="E162" t="inlineStr">
        <is>
          <t>https://lpjk.pu.go.id/search-badan-usaha-detail/N01mRWhxQ0NRRWlheTJiV0Q2WmhtQT09</t>
        </is>
      </c>
      <c r="F162" t="n">
        <v>1</v>
      </c>
      <c r="G162" t="inlineStr">
        <is>
          <t>BS001</t>
        </is>
      </c>
      <c r="H162" t="inlineStr">
        <is>
          <t>10 April 2023</t>
        </is>
      </c>
      <c r="I162" s="2" t="n">
        <v>46265</v>
      </c>
      <c r="J162" t="inlineStr">
        <is>
          <t>Disetujui</t>
        </is>
      </c>
      <c r="K162" t="n">
        <v>60</v>
      </c>
      <c r="L162" t="inlineStr">
        <is>
          <t>31 Agustus 2026</t>
        </is>
      </c>
      <c r="M162" t="inlineStr">
        <is>
          <t>Konstruksi Bangunan Sipil Jalan</t>
        </is>
      </c>
      <c r="N162" t="inlineStr">
        <is>
          <t>K</t>
        </is>
      </c>
      <c r="O162" t="inlineStr">
        <is>
          <t>20230828</t>
        </is>
      </c>
      <c r="P162" t="inlineStr">
        <is>
          <t>Lampung</t>
        </is>
      </c>
      <c r="Q162" t="inlineStr"/>
    </row>
    <row r="163">
      <c r="A163" t="inlineStr">
        <is>
          <t>TRIARTHA GRAHA</t>
        </is>
      </c>
      <c r="B163" t="inlineStr">
        <is>
          <t>Kab. Badung</t>
        </is>
      </c>
      <c r="C163" t="inlineStr">
        <is>
          <t>085103008812</t>
        </is>
      </c>
      <c r="D163" t="inlineStr">
        <is>
          <t>cv.triarthagraha@gmail.com</t>
        </is>
      </c>
      <c r="E163" t="inlineStr">
        <is>
          <t>https://lpjk.pu.go.id/search-badan-usaha-detail/M2VWaDZMTWpNSmVJWk9qL1BYYjhuUT09</t>
        </is>
      </c>
      <c r="F163" t="n">
        <v>2</v>
      </c>
      <c r="G163" t="inlineStr">
        <is>
          <t>BG006, BG009</t>
        </is>
      </c>
      <c r="H163" t="inlineStr">
        <is>
          <t>4 Januari 2006</t>
        </is>
      </c>
      <c r="I163" s="2" t="n">
        <v>46265</v>
      </c>
      <c r="J163" t="inlineStr">
        <is>
          <t>Disetujui</t>
        </is>
      </c>
      <c r="K163" t="n">
        <v>60</v>
      </c>
      <c r="L163" t="inlineStr">
        <is>
          <t>31 Agustus 2026</t>
        </is>
      </c>
      <c r="M163" t="inlineStr">
        <is>
          <t>Konstruksi Gedung Lainnya, Konstruksi Gedung Pendidikan</t>
        </is>
      </c>
      <c r="N163" t="inlineStr">
        <is>
          <t>K</t>
        </is>
      </c>
      <c r="O163" t="inlineStr">
        <is>
          <t>20230826</t>
        </is>
      </c>
      <c r="P163" t="inlineStr">
        <is>
          <t>Bali</t>
        </is>
      </c>
      <c r="Q163" t="inlineStr"/>
    </row>
    <row r="164">
      <c r="A164" t="inlineStr">
        <is>
          <t>TRIASA MANDIRI</t>
        </is>
      </c>
      <c r="B164" t="inlineStr">
        <is>
          <t>Kota Ambon</t>
        </is>
      </c>
      <c r="C164" t="inlineStr">
        <is>
          <t>08114782328</t>
        </is>
      </c>
      <c r="D164" t="inlineStr">
        <is>
          <t>abdulw871@gmail.com</t>
        </is>
      </c>
      <c r="E164" t="inlineStr">
        <is>
          <t>https://lpjk.pu.go.id/search-badan-usaha-detail/NHhucFp4WHlXTmdlNWVpRkMzT25jUT09</t>
        </is>
      </c>
      <c r="F164" t="n">
        <v>3</v>
      </c>
      <c r="G164" t="inlineStr">
        <is>
          <t>BS002</t>
        </is>
      </c>
      <c r="H164" t="inlineStr">
        <is>
          <t>29 Agustus 2019</t>
        </is>
      </c>
      <c r="I164" s="2" t="n">
        <v>46265</v>
      </c>
      <c r="J164" t="inlineStr">
        <is>
          <t>Disetujui</t>
        </is>
      </c>
      <c r="K164" t="n">
        <v>60</v>
      </c>
      <c r="L164" t="inlineStr">
        <is>
          <t>31 Agustus 2026</t>
        </is>
      </c>
      <c r="M164" t="inlineStr">
        <is>
          <t>Bangunan Sipil Jembatan, Jalan Layang, Fly Over, dan Underpass</t>
        </is>
      </c>
      <c r="N164" t="inlineStr">
        <is>
          <t>K</t>
        </is>
      </c>
      <c r="O164" t="inlineStr">
        <is>
          <t>20230824</t>
        </is>
      </c>
      <c r="P164" t="inlineStr">
        <is>
          <t>Maluku</t>
        </is>
      </c>
      <c r="Q164" t="inlineStr"/>
    </row>
    <row r="165">
      <c r="A165" t="inlineStr">
        <is>
          <t>TUNAS HARAPAN</t>
        </is>
      </c>
      <c r="B165" t="inlineStr">
        <is>
          <t>Kota Padang Sidempuan</t>
        </is>
      </c>
      <c r="C165" t="inlineStr">
        <is>
          <t>081269035099</t>
        </is>
      </c>
      <c r="D165" t="inlineStr">
        <is>
          <t>tsharapan@gmail.com</t>
        </is>
      </c>
      <c r="E165" t="inlineStr">
        <is>
          <t>https://lpjk.pu.go.id/search-badan-usaha-detail/OW4zK2ZqRmIwdXRnUFJFZ3JscFJldz09</t>
        </is>
      </c>
      <c r="F165" t="n">
        <v>5</v>
      </c>
      <c r="G165" t="inlineStr">
        <is>
          <t>BG001, BG003, BG008, BS001, BS004</t>
        </is>
      </c>
      <c r="H165" t="inlineStr">
        <is>
          <t>20 Februari 2002</t>
        </is>
      </c>
      <c r="I165" s="2" t="n">
        <v>46265</v>
      </c>
      <c r="J165" t="inlineStr">
        <is>
          <t>Disetujui</t>
        </is>
      </c>
      <c r="K165" t="n">
        <v>60</v>
      </c>
      <c r="L165" t="inlineStr">
        <is>
          <t>31 Agustus 2026</t>
        </is>
      </c>
      <c r="M165" t="inlineStr">
        <is>
          <t>Konstruksi Bangunan Sipil Jalan, Konstruksi Gedung Hunian, Konstruksi Gedung Industri, Konstruksi Gedung Tempat Hiburan dan Olahraga, Konstruksi Jaringan Irigasi dan Drainase</t>
        </is>
      </c>
      <c r="N165" t="inlineStr">
        <is>
          <t>K</t>
        </is>
      </c>
      <c r="O165" t="inlineStr">
        <is>
          <t>20230825</t>
        </is>
      </c>
      <c r="P165" t="inlineStr">
        <is>
          <t>Sumatera Utara</t>
        </is>
      </c>
      <c r="Q165" t="inlineStr"/>
    </row>
    <row r="166">
      <c r="A166" t="inlineStr">
        <is>
          <t>TUNAS INTI ABADI</t>
        </is>
      </c>
      <c r="B166" t="inlineStr">
        <is>
          <t>Kab. Tanah Datar</t>
        </is>
      </c>
      <c r="C166" t="inlineStr">
        <is>
          <t>081276194938</t>
        </is>
      </c>
      <c r="D166" t="inlineStr">
        <is>
          <t>tunasintiabadi.cv@gmail.com</t>
        </is>
      </c>
      <c r="E166" t="inlineStr">
        <is>
          <t>https://lpjk.pu.go.id/search-badan-usaha-detail/UUZpcUdPdUhPQ0dDbXE3YkRMKys5Zz09</t>
        </is>
      </c>
      <c r="F166" t="n">
        <v>1</v>
      </c>
      <c r="G166" t="inlineStr">
        <is>
          <t>BG009</t>
        </is>
      </c>
      <c r="H166" t="inlineStr">
        <is>
          <t>20 Januari 2015</t>
        </is>
      </c>
      <c r="I166" s="2" t="n">
        <v>46265</v>
      </c>
      <c r="J166" t="inlineStr">
        <is>
          <t>Disetujui</t>
        </is>
      </c>
      <c r="K166" t="n">
        <v>60</v>
      </c>
      <c r="L166" t="inlineStr">
        <is>
          <t>31 Agustus 2026</t>
        </is>
      </c>
      <c r="M166" t="inlineStr">
        <is>
          <t>Konstruksi Gedung Lainnya</t>
        </is>
      </c>
      <c r="N166" t="inlineStr">
        <is>
          <t>K</t>
        </is>
      </c>
      <c r="O166" t="inlineStr">
        <is>
          <t>20230830</t>
        </is>
      </c>
      <c r="P166" t="inlineStr">
        <is>
          <t>Sumatera Barat</t>
        </is>
      </c>
      <c r="Q166" t="inlineStr"/>
    </row>
    <row r="167">
      <c r="A167" t="inlineStr">
        <is>
          <t>TUNJUNG BIRU</t>
        </is>
      </c>
      <c r="B167" t="inlineStr">
        <is>
          <t>Kota Medan</t>
        </is>
      </c>
      <c r="C167" t="inlineStr">
        <is>
          <t>081397379849</t>
        </is>
      </c>
      <c r="D167" t="inlineStr">
        <is>
          <t>cvtunjungbiru@gmail.com</t>
        </is>
      </c>
      <c r="E167" t="inlineStr">
        <is>
          <t>https://lpjk.pu.go.id/search-badan-usaha-detail/ZEFiU3BSc1oyaUV4Ry9IYkg2eWFmQT09</t>
        </is>
      </c>
      <c r="F167" t="n">
        <v>2</v>
      </c>
      <c r="G167" t="inlineStr">
        <is>
          <t>BS004, BS005</t>
        </is>
      </c>
      <c r="H167" t="inlineStr">
        <is>
          <t>26 November 2013</t>
        </is>
      </c>
      <c r="I167" s="2" t="n">
        <v>46265</v>
      </c>
      <c r="J167" t="inlineStr">
        <is>
          <t>Disetujui</t>
        </is>
      </c>
      <c r="K167" t="n">
        <v>60</v>
      </c>
      <c r="L167" t="inlineStr">
        <is>
          <t>31 Agustus 2026</t>
        </is>
      </c>
      <c r="M167" t="inlineStr">
        <is>
          <t>Konstruksi Bangunan Sipil Pengolahan Air Bersih, Konstruksi Jaringan Irigasi dan Drainase</t>
        </is>
      </c>
      <c r="N167" t="inlineStr">
        <is>
          <t>K</t>
        </is>
      </c>
      <c r="O167" t="inlineStr">
        <is>
          <t>20230901</t>
        </is>
      </c>
      <c r="P167" t="inlineStr">
        <is>
          <t>Sumatera Utara</t>
        </is>
      </c>
      <c r="Q167" t="inlineStr"/>
    </row>
    <row r="168">
      <c r="A168" t="inlineStr">
        <is>
          <t>UNTUNG PRIMA KUALA TANJUNG</t>
        </is>
      </c>
      <c r="B168" t="inlineStr">
        <is>
          <t>Kab. Batu Bara</t>
        </is>
      </c>
      <c r="C168" t="inlineStr">
        <is>
          <t>085261368279</t>
        </is>
      </c>
      <c r="D168" t="inlineStr">
        <is>
          <t>pt.untungprimakualatanjung@yahoo.com</t>
        </is>
      </c>
      <c r="E168" t="inlineStr">
        <is>
          <t>https://lpjk.pu.go.id/search-badan-usaha-detail/WmFUN2ZFN2JSWDRlUGl6RFJMKzAxZz09</t>
        </is>
      </c>
      <c r="F168" t="n">
        <v>5</v>
      </c>
      <c r="G168" t="inlineStr">
        <is>
          <t>BG001, BG002, BG003, BG005, BG009</t>
        </is>
      </c>
      <c r="H168" t="inlineStr">
        <is>
          <t>17 April 2020</t>
        </is>
      </c>
      <c r="I168" s="2" t="n">
        <v>46265</v>
      </c>
      <c r="J168" t="inlineStr">
        <is>
          <t>Disetujui</t>
        </is>
      </c>
      <c r="K168" t="n">
        <v>60</v>
      </c>
      <c r="L168" t="inlineStr">
        <is>
          <t>31 Agustus 2026</t>
        </is>
      </c>
      <c r="M168" t="inlineStr">
        <is>
          <t>Konstruksi Gedung Hunian, Konstruksi Gedung Industri, Konstruksi Gedung Kesehatan, Konstruksi Gedung Lainnya, Konstruksi Gedung Perkantoran</t>
        </is>
      </c>
      <c r="N168" t="inlineStr">
        <is>
          <t>K</t>
        </is>
      </c>
      <c r="O168" t="inlineStr">
        <is>
          <t>20230831, 20230901</t>
        </is>
      </c>
      <c r="P168" t="inlineStr">
        <is>
          <t>Sumatera Utara</t>
        </is>
      </c>
      <c r="Q168" t="inlineStr"/>
    </row>
    <row r="169">
      <c r="A169" t="inlineStr">
        <is>
          <t>WELLINDO JAYA KIATGUNA</t>
        </is>
      </c>
      <c r="B169" t="inlineStr">
        <is>
          <t>Kota Adm. Jakarta Utara</t>
        </is>
      </c>
      <c r="C169" t="inlineStr">
        <is>
          <t>02165833920</t>
        </is>
      </c>
      <c r="D169" t="inlineStr">
        <is>
          <t>optwemb@yahoo.com</t>
        </is>
      </c>
      <c r="E169" t="inlineStr">
        <is>
          <t>https://lpjk.pu.go.id/search-badan-usaha-detail/Q2s2d0E5SjNtbkRMc1BEenB2L0xmUT09</t>
        </is>
      </c>
      <c r="F169" t="n">
        <v>2</v>
      </c>
      <c r="G169" t="inlineStr">
        <is>
          <t>IN001, IN008</t>
        </is>
      </c>
      <c r="H169" t="inlineStr">
        <is>
          <t>6 Februari 2004</t>
        </is>
      </c>
      <c r="I169" s="2" t="n">
        <v>46265</v>
      </c>
      <c r="J169" t="inlineStr">
        <is>
          <t>Disetujui</t>
        </is>
      </c>
      <c r="K169" t="n">
        <v>60</v>
      </c>
      <c r="L169" t="inlineStr">
        <is>
          <t>31 Agustus 2026</t>
        </is>
      </c>
      <c r="M169" t="inlineStr">
        <is>
          <t>Instalasi Mekanikal, Instalasi Pendingin Dan Ventilasi Udara</t>
        </is>
      </c>
      <c r="N169" t="inlineStr">
        <is>
          <t>Spesialis</t>
        </is>
      </c>
      <c r="O169" t="inlineStr">
        <is>
          <t>20230825</t>
        </is>
      </c>
      <c r="P169" t="inlineStr">
        <is>
          <t>DKI Jakarta</t>
        </is>
      </c>
      <c r="Q169" t="inlineStr"/>
    </row>
    <row r="170">
      <c r="A170" t="inlineStr">
        <is>
          <t>WIDYA KENCANA PRATAMA</t>
        </is>
      </c>
      <c r="B170" t="inlineStr">
        <is>
          <t>Kab. Manokwari</t>
        </is>
      </c>
      <c r="C170" t="inlineStr">
        <is>
          <t>08113322425</t>
        </is>
      </c>
      <c r="D170" t="inlineStr">
        <is>
          <t>pt.widyakencanapratama1@gmail.com</t>
        </is>
      </c>
      <c r="E170" t="inlineStr">
        <is>
          <t>https://lpjk.pu.go.id/search-badan-usaha-detail/Tm5yMENXSVIwNXlhMUU5dVlZZjRNdz09</t>
        </is>
      </c>
      <c r="F170" t="n">
        <v>2</v>
      </c>
      <c r="G170" t="inlineStr">
        <is>
          <t>BS001, BS010</t>
        </is>
      </c>
      <c r="H170" t="inlineStr">
        <is>
          <t>16 April 2007</t>
        </is>
      </c>
      <c r="I170" s="2" t="n">
        <v>46265</v>
      </c>
      <c r="J170" t="inlineStr">
        <is>
          <t>Disetujui, Pencabutan</t>
        </is>
      </c>
      <c r="K170" t="n">
        <v>60</v>
      </c>
      <c r="L170" t="inlineStr">
        <is>
          <t>31 Agustus 2026</t>
        </is>
      </c>
      <c r="M170" t="inlineStr">
        <is>
          <t>Konstruksi Bangunan Prasarana Sumber Daya Air, Konstruksi Bangunan Sipil Jalan</t>
        </is>
      </c>
      <c r="N170" t="inlineStr">
        <is>
          <t>M</t>
        </is>
      </c>
      <c r="O170" t="inlineStr">
        <is>
          <t>20230706, 20230828</t>
        </is>
      </c>
      <c r="P170" t="inlineStr">
        <is>
          <t>Papua Barat</t>
        </is>
      </c>
      <c r="Q170" t="inlineStr"/>
    </row>
    <row r="171">
      <c r="A171" t="inlineStr">
        <is>
          <t>WIRATMO MITRA KARYA</t>
        </is>
      </c>
      <c r="B171" t="inlineStr">
        <is>
          <t>Kota Salatiga</t>
        </is>
      </c>
      <c r="C171" t="inlineStr">
        <is>
          <t>08562675552</t>
        </is>
      </c>
      <c r="D171" t="inlineStr">
        <is>
          <t>mitrakaryacvwiratmo@gmail.com</t>
        </is>
      </c>
      <c r="E171" t="inlineStr">
        <is>
          <t>https://lpjk.pu.go.id/search-badan-usaha-detail/N0Z0VkU2c2Z0cFN1S0lOSy9ZSThHQT09</t>
        </is>
      </c>
      <c r="F171" t="n">
        <v>2</v>
      </c>
      <c r="G171" t="inlineStr">
        <is>
          <t>BG006, BG009</t>
        </is>
      </c>
      <c r="H171" t="inlineStr">
        <is>
          <t>27 Juni 2016</t>
        </is>
      </c>
      <c r="I171" s="2" t="n">
        <v>46265</v>
      </c>
      <c r="J171" t="inlineStr">
        <is>
          <t>Disetujui</t>
        </is>
      </c>
      <c r="K171" t="n">
        <v>60</v>
      </c>
      <c r="L171" t="inlineStr">
        <is>
          <t>31 Agustus 2026</t>
        </is>
      </c>
      <c r="M171" t="inlineStr">
        <is>
          <t>Konstruksi Gedung Lainnya, Konstruksi Gedung Pendidikan</t>
        </is>
      </c>
      <c r="N171" t="inlineStr">
        <is>
          <t>K</t>
        </is>
      </c>
      <c r="O171" t="inlineStr">
        <is>
          <t>20230818</t>
        </is>
      </c>
      <c r="P171" t="inlineStr">
        <is>
          <t>Jawa Tengah</t>
        </is>
      </c>
      <c r="Q171" t="inlineStr"/>
    </row>
    <row r="172">
      <c r="A172" t="inlineStr">
        <is>
          <t>YOGATAMA RAYA</t>
        </is>
      </c>
      <c r="B172" t="inlineStr">
        <is>
          <t>Kab. Pemalang</t>
        </is>
      </c>
      <c r="C172" t="inlineStr">
        <is>
          <t>081542035300</t>
        </is>
      </c>
      <c r="D172" t="inlineStr">
        <is>
          <t>cv.yogatamaraya@gmail.com</t>
        </is>
      </c>
      <c r="E172" t="inlineStr">
        <is>
          <t>https://lpjk.pu.go.id/search-badan-usaha-detail/YmU3MlRuVGlZUmJGSmJPMm5QejlFdz09</t>
        </is>
      </c>
      <c r="F172" t="n">
        <v>15</v>
      </c>
      <c r="G172" t="inlineStr">
        <is>
          <t>BG002, BG006, BS001, BS002, BS005</t>
        </is>
      </c>
      <c r="H172" t="inlineStr">
        <is>
          <t>3 Maret 1994</t>
        </is>
      </c>
      <c r="I172" s="2" t="n">
        <v>46265</v>
      </c>
      <c r="J172" t="inlineStr">
        <is>
          <t>Disetujui</t>
        </is>
      </c>
      <c r="K172" t="n">
        <v>60</v>
      </c>
      <c r="L172" t="inlineStr">
        <is>
          <t>31 Agustus 2026</t>
        </is>
      </c>
      <c r="M172" t="inlineStr">
        <is>
          <t>Bangunan Sipil Jembatan, Jalan Layang, Fly Over, dan Underpass, Konstruksi Bangunan Sipil Jalan, Konstruksi Bangunan Sipil Pengolahan Air Bersih, Konstruksi Gedung Pendidikan, Konstruksi Gedung Perkantoran</t>
        </is>
      </c>
      <c r="N172" t="inlineStr">
        <is>
          <t>K</t>
        </is>
      </c>
      <c r="O172" t="inlineStr">
        <is>
          <t>20230828, 20230829</t>
        </is>
      </c>
      <c r="P172" t="inlineStr">
        <is>
          <t>Jawa Tengah</t>
        </is>
      </c>
      <c r="Q172" t="inlineStr"/>
    </row>
    <row r="173">
      <c r="A173" t="inlineStr">
        <is>
          <t>ZAKI PERSADA</t>
        </is>
      </c>
      <c r="B173" t="inlineStr">
        <is>
          <t>Kab. Tanjung Jabung Barat</t>
        </is>
      </c>
      <c r="C173" t="inlineStr">
        <is>
          <t>085266862862</t>
        </is>
      </c>
      <c r="D173" t="inlineStr">
        <is>
          <t>persadazaki@yahoo.com</t>
        </is>
      </c>
      <c r="E173" t="inlineStr">
        <is>
          <t>https://lpjk.pu.go.id/search-badan-usaha-detail/V1RMYUQ2V1FlODF1N0FVZ1dRVVgxZz09</t>
        </is>
      </c>
      <c r="F173" t="n">
        <v>7</v>
      </c>
      <c r="G173" t="inlineStr">
        <is>
          <t>BG002, BG005, BG006, BG009, BS001, BS002, BS004</t>
        </is>
      </c>
      <c r="H173" t="inlineStr">
        <is>
          <t>12 November 2011</t>
        </is>
      </c>
      <c r="I173" s="2" t="n">
        <v>46265</v>
      </c>
      <c r="J173" t="inlineStr">
        <is>
          <t>Disetujui</t>
        </is>
      </c>
      <c r="K173" t="n">
        <v>60</v>
      </c>
      <c r="L173" t="inlineStr">
        <is>
          <t>31 Agustus 2026</t>
        </is>
      </c>
      <c r="M173" t="inlineStr">
        <is>
          <t>Bangunan Sipil Jembatan, Jalan Layang, Fly Over, dan Underpass, Konstruksi Bangunan Sipil Jalan, Konstruksi Gedung Kesehatan, Konstruksi Gedung Lainnya, Konstruksi Gedung Pendidikan, Konstruksi Gedung Perkantoran, Konstruksi Jaringan Irigasi dan Drainase</t>
        </is>
      </c>
      <c r="N173" t="inlineStr">
        <is>
          <t>K</t>
        </is>
      </c>
      <c r="O173" t="inlineStr">
        <is>
          <t>20230828</t>
        </is>
      </c>
      <c r="P173" t="inlineStr">
        <is>
          <t>Jambi</t>
        </is>
      </c>
      <c r="Q173" t="inlineStr"/>
    </row>
    <row r="174">
      <c r="A174" t="inlineStr">
        <is>
          <t>ZEFA ARSYILA</t>
        </is>
      </c>
      <c r="B174" t="inlineStr">
        <is>
          <t>Kab. Langkat</t>
        </is>
      </c>
      <c r="C174" t="inlineStr">
        <is>
          <t>0813-7732-3311</t>
        </is>
      </c>
      <c r="D174" t="inlineStr">
        <is>
          <t>zefaarsyila@gmail.com</t>
        </is>
      </c>
      <c r="E174" t="inlineStr">
        <is>
          <t>https://lpjk.pu.go.id/search-badan-usaha-detail/WldGYllpVXFTOFZXZE50QUpNYjhYUT09</t>
        </is>
      </c>
      <c r="F174" t="n">
        <v>1</v>
      </c>
      <c r="G174" t="inlineStr">
        <is>
          <t>BS001</t>
        </is>
      </c>
      <c r="H174" t="inlineStr">
        <is>
          <t>7 Agustus 2023</t>
        </is>
      </c>
      <c r="I174" s="2" t="n">
        <v>46265</v>
      </c>
      <c r="J174" t="inlineStr">
        <is>
          <t>Disetujui</t>
        </is>
      </c>
      <c r="K174" t="n">
        <v>60</v>
      </c>
      <c r="L174" t="inlineStr">
        <is>
          <t>31 Agustus 2026</t>
        </is>
      </c>
      <c r="M174" t="inlineStr">
        <is>
          <t>Konstruksi Bangunan Sipil Jalan</t>
        </is>
      </c>
      <c r="N174" t="inlineStr">
        <is>
          <t>K</t>
        </is>
      </c>
      <c r="O174" t="inlineStr">
        <is>
          <t>20230830</t>
        </is>
      </c>
      <c r="P174" t="inlineStr">
        <is>
          <t>Sumatera Utara</t>
        </is>
      </c>
      <c r="Q17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2"/>
  <sheetViews>
    <sheetView workbookViewId="0">
      <selection activeCell="A1" sqref="A1"/>
    </sheetView>
  </sheetViews>
  <sheetFormatPr baseColWidth="8" defaultRowHeight="15"/>
  <cols>
    <col width="33" customWidth="1" min="1" max="1"/>
    <col width="27" customWidth="1" min="2" max="2"/>
    <col width="18" customWidth="1" min="3" max="3"/>
    <col width="39"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ADITYA KENCANA SAHAJA</t>
        </is>
      </c>
      <c r="B2" t="inlineStr">
        <is>
          <t>Kab. Bekasi</t>
        </is>
      </c>
      <c r="C2" t="inlineStr">
        <is>
          <t>085312539791</t>
        </is>
      </c>
      <c r="D2" t="inlineStr">
        <is>
          <t>adityakencanasahaja@yahoo.com</t>
        </is>
      </c>
      <c r="E2" t="inlineStr">
        <is>
          <t>https://lpjk.pu.go.id/search-badan-usaha-detail/TjI5NnZ6YytsSEwrT1hzQ2g3RzRJUT09</t>
        </is>
      </c>
      <c r="F2" t="n">
        <v>1</v>
      </c>
      <c r="G2" t="inlineStr">
        <is>
          <t>BG003</t>
        </is>
      </c>
      <c r="H2" t="inlineStr">
        <is>
          <t>21 Oktober 2016</t>
        </is>
      </c>
      <c r="I2" s="2" t="n">
        <v>46235</v>
      </c>
      <c r="J2" t="inlineStr">
        <is>
          <t>Disetujui</t>
        </is>
      </c>
      <c r="K2" t="n">
        <v>30</v>
      </c>
      <c r="L2" t="inlineStr">
        <is>
          <t>1 Agustus 2026</t>
        </is>
      </c>
      <c r="M2" t="inlineStr">
        <is>
          <t>Konstruksi Gedung Industri</t>
        </is>
      </c>
      <c r="N2" t="inlineStr">
        <is>
          <t>K</t>
        </is>
      </c>
      <c r="O2" t="inlineStr">
        <is>
          <t>20220906</t>
        </is>
      </c>
      <c r="P2" t="inlineStr">
        <is>
          <t>Jawa Barat</t>
        </is>
      </c>
      <c r="Q2" s="3">
        <f>HYPERLINK("https://wa.me/6285312539791?text=*[Pengingat Masa Berlaku SBU ADITYA KENCANA SAHAJA]*%0A%0AYth. Pimpinan ADITYA KENCANA SAHAJA,%0AMohon izin menginformasikan status SBU Anda:%0A%0A📄 SBU: BG003%0A📅 Expired: 1 Agustus 2026 (30 Hari Lagi)%0A%0AKami tim PT. ESDEA Assistance Management siap men-support proses perpanjangan segera agar administrasi proyek tidak terhambat%0A%0AApakah boleh saya bantu siapkan estimasi biaya dan waktu pengerjaannya?.", "Hubungi")</f>
        <v/>
      </c>
    </row>
    <row r="3">
      <c r="A3" t="inlineStr">
        <is>
          <t>BANGUN KREASINDO INDONESIA</t>
        </is>
      </c>
      <c r="B3" t="inlineStr">
        <is>
          <t>Kab. Bekasi</t>
        </is>
      </c>
      <c r="C3" t="inlineStr">
        <is>
          <t>085387968888</t>
        </is>
      </c>
      <c r="D3" t="inlineStr">
        <is>
          <t>bangunkreasindoindo@gmail.com</t>
        </is>
      </c>
      <c r="E3" t="inlineStr">
        <is>
          <t>https://lpjk.pu.go.id/search-badan-usaha-detail/dmJoMWdnb2lKelZYK1ZQS1pGWUczQT09</t>
        </is>
      </c>
      <c r="F3" t="n">
        <v>2</v>
      </c>
      <c r="G3" t="inlineStr">
        <is>
          <t>BG001, BG003</t>
        </is>
      </c>
      <c r="H3" t="inlineStr">
        <is>
          <t>13 Januari 2020</t>
        </is>
      </c>
      <c r="I3" s="2" t="n">
        <v>46235</v>
      </c>
      <c r="J3" t="inlineStr">
        <is>
          <t>Disetujui</t>
        </is>
      </c>
      <c r="K3" t="n">
        <v>30</v>
      </c>
      <c r="L3" t="inlineStr">
        <is>
          <t>1 Agustus 2026</t>
        </is>
      </c>
      <c r="M3" t="inlineStr">
        <is>
          <t>Konstruksi Gedung Hunian, Konstruksi Gedung Industri</t>
        </is>
      </c>
      <c r="N3" t="inlineStr">
        <is>
          <t>M</t>
        </is>
      </c>
      <c r="O3" t="inlineStr">
        <is>
          <t>20230731</t>
        </is>
      </c>
      <c r="P3" t="inlineStr">
        <is>
          <t>Jawa Barat</t>
        </is>
      </c>
      <c r="Q3" s="3">
        <f>HYPERLINK("https://wa.me/6285387968888?text=*[Pengingat Masa Berlaku SBU BANGUN KREASINDO INDONESIA]*%0A%0AYth. Pimpinan BANGUN KREASINDO INDONESIA,%0AMohon izin menginformasikan status SBU Anda:%0A%0A📄 SBU: BG001, BG003%0A📅 Expired: 1 Agustus 2026 (30 Hari Lagi)%0A%0AKami tim PT. ESDEA Assistance Management siap men-support proses perpanjangan segera agar administrasi proyek tidak terhambat%0A%0AApakah boleh saya bantu siapkan estimasi biaya dan waktu pengerjaannya?.", "Hubungi")</f>
        <v/>
      </c>
    </row>
    <row r="4">
      <c r="A4" t="inlineStr">
        <is>
          <t>BUKAKA TEKNIK UTAMA</t>
        </is>
      </c>
      <c r="B4" t="inlineStr">
        <is>
          <t>Kab. Bogor</t>
        </is>
      </c>
      <c r="C4" t="inlineStr">
        <is>
          <t>0218232323</t>
        </is>
      </c>
      <c r="D4" t="inlineStr">
        <is>
          <t>legal@bukaka.com</t>
        </is>
      </c>
      <c r="E4" t="inlineStr">
        <is>
          <t>https://lpjk.pu.go.id/search-badan-usaha-detail/NUo1NEJFMVFjWVk4K0lnOElFaGx2dz09</t>
        </is>
      </c>
      <c r="F4" t="n">
        <v>1</v>
      </c>
      <c r="G4" t="inlineStr">
        <is>
          <t>ST006</t>
        </is>
      </c>
      <c r="H4" t="inlineStr">
        <is>
          <t>25 Oktober 1978</t>
        </is>
      </c>
      <c r="I4" s="2" t="n">
        <v>46235</v>
      </c>
      <c r="J4" t="inlineStr">
        <is>
          <t>Disetujui</t>
        </is>
      </c>
      <c r="K4" t="n">
        <v>30</v>
      </c>
      <c r="L4" t="inlineStr">
        <is>
          <t>1 Agustus 2026</t>
        </is>
      </c>
      <c r="M4" t="inlineStr">
        <is>
          <t>Konstruksi Bangunan Sipil Minyak dan Gas Bumi</t>
        </is>
      </c>
      <c r="N4" t="inlineStr">
        <is>
          <t>B</t>
        </is>
      </c>
      <c r="O4" t="inlineStr">
        <is>
          <t>20230511</t>
        </is>
      </c>
      <c r="P4" t="inlineStr">
        <is>
          <t>Jawa Barat</t>
        </is>
      </c>
      <c r="Q4" t="inlineStr"/>
    </row>
    <row r="5">
      <c r="A5" t="inlineStr">
        <is>
          <t>HARYADI INDO UTAMA</t>
        </is>
      </c>
      <c r="B5" t="inlineStr">
        <is>
          <t>Kota Adm. Jakarta Timur</t>
        </is>
      </c>
      <c r="C5" t="inlineStr">
        <is>
          <t>081380008309</t>
        </is>
      </c>
      <c r="D5" t="inlineStr">
        <is>
          <t>haryadiindoutama@gmail.com</t>
        </is>
      </c>
      <c r="E5" t="inlineStr">
        <is>
          <t>https://lpjk.pu.go.id/search-badan-usaha-detail/YkpJRExaVGErU0UzcWhLSFk1WEw5UT09</t>
        </is>
      </c>
      <c r="F5" t="n">
        <v>1</v>
      </c>
      <c r="G5" t="inlineStr">
        <is>
          <t>PL001</t>
        </is>
      </c>
      <c r="H5" t="inlineStr">
        <is>
          <t>28 Desember 2021</t>
        </is>
      </c>
      <c r="I5" s="2" t="n">
        <v>46235</v>
      </c>
      <c r="J5" t="inlineStr">
        <is>
          <t>Pencabutan</t>
        </is>
      </c>
      <c r="K5" t="n">
        <v>30</v>
      </c>
      <c r="L5" t="inlineStr">
        <is>
          <t>1 Agustus 2026</t>
        </is>
      </c>
      <c r="M5" t="inlineStr">
        <is>
          <t>Pembongkaran Bangunan</t>
        </is>
      </c>
      <c r="N5" t="inlineStr">
        <is>
          <t>Spesialis</t>
        </is>
      </c>
      <c r="O5" t="inlineStr">
        <is>
          <t>20230313</t>
        </is>
      </c>
      <c r="P5" t="inlineStr">
        <is>
          <t>DKI Jakarta</t>
        </is>
      </c>
      <c r="Q5" s="3">
        <f>HYPERLINK("https://wa.me/6281380008309?text=*[Pengingat Masa Berlaku SBU HARYADI INDO UTAMA]*%0A%0AYth. Pimpinan HARYADI INDO UTAMA,%0AMohon izin menginformasikan status SBU Anda:%0A%0A📄 SBU: PL001%0A📅 Expired: 1 Agustus 2026 (30 Hari Lagi)%0A%0AKami tim PT. ESDEA Assistance Management siap men-support proses perpanjangan segera agar administrasi proyek tidak terhambat%0A%0AApakah boleh saya bantu siapkan estimasi biaya dan waktu pengerjaannya?.", "Hubungi")</f>
        <v/>
      </c>
    </row>
    <row r="6">
      <c r="A6" t="inlineStr">
        <is>
          <t>KINAYA MULTI KONSTRUKSI</t>
        </is>
      </c>
      <c r="B6" t="inlineStr">
        <is>
          <t>Kota Bekasi</t>
        </is>
      </c>
      <c r="C6" t="inlineStr">
        <is>
          <t>02182419822</t>
        </is>
      </c>
      <c r="D6" t="inlineStr">
        <is>
          <t>kinaya.multikonstruksi@gmail.com</t>
        </is>
      </c>
      <c r="E6" t="inlineStr">
        <is>
          <t>https://lpjk.pu.go.id/search-badan-usaha-detail/ZnFZY0NiRmROV3Z2Qjk2MEp1eEJ5Zz09</t>
        </is>
      </c>
      <c r="F6" t="n">
        <v>1</v>
      </c>
      <c r="G6" t="inlineStr">
        <is>
          <t>BG009</t>
        </is>
      </c>
      <c r="H6" t="inlineStr">
        <is>
          <t>26 Juni 2003</t>
        </is>
      </c>
      <c r="I6" s="2" t="n">
        <v>46235</v>
      </c>
      <c r="J6" t="inlineStr">
        <is>
          <t>Dokumen Tidak Lengkap</t>
        </is>
      </c>
      <c r="K6" t="n">
        <v>30</v>
      </c>
      <c r="L6" t="inlineStr">
        <is>
          <t>1 Agustus 2026</t>
        </is>
      </c>
      <c r="M6" t="inlineStr">
        <is>
          <t>Konstruksi Gedung Lainnya</t>
        </is>
      </c>
      <c r="N6" t="inlineStr">
        <is>
          <t>M</t>
        </is>
      </c>
      <c r="O6" t="inlineStr">
        <is>
          <t>20230729</t>
        </is>
      </c>
      <c r="P6" t="inlineStr">
        <is>
          <t>Jawa Barat</t>
        </is>
      </c>
      <c r="Q6" t="inlineStr"/>
    </row>
    <row r="7">
      <c r="A7" t="inlineStr">
        <is>
          <t>PERKASA MARITIM UTAMA</t>
        </is>
      </c>
      <c r="B7" t="inlineStr">
        <is>
          <t>Kota Bekasi</t>
        </is>
      </c>
      <c r="C7" t="inlineStr">
        <is>
          <t>02189494565</t>
        </is>
      </c>
      <c r="D7" t="inlineStr">
        <is>
          <t>perkasamaritimutama@gmail.com</t>
        </is>
      </c>
      <c r="E7" t="inlineStr">
        <is>
          <t>https://lpjk.pu.go.id/search-badan-usaha-detail/cjc3a1pZcEtCQURnMUNKQ0RYY0RQQT09</t>
        </is>
      </c>
      <c r="F7" t="n">
        <v>1</v>
      </c>
      <c r="G7" t="inlineStr">
        <is>
          <t>BG001</t>
        </is>
      </c>
      <c r="H7" t="inlineStr">
        <is>
          <t>8 Maret 2017</t>
        </is>
      </c>
      <c r="I7" s="2" t="n">
        <v>46235</v>
      </c>
      <c r="J7" t="inlineStr">
        <is>
          <t>Disetujui</t>
        </is>
      </c>
      <c r="K7" t="n">
        <v>30</v>
      </c>
      <c r="L7" t="inlineStr">
        <is>
          <t>1 Agustus 2026</t>
        </is>
      </c>
      <c r="M7" t="inlineStr">
        <is>
          <t>Konstruksi Gedung Hunian</t>
        </is>
      </c>
      <c r="N7" t="inlineStr">
        <is>
          <t>K</t>
        </is>
      </c>
      <c r="O7" t="inlineStr">
        <is>
          <t>20230731</t>
        </is>
      </c>
      <c r="P7" t="inlineStr">
        <is>
          <t>Jawa Barat</t>
        </is>
      </c>
      <c r="Q7" t="inlineStr"/>
    </row>
    <row r="8">
      <c r="A8" t="inlineStr">
        <is>
          <t>PUTRA MANDIRI</t>
        </is>
      </c>
      <c r="B8" t="inlineStr">
        <is>
          <t>Kab. Bekasi</t>
        </is>
      </c>
      <c r="C8" t="inlineStr">
        <is>
          <t>081388357667</t>
        </is>
      </c>
      <c r="D8" t="inlineStr">
        <is>
          <t>putramandiri6167@yahoo.com</t>
        </is>
      </c>
      <c r="E8" t="inlineStr">
        <is>
          <t>https://lpjk.pu.go.id/search-badan-usaha-detail/ZjZrelYyY1l0TEg1QUN0a1RGZ1I2Zz09</t>
        </is>
      </c>
      <c r="F8" t="n">
        <v>1</v>
      </c>
      <c r="G8" t="inlineStr">
        <is>
          <t>BG001</t>
        </is>
      </c>
      <c r="H8" t="inlineStr">
        <is>
          <t>20 Juni 2007</t>
        </is>
      </c>
      <c r="I8" s="2" t="n">
        <v>46235</v>
      </c>
      <c r="J8" t="inlineStr">
        <is>
          <t>Disetujui</t>
        </is>
      </c>
      <c r="K8" t="n">
        <v>30</v>
      </c>
      <c r="L8" t="inlineStr">
        <is>
          <t>1 Agustus 2026</t>
        </is>
      </c>
      <c r="M8" t="inlineStr">
        <is>
          <t>Konstruksi Gedung Hunian</t>
        </is>
      </c>
      <c r="N8" t="inlineStr">
        <is>
          <t>K</t>
        </is>
      </c>
      <c r="O8" t="inlineStr">
        <is>
          <t>20230729</t>
        </is>
      </c>
      <c r="P8" t="inlineStr">
        <is>
          <t>Jawa Barat</t>
        </is>
      </c>
      <c r="Q8" s="3">
        <f>HYPERLINK("https://wa.me/6281388357667?text=*[Pengingat Masa Berlaku SBU PUTRA MANDIRI]*%0A%0AYth. Pimpinan PUTRA MANDIRI,%0AMohon izin menginformasikan status SBU Anda:%0A%0A📄 SBU: BG001%0A📅 Expired: 1 Agustus 2026 (30 Hari Lagi)%0A%0AKami tim PT. ESDEA Assistance Management siap men-support proses perpanjangan segera agar administrasi proyek tidak terhambat%0A%0AApakah boleh saya bantu siapkan estimasi biaya dan waktu pengerjaannya?.", "Hubungi")</f>
        <v/>
      </c>
    </row>
    <row r="9">
      <c r="A9" t="inlineStr">
        <is>
          <t>RENDICHA JAYA UTAMA</t>
        </is>
      </c>
      <c r="B9" t="inlineStr">
        <is>
          <t>Kota Depok</t>
        </is>
      </c>
      <c r="C9" t="inlineStr">
        <is>
          <t>081284101584</t>
        </is>
      </c>
      <c r="D9" t="inlineStr">
        <is>
          <t>rendicha.j_utama@yahoo.com</t>
        </is>
      </c>
      <c r="E9" t="inlineStr">
        <is>
          <t>https://lpjk.pu.go.id/search-badan-usaha-detail/c1k2SllYRFhmY1MrV0JlYmpEckJuQT09</t>
        </is>
      </c>
      <c r="F9" t="n">
        <v>2</v>
      </c>
      <c r="G9" t="inlineStr">
        <is>
          <t>BS001</t>
        </is>
      </c>
      <c r="H9" t="inlineStr">
        <is>
          <t>10 Februari 2017</t>
        </is>
      </c>
      <c r="I9" s="2" t="n">
        <v>46235</v>
      </c>
      <c r="J9" t="inlineStr">
        <is>
          <t>Pencabutan</t>
        </is>
      </c>
      <c r="K9" t="n">
        <v>30</v>
      </c>
      <c r="L9" t="inlineStr">
        <is>
          <t>1 Agustus 2026</t>
        </is>
      </c>
      <c r="M9" t="inlineStr">
        <is>
          <t>Konstruksi Bangunan Sipil Jalan</t>
        </is>
      </c>
      <c r="N9" t="inlineStr">
        <is>
          <t>K</t>
        </is>
      </c>
      <c r="O9" t="inlineStr">
        <is>
          <t>20230802</t>
        </is>
      </c>
      <c r="P9" t="inlineStr">
        <is>
          <t>Jawa Barat</t>
        </is>
      </c>
      <c r="Q9" s="3">
        <f>HYPERLINK("https://wa.me/6281284101584?text=*[Pengingat Masa Berlaku SBU RENDICHA JAYA UTAMA]*%0A%0AYth. Pimpinan RENDICHA JAYA UTAMA,%0AMohon izin menginformasikan status SBU Anda:%0A%0A📄 SBU: BS001%0A📅 Expired: 1 Agustus 2026 (30 Hari Lagi)%0A%0AKami tim PT. ESDEA Assistance Management siap men-support proses perpanjangan segera agar administrasi proyek tidak terhambat%0A%0AApakah boleh saya bantu siapkan estimasi biaya dan waktu pengerjaannya?.", "Hubungi")</f>
        <v/>
      </c>
    </row>
    <row r="10">
      <c r="A10" t="inlineStr">
        <is>
          <t>ROESMORA UTAMA MANDIRI</t>
        </is>
      </c>
      <c r="B10" t="inlineStr">
        <is>
          <t>Kota Adm. Jakarta Timur</t>
        </is>
      </c>
      <c r="C10" t="inlineStr">
        <is>
          <t>081210200032</t>
        </is>
      </c>
      <c r="D10" t="inlineStr">
        <is>
          <t>roesmorautama@yahoo.com</t>
        </is>
      </c>
      <c r="E10" t="inlineStr">
        <is>
          <t>https://lpjk.pu.go.id/search-badan-usaha-detail/TUpxOUI5Y1A3UmJBaVpxU0ZVbEIxUT09</t>
        </is>
      </c>
      <c r="F10" t="n">
        <v>1</v>
      </c>
      <c r="G10" t="inlineStr">
        <is>
          <t>BG009</t>
        </is>
      </c>
      <c r="H10" t="inlineStr">
        <is>
          <t>1 Agustus 2019</t>
        </is>
      </c>
      <c r="I10" s="2" t="n">
        <v>46235</v>
      </c>
      <c r="J10" t="inlineStr">
        <is>
          <t>Pencabutan</t>
        </is>
      </c>
      <c r="K10" t="n">
        <v>30</v>
      </c>
      <c r="L10" t="inlineStr">
        <is>
          <t>1 Agustus 2026</t>
        </is>
      </c>
      <c r="M10" t="inlineStr">
        <is>
          <t>Konstruksi Gedung Lainnya</t>
        </is>
      </c>
      <c r="N10" t="inlineStr">
        <is>
          <t>K</t>
        </is>
      </c>
      <c r="O10" t="inlineStr">
        <is>
          <t>20230802</t>
        </is>
      </c>
      <c r="P10" t="inlineStr">
        <is>
          <t>DKI Jakarta</t>
        </is>
      </c>
      <c r="Q10" s="3">
        <f>HYPERLINK("https://wa.me/6281210200032?text=*[Pengingat Masa Berlaku SBU ROESMORA UTAMA MANDIRI]*%0A%0AYth. Pimpinan ROESMORA UTAMA MANDIRI,%0AMohon izin menginformasikan status SBU Anda:%0A%0A📄 SBU: BG009%0A📅 Expired: 1 Agustus 2026 (30 Hari Lagi)%0A%0AKami tim PT. ESDEA Assistance Management siap men-support proses perpanjangan segera agar administrasi proyek tidak terhambat%0A%0AApakah boleh saya bantu siapkan estimasi biaya dan waktu pengerjaannya?.", "Hubungi")</f>
        <v/>
      </c>
    </row>
    <row r="11">
      <c r="A11" t="inlineStr">
        <is>
          <t>SARANA SUKSES INDONESIA</t>
        </is>
      </c>
      <c r="B11" t="inlineStr">
        <is>
          <t>Kab. Bekasi</t>
        </is>
      </c>
      <c r="C11" t="inlineStr">
        <is>
          <t>085697161683</t>
        </is>
      </c>
      <c r="D11" t="inlineStr">
        <is>
          <t>saranasukses168@yahoo.com</t>
        </is>
      </c>
      <c r="E11" t="inlineStr">
        <is>
          <t>https://lpjk.pu.go.id/search-badan-usaha-detail/ejg3amI0QThGWEI4SUQwTFhvbE0wdz09</t>
        </is>
      </c>
      <c r="F11" t="n">
        <v>1</v>
      </c>
      <c r="G11" t="inlineStr">
        <is>
          <t>BS004</t>
        </is>
      </c>
      <c r="H11" t="inlineStr">
        <is>
          <t>10 Juli 2020</t>
        </is>
      </c>
      <c r="I11" s="2" t="n">
        <v>46235</v>
      </c>
      <c r="J11" t="inlineStr">
        <is>
          <t>Disetujui</t>
        </is>
      </c>
      <c r="K11" t="n">
        <v>30</v>
      </c>
      <c r="L11" t="inlineStr">
        <is>
          <t>1 Agustus 2026</t>
        </is>
      </c>
      <c r="M11" t="inlineStr">
        <is>
          <t>Konstruksi Jaringan Irigasi dan Drainase</t>
        </is>
      </c>
      <c r="N11" t="inlineStr">
        <is>
          <t>M</t>
        </is>
      </c>
      <c r="O11" t="inlineStr">
        <is>
          <t>20230801</t>
        </is>
      </c>
      <c r="P11" t="inlineStr">
        <is>
          <t>Jawa Barat</t>
        </is>
      </c>
      <c r="Q11" s="3">
        <f>HYPERLINK("https://wa.me/6285697161683?text=*[Pengingat Masa Berlaku SBU SARANA SUKSES INDONESIA]*%0A%0AYth. Pimpinan SARANA SUKSES INDONESIA,%0AMohon izin menginformasikan status SBU Anda:%0A%0A📄 SBU: BS004%0A📅 Expired: 1 Agustus 2026 (30 Hari Lagi)%0A%0AKami tim PT. ESDEA Assistance Management siap men-support proses perpanjangan segera agar administrasi proyek tidak terhambat%0A%0AApakah boleh saya bantu siapkan estimasi biaya dan waktu pengerjaannya?.", "Hubungi")</f>
        <v/>
      </c>
    </row>
    <row r="12">
      <c r="A12" t="inlineStr">
        <is>
          <t>TIGA PUTRA MARSADA</t>
        </is>
      </c>
      <c r="B12" t="inlineStr">
        <is>
          <t>Kota Adm. Jakarta Timur</t>
        </is>
      </c>
      <c r="C12" t="inlineStr">
        <is>
          <t>02129191970</t>
        </is>
      </c>
      <c r="D12" t="inlineStr">
        <is>
          <t>tigaputramarsada@yahoo.com</t>
        </is>
      </c>
      <c r="E12" t="inlineStr">
        <is>
          <t>https://lpjk.pu.go.id/search-badan-usaha-detail/RTlGbGtVdnlRdTdOOGRaZWdzT1BXQT09</t>
        </is>
      </c>
      <c r="F12" t="n">
        <v>3</v>
      </c>
      <c r="G12" t="inlineStr">
        <is>
          <t>BG002, BG006, BG009</t>
        </is>
      </c>
      <c r="H12" t="inlineStr">
        <is>
          <t>23 Desember 2020</t>
        </is>
      </c>
      <c r="I12" s="2" t="n">
        <v>46235</v>
      </c>
      <c r="J12" t="inlineStr">
        <is>
          <t>Pencabutan</t>
        </is>
      </c>
      <c r="K12" t="n">
        <v>30</v>
      </c>
      <c r="L12" t="inlineStr">
        <is>
          <t>1 Agustus 2026</t>
        </is>
      </c>
      <c r="M12" t="inlineStr">
        <is>
          <t>Konstruksi Gedung Lainnya, Konstruksi Gedung Pendidikan, Konstruksi Gedung Perkantoran</t>
        </is>
      </c>
      <c r="N12" t="inlineStr">
        <is>
          <t>K</t>
        </is>
      </c>
      <c r="O12" t="inlineStr">
        <is>
          <t>20230719, 20230728</t>
        </is>
      </c>
      <c r="P12" t="inlineStr">
        <is>
          <t>DKI Jakarta</t>
        </is>
      </c>
      <c r="Q12" t="inlineStr"/>
    </row>
    <row r="13">
      <c r="A13" t="inlineStr">
        <is>
          <t>ABADI KARYA PERTAMA</t>
        </is>
      </c>
      <c r="B13" t="inlineStr">
        <is>
          <t>Kab. Ogan Komering Ulu</t>
        </is>
      </c>
      <c r="C13" t="inlineStr">
        <is>
          <t>081368717775</t>
        </is>
      </c>
      <c r="D13" t="inlineStr">
        <is>
          <t>cvabadikaryapertama@gmail.com</t>
        </is>
      </c>
      <c r="E13" t="inlineStr">
        <is>
          <t>https://lpjk.pu.go.id/search-badan-usaha-detail/YUU5MUpsU2F3UWsrcGhxZzdXYXR3UT09</t>
        </is>
      </c>
      <c r="F13" t="n">
        <v>2</v>
      </c>
      <c r="G13" t="inlineStr">
        <is>
          <t>BG002</t>
        </is>
      </c>
      <c r="H13" t="inlineStr">
        <is>
          <t>25 Oktober 2022</t>
        </is>
      </c>
      <c r="I13" s="2" t="n">
        <v>46235</v>
      </c>
      <c r="J13" t="inlineStr">
        <is>
          <t>Disetujui</t>
        </is>
      </c>
      <c r="K13" t="n">
        <v>30</v>
      </c>
      <c r="L13" t="inlineStr">
        <is>
          <t>1 Agustus 2026</t>
        </is>
      </c>
      <c r="M13" t="inlineStr">
        <is>
          <t>Konstruksi Gedung Perkantoran</t>
        </is>
      </c>
      <c r="N13" t="inlineStr">
        <is>
          <t>K</t>
        </is>
      </c>
      <c r="O13" t="inlineStr">
        <is>
          <t>20230731</t>
        </is>
      </c>
      <c r="P13" t="inlineStr">
        <is>
          <t>Sumatera Selatan</t>
        </is>
      </c>
      <c r="Q13" t="inlineStr"/>
    </row>
    <row r="14">
      <c r="A14" t="inlineStr">
        <is>
          <t>ADI KENCANA</t>
        </is>
      </c>
      <c r="B14" t="inlineStr">
        <is>
          <t>Kab. Cilacap</t>
        </is>
      </c>
      <c r="C14" t="inlineStr">
        <is>
          <t>087781305142</t>
        </is>
      </c>
      <c r="D14" t="inlineStr">
        <is>
          <t>adikencanasdr@gmail.com</t>
        </is>
      </c>
      <c r="E14" t="inlineStr">
        <is>
          <t>https://lpjk.pu.go.id/search-badan-usaha-detail/STd0d0xSdUtjclZ6cVI0cmFRYVdkQT09</t>
        </is>
      </c>
      <c r="F14" t="n">
        <v>1</v>
      </c>
      <c r="G14" t="inlineStr">
        <is>
          <t>BG006</t>
        </is>
      </c>
      <c r="H14" t="inlineStr">
        <is>
          <t>3 Februari 2015</t>
        </is>
      </c>
      <c r="I14" s="2" t="n">
        <v>46235</v>
      </c>
      <c r="J14" t="inlineStr">
        <is>
          <t>Disetujui</t>
        </is>
      </c>
      <c r="K14" t="n">
        <v>30</v>
      </c>
      <c r="L14" t="inlineStr">
        <is>
          <t>1 Agustus 2026</t>
        </is>
      </c>
      <c r="M14" t="inlineStr">
        <is>
          <t>Konstruksi Gedung Pendidikan</t>
        </is>
      </c>
      <c r="N14" t="inlineStr">
        <is>
          <t>K</t>
        </is>
      </c>
      <c r="O14" t="inlineStr">
        <is>
          <t>20230802</t>
        </is>
      </c>
      <c r="P14" t="inlineStr">
        <is>
          <t>Jawa Tengah</t>
        </is>
      </c>
      <c r="Q14" t="inlineStr"/>
    </row>
    <row r="15">
      <c r="A15" t="inlineStr">
        <is>
          <t>AEK RAJA</t>
        </is>
      </c>
      <c r="B15" t="inlineStr">
        <is>
          <t>Kab. Samosir</t>
        </is>
      </c>
      <c r="C15" t="inlineStr">
        <is>
          <t>082262558184</t>
        </is>
      </c>
      <c r="D15" t="inlineStr">
        <is>
          <t>cv.aekraja75@gmail.com</t>
        </is>
      </c>
      <c r="E15" t="inlineStr">
        <is>
          <t>https://lpjk.pu.go.id/search-badan-usaha-detail/SlUrL05DRTFVR2UwYy9hdTh1WmM5UT09</t>
        </is>
      </c>
      <c r="F15" t="n">
        <v>1</v>
      </c>
      <c r="G15" t="inlineStr">
        <is>
          <t>BG009</t>
        </is>
      </c>
      <c r="H15" t="inlineStr">
        <is>
          <t>17 Mei 2021</t>
        </is>
      </c>
      <c r="I15" s="2" t="n">
        <v>46235</v>
      </c>
      <c r="J15" t="inlineStr">
        <is>
          <t>Disetujui</t>
        </is>
      </c>
      <c r="K15" t="n">
        <v>30</v>
      </c>
      <c r="L15" t="inlineStr">
        <is>
          <t>1 Agustus 2026</t>
        </is>
      </c>
      <c r="M15" t="inlineStr">
        <is>
          <t>Konstruksi Gedung Lainnya</t>
        </is>
      </c>
      <c r="N15" t="inlineStr">
        <is>
          <t>K</t>
        </is>
      </c>
      <c r="O15" t="inlineStr">
        <is>
          <t>20230726</t>
        </is>
      </c>
      <c r="P15" t="inlineStr">
        <is>
          <t>Sumatera Utara</t>
        </is>
      </c>
      <c r="Q15" t="inlineStr"/>
    </row>
    <row r="16">
      <c r="A16" t="inlineStr">
        <is>
          <t>AERI KARYA PRATAMA</t>
        </is>
      </c>
      <c r="B16" t="inlineStr">
        <is>
          <t>Kab. Garut</t>
        </is>
      </c>
      <c r="C16" t="inlineStr">
        <is>
          <t>081221433577</t>
        </is>
      </c>
      <c r="D16" t="inlineStr">
        <is>
          <t>aerikaryapratama@gmail.com</t>
        </is>
      </c>
      <c r="E16" t="inlineStr">
        <is>
          <t>https://lpjk.pu.go.id/search-badan-usaha-detail/aDVjdVJqVXRsWHlmZHZQS1ZhU0xZZz09</t>
        </is>
      </c>
      <c r="F16" t="n">
        <v>1</v>
      </c>
      <c r="G16" t="inlineStr">
        <is>
          <t>BS001</t>
        </is>
      </c>
      <c r="H16" t="inlineStr">
        <is>
          <t>26 Desember 2022</t>
        </is>
      </c>
      <c r="I16" s="2" t="n">
        <v>46235</v>
      </c>
      <c r="J16" t="inlineStr">
        <is>
          <t>Pencabutan</t>
        </is>
      </c>
      <c r="K16" t="n">
        <v>30</v>
      </c>
      <c r="L16" t="inlineStr">
        <is>
          <t>1 Agustus 2026</t>
        </is>
      </c>
      <c r="M16" t="inlineStr">
        <is>
          <t>Konstruksi Bangunan Sipil Jalan</t>
        </is>
      </c>
      <c r="N16" t="inlineStr">
        <is>
          <t>K</t>
        </is>
      </c>
      <c r="O16" t="inlineStr">
        <is>
          <t>20230510</t>
        </is>
      </c>
      <c r="P16" t="inlineStr">
        <is>
          <t>Jawa Barat</t>
        </is>
      </c>
      <c r="Q16" t="inlineStr"/>
    </row>
    <row r="17">
      <c r="A17" t="inlineStr">
        <is>
          <t>AGUNG WICAKSANA</t>
        </is>
      </c>
      <c r="B17" t="inlineStr">
        <is>
          <t>Kota Kupang</t>
        </is>
      </c>
      <c r="C17" t="inlineStr">
        <is>
          <t>082143788788</t>
        </is>
      </c>
      <c r="D17" t="inlineStr">
        <is>
          <t>cvagungwicaksana07@gmail.com</t>
        </is>
      </c>
      <c r="E17" t="inlineStr">
        <is>
          <t>https://lpjk.pu.go.id/search-badan-usaha-detail/NVFBd2Z0UFdFeHZoWWFwVTlLOGVQQT09</t>
        </is>
      </c>
      <c r="F17" t="n">
        <v>4</v>
      </c>
      <c r="G17" t="inlineStr">
        <is>
          <t>BS001, BS004</t>
        </is>
      </c>
      <c r="H17" t="inlineStr">
        <is>
          <t>2 November 2007</t>
        </is>
      </c>
      <c r="I17" s="2" t="n">
        <v>46235</v>
      </c>
      <c r="J17" t="inlineStr">
        <is>
          <t>Disetujui</t>
        </is>
      </c>
      <c r="K17" t="n">
        <v>30</v>
      </c>
      <c r="L17" t="inlineStr">
        <is>
          <t>1 Agustus 2026</t>
        </is>
      </c>
      <c r="M17" t="inlineStr">
        <is>
          <t>Konstruksi Bangunan Sipil Jalan, Konstruksi Jaringan Irigasi dan Drainase</t>
        </is>
      </c>
      <c r="N17" t="inlineStr">
        <is>
          <t>K</t>
        </is>
      </c>
      <c r="O17" t="inlineStr">
        <is>
          <t>20230724</t>
        </is>
      </c>
      <c r="P17" t="inlineStr">
        <is>
          <t>Nusa Tenggara Timur</t>
        </is>
      </c>
      <c r="Q17" t="inlineStr"/>
    </row>
    <row r="18">
      <c r="A18" t="inlineStr">
        <is>
          <t>AKBAR</t>
        </is>
      </c>
      <c r="B18" t="inlineStr">
        <is>
          <t>Kab. Sidenreng Rappang</t>
        </is>
      </c>
      <c r="C18" t="inlineStr">
        <is>
          <t>085325444777</t>
        </is>
      </c>
      <c r="D18" t="inlineStr">
        <is>
          <t>cvakbar24@gmail.com</t>
        </is>
      </c>
      <c r="E18" t="inlineStr">
        <is>
          <t>https://lpjk.pu.go.id/search-badan-usaha-detail/aHJvVE9nU1Fxb1dhdXlCKzl0cjZydz09</t>
        </is>
      </c>
      <c r="F18" t="n">
        <v>2</v>
      </c>
      <c r="G18" t="inlineStr">
        <is>
          <t>BG005, BG006</t>
        </is>
      </c>
      <c r="H18" t="inlineStr">
        <is>
          <t>18 September 2002</t>
        </is>
      </c>
      <c r="I18" s="2" t="n">
        <v>46235</v>
      </c>
      <c r="J18" t="inlineStr">
        <is>
          <t>Disetujui</t>
        </is>
      </c>
      <c r="K18" t="n">
        <v>30</v>
      </c>
      <c r="L18" t="inlineStr">
        <is>
          <t>1 Agustus 2026</t>
        </is>
      </c>
      <c r="M18" t="inlineStr">
        <is>
          <t>Konstruksi Gedung Kesehatan, Konstruksi Gedung Pendidikan</t>
        </is>
      </c>
      <c r="N18" t="inlineStr">
        <is>
          <t>K</t>
        </is>
      </c>
      <c r="O18" t="inlineStr">
        <is>
          <t>20230802</t>
        </is>
      </c>
      <c r="P18" t="inlineStr">
        <is>
          <t>Sulawesi Selatan</t>
        </is>
      </c>
      <c r="Q18" t="inlineStr"/>
    </row>
    <row r="19">
      <c r="A19" t="inlineStr">
        <is>
          <t>ALI ASSHAFWA</t>
        </is>
      </c>
      <c r="B19" t="inlineStr">
        <is>
          <t>Kota Makassar</t>
        </is>
      </c>
      <c r="C19" t="inlineStr">
        <is>
          <t>082189554554</t>
        </is>
      </c>
      <c r="D19" t="inlineStr">
        <is>
          <t>cv.aliasshafwa@gmail.com</t>
        </is>
      </c>
      <c r="E19" t="inlineStr">
        <is>
          <t>https://lpjk.pu.go.id/search-badan-usaha-detail/cngzQ3dPSEEyRG1pK21wVE9POEdtZz09</t>
        </is>
      </c>
      <c r="F19" t="n">
        <v>3</v>
      </c>
      <c r="G19" t="inlineStr">
        <is>
          <t>BG002, BG006, BG009</t>
        </is>
      </c>
      <c r="H19" t="inlineStr">
        <is>
          <t>3 November 2016</t>
        </is>
      </c>
      <c r="I19" s="2" t="n">
        <v>46235</v>
      </c>
      <c r="J19" t="inlineStr">
        <is>
          <t>Disetujui</t>
        </is>
      </c>
      <c r="K19" t="n">
        <v>30</v>
      </c>
      <c r="L19" t="inlineStr">
        <is>
          <t>1 Agustus 2026</t>
        </is>
      </c>
      <c r="M19" t="inlineStr">
        <is>
          <t>Konstruksi Gedung Lainnya, Konstruksi Gedung Pendidikan, Konstruksi Gedung Perkantoran</t>
        </is>
      </c>
      <c r="N19" t="inlineStr">
        <is>
          <t>K</t>
        </is>
      </c>
      <c r="O19" t="inlineStr">
        <is>
          <t>20230801</t>
        </is>
      </c>
      <c r="P19" t="inlineStr">
        <is>
          <t>Sulawesi Selatan</t>
        </is>
      </c>
      <c r="Q19" t="inlineStr"/>
    </row>
    <row r="20">
      <c r="A20" t="inlineStr">
        <is>
          <t>ALI JAYA</t>
        </is>
      </c>
      <c r="B20" t="inlineStr">
        <is>
          <t>Kab. Banyuwangi</t>
        </is>
      </c>
      <c r="C20" t="inlineStr">
        <is>
          <t>081246275496</t>
        </is>
      </c>
      <c r="D20" t="inlineStr">
        <is>
          <t>alijaya553@yahoo.com</t>
        </is>
      </c>
      <c r="E20" t="inlineStr">
        <is>
          <t>https://lpjk.pu.go.id/search-badan-usaha-detail/R1lma1RHM3gxV010dkN4SUwzZ2hBdz09</t>
        </is>
      </c>
      <c r="F20" t="n">
        <v>5</v>
      </c>
      <c r="G20" t="inlineStr">
        <is>
          <t>BG005, BG006, BG009, BS001, BS004</t>
        </is>
      </c>
      <c r="H20" t="inlineStr">
        <is>
          <t>29 Mei 2013</t>
        </is>
      </c>
      <c r="I20" s="2" t="n">
        <v>46235</v>
      </c>
      <c r="J20" t="inlineStr">
        <is>
          <t>Disetujui</t>
        </is>
      </c>
      <c r="K20" t="n">
        <v>30</v>
      </c>
      <c r="L20" t="inlineStr">
        <is>
          <t>1 Agustus 2026</t>
        </is>
      </c>
      <c r="M20" t="inlineStr">
        <is>
          <t>Konstruksi Bangunan Sipil Jalan, Konstruksi Gedung Kesehatan, Konstruksi Gedung Lainnya, Konstruksi Gedung Pendidikan, Konstruksi Jaringan Irigasi dan Drainase</t>
        </is>
      </c>
      <c r="N20" t="inlineStr">
        <is>
          <t>K</t>
        </is>
      </c>
      <c r="O20" t="inlineStr">
        <is>
          <t>20230726, 20230727</t>
        </is>
      </c>
      <c r="P20" t="inlineStr">
        <is>
          <t>Jawa Timur</t>
        </is>
      </c>
      <c r="Q20" t="inlineStr"/>
    </row>
    <row r="21">
      <c r="A21" t="inlineStr">
        <is>
          <t>ANAKING INTI ANUGRAH</t>
        </is>
      </c>
      <c r="B21" t="inlineStr">
        <is>
          <t>Kab. Sukabumi</t>
        </is>
      </c>
      <c r="C21" t="inlineStr">
        <is>
          <t>089516819847</t>
        </is>
      </c>
      <c r="D21" t="inlineStr">
        <is>
          <t>anaking1220@gmail.com</t>
        </is>
      </c>
      <c r="E21" t="inlineStr">
        <is>
          <t>https://lpjk.pu.go.id/search-badan-usaha-detail/WWRmRXowaExnUStlN0R1TGRVblVrQT09</t>
        </is>
      </c>
      <c r="F21" t="n">
        <v>2</v>
      </c>
      <c r="G21" t="inlineStr">
        <is>
          <t>BG003</t>
        </is>
      </c>
      <c r="H21" t="inlineStr">
        <is>
          <t>8 September 2022</t>
        </is>
      </c>
      <c r="I21" s="2" t="n">
        <v>46235</v>
      </c>
      <c r="J21" t="inlineStr">
        <is>
          <t>Disetujui</t>
        </is>
      </c>
      <c r="K21" t="n">
        <v>30</v>
      </c>
      <c r="L21" t="inlineStr">
        <is>
          <t>1 Agustus 2026</t>
        </is>
      </c>
      <c r="M21" t="inlineStr">
        <is>
          <t>Konstruksi Gedung Industri</t>
        </is>
      </c>
      <c r="N21" t="inlineStr">
        <is>
          <t>K</t>
        </is>
      </c>
      <c r="O21" t="inlineStr">
        <is>
          <t>20230802</t>
        </is>
      </c>
      <c r="P21" t="inlineStr">
        <is>
          <t>Jawa Barat</t>
        </is>
      </c>
      <c r="Q21" t="inlineStr"/>
    </row>
    <row r="22">
      <c r="A22" t="inlineStr">
        <is>
          <t>ANTAR TIGA</t>
        </is>
      </c>
      <c r="B22" t="inlineStr">
        <is>
          <t>Kab. Natuna</t>
        </is>
      </c>
      <c r="C22" t="inlineStr">
        <is>
          <t>081266398450</t>
        </is>
      </c>
      <c r="D22" t="inlineStr">
        <is>
          <t>cv.antartiga3@gmail.com</t>
        </is>
      </c>
      <c r="E22" t="inlineStr">
        <is>
          <t>https://lpjk.pu.go.id/search-badan-usaha-detail/YStrMC9mWVlwWXVGWWxNNEpRTmdKUT09</t>
        </is>
      </c>
      <c r="F22" t="n">
        <v>1</v>
      </c>
      <c r="G22" t="inlineStr">
        <is>
          <t>BG009</t>
        </is>
      </c>
      <c r="H22" t="inlineStr">
        <is>
          <t>18 Juni 2020</t>
        </is>
      </c>
      <c r="I22" s="2" t="n">
        <v>46235</v>
      </c>
      <c r="J22" t="inlineStr">
        <is>
          <t>Pencabutan</t>
        </is>
      </c>
      <c r="K22" t="n">
        <v>30</v>
      </c>
      <c r="L22" t="inlineStr">
        <is>
          <t>1 Agustus 2026</t>
        </is>
      </c>
      <c r="M22" t="inlineStr">
        <is>
          <t>Konstruksi Gedung Lainnya</t>
        </is>
      </c>
      <c r="N22" t="inlineStr">
        <is>
          <t>K</t>
        </is>
      </c>
      <c r="O22" t="inlineStr">
        <is>
          <t>20230802</t>
        </is>
      </c>
      <c r="P22" t="inlineStr">
        <is>
          <t>Kepulauan Riau</t>
        </is>
      </c>
      <c r="Q22" t="inlineStr"/>
    </row>
    <row r="23">
      <c r="A23" t="inlineStr">
        <is>
          <t>ARAYA KARYA</t>
        </is>
      </c>
      <c r="B23" t="inlineStr">
        <is>
          <t>Kab. Pati</t>
        </is>
      </c>
      <c r="C23" t="inlineStr">
        <is>
          <t>081252532055</t>
        </is>
      </c>
      <c r="D23" t="inlineStr">
        <is>
          <t>araya_karya@yahoo.co.id</t>
        </is>
      </c>
      <c r="E23" t="inlineStr">
        <is>
          <t>https://lpjk.pu.go.id/search-badan-usaha-detail/MlZuaG80dGZMcHdtbVlPWmpKdDVuZz09</t>
        </is>
      </c>
      <c r="F23" t="n">
        <v>4</v>
      </c>
      <c r="G23" t="inlineStr">
        <is>
          <t>BG006, BG009</t>
        </is>
      </c>
      <c r="H23" t="inlineStr">
        <is>
          <t>14 Juli 2014</t>
        </is>
      </c>
      <c r="I23" s="2" t="n">
        <v>46235</v>
      </c>
      <c r="J23" t="inlineStr">
        <is>
          <t>Disetujui</t>
        </is>
      </c>
      <c r="K23" t="n">
        <v>30</v>
      </c>
      <c r="L23" t="inlineStr">
        <is>
          <t>1 Agustus 2026</t>
        </is>
      </c>
      <c r="M23" t="inlineStr">
        <is>
          <t>Konstruksi Gedung Lainnya, Konstruksi Gedung Pendidikan</t>
        </is>
      </c>
      <c r="N23" t="inlineStr">
        <is>
          <t>K</t>
        </is>
      </c>
      <c r="O23" t="inlineStr">
        <is>
          <t>20230801</t>
        </is>
      </c>
      <c r="P23" t="inlineStr">
        <is>
          <t>Jawa Tengah</t>
        </is>
      </c>
      <c r="Q23" t="inlineStr"/>
    </row>
    <row r="24">
      <c r="A24" t="inlineStr">
        <is>
          <t>ARDISELA</t>
        </is>
      </c>
      <c r="B24" t="inlineStr">
        <is>
          <t>Kab. Cirebon</t>
        </is>
      </c>
      <c r="C24" t="inlineStr">
        <is>
          <t>081278757091</t>
        </is>
      </c>
      <c r="D24" t="inlineStr">
        <is>
          <t>ardisela804@yahoo.com</t>
        </is>
      </c>
      <c r="E24" t="inlineStr">
        <is>
          <t>https://lpjk.pu.go.id/search-badan-usaha-detail/VGp2Mnp3RW9vcnRDTVJtdUJkYmJUQT09</t>
        </is>
      </c>
      <c r="F24" t="n">
        <v>2</v>
      </c>
      <c r="G24" t="inlineStr">
        <is>
          <t>PL002</t>
        </is>
      </c>
      <c r="H24" t="inlineStr">
        <is>
          <t>31 Oktober 2002</t>
        </is>
      </c>
      <c r="I24" s="2" t="n">
        <v>46235</v>
      </c>
      <c r="J24" t="inlineStr">
        <is>
          <t>Disetujui</t>
        </is>
      </c>
      <c r="K24" t="n">
        <v>30</v>
      </c>
      <c r="L24" t="inlineStr">
        <is>
          <t>1 Agustus 2026</t>
        </is>
      </c>
      <c r="M24" t="inlineStr">
        <is>
          <t>Pengerukan</t>
        </is>
      </c>
      <c r="N24" t="inlineStr">
        <is>
          <t>Spesialis</t>
        </is>
      </c>
      <c r="O24" t="inlineStr">
        <is>
          <t>20230727</t>
        </is>
      </c>
      <c r="P24" t="inlineStr">
        <is>
          <t>Jawa Barat</t>
        </is>
      </c>
      <c r="Q24" t="inlineStr"/>
    </row>
    <row r="25">
      <c r="A25" t="inlineStr">
        <is>
          <t>ARETA</t>
        </is>
      </c>
      <c r="B25" t="inlineStr">
        <is>
          <t>Kab. Kubu Raya</t>
        </is>
      </c>
      <c r="C25" t="inlineStr">
        <is>
          <t>081256678333</t>
        </is>
      </c>
      <c r="D25" t="inlineStr">
        <is>
          <t>aretacv@yahoo.co.id</t>
        </is>
      </c>
      <c r="E25" t="inlineStr">
        <is>
          <t>https://lpjk.pu.go.id/search-badan-usaha-detail/d0pMbXlTR1dKYitvQzJMVU5wMVhBZz09</t>
        </is>
      </c>
      <c r="F25" t="n">
        <v>1</v>
      </c>
      <c r="G25" t="inlineStr">
        <is>
          <t>BS001</t>
        </is>
      </c>
      <c r="H25" t="inlineStr">
        <is>
          <t>19 Oktober 2012</t>
        </is>
      </c>
      <c r="I25" s="2" t="n">
        <v>46235</v>
      </c>
      <c r="J25" t="inlineStr">
        <is>
          <t>Disetujui</t>
        </is>
      </c>
      <c r="K25" t="n">
        <v>30</v>
      </c>
      <c r="L25" t="inlineStr">
        <is>
          <t>1 Agustus 2026</t>
        </is>
      </c>
      <c r="M25" t="inlineStr">
        <is>
          <t>Konstruksi Bangunan Sipil Jalan</t>
        </is>
      </c>
      <c r="N25" t="inlineStr">
        <is>
          <t>K</t>
        </is>
      </c>
      <c r="O25" t="inlineStr">
        <is>
          <t>20230718</t>
        </is>
      </c>
      <c r="P25" t="inlineStr">
        <is>
          <t>Kalimantan Barat</t>
        </is>
      </c>
      <c r="Q25" t="inlineStr"/>
    </row>
    <row r="26">
      <c r="A26" t="inlineStr">
        <is>
          <t>ARKAAN WA TAMAAM</t>
        </is>
      </c>
      <c r="B26" t="inlineStr">
        <is>
          <t>Kab. Karawang</t>
        </is>
      </c>
      <c r="C26" t="inlineStr">
        <is>
          <t>082318479089</t>
        </is>
      </c>
      <c r="D26" t="inlineStr">
        <is>
          <t>cvarkaan@gmail.com</t>
        </is>
      </c>
      <c r="E26" t="inlineStr">
        <is>
          <t>https://lpjk.pu.go.id/search-badan-usaha-detail/eHdoQ053eUdrWW14Z3FqVWhmSFhjQT09</t>
        </is>
      </c>
      <c r="F26" t="n">
        <v>2</v>
      </c>
      <c r="G26" t="inlineStr">
        <is>
          <t>BG005</t>
        </is>
      </c>
      <c r="H26" t="inlineStr">
        <is>
          <t>3 Mei 2019</t>
        </is>
      </c>
      <c r="I26" s="2" t="n">
        <v>46235</v>
      </c>
      <c r="J26" t="inlineStr">
        <is>
          <t>Disetujui</t>
        </is>
      </c>
      <c r="K26" t="n">
        <v>30</v>
      </c>
      <c r="L26" t="inlineStr">
        <is>
          <t>1 Agustus 2026</t>
        </is>
      </c>
      <c r="M26" t="inlineStr">
        <is>
          <t>Konstruksi Gedung Kesehatan</t>
        </is>
      </c>
      <c r="N26" t="inlineStr">
        <is>
          <t>K</t>
        </is>
      </c>
      <c r="O26" t="inlineStr">
        <is>
          <t>20230802</t>
        </is>
      </c>
      <c r="P26" t="inlineStr">
        <is>
          <t>Jawa Barat</t>
        </is>
      </c>
      <c r="Q26" t="inlineStr"/>
    </row>
    <row r="27">
      <c r="A27" t="inlineStr">
        <is>
          <t>ARKATAMA PUTRA</t>
        </is>
      </c>
      <c r="B27" t="inlineStr">
        <is>
          <t>Kab. Jember</t>
        </is>
      </c>
      <c r="C27" t="inlineStr">
        <is>
          <t>085236370640</t>
        </is>
      </c>
      <c r="D27" t="inlineStr">
        <is>
          <t>cv.arkatamaputra@gmail.com</t>
        </is>
      </c>
      <c r="E27" t="inlineStr">
        <is>
          <t>https://lpjk.pu.go.id/search-badan-usaha-detail/RG12RFFMZXR1N055K1R6OFZWQ29keWY2aXRzUU9YdWd4Q3NzdnRIdklIWT0</t>
        </is>
      </c>
      <c r="F27" t="n">
        <v>6</v>
      </c>
      <c r="G27" t="inlineStr">
        <is>
          <t>BG001, BG002</t>
        </is>
      </c>
      <c r="H27" t="inlineStr">
        <is>
          <t>25 Maret 2026</t>
        </is>
      </c>
      <c r="I27" s="2" t="n">
        <v>46235</v>
      </c>
      <c r="J27" t="inlineStr">
        <is>
          <t>Disetujui</t>
        </is>
      </c>
      <c r="K27" t="n">
        <v>30</v>
      </c>
      <c r="L27" t="inlineStr">
        <is>
          <t>1 Agustus 2026</t>
        </is>
      </c>
      <c r="M27" t="inlineStr">
        <is>
          <t>Konstruksi Gedung Hunian, Konstruksi Gedung Perkantoran</t>
        </is>
      </c>
      <c r="N27" t="inlineStr">
        <is>
          <t>K</t>
        </is>
      </c>
      <c r="O27" t="inlineStr">
        <is>
          <t>20230704</t>
        </is>
      </c>
      <c r="P27" t="inlineStr">
        <is>
          <t>Jawa Timur</t>
        </is>
      </c>
      <c r="Q27" t="inlineStr"/>
    </row>
    <row r="28">
      <c r="A28" t="inlineStr">
        <is>
          <t>ARTA ANUGERAH ADHI PERKASA</t>
        </is>
      </c>
      <c r="B28" t="inlineStr">
        <is>
          <t>Kota Banjarmasin</t>
        </is>
      </c>
      <c r="C28" t="inlineStr">
        <is>
          <t>05114423321</t>
        </is>
      </c>
      <c r="D28" t="inlineStr">
        <is>
          <t>artaanugerah_ap@yahoo.com</t>
        </is>
      </c>
      <c r="E28" t="inlineStr">
        <is>
          <t>https://lpjk.pu.go.id/search-badan-usaha-detail/bDNmbzhCRVIrWVdSZ1RDNXgyaGUwdz09</t>
        </is>
      </c>
      <c r="F28" t="n">
        <v>3</v>
      </c>
      <c r="G28" t="inlineStr">
        <is>
          <t>BS001, BS002, BS004</t>
        </is>
      </c>
      <c r="H28" t="inlineStr">
        <is>
          <t>29 Januari 2016</t>
        </is>
      </c>
      <c r="I28" s="2" t="n">
        <v>46235</v>
      </c>
      <c r="J28" t="inlineStr">
        <is>
          <t>Disetujui</t>
        </is>
      </c>
      <c r="K28" t="n">
        <v>30</v>
      </c>
      <c r="L28" t="inlineStr">
        <is>
          <t>1 Agustus 2026</t>
        </is>
      </c>
      <c r="M28" t="inlineStr">
        <is>
          <t>Bangunan Sipil Jembatan, Jalan Layang, Fly Over, dan Underpass, Konstruksi Bangunan Sipil Jalan, Konstruksi Jaringan Irigasi dan Drainase</t>
        </is>
      </c>
      <c r="N28" t="inlineStr">
        <is>
          <t>K</t>
        </is>
      </c>
      <c r="O28" t="inlineStr">
        <is>
          <t>20230729</t>
        </is>
      </c>
      <c r="P28" t="inlineStr">
        <is>
          <t>Kalimantan Selatan</t>
        </is>
      </c>
      <c r="Q28" t="inlineStr"/>
    </row>
    <row r="29">
      <c r="A29" t="inlineStr">
        <is>
          <t>ARTA DANIND</t>
        </is>
      </c>
      <c r="B29" t="inlineStr">
        <is>
          <t>Kab. Gunungkidul</t>
        </is>
      </c>
      <c r="C29" t="inlineStr">
        <is>
          <t>087838749707</t>
        </is>
      </c>
      <c r="D29" t="inlineStr">
        <is>
          <t>danindarta@yahoo.com</t>
        </is>
      </c>
      <c r="E29" t="inlineStr">
        <is>
          <t>https://lpjk.pu.go.id/search-badan-usaha-detail/MDlKcVlMTzRnUlAxM3hwSEVxQWg5dz09</t>
        </is>
      </c>
      <c r="F29" t="n">
        <v>5</v>
      </c>
      <c r="G29" t="inlineStr">
        <is>
          <t>BG002, BG004, BG006, BG009, BS001</t>
        </is>
      </c>
      <c r="H29" t="inlineStr">
        <is>
          <t>1 April 2006</t>
        </is>
      </c>
      <c r="I29" s="2" t="n">
        <v>46235</v>
      </c>
      <c r="J29" t="inlineStr">
        <is>
          <t>Disetujui</t>
        </is>
      </c>
      <c r="K29" t="n">
        <v>30</v>
      </c>
      <c r="L29" t="inlineStr">
        <is>
          <t>1 Agustus 2026</t>
        </is>
      </c>
      <c r="M29" t="inlineStr">
        <is>
          <t>Konstruksi Bangunan Sipil Jalan, Konstruksi Gedung Lainnya, Konstruksi Gedung Pendidikan, Konstruksi Gedung Perbelanjaan, Konstruksi Gedung Perkantoran</t>
        </is>
      </c>
      <c r="N29" t="inlineStr">
        <is>
          <t>K</t>
        </is>
      </c>
      <c r="O29" t="inlineStr">
        <is>
          <t>20230726</t>
        </is>
      </c>
      <c r="P29" t="inlineStr">
        <is>
          <t>DI Yogyakarta</t>
        </is>
      </c>
      <c r="Q29" t="inlineStr"/>
    </row>
    <row r="30">
      <c r="A30" t="inlineStr">
        <is>
          <t>ARUNG SAMUDRA</t>
        </is>
      </c>
      <c r="B30" t="inlineStr">
        <is>
          <t>Kota Banjarmasin</t>
        </is>
      </c>
      <c r="C30" t="inlineStr">
        <is>
          <t>082251677872</t>
        </is>
      </c>
      <c r="D30" t="inlineStr">
        <is>
          <t>arungsamudrapt@yahoo.co.id</t>
        </is>
      </c>
      <c r="E30" t="inlineStr">
        <is>
          <t>https://lpjk.pu.go.id/search-badan-usaha-detail/MGllYlFZOGw2K2IxNEFqSWlkdUM3QT09</t>
        </is>
      </c>
      <c r="F30" t="n">
        <v>1</v>
      </c>
      <c r="G30" t="inlineStr">
        <is>
          <t>BG005</t>
        </is>
      </c>
      <c r="H30" t="inlineStr">
        <is>
          <t>4 September 2020</t>
        </is>
      </c>
      <c r="I30" s="2" t="n">
        <v>46235</v>
      </c>
      <c r="J30" t="inlineStr">
        <is>
          <t>Disetujui</t>
        </is>
      </c>
      <c r="K30" t="n">
        <v>30</v>
      </c>
      <c r="L30" t="inlineStr">
        <is>
          <t>1 Agustus 2026</t>
        </is>
      </c>
      <c r="M30" t="inlineStr">
        <is>
          <t>Konstruksi Gedung Kesehatan</t>
        </is>
      </c>
      <c r="N30" t="inlineStr">
        <is>
          <t>K</t>
        </is>
      </c>
      <c r="O30" t="inlineStr">
        <is>
          <t>20230727</t>
        </is>
      </c>
      <c r="P30" t="inlineStr">
        <is>
          <t>Kalimantan Selatan</t>
        </is>
      </c>
      <c r="Q30" t="inlineStr"/>
    </row>
    <row r="31">
      <c r="A31" t="inlineStr">
        <is>
          <t>ASKA MULIA ANOPAMA</t>
        </is>
      </c>
      <c r="B31" t="inlineStr">
        <is>
          <t>Kab. Sleman</t>
        </is>
      </c>
      <c r="C31" t="inlineStr">
        <is>
          <t>02742851913</t>
        </is>
      </c>
      <c r="D31" t="inlineStr">
        <is>
          <t>admaskaanopama@gmail.com</t>
        </is>
      </c>
      <c r="E31" t="inlineStr">
        <is>
          <t>https://lpjk.pu.go.id/search-badan-usaha-detail/ajVmWmF1dEdNQVo3NThodWQ5bERrUT09</t>
        </is>
      </c>
      <c r="F31" t="n">
        <v>1</v>
      </c>
      <c r="G31" t="inlineStr">
        <is>
          <t>RK001</t>
        </is>
      </c>
      <c r="H31" t="inlineStr">
        <is>
          <t>22 Oktober 2014</t>
        </is>
      </c>
      <c r="I31" s="2" t="n">
        <v>46235</v>
      </c>
      <c r="J31" t="inlineStr">
        <is>
          <t>Disetujui</t>
        </is>
      </c>
      <c r="K31" t="n">
        <v>30</v>
      </c>
      <c r="L31" t="inlineStr">
        <is>
          <t>1 Agustus 2026</t>
        </is>
      </c>
      <c r="M31" t="inlineStr">
        <is>
          <t>Jasa Rekayasa Konstruksi Bangunan Gedung Hunian dan Non Hunian</t>
        </is>
      </c>
      <c r="N31" t="inlineStr">
        <is>
          <t>K</t>
        </is>
      </c>
      <c r="O31" t="inlineStr">
        <is>
          <t>20230621</t>
        </is>
      </c>
      <c r="P31" t="inlineStr">
        <is>
          <t>DI Yogyakarta</t>
        </is>
      </c>
      <c r="Q31" t="inlineStr"/>
    </row>
    <row r="32">
      <c r="A32" t="inlineStr">
        <is>
          <t>AURORA CONSULTANT</t>
        </is>
      </c>
      <c r="B32" t="inlineStr">
        <is>
          <t>Kab. Mojokerto</t>
        </is>
      </c>
      <c r="C32" t="inlineStr">
        <is>
          <t>08123282880</t>
        </is>
      </c>
      <c r="D32" t="inlineStr">
        <is>
          <t>iam_butterfly89@yahoo.com</t>
        </is>
      </c>
      <c r="E32" t="inlineStr">
        <is>
          <t>https://lpjk.pu.go.id/search-badan-usaha-detail/SUVpOE11T1B1dkZBOXUxZks1Slk0QT09</t>
        </is>
      </c>
      <c r="F32" t="n">
        <v>3</v>
      </c>
      <c r="G32" t="inlineStr">
        <is>
          <t>RK001, RK002, RK003</t>
        </is>
      </c>
      <c r="H32" t="inlineStr">
        <is>
          <t>21 September 2015</t>
        </is>
      </c>
      <c r="I32" s="2" t="n">
        <v>46235</v>
      </c>
      <c r="J32" t="inlineStr">
        <is>
          <t>Disetujui</t>
        </is>
      </c>
      <c r="K32" t="n">
        <v>30</v>
      </c>
      <c r="L32" t="inlineStr">
        <is>
          <t>1 Agustus 2026</t>
        </is>
      </c>
      <c r="M32" t="inlineStr">
        <is>
          <t>Jasa Rekayasa Konstruksi Bangunan Gedung Hunian dan Non Hunian, Jasa Rekayasa Pekerjaan Teknik Sipil Sumber Daya Air, Jasa Rekayasa Pekerjaan Teknik Sipil Transportasi</t>
        </is>
      </c>
      <c r="N32" t="inlineStr">
        <is>
          <t>K</t>
        </is>
      </c>
      <c r="O32" t="inlineStr">
        <is>
          <t>20230725</t>
        </is>
      </c>
      <c r="P32" t="inlineStr">
        <is>
          <t>Jawa Timur</t>
        </is>
      </c>
      <c r="Q32" t="inlineStr"/>
    </row>
    <row r="33">
      <c r="A33" t="inlineStr">
        <is>
          <t>BALONG INSANI MAKMUR</t>
        </is>
      </c>
      <c r="B33" t="inlineStr">
        <is>
          <t>Kab. Bojonegoro</t>
        </is>
      </c>
      <c r="C33" t="inlineStr">
        <is>
          <t>085234618144</t>
        </is>
      </c>
      <c r="D33" t="inlineStr">
        <is>
          <t>cvbalonginsani@gmail.com</t>
        </is>
      </c>
      <c r="E33" t="inlineStr">
        <is>
          <t>https://lpjk.pu.go.id/search-badan-usaha-detail/cFI1dHp5RHdGNGp4VXF1YjRsdGNXdz09</t>
        </is>
      </c>
      <c r="F33" t="n">
        <v>1</v>
      </c>
      <c r="G33" t="inlineStr">
        <is>
          <t>BS001</t>
        </is>
      </c>
      <c r="H33" t="inlineStr">
        <is>
          <t>27 April 2023</t>
        </is>
      </c>
      <c r="I33" s="2" t="n">
        <v>46235</v>
      </c>
      <c r="J33" t="inlineStr">
        <is>
          <t>Disetujui</t>
        </is>
      </c>
      <c r="K33" t="n">
        <v>30</v>
      </c>
      <c r="L33" t="inlineStr">
        <is>
          <t>1 Agustus 2026</t>
        </is>
      </c>
      <c r="M33" t="inlineStr">
        <is>
          <t>Konstruksi Bangunan Sipil Jalan</t>
        </is>
      </c>
      <c r="N33" t="inlineStr">
        <is>
          <t>K</t>
        </is>
      </c>
      <c r="O33" t="inlineStr">
        <is>
          <t>20230731</t>
        </is>
      </c>
      <c r="P33" t="inlineStr">
        <is>
          <t>Jawa Timur</t>
        </is>
      </c>
      <c r="Q33" t="inlineStr"/>
    </row>
    <row r="34">
      <c r="A34" t="inlineStr">
        <is>
          <t>BANGUN DAYA TEKNIKA</t>
        </is>
      </c>
      <c r="B34" t="inlineStr">
        <is>
          <t>Kab. Bantul</t>
        </is>
      </c>
      <c r="C34" t="inlineStr">
        <is>
          <t>085101955071</t>
        </is>
      </c>
      <c r="D34" t="inlineStr">
        <is>
          <t>lintasselatancv@gmail.com</t>
        </is>
      </c>
      <c r="E34" t="inlineStr">
        <is>
          <t>https://lpjk.pu.go.id/search-badan-usaha-detail/WEpoMHdURFFBaURtYkxTS3ltVWF1Zz09</t>
        </is>
      </c>
      <c r="F34" t="n">
        <v>1</v>
      </c>
      <c r="G34" t="inlineStr">
        <is>
          <t>BG002</t>
        </is>
      </c>
      <c r="H34" t="inlineStr">
        <is>
          <t>22 Juni 2012</t>
        </is>
      </c>
      <c r="I34" s="2" t="n">
        <v>46235</v>
      </c>
      <c r="J34" t="inlineStr">
        <is>
          <t>Disetujui</t>
        </is>
      </c>
      <c r="K34" t="n">
        <v>30</v>
      </c>
      <c r="L34" t="inlineStr">
        <is>
          <t>1 Agustus 2026</t>
        </is>
      </c>
      <c r="M34" t="inlineStr">
        <is>
          <t>Konstruksi Gedung Perkantoran</t>
        </is>
      </c>
      <c r="N34" t="inlineStr">
        <is>
          <t>K</t>
        </is>
      </c>
      <c r="O34" t="inlineStr">
        <is>
          <t>20230705</t>
        </is>
      </c>
      <c r="P34" t="inlineStr">
        <is>
          <t>DI Yogyakarta</t>
        </is>
      </c>
      <c r="Q34" t="inlineStr"/>
    </row>
    <row r="35">
      <c r="A35" t="inlineStr">
        <is>
          <t>BANGUN PERSADA</t>
        </is>
      </c>
      <c r="B35" t="inlineStr">
        <is>
          <t>Kab. Cilacap</t>
        </is>
      </c>
      <c r="C35" t="inlineStr">
        <is>
          <t>0280621921</t>
        </is>
      </c>
      <c r="D35" t="inlineStr">
        <is>
          <t>cv.bangunpersda@gmail.com</t>
        </is>
      </c>
      <c r="E35" t="inlineStr">
        <is>
          <t>https://lpjk.pu.go.id/search-badan-usaha-detail/SSs1THovRGdUR0pyYlowUTBGck1sZz09</t>
        </is>
      </c>
      <c r="F35" t="n">
        <v>1</v>
      </c>
      <c r="G35" t="inlineStr">
        <is>
          <t>BS001</t>
        </is>
      </c>
      <c r="H35" t="inlineStr">
        <is>
          <t>22 Juni 2012</t>
        </is>
      </c>
      <c r="I35" s="2" t="n">
        <v>46235</v>
      </c>
      <c r="J35" t="inlineStr">
        <is>
          <t>Disetujui</t>
        </is>
      </c>
      <c r="K35" t="n">
        <v>30</v>
      </c>
      <c r="L35" t="inlineStr">
        <is>
          <t>1 Agustus 2026</t>
        </is>
      </c>
      <c r="M35" t="inlineStr">
        <is>
          <t>Konstruksi Bangunan Sipil Jalan</t>
        </is>
      </c>
      <c r="N35" t="inlineStr">
        <is>
          <t>K</t>
        </is>
      </c>
      <c r="O35" t="inlineStr">
        <is>
          <t>20230731</t>
        </is>
      </c>
      <c r="P35" t="inlineStr">
        <is>
          <t>Jawa Tengah</t>
        </is>
      </c>
      <c r="Q35" t="inlineStr"/>
    </row>
    <row r="36">
      <c r="A36" t="inlineStr">
        <is>
          <t>BANGUN SAMUDRA MANDIRI</t>
        </is>
      </c>
      <c r="B36" t="inlineStr">
        <is>
          <t>Kab. Kepulauan Selayar</t>
        </is>
      </c>
      <c r="C36" t="inlineStr">
        <is>
          <t>082190919222</t>
        </is>
      </c>
      <c r="D36" t="inlineStr">
        <is>
          <t>bangunsamudra_mandiri@yahoo.com</t>
        </is>
      </c>
      <c r="E36" t="inlineStr">
        <is>
          <t>https://lpjk.pu.go.id/search-badan-usaha-detail/ZytDM09FTGd4bGdwZ21kRDBWU3Zodz09</t>
        </is>
      </c>
      <c r="F36" t="n">
        <v>1</v>
      </c>
      <c r="G36" t="inlineStr">
        <is>
          <t>BG002</t>
        </is>
      </c>
      <c r="H36" t="inlineStr">
        <is>
          <t>1 Februari 2017</t>
        </is>
      </c>
      <c r="I36" s="2" t="n">
        <v>46235</v>
      </c>
      <c r="J36" t="inlineStr">
        <is>
          <t>Disetujui</t>
        </is>
      </c>
      <c r="K36" t="n">
        <v>30</v>
      </c>
      <c r="L36" t="inlineStr">
        <is>
          <t>1 Agustus 2026</t>
        </is>
      </c>
      <c r="M36" t="inlineStr">
        <is>
          <t>Konstruksi Gedung Perkantoran</t>
        </is>
      </c>
      <c r="N36" t="inlineStr">
        <is>
          <t>K</t>
        </is>
      </c>
      <c r="O36" t="inlineStr">
        <is>
          <t>20230729</t>
        </is>
      </c>
      <c r="P36" t="inlineStr">
        <is>
          <t>Sulawesi Selatan</t>
        </is>
      </c>
      <c r="Q36" t="inlineStr"/>
    </row>
    <row r="37">
      <c r="A37" t="inlineStr">
        <is>
          <t>BANGUN SELARAS</t>
        </is>
      </c>
      <c r="B37" t="inlineStr">
        <is>
          <t>Kota Kediri</t>
        </is>
      </c>
      <c r="C37" t="inlineStr">
        <is>
          <t>0354774928</t>
        </is>
      </c>
      <c r="D37" t="inlineStr">
        <is>
          <t>anis_mufarida@yahoo.com</t>
        </is>
      </c>
      <c r="E37" t="inlineStr">
        <is>
          <t>https://lpjk.pu.go.id/search-badan-usaha-detail/a3pvcW9XN0Nkc25DUklydUFKUVo4dz09</t>
        </is>
      </c>
      <c r="F37" t="n">
        <v>1</v>
      </c>
      <c r="G37" t="inlineStr">
        <is>
          <t>BG001</t>
        </is>
      </c>
      <c r="H37" t="inlineStr">
        <is>
          <t>11 Juni 2015</t>
        </is>
      </c>
      <c r="I37" s="2" t="n">
        <v>46235</v>
      </c>
      <c r="J37" t="inlineStr">
        <is>
          <t>Disetujui</t>
        </is>
      </c>
      <c r="K37" t="n">
        <v>30</v>
      </c>
      <c r="L37" t="inlineStr">
        <is>
          <t>1 Agustus 2026</t>
        </is>
      </c>
      <c r="M37" t="inlineStr">
        <is>
          <t>Konstruksi Gedung Hunian</t>
        </is>
      </c>
      <c r="N37" t="inlineStr">
        <is>
          <t>K</t>
        </is>
      </c>
      <c r="O37" t="inlineStr">
        <is>
          <t>20230728</t>
        </is>
      </c>
      <c r="P37" t="inlineStr">
        <is>
          <t>Jawa Timur</t>
        </is>
      </c>
      <c r="Q37" t="inlineStr"/>
    </row>
    <row r="38">
      <c r="A38" t="inlineStr">
        <is>
          <t>BAROKAH SUMBER SEJAHTERA</t>
        </is>
      </c>
      <c r="B38" t="inlineStr">
        <is>
          <t>Kab. Sukabumi</t>
        </is>
      </c>
      <c r="C38" t="inlineStr">
        <is>
          <t>085722327926</t>
        </is>
      </c>
      <c r="D38" t="inlineStr">
        <is>
          <t>barokahsumbersejahtera@gmail.com</t>
        </is>
      </c>
      <c r="E38" t="inlineStr">
        <is>
          <t>https://lpjk.pu.go.id/search-badan-usaha-detail/b1FsLzBWSmkzdllkODg0b2ZZWGV2Zz09</t>
        </is>
      </c>
      <c r="F38" t="n">
        <v>6</v>
      </c>
      <c r="G38" t="inlineStr">
        <is>
          <t>BS001, BS004</t>
        </is>
      </c>
      <c r="H38" t="inlineStr">
        <is>
          <t>21 Juli 2020</t>
        </is>
      </c>
      <c r="I38" s="2" t="n">
        <v>46235</v>
      </c>
      <c r="J38" t="inlineStr">
        <is>
          <t>Disetujui</t>
        </is>
      </c>
      <c r="K38" t="n">
        <v>30</v>
      </c>
      <c r="L38" t="inlineStr">
        <is>
          <t>1 Agustus 2026</t>
        </is>
      </c>
      <c r="M38" t="inlineStr">
        <is>
          <t>Konstruksi Bangunan Sipil Jalan, Konstruksi Jaringan Irigasi dan Drainase</t>
        </is>
      </c>
      <c r="N38" t="inlineStr">
        <is>
          <t>K</t>
        </is>
      </c>
      <c r="O38" t="inlineStr">
        <is>
          <t>20230731</t>
        </is>
      </c>
      <c r="P38" t="inlineStr">
        <is>
          <t>Jawa Barat</t>
        </is>
      </c>
      <c r="Q38" t="inlineStr"/>
    </row>
    <row r="39">
      <c r="A39" t="inlineStr">
        <is>
          <t>BAWANA YASHA KARYA</t>
        </is>
      </c>
      <c r="B39" t="inlineStr">
        <is>
          <t>Kota Medan</t>
        </is>
      </c>
      <c r="C39" t="inlineStr">
        <is>
          <t>08126399811</t>
        </is>
      </c>
      <c r="D39" t="inlineStr">
        <is>
          <t>bawanayasha@gmail.com</t>
        </is>
      </c>
      <c r="E39" t="inlineStr">
        <is>
          <t>https://lpjk.pu.go.id/search-badan-usaha-detail/azVCbnpYanFDME9BZVkza1AwelZNZz09</t>
        </is>
      </c>
      <c r="F39" t="n">
        <v>1</v>
      </c>
      <c r="G39" t="inlineStr">
        <is>
          <t>AR002</t>
        </is>
      </c>
      <c r="H39" t="inlineStr">
        <is>
          <t>15 April 2023</t>
        </is>
      </c>
      <c r="I39" s="2" t="n">
        <v>46235</v>
      </c>
      <c r="J39" t="inlineStr">
        <is>
          <t>Disetujui</t>
        </is>
      </c>
      <c r="K39" t="n">
        <v>30</v>
      </c>
      <c r="L39" t="inlineStr">
        <is>
          <t>1 Agustus 2026</t>
        </is>
      </c>
      <c r="M39" t="inlineStr">
        <is>
          <t>Jasa Arsitektural Lainnya</t>
        </is>
      </c>
      <c r="N39" t="inlineStr">
        <is>
          <t>K</t>
        </is>
      </c>
      <c r="O39" t="inlineStr">
        <is>
          <t>20230726</t>
        </is>
      </c>
      <c r="P39" t="inlineStr">
        <is>
          <t>Sumatera Utara</t>
        </is>
      </c>
      <c r="Q39" t="inlineStr"/>
    </row>
    <row r="40">
      <c r="A40" t="inlineStr">
        <is>
          <t>BERKAH ARTO MORO</t>
        </is>
      </c>
      <c r="B40" t="inlineStr">
        <is>
          <t>Kota Tangerang Selatan</t>
        </is>
      </c>
      <c r="C40" t="inlineStr">
        <is>
          <t>081289883979</t>
        </is>
      </c>
      <c r="D40" t="inlineStr">
        <is>
          <t>berkahartomoro9@gmail.com</t>
        </is>
      </c>
      <c r="E40" t="inlineStr">
        <is>
          <t>https://lpjk.pu.go.id/search-badan-usaha-detail/NFhQaXpOTzltYmNOdkJPUVN2bTkydz09</t>
        </is>
      </c>
      <c r="F40" t="n">
        <v>4</v>
      </c>
      <c r="G40" t="inlineStr">
        <is>
          <t>BG001, BG002</t>
        </is>
      </c>
      <c r="H40" t="inlineStr">
        <is>
          <t>2 Juli 2020</t>
        </is>
      </c>
      <c r="I40" s="2" t="n">
        <v>46235</v>
      </c>
      <c r="J40" t="inlineStr">
        <is>
          <t>Disetujui</t>
        </is>
      </c>
      <c r="K40" t="n">
        <v>30</v>
      </c>
      <c r="L40" t="inlineStr">
        <is>
          <t>1 Agustus 2026</t>
        </is>
      </c>
      <c r="M40" t="inlineStr">
        <is>
          <t>Konstruksi Gedung Hunian, Konstruksi Gedung Perkantoran</t>
        </is>
      </c>
      <c r="N40" t="inlineStr">
        <is>
          <t>K</t>
        </is>
      </c>
      <c r="O40" t="inlineStr">
        <is>
          <t>20230728</t>
        </is>
      </c>
      <c r="P40" t="inlineStr">
        <is>
          <t>Banten</t>
        </is>
      </c>
      <c r="Q40" t="inlineStr"/>
    </row>
    <row r="41">
      <c r="A41" t="inlineStr">
        <is>
          <t>BERKAH RAMADHANI PERSADA</t>
        </is>
      </c>
      <c r="B41" t="inlineStr">
        <is>
          <t>Kota Batu</t>
        </is>
      </c>
      <c r="C41" t="inlineStr">
        <is>
          <t>085235882094</t>
        </is>
      </c>
      <c r="D41" t="inlineStr">
        <is>
          <t>berkahramadhanipersada@gmail.com</t>
        </is>
      </c>
      <c r="E41" t="inlineStr">
        <is>
          <t>https://lpjk.pu.go.id/search-badan-usaha-detail/bHZhSjAyWHJ0eFJZSWc2NjlDSVdOUT09</t>
        </is>
      </c>
      <c r="F41" t="n">
        <v>2</v>
      </c>
      <c r="G41" t="inlineStr">
        <is>
          <t>PL003</t>
        </is>
      </c>
      <c r="H41" t="inlineStr">
        <is>
          <t>23 Januari 2020</t>
        </is>
      </c>
      <c r="I41" s="2" t="n">
        <v>46235</v>
      </c>
      <c r="J41" t="inlineStr">
        <is>
          <t>Disetujui</t>
        </is>
      </c>
      <c r="K41" t="n">
        <v>30</v>
      </c>
      <c r="L41" t="inlineStr">
        <is>
          <t>1 Agustus 2026</t>
        </is>
      </c>
      <c r="M41" t="inlineStr">
        <is>
          <t>Penyiapan Lahan Konstruksi</t>
        </is>
      </c>
      <c r="N41" t="inlineStr">
        <is>
          <t>Spesialis</t>
        </is>
      </c>
      <c r="O41" t="inlineStr">
        <is>
          <t>20230620</t>
        </is>
      </c>
      <c r="P41" t="inlineStr">
        <is>
          <t>Jawa Timur</t>
        </is>
      </c>
      <c r="Q41" t="inlineStr"/>
    </row>
    <row r="42">
      <c r="A42" t="inlineStr">
        <is>
          <t>BHAKTI MULYA MANDIRI</t>
        </is>
      </c>
      <c r="B42" t="inlineStr">
        <is>
          <t>Kota Palu</t>
        </is>
      </c>
      <c r="C42" t="inlineStr">
        <is>
          <t>082348770678</t>
        </is>
      </c>
      <c r="D42" t="inlineStr">
        <is>
          <t>bhaktimulya_11@yahoo.co.id</t>
        </is>
      </c>
      <c r="E42" t="inlineStr">
        <is>
          <t>https://lpjk.pu.go.id/search-badan-usaha-detail/MTlKckVUUVhXMEV1TGc5UFJZNDFIdz09</t>
        </is>
      </c>
      <c r="F42" t="n">
        <v>1</v>
      </c>
      <c r="G42" t="inlineStr">
        <is>
          <t>BS004</t>
        </is>
      </c>
      <c r="H42" t="inlineStr">
        <is>
          <t>8 April 1993</t>
        </is>
      </c>
      <c r="I42" s="2" t="n">
        <v>46235</v>
      </c>
      <c r="J42" t="inlineStr">
        <is>
          <t>Disetujui</t>
        </is>
      </c>
      <c r="K42" t="n">
        <v>30</v>
      </c>
      <c r="L42" t="inlineStr">
        <is>
          <t>1 Agustus 2026</t>
        </is>
      </c>
      <c r="M42" t="inlineStr">
        <is>
          <t>Konstruksi Jaringan Irigasi dan Drainase</t>
        </is>
      </c>
      <c r="N42" t="inlineStr">
        <is>
          <t>K</t>
        </is>
      </c>
      <c r="O42" t="inlineStr">
        <is>
          <t>20230517</t>
        </is>
      </c>
      <c r="P42" t="inlineStr">
        <is>
          <t>Sulawesi Tengah</t>
        </is>
      </c>
      <c r="Q42" t="inlineStr"/>
    </row>
    <row r="43">
      <c r="A43" t="inlineStr">
        <is>
          <t>BHINNEKA CITRA PRIMA</t>
        </is>
      </c>
      <c r="B43" t="inlineStr">
        <is>
          <t>Kota Yogyakarta</t>
        </is>
      </c>
      <c r="C43" t="inlineStr">
        <is>
          <t>0274513977</t>
        </is>
      </c>
      <c r="D43" t="inlineStr">
        <is>
          <t>bcp_jogja@yahoo.com</t>
        </is>
      </c>
      <c r="E43" t="inlineStr">
        <is>
          <t>https://lpjk.pu.go.id/search-badan-usaha-detail/cEVFUkVUbGoyeXk4NlcvcHFwalcrZz09</t>
        </is>
      </c>
      <c r="F43" t="n">
        <v>1</v>
      </c>
      <c r="G43" t="inlineStr">
        <is>
          <t>BG008</t>
        </is>
      </c>
      <c r="H43" t="inlineStr">
        <is>
          <t>11 September 1990</t>
        </is>
      </c>
      <c r="I43" s="2" t="n">
        <v>46235</v>
      </c>
      <c r="J43" t="inlineStr">
        <is>
          <t>Disetujui</t>
        </is>
      </c>
      <c r="K43" t="n">
        <v>30</v>
      </c>
      <c r="L43" t="inlineStr">
        <is>
          <t>1 Agustus 2026</t>
        </is>
      </c>
      <c r="M43" t="inlineStr">
        <is>
          <t>Konstruksi Gedung Tempat Hiburan dan Olahraga</t>
        </is>
      </c>
      <c r="N43" t="inlineStr">
        <is>
          <t>M</t>
        </is>
      </c>
      <c r="O43" t="inlineStr">
        <is>
          <t>20230621</t>
        </is>
      </c>
      <c r="P43" t="inlineStr">
        <is>
          <t>DI Yogyakarta</t>
        </is>
      </c>
      <c r="Q43" t="inlineStr"/>
    </row>
    <row r="44">
      <c r="A44" t="inlineStr">
        <is>
          <t>BINTANG PERKASA</t>
        </is>
      </c>
      <c r="B44" t="inlineStr">
        <is>
          <t>Kab. Kolaka Utara</t>
        </is>
      </c>
      <c r="C44" t="inlineStr">
        <is>
          <t>82187638907</t>
        </is>
      </c>
      <c r="D44" t="inlineStr">
        <is>
          <t>bintangperkasa196@gmail.com</t>
        </is>
      </c>
      <c r="E44" t="inlineStr">
        <is>
          <t>https://lpjk.pu.go.id/search-badan-usaha-detail/aC9wTmVuM251eXU5NGthUU1HazVKdz09</t>
        </is>
      </c>
      <c r="F44" t="n">
        <v>2</v>
      </c>
      <c r="G44" t="inlineStr">
        <is>
          <t>BG006</t>
        </is>
      </c>
      <c r="H44" t="inlineStr">
        <is>
          <t>29 Desember 2021</t>
        </is>
      </c>
      <c r="I44" s="2" t="n">
        <v>46235</v>
      </c>
      <c r="J44" t="inlineStr">
        <is>
          <t>Disetujui</t>
        </is>
      </c>
      <c r="K44" t="n">
        <v>30</v>
      </c>
      <c r="L44" t="inlineStr">
        <is>
          <t>1 Agustus 2026</t>
        </is>
      </c>
      <c r="M44" t="inlineStr">
        <is>
          <t>Konstruksi Gedung Pendidikan</t>
        </is>
      </c>
      <c r="N44" t="inlineStr">
        <is>
          <t>K</t>
        </is>
      </c>
      <c r="O44" t="inlineStr">
        <is>
          <t>20230731</t>
        </is>
      </c>
      <c r="P44" t="inlineStr">
        <is>
          <t>Sulawesi Tenggara</t>
        </is>
      </c>
      <c r="Q44" t="inlineStr"/>
    </row>
    <row r="45">
      <c r="A45" t="inlineStr">
        <is>
          <t>BINTANG SINAR BERKAH</t>
        </is>
      </c>
      <c r="B45" t="inlineStr">
        <is>
          <t>Kota Pangkal Pinang</t>
        </is>
      </c>
      <c r="C45" t="inlineStr">
        <is>
          <t>081368333843</t>
        </is>
      </c>
      <c r="D45" t="inlineStr">
        <is>
          <t>bintangberkah283@gmail.com</t>
        </is>
      </c>
      <c r="E45" t="inlineStr">
        <is>
          <t>https://lpjk.pu.go.id/search-badan-usaha-detail/YktrNFpPSjRrL1BnaDRwTzRKRG1vK21Ld3A3RmJqTmNrVjVYNVN0Q2R5RT0</t>
        </is>
      </c>
      <c r="F45" t="n">
        <v>1</v>
      </c>
      <c r="G45" t="inlineStr">
        <is>
          <t>BS004</t>
        </is>
      </c>
      <c r="H45" t="inlineStr">
        <is>
          <t>4 Mei 2023</t>
        </is>
      </c>
      <c r="I45" s="2" t="n">
        <v>46235</v>
      </c>
      <c r="J45" t="inlineStr">
        <is>
          <t>Disetujui</t>
        </is>
      </c>
      <c r="K45" t="n">
        <v>30</v>
      </c>
      <c r="L45" t="inlineStr">
        <is>
          <t>1 Agustus 2026</t>
        </is>
      </c>
      <c r="M45" t="inlineStr">
        <is>
          <t>Konstruksi Jaringan Irigasi dan Drainase</t>
        </is>
      </c>
      <c r="N45" t="inlineStr">
        <is>
          <t>K</t>
        </is>
      </c>
      <c r="O45" t="inlineStr">
        <is>
          <t>20230801</t>
        </is>
      </c>
      <c r="P45" t="inlineStr">
        <is>
          <t>Kepulauan Bangka Belitung</t>
        </is>
      </c>
      <c r="Q45" t="inlineStr"/>
    </row>
    <row r="46">
      <c r="A46" t="inlineStr">
        <is>
          <t>BUMI MEGA WAHANA</t>
        </is>
      </c>
      <c r="B46" t="inlineStr">
        <is>
          <t>Kab. Bone</t>
        </is>
      </c>
      <c r="C46" t="inlineStr">
        <is>
          <t>082385554777</t>
        </is>
      </c>
      <c r="D46" t="inlineStr">
        <is>
          <t>cv_bumuputra.wahana@yahoo.com</t>
        </is>
      </c>
      <c r="E46" t="inlineStr">
        <is>
          <t>https://lpjk.pu.go.id/search-badan-usaha-detail/UEFiMm5SZ3BKcE1FOHhkb3N6NURVZz09</t>
        </is>
      </c>
      <c r="F46" t="n">
        <v>1</v>
      </c>
      <c r="G46" t="inlineStr">
        <is>
          <t>BG009</t>
        </is>
      </c>
      <c r="H46" t="inlineStr">
        <is>
          <t>20 Januari 2017</t>
        </is>
      </c>
      <c r="I46" s="2" t="n">
        <v>46235</v>
      </c>
      <c r="J46" t="inlineStr">
        <is>
          <t>Pencabutan</t>
        </is>
      </c>
      <c r="K46" t="n">
        <v>30</v>
      </c>
      <c r="L46" t="inlineStr">
        <is>
          <t>1 Agustus 2026</t>
        </is>
      </c>
      <c r="M46" t="inlineStr">
        <is>
          <t>Konstruksi Gedung Lainnya</t>
        </is>
      </c>
      <c r="N46" t="inlineStr">
        <is>
          <t>K</t>
        </is>
      </c>
      <c r="O46" t="inlineStr">
        <is>
          <t>20230727</t>
        </is>
      </c>
      <c r="P46" t="inlineStr">
        <is>
          <t>Sulawesi Selatan</t>
        </is>
      </c>
      <c r="Q46" t="inlineStr"/>
    </row>
    <row r="47">
      <c r="A47" t="inlineStr">
        <is>
          <t>CIPTA ANUGRAH</t>
        </is>
      </c>
      <c r="B47" t="inlineStr">
        <is>
          <t>Kota Pontianak</t>
        </is>
      </c>
      <c r="C47" t="inlineStr">
        <is>
          <t>081256636899</t>
        </is>
      </c>
      <c r="D47" t="inlineStr">
        <is>
          <t>cipta.anugrah18@gmail.com</t>
        </is>
      </c>
      <c r="E47" t="inlineStr">
        <is>
          <t>https://lpjk.pu.go.id/search-badan-usaha-detail/Vmk0VUluU1Bid1VzSDdKRDd6cmh4QT09</t>
        </is>
      </c>
      <c r="F47" t="n">
        <v>1</v>
      </c>
      <c r="G47" t="inlineStr">
        <is>
          <t>BG002</t>
        </is>
      </c>
      <c r="H47" t="inlineStr">
        <is>
          <t>16 Juli 2008</t>
        </is>
      </c>
      <c r="I47" s="2" t="n">
        <v>46235</v>
      </c>
      <c r="J47" t="inlineStr">
        <is>
          <t>Disetujui</t>
        </is>
      </c>
      <c r="K47" t="n">
        <v>30</v>
      </c>
      <c r="L47" t="inlineStr">
        <is>
          <t>1 Agustus 2026</t>
        </is>
      </c>
      <c r="M47" t="inlineStr">
        <is>
          <t>Konstruksi Gedung Perkantoran</t>
        </is>
      </c>
      <c r="N47" t="inlineStr">
        <is>
          <t>K</t>
        </is>
      </c>
      <c r="O47" t="inlineStr">
        <is>
          <t>20230706</t>
        </is>
      </c>
      <c r="P47" t="inlineStr">
        <is>
          <t>Kalimantan Barat</t>
        </is>
      </c>
      <c r="Q47" t="inlineStr"/>
    </row>
    <row r="48">
      <c r="A48" t="inlineStr">
        <is>
          <t>CV. BALELONG KONSTRUKSI</t>
        </is>
      </c>
      <c r="B48" t="inlineStr">
        <is>
          <t>Kota Sawahlunto</t>
        </is>
      </c>
      <c r="C48" t="inlineStr">
        <is>
          <t>085263095080</t>
        </is>
      </c>
      <c r="D48" t="inlineStr">
        <is>
          <t>cvbalelongkonstruksi@gmail.com</t>
        </is>
      </c>
      <c r="E48" t="inlineStr">
        <is>
          <t>https://lpjk.pu.go.id/search-badan-usaha-detail/SFFpaS9JTVhRb005dzFITUJzeFh0UT09</t>
        </is>
      </c>
      <c r="F48" t="n">
        <v>1</v>
      </c>
      <c r="G48" t="inlineStr">
        <is>
          <t>BG009</t>
        </is>
      </c>
      <c r="H48" t="inlineStr">
        <is>
          <t>23 September 2019</t>
        </is>
      </c>
      <c r="I48" s="2" t="n">
        <v>46235</v>
      </c>
      <c r="J48" t="inlineStr">
        <is>
          <t>Disetujui</t>
        </is>
      </c>
      <c r="K48" t="n">
        <v>30</v>
      </c>
      <c r="L48" t="inlineStr">
        <is>
          <t>1 Agustus 2026</t>
        </is>
      </c>
      <c r="M48" t="inlineStr">
        <is>
          <t>Konstruksi Gedung Lainnya</t>
        </is>
      </c>
      <c r="N48" t="inlineStr">
        <is>
          <t>K</t>
        </is>
      </c>
      <c r="O48" t="inlineStr">
        <is>
          <t>20230801</t>
        </is>
      </c>
      <c r="P48" t="inlineStr">
        <is>
          <t>Sumatera Barat</t>
        </is>
      </c>
      <c r="Q48" t="inlineStr"/>
    </row>
    <row r="49">
      <c r="A49" t="inlineStr">
        <is>
          <t>CV. NRZ ASSAHRA</t>
        </is>
      </c>
      <c r="B49" t="inlineStr">
        <is>
          <t>Kab. Malang</t>
        </is>
      </c>
      <c r="C49" t="inlineStr">
        <is>
          <t>08125268830</t>
        </is>
      </c>
      <c r="D49" t="inlineStr">
        <is>
          <t>cvnrzassahra@gmail.com</t>
        </is>
      </c>
      <c r="E49" t="inlineStr">
        <is>
          <t>https://lpjk.pu.go.id/search-badan-usaha-detail/dnI5U1VmMmxsdnpuaDM1WnhReTUwZz09</t>
        </is>
      </c>
      <c r="F49" t="n">
        <v>2</v>
      </c>
      <c r="G49" t="inlineStr">
        <is>
          <t>BS001, BS004</t>
        </is>
      </c>
      <c r="H49" t="inlineStr">
        <is>
          <t>2 Juni 2020</t>
        </is>
      </c>
      <c r="I49" s="2" t="n">
        <v>46235</v>
      </c>
      <c r="J49" t="inlineStr">
        <is>
          <t>Disetujui</t>
        </is>
      </c>
      <c r="K49" t="n">
        <v>30</v>
      </c>
      <c r="L49" t="inlineStr">
        <is>
          <t>1 Agustus 2026</t>
        </is>
      </c>
      <c r="M49" t="inlineStr">
        <is>
          <t>Konstruksi Bangunan Sipil Jalan, Konstruksi Jaringan Irigasi dan Drainase</t>
        </is>
      </c>
      <c r="N49" t="inlineStr">
        <is>
          <t>K</t>
        </is>
      </c>
      <c r="O49" t="inlineStr">
        <is>
          <t>20230706</t>
        </is>
      </c>
      <c r="P49" t="inlineStr">
        <is>
          <t>Jawa Timur</t>
        </is>
      </c>
      <c r="Q49" t="inlineStr"/>
    </row>
    <row r="50">
      <c r="A50" t="inlineStr">
        <is>
          <t>DEWI WANGI</t>
        </is>
      </c>
      <c r="B50" t="inlineStr">
        <is>
          <t>Kota Mataram</t>
        </is>
      </c>
      <c r="C50" t="inlineStr">
        <is>
          <t>085282000069</t>
        </is>
      </c>
      <c r="D50" t="inlineStr">
        <is>
          <t>cvdewiwangi123@gmail.com</t>
        </is>
      </c>
      <c r="E50" t="inlineStr">
        <is>
          <t>https://lpjk.pu.go.id/search-badan-usaha-detail/aXN4TEhPQjBVQ1Rhb29URXlWR0VtQT09</t>
        </is>
      </c>
      <c r="F50" t="n">
        <v>1</v>
      </c>
      <c r="G50" t="inlineStr">
        <is>
          <t>BS001</t>
        </is>
      </c>
      <c r="H50" t="inlineStr">
        <is>
          <t>22 Juni 2012</t>
        </is>
      </c>
      <c r="I50" s="2" t="n">
        <v>46235</v>
      </c>
      <c r="J50" t="inlineStr">
        <is>
          <t>Disetujui</t>
        </is>
      </c>
      <c r="K50" t="n">
        <v>30</v>
      </c>
      <c r="L50" t="inlineStr">
        <is>
          <t>1 Agustus 2026</t>
        </is>
      </c>
      <c r="M50" t="inlineStr">
        <is>
          <t>Konstruksi Bangunan Sipil Jalan</t>
        </is>
      </c>
      <c r="N50" t="inlineStr">
        <is>
          <t>K</t>
        </is>
      </c>
      <c r="O50" t="inlineStr">
        <is>
          <t>20230725</t>
        </is>
      </c>
      <c r="P50" t="inlineStr">
        <is>
          <t>Nusa Tenggara Barat</t>
        </is>
      </c>
      <c r="Q50" t="inlineStr"/>
    </row>
    <row r="51">
      <c r="A51" t="inlineStr">
        <is>
          <t>DIAMOND KONSTRUKSI</t>
        </is>
      </c>
      <c r="B51" t="inlineStr">
        <is>
          <t>Kab. Landak</t>
        </is>
      </c>
      <c r="C51" t="inlineStr">
        <is>
          <t>081345549005</t>
        </is>
      </c>
      <c r="D51" t="inlineStr">
        <is>
          <t>konstruksidiamond@yahoo.com</t>
        </is>
      </c>
      <c r="E51" t="inlineStr">
        <is>
          <t>https://lpjk.pu.go.id/search-badan-usaha-detail/ays2K3liUGl4VkpEMldmR3J5aFF1dz09</t>
        </is>
      </c>
      <c r="F51" t="n">
        <v>1</v>
      </c>
      <c r="G51" t="inlineStr">
        <is>
          <t>BG006</t>
        </is>
      </c>
      <c r="H51" t="inlineStr">
        <is>
          <t>13 September 2016</t>
        </is>
      </c>
      <c r="I51" s="2" t="n">
        <v>46235</v>
      </c>
      <c r="J51" t="inlineStr">
        <is>
          <t>Disetujui</t>
        </is>
      </c>
      <c r="K51" t="n">
        <v>30</v>
      </c>
      <c r="L51" t="inlineStr">
        <is>
          <t>1 Agustus 2026</t>
        </is>
      </c>
      <c r="M51" t="inlineStr">
        <is>
          <t>Konstruksi Gedung Pendidikan</t>
        </is>
      </c>
      <c r="N51" t="inlineStr">
        <is>
          <t>K</t>
        </is>
      </c>
      <c r="O51" t="inlineStr">
        <is>
          <t>20230731</t>
        </is>
      </c>
      <c r="P51" t="inlineStr">
        <is>
          <t>Kalimantan Barat</t>
        </is>
      </c>
      <c r="Q51" t="inlineStr"/>
    </row>
    <row r="52">
      <c r="A52" t="inlineStr">
        <is>
          <t>EKA ABADI JAYA</t>
        </is>
      </c>
      <c r="B52" t="inlineStr">
        <is>
          <t>Kota Manado</t>
        </is>
      </c>
      <c r="C52" t="inlineStr">
        <is>
          <t>085240271917</t>
        </is>
      </c>
      <c r="D52" t="inlineStr">
        <is>
          <t>cv.ekaabadijaya@gmail.com</t>
        </is>
      </c>
      <c r="E52" t="inlineStr">
        <is>
          <t>https://lpjk.pu.go.id/search-badan-usaha-detail/Q29NYUFMNlQ5V2JKNUsxNWpVZTJvdz09</t>
        </is>
      </c>
      <c r="F52" t="n">
        <v>1</v>
      </c>
      <c r="G52" t="inlineStr">
        <is>
          <t>BG002</t>
        </is>
      </c>
      <c r="H52" t="inlineStr">
        <is>
          <t>7 Oktober 2010</t>
        </is>
      </c>
      <c r="I52" s="2" t="n">
        <v>46235</v>
      </c>
      <c r="J52" t="inlineStr">
        <is>
          <t>Disetujui</t>
        </is>
      </c>
      <c r="K52" t="n">
        <v>30</v>
      </c>
      <c r="L52" t="inlineStr">
        <is>
          <t>1 Agustus 2026</t>
        </is>
      </c>
      <c r="M52" t="inlineStr">
        <is>
          <t>Konstruksi Gedung Perkantoran</t>
        </is>
      </c>
      <c r="N52" t="inlineStr">
        <is>
          <t>K</t>
        </is>
      </c>
      <c r="O52" t="inlineStr">
        <is>
          <t>20230801</t>
        </is>
      </c>
      <c r="P52" t="inlineStr">
        <is>
          <t>Sulawesi Utara</t>
        </is>
      </c>
      <c r="Q52" t="inlineStr"/>
    </row>
    <row r="53">
      <c r="A53" t="inlineStr">
        <is>
          <t>ESTU RAMA ABDI</t>
        </is>
      </c>
      <c r="B53" t="inlineStr">
        <is>
          <t>Kab. Mempawah</t>
        </is>
      </c>
      <c r="C53" t="inlineStr">
        <is>
          <t>085245548811</t>
        </is>
      </c>
      <c r="D53" t="inlineStr">
        <is>
          <t>esturamaabdi77@gmail.com</t>
        </is>
      </c>
      <c r="E53" t="inlineStr">
        <is>
          <t>https://lpjk.pu.go.id/search-badan-usaha-detail/ZEpabllqMTZFNTZJQnMvU2t5a0I5dz09</t>
        </is>
      </c>
      <c r="F53" t="n">
        <v>1</v>
      </c>
      <c r="G53" t="inlineStr">
        <is>
          <t>BS001</t>
        </is>
      </c>
      <c r="H53" t="inlineStr">
        <is>
          <t>26 Februari 2002</t>
        </is>
      </c>
      <c r="I53" s="2" t="n">
        <v>46235</v>
      </c>
      <c r="J53" t="inlineStr">
        <is>
          <t>Disetujui</t>
        </is>
      </c>
      <c r="K53" t="n">
        <v>30</v>
      </c>
      <c r="L53" t="inlineStr">
        <is>
          <t>1 Agustus 2026</t>
        </is>
      </c>
      <c r="M53" t="inlineStr">
        <is>
          <t>Konstruksi Bangunan Sipil Jalan</t>
        </is>
      </c>
      <c r="N53" t="inlineStr">
        <is>
          <t>K</t>
        </is>
      </c>
      <c r="O53" t="inlineStr">
        <is>
          <t>20230727</t>
        </is>
      </c>
      <c r="P53" t="inlineStr">
        <is>
          <t>Kalimantan Barat</t>
        </is>
      </c>
      <c r="Q53" t="inlineStr"/>
    </row>
    <row r="54">
      <c r="A54" t="inlineStr">
        <is>
          <t>FERDA LESTARI</t>
        </is>
      </c>
      <c r="B54" t="inlineStr">
        <is>
          <t>Kota Bandung</t>
        </is>
      </c>
      <c r="C54" t="inlineStr">
        <is>
          <t>081648731171</t>
        </is>
      </c>
      <c r="D54" t="inlineStr">
        <is>
          <t>ferdalestari42@gmail.com</t>
        </is>
      </c>
      <c r="E54" t="inlineStr">
        <is>
          <t>https://lpjk.pu.go.id/search-badan-usaha-detail/dU5Yc0pjSzlWYlpVU09GRFNOU2lndz09</t>
        </is>
      </c>
      <c r="F54" t="n">
        <v>2</v>
      </c>
      <c r="G54" t="inlineStr">
        <is>
          <t>BG006, BG009</t>
        </is>
      </c>
      <c r="H54" t="inlineStr">
        <is>
          <t>11 Juni 1984</t>
        </is>
      </c>
      <c r="I54" s="2" t="n">
        <v>46235</v>
      </c>
      <c r="J54" t="inlineStr">
        <is>
          <t>Disetujui</t>
        </is>
      </c>
      <c r="K54" t="n">
        <v>30</v>
      </c>
      <c r="L54" t="inlineStr">
        <is>
          <t>1 Agustus 2026</t>
        </is>
      </c>
      <c r="M54" t="inlineStr">
        <is>
          <t>Konstruksi Gedung Lainnya, Konstruksi Gedung Pendidikan</t>
        </is>
      </c>
      <c r="N54" t="inlineStr">
        <is>
          <t>K</t>
        </is>
      </c>
      <c r="O54" t="inlineStr">
        <is>
          <t>20230801</t>
        </is>
      </c>
      <c r="P54" t="inlineStr">
        <is>
          <t>Jawa Barat</t>
        </is>
      </c>
      <c r="Q54" t="inlineStr"/>
    </row>
    <row r="55">
      <c r="A55" t="inlineStr">
        <is>
          <t>GAGASAN MUDA PERKASA</t>
        </is>
      </c>
      <c r="B55" t="inlineStr">
        <is>
          <t>Kab. Sumedang</t>
        </is>
      </c>
      <c r="C55" t="inlineStr">
        <is>
          <t>085224395625</t>
        </is>
      </c>
      <c r="D55" t="inlineStr">
        <is>
          <t>gagasanmudaperkasa@gmail.com</t>
        </is>
      </c>
      <c r="E55" t="inlineStr">
        <is>
          <t>https://lpjk.pu.go.id/search-badan-usaha-detail/M3hMODNRNVdFM3lKeitOMHRkWmc4Zz09</t>
        </is>
      </c>
      <c r="F55" t="n">
        <v>4</v>
      </c>
      <c r="G55" t="inlineStr">
        <is>
          <t>BG006, BS004</t>
        </is>
      </c>
      <c r="H55" t="inlineStr">
        <is>
          <t>3 September 2020</t>
        </is>
      </c>
      <c r="I55" s="2" t="n">
        <v>46235</v>
      </c>
      <c r="J55" t="inlineStr">
        <is>
          <t>Disetujui</t>
        </is>
      </c>
      <c r="K55" t="n">
        <v>30</v>
      </c>
      <c r="L55" t="inlineStr">
        <is>
          <t>1 Agustus 2026</t>
        </is>
      </c>
      <c r="M55" t="inlineStr">
        <is>
          <t>Konstruksi Gedung Pendidikan, Konstruksi Jaringan Irigasi dan Drainase</t>
        </is>
      </c>
      <c r="N55" t="inlineStr">
        <is>
          <t>K</t>
        </is>
      </c>
      <c r="O55" t="inlineStr">
        <is>
          <t>20230412</t>
        </is>
      </c>
      <c r="P55" t="inlineStr">
        <is>
          <t>Jawa Barat</t>
        </is>
      </c>
      <c r="Q55" t="inlineStr"/>
    </row>
    <row r="56">
      <c r="A56" t="inlineStr">
        <is>
          <t>GRAHA PUTRA PERSADA</t>
        </is>
      </c>
      <c r="B56" t="inlineStr">
        <is>
          <t>Kota Banjarmasin</t>
        </is>
      </c>
      <c r="C56" t="inlineStr">
        <is>
          <t>081351357840</t>
        </is>
      </c>
      <c r="D56" t="inlineStr">
        <is>
          <t>cv.grahaputrapersada@gmail.com</t>
        </is>
      </c>
      <c r="E56" t="inlineStr">
        <is>
          <t>https://lpjk.pu.go.id/search-badan-usaha-detail/NURyMkZYaHgzaTlTaDhya0JjaUxUUT09</t>
        </is>
      </c>
      <c r="F56" t="n">
        <v>1</v>
      </c>
      <c r="G56" t="inlineStr">
        <is>
          <t>BS007</t>
        </is>
      </c>
      <c r="H56" t="inlineStr">
        <is>
          <t>10 Januari 2020</t>
        </is>
      </c>
      <c r="I56" s="2" t="n">
        <v>46235</v>
      </c>
      <c r="J56" t="inlineStr">
        <is>
          <t>Pencabutan</t>
        </is>
      </c>
      <c r="K56" t="n">
        <v>30</v>
      </c>
      <c r="L56" t="inlineStr">
        <is>
          <t>1 Agustus 2026</t>
        </is>
      </c>
      <c r="M56" t="inlineStr">
        <is>
          <t>Konstruksi Bangunan Sipil Elektrikal</t>
        </is>
      </c>
      <c r="N56" t="inlineStr">
        <is>
          <t>K</t>
        </is>
      </c>
      <c r="O56" t="inlineStr">
        <is>
          <t>20230722</t>
        </is>
      </c>
      <c r="P56" t="inlineStr">
        <is>
          <t>Kalimantan Selatan</t>
        </is>
      </c>
      <c r="Q56" t="inlineStr"/>
    </row>
    <row r="57">
      <c r="A57" t="inlineStr">
        <is>
          <t>GUNUNG KELABAT CITRA ABADI</t>
        </is>
      </c>
      <c r="B57" t="inlineStr">
        <is>
          <t>Kab. Jember</t>
        </is>
      </c>
      <c r="C57" t="inlineStr">
        <is>
          <t>0331338128</t>
        </is>
      </c>
      <c r="D57" t="inlineStr">
        <is>
          <t>gunungkelabatcitraabadi@gmail.com</t>
        </is>
      </c>
      <c r="E57" t="inlineStr">
        <is>
          <t>https://lpjk.pu.go.id/search-badan-usaha-detail/WUJvT3oyK1M4bWhSMzdDaUNtNjlNdz09</t>
        </is>
      </c>
      <c r="F57" t="n">
        <v>2</v>
      </c>
      <c r="G57" t="inlineStr">
        <is>
          <t>BG006, BG009</t>
        </is>
      </c>
      <c r="H57" t="inlineStr">
        <is>
          <t>3 September 1993</t>
        </is>
      </c>
      <c r="I57" s="2" t="n">
        <v>46235</v>
      </c>
      <c r="J57" t="inlineStr">
        <is>
          <t>Disetujui</t>
        </is>
      </c>
      <c r="K57" t="n">
        <v>30</v>
      </c>
      <c r="L57" t="inlineStr">
        <is>
          <t>1 Agustus 2026</t>
        </is>
      </c>
      <c r="M57" t="inlineStr">
        <is>
          <t>Konstruksi Gedung Lainnya, Konstruksi Gedung Pendidikan</t>
        </is>
      </c>
      <c r="N57" t="inlineStr">
        <is>
          <t>K</t>
        </is>
      </c>
      <c r="O57" t="inlineStr">
        <is>
          <t>20230728</t>
        </is>
      </c>
      <c r="P57" t="inlineStr">
        <is>
          <t>Jawa Timur</t>
        </is>
      </c>
      <c r="Q57" t="inlineStr"/>
    </row>
    <row r="58">
      <c r="A58" t="inlineStr">
        <is>
          <t>HANURAGA DESIGN CONSTRUCTION</t>
        </is>
      </c>
      <c r="B58" t="inlineStr">
        <is>
          <t>Kota Adm. Jakarta Selatan</t>
        </is>
      </c>
      <c r="C58" t="inlineStr">
        <is>
          <t>0217662060</t>
        </is>
      </c>
      <c r="D58" t="inlineStr">
        <is>
          <t>ha.decopt@gmail.com</t>
        </is>
      </c>
      <c r="E58" t="inlineStr">
        <is>
          <t>https://lpjk.pu.go.id/search-badan-usaha-detail/cHVjOGpKdiswaGFRVm5aMm82VEg3dz09</t>
        </is>
      </c>
      <c r="F58" t="n">
        <v>2</v>
      </c>
      <c r="G58" t="inlineStr">
        <is>
          <t>BG001, BG002</t>
        </is>
      </c>
      <c r="H58" t="inlineStr">
        <is>
          <t>25 Agustus 2006</t>
        </is>
      </c>
      <c r="I58" s="2" t="n">
        <v>46235</v>
      </c>
      <c r="J58" t="inlineStr">
        <is>
          <t>Disetujui</t>
        </is>
      </c>
      <c r="K58" t="n">
        <v>30</v>
      </c>
      <c r="L58" t="inlineStr">
        <is>
          <t>1 Agustus 2026</t>
        </is>
      </c>
      <c r="M58" t="inlineStr">
        <is>
          <t>Konstruksi Gedung Hunian, Konstruksi Gedung Perkantoran</t>
        </is>
      </c>
      <c r="N58" t="inlineStr">
        <is>
          <t>K</t>
        </is>
      </c>
      <c r="O58" t="inlineStr">
        <is>
          <t>20230728</t>
        </is>
      </c>
      <c r="P58" t="inlineStr">
        <is>
          <t>DKI Jakarta</t>
        </is>
      </c>
      <c r="Q58" t="inlineStr"/>
    </row>
    <row r="59">
      <c r="A59" t="inlineStr">
        <is>
          <t>HARMONI YASA</t>
        </is>
      </c>
      <c r="B59" t="inlineStr">
        <is>
          <t>Kab. Bantul</t>
        </is>
      </c>
      <c r="C59" t="inlineStr">
        <is>
          <t>085868086388</t>
        </is>
      </c>
      <c r="D59" t="inlineStr">
        <is>
          <t>sukimandadapan@gmail.com</t>
        </is>
      </c>
      <c r="E59" t="inlineStr">
        <is>
          <t>https://lpjk.pu.go.id/search-badan-usaha-detail/NzV6SlFLRGliWnlhcUZNMXVKOTRrdz09</t>
        </is>
      </c>
      <c r="F59" t="n">
        <v>1</v>
      </c>
      <c r="G59" t="inlineStr">
        <is>
          <t>BG009</t>
        </is>
      </c>
      <c r="H59" t="inlineStr">
        <is>
          <t>5 Februari 1999</t>
        </is>
      </c>
      <c r="I59" s="2" t="n">
        <v>46235</v>
      </c>
      <c r="J59" t="inlineStr">
        <is>
          <t>Disetujui</t>
        </is>
      </c>
      <c r="K59" t="n">
        <v>30</v>
      </c>
      <c r="L59" t="inlineStr">
        <is>
          <t>1 Agustus 2026</t>
        </is>
      </c>
      <c r="M59" t="inlineStr">
        <is>
          <t>Konstruksi Gedung Lainnya</t>
        </is>
      </c>
      <c r="N59" t="inlineStr">
        <is>
          <t>K</t>
        </is>
      </c>
      <c r="O59" t="inlineStr">
        <is>
          <t>20230719</t>
        </is>
      </c>
      <c r="P59" t="inlineStr">
        <is>
          <t>DI Yogyakarta</t>
        </is>
      </c>
      <c r="Q59" t="inlineStr"/>
    </row>
    <row r="60">
      <c r="A60" t="inlineStr">
        <is>
          <t>HIDAYAH'</t>
        </is>
      </c>
      <c r="B60" t="inlineStr">
        <is>
          <t>Kab. Sijunjung</t>
        </is>
      </c>
      <c r="C60" t="inlineStr">
        <is>
          <t>08126152223</t>
        </is>
      </c>
      <c r="D60" t="inlineStr">
        <is>
          <t>rikkydeconovriadisjj20@gmail.com</t>
        </is>
      </c>
      <c r="E60" t="inlineStr">
        <is>
          <t>https://lpjk.pu.go.id/search-badan-usaha-detail/SVlnN0U3dTl2WkRjZERvSERDSVUvQT09</t>
        </is>
      </c>
      <c r="F60" t="n">
        <v>2</v>
      </c>
      <c r="G60" t="inlineStr">
        <is>
          <t>BS001, BS004</t>
        </is>
      </c>
      <c r="H60" t="inlineStr">
        <is>
          <t>4 April 2017</t>
        </is>
      </c>
      <c r="I60" s="2" t="n">
        <v>46235</v>
      </c>
      <c r="J60" t="inlineStr">
        <is>
          <t>Disetujui</t>
        </is>
      </c>
      <c r="K60" t="n">
        <v>30</v>
      </c>
      <c r="L60" t="inlineStr">
        <is>
          <t>1 Agustus 2026</t>
        </is>
      </c>
      <c r="M60" t="inlineStr">
        <is>
          <t>Konstruksi Bangunan Sipil Jalan, Konstruksi Jaringan Irigasi dan Drainase</t>
        </is>
      </c>
      <c r="N60" t="inlineStr">
        <is>
          <t>K</t>
        </is>
      </c>
      <c r="O60" t="inlineStr">
        <is>
          <t>20230731</t>
        </is>
      </c>
      <c r="P60" t="inlineStr">
        <is>
          <t>Sumatera Barat</t>
        </is>
      </c>
      <c r="Q60" t="inlineStr"/>
    </row>
    <row r="61">
      <c r="A61" t="inlineStr">
        <is>
          <t>INDAH PUTRA PERSADA</t>
        </is>
      </c>
      <c r="B61" t="inlineStr">
        <is>
          <t>Kab. Kendal</t>
        </is>
      </c>
      <c r="C61" t="inlineStr">
        <is>
          <t>081221221510</t>
        </is>
      </c>
      <c r="D61" t="inlineStr">
        <is>
          <t>primaadhiguna@gmail.com</t>
        </is>
      </c>
      <c r="E61" t="inlineStr">
        <is>
          <t>https://lpjk.pu.go.id/search-badan-usaha-detail/aGlXeUlMUUdFYXFPNTRXNzlBNFZSZz09</t>
        </is>
      </c>
      <c r="F61" t="n">
        <v>1</v>
      </c>
      <c r="G61" t="inlineStr">
        <is>
          <t>BS001</t>
        </is>
      </c>
      <c r="H61" t="inlineStr">
        <is>
          <t>10 April 1997</t>
        </is>
      </c>
      <c r="I61" s="2" t="n">
        <v>46235</v>
      </c>
      <c r="J61" t="inlineStr">
        <is>
          <t>Disetujui</t>
        </is>
      </c>
      <c r="K61" t="n">
        <v>30</v>
      </c>
      <c r="L61" t="inlineStr">
        <is>
          <t>1 Agustus 2026</t>
        </is>
      </c>
      <c r="M61" t="inlineStr">
        <is>
          <t>Konstruksi Bangunan Sipil Jalan</t>
        </is>
      </c>
      <c r="N61" t="inlineStr">
        <is>
          <t>K</t>
        </is>
      </c>
      <c r="O61" t="inlineStr">
        <is>
          <t>20230728</t>
        </is>
      </c>
      <c r="P61" t="inlineStr">
        <is>
          <t>Jawa Tengah</t>
        </is>
      </c>
      <c r="Q61" t="inlineStr"/>
    </row>
    <row r="62">
      <c r="A62" t="inlineStr">
        <is>
          <t>INDONESIA TEKNOLOGI DAYA SISTEM</t>
        </is>
      </c>
      <c r="B62" t="inlineStr">
        <is>
          <t>Kota Adm. Jakarta Barat</t>
        </is>
      </c>
      <c r="C62" t="inlineStr">
        <is>
          <t>02129670599</t>
        </is>
      </c>
      <c r="D62" t="inlineStr">
        <is>
          <t>info.indonesiateknologi@gmail.com</t>
        </is>
      </c>
      <c r="E62" t="inlineStr">
        <is>
          <t>https://lpjk.pu.go.id/search-badan-usaha-detail/QUZOT01sTHl3eUd1TzZYQ2dyZGpVdz09</t>
        </is>
      </c>
      <c r="F62" t="n">
        <v>4</v>
      </c>
      <c r="G62" t="inlineStr">
        <is>
          <t>BS004, BS010</t>
        </is>
      </c>
      <c r="H62" t="inlineStr">
        <is>
          <t>4 Oktober 2012</t>
        </is>
      </c>
      <c r="I62" s="2" t="n">
        <v>46235</v>
      </c>
      <c r="J62" t="inlineStr">
        <is>
          <t>Disetujui</t>
        </is>
      </c>
      <c r="K62" t="n">
        <v>30</v>
      </c>
      <c r="L62" t="inlineStr">
        <is>
          <t>1 Agustus 2026</t>
        </is>
      </c>
      <c r="M62" t="inlineStr">
        <is>
          <t>Konstruksi Bangunan Prasarana Sumber Daya Air, Konstruksi Jaringan Irigasi dan Drainase</t>
        </is>
      </c>
      <c r="N62" t="inlineStr">
        <is>
          <t>B</t>
        </is>
      </c>
      <c r="O62" t="inlineStr">
        <is>
          <t>20230727</t>
        </is>
      </c>
      <c r="P62" t="inlineStr">
        <is>
          <t>DKI Jakarta</t>
        </is>
      </c>
      <c r="Q62" t="inlineStr"/>
    </row>
    <row r="63">
      <c r="A63" t="inlineStr">
        <is>
          <t>INTI KARYA SENTOSA</t>
        </is>
      </c>
      <c r="B63" t="inlineStr">
        <is>
          <t>Kab. Temanggung</t>
        </is>
      </c>
      <c r="C63" t="inlineStr">
        <is>
          <t>082137236767</t>
        </is>
      </c>
      <c r="D63" t="inlineStr">
        <is>
          <t>intikaryasentosa@gmail.com</t>
        </is>
      </c>
      <c r="E63" t="inlineStr">
        <is>
          <t>https://lpjk.pu.go.id/search-badan-usaha-detail/UzBmcFJlcGdySVpMRlFiWEhpd2NoQT09</t>
        </is>
      </c>
      <c r="F63" t="n">
        <v>5</v>
      </c>
      <c r="G63" t="inlineStr">
        <is>
          <t>BG002, BG005, BG006, BG009, BS004</t>
        </is>
      </c>
      <c r="H63" t="inlineStr">
        <is>
          <t>28 Februari 2017</t>
        </is>
      </c>
      <c r="I63" s="2" t="n">
        <v>46235</v>
      </c>
      <c r="J63" t="inlineStr">
        <is>
          <t>Disetujui</t>
        </is>
      </c>
      <c r="K63" t="n">
        <v>30</v>
      </c>
      <c r="L63" t="inlineStr">
        <is>
          <t>1 Agustus 2026</t>
        </is>
      </c>
      <c r="M63" t="inlineStr">
        <is>
          <t>Konstruksi Gedung Kesehatan, Konstruksi Gedung Lainnya, Konstruksi Gedung Pendidikan, Konstruksi Gedung Perkantoran, Konstruksi Jaringan Irigasi dan Drainase</t>
        </is>
      </c>
      <c r="N63" t="inlineStr">
        <is>
          <t>K</t>
        </is>
      </c>
      <c r="O63" t="inlineStr">
        <is>
          <t>20230725, 20230731</t>
        </is>
      </c>
      <c r="P63" t="inlineStr">
        <is>
          <t>Jawa Tengah</t>
        </is>
      </c>
      <c r="Q63" t="inlineStr"/>
    </row>
    <row r="64">
      <c r="A64" t="inlineStr">
        <is>
          <t>ISTIQOMAH</t>
        </is>
      </c>
      <c r="B64" t="inlineStr">
        <is>
          <t>Kab. Hulu Sungai Tengah</t>
        </is>
      </c>
      <c r="C64" t="inlineStr">
        <is>
          <t>085250005025</t>
        </is>
      </c>
      <c r="D64" t="inlineStr">
        <is>
          <t>cv.istiqomah2016@gmail.com</t>
        </is>
      </c>
      <c r="E64" t="inlineStr">
        <is>
          <t>https://lpjk.pu.go.id/search-badan-usaha-detail/WVpNVjJsOUdhWnFxY2dkdjIxblNwZz09</t>
        </is>
      </c>
      <c r="F64" t="n">
        <v>4</v>
      </c>
      <c r="G64" t="inlineStr">
        <is>
          <t>BG006, BS001</t>
        </is>
      </c>
      <c r="H64" t="inlineStr">
        <is>
          <t>31 Mei 1980</t>
        </is>
      </c>
      <c r="I64" s="2" t="n">
        <v>46235</v>
      </c>
      <c r="J64" t="inlineStr">
        <is>
          <t>Disetujui</t>
        </is>
      </c>
      <c r="K64" t="n">
        <v>30</v>
      </c>
      <c r="L64" t="inlineStr">
        <is>
          <t>1 Agustus 2026</t>
        </is>
      </c>
      <c r="M64" t="inlineStr">
        <is>
          <t>Konstruksi Bangunan Sipil Jalan, Konstruksi Gedung Pendidikan</t>
        </is>
      </c>
      <c r="N64" t="inlineStr">
        <is>
          <t>K</t>
        </is>
      </c>
      <c r="O64" t="inlineStr">
        <is>
          <t>20230121</t>
        </is>
      </c>
      <c r="P64" t="inlineStr">
        <is>
          <t>Kalimantan Selatan</t>
        </is>
      </c>
      <c r="Q64" t="inlineStr"/>
    </row>
    <row r="65">
      <c r="A65" t="inlineStr">
        <is>
          <t>JAYA CERIA MAKMUR</t>
        </is>
      </c>
      <c r="B65" t="inlineStr">
        <is>
          <t>Kab. Minahasa Utara</t>
        </is>
      </c>
      <c r="C65" t="inlineStr">
        <is>
          <t>0811434995</t>
        </is>
      </c>
      <c r="D65" t="inlineStr">
        <is>
          <t>jckm11112019@gmail.com</t>
        </is>
      </c>
      <c r="E65" t="inlineStr">
        <is>
          <t>https://lpjk.pu.go.id/search-badan-usaha-detail/Rnh4ZWY1dDBhRWJxU0V6aHF2TWJHdz09</t>
        </is>
      </c>
      <c r="F65" t="n">
        <v>3</v>
      </c>
      <c r="G65" t="inlineStr">
        <is>
          <t>BG001, BG002, BG009</t>
        </is>
      </c>
      <c r="H65" t="inlineStr">
        <is>
          <t>25 Oktober 2022</t>
        </is>
      </c>
      <c r="I65" s="2" t="n">
        <v>46235</v>
      </c>
      <c r="J65" t="inlineStr">
        <is>
          <t>Pencabutan</t>
        </is>
      </c>
      <c r="K65" t="n">
        <v>30</v>
      </c>
      <c r="L65" t="inlineStr">
        <is>
          <t>1 Agustus 2026</t>
        </is>
      </c>
      <c r="M65" t="inlineStr">
        <is>
          <t>Konstruksi Gedung Hunian, Konstruksi Gedung Lainnya, Konstruksi Gedung Perkantoran</t>
        </is>
      </c>
      <c r="N65" t="inlineStr">
        <is>
          <t>K</t>
        </is>
      </c>
      <c r="O65" t="inlineStr">
        <is>
          <t>20230714, 20230801</t>
        </is>
      </c>
      <c r="P65" t="inlineStr">
        <is>
          <t>Sulawesi Utara</t>
        </is>
      </c>
      <c r="Q65" t="inlineStr"/>
    </row>
    <row r="66">
      <c r="A66" t="inlineStr">
        <is>
          <t>JAYA KUSUMA KARYA</t>
        </is>
      </c>
      <c r="B66" t="inlineStr">
        <is>
          <t>Kab. Banyuwangi</t>
        </is>
      </c>
      <c r="C66" t="inlineStr">
        <is>
          <t>087860433584</t>
        </is>
      </c>
      <c r="D66" t="inlineStr">
        <is>
          <t>panduvheda@gmail.com</t>
        </is>
      </c>
      <c r="E66" t="inlineStr">
        <is>
          <t>https://lpjk.pu.go.id/search-badan-usaha-detail/a2hoaG1TUnVTNHJYV0Z6bkRjT2IxUT09</t>
        </is>
      </c>
      <c r="F66" t="n">
        <v>2</v>
      </c>
      <c r="G66" t="inlineStr">
        <is>
          <t>BG005, BS001</t>
        </is>
      </c>
      <c r="H66" t="inlineStr">
        <is>
          <t>19 April 2018</t>
        </is>
      </c>
      <c r="I66" s="2" t="n">
        <v>46235</v>
      </c>
      <c r="J66" t="inlineStr">
        <is>
          <t>Disetujui</t>
        </is>
      </c>
      <c r="K66" t="n">
        <v>30</v>
      </c>
      <c r="L66" t="inlineStr">
        <is>
          <t>1 Agustus 2026</t>
        </is>
      </c>
      <c r="M66" t="inlineStr">
        <is>
          <t>Konstruksi Bangunan Sipil Jalan, Konstruksi Gedung Kesehatan</t>
        </is>
      </c>
      <c r="N66" t="inlineStr">
        <is>
          <t>K</t>
        </is>
      </c>
      <c r="O66" t="inlineStr">
        <is>
          <t>20230801</t>
        </is>
      </c>
      <c r="P66" t="inlineStr">
        <is>
          <t>Jawa Timur</t>
        </is>
      </c>
      <c r="Q66" t="inlineStr"/>
    </row>
    <row r="67">
      <c r="A67" t="inlineStr">
        <is>
          <t>KANAYA PUTERI</t>
        </is>
      </c>
      <c r="B67" t="inlineStr">
        <is>
          <t>Kota Bandar Lampung</t>
        </is>
      </c>
      <c r="C67" t="inlineStr">
        <is>
          <t>081214526433</t>
        </is>
      </c>
      <c r="D67" t="inlineStr">
        <is>
          <t>cvkanayaputri03@gmail.com</t>
        </is>
      </c>
      <c r="E67" t="inlineStr">
        <is>
          <t>https://lpjk.pu.go.id/search-badan-usaha-detail/UVlRR2V5aks0c1V1UldVSXZUNHdQQT09</t>
        </is>
      </c>
      <c r="F67" t="n">
        <v>2</v>
      </c>
      <c r="G67" t="inlineStr">
        <is>
          <t>BS001</t>
        </is>
      </c>
      <c r="H67" t="inlineStr">
        <is>
          <t>20 Januari 2020</t>
        </is>
      </c>
      <c r="I67" s="2" t="n">
        <v>46235</v>
      </c>
      <c r="J67" t="inlineStr">
        <is>
          <t>Disetujui</t>
        </is>
      </c>
      <c r="K67" t="n">
        <v>30</v>
      </c>
      <c r="L67" t="inlineStr">
        <is>
          <t>1 Agustus 2026</t>
        </is>
      </c>
      <c r="M67" t="inlineStr">
        <is>
          <t>Konstruksi Bangunan Sipil Jalan</t>
        </is>
      </c>
      <c r="N67" t="inlineStr">
        <is>
          <t>K</t>
        </is>
      </c>
      <c r="O67" t="inlineStr">
        <is>
          <t>20230726</t>
        </is>
      </c>
      <c r="P67" t="inlineStr">
        <is>
          <t>Lampung</t>
        </is>
      </c>
      <c r="Q67" t="inlineStr"/>
    </row>
    <row r="68">
      <c r="A68" t="inlineStr">
        <is>
          <t>KARYA ABADI</t>
        </is>
      </c>
      <c r="B68" t="inlineStr">
        <is>
          <t>Kab. Banyuwangi</t>
        </is>
      </c>
      <c r="C68" t="inlineStr">
        <is>
          <t>081336847784</t>
        </is>
      </c>
      <c r="D68" t="inlineStr">
        <is>
          <t>solikinkarya1@gmail.com</t>
        </is>
      </c>
      <c r="E68" t="inlineStr">
        <is>
          <t>https://lpjk.pu.go.id/search-badan-usaha-detail/WnZsNlZjTVlmQlNWcm54YlppWkJKZz09</t>
        </is>
      </c>
      <c r="F68" t="n">
        <v>3</v>
      </c>
      <c r="G68" t="inlineStr">
        <is>
          <t>BG009, BS001, BS004</t>
        </is>
      </c>
      <c r="H68" t="inlineStr">
        <is>
          <t>9 Februari 2017</t>
        </is>
      </c>
      <c r="I68" s="2" t="n">
        <v>46235</v>
      </c>
      <c r="J68" t="inlineStr">
        <is>
          <t>Disetujui</t>
        </is>
      </c>
      <c r="K68" t="n">
        <v>30</v>
      </c>
      <c r="L68" t="inlineStr">
        <is>
          <t>1 Agustus 2026</t>
        </is>
      </c>
      <c r="M68" t="inlineStr">
        <is>
          <t>Konstruksi Bangunan Sipil Jalan, Konstruksi Gedung Lainnya, Konstruksi Jaringan Irigasi dan Drainase</t>
        </is>
      </c>
      <c r="N68" t="inlineStr">
        <is>
          <t>K</t>
        </is>
      </c>
      <c r="O68" t="inlineStr">
        <is>
          <t>20230731, 20230801</t>
        </is>
      </c>
      <c r="P68" t="inlineStr">
        <is>
          <t>Jawa Timur</t>
        </is>
      </c>
      <c r="Q68" t="inlineStr"/>
    </row>
    <row r="69">
      <c r="A69" t="inlineStr">
        <is>
          <t>KARYA ANAK BANGSA</t>
        </is>
      </c>
      <c r="B69" t="inlineStr">
        <is>
          <t>Kab. Tulungagung</t>
        </is>
      </c>
      <c r="C69" t="inlineStr">
        <is>
          <t>0355333641</t>
        </is>
      </c>
      <c r="D69" t="inlineStr">
        <is>
          <t>kab.cv11@gmail.com</t>
        </is>
      </c>
      <c r="E69" t="inlineStr">
        <is>
          <t>https://lpjk.pu.go.id/search-badan-usaha-detail/dExOZ0tReHpURSttZmMrN3hheE9yQT09</t>
        </is>
      </c>
      <c r="F69" t="n">
        <v>1</v>
      </c>
      <c r="G69" t="inlineStr">
        <is>
          <t>BS006</t>
        </is>
      </c>
      <c r="H69" t="inlineStr">
        <is>
          <t>22 September 1999</t>
        </is>
      </c>
      <c r="I69" s="2" t="n">
        <v>46235</v>
      </c>
      <c r="J69" t="inlineStr">
        <is>
          <t>Disetujui</t>
        </is>
      </c>
      <c r="K69" t="n">
        <v>30</v>
      </c>
      <c r="L69" t="inlineStr">
        <is>
          <t>1 Agustus 2026</t>
        </is>
      </c>
      <c r="M69" t="inlineStr">
        <is>
          <t>Konstruksi Bangunan Sipil Prasarana dan Sarana Sistem Pengolahan Limbah Padat, Cair, dan Gas</t>
        </is>
      </c>
      <c r="N69" t="inlineStr">
        <is>
          <t>K</t>
        </is>
      </c>
      <c r="O69" t="inlineStr">
        <is>
          <t>20230725</t>
        </is>
      </c>
      <c r="P69" t="inlineStr">
        <is>
          <t>Jawa Timur</t>
        </is>
      </c>
      <c r="Q69" t="inlineStr"/>
    </row>
    <row r="70">
      <c r="A70" t="inlineStr">
        <is>
          <t>KARYA MUDA</t>
        </is>
      </c>
      <c r="B70" t="inlineStr">
        <is>
          <t>Kab. Tuban</t>
        </is>
      </c>
      <c r="C70" t="inlineStr">
        <is>
          <t>085230638989</t>
        </is>
      </c>
      <c r="D70" t="inlineStr">
        <is>
          <t>karyamuda_tuban@yahoo.com</t>
        </is>
      </c>
      <c r="E70" t="inlineStr">
        <is>
          <t>https://lpjk.pu.go.id/search-badan-usaha-detail/N1ZoYkNBemJKTUhzbUN3S3ZkSlI3QT09</t>
        </is>
      </c>
      <c r="F70" t="n">
        <v>3</v>
      </c>
      <c r="G70" t="inlineStr">
        <is>
          <t>BG002, BG005, BG006</t>
        </is>
      </c>
      <c r="H70" t="inlineStr">
        <is>
          <t>16 Januari 2007</t>
        </is>
      </c>
      <c r="I70" s="2" t="n">
        <v>46235</v>
      </c>
      <c r="J70" t="inlineStr">
        <is>
          <t>Disetujui</t>
        </is>
      </c>
      <c r="K70" t="n">
        <v>30</v>
      </c>
      <c r="L70" t="inlineStr">
        <is>
          <t>1 Agustus 2026</t>
        </is>
      </c>
      <c r="M70" t="inlineStr">
        <is>
          <t>Konstruksi Gedung Kesehatan, Konstruksi Gedung Pendidikan, Konstruksi Gedung Perkantoran</t>
        </is>
      </c>
      <c r="N70" t="inlineStr">
        <is>
          <t>K</t>
        </is>
      </c>
      <c r="O70" t="inlineStr">
        <is>
          <t>20230723</t>
        </is>
      </c>
      <c r="P70" t="inlineStr">
        <is>
          <t>Jawa Timur</t>
        </is>
      </c>
      <c r="Q70" t="inlineStr"/>
    </row>
    <row r="71">
      <c r="A71" t="inlineStr">
        <is>
          <t>KARYA SAKAI SEJAHTERA</t>
        </is>
      </c>
      <c r="B71" t="inlineStr">
        <is>
          <t>Kab. Siak</t>
        </is>
      </c>
      <c r="C71" t="inlineStr">
        <is>
          <t>081266415197</t>
        </is>
      </c>
      <c r="D71" t="inlineStr">
        <is>
          <t>sejahterakaryasakai@gmail.com</t>
        </is>
      </c>
      <c r="E71" t="inlineStr">
        <is>
          <t>https://lpjk.pu.go.id/search-badan-usaha-detail/ejJVeXJCYlNpa1BwSG9UOXRBUHphUT09</t>
        </is>
      </c>
      <c r="F71" t="n">
        <v>1</v>
      </c>
      <c r="G71" t="inlineStr">
        <is>
          <t>BG001</t>
        </is>
      </c>
      <c r="H71" t="inlineStr">
        <is>
          <t>27 April 2020</t>
        </is>
      </c>
      <c r="I71" s="2" t="n">
        <v>46235</v>
      </c>
      <c r="J71" t="inlineStr">
        <is>
          <t>Disetujui</t>
        </is>
      </c>
      <c r="K71" t="n">
        <v>30</v>
      </c>
      <c r="L71" t="inlineStr">
        <is>
          <t>1 Agustus 2026</t>
        </is>
      </c>
      <c r="M71" t="inlineStr">
        <is>
          <t>Konstruksi Gedung Hunian</t>
        </is>
      </c>
      <c r="N71" t="inlineStr">
        <is>
          <t>K</t>
        </is>
      </c>
      <c r="O71" t="inlineStr">
        <is>
          <t>20230731</t>
        </is>
      </c>
      <c r="P71" t="inlineStr">
        <is>
          <t>Riau</t>
        </is>
      </c>
      <c r="Q71" t="inlineStr"/>
    </row>
    <row r="72">
      <c r="A72" t="inlineStr">
        <is>
          <t>KAWAN SEJATI</t>
        </is>
      </c>
      <c r="B72" t="inlineStr">
        <is>
          <t>Kab. Ogan Ilir</t>
        </is>
      </c>
      <c r="C72" t="inlineStr">
        <is>
          <t>08127814479</t>
        </is>
      </c>
      <c r="D72" t="inlineStr">
        <is>
          <t>Sejatikawan742@gmail.com</t>
        </is>
      </c>
      <c r="E72" t="inlineStr">
        <is>
          <t>https://lpjk.pu.go.id/search-badan-usaha-detail/dkhOZ01Pa2hWM0tDT0dIUXlIb0V5UT09</t>
        </is>
      </c>
      <c r="F72" t="n">
        <v>2</v>
      </c>
      <c r="G72" t="inlineStr">
        <is>
          <t>BG005</t>
        </is>
      </c>
      <c r="H72" t="inlineStr">
        <is>
          <t>9 Oktober 2001</t>
        </is>
      </c>
      <c r="I72" s="2" t="n">
        <v>46235</v>
      </c>
      <c r="J72" t="inlineStr">
        <is>
          <t>Disetujui</t>
        </is>
      </c>
      <c r="K72" t="n">
        <v>30</v>
      </c>
      <c r="L72" t="inlineStr">
        <is>
          <t>1 Agustus 2026</t>
        </is>
      </c>
      <c r="M72" t="inlineStr">
        <is>
          <t>Konstruksi Gedung Kesehatan</t>
        </is>
      </c>
      <c r="N72" t="inlineStr">
        <is>
          <t>K</t>
        </is>
      </c>
      <c r="O72" t="inlineStr">
        <is>
          <t>20230801</t>
        </is>
      </c>
      <c r="P72" t="inlineStr">
        <is>
          <t>Sumatera Selatan</t>
        </is>
      </c>
      <c r="Q72" t="inlineStr"/>
    </row>
    <row r="73">
      <c r="A73" t="inlineStr">
        <is>
          <t>KEVIN JAYA KONTRAKTOR</t>
        </is>
      </c>
      <c r="B73" t="inlineStr">
        <is>
          <t>Kab. Kampar</t>
        </is>
      </c>
      <c r="C73" t="inlineStr">
        <is>
          <t>081268768597</t>
        </is>
      </c>
      <c r="D73" t="inlineStr">
        <is>
          <t>kontraktorkevin2022@gmail.com</t>
        </is>
      </c>
      <c r="E73" t="inlineStr">
        <is>
          <t>https://lpjk.pu.go.id/search-badan-usaha-detail/MDhkZ0JVZlVOVzNTL3RuWTNrQTFvQT09</t>
        </is>
      </c>
      <c r="F73" t="n">
        <v>2</v>
      </c>
      <c r="G73" t="inlineStr">
        <is>
          <t>BS001, BS004</t>
        </is>
      </c>
      <c r="H73" t="inlineStr">
        <is>
          <t>5 Agustus 2022</t>
        </is>
      </c>
      <c r="I73" s="2" t="n">
        <v>46235</v>
      </c>
      <c r="J73" t="inlineStr">
        <is>
          <t>Disetujui</t>
        </is>
      </c>
      <c r="K73" t="n">
        <v>30</v>
      </c>
      <c r="L73" t="inlineStr">
        <is>
          <t>1 Agustus 2026</t>
        </is>
      </c>
      <c r="M73" t="inlineStr">
        <is>
          <t>Konstruksi Bangunan Sipil Jalan, Konstruksi Jaringan Irigasi dan Drainase</t>
        </is>
      </c>
      <c r="N73" t="inlineStr">
        <is>
          <t>K</t>
        </is>
      </c>
      <c r="O73" t="inlineStr">
        <is>
          <t>20230727</t>
        </is>
      </c>
      <c r="P73" t="inlineStr">
        <is>
          <t>Riau</t>
        </is>
      </c>
      <c r="Q73" t="inlineStr"/>
    </row>
    <row r="74">
      <c r="A74" t="inlineStr">
        <is>
          <t>KOKOH CONTRACTOR INDONESIA</t>
        </is>
      </c>
      <c r="B74" t="inlineStr">
        <is>
          <t>Kota Adm. Jakarta Barat</t>
        </is>
      </c>
      <c r="C74" t="inlineStr">
        <is>
          <t>0215680695</t>
        </is>
      </c>
      <c r="D74" t="inlineStr">
        <is>
          <t>kokohcontractorindonesia@gmail.com</t>
        </is>
      </c>
      <c r="E74" t="inlineStr">
        <is>
          <t>https://lpjk.pu.go.id/search-badan-usaha-detail/K1V4cmdKWTlxVnJ6MEVGeXYzZDkwZz09</t>
        </is>
      </c>
      <c r="F74" t="n">
        <v>3</v>
      </c>
      <c r="G74" t="inlineStr">
        <is>
          <t>BG003, BG004, BG009</t>
        </is>
      </c>
      <c r="H74" t="inlineStr">
        <is>
          <t>15 Agustus 2005</t>
        </is>
      </c>
      <c r="I74" s="2" t="n">
        <v>46235</v>
      </c>
      <c r="J74" t="inlineStr">
        <is>
          <t>Disetujui</t>
        </is>
      </c>
      <c r="K74" t="n">
        <v>30</v>
      </c>
      <c r="L74" t="inlineStr">
        <is>
          <t>1 Agustus 2026</t>
        </is>
      </c>
      <c r="M74" t="inlineStr">
        <is>
          <t>Konstruksi Gedung Industri, Konstruksi Gedung Lainnya, Konstruksi Gedung Perbelanjaan</t>
        </is>
      </c>
      <c r="N74" t="inlineStr">
        <is>
          <t>M</t>
        </is>
      </c>
      <c r="O74" t="inlineStr">
        <is>
          <t>20230727</t>
        </is>
      </c>
      <c r="P74" t="inlineStr">
        <is>
          <t>DKI Jakarta</t>
        </is>
      </c>
      <c r="Q74" t="inlineStr"/>
    </row>
    <row r="75">
      <c r="A75" t="inlineStr">
        <is>
          <t>KRAKATAU</t>
        </is>
      </c>
      <c r="B75" t="inlineStr">
        <is>
          <t>Kab. Kapuas Hulu</t>
        </is>
      </c>
      <c r="C75" t="inlineStr">
        <is>
          <t>082198654885</t>
        </is>
      </c>
      <c r="D75" t="inlineStr">
        <is>
          <t>sjm070288@gmail.com</t>
        </is>
      </c>
      <c r="E75" t="inlineStr">
        <is>
          <t>https://lpjk.pu.go.id/search-badan-usaha-detail/UmxSNE82MnZJQ0RBV1I3UmJFSGp6dz09</t>
        </is>
      </c>
      <c r="F75" t="n">
        <v>1</v>
      </c>
      <c r="G75" t="inlineStr">
        <is>
          <t>BG009</t>
        </is>
      </c>
      <c r="H75" t="inlineStr">
        <is>
          <t>22 Juli 2003</t>
        </is>
      </c>
      <c r="I75" s="2" t="n">
        <v>46235</v>
      </c>
      <c r="J75" t="inlineStr">
        <is>
          <t>Disetujui</t>
        </is>
      </c>
      <c r="K75" t="n">
        <v>30</v>
      </c>
      <c r="L75" t="inlineStr">
        <is>
          <t>1 Agustus 2026</t>
        </is>
      </c>
      <c r="M75" t="inlineStr">
        <is>
          <t>Konstruksi Gedung Lainnya</t>
        </is>
      </c>
      <c r="N75" t="inlineStr">
        <is>
          <t>K</t>
        </is>
      </c>
      <c r="O75" t="inlineStr">
        <is>
          <t>20230726</t>
        </is>
      </c>
      <c r="P75" t="inlineStr">
        <is>
          <t>Kalimantan Barat</t>
        </is>
      </c>
      <c r="Q75" t="inlineStr"/>
    </row>
    <row r="76">
      <c r="A76" t="inlineStr">
        <is>
          <t>KURNIA BROTHER</t>
        </is>
      </c>
      <c r="B76" t="inlineStr">
        <is>
          <t>Kab. Musi Rawas Utara</t>
        </is>
      </c>
      <c r="C76" t="inlineStr">
        <is>
          <t>081364919091</t>
        </is>
      </c>
      <c r="D76" t="inlineStr">
        <is>
          <t>kurniabrother7@gmail.com</t>
        </is>
      </c>
      <c r="E76" t="inlineStr">
        <is>
          <t>https://lpjk.pu.go.id/search-badan-usaha-detail/QVJoVmJHQ1A3ZDdlWUVnRk1STENtZz09</t>
        </is>
      </c>
      <c r="F76" t="n">
        <v>1</v>
      </c>
      <c r="G76" t="inlineStr">
        <is>
          <t>BG009</t>
        </is>
      </c>
      <c r="H76" t="inlineStr">
        <is>
          <t>11 November 2014</t>
        </is>
      </c>
      <c r="I76" s="2" t="n">
        <v>46235</v>
      </c>
      <c r="J76" t="inlineStr">
        <is>
          <t>Disetujui</t>
        </is>
      </c>
      <c r="K76" t="n">
        <v>30</v>
      </c>
      <c r="L76" t="inlineStr">
        <is>
          <t>1 Agustus 2026</t>
        </is>
      </c>
      <c r="M76" t="inlineStr">
        <is>
          <t>Konstruksi Gedung Lainnya</t>
        </is>
      </c>
      <c r="N76" t="inlineStr">
        <is>
          <t>K</t>
        </is>
      </c>
      <c r="O76" t="inlineStr">
        <is>
          <t>20230731</t>
        </is>
      </c>
      <c r="P76" t="inlineStr">
        <is>
          <t>Sumatera Selatan</t>
        </is>
      </c>
      <c r="Q76" t="inlineStr"/>
    </row>
    <row r="77">
      <c r="A77" t="inlineStr">
        <is>
          <t>LUTFI BANGUN PERSADA</t>
        </is>
      </c>
      <c r="B77" t="inlineStr">
        <is>
          <t>Kab. Sidoarjo</t>
        </is>
      </c>
      <c r="C77" t="inlineStr">
        <is>
          <t>082139838992</t>
        </is>
      </c>
      <c r="D77" t="inlineStr">
        <is>
          <t>lb.persada@gmail.com</t>
        </is>
      </c>
      <c r="E77" t="inlineStr">
        <is>
          <t>https://lpjk.pu.go.id/search-badan-usaha-detail/WVc2Y3VaQytOMUFMWXpxemttQzNJQT09</t>
        </is>
      </c>
      <c r="F77" t="n">
        <v>1</v>
      </c>
      <c r="G77" t="inlineStr">
        <is>
          <t>BG006</t>
        </is>
      </c>
      <c r="H77" t="inlineStr">
        <is>
          <t>2 September 2006</t>
        </is>
      </c>
      <c r="I77" s="2" t="n">
        <v>46235</v>
      </c>
      <c r="J77" t="inlineStr">
        <is>
          <t>Disetujui</t>
        </is>
      </c>
      <c r="K77" t="n">
        <v>30</v>
      </c>
      <c r="L77" t="inlineStr">
        <is>
          <t>1 Agustus 2026</t>
        </is>
      </c>
      <c r="M77" t="inlineStr">
        <is>
          <t>Konstruksi Gedung Pendidikan</t>
        </is>
      </c>
      <c r="N77" t="inlineStr">
        <is>
          <t>K</t>
        </is>
      </c>
      <c r="O77" t="inlineStr">
        <is>
          <t>20230802</t>
        </is>
      </c>
      <c r="P77" t="inlineStr">
        <is>
          <t>Jawa Timur</t>
        </is>
      </c>
      <c r="Q77" t="inlineStr"/>
    </row>
    <row r="78">
      <c r="A78" t="inlineStr">
        <is>
          <t>MANGGALA MAHA KARYA</t>
        </is>
      </c>
      <c r="B78" t="inlineStr">
        <is>
          <t>Kota Surabaya</t>
        </is>
      </c>
      <c r="C78" t="inlineStr">
        <is>
          <t>08123511992</t>
        </is>
      </c>
      <c r="D78" t="inlineStr">
        <is>
          <t>manggala.maha.karyaoss@torwebmail.com</t>
        </is>
      </c>
      <c r="E78" t="inlineStr">
        <is>
          <t>https://lpjk.pu.go.id/search-badan-usaha-detail/dW5UaHpkMTF5aFBZOHI4bk00VWk0UT09</t>
        </is>
      </c>
      <c r="F78" t="n">
        <v>7</v>
      </c>
      <c r="G78" t="inlineStr">
        <is>
          <t>BG001, BG002, BS001, BS002, BS008, BS010, BS011</t>
        </is>
      </c>
      <c r="H78" t="inlineStr">
        <is>
          <t>30 Maret 2023</t>
        </is>
      </c>
      <c r="I78" s="2" t="n">
        <v>46235</v>
      </c>
      <c r="J78" t="inlineStr">
        <is>
          <t>Disetujui</t>
        </is>
      </c>
      <c r="K78" t="n">
        <v>30</v>
      </c>
      <c r="L78" t="inlineStr">
        <is>
          <t>1 Agustus 2026</t>
        </is>
      </c>
      <c r="M78" t="inlineStr">
        <is>
          <t>Bangunan Sipil Jembatan, Jalan Layang, Fly Over, dan Underpass, Konstruksi Bangunan Pelabuhan Bukan Perikanan, Konstruksi Bangunan Prasarana Sumber Daya Air, Konstruksi Bangunan Sipil Jalan, Konstruksi Bangunan Sipil Telekomunikasi untuk Prasarana Transportasi, Konstruksi Gedung Hunian, Konstruksi Gedung Perkantoran</t>
        </is>
      </c>
      <c r="N78" t="inlineStr">
        <is>
          <t>K</t>
        </is>
      </c>
      <c r="O78" t="inlineStr">
        <is>
          <t>20230729, 20230731, 20230801</t>
        </is>
      </c>
      <c r="P78" t="inlineStr">
        <is>
          <t>Jawa Timur</t>
        </is>
      </c>
      <c r="Q78" t="inlineStr"/>
    </row>
    <row r="79">
      <c r="A79" t="inlineStr">
        <is>
          <t>MARANGINANG PUTRA</t>
        </is>
      </c>
      <c r="B79" t="inlineStr">
        <is>
          <t>Kab. Luwu Utara</t>
        </is>
      </c>
      <c r="C79" t="inlineStr">
        <is>
          <t>082349341330</t>
        </is>
      </c>
      <c r="D79" t="inlineStr">
        <is>
          <t>cvmaranginangputra@gmail.com</t>
        </is>
      </c>
      <c r="E79" t="inlineStr">
        <is>
          <t>https://lpjk.pu.go.id/search-badan-usaha-detail/WmdnWWRKYkE4WFZ2Tk01SEh4N2ZYdz09</t>
        </is>
      </c>
      <c r="F79" t="n">
        <v>6</v>
      </c>
      <c r="G79" t="inlineStr">
        <is>
          <t>BG001, BG002, BG004</t>
        </is>
      </c>
      <c r="H79" t="inlineStr">
        <is>
          <t>7 Januari 2013</t>
        </is>
      </c>
      <c r="I79" s="2" t="n">
        <v>46235</v>
      </c>
      <c r="J79" t="inlineStr">
        <is>
          <t>Disetujui, Pencabutan</t>
        </is>
      </c>
      <c r="K79" t="n">
        <v>30</v>
      </c>
      <c r="L79" t="inlineStr">
        <is>
          <t>1 Agustus 2026</t>
        </is>
      </c>
      <c r="M79" t="inlineStr">
        <is>
          <t>Konstruksi Gedung Hunian, Konstruksi Gedung Perbelanjaan, Konstruksi Gedung Perkantoran</t>
        </is>
      </c>
      <c r="N79" t="inlineStr">
        <is>
          <t>K</t>
        </is>
      </c>
      <c r="O79" t="inlineStr">
        <is>
          <t>20230726</t>
        </is>
      </c>
      <c r="P79" t="inlineStr">
        <is>
          <t>Sulawesi Selatan</t>
        </is>
      </c>
      <c r="Q79" t="inlineStr"/>
    </row>
    <row r="80">
      <c r="A80" t="inlineStr">
        <is>
          <t>MARTAPATI</t>
        </is>
      </c>
      <c r="B80" t="inlineStr">
        <is>
          <t>Kab. Hulu Sungai Tengah</t>
        </is>
      </c>
      <c r="C80" t="inlineStr">
        <is>
          <t>082158175334</t>
        </is>
      </c>
      <c r="D80" t="inlineStr">
        <is>
          <t>cv.martapati@gmail.com</t>
        </is>
      </c>
      <c r="E80" t="inlineStr">
        <is>
          <t>https://lpjk.pu.go.id/search-badan-usaha-detail/ZVp5VEh1NThvNTlxTXcyZHNZeFlBdz09</t>
        </is>
      </c>
      <c r="F80" t="n">
        <v>2</v>
      </c>
      <c r="G80" t="inlineStr">
        <is>
          <t>BS001, BS004</t>
        </is>
      </c>
      <c r="H80" t="inlineStr">
        <is>
          <t>7 Oktober 2021</t>
        </is>
      </c>
      <c r="I80" s="2" t="n">
        <v>46235</v>
      </c>
      <c r="J80" t="inlineStr">
        <is>
          <t>Disetujui</t>
        </is>
      </c>
      <c r="K80" t="n">
        <v>30</v>
      </c>
      <c r="L80" t="inlineStr">
        <is>
          <t>1 Agustus 2026</t>
        </is>
      </c>
      <c r="M80" t="inlineStr">
        <is>
          <t>Konstruksi Bangunan Sipil Jalan, Konstruksi Jaringan Irigasi dan Drainase</t>
        </is>
      </c>
      <c r="N80" t="inlineStr">
        <is>
          <t>K</t>
        </is>
      </c>
      <c r="O80" t="inlineStr">
        <is>
          <t>20230729, 20230731</t>
        </is>
      </c>
      <c r="P80" t="inlineStr">
        <is>
          <t>Kalimantan Selatan</t>
        </is>
      </c>
      <c r="Q80" t="inlineStr"/>
    </row>
    <row r="81">
      <c r="A81" t="inlineStr">
        <is>
          <t>MEGAH AGUNG SARANA</t>
        </is>
      </c>
      <c r="B81" t="inlineStr">
        <is>
          <t>Kab. Tangerang</t>
        </is>
      </c>
      <c r="C81" t="inlineStr">
        <is>
          <t>08161922363</t>
        </is>
      </c>
      <c r="D81" t="inlineStr">
        <is>
          <t>agungsaranamegah@gmai.com</t>
        </is>
      </c>
      <c r="E81" t="inlineStr">
        <is>
          <t>https://lpjk.pu.go.id/search-badan-usaha-detail/aGhVM0RaZjhFV1gyZVNtS1JiUGJOdz09</t>
        </is>
      </c>
      <c r="F81" t="n">
        <v>3</v>
      </c>
      <c r="G81" t="inlineStr">
        <is>
          <t>BG002</t>
        </is>
      </c>
      <c r="H81" t="inlineStr">
        <is>
          <t>10 Januari 2022</t>
        </is>
      </c>
      <c r="I81" s="2" t="n">
        <v>46235</v>
      </c>
      <c r="J81" t="inlineStr">
        <is>
          <t>Pencabutan</t>
        </is>
      </c>
      <c r="K81" t="n">
        <v>30</v>
      </c>
      <c r="L81" t="inlineStr">
        <is>
          <t>1 Agustus 2026</t>
        </is>
      </c>
      <c r="M81" t="inlineStr">
        <is>
          <t>Konstruksi Gedung Perkantoran</t>
        </is>
      </c>
      <c r="N81" t="inlineStr">
        <is>
          <t>K</t>
        </is>
      </c>
      <c r="O81" t="inlineStr">
        <is>
          <t>20230801</t>
        </is>
      </c>
      <c r="P81" t="inlineStr">
        <is>
          <t>Banten</t>
        </is>
      </c>
      <c r="Q81" t="inlineStr"/>
    </row>
    <row r="82">
      <c r="A82" t="inlineStr">
        <is>
          <t>MITRA CEKATAN SOLUSINDO</t>
        </is>
      </c>
      <c r="B82" t="inlineStr">
        <is>
          <t>Kota Salatiga</t>
        </is>
      </c>
      <c r="C82" t="inlineStr">
        <is>
          <t>082322226084</t>
        </is>
      </c>
      <c r="D82" t="inlineStr">
        <is>
          <t>mitracekatansolusindo@gmail.com</t>
        </is>
      </c>
      <c r="E82" t="inlineStr">
        <is>
          <t>https://lpjk.pu.go.id/search-badan-usaha-detail/VUFYcnNvZlVmU0UydkZOVXlOWU9wQT09</t>
        </is>
      </c>
      <c r="F82" t="n">
        <v>3</v>
      </c>
      <c r="G82" t="inlineStr">
        <is>
          <t>BG003, BG006, BG009</t>
        </is>
      </c>
      <c r="H82" t="inlineStr">
        <is>
          <t>18 Juli 2023</t>
        </is>
      </c>
      <c r="I82" s="2" t="n">
        <v>46235</v>
      </c>
      <c r="J82" t="inlineStr">
        <is>
          <t>Disetujui</t>
        </is>
      </c>
      <c r="K82" t="n">
        <v>30</v>
      </c>
      <c r="L82" t="inlineStr">
        <is>
          <t>1 Agustus 2026</t>
        </is>
      </c>
      <c r="M82" t="inlineStr">
        <is>
          <t>Konstruksi Gedung Industri, Konstruksi Gedung Lainnya, Konstruksi Gedung Pendidikan</t>
        </is>
      </c>
      <c r="N82" t="inlineStr">
        <is>
          <t>K</t>
        </is>
      </c>
      <c r="O82" t="inlineStr">
        <is>
          <t>20230727, 20230731, 20230801</t>
        </is>
      </c>
      <c r="P82" t="inlineStr">
        <is>
          <t>Jawa Tengah</t>
        </is>
      </c>
      <c r="Q82" t="inlineStr"/>
    </row>
    <row r="83">
      <c r="A83" t="inlineStr">
        <is>
          <t>MITRA GENERASI MANDIRI</t>
        </is>
      </c>
      <c r="B83" t="inlineStr">
        <is>
          <t>Kota Palangkaraya</t>
        </is>
      </c>
      <c r="C83" t="inlineStr">
        <is>
          <t>082153222235</t>
        </is>
      </c>
      <c r="D83" t="inlineStr">
        <is>
          <t>mitragenerasimandiri@gmail.com</t>
        </is>
      </c>
      <c r="E83" t="inlineStr">
        <is>
          <t>https://lpjk.pu.go.id/search-badan-usaha-detail/NEtySU9MUXl5bnp1b1o3UnpDclZyQT09</t>
        </is>
      </c>
      <c r="F83" t="n">
        <v>3</v>
      </c>
      <c r="G83" t="inlineStr">
        <is>
          <t>BG001, BG008, BG009</t>
        </is>
      </c>
      <c r="H83" t="inlineStr">
        <is>
          <t>8 Januari 2016</t>
        </is>
      </c>
      <c r="I83" s="2" t="n">
        <v>46235</v>
      </c>
      <c r="J83" t="inlineStr">
        <is>
          <t>Disetujui</t>
        </is>
      </c>
      <c r="K83" t="n">
        <v>30</v>
      </c>
      <c r="L83" t="inlineStr">
        <is>
          <t>1 Agustus 2026</t>
        </is>
      </c>
      <c r="M83" t="inlineStr">
        <is>
          <t>Konstruksi Gedung Hunian, Konstruksi Gedung Lainnya, Konstruksi Gedung Tempat Hiburan dan Olahraga</t>
        </is>
      </c>
      <c r="N83" t="inlineStr">
        <is>
          <t>K</t>
        </is>
      </c>
      <c r="O83" t="inlineStr">
        <is>
          <t>20230801</t>
        </is>
      </c>
      <c r="P83" t="inlineStr">
        <is>
          <t>Kalimantan Tengah</t>
        </is>
      </c>
      <c r="Q83" t="inlineStr"/>
    </row>
    <row r="84">
      <c r="A84" t="inlineStr">
        <is>
          <t>MITRA KARYA KONSTRUKSI</t>
        </is>
      </c>
      <c r="B84" t="inlineStr">
        <is>
          <t>Kota Batam</t>
        </is>
      </c>
      <c r="C84" t="inlineStr">
        <is>
          <t>081233338181</t>
        </is>
      </c>
      <c r="D84" t="inlineStr">
        <is>
          <t>mitrakaryakonstruksi.pt@gmail.com</t>
        </is>
      </c>
      <c r="E84" t="inlineStr">
        <is>
          <t>https://lpjk.pu.go.id/search-badan-usaha-detail/bmNmbUdHbERDdG5PMUJ1M25SaHR4UT09</t>
        </is>
      </c>
      <c r="F84" t="n">
        <v>1</v>
      </c>
      <c r="G84" t="inlineStr">
        <is>
          <t>PL003</t>
        </is>
      </c>
      <c r="H84" t="inlineStr">
        <is>
          <t>25 Juni 2011</t>
        </is>
      </c>
      <c r="I84" s="2" t="n">
        <v>46235</v>
      </c>
      <c r="J84" t="inlineStr">
        <is>
          <t>Pembekuan</t>
        </is>
      </c>
      <c r="K84" t="n">
        <v>30</v>
      </c>
      <c r="L84" t="inlineStr">
        <is>
          <t>1 Agustus 2026</t>
        </is>
      </c>
      <c r="M84" t="inlineStr">
        <is>
          <t>Penyiapan Lahan Konstruksi</t>
        </is>
      </c>
      <c r="N84" t="inlineStr">
        <is>
          <t>Spesialis</t>
        </is>
      </c>
      <c r="O84" t="inlineStr">
        <is>
          <t>20230801</t>
        </is>
      </c>
      <c r="P84" t="inlineStr">
        <is>
          <t>Kepulauan Riau</t>
        </is>
      </c>
      <c r="Q84" t="inlineStr"/>
    </row>
    <row r="85">
      <c r="A85" t="inlineStr">
        <is>
          <t>MITRA MANDIRI</t>
        </is>
      </c>
      <c r="B85" t="inlineStr">
        <is>
          <t>Kab. Deli Serdang</t>
        </is>
      </c>
      <c r="C85" t="inlineStr">
        <is>
          <t>0811634087</t>
        </is>
      </c>
      <c r="D85" t="inlineStr">
        <is>
          <t>mandiri.edylie@gmail.com</t>
        </is>
      </c>
      <c r="E85" t="inlineStr">
        <is>
          <t>https://lpjk.pu.go.id/search-badan-usaha-detail/Z1NvT284NHI2S0diWHhjV0l6Zm05UT09</t>
        </is>
      </c>
      <c r="F85" t="n">
        <v>4</v>
      </c>
      <c r="G85" t="inlineStr">
        <is>
          <t>BG001, BG002, BG006, BG009</t>
        </is>
      </c>
      <c r="H85" t="inlineStr">
        <is>
          <t>24 Agustus 2011</t>
        </is>
      </c>
      <c r="I85" s="2" t="n">
        <v>46235</v>
      </c>
      <c r="J85" t="inlineStr">
        <is>
          <t>Disetujui</t>
        </is>
      </c>
      <c r="K85" t="n">
        <v>30</v>
      </c>
      <c r="L85" t="inlineStr">
        <is>
          <t>1 Agustus 2026</t>
        </is>
      </c>
      <c r="M85" t="inlineStr">
        <is>
          <t>Konstruksi Gedung Hunian, Konstruksi Gedung Lainnya, Konstruksi Gedung Pendidikan, Konstruksi Gedung Perkantoran</t>
        </is>
      </c>
      <c r="N85" t="inlineStr">
        <is>
          <t>K</t>
        </is>
      </c>
      <c r="O85" t="inlineStr">
        <is>
          <t>20230707, 20230714</t>
        </is>
      </c>
      <c r="P85" t="inlineStr">
        <is>
          <t>Sumatera Utara</t>
        </is>
      </c>
      <c r="Q85" t="inlineStr"/>
    </row>
    <row r="86">
      <c r="A86" t="inlineStr">
        <is>
          <t>MITRA MULIA</t>
        </is>
      </c>
      <c r="B86" t="inlineStr">
        <is>
          <t>Kota Surabaya</t>
        </is>
      </c>
      <c r="C86" t="inlineStr">
        <is>
          <t>03170572775</t>
        </is>
      </c>
      <c r="D86" t="inlineStr">
        <is>
          <t>mitramulia13@gmail.com</t>
        </is>
      </c>
      <c r="E86" t="inlineStr">
        <is>
          <t>https://lpjk.pu.go.id/search-badan-usaha-detail/N21kUjM3ZHcwNm1BaEREUVluOFEvUT09</t>
        </is>
      </c>
      <c r="F86" t="n">
        <v>1</v>
      </c>
      <c r="G86" t="inlineStr">
        <is>
          <t>BG002</t>
        </is>
      </c>
      <c r="H86" t="inlineStr">
        <is>
          <t>13 Februari 2007</t>
        </is>
      </c>
      <c r="I86" s="2" t="n">
        <v>46235</v>
      </c>
      <c r="J86" t="inlineStr">
        <is>
          <t>Disetujui</t>
        </is>
      </c>
      <c r="K86" t="n">
        <v>30</v>
      </c>
      <c r="L86" t="inlineStr">
        <is>
          <t>1 Agustus 2026</t>
        </is>
      </c>
      <c r="M86" t="inlineStr">
        <is>
          <t>Konstruksi Gedung Perkantoran</t>
        </is>
      </c>
      <c r="N86" t="inlineStr">
        <is>
          <t>K</t>
        </is>
      </c>
      <c r="O86" t="inlineStr">
        <is>
          <t>20230801</t>
        </is>
      </c>
      <c r="P86" t="inlineStr">
        <is>
          <t>Jawa Timur</t>
        </is>
      </c>
      <c r="Q86" t="inlineStr"/>
    </row>
    <row r="87">
      <c r="A87" t="inlineStr">
        <is>
          <t>MITRA NUSANTARA</t>
        </is>
      </c>
      <c r="B87" t="inlineStr">
        <is>
          <t>Kab. Jember</t>
        </is>
      </c>
      <c r="C87" t="inlineStr">
        <is>
          <t>085101771588</t>
        </is>
      </c>
      <c r="D87" t="inlineStr">
        <is>
          <t>cvmitnus135@gmail.com</t>
        </is>
      </c>
      <c r="E87" t="inlineStr">
        <is>
          <t>https://lpjk.pu.go.id/search-badan-usaha-detail/VHVDNktYRFp0cFhHcDU1YWF0NnVLZz09</t>
        </is>
      </c>
      <c r="F87" t="n">
        <v>1</v>
      </c>
      <c r="G87" t="inlineStr">
        <is>
          <t>BG009</t>
        </is>
      </c>
      <c r="H87" t="inlineStr">
        <is>
          <t>9 Mei 2014</t>
        </is>
      </c>
      <c r="I87" s="2" t="n">
        <v>46235</v>
      </c>
      <c r="J87" t="inlineStr">
        <is>
          <t>Pencabutan</t>
        </is>
      </c>
      <c r="K87" t="n">
        <v>30</v>
      </c>
      <c r="L87" t="inlineStr">
        <is>
          <t>1 Agustus 2026</t>
        </is>
      </c>
      <c r="M87" t="inlineStr">
        <is>
          <t>Konstruksi Gedung Lainnya</t>
        </is>
      </c>
      <c r="N87" t="inlineStr">
        <is>
          <t>K</t>
        </is>
      </c>
      <c r="O87" t="inlineStr">
        <is>
          <t>20230801</t>
        </is>
      </c>
      <c r="P87" t="inlineStr">
        <is>
          <t>Jawa Timur</t>
        </is>
      </c>
      <c r="Q87" t="inlineStr"/>
    </row>
    <row r="88">
      <c r="A88" t="inlineStr">
        <is>
          <t>MITRAYASA NUSANTARA</t>
        </is>
      </c>
      <c r="B88" t="inlineStr">
        <is>
          <t>Kota Banjarmasin</t>
        </is>
      </c>
      <c r="C88" t="inlineStr">
        <is>
          <t>082149853703</t>
        </is>
      </c>
      <c r="D88" t="inlineStr">
        <is>
          <t>mitrayasa007@gmail.com</t>
        </is>
      </c>
      <c r="E88" t="inlineStr">
        <is>
          <t>https://lpjk.pu.go.id/search-badan-usaha-detail/VjRRWExxOTB2dlRWT2o1TFIzRVorZz09</t>
        </is>
      </c>
      <c r="F88" t="n">
        <v>1</v>
      </c>
      <c r="G88" t="inlineStr">
        <is>
          <t>BS001</t>
        </is>
      </c>
      <c r="H88" t="inlineStr">
        <is>
          <t>26 Januari 2000</t>
        </is>
      </c>
      <c r="I88" s="2" t="n">
        <v>46235</v>
      </c>
      <c r="J88" t="inlineStr">
        <is>
          <t>Disetujui</t>
        </is>
      </c>
      <c r="K88" t="n">
        <v>30</v>
      </c>
      <c r="L88" t="inlineStr">
        <is>
          <t>1 Agustus 2026</t>
        </is>
      </c>
      <c r="M88" t="inlineStr">
        <is>
          <t>Konstruksi Bangunan Sipil Jalan</t>
        </is>
      </c>
      <c r="N88" t="inlineStr">
        <is>
          <t>K</t>
        </is>
      </c>
      <c r="O88" t="inlineStr">
        <is>
          <t>20230801</t>
        </is>
      </c>
      <c r="P88" t="inlineStr">
        <is>
          <t>Kalimantan Selatan</t>
        </is>
      </c>
      <c r="Q88" t="inlineStr"/>
    </row>
    <row r="89">
      <c r="A89" t="inlineStr">
        <is>
          <t>MUTIARA BINTANG AR</t>
        </is>
      </c>
      <c r="B89" t="inlineStr">
        <is>
          <t>Kota Kendari</t>
        </is>
      </c>
      <c r="C89" t="inlineStr">
        <is>
          <t>081393969706</t>
        </is>
      </c>
      <c r="D89" t="inlineStr">
        <is>
          <t>cv.mutiarabintangar@gmail.com</t>
        </is>
      </c>
      <c r="E89" t="inlineStr">
        <is>
          <t>https://lpjk.pu.go.id/search-badan-usaha-detail/bG5CWDVlb3ZoL0pSdnpNazg5SzFnZz09</t>
        </is>
      </c>
      <c r="F89" t="n">
        <v>2</v>
      </c>
      <c r="G89" t="inlineStr">
        <is>
          <t>BS001</t>
        </is>
      </c>
      <c r="H89" t="inlineStr">
        <is>
          <t>10 Juli 2023</t>
        </is>
      </c>
      <c r="I89" s="2" t="n">
        <v>46235</v>
      </c>
      <c r="J89" t="inlineStr">
        <is>
          <t>Disetujui</t>
        </is>
      </c>
      <c r="K89" t="n">
        <v>30</v>
      </c>
      <c r="L89" t="inlineStr">
        <is>
          <t>1 Agustus 2026</t>
        </is>
      </c>
      <c r="M89" t="inlineStr">
        <is>
          <t>Konstruksi Bangunan Sipil Jalan</t>
        </is>
      </c>
      <c r="N89" t="inlineStr">
        <is>
          <t>K</t>
        </is>
      </c>
      <c r="O89" t="inlineStr">
        <is>
          <t>20230731</t>
        </is>
      </c>
      <c r="P89" t="inlineStr">
        <is>
          <t>Sulawesi Tenggara</t>
        </is>
      </c>
      <c r="Q89" t="inlineStr"/>
    </row>
    <row r="90">
      <c r="A90" t="inlineStr">
        <is>
          <t>MUTIARA PINA KARYA</t>
        </is>
      </c>
      <c r="B90" t="inlineStr">
        <is>
          <t>Kota Tanjung Pinang</t>
        </is>
      </c>
      <c r="C90" t="inlineStr">
        <is>
          <t>082384028974</t>
        </is>
      </c>
      <c r="D90" t="inlineStr">
        <is>
          <t>mutiarapinakarya@gmail.com</t>
        </is>
      </c>
      <c r="E90" t="inlineStr">
        <is>
          <t>https://lpjk.pu.go.id/search-badan-usaha-detail/OXVpYy9TTGNSVk9ENFdPZzJuUkZadz09</t>
        </is>
      </c>
      <c r="F90" t="n">
        <v>2</v>
      </c>
      <c r="G90" t="inlineStr">
        <is>
          <t>BS001</t>
        </is>
      </c>
      <c r="H90" t="inlineStr">
        <is>
          <t>23 Januari 2009</t>
        </is>
      </c>
      <c r="I90" s="2" t="n">
        <v>46235</v>
      </c>
      <c r="J90" t="inlineStr">
        <is>
          <t>Disetujui</t>
        </is>
      </c>
      <c r="K90" t="n">
        <v>30</v>
      </c>
      <c r="L90" t="inlineStr">
        <is>
          <t>1 Agustus 2026</t>
        </is>
      </c>
      <c r="M90" t="inlineStr">
        <is>
          <t>Konstruksi Bangunan Sipil Jalan</t>
        </is>
      </c>
      <c r="N90" t="inlineStr">
        <is>
          <t>K</t>
        </is>
      </c>
      <c r="O90" t="inlineStr">
        <is>
          <t>20230526</t>
        </is>
      </c>
      <c r="P90" t="inlineStr">
        <is>
          <t>Kepulauan Riau</t>
        </is>
      </c>
      <c r="Q90" t="inlineStr"/>
    </row>
    <row r="91">
      <c r="A91" t="inlineStr">
        <is>
          <t>NUANSA CAHAYA SEJAHTERA</t>
        </is>
      </c>
      <c r="B91" t="inlineStr">
        <is>
          <t>Kota Pontianak</t>
        </is>
      </c>
      <c r="C91" t="inlineStr">
        <is>
          <t>085105908799</t>
        </is>
      </c>
      <c r="D91" t="inlineStr">
        <is>
          <t>nacasejahtera@gmail.com</t>
        </is>
      </c>
      <c r="E91" t="inlineStr">
        <is>
          <t>https://lpjk.pu.go.id/search-badan-usaha-detail/SUNPWmJMb0ZxeUpBRjYxOHBla1Uvdz09</t>
        </is>
      </c>
      <c r="F91" t="n">
        <v>2</v>
      </c>
      <c r="G91" t="inlineStr">
        <is>
          <t>BG002, BG003</t>
        </is>
      </c>
      <c r="H91" t="inlineStr">
        <is>
          <t>22 Februari 2018</t>
        </is>
      </c>
      <c r="I91" s="2" t="n">
        <v>46235</v>
      </c>
      <c r="J91" t="inlineStr">
        <is>
          <t>Disetujui</t>
        </is>
      </c>
      <c r="K91" t="n">
        <v>30</v>
      </c>
      <c r="L91" t="inlineStr">
        <is>
          <t>1 Agustus 2026</t>
        </is>
      </c>
      <c r="M91" t="inlineStr">
        <is>
          <t>Konstruksi Gedung Industri, Konstruksi Gedung Perkantoran</t>
        </is>
      </c>
      <c r="N91" t="inlineStr">
        <is>
          <t>K</t>
        </is>
      </c>
      <c r="O91" t="inlineStr">
        <is>
          <t>20230802</t>
        </is>
      </c>
      <c r="P91" t="inlineStr">
        <is>
          <t>Kalimantan Barat</t>
        </is>
      </c>
      <c r="Q91" t="inlineStr"/>
    </row>
    <row r="92">
      <c r="A92" t="inlineStr">
        <is>
          <t>NUR AINI</t>
        </is>
      </c>
      <c r="B92" t="inlineStr">
        <is>
          <t>Kab. Kediri</t>
        </is>
      </c>
      <c r="C92" t="inlineStr">
        <is>
          <t>085733237617</t>
        </is>
      </c>
      <c r="D92" t="inlineStr">
        <is>
          <t>nuraini_cv@yahoo.com</t>
        </is>
      </c>
      <c r="E92" t="inlineStr">
        <is>
          <t>https://lpjk.pu.go.id/search-badan-usaha-detail/NWxRT25vOWhJcFRueTNpaWdmWUZNQT09</t>
        </is>
      </c>
      <c r="F92" t="n">
        <v>1</v>
      </c>
      <c r="G92" t="inlineStr">
        <is>
          <t>BG005</t>
        </is>
      </c>
      <c r="H92" t="inlineStr">
        <is>
          <t>5 Juli 2007</t>
        </is>
      </c>
      <c r="I92" s="2" t="n">
        <v>46235</v>
      </c>
      <c r="J92" t="inlineStr">
        <is>
          <t>Disetujui</t>
        </is>
      </c>
      <c r="K92" t="n">
        <v>30</v>
      </c>
      <c r="L92" t="inlineStr">
        <is>
          <t>1 Agustus 2026</t>
        </is>
      </c>
      <c r="M92" t="inlineStr">
        <is>
          <t>Konstruksi Gedung Kesehatan</t>
        </is>
      </c>
      <c r="N92" t="inlineStr">
        <is>
          <t>K</t>
        </is>
      </c>
      <c r="O92" t="inlineStr">
        <is>
          <t>20230729</t>
        </is>
      </c>
      <c r="P92" t="inlineStr">
        <is>
          <t>Jawa Timur</t>
        </is>
      </c>
      <c r="Q92" t="inlineStr"/>
    </row>
    <row r="93">
      <c r="A93" t="inlineStr">
        <is>
          <t>NUR ASRI</t>
        </is>
      </c>
      <c r="B93" t="inlineStr">
        <is>
          <t>Kota Kendari</t>
        </is>
      </c>
      <c r="C93" t="inlineStr">
        <is>
          <t>08114051101</t>
        </is>
      </c>
      <c r="D93" t="inlineStr">
        <is>
          <t>cv.nur_asri@yahoo.co.id</t>
        </is>
      </c>
      <c r="E93" t="inlineStr">
        <is>
          <t>https://lpjk.pu.go.id/search-badan-usaha-detail/b0M5NlVnL2RBRWZ6Y2x6Mm9FU3FHQT09</t>
        </is>
      </c>
      <c r="F93" t="n">
        <v>2</v>
      </c>
      <c r="G93" t="inlineStr">
        <is>
          <t>BG009, BS001</t>
        </is>
      </c>
      <c r="H93" t="inlineStr">
        <is>
          <t>22 September 2014</t>
        </is>
      </c>
      <c r="I93" s="2" t="n">
        <v>46235</v>
      </c>
      <c r="J93" t="inlineStr">
        <is>
          <t>Disetujui</t>
        </is>
      </c>
      <c r="K93" t="n">
        <v>30</v>
      </c>
      <c r="L93" t="inlineStr">
        <is>
          <t>1 Agustus 2026</t>
        </is>
      </c>
      <c r="M93" t="inlineStr">
        <is>
          <t>Konstruksi Bangunan Sipil Jalan, Konstruksi Gedung Lainnya</t>
        </is>
      </c>
      <c r="N93" t="inlineStr">
        <is>
          <t>K</t>
        </is>
      </c>
      <c r="O93" t="inlineStr">
        <is>
          <t>20230731</t>
        </is>
      </c>
      <c r="P93" t="inlineStr">
        <is>
          <t>Sulawesi Tenggara</t>
        </is>
      </c>
      <c r="Q93" t="inlineStr"/>
    </row>
    <row r="94">
      <c r="A94" t="inlineStr">
        <is>
          <t>PAJAR INDRA PROPERTINDO</t>
        </is>
      </c>
      <c r="B94" t="inlineStr">
        <is>
          <t>Kota Jambi</t>
        </is>
      </c>
      <c r="C94" t="inlineStr">
        <is>
          <t>07413041400</t>
        </is>
      </c>
      <c r="D94" t="inlineStr">
        <is>
          <t>santarfexjaya.property1901@gmail.com</t>
        </is>
      </c>
      <c r="E94" t="inlineStr">
        <is>
          <t>https://lpjk.pu.go.id/search-badan-usaha-detail/aE9CMjZFVEdwWXIwWDh4TjJjYWM3UT09</t>
        </is>
      </c>
      <c r="F94" t="n">
        <v>1</v>
      </c>
      <c r="G94" t="inlineStr">
        <is>
          <t>BS001</t>
        </is>
      </c>
      <c r="H94" t="inlineStr">
        <is>
          <t>19 Januari 2016</t>
        </is>
      </c>
      <c r="I94" s="2" t="n">
        <v>46235</v>
      </c>
      <c r="J94" t="inlineStr">
        <is>
          <t>Disetujui</t>
        </is>
      </c>
      <c r="K94" t="n">
        <v>30</v>
      </c>
      <c r="L94" t="inlineStr">
        <is>
          <t>1 Agustus 2026</t>
        </is>
      </c>
      <c r="M94" t="inlineStr">
        <is>
          <t>Konstruksi Bangunan Sipil Jalan</t>
        </is>
      </c>
      <c r="N94" t="inlineStr">
        <is>
          <t>K</t>
        </is>
      </c>
      <c r="O94" t="inlineStr">
        <is>
          <t>20230626</t>
        </is>
      </c>
      <c r="P94" t="inlineStr">
        <is>
          <t>Jambi</t>
        </is>
      </c>
      <c r="Q94" t="inlineStr"/>
    </row>
    <row r="95">
      <c r="A95" t="inlineStr">
        <is>
          <t>PANCA UTAMA SEJATI</t>
        </is>
      </c>
      <c r="B95" t="inlineStr">
        <is>
          <t>Kota Batam</t>
        </is>
      </c>
      <c r="C95" t="inlineStr">
        <is>
          <t>0778472054</t>
        </is>
      </c>
      <c r="D95" t="inlineStr">
        <is>
          <t>pus.batam@pancautama.com</t>
        </is>
      </c>
      <c r="E95" t="inlineStr">
        <is>
          <t>https://lpjk.pu.go.id/search-badan-usaha-detail/bFJWTjQ2cDNhOWxEYTBrYVVFcVF5dz09</t>
        </is>
      </c>
      <c r="F95" t="n">
        <v>2</v>
      </c>
      <c r="G95" t="inlineStr">
        <is>
          <t>IN001, IN004</t>
        </is>
      </c>
      <c r="H95" t="inlineStr">
        <is>
          <t>26 Desember 2005</t>
        </is>
      </c>
      <c r="I95" s="2" t="n">
        <v>46235</v>
      </c>
      <c r="J95" t="inlineStr">
        <is>
          <t>Disetujui</t>
        </is>
      </c>
      <c r="K95" t="n">
        <v>30</v>
      </c>
      <c r="L95" t="inlineStr">
        <is>
          <t>1 Agustus 2026</t>
        </is>
      </c>
      <c r="M95" t="inlineStr">
        <is>
          <t>Instalasi Mekanikal, Instalasi Minyak dan Gas</t>
        </is>
      </c>
      <c r="N95" t="inlineStr">
        <is>
          <t>Spesialis</t>
        </is>
      </c>
      <c r="O95" t="inlineStr">
        <is>
          <t>20230626, 20230801</t>
        </is>
      </c>
      <c r="P95" t="inlineStr">
        <is>
          <t>Kepulauan Riau</t>
        </is>
      </c>
      <c r="Q95" t="inlineStr"/>
    </row>
    <row r="96">
      <c r="A96" t="inlineStr">
        <is>
          <t>PASIR PUTIH</t>
        </is>
      </c>
      <c r="B96" t="inlineStr">
        <is>
          <t>Kab. Bima</t>
        </is>
      </c>
      <c r="C96" t="inlineStr">
        <is>
          <t>085205403102</t>
        </is>
      </c>
      <c r="D96" t="inlineStr">
        <is>
          <t>pasirputihcv2023@gmail.com</t>
        </is>
      </c>
      <c r="E96" t="inlineStr">
        <is>
          <t>https://lpjk.pu.go.id/search-badan-usaha-detail/OUdYZGhvV055eDA0YnkxQjdlZXJOdz09</t>
        </is>
      </c>
      <c r="F96" t="n">
        <v>1</v>
      </c>
      <c r="G96" t="inlineStr">
        <is>
          <t>BS001</t>
        </is>
      </c>
      <c r="H96" t="inlineStr">
        <is>
          <t>8 Juli 1975</t>
        </is>
      </c>
      <c r="I96" s="2" t="n">
        <v>46235</v>
      </c>
      <c r="J96" t="inlineStr">
        <is>
          <t>Disetujui</t>
        </is>
      </c>
      <c r="K96" t="n">
        <v>30</v>
      </c>
      <c r="L96" t="inlineStr">
        <is>
          <t>1 Agustus 2026</t>
        </is>
      </c>
      <c r="M96" t="inlineStr">
        <is>
          <t>Konstruksi Bangunan Sipil Jalan</t>
        </is>
      </c>
      <c r="N96" t="inlineStr">
        <is>
          <t>K</t>
        </is>
      </c>
      <c r="O96" t="inlineStr">
        <is>
          <t>20230725</t>
        </is>
      </c>
      <c r="P96" t="inlineStr">
        <is>
          <t>Nusa Tenggara Barat</t>
        </is>
      </c>
      <c r="Q96" t="inlineStr"/>
    </row>
    <row r="97">
      <c r="A97" t="inlineStr">
        <is>
          <t>PIJAR PERSADA NUSANTARA</t>
        </is>
      </c>
      <c r="B97" t="inlineStr">
        <is>
          <t>Kota Batam</t>
        </is>
      </c>
      <c r="C97" t="inlineStr">
        <is>
          <t>08122099006</t>
        </is>
      </c>
      <c r="D97" t="inlineStr">
        <is>
          <t>ptpijarpersadanusantara01@gmail.com</t>
        </is>
      </c>
      <c r="E97" t="inlineStr">
        <is>
          <t>https://lpjk.pu.go.id/search-badan-usaha-detail/MGdnbHowVWxQcVFld21jVFh2cW9EQT09</t>
        </is>
      </c>
      <c r="F97" t="n">
        <v>1</v>
      </c>
      <c r="G97" t="inlineStr">
        <is>
          <t>BG002</t>
        </is>
      </c>
      <c r="H97" t="inlineStr">
        <is>
          <t>27 Agustus 2008</t>
        </is>
      </c>
      <c r="I97" s="2" t="n">
        <v>46235</v>
      </c>
      <c r="J97" t="inlineStr">
        <is>
          <t>Disetujui</t>
        </is>
      </c>
      <c r="K97" t="n">
        <v>30</v>
      </c>
      <c r="L97" t="inlineStr">
        <is>
          <t>1 Agustus 2026</t>
        </is>
      </c>
      <c r="M97" t="inlineStr">
        <is>
          <t>Konstruksi Gedung Perkantoran</t>
        </is>
      </c>
      <c r="N97" t="inlineStr">
        <is>
          <t>K</t>
        </is>
      </c>
      <c r="O97" t="inlineStr">
        <is>
          <t>20230726</t>
        </is>
      </c>
      <c r="P97" t="inlineStr">
        <is>
          <t>Kepulauan Riau</t>
        </is>
      </c>
      <c r="Q97" t="inlineStr"/>
    </row>
    <row r="98">
      <c r="A98" t="inlineStr">
        <is>
          <t>PILAR PERKASA MANDIRI</t>
        </is>
      </c>
      <c r="B98" t="inlineStr">
        <is>
          <t>Kota Surabaya</t>
        </is>
      </c>
      <c r="C98" t="inlineStr">
        <is>
          <t>081330788408</t>
        </is>
      </c>
      <c r="D98" t="inlineStr">
        <is>
          <t>cvpilarperkasamandiri@gmail.com</t>
        </is>
      </c>
      <c r="E98" t="inlineStr">
        <is>
          <t>https://lpjk.pu.go.id/search-badan-usaha-detail/MGZ4eUhhQk5pVXRHZXcrWmF3OGhkZz09</t>
        </is>
      </c>
      <c r="F98" t="n">
        <v>1</v>
      </c>
      <c r="G98" t="inlineStr">
        <is>
          <t>BS004</t>
        </is>
      </c>
      <c r="H98" t="inlineStr">
        <is>
          <t>14 Maret 2023</t>
        </is>
      </c>
      <c r="I98" s="2" t="n">
        <v>46235</v>
      </c>
      <c r="J98" t="inlineStr">
        <is>
          <t>Pencabutan</t>
        </is>
      </c>
      <c r="K98" t="n">
        <v>30</v>
      </c>
      <c r="L98" t="inlineStr">
        <is>
          <t>1 Agustus 2026</t>
        </is>
      </c>
      <c r="M98" t="inlineStr">
        <is>
          <t>Konstruksi Jaringan Irigasi dan Drainase</t>
        </is>
      </c>
      <c r="N98" t="inlineStr">
        <is>
          <t>K</t>
        </is>
      </c>
      <c r="O98" t="inlineStr">
        <is>
          <t>20230731</t>
        </is>
      </c>
      <c r="P98" t="inlineStr">
        <is>
          <t>Jawa Timur</t>
        </is>
      </c>
      <c r="Q98" t="inlineStr"/>
    </row>
    <row r="99">
      <c r="A99" t="inlineStr">
        <is>
          <t>PIRAMIDA PRATAMA</t>
        </is>
      </c>
      <c r="B99" t="inlineStr">
        <is>
          <t>Kab. Jember</t>
        </is>
      </c>
      <c r="C99" t="inlineStr">
        <is>
          <t>0811352950</t>
        </is>
      </c>
      <c r="D99" t="inlineStr">
        <is>
          <t>piramidapratama.cv@gmail.com</t>
        </is>
      </c>
      <c r="E99" t="inlineStr">
        <is>
          <t>https://lpjk.pu.go.id/search-badan-usaha-detail/OU51dEFwcmJYb2k5MG5kV3hRSXgzZz09</t>
        </is>
      </c>
      <c r="F99" t="n">
        <v>1</v>
      </c>
      <c r="G99" t="inlineStr">
        <is>
          <t>RK001</t>
        </is>
      </c>
      <c r="H99" t="inlineStr">
        <is>
          <t>15 April 1994</t>
        </is>
      </c>
      <c r="I99" s="2" t="n">
        <v>46235</v>
      </c>
      <c r="J99" t="inlineStr">
        <is>
          <t>Disetujui</t>
        </is>
      </c>
      <c r="K99" t="n">
        <v>30</v>
      </c>
      <c r="L99" t="inlineStr">
        <is>
          <t>1 Agustus 2026</t>
        </is>
      </c>
      <c r="M99" t="inlineStr">
        <is>
          <t>Jasa Rekayasa Konstruksi Bangunan Gedung Hunian dan Non Hunian</t>
        </is>
      </c>
      <c r="N99" t="inlineStr">
        <is>
          <t>K</t>
        </is>
      </c>
      <c r="O99" t="inlineStr">
        <is>
          <t>20230726</t>
        </is>
      </c>
      <c r="P99" t="inlineStr">
        <is>
          <t>Jawa Timur</t>
        </is>
      </c>
      <c r="Q99" t="inlineStr"/>
    </row>
    <row r="100">
      <c r="A100" t="inlineStr">
        <is>
          <t>PRIMA ADI JAYA</t>
        </is>
      </c>
      <c r="B100" t="inlineStr">
        <is>
          <t>Kab. Jombang</t>
        </is>
      </c>
      <c r="C100" t="inlineStr">
        <is>
          <t>085655339990</t>
        </is>
      </c>
      <c r="D100" t="inlineStr">
        <is>
          <t>primaadijaya.cv@gmail.com</t>
        </is>
      </c>
      <c r="E100" t="inlineStr">
        <is>
          <t>https://lpjk.pu.go.id/search-badan-usaha-detail/YSs1UU9PL1h4M2JYcG5jSkx1bkNXdz09</t>
        </is>
      </c>
      <c r="F100" t="n">
        <v>1</v>
      </c>
      <c r="G100" t="inlineStr">
        <is>
          <t>BS004</t>
        </is>
      </c>
      <c r="H100" t="inlineStr">
        <is>
          <t>19 Desember 2007</t>
        </is>
      </c>
      <c r="I100" s="2" t="n">
        <v>46235</v>
      </c>
      <c r="J100" t="inlineStr">
        <is>
          <t>Disetujui</t>
        </is>
      </c>
      <c r="K100" t="n">
        <v>30</v>
      </c>
      <c r="L100" t="inlineStr">
        <is>
          <t>1 Agustus 2026</t>
        </is>
      </c>
      <c r="M100" t="inlineStr">
        <is>
          <t>Konstruksi Jaringan Irigasi dan Drainase</t>
        </is>
      </c>
      <c r="N100" t="inlineStr">
        <is>
          <t>K</t>
        </is>
      </c>
      <c r="O100" t="inlineStr">
        <is>
          <t>20230717</t>
        </is>
      </c>
      <c r="P100" t="inlineStr">
        <is>
          <t>Jawa Timur</t>
        </is>
      </c>
      <c r="Q100" t="inlineStr"/>
    </row>
    <row r="101">
      <c r="A101" t="inlineStr">
        <is>
          <t>PRIMA SINDO</t>
        </is>
      </c>
      <c r="B101" t="inlineStr">
        <is>
          <t>Kota Madiun</t>
        </is>
      </c>
      <c r="C101" t="inlineStr">
        <is>
          <t>081259466271</t>
        </is>
      </c>
      <c r="D101" t="inlineStr">
        <is>
          <t>cv.primasindo@gmail.com</t>
        </is>
      </c>
      <c r="E101" t="inlineStr">
        <is>
          <t>https://lpjk.pu.go.id/search-badan-usaha-detail/R29TS3RvMXA2R25HUFJML2VvVFppdz09</t>
        </is>
      </c>
      <c r="F101" t="n">
        <v>1</v>
      </c>
      <c r="G101" t="inlineStr">
        <is>
          <t>BS004</t>
        </is>
      </c>
      <c r="H101" t="inlineStr">
        <is>
          <t>21 November 2001</t>
        </is>
      </c>
      <c r="I101" s="2" t="n">
        <v>46235</v>
      </c>
      <c r="J101" t="inlineStr">
        <is>
          <t>Disetujui</t>
        </is>
      </c>
      <c r="K101" t="n">
        <v>30</v>
      </c>
      <c r="L101" t="inlineStr">
        <is>
          <t>1 Agustus 2026</t>
        </is>
      </c>
      <c r="M101" t="inlineStr">
        <is>
          <t>Konstruksi Jaringan Irigasi dan Drainase</t>
        </is>
      </c>
      <c r="N101" t="inlineStr">
        <is>
          <t>K</t>
        </is>
      </c>
      <c r="O101" t="inlineStr">
        <is>
          <t>20230725</t>
        </is>
      </c>
      <c r="P101" t="inlineStr">
        <is>
          <t>Jawa Timur</t>
        </is>
      </c>
      <c r="Q101" t="inlineStr"/>
    </row>
    <row r="102">
      <c r="A102" t="inlineStr">
        <is>
          <t>PRIMAGUNATEK SURYA PERSADA</t>
        </is>
      </c>
      <c r="B102" t="inlineStr">
        <is>
          <t>Kota Tangerang</t>
        </is>
      </c>
      <c r="C102" t="inlineStr">
        <is>
          <t>081380688805</t>
        </is>
      </c>
      <c r="D102" t="inlineStr">
        <is>
          <t>primagunateksuryapersada@gmail.com</t>
        </is>
      </c>
      <c r="E102" t="inlineStr">
        <is>
          <t>https://lpjk.pu.go.id/search-badan-usaha-detail/Z3h0dUlTVWU4VTZsd3k1NmI3NG54QT09</t>
        </is>
      </c>
      <c r="F102" t="n">
        <v>4</v>
      </c>
      <c r="G102" t="inlineStr">
        <is>
          <t>BG001, BG002, BG004, BS001</t>
        </is>
      </c>
      <c r="H102" t="inlineStr">
        <is>
          <t>20 November 2019</t>
        </is>
      </c>
      <c r="I102" s="2" t="n">
        <v>46235</v>
      </c>
      <c r="J102" t="inlineStr">
        <is>
          <t>Disetujui</t>
        </is>
      </c>
      <c r="K102" t="n">
        <v>30</v>
      </c>
      <c r="L102" t="inlineStr">
        <is>
          <t>1 Agustus 2026</t>
        </is>
      </c>
      <c r="M102" t="inlineStr">
        <is>
          <t>Konstruksi Bangunan Sipil Jalan, Konstruksi Gedung Hunian, Konstruksi Gedung Perbelanjaan, Konstruksi Gedung Perkantoran</t>
        </is>
      </c>
      <c r="N102" t="inlineStr">
        <is>
          <t>K</t>
        </is>
      </c>
      <c r="O102" t="inlineStr">
        <is>
          <t>20230717</t>
        </is>
      </c>
      <c r="P102" t="inlineStr">
        <is>
          <t>Banten</t>
        </is>
      </c>
      <c r="Q102" t="inlineStr"/>
    </row>
    <row r="103">
      <c r="A103" t="inlineStr">
        <is>
          <t>PRISMA INDO KONSULTAN</t>
        </is>
      </c>
      <c r="B103" t="inlineStr">
        <is>
          <t>Kota Madiun</t>
        </is>
      </c>
      <c r="C103" t="inlineStr">
        <is>
          <t>081357533033</t>
        </is>
      </c>
      <c r="D103" t="inlineStr">
        <is>
          <t>prismaindo.konsultan@gmail.com</t>
        </is>
      </c>
      <c r="E103" t="inlineStr">
        <is>
          <t>https://lpjk.pu.go.id/search-badan-usaha-detail/Unk2SmRvWms1bTlqYWIzSUZ2R1I0QT09</t>
        </is>
      </c>
      <c r="F103" t="n">
        <v>3</v>
      </c>
      <c r="G103" t="inlineStr">
        <is>
          <t>RK001, RK002, RK003</t>
        </is>
      </c>
      <c r="H103" t="inlineStr">
        <is>
          <t>6 Juli 2023</t>
        </is>
      </c>
      <c r="I103" s="2" t="n">
        <v>46235</v>
      </c>
      <c r="J103" t="inlineStr">
        <is>
          <t>Disetujui</t>
        </is>
      </c>
      <c r="K103" t="n">
        <v>30</v>
      </c>
      <c r="L103" t="inlineStr">
        <is>
          <t>1 Agustus 2026</t>
        </is>
      </c>
      <c r="M103" t="inlineStr">
        <is>
          <t>Jasa Rekayasa Konstruksi Bangunan Gedung Hunian dan Non Hunian, Jasa Rekayasa Pekerjaan Teknik Sipil Sumber Daya Air, Jasa Rekayasa Pekerjaan Teknik Sipil Transportasi</t>
        </is>
      </c>
      <c r="N103" t="inlineStr">
        <is>
          <t>K</t>
        </is>
      </c>
      <c r="O103" t="inlineStr">
        <is>
          <t>20230728</t>
        </is>
      </c>
      <c r="P103" t="inlineStr">
        <is>
          <t>Jawa Timur</t>
        </is>
      </c>
      <c r="Q103" t="inlineStr"/>
    </row>
    <row r="104">
      <c r="A104" t="inlineStr">
        <is>
          <t>PURI'S</t>
        </is>
      </c>
      <c r="B104" t="inlineStr">
        <is>
          <t>Kota Bandung</t>
        </is>
      </c>
      <c r="C104" t="inlineStr">
        <is>
          <t>085720282820</t>
        </is>
      </c>
      <c r="D104" t="inlineStr">
        <is>
          <t>puris.cv@gmail.com</t>
        </is>
      </c>
      <c r="E104" t="inlineStr">
        <is>
          <t>https://lpjk.pu.go.id/search-badan-usaha-detail/WGExK2VrbVJFUGtMR3E3bEJhckVnQT09</t>
        </is>
      </c>
      <c r="F104" t="n">
        <v>1</v>
      </c>
      <c r="G104" t="inlineStr">
        <is>
          <t>RK005</t>
        </is>
      </c>
      <c r="H104" t="inlineStr">
        <is>
          <t>23 Desember 2004</t>
        </is>
      </c>
      <c r="I104" s="2" t="n">
        <v>46235</v>
      </c>
      <c r="J104" t="inlineStr">
        <is>
          <t>Disetujui</t>
        </is>
      </c>
      <c r="K104" t="n">
        <v>30</v>
      </c>
      <c r="L104" t="inlineStr">
        <is>
          <t>1 Agustus 2026</t>
        </is>
      </c>
      <c r="M104" t="inlineStr">
        <is>
          <t>Jasa Rekayasa Lainnya</t>
        </is>
      </c>
      <c r="N104" t="inlineStr">
        <is>
          <t>K</t>
        </is>
      </c>
      <c r="O104" t="inlineStr">
        <is>
          <t>20230724</t>
        </is>
      </c>
      <c r="P104" t="inlineStr">
        <is>
          <t>Jawa Barat</t>
        </is>
      </c>
      <c r="Q104" t="inlineStr"/>
    </row>
    <row r="105">
      <c r="A105" t="inlineStr">
        <is>
          <t>PUTRA BAHARI ENGINEERING</t>
        </is>
      </c>
      <c r="B105" t="inlineStr">
        <is>
          <t>Kota Palangkaraya</t>
        </is>
      </c>
      <c r="C105" t="inlineStr">
        <is>
          <t>081255635063</t>
        </is>
      </c>
      <c r="D105" t="inlineStr">
        <is>
          <t>putrabahariengineering@gmail.com</t>
        </is>
      </c>
      <c r="E105" t="inlineStr">
        <is>
          <t>https://lpjk.pu.go.id/search-badan-usaha-detail/UHhsRXRZS3R3VzQ4VTQ2N1dJM2phQT09</t>
        </is>
      </c>
      <c r="F105" t="n">
        <v>1</v>
      </c>
      <c r="G105" t="inlineStr">
        <is>
          <t>RK003</t>
        </is>
      </c>
      <c r="H105" t="inlineStr">
        <is>
          <t>16 Februari 2016</t>
        </is>
      </c>
      <c r="I105" s="2" t="n">
        <v>46235</v>
      </c>
      <c r="J105" t="inlineStr">
        <is>
          <t>Disetujui</t>
        </is>
      </c>
      <c r="K105" t="n">
        <v>30</v>
      </c>
      <c r="L105" t="inlineStr">
        <is>
          <t>1 Agustus 2026</t>
        </is>
      </c>
      <c r="M105" t="inlineStr">
        <is>
          <t>Jasa Rekayasa Pekerjaan Teknik Sipil Transportasi</t>
        </is>
      </c>
      <c r="N105" t="inlineStr">
        <is>
          <t>K</t>
        </is>
      </c>
      <c r="O105" t="inlineStr">
        <is>
          <t>20230414</t>
        </is>
      </c>
      <c r="P105" t="inlineStr">
        <is>
          <t>Kalimantan Tengah</t>
        </is>
      </c>
      <c r="Q105" t="inlineStr"/>
    </row>
    <row r="106">
      <c r="A106" t="inlineStr">
        <is>
          <t>PUTRA MERDEKA KONSTRUKSI</t>
        </is>
      </c>
      <c r="B106" t="inlineStr">
        <is>
          <t>Kab. Maros</t>
        </is>
      </c>
      <c r="C106" t="inlineStr">
        <is>
          <t>082292624555</t>
        </is>
      </c>
      <c r="D106" t="inlineStr">
        <is>
          <t>putramerdekakonstruksi@gmail.com</t>
        </is>
      </c>
      <c r="E106" t="inlineStr">
        <is>
          <t>https://lpjk.pu.go.id/search-badan-usaha-detail/NWJmdkgvdUZzaXNEUFgzRWVUOVFEdz09</t>
        </is>
      </c>
      <c r="F106" t="n">
        <v>1</v>
      </c>
      <c r="G106" t="inlineStr">
        <is>
          <t>BG009</t>
        </is>
      </c>
      <c r="H106" t="inlineStr">
        <is>
          <t>21 November 2022</t>
        </is>
      </c>
      <c r="I106" s="2" t="n">
        <v>46235</v>
      </c>
      <c r="J106" t="inlineStr">
        <is>
          <t>Disetujui</t>
        </is>
      </c>
      <c r="K106" t="n">
        <v>30</v>
      </c>
      <c r="L106" t="inlineStr">
        <is>
          <t>1 Agustus 2026</t>
        </is>
      </c>
      <c r="M106" t="inlineStr">
        <is>
          <t>Konstruksi Gedung Lainnya</t>
        </is>
      </c>
      <c r="N106" t="inlineStr">
        <is>
          <t>K</t>
        </is>
      </c>
      <c r="O106" t="inlineStr">
        <is>
          <t>20230801</t>
        </is>
      </c>
      <c r="P106" t="inlineStr">
        <is>
          <t>Sulawesi Selatan</t>
        </is>
      </c>
      <c r="Q106" t="inlineStr"/>
    </row>
    <row r="107">
      <c r="A107" t="inlineStr">
        <is>
          <t>PUTRA PRATAMA</t>
        </is>
      </c>
      <c r="B107" t="inlineStr">
        <is>
          <t>Kab. Mandailing Natal</t>
        </is>
      </c>
      <c r="C107" t="inlineStr">
        <is>
          <t>081265116222</t>
        </is>
      </c>
      <c r="D107" t="inlineStr">
        <is>
          <t>cv.putra_pratama23@yahoo.com</t>
        </is>
      </c>
      <c r="E107" t="inlineStr">
        <is>
          <t>https://lpjk.pu.go.id/search-badan-usaha-detail/MGYyZHdnTmFmbmRuUTBDWkZCMFlXUT09</t>
        </is>
      </c>
      <c r="F107" t="n">
        <v>1</v>
      </c>
      <c r="G107" t="inlineStr">
        <is>
          <t>BG009</t>
        </is>
      </c>
      <c r="H107" t="inlineStr">
        <is>
          <t>18 Juli 2016</t>
        </is>
      </c>
      <c r="I107" s="2" t="n">
        <v>46235</v>
      </c>
      <c r="J107" t="inlineStr">
        <is>
          <t>Disetujui</t>
        </is>
      </c>
      <c r="K107" t="n">
        <v>30</v>
      </c>
      <c r="L107" t="inlineStr">
        <is>
          <t>1 Agustus 2026</t>
        </is>
      </c>
      <c r="M107" t="inlineStr">
        <is>
          <t>Konstruksi Gedung Lainnya</t>
        </is>
      </c>
      <c r="N107" t="inlineStr">
        <is>
          <t>K</t>
        </is>
      </c>
      <c r="O107" t="inlineStr">
        <is>
          <t>20230728</t>
        </is>
      </c>
      <c r="P107" t="inlineStr">
        <is>
          <t>Sumatera Utara</t>
        </is>
      </c>
      <c r="Q107" t="inlineStr"/>
    </row>
    <row r="108">
      <c r="A108" t="inlineStr">
        <is>
          <t>PUTRA PURBATUA</t>
        </is>
      </c>
      <c r="B108" t="inlineStr">
        <is>
          <t>Kota Tangerang Selatan</t>
        </is>
      </c>
      <c r="C108" t="inlineStr">
        <is>
          <t>081380885551</t>
        </is>
      </c>
      <c r="D108" t="inlineStr">
        <is>
          <t>putra.purbatua@gmail.com</t>
        </is>
      </c>
      <c r="E108" t="inlineStr">
        <is>
          <t>https://lpjk.pu.go.id/search-badan-usaha-detail/YWxwUDFjRS8rVVR5SjM1bU85SFJmQT09</t>
        </is>
      </c>
      <c r="F108" t="n">
        <v>1</v>
      </c>
      <c r="G108" t="inlineStr">
        <is>
          <t>BS001</t>
        </is>
      </c>
      <c r="H108" t="inlineStr">
        <is>
          <t>8 November 2013</t>
        </is>
      </c>
      <c r="I108" s="2" t="n">
        <v>46235</v>
      </c>
      <c r="J108" t="inlineStr">
        <is>
          <t>Disetujui</t>
        </is>
      </c>
      <c r="K108" t="n">
        <v>30</v>
      </c>
      <c r="L108" t="inlineStr">
        <is>
          <t>1 Agustus 2026</t>
        </is>
      </c>
      <c r="M108" t="inlineStr">
        <is>
          <t>Konstruksi Bangunan Sipil Jalan</t>
        </is>
      </c>
      <c r="N108" t="inlineStr">
        <is>
          <t>K</t>
        </is>
      </c>
      <c r="O108" t="inlineStr">
        <is>
          <t>20230801</t>
        </is>
      </c>
      <c r="P108" t="inlineStr">
        <is>
          <t>Banten</t>
        </is>
      </c>
      <c r="Q108" t="inlineStr"/>
    </row>
    <row r="109">
      <c r="A109" t="inlineStr">
        <is>
          <t>PUTRI SIAK KECIL</t>
        </is>
      </c>
      <c r="B109" t="inlineStr">
        <is>
          <t>Kab. Bengkalis</t>
        </is>
      </c>
      <c r="C109" t="inlineStr">
        <is>
          <t>081277551000</t>
        </is>
      </c>
      <c r="D109" t="inlineStr">
        <is>
          <t>putrisiakkecil@gmail.com</t>
        </is>
      </c>
      <c r="E109" t="inlineStr">
        <is>
          <t>https://lpjk.pu.go.id/search-badan-usaha-detail/VklsM1p2OHRHSXFzSjBGQ0tLbUxPUT09</t>
        </is>
      </c>
      <c r="F109" t="n">
        <v>1</v>
      </c>
      <c r="G109" t="inlineStr">
        <is>
          <t>BS001</t>
        </is>
      </c>
      <c r="H109" t="inlineStr">
        <is>
          <t>20 Februari 2012</t>
        </is>
      </c>
      <c r="I109" s="2" t="n">
        <v>46235</v>
      </c>
      <c r="J109" t="inlineStr">
        <is>
          <t>Disetujui</t>
        </is>
      </c>
      <c r="K109" t="n">
        <v>30</v>
      </c>
      <c r="L109" t="inlineStr">
        <is>
          <t>1 Agustus 2026</t>
        </is>
      </c>
      <c r="M109" t="inlineStr">
        <is>
          <t>Konstruksi Bangunan Sipil Jalan</t>
        </is>
      </c>
      <c r="N109" t="inlineStr">
        <is>
          <t>K</t>
        </is>
      </c>
      <c r="O109" t="inlineStr">
        <is>
          <t>20230801</t>
        </is>
      </c>
      <c r="P109" t="inlineStr">
        <is>
          <t>Riau</t>
        </is>
      </c>
      <c r="Q109" t="inlineStr"/>
    </row>
    <row r="110">
      <c r="A110" t="inlineStr">
        <is>
          <t>RAIHAN PRIMA MANDIRI</t>
        </is>
      </c>
      <c r="B110" t="inlineStr">
        <is>
          <t>Kab. Kotawaringin Barat</t>
        </is>
      </c>
      <c r="C110" t="inlineStr">
        <is>
          <t>08125157941</t>
        </is>
      </c>
      <c r="D110" t="inlineStr">
        <is>
          <t>raihanprimamandiri@yahoo.co.id</t>
        </is>
      </c>
      <c r="E110" t="inlineStr">
        <is>
          <t>https://lpjk.pu.go.id/search-badan-usaha-detail/M1JjQVNWRDBJbW9DR0VMd1VIS1dUdz09</t>
        </is>
      </c>
      <c r="F110" t="n">
        <v>2</v>
      </c>
      <c r="G110" t="inlineStr">
        <is>
          <t>BG005</t>
        </is>
      </c>
      <c r="H110" t="inlineStr">
        <is>
          <t>21 Juni 2012</t>
        </is>
      </c>
      <c r="I110" s="2" t="n">
        <v>46235</v>
      </c>
      <c r="J110" t="inlineStr">
        <is>
          <t>Disetujui</t>
        </is>
      </c>
      <c r="K110" t="n">
        <v>30</v>
      </c>
      <c r="L110" t="inlineStr">
        <is>
          <t>1 Agustus 2026</t>
        </is>
      </c>
      <c r="M110" t="inlineStr">
        <is>
          <t>Konstruksi Gedung Kesehatan</t>
        </is>
      </c>
      <c r="N110" t="inlineStr">
        <is>
          <t>K</t>
        </is>
      </c>
      <c r="O110" t="inlineStr">
        <is>
          <t>20230726</t>
        </is>
      </c>
      <c r="P110" t="inlineStr">
        <is>
          <t>Kalimantan Tengah</t>
        </is>
      </c>
      <c r="Q110" t="inlineStr"/>
    </row>
    <row r="111">
      <c r="A111" t="inlineStr">
        <is>
          <t>RAMA WIJAYA</t>
        </is>
      </c>
      <c r="B111" t="inlineStr">
        <is>
          <t>Kab. Banyuwangi</t>
        </is>
      </c>
      <c r="C111" t="inlineStr">
        <is>
          <t>082334204747</t>
        </is>
      </c>
      <c r="D111" t="inlineStr">
        <is>
          <t>rama.wijaya_bwi@yahoo.com</t>
        </is>
      </c>
      <c r="E111" t="inlineStr">
        <is>
          <t>https://lpjk.pu.go.id/search-badan-usaha-detail/OUdLK2xPK01QdmlsV1Q3K0h3aE50UT09</t>
        </is>
      </c>
      <c r="F111" t="n">
        <v>1</v>
      </c>
      <c r="G111" t="inlineStr">
        <is>
          <t>BS004</t>
        </is>
      </c>
      <c r="H111" t="inlineStr">
        <is>
          <t>21 Januari 1998</t>
        </is>
      </c>
      <c r="I111" s="2" t="n">
        <v>46235</v>
      </c>
      <c r="J111" t="inlineStr">
        <is>
          <t>Disetujui</t>
        </is>
      </c>
      <c r="K111" t="n">
        <v>30</v>
      </c>
      <c r="L111" t="inlineStr">
        <is>
          <t>1 Agustus 2026</t>
        </is>
      </c>
      <c r="M111" t="inlineStr">
        <is>
          <t>Konstruksi Jaringan Irigasi dan Drainase</t>
        </is>
      </c>
      <c r="N111" t="inlineStr">
        <is>
          <t>K</t>
        </is>
      </c>
      <c r="O111" t="inlineStr">
        <is>
          <t>20230728</t>
        </is>
      </c>
      <c r="P111" t="inlineStr">
        <is>
          <t>Jawa Timur</t>
        </is>
      </c>
      <c r="Q111" t="inlineStr"/>
    </row>
    <row r="112">
      <c r="A112" t="inlineStr">
        <is>
          <t>REKAYASA KONSULTINDO</t>
        </is>
      </c>
      <c r="B112" t="inlineStr">
        <is>
          <t>Kab. Mimika</t>
        </is>
      </c>
      <c r="C112" t="inlineStr">
        <is>
          <t>081245385187</t>
        </is>
      </c>
      <c r="D112" t="inlineStr">
        <is>
          <t>cv.rekayasakonsultindo@gmail.com</t>
        </is>
      </c>
      <c r="E112" t="inlineStr">
        <is>
          <t>https://lpjk.pu.go.id/search-badan-usaha-detail/N1l3RjZtMHppZGNGaUgwdkRaMnNIUT09</t>
        </is>
      </c>
      <c r="F112" t="n">
        <v>4</v>
      </c>
      <c r="G112" t="inlineStr">
        <is>
          <t>RK001, RK003</t>
        </is>
      </c>
      <c r="H112" t="inlineStr">
        <is>
          <t>20 Mei 2021</t>
        </is>
      </c>
      <c r="I112" s="2" t="n">
        <v>46235</v>
      </c>
      <c r="J112" t="inlineStr">
        <is>
          <t>Disetujui</t>
        </is>
      </c>
      <c r="K112" t="n">
        <v>30</v>
      </c>
      <c r="L112" t="inlineStr">
        <is>
          <t>1 Agustus 2026</t>
        </is>
      </c>
      <c r="M112" t="inlineStr">
        <is>
          <t>Jasa Rekayasa Konstruksi Bangunan Gedung Hunian dan Non Hunian, Jasa Rekayasa Pekerjaan Teknik Sipil Transportasi</t>
        </is>
      </c>
      <c r="N112" t="inlineStr">
        <is>
          <t>K</t>
        </is>
      </c>
      <c r="O112" t="inlineStr">
        <is>
          <t>20230726, 20230727</t>
        </is>
      </c>
      <c r="P112" t="inlineStr">
        <is>
          <t>Papua</t>
        </is>
      </c>
      <c r="Q112" t="inlineStr"/>
    </row>
    <row r="113">
      <c r="A113" t="inlineStr">
        <is>
          <t>RESPATI BIMANTARA</t>
        </is>
      </c>
      <c r="B113" t="inlineStr">
        <is>
          <t>Kab. Jember</t>
        </is>
      </c>
      <c r="C113" t="inlineStr">
        <is>
          <t>085749314849</t>
        </is>
      </c>
      <c r="D113" t="inlineStr">
        <is>
          <t>respatibimantara04@gmail.com</t>
        </is>
      </c>
      <c r="E113" t="inlineStr">
        <is>
          <t>https://lpjk.pu.go.id/search-badan-usaha-detail/VFdQQldkdXdFa09wS1Q4OXVEOG11QT09</t>
        </is>
      </c>
      <c r="F113" t="n">
        <v>1</v>
      </c>
      <c r="G113" t="inlineStr">
        <is>
          <t>BG005</t>
        </is>
      </c>
      <c r="H113" t="inlineStr">
        <is>
          <t>16 Juni 2022</t>
        </is>
      </c>
      <c r="I113" s="2" t="n">
        <v>46235</v>
      </c>
      <c r="J113" t="inlineStr">
        <is>
          <t>Disetujui</t>
        </is>
      </c>
      <c r="K113" t="n">
        <v>30</v>
      </c>
      <c r="L113" t="inlineStr">
        <is>
          <t>1 Agustus 2026</t>
        </is>
      </c>
      <c r="M113" t="inlineStr">
        <is>
          <t>Konstruksi Gedung Kesehatan</t>
        </is>
      </c>
      <c r="N113" t="inlineStr">
        <is>
          <t>K</t>
        </is>
      </c>
      <c r="O113" t="inlineStr">
        <is>
          <t>20230614</t>
        </is>
      </c>
      <c r="P113" t="inlineStr">
        <is>
          <t>Jawa Timur</t>
        </is>
      </c>
      <c r="Q113" t="inlineStr"/>
    </row>
    <row r="114">
      <c r="A114" t="inlineStr">
        <is>
          <t>REZA TEKNIK MANDIRI</t>
        </is>
      </c>
      <c r="B114" t="inlineStr">
        <is>
          <t>Kota Jambi</t>
        </is>
      </c>
      <c r="C114" t="inlineStr">
        <is>
          <t>081260199262</t>
        </is>
      </c>
      <c r="D114" t="inlineStr">
        <is>
          <t>081260199262</t>
        </is>
      </c>
      <c r="E114" t="inlineStr">
        <is>
          <t>https://lpjk.pu.go.id/search-badan-usaha-detail/RHpja1YwSzRTZkpwalNHWWdQSUVaZz09</t>
        </is>
      </c>
      <c r="F114" t="n">
        <v>3</v>
      </c>
      <c r="G114" t="inlineStr">
        <is>
          <t>BG002, BG005, BG009</t>
        </is>
      </c>
      <c r="H114" t="inlineStr">
        <is>
          <t>9 Februari 2015</t>
        </is>
      </c>
      <c r="I114" s="2" t="n">
        <v>46235</v>
      </c>
      <c r="J114" t="inlineStr">
        <is>
          <t>Disetujui</t>
        </is>
      </c>
      <c r="K114" t="n">
        <v>30</v>
      </c>
      <c r="L114" t="inlineStr">
        <is>
          <t>1 Agustus 2026</t>
        </is>
      </c>
      <c r="M114" t="inlineStr">
        <is>
          <t>Konstruksi Gedung Kesehatan, Konstruksi Gedung Lainnya, Konstruksi Gedung Perkantoran</t>
        </is>
      </c>
      <c r="N114" t="inlineStr">
        <is>
          <t>K</t>
        </is>
      </c>
      <c r="O114" t="inlineStr">
        <is>
          <t>20230802</t>
        </is>
      </c>
      <c r="P114" t="inlineStr">
        <is>
          <t>Jambi</t>
        </is>
      </c>
      <c r="Q114" t="inlineStr"/>
    </row>
    <row r="115">
      <c r="A115" t="inlineStr">
        <is>
          <t>RIDHO</t>
        </is>
      </c>
      <c r="B115" t="inlineStr">
        <is>
          <t>Kab. Sukabumi</t>
        </is>
      </c>
      <c r="C115" t="inlineStr">
        <is>
          <t>081219980123</t>
        </is>
      </c>
      <c r="D115" t="inlineStr">
        <is>
          <t>cvridhosukabumi@gmail.com</t>
        </is>
      </c>
      <c r="E115" t="inlineStr">
        <is>
          <t>https://lpjk.pu.go.id/search-badan-usaha-detail/VHVkSVFkZnQrWFZhQ085bUxNWHVQdz09</t>
        </is>
      </c>
      <c r="F115" t="n">
        <v>1</v>
      </c>
      <c r="G115" t="inlineStr">
        <is>
          <t>BG006</t>
        </is>
      </c>
      <c r="H115" t="inlineStr">
        <is>
          <t>11 November 2011</t>
        </is>
      </c>
      <c r="I115" s="2" t="n">
        <v>46235</v>
      </c>
      <c r="J115" t="inlineStr">
        <is>
          <t>Disetujui</t>
        </is>
      </c>
      <c r="K115" t="n">
        <v>30</v>
      </c>
      <c r="L115" t="inlineStr">
        <is>
          <t>1 Agustus 2026</t>
        </is>
      </c>
      <c r="M115" t="inlineStr">
        <is>
          <t>Konstruksi Gedung Pendidikan</t>
        </is>
      </c>
      <c r="N115" t="inlineStr">
        <is>
          <t>K</t>
        </is>
      </c>
      <c r="O115" t="inlineStr">
        <is>
          <t>20230801</t>
        </is>
      </c>
      <c r="P115" t="inlineStr">
        <is>
          <t>Jawa Barat</t>
        </is>
      </c>
      <c r="Q115" t="inlineStr"/>
    </row>
    <row r="116">
      <c r="A116" t="inlineStr">
        <is>
          <t>RISKA PERMATA BERKAH</t>
        </is>
      </c>
      <c r="B116" t="inlineStr">
        <is>
          <t>Kab. Banggai</t>
        </is>
      </c>
      <c r="C116" t="inlineStr">
        <is>
          <t>082345359877</t>
        </is>
      </c>
      <c r="D116" t="inlineStr">
        <is>
          <t>cvriskapermataberkah@gmail.com</t>
        </is>
      </c>
      <c r="E116" t="inlineStr">
        <is>
          <t>https://lpjk.pu.go.id/search-badan-usaha-detail/bUk2Z3BtTEYyc3p6a0pzUWhtZGE2QT09</t>
        </is>
      </c>
      <c r="F116" t="n">
        <v>2</v>
      </c>
      <c r="G116" t="inlineStr">
        <is>
          <t>BG006, BS001</t>
        </is>
      </c>
      <c r="H116" t="inlineStr">
        <is>
          <t>20 Juli 2023</t>
        </is>
      </c>
      <c r="I116" s="2" t="n">
        <v>46235</v>
      </c>
      <c r="J116" t="inlineStr">
        <is>
          <t>Disetujui</t>
        </is>
      </c>
      <c r="K116" t="n">
        <v>30</v>
      </c>
      <c r="L116" t="inlineStr">
        <is>
          <t>1 Agustus 2026</t>
        </is>
      </c>
      <c r="M116" t="inlineStr">
        <is>
          <t>Konstruksi Bangunan Sipil Jalan, Konstruksi Gedung Pendidikan</t>
        </is>
      </c>
      <c r="N116" t="inlineStr">
        <is>
          <t>K</t>
        </is>
      </c>
      <c r="O116" t="inlineStr">
        <is>
          <t>20230801</t>
        </is>
      </c>
      <c r="P116" t="inlineStr">
        <is>
          <t>Sulawesi Tengah</t>
        </is>
      </c>
      <c r="Q116" t="inlineStr"/>
    </row>
    <row r="117">
      <c r="A117" t="inlineStr">
        <is>
          <t>RIZKI KARYA</t>
        </is>
      </c>
      <c r="B117" t="inlineStr">
        <is>
          <t>Kab. Mandailing Natal</t>
        </is>
      </c>
      <c r="C117" t="inlineStr">
        <is>
          <t>082164575757</t>
        </is>
      </c>
      <c r="D117" t="inlineStr">
        <is>
          <t>rizkikaryacv@gmail.com</t>
        </is>
      </c>
      <c r="E117" t="inlineStr">
        <is>
          <t>https://lpjk.pu.go.id/search-badan-usaha-detail/STgrU1BkTE1CMVZHa1d1ei9IODlSQT09</t>
        </is>
      </c>
      <c r="F117" t="n">
        <v>1</v>
      </c>
      <c r="G117" t="inlineStr">
        <is>
          <t>BG009</t>
        </is>
      </c>
      <c r="H117" t="inlineStr">
        <is>
          <t>15 September 2014</t>
        </is>
      </c>
      <c r="I117" s="2" t="n">
        <v>46235</v>
      </c>
      <c r="J117" t="inlineStr">
        <is>
          <t>Disetujui</t>
        </is>
      </c>
      <c r="K117" t="n">
        <v>30</v>
      </c>
      <c r="L117" t="inlineStr">
        <is>
          <t>1 Agustus 2026</t>
        </is>
      </c>
      <c r="M117" t="inlineStr">
        <is>
          <t>Konstruksi Gedung Lainnya</t>
        </is>
      </c>
      <c r="N117" t="inlineStr">
        <is>
          <t>K</t>
        </is>
      </c>
      <c r="O117" t="inlineStr">
        <is>
          <t>20230728</t>
        </is>
      </c>
      <c r="P117" t="inlineStr">
        <is>
          <t>Sumatera Utara</t>
        </is>
      </c>
      <c r="Q117" t="inlineStr"/>
    </row>
    <row r="118">
      <c r="A118" t="inlineStr">
        <is>
          <t>RIZKY PUTRI MANDIRI</t>
        </is>
      </c>
      <c r="B118" t="inlineStr">
        <is>
          <t>Kota Jambi</t>
        </is>
      </c>
      <c r="C118" t="inlineStr">
        <is>
          <t>08127398980</t>
        </is>
      </c>
      <c r="D118" t="inlineStr">
        <is>
          <t>cv.rizkiputrimandirijambi@gmail.com</t>
        </is>
      </c>
      <c r="E118" t="inlineStr">
        <is>
          <t>https://lpjk.pu.go.id/search-badan-usaha-detail/R0NBM2pvdGJVeS9xOVUrbFZKazFlUT09</t>
        </is>
      </c>
      <c r="F118" t="n">
        <v>1</v>
      </c>
      <c r="G118" t="inlineStr">
        <is>
          <t>BS001</t>
        </is>
      </c>
      <c r="H118" t="inlineStr">
        <is>
          <t>30 Juli 2019</t>
        </is>
      </c>
      <c r="I118" s="2" t="n">
        <v>46235</v>
      </c>
      <c r="J118" t="inlineStr">
        <is>
          <t>Disetujui</t>
        </is>
      </c>
      <c r="K118" t="n">
        <v>30</v>
      </c>
      <c r="L118" t="inlineStr">
        <is>
          <t>1 Agustus 2026</t>
        </is>
      </c>
      <c r="M118" t="inlineStr">
        <is>
          <t>Konstruksi Bangunan Sipil Jalan</t>
        </is>
      </c>
      <c r="N118" t="inlineStr">
        <is>
          <t>K</t>
        </is>
      </c>
      <c r="O118" t="inlineStr">
        <is>
          <t>20230729</t>
        </is>
      </c>
      <c r="P118" t="inlineStr">
        <is>
          <t>Jambi</t>
        </is>
      </c>
      <c r="Q118" t="inlineStr"/>
    </row>
    <row r="119">
      <c r="A119" t="inlineStr">
        <is>
          <t>RUKUN JAYA MADURA GROUP</t>
        </is>
      </c>
      <c r="B119" t="inlineStr">
        <is>
          <t>Kab. Sampang</t>
        </is>
      </c>
      <c r="C119" t="inlineStr">
        <is>
          <t>081937292440</t>
        </is>
      </c>
      <c r="D119" t="inlineStr">
        <is>
          <t>khoirulumam.pt@yandex.com</t>
        </is>
      </c>
      <c r="E119" t="inlineStr">
        <is>
          <t>https://lpjk.pu.go.id/search-badan-usaha-detail/cTNFT003OWdmcUhiT0UzNlU2NGErQT09</t>
        </is>
      </c>
      <c r="F119" t="n">
        <v>1</v>
      </c>
      <c r="G119" t="inlineStr">
        <is>
          <t>BG006</t>
        </is>
      </c>
      <c r="H119" t="inlineStr">
        <is>
          <t>2 Juli 2007</t>
        </is>
      </c>
      <c r="I119" s="2" t="n">
        <v>46235</v>
      </c>
      <c r="J119" t="inlineStr">
        <is>
          <t>Disetujui</t>
        </is>
      </c>
      <c r="K119" t="n">
        <v>30</v>
      </c>
      <c r="L119" t="inlineStr">
        <is>
          <t>1 Agustus 2026</t>
        </is>
      </c>
      <c r="M119" t="inlineStr">
        <is>
          <t>Konstruksi Gedung Pendidikan</t>
        </is>
      </c>
      <c r="N119" t="inlineStr">
        <is>
          <t>M</t>
        </is>
      </c>
      <c r="O119" t="inlineStr">
        <is>
          <t>20230728</t>
        </is>
      </c>
      <c r="P119" t="inlineStr">
        <is>
          <t>Jawa Timur</t>
        </is>
      </c>
      <c r="Q119" t="inlineStr"/>
    </row>
    <row r="120">
      <c r="A120" t="inlineStr">
        <is>
          <t>SABDA ALAM PUTRA</t>
        </is>
      </c>
      <c r="B120" t="inlineStr">
        <is>
          <t>Kab. Kolaka Timur</t>
        </is>
      </c>
      <c r="C120" t="inlineStr">
        <is>
          <t>082291255410</t>
        </is>
      </c>
      <c r="D120" t="inlineStr">
        <is>
          <t>juslanefendy@gmail.com</t>
        </is>
      </c>
      <c r="E120" t="inlineStr">
        <is>
          <t>https://lpjk.pu.go.id/search-badan-usaha-detail/SEo0Z0hWVFYyamE0VGVlR1pxVkxZZz09</t>
        </is>
      </c>
      <c r="F120" t="n">
        <v>1</v>
      </c>
      <c r="G120" t="inlineStr">
        <is>
          <t>BS004</t>
        </is>
      </c>
      <c r="H120" t="inlineStr">
        <is>
          <t>21 Desember 2009</t>
        </is>
      </c>
      <c r="I120" s="2" t="n">
        <v>46235</v>
      </c>
      <c r="J120" t="inlineStr">
        <is>
          <t>Disetujui</t>
        </is>
      </c>
      <c r="K120" t="n">
        <v>30</v>
      </c>
      <c r="L120" t="inlineStr">
        <is>
          <t>1 Agustus 2026</t>
        </is>
      </c>
      <c r="M120" t="inlineStr">
        <is>
          <t>Konstruksi Jaringan Irigasi dan Drainase</t>
        </is>
      </c>
      <c r="N120" t="inlineStr">
        <is>
          <t>K</t>
        </is>
      </c>
      <c r="O120" t="inlineStr">
        <is>
          <t>20230801</t>
        </is>
      </c>
      <c r="P120" t="inlineStr">
        <is>
          <t>Sulawesi Tenggara</t>
        </is>
      </c>
      <c r="Q120" t="inlineStr"/>
    </row>
    <row r="121">
      <c r="A121" t="inlineStr">
        <is>
          <t>SAMAS</t>
        </is>
      </c>
      <c r="B121" t="inlineStr">
        <is>
          <t>Kota Mataram</t>
        </is>
      </c>
      <c r="C121" t="inlineStr">
        <is>
          <t>0817362553</t>
        </is>
      </c>
      <c r="D121" t="inlineStr">
        <is>
          <t>cvsamas@yahoo.com</t>
        </is>
      </c>
      <c r="E121" t="inlineStr">
        <is>
          <t>https://lpjk.pu.go.id/search-badan-usaha-detail/WjBubGtxWDNaOEVKdUxoZlVwY1Z1dz09</t>
        </is>
      </c>
      <c r="F121" t="n">
        <v>1</v>
      </c>
      <c r="G121" t="inlineStr">
        <is>
          <t>BS010</t>
        </is>
      </c>
      <c r="H121" t="inlineStr">
        <is>
          <t>29 Desember 1980</t>
        </is>
      </c>
      <c r="I121" s="2" t="n">
        <v>46235</v>
      </c>
      <c r="J121" t="inlineStr">
        <is>
          <t>Pencabutan</t>
        </is>
      </c>
      <c r="K121" t="n">
        <v>30</v>
      </c>
      <c r="L121" t="inlineStr">
        <is>
          <t>1 Agustus 2026</t>
        </is>
      </c>
      <c r="M121" t="inlineStr">
        <is>
          <t>Konstruksi Bangunan Prasarana Sumber Daya Air</t>
        </is>
      </c>
      <c r="N121" t="inlineStr">
        <is>
          <t>K</t>
        </is>
      </c>
      <c r="O121" t="inlineStr">
        <is>
          <t>20230801</t>
        </is>
      </c>
      <c r="P121" t="inlineStr">
        <is>
          <t>Nusa Tenggara Barat</t>
        </is>
      </c>
      <c r="Q121" t="inlineStr"/>
    </row>
    <row r="122">
      <c r="A122" t="inlineStr">
        <is>
          <t>SEGERA SEJAHTERA</t>
        </is>
      </c>
      <c r="B122" t="inlineStr">
        <is>
          <t>Kab. Sukabumi</t>
        </is>
      </c>
      <c r="C122" t="inlineStr">
        <is>
          <t>085219539377</t>
        </is>
      </c>
      <c r="D122" t="inlineStr">
        <is>
          <t>cv.segerasejahtera@gmail.com</t>
        </is>
      </c>
      <c r="E122" t="inlineStr">
        <is>
          <t>https://lpjk.pu.go.id/search-badan-usaha-detail/TzRBdy83UmdwY2pGdUFiNWtrL2Fndz09</t>
        </is>
      </c>
      <c r="F122" t="n">
        <v>2</v>
      </c>
      <c r="G122" t="inlineStr">
        <is>
          <t>BG009, BS004</t>
        </is>
      </c>
      <c r="H122" t="inlineStr">
        <is>
          <t>26 Juni 2023</t>
        </is>
      </c>
      <c r="I122" s="2" t="n">
        <v>46235</v>
      </c>
      <c r="J122" t="inlineStr">
        <is>
          <t>Disetujui</t>
        </is>
      </c>
      <c r="K122" t="n">
        <v>30</v>
      </c>
      <c r="L122" t="inlineStr">
        <is>
          <t>1 Agustus 2026</t>
        </is>
      </c>
      <c r="M122" t="inlineStr">
        <is>
          <t>Konstruksi Gedung Lainnya, Konstruksi Jaringan Irigasi dan Drainase</t>
        </is>
      </c>
      <c r="N122" t="inlineStr">
        <is>
          <t>K</t>
        </is>
      </c>
      <c r="O122" t="inlineStr">
        <is>
          <t>20230728, 20230801</t>
        </is>
      </c>
      <c r="P122" t="inlineStr">
        <is>
          <t>Jawa Barat</t>
        </is>
      </c>
      <c r="Q122" t="inlineStr"/>
    </row>
    <row r="123">
      <c r="A123" t="inlineStr">
        <is>
          <t>SEKAR BAROKAH</t>
        </is>
      </c>
      <c r="B123" t="inlineStr">
        <is>
          <t>Kota Tasikmalaya</t>
        </is>
      </c>
      <c r="C123" t="inlineStr">
        <is>
          <t>085322990960</t>
        </is>
      </c>
      <c r="D123" t="inlineStr">
        <is>
          <t>cvsekarbarokah@gmail.com</t>
        </is>
      </c>
      <c r="E123" t="inlineStr">
        <is>
          <t>https://lpjk.pu.go.id/search-badan-usaha-detail/bm83YUhEeUVHYTBEODhHekczUy91UT09</t>
        </is>
      </c>
      <c r="F123" t="n">
        <v>6</v>
      </c>
      <c r="G123" t="inlineStr">
        <is>
          <t>BG005, BG006, BS001</t>
        </is>
      </c>
      <c r="H123" t="inlineStr">
        <is>
          <t>3 Juni 2023</t>
        </is>
      </c>
      <c r="I123" s="2" t="n">
        <v>46235</v>
      </c>
      <c r="J123" t="inlineStr">
        <is>
          <t>Disetujui, Pencabutan</t>
        </is>
      </c>
      <c r="K123" t="n">
        <v>30</v>
      </c>
      <c r="L123" t="inlineStr">
        <is>
          <t>1 Agustus 2026</t>
        </is>
      </c>
      <c r="M123" t="inlineStr">
        <is>
          <t>Konstruksi Bangunan Sipil Jalan, Konstruksi Gedung Kesehatan, Konstruksi Gedung Pendidikan</t>
        </is>
      </c>
      <c r="N123" t="inlineStr">
        <is>
          <t>K</t>
        </is>
      </c>
      <c r="O123" t="inlineStr">
        <is>
          <t>20230731</t>
        </is>
      </c>
      <c r="P123" t="inlineStr">
        <is>
          <t>Jawa Barat</t>
        </is>
      </c>
      <c r="Q123" t="inlineStr"/>
    </row>
    <row r="124">
      <c r="A124" t="inlineStr">
        <is>
          <t>SEKAR FAJAR TIMUR</t>
        </is>
      </c>
      <c r="B124" t="inlineStr">
        <is>
          <t>Kab. Sumenep</t>
        </is>
      </c>
      <c r="C124" t="inlineStr">
        <is>
          <t>0813-3370-8059</t>
        </is>
      </c>
      <c r="D124" t="inlineStr">
        <is>
          <t>sekarfajartimur.2020@gmail.com</t>
        </is>
      </c>
      <c r="E124" t="inlineStr">
        <is>
          <t>https://lpjk.pu.go.id/search-badan-usaha-detail/L20weWVxREc4VFc0alhMOHZhVDllQT09</t>
        </is>
      </c>
      <c r="F124" t="n">
        <v>1</v>
      </c>
      <c r="G124" t="inlineStr">
        <is>
          <t>RK002</t>
        </is>
      </c>
      <c r="H124" t="inlineStr">
        <is>
          <t>9 September 1988</t>
        </is>
      </c>
      <c r="I124" s="2" t="n">
        <v>46235</v>
      </c>
      <c r="J124" t="inlineStr">
        <is>
          <t>Disetujui</t>
        </is>
      </c>
      <c r="K124" t="n">
        <v>30</v>
      </c>
      <c r="L124" t="inlineStr">
        <is>
          <t>1 Agustus 2026</t>
        </is>
      </c>
      <c r="M124" t="inlineStr">
        <is>
          <t>Jasa Rekayasa Pekerjaan Teknik Sipil Sumber Daya Air</t>
        </is>
      </c>
      <c r="N124" t="inlineStr">
        <is>
          <t>K</t>
        </is>
      </c>
      <c r="O124" t="inlineStr">
        <is>
          <t>20230725</t>
        </is>
      </c>
      <c r="P124" t="inlineStr">
        <is>
          <t>Jawa Timur</t>
        </is>
      </c>
      <c r="Q124" t="inlineStr"/>
    </row>
    <row r="125">
      <c r="A125" t="inlineStr">
        <is>
          <t>SELAMAT LAKSANA</t>
        </is>
      </c>
      <c r="B125" t="inlineStr">
        <is>
          <t>Kab. Cianjur</t>
        </is>
      </c>
      <c r="C125" t="inlineStr">
        <is>
          <t>082117787710</t>
        </is>
      </c>
      <c r="D125" t="inlineStr">
        <is>
          <t>cvselamatlaksana@gmail.com</t>
        </is>
      </c>
      <c r="E125" t="inlineStr">
        <is>
          <t>https://lpjk.pu.go.id/search-badan-usaha-detail/TWxqVVc0NEdjMTdDSmpOOU9MMC9nQT09</t>
        </is>
      </c>
      <c r="F125" t="n">
        <v>1</v>
      </c>
      <c r="G125" t="inlineStr">
        <is>
          <t>BS001</t>
        </is>
      </c>
      <c r="H125" t="inlineStr">
        <is>
          <t>22 Juni 2012</t>
        </is>
      </c>
      <c r="I125" s="2" t="n">
        <v>46235</v>
      </c>
      <c r="J125" t="inlineStr">
        <is>
          <t>Disetujui</t>
        </is>
      </c>
      <c r="K125" t="n">
        <v>30</v>
      </c>
      <c r="L125" t="inlineStr">
        <is>
          <t>1 Agustus 2026</t>
        </is>
      </c>
      <c r="M125" t="inlineStr">
        <is>
          <t>Konstruksi Bangunan Sipil Jalan</t>
        </is>
      </c>
      <c r="N125" t="inlineStr">
        <is>
          <t>K</t>
        </is>
      </c>
      <c r="O125" t="inlineStr">
        <is>
          <t>20230801</t>
        </is>
      </c>
      <c r="P125" t="inlineStr">
        <is>
          <t>Jawa Barat</t>
        </is>
      </c>
      <c r="Q125" t="inlineStr"/>
    </row>
    <row r="126">
      <c r="A126" t="inlineStr">
        <is>
          <t>SEPULUH SUMBER ANUGERAH</t>
        </is>
      </c>
      <c r="B126" t="inlineStr">
        <is>
          <t>Kab. Serang</t>
        </is>
      </c>
      <c r="C126" t="inlineStr">
        <is>
          <t>(0254) 408947-49</t>
        </is>
      </c>
      <c r="D126" t="inlineStr">
        <is>
          <t>hrd@pt-ssa.co.id</t>
        </is>
      </c>
      <c r="E126" t="inlineStr">
        <is>
          <t>https://lpjk.pu.go.id/search-badan-usaha-detail/NTJTbjVzbTNUTERoQWg1WEdPOFZSQT09</t>
        </is>
      </c>
      <c r="F126" t="n">
        <v>1</v>
      </c>
      <c r="G126" t="inlineStr">
        <is>
          <t>IN004</t>
        </is>
      </c>
      <c r="H126" t="inlineStr">
        <is>
          <t>2 Februari 1996</t>
        </is>
      </c>
      <c r="I126" s="2" t="n">
        <v>46235</v>
      </c>
      <c r="J126" t="inlineStr">
        <is>
          <t>Disetujui</t>
        </is>
      </c>
      <c r="K126" t="n">
        <v>30</v>
      </c>
      <c r="L126" t="inlineStr">
        <is>
          <t>1 Agustus 2026</t>
        </is>
      </c>
      <c r="M126" t="inlineStr">
        <is>
          <t>Instalasi Minyak dan Gas</t>
        </is>
      </c>
      <c r="N126" t="inlineStr">
        <is>
          <t>Spesialis</t>
        </is>
      </c>
      <c r="O126" t="inlineStr">
        <is>
          <t>20230731</t>
        </is>
      </c>
      <c r="P126" t="inlineStr">
        <is>
          <t>Banten</t>
        </is>
      </c>
      <c r="Q126" t="inlineStr"/>
    </row>
    <row r="127">
      <c r="A127" t="inlineStr">
        <is>
          <t>SHAKILA JAYA ABADI</t>
        </is>
      </c>
      <c r="B127" t="inlineStr">
        <is>
          <t>Kab. Majalengka</t>
        </is>
      </c>
      <c r="C127" t="inlineStr">
        <is>
          <t>0</t>
        </is>
      </c>
      <c r="D127" t="inlineStr">
        <is>
          <t>asepjokosutirto.8282@yahoo.com</t>
        </is>
      </c>
      <c r="E127" t="inlineStr">
        <is>
          <t>https://lpjk.pu.go.id/search-badan-usaha-detail/cmoxL21ucE5hUlh1OVBKdkVqZzJhZz09</t>
        </is>
      </c>
      <c r="F127" t="n">
        <v>1</v>
      </c>
      <c r="G127" t="inlineStr">
        <is>
          <t>BG002</t>
        </is>
      </c>
      <c r="H127" t="inlineStr">
        <is>
          <t>1 Agustus 2013</t>
        </is>
      </c>
      <c r="I127" s="2" t="n">
        <v>46235</v>
      </c>
      <c r="J127" t="inlineStr">
        <is>
          <t>Disetujui</t>
        </is>
      </c>
      <c r="K127" t="n">
        <v>30</v>
      </c>
      <c r="L127" t="inlineStr">
        <is>
          <t>1 Agustus 2026</t>
        </is>
      </c>
      <c r="M127" t="inlineStr">
        <is>
          <t>Konstruksi Gedung Perkantoran</t>
        </is>
      </c>
      <c r="N127" t="inlineStr">
        <is>
          <t>K</t>
        </is>
      </c>
      <c r="O127" t="inlineStr">
        <is>
          <t>20230801</t>
        </is>
      </c>
      <c r="P127" t="inlineStr">
        <is>
          <t>Jawa Barat</t>
        </is>
      </c>
      <c r="Q127" t="inlineStr"/>
    </row>
    <row r="128">
      <c r="A128" t="inlineStr">
        <is>
          <t>SUMBER BAROKAH KONTRUKSI</t>
        </is>
      </c>
      <c r="B128" t="inlineStr">
        <is>
          <t>Kab. Jember</t>
        </is>
      </c>
      <c r="C128" t="inlineStr">
        <is>
          <t>085102736999</t>
        </is>
      </c>
      <c r="D128" t="inlineStr">
        <is>
          <t>sumberbarokahkontruksi@gmail.com</t>
        </is>
      </c>
      <c r="E128" t="inlineStr">
        <is>
          <t>https://lpjk.pu.go.id/search-badan-usaha-detail/RHA3RGszcVJqR1IxVW96S0pLemU1UT09</t>
        </is>
      </c>
      <c r="F128" t="n">
        <v>1</v>
      </c>
      <c r="G128" t="inlineStr">
        <is>
          <t>BG002</t>
        </is>
      </c>
      <c r="H128" t="inlineStr">
        <is>
          <t>13 Januari 2023</t>
        </is>
      </c>
      <c r="I128" s="2" t="n">
        <v>46235</v>
      </c>
      <c r="J128" t="inlineStr">
        <is>
          <t>Disetujui</t>
        </is>
      </c>
      <c r="K128" t="n">
        <v>30</v>
      </c>
      <c r="L128" t="inlineStr">
        <is>
          <t>1 Agustus 2026</t>
        </is>
      </c>
      <c r="M128" t="inlineStr">
        <is>
          <t>Konstruksi Gedung Perkantoran</t>
        </is>
      </c>
      <c r="N128" t="inlineStr">
        <is>
          <t>K</t>
        </is>
      </c>
      <c r="O128" t="inlineStr">
        <is>
          <t>20230726</t>
        </is>
      </c>
      <c r="P128" t="inlineStr">
        <is>
          <t>Jawa Timur</t>
        </is>
      </c>
      <c r="Q128" t="inlineStr"/>
    </row>
    <row r="129">
      <c r="A129" t="inlineStr">
        <is>
          <t>SUMBER JAYA ABADI</t>
        </is>
      </c>
      <c r="B129" t="inlineStr">
        <is>
          <t>Kab. Bojonegoro</t>
        </is>
      </c>
      <c r="C129" t="inlineStr">
        <is>
          <t>081334115115</t>
        </is>
      </c>
      <c r="D129" t="inlineStr">
        <is>
          <t>yuda_timor@yahoo.com</t>
        </is>
      </c>
      <c r="E129" t="inlineStr">
        <is>
          <t>https://lpjk.pu.go.id/search-badan-usaha-detail/MFFRWjlhNDZOb3N0UGN4T2dSLzZSdz09</t>
        </is>
      </c>
      <c r="F129" t="n">
        <v>1</v>
      </c>
      <c r="G129" t="inlineStr">
        <is>
          <t>BG008</t>
        </is>
      </c>
      <c r="H129" t="inlineStr">
        <is>
          <t>4 September 2006</t>
        </is>
      </c>
      <c r="I129" s="2" t="n">
        <v>46235</v>
      </c>
      <c r="J129" t="inlineStr">
        <is>
          <t>Disetujui</t>
        </is>
      </c>
      <c r="K129" t="n">
        <v>30</v>
      </c>
      <c r="L129" t="inlineStr">
        <is>
          <t>1 Agustus 2026</t>
        </is>
      </c>
      <c r="M129" t="inlineStr">
        <is>
          <t>Konstruksi Gedung Tempat Hiburan dan Olahraga</t>
        </is>
      </c>
      <c r="N129" t="inlineStr">
        <is>
          <t>K</t>
        </is>
      </c>
      <c r="O129" t="inlineStr">
        <is>
          <t>20230801</t>
        </is>
      </c>
      <c r="P129" t="inlineStr">
        <is>
          <t>Jawa Timur</t>
        </is>
      </c>
      <c r="Q129" t="inlineStr"/>
    </row>
    <row r="130">
      <c r="A130" t="inlineStr">
        <is>
          <t>SURYA JAYA UTAMA</t>
        </is>
      </c>
      <c r="B130" t="inlineStr">
        <is>
          <t>Kota Pematangsiantar</t>
        </is>
      </c>
      <c r="C130" t="inlineStr">
        <is>
          <t>081361446720</t>
        </is>
      </c>
      <c r="D130" t="inlineStr">
        <is>
          <t>suryajayautamaps@yahoo.com</t>
        </is>
      </c>
      <c r="E130" t="inlineStr">
        <is>
          <t>https://lpjk.pu.go.id/search-badan-usaha-detail/MG1GcS9vTUM3UDNORFB6RFJyR0ZjZz09</t>
        </is>
      </c>
      <c r="F130" t="n">
        <v>1</v>
      </c>
      <c r="G130" t="inlineStr">
        <is>
          <t>BG006</t>
        </is>
      </c>
      <c r="H130" t="inlineStr">
        <is>
          <t>22 Juni 2012</t>
        </is>
      </c>
      <c r="I130" s="2" t="n">
        <v>46235</v>
      </c>
      <c r="J130" t="inlineStr">
        <is>
          <t>Disetujui</t>
        </is>
      </c>
      <c r="K130" t="n">
        <v>30</v>
      </c>
      <c r="L130" t="inlineStr">
        <is>
          <t>1 Agustus 2026</t>
        </is>
      </c>
      <c r="M130" t="inlineStr">
        <is>
          <t>Konstruksi Gedung Pendidikan</t>
        </is>
      </c>
      <c r="N130" t="inlineStr">
        <is>
          <t>K</t>
        </is>
      </c>
      <c r="O130" t="inlineStr">
        <is>
          <t>20230801</t>
        </is>
      </c>
      <c r="P130" t="inlineStr">
        <is>
          <t>Sumatera Utara</t>
        </is>
      </c>
      <c r="Q130" t="inlineStr"/>
    </row>
    <row r="131">
      <c r="A131" t="inlineStr">
        <is>
          <t>SURYA MELATI MANDIRI</t>
        </is>
      </c>
      <c r="B131" t="inlineStr">
        <is>
          <t>Kab. Hulu Sungai Tengah</t>
        </is>
      </c>
      <c r="C131" t="inlineStr">
        <is>
          <t>081346319885</t>
        </is>
      </c>
      <c r="D131" t="inlineStr">
        <is>
          <t>ptsuryamelatimandiri18@gmail.com</t>
        </is>
      </c>
      <c r="E131" t="inlineStr">
        <is>
          <t>https://lpjk.pu.go.id/search-badan-usaha-detail/L1hYZmw4dGVtN25wcHd2NDdYdWRndz09</t>
        </is>
      </c>
      <c r="F131" t="n">
        <v>1</v>
      </c>
      <c r="G131" t="inlineStr">
        <is>
          <t>BS004</t>
        </is>
      </c>
      <c r="H131" t="inlineStr">
        <is>
          <t>22 Juni 2012</t>
        </is>
      </c>
      <c r="I131" s="2" t="n">
        <v>46235</v>
      </c>
      <c r="J131" t="inlineStr">
        <is>
          <t>Disetujui</t>
        </is>
      </c>
      <c r="K131" t="n">
        <v>30</v>
      </c>
      <c r="L131" t="inlineStr">
        <is>
          <t>1 Agustus 2026</t>
        </is>
      </c>
      <c r="M131" t="inlineStr">
        <is>
          <t>Konstruksi Jaringan Irigasi dan Drainase</t>
        </is>
      </c>
      <c r="N131" t="inlineStr">
        <is>
          <t>K</t>
        </is>
      </c>
      <c r="O131" t="inlineStr">
        <is>
          <t>20230722</t>
        </is>
      </c>
      <c r="P131" t="inlineStr">
        <is>
          <t>Kalimantan Selatan</t>
        </is>
      </c>
      <c r="Q131" t="inlineStr"/>
    </row>
    <row r="132">
      <c r="A132" t="inlineStr">
        <is>
          <t>TANGGUH JAYA KREASINDO</t>
        </is>
      </c>
      <c r="B132" t="inlineStr">
        <is>
          <t>Kota Kendari</t>
        </is>
      </c>
      <c r="C132" t="inlineStr">
        <is>
          <t>082249308971</t>
        </is>
      </c>
      <c r="D132" t="inlineStr">
        <is>
          <t>Tangguhjayakreasindo@gmail.com</t>
        </is>
      </c>
      <c r="E132" t="inlineStr">
        <is>
          <t>https://lpjk.pu.go.id/search-badan-usaha-detail/STYrQ2JMSGVudG9HWVBHVnNCeGFRdz09</t>
        </is>
      </c>
      <c r="F132" t="n">
        <v>1</v>
      </c>
      <c r="G132" t="inlineStr">
        <is>
          <t>BS001</t>
        </is>
      </c>
      <c r="H132" t="inlineStr">
        <is>
          <t>15 Agustus 2022</t>
        </is>
      </c>
      <c r="I132" s="2" t="n">
        <v>46235</v>
      </c>
      <c r="J132" t="inlineStr">
        <is>
          <t>Disetujui</t>
        </is>
      </c>
      <c r="K132" t="n">
        <v>30</v>
      </c>
      <c r="L132" t="inlineStr">
        <is>
          <t>1 Agustus 2026</t>
        </is>
      </c>
      <c r="M132" t="inlineStr">
        <is>
          <t>Konstruksi Bangunan Sipil Jalan</t>
        </is>
      </c>
      <c r="N132" t="inlineStr">
        <is>
          <t>K</t>
        </is>
      </c>
      <c r="O132" t="inlineStr">
        <is>
          <t>20230731</t>
        </is>
      </c>
      <c r="P132" t="inlineStr">
        <is>
          <t>Sulawesi Tenggara</t>
        </is>
      </c>
      <c r="Q132" t="inlineStr"/>
    </row>
    <row r="133">
      <c r="A133" t="inlineStr">
        <is>
          <t>TECHA JAYA KRISNA</t>
        </is>
      </c>
      <c r="B133" t="inlineStr">
        <is>
          <t>Kab. Indramayu</t>
        </is>
      </c>
      <c r="C133" t="inlineStr">
        <is>
          <t>087718600602</t>
        </is>
      </c>
      <c r="D133" t="inlineStr">
        <is>
          <t>cv.techajayakrisna@gmail.com</t>
        </is>
      </c>
      <c r="E133" t="inlineStr">
        <is>
          <t>https://lpjk.pu.go.id/search-badan-usaha-detail/R0lXcndBcGlZRCtTVFVtODJCd2trdz09</t>
        </is>
      </c>
      <c r="F133" t="n">
        <v>5</v>
      </c>
      <c r="G133" t="inlineStr">
        <is>
          <t>BG002, BG005, BG006, BG009, BS001</t>
        </is>
      </c>
      <c r="H133" t="inlineStr">
        <is>
          <t>24 Juli 2023</t>
        </is>
      </c>
      <c r="I133" s="2" t="n">
        <v>46235</v>
      </c>
      <c r="J133" t="inlineStr">
        <is>
          <t>Pencabutan</t>
        </is>
      </c>
      <c r="K133" t="n">
        <v>30</v>
      </c>
      <c r="L133" t="inlineStr">
        <is>
          <t>1 Agustus 2026</t>
        </is>
      </c>
      <c r="M133" t="inlineStr">
        <is>
          <t>Konstruksi Bangunan Sipil Jalan, Konstruksi Gedung Kesehatan, Konstruksi Gedung Lainnya, Konstruksi Gedung Pendidikan, Konstruksi Gedung Perkantoran</t>
        </is>
      </c>
      <c r="N133" t="inlineStr">
        <is>
          <t>K</t>
        </is>
      </c>
      <c r="O133" t="inlineStr">
        <is>
          <t>20230728, 20230731</t>
        </is>
      </c>
      <c r="P133" t="inlineStr">
        <is>
          <t>Jawa Barat</t>
        </is>
      </c>
      <c r="Q133" t="inlineStr"/>
    </row>
    <row r="134">
      <c r="A134" t="inlineStr">
        <is>
          <t>TEGAR UTAMA</t>
        </is>
      </c>
      <c r="B134" t="inlineStr">
        <is>
          <t>Kota Balikpapan</t>
        </is>
      </c>
      <c r="C134" t="inlineStr">
        <is>
          <t>082157280540</t>
        </is>
      </c>
      <c r="D134" t="inlineStr">
        <is>
          <t>utamategar@yahoo.co.id</t>
        </is>
      </c>
      <c r="E134" t="inlineStr">
        <is>
          <t>https://lpjk.pu.go.id/search-badan-usaha-detail/VEJlM0hRTDJVamxBOXcwc0N0bEpiQT09</t>
        </is>
      </c>
      <c r="F134" t="n">
        <v>1</v>
      </c>
      <c r="G134" t="inlineStr">
        <is>
          <t>BS001</t>
        </is>
      </c>
      <c r="H134" t="inlineStr">
        <is>
          <t>2 Januari 2007</t>
        </is>
      </c>
      <c r="I134" s="2" t="n">
        <v>46235</v>
      </c>
      <c r="J134" t="inlineStr">
        <is>
          <t>Disetujui</t>
        </is>
      </c>
      <c r="K134" t="n">
        <v>30</v>
      </c>
      <c r="L134" t="inlineStr">
        <is>
          <t>1 Agustus 2026</t>
        </is>
      </c>
      <c r="M134" t="inlineStr">
        <is>
          <t>Konstruksi Bangunan Sipil Jalan</t>
        </is>
      </c>
      <c r="N134" t="inlineStr">
        <is>
          <t>K</t>
        </is>
      </c>
      <c r="O134" t="inlineStr">
        <is>
          <t>20230725</t>
        </is>
      </c>
      <c r="P134" t="inlineStr">
        <is>
          <t>Kalimantan Timur</t>
        </is>
      </c>
      <c r="Q134" t="inlineStr"/>
    </row>
    <row r="135">
      <c r="A135" t="inlineStr">
        <is>
          <t>TELAGA AGUNG JAYA PERKASA</t>
        </is>
      </c>
      <c r="B135" t="inlineStr">
        <is>
          <t>Kab. Kebumen</t>
        </is>
      </c>
      <c r="C135" t="inlineStr">
        <is>
          <t>08122222748</t>
        </is>
      </c>
      <c r="D135" t="inlineStr">
        <is>
          <t>cvtelagaagung@gmail.com</t>
        </is>
      </c>
      <c r="E135" t="inlineStr">
        <is>
          <t>https://lpjk.pu.go.id/search-badan-usaha-detail/Tkc3c3dPRHNaTmhiSEVBUTdEVEVEUT09</t>
        </is>
      </c>
      <c r="F135" t="n">
        <v>3</v>
      </c>
      <c r="G135" t="inlineStr">
        <is>
          <t>BG006, BG009, BS001</t>
        </is>
      </c>
      <c r="H135" t="inlineStr">
        <is>
          <t>28 Juli 2022</t>
        </is>
      </c>
      <c r="I135" s="2" t="n">
        <v>46235</v>
      </c>
      <c r="J135" t="inlineStr">
        <is>
          <t>Disetujui</t>
        </is>
      </c>
      <c r="K135" t="n">
        <v>30</v>
      </c>
      <c r="L135" t="inlineStr">
        <is>
          <t>1 Agustus 2026</t>
        </is>
      </c>
      <c r="M135" t="inlineStr">
        <is>
          <t>Konstruksi Bangunan Sipil Jalan, Konstruksi Gedung Lainnya, Konstruksi Gedung Pendidikan</t>
        </is>
      </c>
      <c r="N135" t="inlineStr">
        <is>
          <t>K</t>
        </is>
      </c>
      <c r="O135" t="inlineStr">
        <is>
          <t>20230731</t>
        </is>
      </c>
      <c r="P135" t="inlineStr">
        <is>
          <t>Jawa Tengah</t>
        </is>
      </c>
      <c r="Q135" t="inlineStr"/>
    </row>
    <row r="136">
      <c r="A136" t="inlineStr">
        <is>
          <t>TERATAI</t>
        </is>
      </c>
      <c r="B136" t="inlineStr">
        <is>
          <t>Kab. Belitung</t>
        </is>
      </c>
      <c r="C136" t="inlineStr">
        <is>
          <t>082185619675</t>
        </is>
      </c>
      <c r="D136" t="inlineStr">
        <is>
          <t>udintampan200@gmail.com</t>
        </is>
      </c>
      <c r="E136" t="inlineStr">
        <is>
          <t>https://lpjk.pu.go.id/search-badan-usaha-detail/TEZKSFRxQUNBOVVKWGlVLytJaThtZz09</t>
        </is>
      </c>
      <c r="F136" t="n">
        <v>1</v>
      </c>
      <c r="G136" t="inlineStr">
        <is>
          <t>BG006</t>
        </is>
      </c>
      <c r="H136" t="inlineStr">
        <is>
          <t>19 April 2012</t>
        </is>
      </c>
      <c r="I136" s="2" t="n">
        <v>46235</v>
      </c>
      <c r="J136" t="inlineStr">
        <is>
          <t>Disetujui</t>
        </is>
      </c>
      <c r="K136" t="n">
        <v>30</v>
      </c>
      <c r="L136" t="inlineStr">
        <is>
          <t>1 Agustus 2026</t>
        </is>
      </c>
      <c r="M136" t="inlineStr">
        <is>
          <t>Konstruksi Gedung Pendidikan</t>
        </is>
      </c>
      <c r="N136" t="inlineStr">
        <is>
          <t>K</t>
        </is>
      </c>
      <c r="O136" t="inlineStr">
        <is>
          <t>20230731</t>
        </is>
      </c>
      <c r="P136" t="inlineStr">
        <is>
          <t>Kepulauan Bangka Belitung</t>
        </is>
      </c>
      <c r="Q136" t="inlineStr"/>
    </row>
    <row r="137">
      <c r="A137" t="inlineStr">
        <is>
          <t>TIGA PUTERA KARTIWA</t>
        </is>
      </c>
      <c r="B137" t="inlineStr">
        <is>
          <t>Kota Cimahi</t>
        </is>
      </c>
      <c r="C137" t="inlineStr">
        <is>
          <t>08989089299</t>
        </is>
      </c>
      <c r="D137" t="inlineStr">
        <is>
          <t>cvtigaputerakartiwa@gmail.com</t>
        </is>
      </c>
      <c r="E137" t="inlineStr">
        <is>
          <t>https://lpjk.pu.go.id/search-badan-usaha-detail/YndTd281WjBsT2Y5K3JDMkdySkNadz09</t>
        </is>
      </c>
      <c r="F137" t="n">
        <v>1</v>
      </c>
      <c r="G137" t="inlineStr">
        <is>
          <t>BG009</t>
        </is>
      </c>
      <c r="H137" t="inlineStr">
        <is>
          <t>28 Januari 2016</t>
        </is>
      </c>
      <c r="I137" s="2" t="n">
        <v>46235</v>
      </c>
      <c r="J137" t="inlineStr">
        <is>
          <t>Disetujui</t>
        </is>
      </c>
      <c r="K137" t="n">
        <v>30</v>
      </c>
      <c r="L137" t="inlineStr">
        <is>
          <t>1 Agustus 2026</t>
        </is>
      </c>
      <c r="M137" t="inlineStr">
        <is>
          <t>Konstruksi Gedung Lainnya</t>
        </is>
      </c>
      <c r="N137" t="inlineStr">
        <is>
          <t>K</t>
        </is>
      </c>
      <c r="O137" t="inlineStr">
        <is>
          <t>20230723</t>
        </is>
      </c>
      <c r="P137" t="inlineStr">
        <is>
          <t>Jawa Barat</t>
        </is>
      </c>
      <c r="Q137" t="inlineStr"/>
    </row>
    <row r="138">
      <c r="A138" t="inlineStr">
        <is>
          <t>TIGA PUTRA CINTA</t>
        </is>
      </c>
      <c r="B138" t="inlineStr">
        <is>
          <t>Kab. Lamongan</t>
        </is>
      </c>
      <c r="C138" t="inlineStr">
        <is>
          <t>085746056818</t>
        </is>
      </c>
      <c r="D138" t="inlineStr">
        <is>
          <t>3putracintacv@gmail.com</t>
        </is>
      </c>
      <c r="E138" t="inlineStr">
        <is>
          <t>https://lpjk.pu.go.id/search-badan-usaha-detail/M0lnbEhXdVdmVDFZM0VaKzRsM1Fldz09</t>
        </is>
      </c>
      <c r="F138" t="n">
        <v>1</v>
      </c>
      <c r="G138" t="inlineStr">
        <is>
          <t>BG004</t>
        </is>
      </c>
      <c r="H138" t="inlineStr">
        <is>
          <t>9 Maret 2023</t>
        </is>
      </c>
      <c r="I138" s="2" t="n">
        <v>46235</v>
      </c>
      <c r="J138" t="inlineStr">
        <is>
          <t>Disetujui</t>
        </is>
      </c>
      <c r="K138" t="n">
        <v>30</v>
      </c>
      <c r="L138" t="inlineStr">
        <is>
          <t>1 Agustus 2026</t>
        </is>
      </c>
      <c r="M138" t="inlineStr">
        <is>
          <t>Konstruksi Gedung Perbelanjaan</t>
        </is>
      </c>
      <c r="N138" t="inlineStr">
        <is>
          <t>K</t>
        </is>
      </c>
      <c r="O138" t="inlineStr">
        <is>
          <t>20230729</t>
        </is>
      </c>
      <c r="P138" t="inlineStr">
        <is>
          <t>Jawa Timur</t>
        </is>
      </c>
      <c r="Q138" t="inlineStr"/>
    </row>
    <row r="139">
      <c r="A139" t="inlineStr">
        <is>
          <t>TIGA SAUDARA KARYA</t>
        </is>
      </c>
      <c r="B139" t="inlineStr">
        <is>
          <t>Kab. Pesisir Selatan</t>
        </is>
      </c>
      <c r="C139" t="inlineStr">
        <is>
          <t>085355790579</t>
        </is>
      </c>
      <c r="D139" t="inlineStr">
        <is>
          <t>cvtigasaudarakarya11@gmail.com</t>
        </is>
      </c>
      <c r="E139" t="inlineStr">
        <is>
          <t>https://lpjk.pu.go.id/search-badan-usaha-detail/SVhWeXV1cGVUU2gyT2g3UHd6TXNkUT09</t>
        </is>
      </c>
      <c r="F139" t="n">
        <v>2</v>
      </c>
      <c r="G139" t="inlineStr">
        <is>
          <t>BG005, BG009</t>
        </is>
      </c>
      <c r="H139" t="inlineStr">
        <is>
          <t>28 September 1992</t>
        </is>
      </c>
      <c r="I139" s="2" t="n">
        <v>46235</v>
      </c>
      <c r="J139" t="inlineStr">
        <is>
          <t>Disetujui</t>
        </is>
      </c>
      <c r="K139" t="n">
        <v>30</v>
      </c>
      <c r="L139" t="inlineStr">
        <is>
          <t>1 Agustus 2026</t>
        </is>
      </c>
      <c r="M139" t="inlineStr">
        <is>
          <t>Konstruksi Gedung Kesehatan, Konstruksi Gedung Lainnya</t>
        </is>
      </c>
      <c r="N139" t="inlineStr">
        <is>
          <t>K</t>
        </is>
      </c>
      <c r="O139" t="inlineStr">
        <is>
          <t>20230731, 20230801</t>
        </is>
      </c>
      <c r="P139" t="inlineStr">
        <is>
          <t>Sumatera Barat</t>
        </is>
      </c>
      <c r="Q139" t="inlineStr"/>
    </row>
    <row r="140">
      <c r="A140" t="inlineStr">
        <is>
          <t>TIMUR TERANG</t>
        </is>
      </c>
      <c r="B140" t="inlineStr">
        <is>
          <t>Kota Semarang</t>
        </is>
      </c>
      <c r="C140" t="inlineStr">
        <is>
          <t>08164248508</t>
        </is>
      </c>
      <c r="D140" t="inlineStr">
        <is>
          <t>karunade.tt1@gmail.com</t>
        </is>
      </c>
      <c r="E140" t="inlineStr">
        <is>
          <t>https://lpjk.pu.go.id/search-badan-usaha-detail/R25BWUMwanJpditOZ2lPV3FWdVE2UT09</t>
        </is>
      </c>
      <c r="F140" t="n">
        <v>2</v>
      </c>
      <c r="G140" t="inlineStr">
        <is>
          <t>BG003, BG009</t>
        </is>
      </c>
      <c r="H140" t="inlineStr">
        <is>
          <t>6 Mei 2015</t>
        </is>
      </c>
      <c r="I140" s="2" t="n">
        <v>46235</v>
      </c>
      <c r="J140" t="inlineStr">
        <is>
          <t>Disetujui</t>
        </is>
      </c>
      <c r="K140" t="n">
        <v>30</v>
      </c>
      <c r="L140" t="inlineStr">
        <is>
          <t>1 Agustus 2026</t>
        </is>
      </c>
      <c r="M140" t="inlineStr">
        <is>
          <t>Konstruksi Gedung Industri, Konstruksi Gedung Lainnya</t>
        </is>
      </c>
      <c r="N140" t="inlineStr">
        <is>
          <t>K</t>
        </is>
      </c>
      <c r="O140" t="inlineStr">
        <is>
          <t>20230727</t>
        </is>
      </c>
      <c r="P140" t="inlineStr">
        <is>
          <t>Jawa Tengah</t>
        </is>
      </c>
      <c r="Q140" t="inlineStr"/>
    </row>
    <row r="141">
      <c r="A141" t="inlineStr">
        <is>
          <t>TITIAN REZEKI</t>
        </is>
      </c>
      <c r="B141" t="inlineStr">
        <is>
          <t>Kab. Sintang</t>
        </is>
      </c>
      <c r="C141" t="inlineStr">
        <is>
          <t>085252013477</t>
        </is>
      </c>
      <c r="D141" t="inlineStr">
        <is>
          <t>titianrezekicv2@gmail.com</t>
        </is>
      </c>
      <c r="E141" t="inlineStr">
        <is>
          <t>https://lpjk.pu.go.id/search-badan-usaha-detail/UXVkZThBSnpHS3BGMWdYZGdTeGtHQT09</t>
        </is>
      </c>
      <c r="F141" t="n">
        <v>2</v>
      </c>
      <c r="G141" t="inlineStr">
        <is>
          <t>BS005</t>
        </is>
      </c>
      <c r="H141" t="inlineStr">
        <is>
          <t>24 Oktober 1998</t>
        </is>
      </c>
      <c r="I141" s="2" t="n">
        <v>46235</v>
      </c>
      <c r="J141" t="inlineStr">
        <is>
          <t>Disetujui</t>
        </is>
      </c>
      <c r="K141" t="n">
        <v>30</v>
      </c>
      <c r="L141" t="inlineStr">
        <is>
          <t>1 Agustus 2026</t>
        </is>
      </c>
      <c r="M141" t="inlineStr">
        <is>
          <t>Konstruksi Bangunan Sipil Pengolahan Air Bersih</t>
        </is>
      </c>
      <c r="N141" t="inlineStr">
        <is>
          <t>K</t>
        </is>
      </c>
      <c r="O141" t="inlineStr">
        <is>
          <t>20230728</t>
        </is>
      </c>
      <c r="P141" t="inlineStr">
        <is>
          <t>Kalimantan Barat</t>
        </is>
      </c>
      <c r="Q141" t="inlineStr"/>
    </row>
    <row r="142">
      <c r="A142" t="inlineStr">
        <is>
          <t>TRI KAS BUNGENG TURATEA</t>
        </is>
      </c>
      <c r="B142" t="inlineStr">
        <is>
          <t>Kab. Jeneponto</t>
        </is>
      </c>
      <c r="C142" t="inlineStr">
        <is>
          <t>08285866885</t>
        </is>
      </c>
      <c r="D142" t="inlineStr">
        <is>
          <t>pt.trikasbungengturatea20@gmail.com</t>
        </is>
      </c>
      <c r="E142" t="inlineStr">
        <is>
          <t>https://lpjk.pu.go.id/search-badan-usaha-detail/TzUvcm52ZlpEMmRFaFZJSVQ1cjNUdz09</t>
        </is>
      </c>
      <c r="F142" t="n">
        <v>1</v>
      </c>
      <c r="G142" t="inlineStr">
        <is>
          <t>BG002</t>
        </is>
      </c>
      <c r="H142" t="inlineStr">
        <is>
          <t>11 Juni 2015</t>
        </is>
      </c>
      <c r="I142" s="2" t="n">
        <v>46235</v>
      </c>
      <c r="J142" t="inlineStr">
        <is>
          <t>Disetujui</t>
        </is>
      </c>
      <c r="K142" t="n">
        <v>30</v>
      </c>
      <c r="L142" t="inlineStr">
        <is>
          <t>1 Agustus 2026</t>
        </is>
      </c>
      <c r="M142" t="inlineStr">
        <is>
          <t>Konstruksi Gedung Perkantoran</t>
        </is>
      </c>
      <c r="N142" t="inlineStr">
        <is>
          <t>K</t>
        </is>
      </c>
      <c r="O142" t="inlineStr">
        <is>
          <t>20230731</t>
        </is>
      </c>
      <c r="P142" t="inlineStr">
        <is>
          <t>Sulawesi Selatan</t>
        </is>
      </c>
      <c r="Q142" t="inlineStr"/>
    </row>
    <row r="143">
      <c r="A143" t="inlineStr">
        <is>
          <t>TRI PUTERA JATI</t>
        </is>
      </c>
      <c r="B143" t="inlineStr">
        <is>
          <t>Kab. Kebumen</t>
        </is>
      </c>
      <c r="C143" t="inlineStr">
        <is>
          <t>08122786673</t>
        </is>
      </c>
      <c r="D143" t="inlineStr">
        <is>
          <t>triputerajaticv2015@gmail.com</t>
        </is>
      </c>
      <c r="E143" t="inlineStr">
        <is>
          <t>https://lpjk.pu.go.id/search-badan-usaha-detail/Ri8yUy9zcDdzMUJoVTdPQjc1c3EwZz09</t>
        </is>
      </c>
      <c r="F143" t="n">
        <v>1</v>
      </c>
      <c r="G143" t="inlineStr">
        <is>
          <t>BS004</t>
        </is>
      </c>
      <c r="H143" t="inlineStr">
        <is>
          <t>22 Juni 2012</t>
        </is>
      </c>
      <c r="I143" s="2" t="n">
        <v>46235</v>
      </c>
      <c r="J143" t="inlineStr">
        <is>
          <t>Disetujui</t>
        </is>
      </c>
      <c r="K143" t="n">
        <v>30</v>
      </c>
      <c r="L143" t="inlineStr">
        <is>
          <t>1 Agustus 2026</t>
        </is>
      </c>
      <c r="M143" t="inlineStr">
        <is>
          <t>Konstruksi Jaringan Irigasi dan Drainase</t>
        </is>
      </c>
      <c r="N143" t="inlineStr">
        <is>
          <t>K</t>
        </is>
      </c>
      <c r="O143" t="inlineStr">
        <is>
          <t>20230801</t>
        </is>
      </c>
      <c r="P143" t="inlineStr">
        <is>
          <t>Jawa Tengah</t>
        </is>
      </c>
      <c r="Q143" t="inlineStr"/>
    </row>
    <row r="144">
      <c r="A144" t="inlineStr">
        <is>
          <t>TRIASA MANDIRI</t>
        </is>
      </c>
      <c r="B144" t="inlineStr">
        <is>
          <t>Kota Ambon</t>
        </is>
      </c>
      <c r="C144" t="inlineStr">
        <is>
          <t>08114782328</t>
        </is>
      </c>
      <c r="D144" t="inlineStr">
        <is>
          <t>abdulw871@gmail.com</t>
        </is>
      </c>
      <c r="E144" t="inlineStr">
        <is>
          <t>https://lpjk.pu.go.id/search-badan-usaha-detail/NHhucFp4WHlXTmdlNWVpRkMzT25jUT09</t>
        </is>
      </c>
      <c r="F144" t="n">
        <v>3</v>
      </c>
      <c r="G144" t="inlineStr">
        <is>
          <t>BG005</t>
        </is>
      </c>
      <c r="H144" t="inlineStr">
        <is>
          <t>29 Agustus 2019</t>
        </is>
      </c>
      <c r="I144" s="2" t="n">
        <v>46235</v>
      </c>
      <c r="J144" t="inlineStr">
        <is>
          <t>Disetujui</t>
        </is>
      </c>
      <c r="K144" t="n">
        <v>30</v>
      </c>
      <c r="L144" t="inlineStr">
        <is>
          <t>1 Agustus 2026</t>
        </is>
      </c>
      <c r="M144" t="inlineStr">
        <is>
          <t>Konstruksi Gedung Kesehatan</t>
        </is>
      </c>
      <c r="N144" t="inlineStr">
        <is>
          <t>K</t>
        </is>
      </c>
      <c r="O144" t="inlineStr">
        <is>
          <t>20230728</t>
        </is>
      </c>
      <c r="P144" t="inlineStr">
        <is>
          <t>Maluku</t>
        </is>
      </c>
      <c r="Q144" t="inlineStr"/>
    </row>
    <row r="145">
      <c r="A145" t="inlineStr">
        <is>
          <t>TRIJAYA TUNGGAL</t>
        </is>
      </c>
      <c r="B145" t="inlineStr">
        <is>
          <t>Kab. Kampar</t>
        </is>
      </c>
      <c r="C145" t="inlineStr">
        <is>
          <t>081260199262</t>
        </is>
      </c>
      <c r="D145" t="inlineStr">
        <is>
          <t>cv.trijayatunggal@yahoo.com</t>
        </is>
      </c>
      <c r="E145" t="inlineStr">
        <is>
          <t>https://lpjk.pu.go.id/search-badan-usaha-detail/T09FVnk0U3B1ZFFpZ1Bidldsbjl3UT09</t>
        </is>
      </c>
      <c r="F145" t="n">
        <v>1</v>
      </c>
      <c r="G145" t="inlineStr">
        <is>
          <t>BG002</t>
        </is>
      </c>
      <c r="H145" t="inlineStr">
        <is>
          <t>14 Januari 2021</t>
        </is>
      </c>
      <c r="I145" s="2" t="n">
        <v>46235</v>
      </c>
      <c r="J145" t="inlineStr">
        <is>
          <t>Disetujui</t>
        </is>
      </c>
      <c r="K145" t="n">
        <v>30</v>
      </c>
      <c r="L145" t="inlineStr">
        <is>
          <t>1 Agustus 2026</t>
        </is>
      </c>
      <c r="M145" t="inlineStr">
        <is>
          <t>Konstruksi Gedung Perkantoran</t>
        </is>
      </c>
      <c r="N145" t="inlineStr">
        <is>
          <t>K</t>
        </is>
      </c>
      <c r="O145" t="inlineStr">
        <is>
          <t>20230801</t>
        </is>
      </c>
      <c r="P145" t="inlineStr">
        <is>
          <t>Riau</t>
        </is>
      </c>
      <c r="Q145" t="inlineStr"/>
    </row>
    <row r="146">
      <c r="A146" t="inlineStr">
        <is>
          <t>UNIVERSAL INTI KONSTRUKSI</t>
        </is>
      </c>
      <c r="B146" t="inlineStr">
        <is>
          <t>Kab. Bantul</t>
        </is>
      </c>
      <c r="C146" t="inlineStr">
        <is>
          <t>0817745423</t>
        </is>
      </c>
      <c r="D146" t="inlineStr">
        <is>
          <t>unikoncv@gmail.com</t>
        </is>
      </c>
      <c r="E146" t="inlineStr">
        <is>
          <t>https://lpjk.pu.go.id/search-badan-usaha-detail/R3RCZkkvTkZKV3djSTdXbzJ3QldmQT09</t>
        </is>
      </c>
      <c r="F146" t="n">
        <v>4</v>
      </c>
      <c r="G146" t="inlineStr">
        <is>
          <t>BG002, BG004</t>
        </is>
      </c>
      <c r="H146" t="inlineStr">
        <is>
          <t>6 Februari 2023</t>
        </is>
      </c>
      <c r="I146" s="2" t="n">
        <v>46235</v>
      </c>
      <c r="J146" t="inlineStr">
        <is>
          <t>Disetujui</t>
        </is>
      </c>
      <c r="K146" t="n">
        <v>30</v>
      </c>
      <c r="L146" t="inlineStr">
        <is>
          <t>1 Agustus 2026</t>
        </is>
      </c>
      <c r="M146" t="inlineStr">
        <is>
          <t>Konstruksi Gedung Perbelanjaan, Konstruksi Gedung Perkantoran</t>
        </is>
      </c>
      <c r="N146" t="inlineStr">
        <is>
          <t>K</t>
        </is>
      </c>
      <c r="O146" t="inlineStr">
        <is>
          <t>20230728</t>
        </is>
      </c>
      <c r="P146" t="inlineStr">
        <is>
          <t>DI Yogyakarta</t>
        </is>
      </c>
      <c r="Q146" t="inlineStr"/>
    </row>
    <row r="147">
      <c r="A147" t="inlineStr">
        <is>
          <t>UTAMA MULTI KREASINDO</t>
        </is>
      </c>
      <c r="B147" t="inlineStr">
        <is>
          <t>Kab. Kebumen</t>
        </is>
      </c>
      <c r="C147" t="inlineStr">
        <is>
          <t>081327667634</t>
        </is>
      </c>
      <c r="D147" t="inlineStr">
        <is>
          <t>cvutamamultikreasindo@gmail.com</t>
        </is>
      </c>
      <c r="E147" t="inlineStr">
        <is>
          <t>https://lpjk.pu.go.id/search-badan-usaha-detail/alBwQkFuL3E5dnlqaVB6UHUyaW1EQT09</t>
        </is>
      </c>
      <c r="F147" t="n">
        <v>4</v>
      </c>
      <c r="G147" t="inlineStr">
        <is>
          <t>BG005, BG006, BG009, BS005</t>
        </is>
      </c>
      <c r="H147" t="inlineStr">
        <is>
          <t>21 Juni 2023</t>
        </is>
      </c>
      <c r="I147" s="2" t="n">
        <v>46235</v>
      </c>
      <c r="J147" t="inlineStr">
        <is>
          <t>Disetujui</t>
        </is>
      </c>
      <c r="K147" t="n">
        <v>30</v>
      </c>
      <c r="L147" t="inlineStr">
        <is>
          <t>1 Agustus 2026</t>
        </is>
      </c>
      <c r="M147" t="inlineStr">
        <is>
          <t>Konstruksi Bangunan Sipil Pengolahan Air Bersih, Konstruksi Gedung Kesehatan, Konstruksi Gedung Lainnya, Konstruksi Gedung Pendidikan</t>
        </is>
      </c>
      <c r="N147" t="inlineStr">
        <is>
          <t>K</t>
        </is>
      </c>
      <c r="O147" t="inlineStr">
        <is>
          <t>20230801</t>
        </is>
      </c>
      <c r="P147" t="inlineStr">
        <is>
          <t>Jawa Tengah</t>
        </is>
      </c>
      <c r="Q147" t="inlineStr"/>
    </row>
    <row r="148">
      <c r="A148" t="inlineStr">
        <is>
          <t>VISIPLAN KONSULTAN</t>
        </is>
      </c>
      <c r="B148" t="inlineStr">
        <is>
          <t>Kota Banda Aceh</t>
        </is>
      </c>
      <c r="C148" t="inlineStr">
        <is>
          <t>08126361540</t>
        </is>
      </c>
      <c r="D148" t="inlineStr">
        <is>
          <t>vipkons_aceh@yahoo.com</t>
        </is>
      </c>
      <c r="E148" t="inlineStr">
        <is>
          <t>https://lpjk.pu.go.id/search-badan-usaha-detail/cit2MjVzcXJ0L1hoS3JoR2pNOEo2UT09</t>
        </is>
      </c>
      <c r="F148" t="n">
        <v>3</v>
      </c>
      <c r="G148" t="inlineStr">
        <is>
          <t>RK001, RK002, RK003</t>
        </is>
      </c>
      <c r="H148" t="inlineStr">
        <is>
          <t>22 Juni 1999</t>
        </is>
      </c>
      <c r="I148" s="2" t="n">
        <v>46235</v>
      </c>
      <c r="J148" t="inlineStr">
        <is>
          <t>Disetujui</t>
        </is>
      </c>
      <c r="K148" t="n">
        <v>30</v>
      </c>
      <c r="L148" t="inlineStr">
        <is>
          <t>1 Agustus 2026</t>
        </is>
      </c>
      <c r="M148" t="inlineStr">
        <is>
          <t>Jasa Rekayasa Konstruksi Bangunan Gedung Hunian dan Non Hunian, Jasa Rekayasa Pekerjaan Teknik Sipil Sumber Daya Air, Jasa Rekayasa Pekerjaan Teknik Sipil Transportasi</t>
        </is>
      </c>
      <c r="N148" t="inlineStr">
        <is>
          <t>M</t>
        </is>
      </c>
      <c r="O148" t="inlineStr">
        <is>
          <t>20230712</t>
        </is>
      </c>
      <c r="P148" t="inlineStr">
        <is>
          <t>Aceh</t>
        </is>
      </c>
      <c r="Q148" t="inlineStr"/>
    </row>
    <row r="149">
      <c r="A149" t="inlineStr">
        <is>
          <t>WAHYU GEMILANG</t>
        </is>
      </c>
      <c r="B149" t="inlineStr">
        <is>
          <t>Kota Bontang</t>
        </is>
      </c>
      <c r="C149" t="inlineStr">
        <is>
          <t>08115812731</t>
        </is>
      </c>
      <c r="D149" t="inlineStr">
        <is>
          <t>andra8228@gmail.com</t>
        </is>
      </c>
      <c r="E149" t="inlineStr">
        <is>
          <t>https://lpjk.pu.go.id/search-badan-usaha-detail/TWFibHc1SzBybEJreU50VERCdldWZz09</t>
        </is>
      </c>
      <c r="F149" t="n">
        <v>1</v>
      </c>
      <c r="G149" t="inlineStr">
        <is>
          <t>BG008</t>
        </is>
      </c>
      <c r="H149" t="inlineStr">
        <is>
          <t>4 Februari 2015</t>
        </is>
      </c>
      <c r="I149" s="2" t="n">
        <v>46235</v>
      </c>
      <c r="J149" t="inlineStr">
        <is>
          <t>Disetujui</t>
        </is>
      </c>
      <c r="K149" t="n">
        <v>30</v>
      </c>
      <c r="L149" t="inlineStr">
        <is>
          <t>1 Agustus 2026</t>
        </is>
      </c>
      <c r="M149" t="inlineStr">
        <is>
          <t>Konstruksi Gedung Tempat Hiburan dan Olahraga</t>
        </is>
      </c>
      <c r="N149" t="inlineStr">
        <is>
          <t>K</t>
        </is>
      </c>
      <c r="O149" t="inlineStr">
        <is>
          <t>20230730</t>
        </is>
      </c>
      <c r="P149" t="inlineStr">
        <is>
          <t>Kalimantan Timur</t>
        </is>
      </c>
      <c r="Q149" t="inlineStr"/>
    </row>
    <row r="150">
      <c r="A150" t="inlineStr">
        <is>
          <t>WAHYU PRATAMA</t>
        </is>
      </c>
      <c r="B150" t="inlineStr">
        <is>
          <t>Kab. Blitar</t>
        </is>
      </c>
      <c r="C150" t="inlineStr">
        <is>
          <t>085649334867</t>
        </is>
      </c>
      <c r="D150" t="inlineStr">
        <is>
          <t>yudipurnomo.wp18@gmail.com</t>
        </is>
      </c>
      <c r="E150" t="inlineStr">
        <is>
          <t>https://lpjk.pu.go.id/search-badan-usaha-detail/encvWGpBakhEZXQrb2hUUW1OdTF0QT09</t>
        </is>
      </c>
      <c r="F150" t="n">
        <v>1</v>
      </c>
      <c r="G150" t="inlineStr">
        <is>
          <t>BS001</t>
        </is>
      </c>
      <c r="H150" t="inlineStr">
        <is>
          <t>28 Juni 2006</t>
        </is>
      </c>
      <c r="I150" s="2" t="n">
        <v>46235</v>
      </c>
      <c r="J150" t="inlineStr">
        <is>
          <t>Disetujui</t>
        </is>
      </c>
      <c r="K150" t="n">
        <v>30</v>
      </c>
      <c r="L150" t="inlineStr">
        <is>
          <t>1 Agustus 2026</t>
        </is>
      </c>
      <c r="M150" t="inlineStr">
        <is>
          <t>Konstruksi Bangunan Sipil Jalan</t>
        </is>
      </c>
      <c r="N150" t="inlineStr">
        <is>
          <t>K</t>
        </is>
      </c>
      <c r="O150" t="inlineStr">
        <is>
          <t>20230801</t>
        </is>
      </c>
      <c r="P150" t="inlineStr">
        <is>
          <t>Jawa Timur</t>
        </is>
      </c>
      <c r="Q150" t="inlineStr"/>
    </row>
    <row r="151">
      <c r="A151" t="inlineStr">
        <is>
          <t>WIJAYA REKA CIPTA</t>
        </is>
      </c>
      <c r="B151" t="inlineStr">
        <is>
          <t>Kota Padang</t>
        </is>
      </c>
      <c r="C151" t="inlineStr">
        <is>
          <t>082388221555</t>
        </is>
      </c>
      <c r="D151" t="inlineStr">
        <is>
          <t>wijayarekacipta@gmail.com</t>
        </is>
      </c>
      <c r="E151" t="inlineStr">
        <is>
          <t>https://lpjk.pu.go.id/search-badan-usaha-detail/ZnN5QUl3ckhZUkpHNGllYmMyVjZEdz09</t>
        </is>
      </c>
      <c r="F151" t="n">
        <v>2</v>
      </c>
      <c r="G151" t="inlineStr">
        <is>
          <t>RK003</t>
        </is>
      </c>
      <c r="H151" t="inlineStr">
        <is>
          <t>5 Januari 2023</t>
        </is>
      </c>
      <c r="I151" s="2" t="n">
        <v>46235</v>
      </c>
      <c r="J151" t="inlineStr">
        <is>
          <t>Disetujui</t>
        </is>
      </c>
      <c r="K151" t="n">
        <v>30</v>
      </c>
      <c r="L151" t="inlineStr">
        <is>
          <t>1 Agustus 2026</t>
        </is>
      </c>
      <c r="M151" t="inlineStr">
        <is>
          <t>Jasa Rekayasa Pekerjaan Teknik Sipil Transportasi</t>
        </is>
      </c>
      <c r="N151" t="inlineStr">
        <is>
          <t>K</t>
        </is>
      </c>
      <c r="O151" t="inlineStr">
        <is>
          <t>20230725</t>
        </is>
      </c>
      <c r="P151" t="inlineStr">
        <is>
          <t>Sumatera Barat</t>
        </is>
      </c>
      <c r="Q151" t="inlineStr"/>
    </row>
    <row r="152">
      <c r="A152" t="inlineStr">
        <is>
          <t>ZAFRAN MUDA MANDIRI</t>
        </is>
      </c>
      <c r="B152" t="inlineStr">
        <is>
          <t>Kota Tual</t>
        </is>
      </c>
      <c r="C152" t="inlineStr">
        <is>
          <t>081314155550</t>
        </is>
      </c>
      <c r="D152" t="inlineStr">
        <is>
          <t>zafranmudam4ndiri@gmail.com</t>
        </is>
      </c>
      <c r="E152" t="inlineStr">
        <is>
          <t>https://lpjk.pu.go.id/search-badan-usaha-detail/Zm14Y3VlaXBlbVRuRDA0eWV0WWt6dz09</t>
        </is>
      </c>
      <c r="F152" t="n">
        <v>1</v>
      </c>
      <c r="G152" t="inlineStr">
        <is>
          <t>BS010</t>
        </is>
      </c>
      <c r="H152" t="inlineStr">
        <is>
          <t>18 Maret 2020</t>
        </is>
      </c>
      <c r="I152" s="2" t="n">
        <v>46235</v>
      </c>
      <c r="J152" t="inlineStr">
        <is>
          <t>Pencabutan</t>
        </is>
      </c>
      <c r="K152" t="n">
        <v>30</v>
      </c>
      <c r="L152" t="inlineStr">
        <is>
          <t>1 Agustus 2026</t>
        </is>
      </c>
      <c r="M152" t="inlineStr">
        <is>
          <t>Konstruksi Bangunan Prasarana Sumber Daya Air</t>
        </is>
      </c>
      <c r="N152" t="inlineStr">
        <is>
          <t>K</t>
        </is>
      </c>
      <c r="O152" t="inlineStr">
        <is>
          <t>20230723</t>
        </is>
      </c>
      <c r="P152" t="inlineStr">
        <is>
          <t>Maluku</t>
        </is>
      </c>
      <c r="Q1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2026-07-02T02:30:49Z</dcterms:created>
  <dcterms:modified xsi:type="dcterms:W3CDTF">2026-07-02T02:30:50Z</dcterms:modified>
</cp:coreProperties>
</file>