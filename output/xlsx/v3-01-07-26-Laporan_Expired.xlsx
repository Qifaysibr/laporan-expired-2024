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4"/>
  <sheetViews>
    <sheetView workbookViewId="0">
      <selection activeCell="A1" sqref="A1"/>
    </sheetView>
  </sheetViews>
  <sheetFormatPr baseColWidth="8" defaultRowHeight="15"/>
  <cols>
    <col width="30" customWidth="1" min="1" max="1"/>
    <col width="27" customWidth="1" min="2" max="2"/>
    <col width="15" customWidth="1" min="3" max="3"/>
    <col width="38"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9"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ANGKAMAS DHIRGA INDONESIA</t>
        </is>
      </c>
      <c r="B2" t="inlineStr">
        <is>
          <t>Kota Adm. Jakarta Timur</t>
        </is>
      </c>
      <c r="C2" t="inlineStr">
        <is>
          <t>02147864664</t>
        </is>
      </c>
      <c r="D2" t="inlineStr">
        <is>
          <t>pt.angkamasdirgaindonesia@gmail.com</t>
        </is>
      </c>
      <c r="E2" t="inlineStr">
        <is>
          <t>https://lpjk.pu.go.id/search-badan-usaha-detail/Tndjc2VLS25Dc3M1VERqa1lZWW5MZz09</t>
        </is>
      </c>
      <c r="F2" t="n">
        <v>3</v>
      </c>
      <c r="G2" t="inlineStr">
        <is>
          <t>BG001, BG006, BG009</t>
        </is>
      </c>
      <c r="H2" t="inlineStr">
        <is>
          <t>18 Agustus 2022</t>
        </is>
      </c>
      <c r="I2" s="2" t="n">
        <v>46294</v>
      </c>
      <c r="J2" t="inlineStr">
        <is>
          <t>Disetujui</t>
        </is>
      </c>
      <c r="K2" t="n">
        <v>90</v>
      </c>
      <c r="L2" t="inlineStr">
        <is>
          <t>29 September 2026</t>
        </is>
      </c>
      <c r="M2" t="inlineStr">
        <is>
          <t>Konstruksi Gedung Hunian, Konstruksi Gedung Lainnya, Konstruksi Gedung Pendidikan</t>
        </is>
      </c>
      <c r="N2" t="inlineStr">
        <is>
          <t>K</t>
        </is>
      </c>
      <c r="O2" t="inlineStr">
        <is>
          <t>20230925, 20230926</t>
        </is>
      </c>
      <c r="P2" t="inlineStr">
        <is>
          <t>DKI Jakarta</t>
        </is>
      </c>
      <c r="Q2" t="inlineStr"/>
    </row>
    <row r="3">
      <c r="A3" t="inlineStr">
        <is>
          <t>EASTERN INDOTECH MULTITAMA</t>
        </is>
      </c>
      <c r="B3" t="inlineStr">
        <is>
          <t>Kab. Bekasi</t>
        </is>
      </c>
      <c r="C3" t="inlineStr">
        <is>
          <t>02122101964</t>
        </is>
      </c>
      <c r="D3" t="inlineStr">
        <is>
          <t>sales@easternindotech.com</t>
        </is>
      </c>
      <c r="E3" t="inlineStr">
        <is>
          <t>https://lpjk.pu.go.id/search-badan-usaha-detail/VnpxeGJQelErajNyT0J1dnkzRW9Idz09</t>
        </is>
      </c>
      <c r="F3" t="n">
        <v>1</v>
      </c>
      <c r="G3" t="inlineStr">
        <is>
          <t>BG009</t>
        </is>
      </c>
      <c r="H3" t="inlineStr">
        <is>
          <t>20 Februari 2006</t>
        </is>
      </c>
      <c r="I3" s="2" t="n">
        <v>46294</v>
      </c>
      <c r="J3" t="inlineStr">
        <is>
          <t>Disetujui</t>
        </is>
      </c>
      <c r="K3" t="n">
        <v>90</v>
      </c>
      <c r="L3" t="inlineStr">
        <is>
          <t>29 September 2026</t>
        </is>
      </c>
      <c r="M3" t="inlineStr">
        <is>
          <t>Konstruksi Gedung Lainnya</t>
        </is>
      </c>
      <c r="N3" t="inlineStr">
        <is>
          <t>M</t>
        </is>
      </c>
      <c r="O3" t="inlineStr">
        <is>
          <t>20230918</t>
        </is>
      </c>
      <c r="P3" t="inlineStr">
        <is>
          <t>Jawa Barat</t>
        </is>
      </c>
      <c r="Q3" t="inlineStr"/>
    </row>
    <row r="4">
      <c r="A4" t="inlineStr">
        <is>
          <t>HUMA JAYA TEKNIK</t>
        </is>
      </c>
      <c r="B4" t="inlineStr">
        <is>
          <t>Kab. Bogor</t>
        </is>
      </c>
      <c r="C4" t="inlineStr">
        <is>
          <t>081295088844</t>
        </is>
      </c>
      <c r="D4" t="inlineStr">
        <is>
          <t>humajayateknik@gmail.com</t>
        </is>
      </c>
      <c r="E4" t="inlineStr">
        <is>
          <t>https://lpjk.pu.go.id/search-badan-usaha-detail/VUU0UFdXdFM0dWVMQkdSNUlBa2VzZz09</t>
        </is>
      </c>
      <c r="F4" t="n">
        <v>1</v>
      </c>
      <c r="G4" t="inlineStr">
        <is>
          <t>BG009</t>
        </is>
      </c>
      <c r="H4" t="inlineStr">
        <is>
          <t>10 Maret 2016</t>
        </is>
      </c>
      <c r="I4" s="2" t="n">
        <v>46294</v>
      </c>
      <c r="J4" t="inlineStr">
        <is>
          <t>Disetujui</t>
        </is>
      </c>
      <c r="K4" t="n">
        <v>90</v>
      </c>
      <c r="L4" t="inlineStr">
        <is>
          <t>29 September 2026</t>
        </is>
      </c>
      <c r="M4" t="inlineStr">
        <is>
          <t>Konstruksi Gedung Lainnya</t>
        </is>
      </c>
      <c r="N4" t="inlineStr">
        <is>
          <t>K</t>
        </is>
      </c>
      <c r="O4" t="inlineStr">
        <is>
          <t>20230928</t>
        </is>
      </c>
      <c r="P4" t="inlineStr">
        <is>
          <t>Jawa Barat</t>
        </is>
      </c>
      <c r="Q4" s="3">
        <f>HYPERLINK("https://wa.me/6281295088844?text=Selamat siang Bapak/Ibu pimpinan HUMA JAYA TEKNIK,%0A%0ASemoga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INDOTAMA SAKTI SEJAHTERA</t>
        </is>
      </c>
      <c r="B5" t="inlineStr">
        <is>
          <t>Kota Bekasi</t>
        </is>
      </c>
      <c r="C5" t="inlineStr">
        <is>
          <t>02189993502</t>
        </is>
      </c>
      <c r="D5" t="inlineStr">
        <is>
          <t>pt.indotamasaktisejahtera@gmail.com</t>
        </is>
      </c>
      <c r="E5" t="inlineStr">
        <is>
          <t>https://lpjk.pu.go.id/search-badan-usaha-detail/cXFXTG9hWklqbmJpSUhZTEVFRjVwZz09</t>
        </is>
      </c>
      <c r="F5" t="n">
        <v>6</v>
      </c>
      <c r="G5" t="inlineStr">
        <is>
          <t>BG002</t>
        </is>
      </c>
      <c r="H5" t="inlineStr">
        <is>
          <t>26 Oktober 2021</t>
        </is>
      </c>
      <c r="I5" s="2" t="n">
        <v>46294</v>
      </c>
      <c r="J5" t="inlineStr">
        <is>
          <t>Pencabutan</t>
        </is>
      </c>
      <c r="K5" t="n">
        <v>90</v>
      </c>
      <c r="L5" t="inlineStr">
        <is>
          <t>29 September 2026</t>
        </is>
      </c>
      <c r="M5" t="inlineStr">
        <is>
          <t>Konstruksi Gedung Perkantoran</t>
        </is>
      </c>
      <c r="N5" t="inlineStr">
        <is>
          <t>K</t>
        </is>
      </c>
      <c r="O5" t="inlineStr">
        <is>
          <t>20230921</t>
        </is>
      </c>
      <c r="P5" t="inlineStr">
        <is>
          <t>Jawa Barat</t>
        </is>
      </c>
      <c r="Q5" t="inlineStr"/>
    </row>
    <row r="6">
      <c r="A6" t="inlineStr">
        <is>
          <t>PANCA DUTA PRAKARSA</t>
        </is>
      </c>
      <c r="B6" t="inlineStr">
        <is>
          <t>Kab. Bogor</t>
        </is>
      </c>
      <c r="C6" t="inlineStr">
        <is>
          <t>02187950389</t>
        </is>
      </c>
      <c r="D6" t="inlineStr">
        <is>
          <t>info@pancaduta.com</t>
        </is>
      </c>
      <c r="E6" t="inlineStr">
        <is>
          <t>https://lpjk.pu.go.id/search-badan-usaha-detail/R0k2NmVORzl1MkFmdzcyUXZYTExBZz09</t>
        </is>
      </c>
      <c r="F6" t="n">
        <v>1</v>
      </c>
      <c r="G6" t="inlineStr">
        <is>
          <t>BS011</t>
        </is>
      </c>
      <c r="H6" t="inlineStr">
        <is>
          <t>27 Oktober 2003</t>
        </is>
      </c>
      <c r="I6" s="2" t="n">
        <v>46294</v>
      </c>
      <c r="J6" t="inlineStr">
        <is>
          <t>Pencabutan</t>
        </is>
      </c>
      <c r="K6" t="n">
        <v>90</v>
      </c>
      <c r="L6" t="inlineStr">
        <is>
          <t>29 September 2026</t>
        </is>
      </c>
      <c r="M6" t="inlineStr">
        <is>
          <t>Konstruksi Bangunan Pelabuhan Bukan Perikanan</t>
        </is>
      </c>
      <c r="N6" t="inlineStr">
        <is>
          <t>B</t>
        </is>
      </c>
      <c r="O6" t="inlineStr">
        <is>
          <t>20230927</t>
        </is>
      </c>
      <c r="P6" t="inlineStr">
        <is>
          <t>Jawa Barat</t>
        </is>
      </c>
      <c r="Q6" t="inlineStr"/>
    </row>
    <row r="7">
      <c r="A7" t="inlineStr">
        <is>
          <t>RAMA PERKASA</t>
        </is>
      </c>
      <c r="B7" t="inlineStr">
        <is>
          <t>Kota Depok</t>
        </is>
      </c>
      <c r="C7" t="inlineStr">
        <is>
          <t>02187712763</t>
        </is>
      </c>
      <c r="D7" t="inlineStr">
        <is>
          <t>ramaperkasa@gmail.com</t>
        </is>
      </c>
      <c r="E7" t="inlineStr">
        <is>
          <t>https://lpjk.pu.go.id/search-badan-usaha-detail/SzFNeWtJSk1jVWU0QzlOWHZTanY1UT09</t>
        </is>
      </c>
      <c r="F7" t="n">
        <v>1</v>
      </c>
      <c r="G7" t="inlineStr">
        <is>
          <t>BS001</t>
        </is>
      </c>
      <c r="H7" t="inlineStr">
        <is>
          <t>18 Juni 2008</t>
        </is>
      </c>
      <c r="I7" s="2" t="n">
        <v>46294</v>
      </c>
      <c r="J7" t="inlineStr">
        <is>
          <t>Disetujui</t>
        </is>
      </c>
      <c r="K7" t="n">
        <v>90</v>
      </c>
      <c r="L7" t="inlineStr">
        <is>
          <t>29 September 2026</t>
        </is>
      </c>
      <c r="M7" t="inlineStr">
        <is>
          <t>Konstruksi Bangunan Sipil Jalan</t>
        </is>
      </c>
      <c r="N7" t="inlineStr">
        <is>
          <t>K</t>
        </is>
      </c>
      <c r="O7" t="inlineStr">
        <is>
          <t>20230927</t>
        </is>
      </c>
      <c r="P7" t="inlineStr">
        <is>
          <t>Jawa Barat</t>
        </is>
      </c>
      <c r="Q7" t="inlineStr"/>
    </row>
    <row r="8">
      <c r="A8" t="inlineStr">
        <is>
          <t>SOLUNA BERLIMA PUTRA</t>
        </is>
      </c>
      <c r="B8" t="inlineStr">
        <is>
          <t>Kota Adm. Jakarta Timur</t>
        </is>
      </c>
      <c r="C8" t="inlineStr">
        <is>
          <t>02185918169</t>
        </is>
      </c>
      <c r="D8" t="inlineStr">
        <is>
          <t>soluna_5putra@yahoo.co.id</t>
        </is>
      </c>
      <c r="E8" t="inlineStr">
        <is>
          <t>https://lpjk.pu.go.id/search-badan-usaha-detail/ZmxRcDJYaFJ2bnFxMG9CUXJ1Y2E0UT09</t>
        </is>
      </c>
      <c r="F8" t="n">
        <v>1</v>
      </c>
      <c r="G8" t="inlineStr">
        <is>
          <t>BG002</t>
        </is>
      </c>
      <c r="H8" t="inlineStr">
        <is>
          <t>31 Oktober 2013</t>
        </is>
      </c>
      <c r="I8" s="2" t="n">
        <v>46294</v>
      </c>
      <c r="J8" t="inlineStr">
        <is>
          <t>Disetujui</t>
        </is>
      </c>
      <c r="K8" t="n">
        <v>90</v>
      </c>
      <c r="L8" t="inlineStr">
        <is>
          <t>29 September 2026</t>
        </is>
      </c>
      <c r="M8" t="inlineStr">
        <is>
          <t>Konstruksi Gedung Perkantoran</t>
        </is>
      </c>
      <c r="N8" t="inlineStr">
        <is>
          <t>K</t>
        </is>
      </c>
      <c r="O8" t="inlineStr">
        <is>
          <t>20230919</t>
        </is>
      </c>
      <c r="P8" t="inlineStr">
        <is>
          <t>DKI Jakarta</t>
        </is>
      </c>
      <c r="Q8" t="inlineStr"/>
    </row>
    <row r="9">
      <c r="A9" t="inlineStr">
        <is>
          <t>ADHI UTAMA</t>
        </is>
      </c>
      <c r="B9" t="inlineStr">
        <is>
          <t>Kota Pangkal Pinang</t>
        </is>
      </c>
      <c r="C9" t="inlineStr">
        <is>
          <t>081271174700</t>
        </is>
      </c>
      <c r="D9" t="inlineStr">
        <is>
          <t>adhiutamapkp@gmail.com</t>
        </is>
      </c>
      <c r="E9" t="inlineStr">
        <is>
          <t>https://lpjk.pu.go.id/search-badan-usaha-detail/by9ZRS9veGRxdGVyL0g0bGFRTDFPQT09</t>
        </is>
      </c>
      <c r="F9" t="n">
        <v>1</v>
      </c>
      <c r="G9" t="inlineStr">
        <is>
          <t>BG006</t>
        </is>
      </c>
      <c r="H9" t="inlineStr">
        <is>
          <t>27 Desember 2017</t>
        </is>
      </c>
      <c r="I9" s="2" t="n">
        <v>46294</v>
      </c>
      <c r="J9" t="inlineStr">
        <is>
          <t>Pencabutan</t>
        </is>
      </c>
      <c r="K9" t="n">
        <v>90</v>
      </c>
      <c r="L9" t="inlineStr">
        <is>
          <t>29 September 2026</t>
        </is>
      </c>
      <c r="M9" t="inlineStr">
        <is>
          <t>Konstruksi Gedung Pendidikan</t>
        </is>
      </c>
      <c r="N9" t="inlineStr">
        <is>
          <t>K</t>
        </is>
      </c>
      <c r="O9" t="inlineStr">
        <is>
          <t>20230930</t>
        </is>
      </c>
      <c r="P9" t="inlineStr">
        <is>
          <t>Kepulauan Bangka Belitung</t>
        </is>
      </c>
      <c r="Q9" t="inlineStr"/>
    </row>
    <row r="10">
      <c r="A10" t="inlineStr">
        <is>
          <t>ADI NUGROHO KONSTRUKSINDO</t>
        </is>
      </c>
      <c r="B10" t="inlineStr">
        <is>
          <t>Kota Surakarta</t>
        </is>
      </c>
      <c r="C10" t="inlineStr">
        <is>
          <t>0271720139</t>
        </is>
      </c>
      <c r="D10" t="inlineStr">
        <is>
          <t>adinugroho_ska@yahoo.co.id</t>
        </is>
      </c>
      <c r="E10" t="inlineStr">
        <is>
          <t>https://lpjk.pu.go.id/search-badan-usaha-detail/SmRpTVJldGwrVGlsNUowSTBtYW0xZz09</t>
        </is>
      </c>
      <c r="F10" t="n">
        <v>3</v>
      </c>
      <c r="G10" t="inlineStr">
        <is>
          <t>BG005, BG006, BG009</t>
        </is>
      </c>
      <c r="H10" t="inlineStr">
        <is>
          <t>29 Juli 1982</t>
        </is>
      </c>
      <c r="I10" s="2" t="n">
        <v>46294</v>
      </c>
      <c r="J10" t="inlineStr">
        <is>
          <t>Disetujui</t>
        </is>
      </c>
      <c r="K10" t="n">
        <v>90</v>
      </c>
      <c r="L10" t="inlineStr">
        <is>
          <t>29 September 2026</t>
        </is>
      </c>
      <c r="M10" t="inlineStr">
        <is>
          <t>Konstruksi Gedung Kesehatan, Konstruksi Gedung Lainnya, Konstruksi Gedung Pendidikan</t>
        </is>
      </c>
      <c r="N10" t="inlineStr">
        <is>
          <t>K</t>
        </is>
      </c>
      <c r="O10" t="inlineStr">
        <is>
          <t>20230926</t>
        </is>
      </c>
      <c r="P10" t="inlineStr">
        <is>
          <t>Jawa Tengah</t>
        </is>
      </c>
      <c r="Q10" t="inlineStr"/>
    </row>
    <row r="11">
      <c r="A11" t="inlineStr">
        <is>
          <t>ALPHA SURYA DWITAMA</t>
        </is>
      </c>
      <c r="B11" t="inlineStr">
        <is>
          <t>Kota Bandung</t>
        </is>
      </c>
      <c r="C11" t="inlineStr">
        <is>
          <t>087825034678</t>
        </is>
      </c>
      <c r="D11" t="inlineStr">
        <is>
          <t>alphasuryadwitama@gmail.com</t>
        </is>
      </c>
      <c r="E11" t="inlineStr">
        <is>
          <t>https://lpjk.pu.go.id/search-badan-usaha-detail/T2ZtVU5OQnhtWG1EOEx0aGdudUM4UT09</t>
        </is>
      </c>
      <c r="F11" t="n">
        <v>1</v>
      </c>
      <c r="G11" t="inlineStr">
        <is>
          <t>BS001</t>
        </is>
      </c>
      <c r="H11" t="inlineStr">
        <is>
          <t>24 Desember 2021</t>
        </is>
      </c>
      <c r="I11" s="2" t="n">
        <v>46294</v>
      </c>
      <c r="J11" t="inlineStr">
        <is>
          <t>Disetujui</t>
        </is>
      </c>
      <c r="K11" t="n">
        <v>90</v>
      </c>
      <c r="L11" t="inlineStr">
        <is>
          <t>29 September 2026</t>
        </is>
      </c>
      <c r="M11" t="inlineStr">
        <is>
          <t>Konstruksi Bangunan Sipil Jalan</t>
        </is>
      </c>
      <c r="N11" t="inlineStr">
        <is>
          <t>K</t>
        </is>
      </c>
      <c r="O11" t="inlineStr">
        <is>
          <t>20230929</t>
        </is>
      </c>
      <c r="P11" t="inlineStr">
        <is>
          <t>Jawa Barat</t>
        </is>
      </c>
      <c r="Q11" t="inlineStr"/>
    </row>
    <row r="12">
      <c r="A12" t="inlineStr">
        <is>
          <t>AMINY MANDIRI PAPUA</t>
        </is>
      </c>
      <c r="B12" t="inlineStr">
        <is>
          <t>Kab. Mimika</t>
        </is>
      </c>
      <c r="C12" t="inlineStr">
        <is>
          <t>081344318480</t>
        </is>
      </c>
      <c r="D12" t="inlineStr">
        <is>
          <t>cvaminymandiripapua@gmail.com</t>
        </is>
      </c>
      <c r="E12" t="inlineStr">
        <is>
          <t>https://lpjk.pu.go.id/search-badan-usaha-detail/QXA0M2M0TmE0S25MSkxsZzkwTHk0UT09</t>
        </is>
      </c>
      <c r="F12" t="n">
        <v>2</v>
      </c>
      <c r="G12" t="inlineStr">
        <is>
          <t>BG001, BG006</t>
        </is>
      </c>
      <c r="H12" t="inlineStr">
        <is>
          <t>16 Agustus 2023</t>
        </is>
      </c>
      <c r="I12" s="2" t="n">
        <v>46294</v>
      </c>
      <c r="J12" t="inlineStr">
        <is>
          <t>Pencabutan</t>
        </is>
      </c>
      <c r="K12" t="n">
        <v>90</v>
      </c>
      <c r="L12" t="inlineStr">
        <is>
          <t>29 September 2026</t>
        </is>
      </c>
      <c r="M12" t="inlineStr">
        <is>
          <t>Konstruksi Gedung Hunian, Konstruksi Gedung Pendidikan</t>
        </is>
      </c>
      <c r="N12" t="inlineStr">
        <is>
          <t>K</t>
        </is>
      </c>
      <c r="O12" t="inlineStr">
        <is>
          <t>20230929</t>
        </is>
      </c>
      <c r="P12" t="inlineStr">
        <is>
          <t>Papua</t>
        </is>
      </c>
      <c r="Q12" t="inlineStr"/>
    </row>
    <row r="13">
      <c r="A13" t="inlineStr">
        <is>
          <t>ANANDA NINA PRATAMA</t>
        </is>
      </c>
      <c r="B13" t="inlineStr">
        <is>
          <t>Kab. Tanah Laut</t>
        </is>
      </c>
      <c r="C13" t="inlineStr">
        <is>
          <t>081251333809</t>
        </is>
      </c>
      <c r="D13" t="inlineStr">
        <is>
          <t>anandaninapratama@yahoo.co.id</t>
        </is>
      </c>
      <c r="E13" t="inlineStr">
        <is>
          <t>https://lpjk.pu.go.id/search-badan-usaha-detail/aUxWYTRRMlUyM2V0U1hpelhDZ2Y1dz09</t>
        </is>
      </c>
      <c r="F13" t="n">
        <v>2</v>
      </c>
      <c r="G13" t="inlineStr">
        <is>
          <t>BS002</t>
        </is>
      </c>
      <c r="H13" t="inlineStr">
        <is>
          <t>10 Januari 2014</t>
        </is>
      </c>
      <c r="I13" s="2" t="n">
        <v>46294</v>
      </c>
      <c r="J13" t="inlineStr">
        <is>
          <t>Disetujui</t>
        </is>
      </c>
      <c r="K13" t="n">
        <v>90</v>
      </c>
      <c r="L13" t="inlineStr">
        <is>
          <t>29 September 2026</t>
        </is>
      </c>
      <c r="M13" t="inlineStr">
        <is>
          <t>Bangunan Sipil Jembatan, Jalan Layang, Fly Over, dan Underpass</t>
        </is>
      </c>
      <c r="N13" t="inlineStr">
        <is>
          <t>K</t>
        </is>
      </c>
      <c r="O13" t="inlineStr">
        <is>
          <t>20230926</t>
        </is>
      </c>
      <c r="P13" t="inlineStr">
        <is>
          <t>Kalimantan Selatan</t>
        </is>
      </c>
      <c r="Q13" t="inlineStr"/>
    </row>
    <row r="14">
      <c r="A14" t="inlineStr">
        <is>
          <t>ANDI WHINATA</t>
        </is>
      </c>
      <c r="B14" t="inlineStr">
        <is>
          <t>Kab. Jember</t>
        </is>
      </c>
      <c r="C14" t="inlineStr">
        <is>
          <t>082330201171</t>
        </is>
      </c>
      <c r="D14" t="inlineStr">
        <is>
          <t>cvandiwhinata@yahoo.co.id</t>
        </is>
      </c>
      <c r="E14" t="inlineStr">
        <is>
          <t>https://lpjk.pu.go.id/search-badan-usaha-detail/R1B0Wk41enFDN01IVkgxRGFyMStCZz09</t>
        </is>
      </c>
      <c r="F14" t="n">
        <v>3</v>
      </c>
      <c r="G14" t="inlineStr">
        <is>
          <t>BG002, BG005, BG006</t>
        </is>
      </c>
      <c r="H14" t="inlineStr">
        <is>
          <t>29 Juli 1996</t>
        </is>
      </c>
      <c r="I14" s="2" t="n">
        <v>46294</v>
      </c>
      <c r="J14" t="inlineStr">
        <is>
          <t>Disetujui</t>
        </is>
      </c>
      <c r="K14" t="n">
        <v>90</v>
      </c>
      <c r="L14" t="inlineStr">
        <is>
          <t>29 September 2026</t>
        </is>
      </c>
      <c r="M14" t="inlineStr">
        <is>
          <t>Konstruksi Gedung Kesehatan, Konstruksi Gedung Pendidikan, Konstruksi Gedung Perkantoran</t>
        </is>
      </c>
      <c r="N14" t="inlineStr">
        <is>
          <t>K</t>
        </is>
      </c>
      <c r="O14" t="inlineStr">
        <is>
          <t>20230825</t>
        </is>
      </c>
      <c r="P14" t="inlineStr">
        <is>
          <t>Jawa Timur</t>
        </is>
      </c>
      <c r="Q14" t="inlineStr"/>
    </row>
    <row r="15">
      <c r="A15" t="inlineStr">
        <is>
          <t>ARGATAMA</t>
        </is>
      </c>
      <c r="B15" t="inlineStr">
        <is>
          <t>Kab. Jember</t>
        </is>
      </c>
      <c r="C15" t="inlineStr">
        <is>
          <t>085236887000</t>
        </is>
      </c>
      <c r="D15" t="inlineStr">
        <is>
          <t>cvargatamajbr@gmail.com</t>
        </is>
      </c>
      <c r="E15" t="inlineStr">
        <is>
          <t>https://lpjk.pu.go.id/search-badan-usaha-detail/eitYOU9oeDZwMEJrd013TW1tWTBuZz09</t>
        </is>
      </c>
      <c r="F15" t="n">
        <v>2</v>
      </c>
      <c r="G15" t="inlineStr">
        <is>
          <t>BG006, BS004</t>
        </is>
      </c>
      <c r="H15" t="inlineStr">
        <is>
          <t>22 Januari 1982</t>
        </is>
      </c>
      <c r="I15" s="2" t="n">
        <v>46294</v>
      </c>
      <c r="J15" t="inlineStr">
        <is>
          <t>Disetujui</t>
        </is>
      </c>
      <c r="K15" t="n">
        <v>90</v>
      </c>
      <c r="L15" t="inlineStr">
        <is>
          <t>29 September 2026</t>
        </is>
      </c>
      <c r="M15" t="inlineStr">
        <is>
          <t>Konstruksi Gedung Pendidikan, Konstruksi Jaringan Irigasi dan Drainase</t>
        </is>
      </c>
      <c r="N15" t="inlineStr">
        <is>
          <t>K</t>
        </is>
      </c>
      <c r="O15" t="inlineStr">
        <is>
          <t>20230925</t>
        </is>
      </c>
      <c r="P15" t="inlineStr">
        <is>
          <t>Jawa Timur</t>
        </is>
      </c>
      <c r="Q15" t="inlineStr"/>
    </row>
    <row r="16">
      <c r="A16" t="inlineStr">
        <is>
          <t>ARSHA SINAR ABADI</t>
        </is>
      </c>
      <c r="B16" t="inlineStr">
        <is>
          <t>Kab. Indramayu</t>
        </is>
      </c>
      <c r="C16" t="inlineStr">
        <is>
          <t>085260355678</t>
        </is>
      </c>
      <c r="D16" t="inlineStr">
        <is>
          <t>cvarshasinarabadi@gmail.com</t>
        </is>
      </c>
      <c r="E16" t="inlineStr">
        <is>
          <t>https://lpjk.pu.go.id/search-badan-usaha-detail/cWdVZUJPSTAxWlBLRE9aOER6dWRpdz09</t>
        </is>
      </c>
      <c r="F16" t="n">
        <v>4</v>
      </c>
      <c r="G16" t="inlineStr">
        <is>
          <t>BG006, BS001, BS004</t>
        </is>
      </c>
      <c r="H16" t="inlineStr">
        <is>
          <t>8 Agustus 2023</t>
        </is>
      </c>
      <c r="I16" s="2" t="n">
        <v>46294</v>
      </c>
      <c r="J16" t="inlineStr">
        <is>
          <t>Disetujui</t>
        </is>
      </c>
      <c r="K16" t="n">
        <v>90</v>
      </c>
      <c r="L16" t="inlineStr">
        <is>
          <t>29 September 2026</t>
        </is>
      </c>
      <c r="M16" t="inlineStr">
        <is>
          <t>Konstruksi Bangunan Sipil Jalan, Konstruksi Gedung Pendidikan, Konstruksi Jaringan Irigasi dan Drainase</t>
        </is>
      </c>
      <c r="N16" t="inlineStr">
        <is>
          <t>K</t>
        </is>
      </c>
      <c r="O16" t="inlineStr">
        <is>
          <t>20230927</t>
        </is>
      </c>
      <c r="P16" t="inlineStr">
        <is>
          <t>Jawa Barat</t>
        </is>
      </c>
      <c r="Q16" t="inlineStr"/>
    </row>
    <row r="17">
      <c r="A17" t="inlineStr">
        <is>
          <t>ARTA 678</t>
        </is>
      </c>
      <c r="B17" t="inlineStr">
        <is>
          <t>Kab. Tanah Bumbu</t>
        </is>
      </c>
      <c r="C17" t="inlineStr">
        <is>
          <t>082187927916</t>
        </is>
      </c>
      <c r="D17" t="inlineStr">
        <is>
          <t>cvartaenam78@gmail.com</t>
        </is>
      </c>
      <c r="E17" t="inlineStr">
        <is>
          <t>https://lpjk.pu.go.id/search-badan-usaha-detail/Wlc2VWFQWGpzZC9FbEtZRHQ0Zk9Pdz09</t>
        </is>
      </c>
      <c r="F17" t="n">
        <v>3</v>
      </c>
      <c r="G17" t="inlineStr">
        <is>
          <t>BG006, BG009, BS001</t>
        </is>
      </c>
      <c r="H17" t="inlineStr">
        <is>
          <t>10 Agustus 2023</t>
        </is>
      </c>
      <c r="I17" s="2" t="n">
        <v>46294</v>
      </c>
      <c r="J17" t="inlineStr">
        <is>
          <t>Disetujui</t>
        </is>
      </c>
      <c r="K17" t="n">
        <v>90</v>
      </c>
      <c r="L17" t="inlineStr">
        <is>
          <t>29 September 2026</t>
        </is>
      </c>
      <c r="M17" t="inlineStr">
        <is>
          <t>Konstruksi Bangunan Sipil Jalan, Konstruksi Gedung Lainnya, Konstruksi Gedung Pendidikan</t>
        </is>
      </c>
      <c r="N17" t="inlineStr">
        <is>
          <t>K</t>
        </is>
      </c>
      <c r="O17" t="inlineStr">
        <is>
          <t>20230927</t>
        </is>
      </c>
      <c r="P17" t="inlineStr">
        <is>
          <t>Kalimantan Selatan</t>
        </is>
      </c>
      <c r="Q17" t="inlineStr"/>
    </row>
    <row r="18">
      <c r="A18" t="inlineStr">
        <is>
          <t>ARTHA DAYA COALINDO</t>
        </is>
      </c>
      <c r="B18" t="inlineStr">
        <is>
          <t>Kota Adm. Jakarta Selatan</t>
        </is>
      </c>
      <c r="C18" t="inlineStr">
        <is>
          <t>87888743920</t>
        </is>
      </c>
      <c r="D18" t="inlineStr">
        <is>
          <t>support@arthadayacoalindo.co.id</t>
        </is>
      </c>
      <c r="E18" t="inlineStr">
        <is>
          <t>https://lpjk.pu.go.id/search-badan-usaha-detail/NnRlN1h3amw4NHhFZ00rNW1RZmJodz09</t>
        </is>
      </c>
      <c r="F18" t="n">
        <v>2</v>
      </c>
      <c r="G18" t="inlineStr">
        <is>
          <t>PL002, PL004</t>
        </is>
      </c>
      <c r="H18" t="inlineStr">
        <is>
          <t>21 Oktober 1997</t>
        </is>
      </c>
      <c r="I18" s="2" t="n">
        <v>46294</v>
      </c>
      <c r="J18" t="inlineStr">
        <is>
          <t>Pembekuan</t>
        </is>
      </c>
      <c r="K18" t="n">
        <v>90</v>
      </c>
      <c r="L18" t="inlineStr">
        <is>
          <t>29 September 2026</t>
        </is>
      </c>
      <c r="M18" t="inlineStr">
        <is>
          <t>Pekerjaan Tanah, Pengerukan</t>
        </is>
      </c>
      <c r="N18" t="inlineStr">
        <is>
          <t>Spesialis</t>
        </is>
      </c>
      <c r="O18" t="inlineStr">
        <is>
          <t>20230929</t>
        </is>
      </c>
      <c r="P18" t="inlineStr">
        <is>
          <t>DKI Jakarta</t>
        </is>
      </c>
      <c r="Q18" t="inlineStr"/>
    </row>
    <row r="19">
      <c r="A19" t="inlineStr">
        <is>
          <t>ARWANA</t>
        </is>
      </c>
      <c r="B19" t="inlineStr">
        <is>
          <t>Kota Bukittinggi</t>
        </is>
      </c>
      <c r="C19" t="inlineStr">
        <is>
          <t>081363869757</t>
        </is>
      </c>
      <c r="D19" t="inlineStr">
        <is>
          <t>elfaneli73@gmail.com</t>
        </is>
      </c>
      <c r="E19" t="inlineStr">
        <is>
          <t>https://lpjk.pu.go.id/search-badan-usaha-detail/eFZkLy81SlhlYmJta2ZFcllFazZjUT09</t>
        </is>
      </c>
      <c r="F19" t="n">
        <v>2</v>
      </c>
      <c r="G19" t="inlineStr">
        <is>
          <t>BG005, BG009</t>
        </is>
      </c>
      <c r="H19" t="inlineStr">
        <is>
          <t>31 Juli 2002</t>
        </is>
      </c>
      <c r="I19" s="2" t="n">
        <v>46294</v>
      </c>
      <c r="J19" t="inlineStr">
        <is>
          <t>Disetujui</t>
        </is>
      </c>
      <c r="K19" t="n">
        <v>90</v>
      </c>
      <c r="L19" t="inlineStr">
        <is>
          <t>29 September 2026</t>
        </is>
      </c>
      <c r="M19" t="inlineStr">
        <is>
          <t>Konstruksi Gedung Kesehatan, Konstruksi Gedung Lainnya</t>
        </is>
      </c>
      <c r="N19" t="inlineStr">
        <is>
          <t>K</t>
        </is>
      </c>
      <c r="O19" t="inlineStr">
        <is>
          <t>20230922, 20230925</t>
        </is>
      </c>
      <c r="P19" t="inlineStr">
        <is>
          <t>Sumatera Barat</t>
        </is>
      </c>
      <c r="Q19" t="inlineStr"/>
    </row>
    <row r="20">
      <c r="A20" t="inlineStr">
        <is>
          <t>BALONG AGUNG</t>
        </is>
      </c>
      <c r="B20" t="inlineStr">
        <is>
          <t>Kab. Nganjuk</t>
        </is>
      </c>
      <c r="C20" t="inlineStr">
        <is>
          <t>081336016667</t>
        </is>
      </c>
      <c r="D20" t="inlineStr">
        <is>
          <t>cvbalongagung@gmail.com</t>
        </is>
      </c>
      <c r="E20" t="inlineStr">
        <is>
          <t>https://lpjk.pu.go.id/search-badan-usaha-detail/RkNiYUhWTm94M3BvL1BJc0d2Znpkdz09</t>
        </is>
      </c>
      <c r="F20" t="n">
        <v>1</v>
      </c>
      <c r="G20" t="inlineStr">
        <is>
          <t>BS004</t>
        </is>
      </c>
      <c r="H20" t="inlineStr">
        <is>
          <t>11 Maret 1981</t>
        </is>
      </c>
      <c r="I20" s="2" t="n">
        <v>46294</v>
      </c>
      <c r="J20" t="inlineStr">
        <is>
          <t>Disetujui</t>
        </is>
      </c>
      <c r="K20" t="n">
        <v>90</v>
      </c>
      <c r="L20" t="inlineStr">
        <is>
          <t>29 September 2026</t>
        </is>
      </c>
      <c r="M20" t="inlineStr">
        <is>
          <t>Konstruksi Jaringan Irigasi dan Drainase</t>
        </is>
      </c>
      <c r="N20" t="inlineStr">
        <is>
          <t>K</t>
        </is>
      </c>
      <c r="O20" t="inlineStr">
        <is>
          <t>20230919</t>
        </is>
      </c>
      <c r="P20" t="inlineStr">
        <is>
          <t>Jawa Timur</t>
        </is>
      </c>
      <c r="Q20" t="inlineStr"/>
    </row>
    <row r="21">
      <c r="A21" t="inlineStr">
        <is>
          <t>BANGUN PRATAMA MANDIRI</t>
        </is>
      </c>
      <c r="B21" t="inlineStr">
        <is>
          <t>Kab. Banyuwangi</t>
        </is>
      </c>
      <c r="C21" t="inlineStr">
        <is>
          <t>085257543815</t>
        </is>
      </c>
      <c r="D21" t="inlineStr">
        <is>
          <t>cv_bangunpratamamandiri@ymail.com</t>
        </is>
      </c>
      <c r="E21" t="inlineStr">
        <is>
          <t>https://lpjk.pu.go.id/search-badan-usaha-detail/VFJmVGtDeWl1aTE1M0h0Sk1mVGg5UT09</t>
        </is>
      </c>
      <c r="F21" t="n">
        <v>1</v>
      </c>
      <c r="G21" t="inlineStr">
        <is>
          <t>BS004</t>
        </is>
      </c>
      <c r="H21" t="inlineStr">
        <is>
          <t>22 November 2007</t>
        </is>
      </c>
      <c r="I21" s="2" t="n">
        <v>46294</v>
      </c>
      <c r="J21" t="inlineStr">
        <is>
          <t>Disetujui</t>
        </is>
      </c>
      <c r="K21" t="n">
        <v>90</v>
      </c>
      <c r="L21" t="inlineStr">
        <is>
          <t>29 September 2026</t>
        </is>
      </c>
      <c r="M21" t="inlineStr">
        <is>
          <t>Konstruksi Jaringan Irigasi dan Drainase</t>
        </is>
      </c>
      <c r="N21" t="inlineStr">
        <is>
          <t>K</t>
        </is>
      </c>
      <c r="O21" t="inlineStr">
        <is>
          <t>20230927</t>
        </is>
      </c>
      <c r="P21" t="inlineStr">
        <is>
          <t>Jawa Timur</t>
        </is>
      </c>
      <c r="Q21" t="inlineStr"/>
    </row>
    <row r="22">
      <c r="A22" t="inlineStr">
        <is>
          <t>BAYU PUTRA PERDANA</t>
        </is>
      </c>
      <c r="B22" t="inlineStr">
        <is>
          <t>Kab. Tulungagung</t>
        </is>
      </c>
      <c r="C22" t="inlineStr">
        <is>
          <t>081216227549</t>
        </is>
      </c>
      <c r="D22" t="inlineStr">
        <is>
          <t>bison.fighter@yahoo.com</t>
        </is>
      </c>
      <c r="E22" t="inlineStr">
        <is>
          <t>https://lpjk.pu.go.id/search-badan-usaha-detail/T3dLTGtYc3E3QkE4NnNoSHd2QmtiUT09</t>
        </is>
      </c>
      <c r="F22" t="n">
        <v>1</v>
      </c>
      <c r="G22" t="inlineStr">
        <is>
          <t>BS004</t>
        </is>
      </c>
      <c r="H22" t="inlineStr">
        <is>
          <t>7 September 2009</t>
        </is>
      </c>
      <c r="I22" s="2" t="n">
        <v>46294</v>
      </c>
      <c r="J22" t="inlineStr">
        <is>
          <t>Disetujui</t>
        </is>
      </c>
      <c r="K22" t="n">
        <v>90</v>
      </c>
      <c r="L22" t="inlineStr">
        <is>
          <t>29 September 2026</t>
        </is>
      </c>
      <c r="M22" t="inlineStr">
        <is>
          <t>Konstruksi Jaringan Irigasi dan Drainase</t>
        </is>
      </c>
      <c r="N22" t="inlineStr">
        <is>
          <t>K</t>
        </is>
      </c>
      <c r="O22" t="inlineStr">
        <is>
          <t>20230929</t>
        </is>
      </c>
      <c r="P22" t="inlineStr">
        <is>
          <t>Jawa Timur</t>
        </is>
      </c>
      <c r="Q22" t="inlineStr"/>
    </row>
    <row r="23">
      <c r="A23" t="inlineStr">
        <is>
          <t>BERKAH LATISHA MANDIRI</t>
        </is>
      </c>
      <c r="B23" t="inlineStr">
        <is>
          <t>Kab. Konawe</t>
        </is>
      </c>
      <c r="C23" t="inlineStr">
        <is>
          <t>082395300723</t>
        </is>
      </c>
      <c r="D23" t="inlineStr">
        <is>
          <t>berkahlatishamandiricv@gmail.com</t>
        </is>
      </c>
      <c r="E23" t="inlineStr">
        <is>
          <t>https://lpjk.pu.go.id/search-badan-usaha-detail/N1I5RjR0aTFndThXeldZdFZVSUVaUT09</t>
        </is>
      </c>
      <c r="F23" t="n">
        <v>2</v>
      </c>
      <c r="G23" t="inlineStr">
        <is>
          <t>BS001</t>
        </is>
      </c>
      <c r="H23" t="inlineStr">
        <is>
          <t>8 Agustus 2015</t>
        </is>
      </c>
      <c r="I23" s="2" t="n">
        <v>46294</v>
      </c>
      <c r="J23" t="inlineStr">
        <is>
          <t>Disetujui</t>
        </is>
      </c>
      <c r="K23" t="n">
        <v>90</v>
      </c>
      <c r="L23" t="inlineStr">
        <is>
          <t>29 September 2026</t>
        </is>
      </c>
      <c r="M23" t="inlineStr">
        <is>
          <t>Konstruksi Bangunan Sipil Jalan</t>
        </is>
      </c>
      <c r="N23" t="inlineStr">
        <is>
          <t>K</t>
        </is>
      </c>
      <c r="O23" t="inlineStr">
        <is>
          <t>20230927</t>
        </is>
      </c>
      <c r="P23" t="inlineStr">
        <is>
          <t>Sulawesi Tenggara</t>
        </is>
      </c>
      <c r="Q23" t="inlineStr"/>
    </row>
    <row r="24">
      <c r="A24" t="inlineStr">
        <is>
          <t>BERKAT ABAH BERKAT MAMA</t>
        </is>
      </c>
      <c r="B24" t="inlineStr">
        <is>
          <t>Kota Banjarbaru</t>
        </is>
      </c>
      <c r="C24" t="inlineStr">
        <is>
          <t>081257048989</t>
        </is>
      </c>
      <c r="D24" t="inlineStr">
        <is>
          <t>cv.berkatabahmama@gmal.com</t>
        </is>
      </c>
      <c r="E24" t="inlineStr">
        <is>
          <t>https://lpjk.pu.go.id/search-badan-usaha-detail/TVNEOFE4SVJDRm4zNHNDaXFRTE1pdz09</t>
        </is>
      </c>
      <c r="F24" t="n">
        <v>2</v>
      </c>
      <c r="G24" t="inlineStr">
        <is>
          <t>BS001</t>
        </is>
      </c>
      <c r="H24" t="inlineStr">
        <is>
          <t>21 September 2023</t>
        </is>
      </c>
      <c r="I24" s="2" t="n">
        <v>46294</v>
      </c>
      <c r="J24" t="inlineStr">
        <is>
          <t>Disetujui</t>
        </is>
      </c>
      <c r="K24" t="n">
        <v>90</v>
      </c>
      <c r="L24" t="inlineStr">
        <is>
          <t>29 September 2026</t>
        </is>
      </c>
      <c r="M24" t="inlineStr">
        <is>
          <t>Konstruksi Bangunan Sipil Jalan</t>
        </is>
      </c>
      <c r="N24" t="inlineStr">
        <is>
          <t>K</t>
        </is>
      </c>
      <c r="O24" t="inlineStr">
        <is>
          <t>20230929</t>
        </is>
      </c>
      <c r="P24" t="inlineStr">
        <is>
          <t>Kalimantan Selatan</t>
        </is>
      </c>
      <c r="Q24" t="inlineStr"/>
    </row>
    <row r="25">
      <c r="A25" t="inlineStr">
        <is>
          <t>BIMA MADIUN</t>
        </is>
      </c>
      <c r="B25" t="inlineStr">
        <is>
          <t>Kab. Madiun</t>
        </is>
      </c>
      <c r="C25" t="inlineStr">
        <is>
          <t>-</t>
        </is>
      </c>
      <c r="D25" t="inlineStr">
        <is>
          <t>cv.bimamadiun@yahoo.co.id</t>
        </is>
      </c>
      <c r="E25" t="inlineStr">
        <is>
          <t>https://lpjk.pu.go.id/search-badan-usaha-detail/a3BYTTFscGZjT1pLUkk4ZVNUdnI1UT09</t>
        </is>
      </c>
      <c r="F25" t="n">
        <v>1</v>
      </c>
      <c r="G25" t="inlineStr">
        <is>
          <t>BG002</t>
        </is>
      </c>
      <c r="H25" t="inlineStr">
        <is>
          <t>19 April 2000</t>
        </is>
      </c>
      <c r="I25" s="2" t="n">
        <v>46294</v>
      </c>
      <c r="J25" t="inlineStr">
        <is>
          <t>Disetujui</t>
        </is>
      </c>
      <c r="K25" t="n">
        <v>90</v>
      </c>
      <c r="L25" t="inlineStr">
        <is>
          <t>29 September 2026</t>
        </is>
      </c>
      <c r="M25" t="inlineStr">
        <is>
          <t>Konstruksi Gedung Perkantoran</t>
        </is>
      </c>
      <c r="N25" t="inlineStr">
        <is>
          <t>K</t>
        </is>
      </c>
      <c r="O25" t="inlineStr">
        <is>
          <t>20230922</t>
        </is>
      </c>
      <c r="P25" t="inlineStr">
        <is>
          <t>Jawa Timur</t>
        </is>
      </c>
      <c r="Q25" t="inlineStr"/>
    </row>
    <row r="26">
      <c r="A26" t="inlineStr">
        <is>
          <t>BINA KARYA</t>
        </is>
      </c>
      <c r="B26" t="inlineStr">
        <is>
          <t>Kab. Jember</t>
        </is>
      </c>
      <c r="C26" t="inlineStr">
        <is>
          <t>03314350125</t>
        </is>
      </c>
      <c r="D26" t="inlineStr">
        <is>
          <t>kbina20.cv@gmail.com</t>
        </is>
      </c>
      <c r="E26" t="inlineStr">
        <is>
          <t>https://lpjk.pu.go.id/search-badan-usaha-detail/WWdWclhkdFBTcTR3dGpPZ0VlTDFqZz09</t>
        </is>
      </c>
      <c r="F26" t="n">
        <v>1</v>
      </c>
      <c r="G26" t="inlineStr">
        <is>
          <t>BS001</t>
        </is>
      </c>
      <c r="H26" t="inlineStr">
        <is>
          <t>19 Oktober 1971</t>
        </is>
      </c>
      <c r="I26" s="2" t="n">
        <v>46294</v>
      </c>
      <c r="J26" t="inlineStr">
        <is>
          <t>Disetujui</t>
        </is>
      </c>
      <c r="K26" t="n">
        <v>90</v>
      </c>
      <c r="L26" t="inlineStr">
        <is>
          <t>29 September 2026</t>
        </is>
      </c>
      <c r="M26" t="inlineStr">
        <is>
          <t>Konstruksi Bangunan Sipil Jalan</t>
        </is>
      </c>
      <c r="N26" t="inlineStr">
        <is>
          <t>K</t>
        </is>
      </c>
      <c r="O26" t="inlineStr">
        <is>
          <t>20230926</t>
        </is>
      </c>
      <c r="P26" t="inlineStr">
        <is>
          <t>Jawa Timur</t>
        </is>
      </c>
      <c r="Q26" t="inlineStr"/>
    </row>
    <row r="27">
      <c r="A27" t="inlineStr">
        <is>
          <t>BINTANG ALEYSHA</t>
        </is>
      </c>
      <c r="B27" t="inlineStr">
        <is>
          <t>Kab. Jember</t>
        </is>
      </c>
      <c r="C27" t="inlineStr">
        <is>
          <t>085204087010</t>
        </is>
      </c>
      <c r="D27" t="inlineStr">
        <is>
          <t>bintangaleysha46@gmail.com</t>
        </is>
      </c>
      <c r="E27" t="inlineStr">
        <is>
          <t>https://lpjk.pu.go.id/search-badan-usaha-detail/ZTFGbXZMN3k3MjBKUHM3bFdsWTVrUT09</t>
        </is>
      </c>
      <c r="F27" t="n">
        <v>2</v>
      </c>
      <c r="G27" t="inlineStr">
        <is>
          <t>BS001</t>
        </is>
      </c>
      <c r="H27" t="inlineStr">
        <is>
          <t>21 Februari 2013</t>
        </is>
      </c>
      <c r="I27" s="2" t="n">
        <v>46294</v>
      </c>
      <c r="J27" t="inlineStr">
        <is>
          <t>Disetujui</t>
        </is>
      </c>
      <c r="K27" t="n">
        <v>90</v>
      </c>
      <c r="L27" t="inlineStr">
        <is>
          <t>29 September 2026</t>
        </is>
      </c>
      <c r="M27" t="inlineStr">
        <is>
          <t>Konstruksi Bangunan Sipil Jalan</t>
        </is>
      </c>
      <c r="N27" t="inlineStr">
        <is>
          <t>K</t>
        </is>
      </c>
      <c r="O27" t="inlineStr">
        <is>
          <t>20230718</t>
        </is>
      </c>
      <c r="P27" t="inlineStr">
        <is>
          <t>Jawa Timur</t>
        </is>
      </c>
      <c r="Q27" t="inlineStr"/>
    </row>
    <row r="28">
      <c r="A28" t="inlineStr">
        <is>
          <t>BINTANG KEMILAU NUSANTARA</t>
        </is>
      </c>
      <c r="B28" t="inlineStr">
        <is>
          <t>Kab. Belitung</t>
        </is>
      </c>
      <c r="C28" t="inlineStr">
        <is>
          <t>08179132813</t>
        </is>
      </c>
      <c r="D28" t="inlineStr">
        <is>
          <t>kilaubinar@gmail.com</t>
        </is>
      </c>
      <c r="E28" t="inlineStr">
        <is>
          <t>https://lpjk.pu.go.id/search-badan-usaha-detail/MWxidFp5WFZNRExjSzQ3UEpsU3RFQT09</t>
        </is>
      </c>
      <c r="F28" t="n">
        <v>4</v>
      </c>
      <c r="G28" t="inlineStr">
        <is>
          <t>BS001, BS004</t>
        </is>
      </c>
      <c r="H28" t="inlineStr">
        <is>
          <t>26 Juli 2023</t>
        </is>
      </c>
      <c r="I28" s="2" t="n">
        <v>46294</v>
      </c>
      <c r="J28" t="inlineStr">
        <is>
          <t>Disetujui</t>
        </is>
      </c>
      <c r="K28" t="n">
        <v>90</v>
      </c>
      <c r="L28" t="inlineStr">
        <is>
          <t>29 September 2026</t>
        </is>
      </c>
      <c r="M28" t="inlineStr">
        <is>
          <t>Konstruksi Bangunan Sipil Jalan, Konstruksi Jaringan Irigasi dan Drainase</t>
        </is>
      </c>
      <c r="N28" t="inlineStr">
        <is>
          <t>K</t>
        </is>
      </c>
      <c r="O28" t="inlineStr">
        <is>
          <t>20230927</t>
        </is>
      </c>
      <c r="P28" t="inlineStr">
        <is>
          <t>Kepulauan Bangka Belitung</t>
        </is>
      </c>
      <c r="Q28" t="inlineStr"/>
    </row>
    <row r="29">
      <c r="A29" t="inlineStr">
        <is>
          <t>BORNEO ANUGERAH PERKASA</t>
        </is>
      </c>
      <c r="B29" t="inlineStr">
        <is>
          <t>Kota Balikpapan</t>
        </is>
      </c>
      <c r="C29" t="inlineStr">
        <is>
          <t>081351978567</t>
        </is>
      </c>
      <c r="D29" t="inlineStr">
        <is>
          <t>borneo.anugerahperkasa@gmail.com</t>
        </is>
      </c>
      <c r="E29" t="inlineStr">
        <is>
          <t>https://lpjk.pu.go.id/search-badan-usaha-detail/SDc3YUs0VTNrWEZ0Y2Z4RnA4UnUyQT09</t>
        </is>
      </c>
      <c r="F29" t="n">
        <v>2</v>
      </c>
      <c r="G29" t="inlineStr">
        <is>
          <t>BG006, BG009</t>
        </is>
      </c>
      <c r="H29" t="inlineStr">
        <is>
          <t>2 Januari 2019</t>
        </is>
      </c>
      <c r="I29" s="2" t="n">
        <v>46294</v>
      </c>
      <c r="J29" t="inlineStr">
        <is>
          <t>Disetujui</t>
        </is>
      </c>
      <c r="K29" t="n">
        <v>90</v>
      </c>
      <c r="L29" t="inlineStr">
        <is>
          <t>29 September 2026</t>
        </is>
      </c>
      <c r="M29" t="inlineStr">
        <is>
          <t>Konstruksi Gedung Lainnya, Konstruksi Gedung Pendidikan</t>
        </is>
      </c>
      <c r="N29" t="inlineStr">
        <is>
          <t>K</t>
        </is>
      </c>
      <c r="O29" t="inlineStr">
        <is>
          <t>20230927, 20230929</t>
        </is>
      </c>
      <c r="P29" t="inlineStr">
        <is>
          <t>Kalimantan Timur</t>
        </is>
      </c>
      <c r="Q29" t="inlineStr"/>
    </row>
    <row r="30">
      <c r="A30" t="inlineStr">
        <is>
          <t>BORNEO CITRA INOVASI</t>
        </is>
      </c>
      <c r="B30" t="inlineStr">
        <is>
          <t>Kab. Kapuas Hulu</t>
        </is>
      </c>
      <c r="C30" t="inlineStr">
        <is>
          <t>0895340179199</t>
        </is>
      </c>
      <c r="D30" t="inlineStr">
        <is>
          <t>borneocitrainovasi@gmail.com</t>
        </is>
      </c>
      <c r="E30" t="inlineStr">
        <is>
          <t>https://lpjk.pu.go.id/search-badan-usaha-detail/dnhhc0JiMFAzcjFXV2xaRnZQY214QT09</t>
        </is>
      </c>
      <c r="F30" t="n">
        <v>2</v>
      </c>
      <c r="G30" t="inlineStr">
        <is>
          <t>BG009, BS004</t>
        </is>
      </c>
      <c r="H30" t="inlineStr">
        <is>
          <t>6 Januari 2017</t>
        </is>
      </c>
      <c r="I30" s="2" t="n">
        <v>46294</v>
      </c>
      <c r="J30" t="inlineStr">
        <is>
          <t>Disetujui</t>
        </is>
      </c>
      <c r="K30" t="n">
        <v>90</v>
      </c>
      <c r="L30" t="inlineStr">
        <is>
          <t>29 September 2026</t>
        </is>
      </c>
      <c r="M30" t="inlineStr">
        <is>
          <t>Konstruksi Gedung Lainnya, Konstruksi Jaringan Irigasi dan Drainase</t>
        </is>
      </c>
      <c r="N30" t="inlineStr">
        <is>
          <t>K</t>
        </is>
      </c>
      <c r="O30" t="inlineStr">
        <is>
          <t>20230930</t>
        </is>
      </c>
      <c r="P30" t="inlineStr">
        <is>
          <t>Kalimantan Barat</t>
        </is>
      </c>
      <c r="Q30" t="inlineStr"/>
    </row>
    <row r="31">
      <c r="A31" t="inlineStr">
        <is>
          <t>BUMI PERSADA ADIN</t>
        </is>
      </c>
      <c r="B31" t="inlineStr">
        <is>
          <t>Kota Tangerang Selatan</t>
        </is>
      </c>
      <c r="C31" t="inlineStr">
        <is>
          <t>081295637228</t>
        </is>
      </c>
      <c r="D31" t="inlineStr">
        <is>
          <t>ptbumipersadaadin@gmail.com</t>
        </is>
      </c>
      <c r="E31" t="inlineStr">
        <is>
          <t>https://lpjk.pu.go.id/search-badan-usaha-detail/NUZTTEVsOU9NcVphdjV5bDlXS3lmUT09</t>
        </is>
      </c>
      <c r="F31" t="n">
        <v>1</v>
      </c>
      <c r="G31" t="inlineStr">
        <is>
          <t>BG005</t>
        </is>
      </c>
      <c r="H31" t="inlineStr">
        <is>
          <t>19 Agustus 2022</t>
        </is>
      </c>
      <c r="I31" s="2" t="n">
        <v>46294</v>
      </c>
      <c r="J31" t="inlineStr">
        <is>
          <t>Disetujui</t>
        </is>
      </c>
      <c r="K31" t="n">
        <v>90</v>
      </c>
      <c r="L31" t="inlineStr">
        <is>
          <t>29 September 2026</t>
        </is>
      </c>
      <c r="M31" t="inlineStr">
        <is>
          <t>Konstruksi Gedung Kesehatan</t>
        </is>
      </c>
      <c r="N31" t="inlineStr">
        <is>
          <t>K</t>
        </is>
      </c>
      <c r="O31" t="inlineStr">
        <is>
          <t>20230929</t>
        </is>
      </c>
      <c r="P31" t="inlineStr">
        <is>
          <t>Banten</t>
        </is>
      </c>
      <c r="Q31" t="inlineStr"/>
    </row>
    <row r="32">
      <c r="A32" t="inlineStr">
        <is>
          <t>CAHAYA MANDIRI</t>
        </is>
      </c>
      <c r="B32" t="inlineStr">
        <is>
          <t>Kota Pontianak</t>
        </is>
      </c>
      <c r="C32" t="inlineStr">
        <is>
          <t>-</t>
        </is>
      </c>
      <c r="D32" t="inlineStr">
        <is>
          <t>cahayamandiri.cv01@yahoo.com</t>
        </is>
      </c>
      <c r="E32" t="inlineStr">
        <is>
          <t>https://lpjk.pu.go.id/search-badan-usaha-detail/UXg5c2p4OUcrbnJqUWpGbEh6UkFTUT09</t>
        </is>
      </c>
      <c r="F32" t="n">
        <v>1</v>
      </c>
      <c r="G32" t="inlineStr">
        <is>
          <t>BG008</t>
        </is>
      </c>
      <c r="H32" t="inlineStr">
        <is>
          <t>1 Desember 2010</t>
        </is>
      </c>
      <c r="I32" s="2" t="n">
        <v>46294</v>
      </c>
      <c r="J32" t="inlineStr">
        <is>
          <t>Disetujui</t>
        </is>
      </c>
      <c r="K32" t="n">
        <v>90</v>
      </c>
      <c r="L32" t="inlineStr">
        <is>
          <t>29 September 2026</t>
        </is>
      </c>
      <c r="M32" t="inlineStr">
        <is>
          <t>Konstruksi Gedung Tempat Hiburan dan Olahraga</t>
        </is>
      </c>
      <c r="N32" t="inlineStr">
        <is>
          <t>K</t>
        </is>
      </c>
      <c r="O32" t="inlineStr">
        <is>
          <t>20230925</t>
        </is>
      </c>
      <c r="P32" t="inlineStr">
        <is>
          <t>Kalimantan Barat</t>
        </is>
      </c>
      <c r="Q32" t="inlineStr"/>
    </row>
    <row r="33">
      <c r="A33" t="inlineStr">
        <is>
          <t>CIPTA BANGUN SARANAJAYA</t>
        </is>
      </c>
      <c r="B33" t="inlineStr">
        <is>
          <t>Kota Surabaya</t>
        </is>
      </c>
      <c r="C33" t="inlineStr">
        <is>
          <t>0315922295</t>
        </is>
      </c>
      <c r="D33" t="inlineStr">
        <is>
          <t>cbs.konstruksi@gmail.com</t>
        </is>
      </c>
      <c r="E33" t="inlineStr">
        <is>
          <t>https://lpjk.pu.go.id/search-badan-usaha-detail/eVpoZWtxclluR0JHbG1pRXRacCt6dz09</t>
        </is>
      </c>
      <c r="F33" t="n">
        <v>2</v>
      </c>
      <c r="G33" t="inlineStr">
        <is>
          <t>BG003</t>
        </is>
      </c>
      <c r="H33" t="inlineStr">
        <is>
          <t>30 Maret 2015</t>
        </is>
      </c>
      <c r="I33" s="2" t="n">
        <v>46294</v>
      </c>
      <c r="J33" t="inlineStr">
        <is>
          <t>Disetujui</t>
        </is>
      </c>
      <c r="K33" t="n">
        <v>90</v>
      </c>
      <c r="L33" t="inlineStr">
        <is>
          <t>29 September 2026</t>
        </is>
      </c>
      <c r="M33" t="inlineStr">
        <is>
          <t>Konstruksi Gedung Industri</t>
        </is>
      </c>
      <c r="N33" t="inlineStr">
        <is>
          <t>K</t>
        </is>
      </c>
      <c r="O33" t="inlineStr">
        <is>
          <t>20230929</t>
        </is>
      </c>
      <c r="P33" t="inlineStr">
        <is>
          <t>Jawa Timur</t>
        </is>
      </c>
      <c r="Q33" t="inlineStr"/>
    </row>
    <row r="34">
      <c r="A34" t="inlineStr">
        <is>
          <t>DAMAR ABADIJAYA INDONESIA</t>
        </is>
      </c>
      <c r="B34" t="inlineStr">
        <is>
          <t>Kab. Jember</t>
        </is>
      </c>
      <c r="C34" t="inlineStr">
        <is>
          <t>082131936647</t>
        </is>
      </c>
      <c r="D34" t="inlineStr">
        <is>
          <t>damarabadijaya@gmail.com</t>
        </is>
      </c>
      <c r="E34" t="inlineStr">
        <is>
          <t>https://lpjk.pu.go.id/search-badan-usaha-detail/RUJWanl4MnhDTnYwdDlpUUY3ekU0Zz09</t>
        </is>
      </c>
      <c r="F34" t="n">
        <v>2</v>
      </c>
      <c r="G34" t="inlineStr">
        <is>
          <t>BG009</t>
        </is>
      </c>
      <c r="H34" t="inlineStr">
        <is>
          <t>1 Agustus 2023</t>
        </is>
      </c>
      <c r="I34" s="2" t="n">
        <v>46294</v>
      </c>
      <c r="J34" t="inlineStr">
        <is>
          <t>Disetujui</t>
        </is>
      </c>
      <c r="K34" t="n">
        <v>90</v>
      </c>
      <c r="L34" t="inlineStr">
        <is>
          <t>29 September 2026</t>
        </is>
      </c>
      <c r="M34" t="inlineStr">
        <is>
          <t>Konstruksi Gedung Lainnya</t>
        </is>
      </c>
      <c r="N34" t="inlineStr">
        <is>
          <t>K</t>
        </is>
      </c>
      <c r="O34" t="inlineStr">
        <is>
          <t>20230926</t>
        </is>
      </c>
      <c r="P34" t="inlineStr">
        <is>
          <t>Jawa Timur</t>
        </is>
      </c>
      <c r="Q34" t="inlineStr"/>
    </row>
    <row r="35">
      <c r="A35" t="inlineStr">
        <is>
          <t>DIAN PURNAMA</t>
        </is>
      </c>
      <c r="B35" t="inlineStr">
        <is>
          <t>Kab. Semarang</t>
        </is>
      </c>
      <c r="C35" t="inlineStr">
        <is>
          <t>0298521226</t>
        </is>
      </c>
      <c r="D35" t="inlineStr">
        <is>
          <t>dianpurnamacv@gmail.com</t>
        </is>
      </c>
      <c r="E35" t="inlineStr">
        <is>
          <t>https://lpjk.pu.go.id/search-badan-usaha-detail/dElDMTJOZVVBaEt6UEw4dlJiNnV5dz09</t>
        </is>
      </c>
      <c r="F35" t="n">
        <v>1</v>
      </c>
      <c r="G35" t="inlineStr">
        <is>
          <t>BS010</t>
        </is>
      </c>
      <c r="H35" t="inlineStr">
        <is>
          <t>15 Juni 1989</t>
        </is>
      </c>
      <c r="I35" s="2" t="n">
        <v>46294</v>
      </c>
      <c r="J35" t="inlineStr">
        <is>
          <t>Disetujui</t>
        </is>
      </c>
      <c r="K35" t="n">
        <v>90</v>
      </c>
      <c r="L35" t="inlineStr">
        <is>
          <t>29 September 2026</t>
        </is>
      </c>
      <c r="M35" t="inlineStr">
        <is>
          <t>Konstruksi Bangunan Prasarana Sumber Daya Air</t>
        </is>
      </c>
      <c r="N35" t="inlineStr">
        <is>
          <t>K</t>
        </is>
      </c>
      <c r="O35" t="inlineStr">
        <is>
          <t>20230920</t>
        </is>
      </c>
      <c r="P35" t="inlineStr">
        <is>
          <t>Jawa Tengah</t>
        </is>
      </c>
      <c r="Q35" t="inlineStr"/>
    </row>
    <row r="36">
      <c r="A36" t="inlineStr">
        <is>
          <t>DITA PRATAMA</t>
        </is>
      </c>
      <c r="B36" t="inlineStr">
        <is>
          <t>Kota Surakarta</t>
        </is>
      </c>
      <c r="C36" t="inlineStr">
        <is>
          <t>0271661786</t>
        </is>
      </c>
      <c r="D36" t="inlineStr">
        <is>
          <t>cv.dita_pratama@yahoo.com</t>
        </is>
      </c>
      <c r="E36" t="inlineStr">
        <is>
          <t>https://lpjk.pu.go.id/search-badan-usaha-detail/NFJ2ZjlreFJ6aHpoZ3NPL2lSR3hXQT09</t>
        </is>
      </c>
      <c r="F36" t="n">
        <v>1</v>
      </c>
      <c r="G36" t="inlineStr">
        <is>
          <t>BG006</t>
        </is>
      </c>
      <c r="H36" t="inlineStr">
        <is>
          <t>13 Agustus 2012</t>
        </is>
      </c>
      <c r="I36" s="2" t="n">
        <v>46294</v>
      </c>
      <c r="J36" t="inlineStr">
        <is>
          <t>Disetujui</t>
        </is>
      </c>
      <c r="K36" t="n">
        <v>90</v>
      </c>
      <c r="L36" t="inlineStr">
        <is>
          <t>29 September 2026</t>
        </is>
      </c>
      <c r="M36" t="inlineStr">
        <is>
          <t>Konstruksi Gedung Pendidikan</t>
        </is>
      </c>
      <c r="N36" t="inlineStr">
        <is>
          <t>K</t>
        </is>
      </c>
      <c r="O36" t="inlineStr">
        <is>
          <t>20230927</t>
        </is>
      </c>
      <c r="P36" t="inlineStr">
        <is>
          <t>Jawa Tengah</t>
        </is>
      </c>
      <c r="Q36" t="inlineStr"/>
    </row>
    <row r="37">
      <c r="A37" t="inlineStr">
        <is>
          <t>DUTA FATHI PERSADA</t>
        </is>
      </c>
      <c r="B37" t="inlineStr">
        <is>
          <t>Kota Padang Panjang</t>
        </is>
      </c>
      <c r="C37" t="inlineStr">
        <is>
          <t>085374741935</t>
        </is>
      </c>
      <c r="D37" t="inlineStr">
        <is>
          <t>cv.dutafathipersada@gmail.com</t>
        </is>
      </c>
      <c r="E37" t="inlineStr">
        <is>
          <t>https://lpjk.pu.go.id/search-badan-usaha-detail/eVBzVmp0VXZZTHZQNmcrVEVxbDM5UT09</t>
        </is>
      </c>
      <c r="F37" t="n">
        <v>1</v>
      </c>
      <c r="G37" t="inlineStr">
        <is>
          <t>BG006</t>
        </is>
      </c>
      <c r="H37" t="inlineStr">
        <is>
          <t>31 Mei 2022</t>
        </is>
      </c>
      <c r="I37" s="2" t="n">
        <v>46294</v>
      </c>
      <c r="J37" t="inlineStr">
        <is>
          <t>Disetujui</t>
        </is>
      </c>
      <c r="K37" t="n">
        <v>90</v>
      </c>
      <c r="L37" t="inlineStr">
        <is>
          <t>29 September 2026</t>
        </is>
      </c>
      <c r="M37" t="inlineStr">
        <is>
          <t>Konstruksi Gedung Pendidikan</t>
        </is>
      </c>
      <c r="N37" t="inlineStr">
        <is>
          <t>K</t>
        </is>
      </c>
      <c r="O37" t="inlineStr">
        <is>
          <t>20230928</t>
        </is>
      </c>
      <c r="P37" t="inlineStr">
        <is>
          <t>Sumatera Barat</t>
        </is>
      </c>
      <c r="Q37" t="inlineStr"/>
    </row>
    <row r="38">
      <c r="A38" t="inlineStr">
        <is>
          <t>DUTA KONSTRUKSI PRIBADI</t>
        </is>
      </c>
      <c r="B38" t="inlineStr">
        <is>
          <t>Kota Pontianak</t>
        </is>
      </c>
      <c r="C38" t="inlineStr">
        <is>
          <t>085252523778</t>
        </is>
      </c>
      <c r="D38" t="inlineStr">
        <is>
          <t>dutakontruksi888@gmail.com</t>
        </is>
      </c>
      <c r="E38" t="inlineStr">
        <is>
          <t>https://lpjk.pu.go.id/search-badan-usaha-detail/djBMM212eEQ5djZsUWRZMjJVNFkzQT09</t>
        </is>
      </c>
      <c r="F38" t="n">
        <v>1</v>
      </c>
      <c r="G38" t="inlineStr">
        <is>
          <t>BG006</t>
        </is>
      </c>
      <c r="H38" t="inlineStr">
        <is>
          <t>9 Januari 2020</t>
        </is>
      </c>
      <c r="I38" s="2" t="n">
        <v>46294</v>
      </c>
      <c r="J38" t="inlineStr">
        <is>
          <t>Disetujui</t>
        </is>
      </c>
      <c r="K38" t="n">
        <v>90</v>
      </c>
      <c r="L38" t="inlineStr">
        <is>
          <t>29 September 2026</t>
        </is>
      </c>
      <c r="M38" t="inlineStr">
        <is>
          <t>Konstruksi Gedung Pendidikan</t>
        </is>
      </c>
      <c r="N38" t="inlineStr">
        <is>
          <t>K</t>
        </is>
      </c>
      <c r="O38" t="inlineStr">
        <is>
          <t>20230925</t>
        </is>
      </c>
      <c r="P38" t="inlineStr">
        <is>
          <t>Kalimantan Barat</t>
        </is>
      </c>
      <c r="Q38" t="inlineStr"/>
    </row>
    <row r="39">
      <c r="A39" t="inlineStr">
        <is>
          <t>FAJAR</t>
        </is>
      </c>
      <c r="B39" t="inlineStr">
        <is>
          <t>Kab. Magetan</t>
        </is>
      </c>
      <c r="C39" t="inlineStr">
        <is>
          <t>081359909180</t>
        </is>
      </c>
      <c r="D39" t="inlineStr">
        <is>
          <t>selorejofajar15@gmail.com</t>
        </is>
      </c>
      <c r="E39" t="inlineStr">
        <is>
          <t>https://lpjk.pu.go.id/search-badan-usaha-detail/Nnc5MlNyRjU1RHpxQ05JSzFuQS9mdz09</t>
        </is>
      </c>
      <c r="F39" t="n">
        <v>2</v>
      </c>
      <c r="G39" t="inlineStr">
        <is>
          <t>BG005, BG006</t>
        </is>
      </c>
      <c r="H39" t="inlineStr">
        <is>
          <t>22 Juni 2012</t>
        </is>
      </c>
      <c r="I39" s="2" t="n">
        <v>46294</v>
      </c>
      <c r="J39" t="inlineStr">
        <is>
          <t>Disetujui</t>
        </is>
      </c>
      <c r="K39" t="n">
        <v>90</v>
      </c>
      <c r="L39" t="inlineStr">
        <is>
          <t>29 September 2026</t>
        </is>
      </c>
      <c r="M39" t="inlineStr">
        <is>
          <t>Konstruksi Gedung Kesehatan, Konstruksi Gedung Pendidikan</t>
        </is>
      </c>
      <c r="N39" t="inlineStr">
        <is>
          <t>K</t>
        </is>
      </c>
      <c r="O39" t="inlineStr">
        <is>
          <t>20230929</t>
        </is>
      </c>
      <c r="P39" t="inlineStr">
        <is>
          <t>Jawa Timur</t>
        </is>
      </c>
      <c r="Q39" t="inlineStr"/>
    </row>
    <row r="40">
      <c r="A40" t="inlineStr">
        <is>
          <t>FAJAR UTAMA</t>
        </is>
      </c>
      <c r="B40" t="inlineStr">
        <is>
          <t>Kab. Biak Numfor</t>
        </is>
      </c>
      <c r="C40" t="inlineStr">
        <is>
          <t>082199523500</t>
        </is>
      </c>
      <c r="D40" t="inlineStr">
        <is>
          <t>fajarutamabiak@gmail.com</t>
        </is>
      </c>
      <c r="E40" t="inlineStr">
        <is>
          <t>https://lpjk.pu.go.id/search-badan-usaha-detail/SXh0M0xKb05WaVZvdGtwNTN5N0ZnZz09</t>
        </is>
      </c>
      <c r="F40" t="n">
        <v>1</v>
      </c>
      <c r="G40" t="inlineStr">
        <is>
          <t>BS001</t>
        </is>
      </c>
      <c r="H40" t="inlineStr">
        <is>
          <t>1 Januari 1989</t>
        </is>
      </c>
      <c r="I40" s="2" t="n">
        <v>46294</v>
      </c>
      <c r="J40" t="inlineStr">
        <is>
          <t>Disetujui</t>
        </is>
      </c>
      <c r="K40" t="n">
        <v>90</v>
      </c>
      <c r="L40" t="inlineStr">
        <is>
          <t>29 September 2026</t>
        </is>
      </c>
      <c r="M40" t="inlineStr">
        <is>
          <t>Konstruksi Bangunan Sipil Jalan</t>
        </is>
      </c>
      <c r="N40" t="inlineStr">
        <is>
          <t>K</t>
        </is>
      </c>
      <c r="O40" t="inlineStr">
        <is>
          <t>20230927</t>
        </is>
      </c>
      <c r="P40" t="inlineStr">
        <is>
          <t>Papua</t>
        </is>
      </c>
      <c r="Q40" t="inlineStr"/>
    </row>
    <row r="41">
      <c r="A41" t="inlineStr">
        <is>
          <t>FATIH MUHARRAM UTAMA</t>
        </is>
      </c>
      <c r="B41" t="inlineStr">
        <is>
          <t>Kab. Aceh Timur</t>
        </is>
      </c>
      <c r="C41" t="inlineStr">
        <is>
          <t>085360000131</t>
        </is>
      </c>
      <c r="D41" t="inlineStr">
        <is>
          <t>fatihmuharramutama@gmail.com</t>
        </is>
      </c>
      <c r="E41" t="inlineStr">
        <is>
          <t>https://lpjk.pu.go.id/search-badan-usaha-detail/bG43RmhXbEZRYmVLc0xveGN6TVA3QT09</t>
        </is>
      </c>
      <c r="F41" t="n">
        <v>3</v>
      </c>
      <c r="G41" t="inlineStr">
        <is>
          <t>BG002, BG004</t>
        </is>
      </c>
      <c r="H41" t="inlineStr">
        <is>
          <t>26 Januari 2023</t>
        </is>
      </c>
      <c r="I41" s="2" t="n">
        <v>46294</v>
      </c>
      <c r="J41" t="inlineStr">
        <is>
          <t>Disetujui</t>
        </is>
      </c>
      <c r="K41" t="n">
        <v>90</v>
      </c>
      <c r="L41" t="inlineStr">
        <is>
          <t>29 September 2026</t>
        </is>
      </c>
      <c r="M41" t="inlineStr">
        <is>
          <t>Konstruksi Gedung Perbelanjaan, Konstruksi Gedung Perkantoran</t>
        </is>
      </c>
      <c r="N41" t="inlineStr">
        <is>
          <t>K</t>
        </is>
      </c>
      <c r="O41" t="inlineStr">
        <is>
          <t>20230915</t>
        </is>
      </c>
      <c r="P41" t="inlineStr">
        <is>
          <t>Aceh</t>
        </is>
      </c>
      <c r="Q41" t="inlineStr"/>
    </row>
    <row r="42">
      <c r="A42" t="inlineStr">
        <is>
          <t>GANJARAN SAYUTO PUTERA</t>
        </is>
      </c>
      <c r="B42" t="inlineStr">
        <is>
          <t>Kota Banjarmasin</t>
        </is>
      </c>
      <c r="C42" t="inlineStr">
        <is>
          <t>05113273896</t>
        </is>
      </c>
      <c r="D42" t="inlineStr">
        <is>
          <t>ganjaransayutoputera@gmail.com</t>
        </is>
      </c>
      <c r="E42" t="inlineStr">
        <is>
          <t>https://lpjk.pu.go.id/search-badan-usaha-detail/VHV3QjhkR2lhMkdDNHd3SmdwbjQxdz09</t>
        </is>
      </c>
      <c r="F42" t="n">
        <v>1</v>
      </c>
      <c r="G42" t="inlineStr">
        <is>
          <t>BS005</t>
        </is>
      </c>
      <c r="H42" t="inlineStr">
        <is>
          <t>1 Maret 2007</t>
        </is>
      </c>
      <c r="I42" s="2" t="n">
        <v>46294</v>
      </c>
      <c r="J42" t="inlineStr">
        <is>
          <t>Pembekuan</t>
        </is>
      </c>
      <c r="K42" t="n">
        <v>90</v>
      </c>
      <c r="L42" t="inlineStr">
        <is>
          <t>29 September 2026</t>
        </is>
      </c>
      <c r="M42" t="inlineStr">
        <is>
          <t>Konstruksi Bangunan Sipil Pengolahan Air Bersih</t>
        </is>
      </c>
      <c r="N42" t="inlineStr">
        <is>
          <t>M</t>
        </is>
      </c>
      <c r="O42" t="inlineStr">
        <is>
          <t>20230921</t>
        </is>
      </c>
      <c r="P42" t="inlineStr">
        <is>
          <t>Kalimantan Selatan</t>
        </is>
      </c>
      <c r="Q42" t="inlineStr"/>
    </row>
    <row r="43">
      <c r="A43" t="inlineStr">
        <is>
          <t>GEOTECHNICAL SYSTEMINDO</t>
        </is>
      </c>
      <c r="B43" t="inlineStr">
        <is>
          <t>Kota Adm. Jakarta Selatan</t>
        </is>
      </c>
      <c r="C43" t="inlineStr">
        <is>
          <t>02183782609</t>
        </is>
      </c>
      <c r="D43" t="inlineStr">
        <is>
          <t>ga@ptgsi.com</t>
        </is>
      </c>
      <c r="E43" t="inlineStr">
        <is>
          <t>https://lpjk.pu.go.id/search-badan-usaha-detail/Mks1RVdwVUpZMnFiR1lnOHhpNkExdz09</t>
        </is>
      </c>
      <c r="F43" t="n">
        <v>1</v>
      </c>
      <c r="G43" t="inlineStr">
        <is>
          <t>BS001</t>
        </is>
      </c>
      <c r="H43" t="inlineStr">
        <is>
          <t>7 Oktober 2006</t>
        </is>
      </c>
      <c r="I43" s="2" t="n">
        <v>46294</v>
      </c>
      <c r="J43" t="inlineStr">
        <is>
          <t>Disetujui</t>
        </is>
      </c>
      <c r="K43" t="n">
        <v>90</v>
      </c>
      <c r="L43" t="inlineStr">
        <is>
          <t>29 September 2026</t>
        </is>
      </c>
      <c r="M43" t="inlineStr">
        <is>
          <t>Konstruksi Bangunan Sipil Jalan</t>
        </is>
      </c>
      <c r="N43" t="inlineStr">
        <is>
          <t>K</t>
        </is>
      </c>
      <c r="O43" t="inlineStr">
        <is>
          <t>20230926</t>
        </is>
      </c>
      <c r="P43" t="inlineStr">
        <is>
          <t>DKI Jakarta</t>
        </is>
      </c>
      <c r="Q43" t="inlineStr"/>
    </row>
    <row r="44">
      <c r="A44" t="inlineStr">
        <is>
          <t>GRANDIS CIPTA PRADANA</t>
        </is>
      </c>
      <c r="B44" t="inlineStr">
        <is>
          <t>Kab. Lombok Tengah</t>
        </is>
      </c>
      <c r="C44" t="inlineStr">
        <is>
          <t>081804066669</t>
        </is>
      </c>
      <c r="D44" t="inlineStr">
        <is>
          <t>grandis@mail.com</t>
        </is>
      </c>
      <c r="E44" t="inlineStr">
        <is>
          <t>https://lpjk.pu.go.id/search-badan-usaha-detail/cHR5UERBSlE0VDlHZlFVRTlLMldFdz09</t>
        </is>
      </c>
      <c r="F44" t="n">
        <v>2</v>
      </c>
      <c r="G44" t="inlineStr">
        <is>
          <t>BG002, BG005</t>
        </is>
      </c>
      <c r="H44" t="inlineStr">
        <is>
          <t>1 September 2023</t>
        </is>
      </c>
      <c r="I44" s="2" t="n">
        <v>46294</v>
      </c>
      <c r="J44" t="inlineStr">
        <is>
          <t>Disetujui</t>
        </is>
      </c>
      <c r="K44" t="n">
        <v>90</v>
      </c>
      <c r="L44" t="inlineStr">
        <is>
          <t>29 September 2026</t>
        </is>
      </c>
      <c r="M44" t="inlineStr">
        <is>
          <t>Konstruksi Gedung Kesehatan, Konstruksi Gedung Perkantoran</t>
        </is>
      </c>
      <c r="N44" t="inlineStr">
        <is>
          <t>K</t>
        </is>
      </c>
      <c r="O44" t="inlineStr">
        <is>
          <t>20230919, 20230929</t>
        </is>
      </c>
      <c r="P44" t="inlineStr">
        <is>
          <t>Nusa Tenggara Barat</t>
        </is>
      </c>
      <c r="Q44" t="inlineStr"/>
    </row>
    <row r="45">
      <c r="A45" t="inlineStr">
        <is>
          <t>HARSA WIJAYA</t>
        </is>
      </c>
      <c r="B45" t="inlineStr">
        <is>
          <t>Kab. Lumajang</t>
        </is>
      </c>
      <c r="C45" t="inlineStr">
        <is>
          <t>082132640659</t>
        </is>
      </c>
      <c r="D45" t="inlineStr">
        <is>
          <t>harsa43@yahoo.com</t>
        </is>
      </c>
      <c r="E45" t="inlineStr">
        <is>
          <t>https://lpjk.pu.go.id/search-badan-usaha-detail/RytKd0FSMzcrODdOZE9VZW5ibXo2UT09</t>
        </is>
      </c>
      <c r="F45" t="n">
        <v>1</v>
      </c>
      <c r="G45" t="inlineStr">
        <is>
          <t>BG008</t>
        </is>
      </c>
      <c r="H45" t="inlineStr">
        <is>
          <t>28 November 1984</t>
        </is>
      </c>
      <c r="I45" s="2" t="n">
        <v>46294</v>
      </c>
      <c r="J45" t="inlineStr">
        <is>
          <t>Disetujui</t>
        </is>
      </c>
      <c r="K45" t="n">
        <v>90</v>
      </c>
      <c r="L45" t="inlineStr">
        <is>
          <t>29 September 2026</t>
        </is>
      </c>
      <c r="M45" t="inlineStr">
        <is>
          <t>Konstruksi Gedung Tempat Hiburan dan Olahraga</t>
        </is>
      </c>
      <c r="N45" t="inlineStr">
        <is>
          <t>K</t>
        </is>
      </c>
      <c r="O45" t="inlineStr">
        <is>
          <t>20230927</t>
        </is>
      </c>
      <c r="P45" t="inlineStr">
        <is>
          <t>Jawa Timur</t>
        </is>
      </c>
      <c r="Q45" t="inlineStr"/>
    </row>
    <row r="46">
      <c r="A46" t="inlineStr">
        <is>
          <t>INDAH DEWI</t>
        </is>
      </c>
      <c r="B46" t="inlineStr">
        <is>
          <t>Kota Tarakan</t>
        </is>
      </c>
      <c r="C46" t="inlineStr">
        <is>
          <t>082134412109</t>
        </is>
      </c>
      <c r="D46" t="inlineStr">
        <is>
          <t>pt.indahdewi2019@gmail.com</t>
        </is>
      </c>
      <c r="E46" t="inlineStr">
        <is>
          <t>https://lpjk.pu.go.id/search-badan-usaha-detail/bXdDelYxSitKbjZYVU9Bd3JMWFJtdz09</t>
        </is>
      </c>
      <c r="F46" t="n">
        <v>1</v>
      </c>
      <c r="G46" t="inlineStr">
        <is>
          <t>KK016</t>
        </is>
      </c>
      <c r="H46" t="inlineStr">
        <is>
          <t>23 September 2020</t>
        </is>
      </c>
      <c r="I46" s="2" t="n">
        <v>46294</v>
      </c>
      <c r="J46" t="inlineStr">
        <is>
          <t>Pembekuan</t>
        </is>
      </c>
      <c r="K46" t="n">
        <v>90</v>
      </c>
      <c r="L46" t="inlineStr">
        <is>
          <t>29 September 2026</t>
        </is>
      </c>
      <c r="M46" t="inlineStr">
        <is>
          <t>Pemasangan Kerangka Baja</t>
        </is>
      </c>
      <c r="N46" t="inlineStr">
        <is>
          <t>Spesialis</t>
        </is>
      </c>
      <c r="O46" t="inlineStr">
        <is>
          <t>20230928</t>
        </is>
      </c>
      <c r="P46" t="inlineStr">
        <is>
          <t>Kalimantan Utara</t>
        </is>
      </c>
      <c r="Q46" t="inlineStr"/>
    </row>
    <row r="47">
      <c r="A47" t="inlineStr">
        <is>
          <t>INDAH SARI</t>
        </is>
      </c>
      <c r="B47" t="inlineStr">
        <is>
          <t>Kab. Kuningan</t>
        </is>
      </c>
      <c r="C47" t="inlineStr">
        <is>
          <t>081222292214</t>
        </is>
      </c>
      <c r="D47" t="inlineStr">
        <is>
          <t>indahsari.kng@gmail.com</t>
        </is>
      </c>
      <c r="E47" t="inlineStr">
        <is>
          <t>https://lpjk.pu.go.id/search-badan-usaha-detail/STdRL1VPY2pPdmdwSVhXNWw3ZjY4QT09</t>
        </is>
      </c>
      <c r="F47" t="n">
        <v>1</v>
      </c>
      <c r="G47" t="inlineStr">
        <is>
          <t>BG006</t>
        </is>
      </c>
      <c r="H47" t="inlineStr">
        <is>
          <t>24 Agustus 1987</t>
        </is>
      </c>
      <c r="I47" s="2" t="n">
        <v>46294</v>
      </c>
      <c r="J47" t="inlineStr">
        <is>
          <t>Disetujui</t>
        </is>
      </c>
      <c r="K47" t="n">
        <v>90</v>
      </c>
      <c r="L47" t="inlineStr">
        <is>
          <t>29 September 2026</t>
        </is>
      </c>
      <c r="M47" t="inlineStr">
        <is>
          <t>Konstruksi Gedung Pendidikan</t>
        </is>
      </c>
      <c r="N47" t="inlineStr">
        <is>
          <t>K</t>
        </is>
      </c>
      <c r="O47" t="inlineStr">
        <is>
          <t>20230925</t>
        </is>
      </c>
      <c r="P47" t="inlineStr">
        <is>
          <t>Jawa Barat</t>
        </is>
      </c>
      <c r="Q47" t="inlineStr"/>
    </row>
    <row r="48">
      <c r="A48" t="inlineStr">
        <is>
          <t>INSAN BANGKA PRATAMA</t>
        </is>
      </c>
      <c r="B48" t="inlineStr">
        <is>
          <t>Kota Pangkal Pinang</t>
        </is>
      </c>
      <c r="C48" t="inlineStr">
        <is>
          <t>081367531196</t>
        </is>
      </c>
      <c r="D48" t="inlineStr">
        <is>
          <t>cv.insanbangkapratama@gmail.com</t>
        </is>
      </c>
      <c r="E48" t="inlineStr">
        <is>
          <t>https://lpjk.pu.go.id/search-badan-usaha-detail/ekxQQWRvV2RxWElFZ21WM1VlU3pWUT09</t>
        </is>
      </c>
      <c r="F48" t="n">
        <v>3</v>
      </c>
      <c r="G48" t="inlineStr">
        <is>
          <t>BG006, BG009</t>
        </is>
      </c>
      <c r="H48" t="inlineStr">
        <is>
          <t>17 Februari 2020</t>
        </is>
      </c>
      <c r="I48" s="2" t="n">
        <v>46294</v>
      </c>
      <c r="J48" t="inlineStr">
        <is>
          <t>Disetujui</t>
        </is>
      </c>
      <c r="K48" t="n">
        <v>90</v>
      </c>
      <c r="L48" t="inlineStr">
        <is>
          <t>29 September 2026</t>
        </is>
      </c>
      <c r="M48" t="inlineStr">
        <is>
          <t>Konstruksi Gedung Lainnya, Konstruksi Gedung Pendidikan</t>
        </is>
      </c>
      <c r="N48" t="inlineStr">
        <is>
          <t>K</t>
        </is>
      </c>
      <c r="O48" t="inlineStr">
        <is>
          <t>20230929</t>
        </is>
      </c>
      <c r="P48" t="inlineStr">
        <is>
          <t>Kepulauan Bangka Belitung</t>
        </is>
      </c>
      <c r="Q48" t="inlineStr"/>
    </row>
    <row r="49">
      <c r="A49" t="inlineStr">
        <is>
          <t>INTAN KONSTRUKSI NUSANTARA</t>
        </is>
      </c>
      <c r="B49" t="inlineStr">
        <is>
          <t>Kota Adm. Jakarta Barat</t>
        </is>
      </c>
      <c r="C49" t="inlineStr">
        <is>
          <t>02122301888</t>
        </is>
      </c>
      <c r="D49" t="inlineStr">
        <is>
          <t>ikn888jakarta@gmail.com</t>
        </is>
      </c>
      <c r="E49" t="inlineStr">
        <is>
          <t>https://lpjk.pu.go.id/search-badan-usaha-detail/MU5CVzR1c0E0YjJRdGVwMlN6WW1tdz09</t>
        </is>
      </c>
      <c r="F49" t="n">
        <v>1</v>
      </c>
      <c r="G49" t="inlineStr">
        <is>
          <t>BG003</t>
        </is>
      </c>
      <c r="H49" t="inlineStr">
        <is>
          <t>3 September 2021</t>
        </is>
      </c>
      <c r="I49" s="2" t="n">
        <v>46294</v>
      </c>
      <c r="J49" t="inlineStr">
        <is>
          <t>Disetujui</t>
        </is>
      </c>
      <c r="K49" t="n">
        <v>90</v>
      </c>
      <c r="L49" t="inlineStr">
        <is>
          <t>29 September 2026</t>
        </is>
      </c>
      <c r="M49" t="inlineStr">
        <is>
          <t>Konstruksi Gedung Industri</t>
        </is>
      </c>
      <c r="N49" t="inlineStr">
        <is>
          <t>B</t>
        </is>
      </c>
      <c r="O49" t="inlineStr">
        <is>
          <t>20230929</t>
        </is>
      </c>
      <c r="P49" t="inlineStr">
        <is>
          <t>DKI Jakarta</t>
        </is>
      </c>
      <c r="Q49" t="inlineStr"/>
    </row>
    <row r="50">
      <c r="A50" t="inlineStr">
        <is>
          <t>JAYA SAMPURNA ABADI</t>
        </is>
      </c>
      <c r="B50" t="inlineStr">
        <is>
          <t>Kota Palembang</t>
        </is>
      </c>
      <c r="C50" t="inlineStr">
        <is>
          <t>082183966766</t>
        </is>
      </c>
      <c r="D50" t="inlineStr">
        <is>
          <t>jayasampurnabadi@yahoo.com</t>
        </is>
      </c>
      <c r="E50" t="inlineStr">
        <is>
          <t>https://lpjk.pu.go.id/search-badan-usaha-detail/a3pHL2pkNXlpdzhWM1ZWaTdEdXd1dz09</t>
        </is>
      </c>
      <c r="F50" t="n">
        <v>1</v>
      </c>
      <c r="G50" t="inlineStr">
        <is>
          <t>BG009</t>
        </is>
      </c>
      <c r="H50" t="inlineStr">
        <is>
          <t>27 Juli 2016</t>
        </is>
      </c>
      <c r="I50" s="2" t="n">
        <v>46294</v>
      </c>
      <c r="J50" t="inlineStr">
        <is>
          <t>Pencabutan</t>
        </is>
      </c>
      <c r="K50" t="n">
        <v>90</v>
      </c>
      <c r="L50" t="inlineStr">
        <is>
          <t>29 September 2026</t>
        </is>
      </c>
      <c r="M50" t="inlineStr">
        <is>
          <t>Konstruksi Gedung Lainnya</t>
        </is>
      </c>
      <c r="N50" t="inlineStr">
        <is>
          <t>K</t>
        </is>
      </c>
      <c r="O50" t="inlineStr">
        <is>
          <t>20230928</t>
        </is>
      </c>
      <c r="P50" t="inlineStr">
        <is>
          <t>Sumatera Selatan</t>
        </is>
      </c>
      <c r="Q50" t="inlineStr"/>
    </row>
    <row r="51">
      <c r="A51" t="inlineStr">
        <is>
          <t>KARYA MULTI SOLUSI</t>
        </is>
      </c>
      <c r="B51" t="inlineStr">
        <is>
          <t>Kota Tangerang Selatan</t>
        </is>
      </c>
      <c r="C51" t="inlineStr">
        <is>
          <t>0215385142</t>
        </is>
      </c>
      <c r="D51" t="inlineStr">
        <is>
          <t>karyamultisolusi.kms16@gmail.com</t>
        </is>
      </c>
      <c r="E51" t="inlineStr">
        <is>
          <t>https://lpjk.pu.go.id/search-badan-usaha-detail/V3MzTVJQeXJvY0FVRnk1Y2l1Q0JkZz09</t>
        </is>
      </c>
      <c r="F51" t="n">
        <v>1</v>
      </c>
      <c r="G51" t="inlineStr">
        <is>
          <t>BS001</t>
        </is>
      </c>
      <c r="H51" t="inlineStr">
        <is>
          <t>18 Desember 2015</t>
        </is>
      </c>
      <c r="I51" s="2" t="n">
        <v>46294</v>
      </c>
      <c r="J51" t="inlineStr">
        <is>
          <t>Disetujui</t>
        </is>
      </c>
      <c r="K51" t="n">
        <v>90</v>
      </c>
      <c r="L51" t="inlineStr">
        <is>
          <t>29 September 2026</t>
        </is>
      </c>
      <c r="M51" t="inlineStr">
        <is>
          <t>Konstruksi Bangunan Sipil Jalan</t>
        </is>
      </c>
      <c r="N51" t="inlineStr">
        <is>
          <t>K</t>
        </is>
      </c>
      <c r="O51" t="inlineStr">
        <is>
          <t>20230929</t>
        </is>
      </c>
      <c r="P51" t="inlineStr">
        <is>
          <t>Banten</t>
        </is>
      </c>
      <c r="Q51" t="inlineStr"/>
    </row>
    <row r="52">
      <c r="A52" t="inlineStr">
        <is>
          <t>KARYATAMA</t>
        </is>
      </c>
      <c r="B52" t="inlineStr">
        <is>
          <t>Kota Banda Aceh</t>
        </is>
      </c>
      <c r="C52" t="inlineStr">
        <is>
          <t>082310606590</t>
        </is>
      </c>
      <c r="D52" t="inlineStr">
        <is>
          <t>tamakarya27@gmail.com</t>
        </is>
      </c>
      <c r="E52" t="inlineStr">
        <is>
          <t>https://lpjk.pu.go.id/search-badan-usaha-detail/dW1pUm1iYTB1Nk5EaFYvMVdXZ1NQZz09</t>
        </is>
      </c>
      <c r="F52" t="n">
        <v>2</v>
      </c>
      <c r="G52" t="inlineStr">
        <is>
          <t>BG005</t>
        </is>
      </c>
      <c r="H52" t="inlineStr">
        <is>
          <t>5 Juni 2012</t>
        </is>
      </c>
      <c r="I52" s="2" t="n">
        <v>46294</v>
      </c>
      <c r="J52" t="inlineStr">
        <is>
          <t>Disetujui</t>
        </is>
      </c>
      <c r="K52" t="n">
        <v>90</v>
      </c>
      <c r="L52" t="inlineStr">
        <is>
          <t>29 September 2026</t>
        </is>
      </c>
      <c r="M52" t="inlineStr">
        <is>
          <t>Konstruksi Gedung Kesehatan</t>
        </is>
      </c>
      <c r="N52" t="inlineStr">
        <is>
          <t>K</t>
        </is>
      </c>
      <c r="O52" t="inlineStr">
        <is>
          <t>20230925</t>
        </is>
      </c>
      <c r="P52" t="inlineStr">
        <is>
          <t>Aceh</t>
        </is>
      </c>
      <c r="Q52" t="inlineStr"/>
    </row>
    <row r="53">
      <c r="A53" t="inlineStr">
        <is>
          <t>KASIH IBU</t>
        </is>
      </c>
      <c r="B53" t="inlineStr">
        <is>
          <t>Kab. Ende</t>
        </is>
      </c>
      <c r="C53" t="inlineStr">
        <is>
          <t>081337432456</t>
        </is>
      </c>
      <c r="D53" t="inlineStr">
        <is>
          <t>mansyur_h.aziz@aoo.com</t>
        </is>
      </c>
      <c r="E53" t="inlineStr">
        <is>
          <t>https://lpjk.pu.go.id/search-badan-usaha-detail/UnR5NXp3TnR5amVYSUphcUhYb242UT09</t>
        </is>
      </c>
      <c r="F53" t="n">
        <v>1</v>
      </c>
      <c r="G53" t="inlineStr">
        <is>
          <t>BG004</t>
        </is>
      </c>
      <c r="H53" t="inlineStr">
        <is>
          <t>4 Mei 1994</t>
        </is>
      </c>
      <c r="I53" s="2" t="n">
        <v>46294</v>
      </c>
      <c r="J53" t="inlineStr">
        <is>
          <t>Disetujui</t>
        </is>
      </c>
      <c r="K53" t="n">
        <v>90</v>
      </c>
      <c r="L53" t="inlineStr">
        <is>
          <t>29 September 2026</t>
        </is>
      </c>
      <c r="M53" t="inlineStr">
        <is>
          <t>Konstruksi Gedung Perbelanjaan</t>
        </is>
      </c>
      <c r="N53" t="inlineStr">
        <is>
          <t>K</t>
        </is>
      </c>
      <c r="O53" t="inlineStr">
        <is>
          <t>20230926</t>
        </is>
      </c>
      <c r="P53" t="inlineStr">
        <is>
          <t>Nusa Tenggara Timur</t>
        </is>
      </c>
      <c r="Q53" t="inlineStr"/>
    </row>
    <row r="54">
      <c r="A54" t="inlineStr">
        <is>
          <t>KHARISMA</t>
        </is>
      </c>
      <c r="B54" t="inlineStr">
        <is>
          <t>Kab. Kapuas Hulu</t>
        </is>
      </c>
      <c r="C54" t="inlineStr">
        <is>
          <t>085750124435</t>
        </is>
      </c>
      <c r="D54" t="inlineStr">
        <is>
          <t>kharismacv99@gmail.com</t>
        </is>
      </c>
      <c r="E54" t="inlineStr">
        <is>
          <t>https://lpjk.pu.go.id/search-badan-usaha-detail/VzR4emkzdnV4NGJkNkxVVEN1QmkwQT09</t>
        </is>
      </c>
      <c r="F54" t="n">
        <v>2</v>
      </c>
      <c r="G54" t="inlineStr">
        <is>
          <t>BS002</t>
        </is>
      </c>
      <c r="H54" t="inlineStr">
        <is>
          <t>15 Januari 2010</t>
        </is>
      </c>
      <c r="I54" s="2" t="n">
        <v>46294</v>
      </c>
      <c r="J54" t="inlineStr">
        <is>
          <t>Disetujui</t>
        </is>
      </c>
      <c r="K54" t="n">
        <v>90</v>
      </c>
      <c r="L54" t="inlineStr">
        <is>
          <t>29 September 2026</t>
        </is>
      </c>
      <c r="M54" t="inlineStr">
        <is>
          <t>Bangunan Sipil Jembatan, Jalan Layang, Fly Over, dan Underpass</t>
        </is>
      </c>
      <c r="N54" t="inlineStr">
        <is>
          <t>K</t>
        </is>
      </c>
      <c r="O54" t="inlineStr">
        <is>
          <t>20230907</t>
        </is>
      </c>
      <c r="P54" t="inlineStr">
        <is>
          <t>Kalimantan Barat</t>
        </is>
      </c>
      <c r="Q54" t="inlineStr"/>
    </row>
    <row r="55">
      <c r="A55" t="inlineStr">
        <is>
          <t>KIBAR SEMESTA SEJAHTERA</t>
        </is>
      </c>
      <c r="B55" t="inlineStr">
        <is>
          <t>Kota Medan</t>
        </is>
      </c>
      <c r="C55" t="inlineStr">
        <is>
          <t>9120109332652</t>
        </is>
      </c>
      <c r="D55" t="inlineStr">
        <is>
          <t>ptksssukses@gmail.com</t>
        </is>
      </c>
      <c r="E55" t="inlineStr">
        <is>
          <t>https://lpjk.pu.go.id/search-badan-usaha-detail/S0pSWlR5eitPRUZWQVc0dU5JZVJkQT09</t>
        </is>
      </c>
      <c r="F55" t="n">
        <v>2</v>
      </c>
      <c r="G55" t="inlineStr">
        <is>
          <t>BG004, BG009</t>
        </is>
      </c>
      <c r="H55" t="inlineStr">
        <is>
          <t>18 Maret 2015</t>
        </is>
      </c>
      <c r="I55" s="2" t="n">
        <v>46294</v>
      </c>
      <c r="J55" t="inlineStr">
        <is>
          <t>Disetujui</t>
        </is>
      </c>
      <c r="K55" t="n">
        <v>90</v>
      </c>
      <c r="L55" t="inlineStr">
        <is>
          <t>29 September 2026</t>
        </is>
      </c>
      <c r="M55" t="inlineStr">
        <is>
          <t>Konstruksi Gedung Lainnya, Konstruksi Gedung Perbelanjaan</t>
        </is>
      </c>
      <c r="N55" t="inlineStr">
        <is>
          <t>K</t>
        </is>
      </c>
      <c r="O55" t="inlineStr">
        <is>
          <t>20230926</t>
        </is>
      </c>
      <c r="P55" t="inlineStr">
        <is>
          <t>Sumatera Utara</t>
        </is>
      </c>
      <c r="Q55" t="inlineStr"/>
    </row>
    <row r="56">
      <c r="A56" t="inlineStr">
        <is>
          <t>LISANDO NUSANTARA KARYA</t>
        </is>
      </c>
      <c r="B56" t="inlineStr">
        <is>
          <t>Kab. Majalengka</t>
        </is>
      </c>
      <c r="C56" t="inlineStr">
        <is>
          <t>081221608720</t>
        </is>
      </c>
      <c r="D56" t="inlineStr">
        <is>
          <t>lindonusakarya@gmail.com</t>
        </is>
      </c>
      <c r="E56" t="inlineStr">
        <is>
          <t>https://lpjk.pu.go.id/search-badan-usaha-detail/L2YrYXAzY0p4MDg3MFZEbTJFT00zZz09</t>
        </is>
      </c>
      <c r="F56" t="n">
        <v>3</v>
      </c>
      <c r="G56" t="inlineStr">
        <is>
          <t>BG009, BS001, BS002</t>
        </is>
      </c>
      <c r="H56" t="inlineStr">
        <is>
          <t>14 Oktober 2020</t>
        </is>
      </c>
      <c r="I56" s="2" t="n">
        <v>46294</v>
      </c>
      <c r="J56" t="inlineStr">
        <is>
          <t>Disetujui</t>
        </is>
      </c>
      <c r="K56" t="n">
        <v>90</v>
      </c>
      <c r="L56" t="inlineStr">
        <is>
          <t>29 September 2026</t>
        </is>
      </c>
      <c r="M56" t="inlineStr">
        <is>
          <t>Bangunan Sipil Jembatan, Jalan Layang, Fly Over, dan Underpass, Konstruksi Bangunan Sipil Jalan, Konstruksi Gedung Lainnya</t>
        </is>
      </c>
      <c r="N56" t="inlineStr">
        <is>
          <t>K</t>
        </is>
      </c>
      <c r="O56" t="inlineStr">
        <is>
          <t>20230929</t>
        </is>
      </c>
      <c r="P56" t="inlineStr">
        <is>
          <t>Jawa Barat</t>
        </is>
      </c>
      <c r="Q56" t="inlineStr"/>
    </row>
    <row r="57">
      <c r="A57" t="inlineStr">
        <is>
          <t>MAN TEHNIK SEJAHTERA</t>
        </is>
      </c>
      <c r="B57" t="inlineStr">
        <is>
          <t>Kota Bengkulu</t>
        </is>
      </c>
      <c r="C57" t="inlineStr">
        <is>
          <t>081271845588</t>
        </is>
      </c>
      <c r="D57" t="inlineStr">
        <is>
          <t>pt.mantera.bengkulu@gmail.com</t>
        </is>
      </c>
      <c r="E57" t="inlineStr">
        <is>
          <t>https://lpjk.pu.go.id/search-badan-usaha-detail/ZTcxWDJBUlJjSHZMSHFLbks1M1poUT09</t>
        </is>
      </c>
      <c r="F57" t="n">
        <v>2</v>
      </c>
      <c r="G57" t="inlineStr">
        <is>
          <t>BG002, BG004</t>
        </is>
      </c>
      <c r="H57" t="inlineStr">
        <is>
          <t>26 Juli 2023</t>
        </is>
      </c>
      <c r="I57" s="2" t="n">
        <v>46294</v>
      </c>
      <c r="J57" t="inlineStr">
        <is>
          <t>Disetujui</t>
        </is>
      </c>
      <c r="K57" t="n">
        <v>90</v>
      </c>
      <c r="L57" t="inlineStr">
        <is>
          <t>29 September 2026</t>
        </is>
      </c>
      <c r="M57" t="inlineStr">
        <is>
          <t>Konstruksi Gedung Perbelanjaan, Konstruksi Gedung Perkantoran</t>
        </is>
      </c>
      <c r="N57" t="inlineStr">
        <is>
          <t>K</t>
        </is>
      </c>
      <c r="O57" t="inlineStr">
        <is>
          <t>20230823, 20230929</t>
        </is>
      </c>
      <c r="P57" t="inlineStr">
        <is>
          <t>Bengkulu</t>
        </is>
      </c>
      <c r="Q57" t="inlineStr"/>
    </row>
    <row r="58">
      <c r="A58" t="inlineStr">
        <is>
          <t>MANDIRI BERKAH KONSTRUKSI</t>
        </is>
      </c>
      <c r="B58" t="inlineStr">
        <is>
          <t>Kab. Tuban</t>
        </is>
      </c>
      <c r="C58" t="inlineStr">
        <is>
          <t>089699391106</t>
        </is>
      </c>
      <c r="D58" t="inlineStr">
        <is>
          <t>cv.mandiriberkahkonstruksi@gmail.com</t>
        </is>
      </c>
      <c r="E58" t="inlineStr">
        <is>
          <t>https://lpjk.pu.go.id/search-badan-usaha-detail/THBDK0l0UTBJdmk1YVRxYWV5QnNOQT09</t>
        </is>
      </c>
      <c r="F58" t="n">
        <v>1</v>
      </c>
      <c r="G58" t="inlineStr">
        <is>
          <t>BS004</t>
        </is>
      </c>
      <c r="H58" t="inlineStr">
        <is>
          <t>1 Maret 2023</t>
        </is>
      </c>
      <c r="I58" s="2" t="n">
        <v>46294</v>
      </c>
      <c r="J58" t="inlineStr">
        <is>
          <t>Pencabutan</t>
        </is>
      </c>
      <c r="K58" t="n">
        <v>90</v>
      </c>
      <c r="L58" t="inlineStr">
        <is>
          <t>29 September 2026</t>
        </is>
      </c>
      <c r="M58" t="inlineStr">
        <is>
          <t>Konstruksi Jaringan Irigasi dan Drainase</t>
        </is>
      </c>
      <c r="N58" t="inlineStr">
        <is>
          <t>K</t>
        </is>
      </c>
      <c r="O58" t="inlineStr">
        <is>
          <t>20230927</t>
        </is>
      </c>
      <c r="P58" t="inlineStr">
        <is>
          <t>Jawa Timur</t>
        </is>
      </c>
      <c r="Q58" t="inlineStr"/>
    </row>
    <row r="59">
      <c r="A59" t="inlineStr">
        <is>
          <t>MANDIRI PUTRA PRIMA</t>
        </is>
      </c>
      <c r="B59" t="inlineStr">
        <is>
          <t>Kab. Kudus</t>
        </is>
      </c>
      <c r="C59" t="inlineStr">
        <is>
          <t>081252439026</t>
        </is>
      </c>
      <c r="D59" t="inlineStr">
        <is>
          <t>mandiri_putra_prima@yahoo.com</t>
        </is>
      </c>
      <c r="E59" t="inlineStr">
        <is>
          <t>https://lpjk.pu.go.id/search-badan-usaha-detail/SUZnWkdjUDNITkZqVDNMemJaa2NYZz09</t>
        </is>
      </c>
      <c r="F59" t="n">
        <v>1</v>
      </c>
      <c r="G59" t="inlineStr">
        <is>
          <t>BG005</t>
        </is>
      </c>
      <c r="H59" t="inlineStr">
        <is>
          <t>12 Januari 2002</t>
        </is>
      </c>
      <c r="I59" s="2" t="n">
        <v>46294</v>
      </c>
      <c r="J59" t="inlineStr">
        <is>
          <t>Disetujui</t>
        </is>
      </c>
      <c r="K59" t="n">
        <v>90</v>
      </c>
      <c r="L59" t="inlineStr">
        <is>
          <t>29 September 2026</t>
        </is>
      </c>
      <c r="M59" t="inlineStr">
        <is>
          <t>Konstruksi Gedung Kesehatan</t>
        </is>
      </c>
      <c r="N59" t="inlineStr">
        <is>
          <t>K</t>
        </is>
      </c>
      <c r="O59" t="inlineStr">
        <is>
          <t>20230927</t>
        </is>
      </c>
      <c r="P59" t="inlineStr">
        <is>
          <t>Jawa Tengah</t>
        </is>
      </c>
      <c r="Q59" t="inlineStr"/>
    </row>
    <row r="60">
      <c r="A60" t="inlineStr">
        <is>
          <t>MANGGALA KARYA</t>
        </is>
      </c>
      <c r="B60" t="inlineStr">
        <is>
          <t>Kota Banjar</t>
        </is>
      </c>
      <c r="C60" t="inlineStr">
        <is>
          <t>085353309535</t>
        </is>
      </c>
      <c r="D60" t="inlineStr">
        <is>
          <t>cv.manggalakarya@gmail.com</t>
        </is>
      </c>
      <c r="E60" t="inlineStr">
        <is>
          <t>https://lpjk.pu.go.id/search-badan-usaha-detail/K20wK1VvVjd6Znhmbk1GbnRaSVkwUT09</t>
        </is>
      </c>
      <c r="F60" t="n">
        <v>2</v>
      </c>
      <c r="G60" t="inlineStr">
        <is>
          <t>BG002, BG009</t>
        </is>
      </c>
      <c r="H60" t="inlineStr">
        <is>
          <t>16 Maret 2016</t>
        </is>
      </c>
      <c r="I60" s="2" t="n">
        <v>46294</v>
      </c>
      <c r="J60" t="inlineStr">
        <is>
          <t>Disetujui</t>
        </is>
      </c>
      <c r="K60" t="n">
        <v>90</v>
      </c>
      <c r="L60" t="inlineStr">
        <is>
          <t>29 September 2026</t>
        </is>
      </c>
      <c r="M60" t="inlineStr">
        <is>
          <t>Konstruksi Gedung Lainnya, Konstruksi Gedung Perkantoran</t>
        </is>
      </c>
      <c r="N60" t="inlineStr">
        <is>
          <t>K</t>
        </is>
      </c>
      <c r="O60" t="inlineStr">
        <is>
          <t>20230919</t>
        </is>
      </c>
      <c r="P60" t="inlineStr">
        <is>
          <t>Jawa Barat</t>
        </is>
      </c>
      <c r="Q60" t="inlineStr"/>
    </row>
    <row r="61">
      <c r="A61" t="inlineStr">
        <is>
          <t>MARADDA SEJAHTERA</t>
        </is>
      </c>
      <c r="B61" t="inlineStr">
        <is>
          <t>Kota Makassar</t>
        </is>
      </c>
      <c r="C61" t="inlineStr">
        <is>
          <t>082191192440</t>
        </is>
      </c>
      <c r="D61" t="inlineStr">
        <is>
          <t>maraddasejahtera@gmail.com</t>
        </is>
      </c>
      <c r="E61" t="inlineStr">
        <is>
          <t>https://lpjk.pu.go.id/search-badan-usaha-detail/SjdoTldCRCswaW54OFhxQkhNQ0tPUT09</t>
        </is>
      </c>
      <c r="F61" t="n">
        <v>1</v>
      </c>
      <c r="G61" t="inlineStr">
        <is>
          <t>BG006</t>
        </is>
      </c>
      <c r="H61" t="inlineStr">
        <is>
          <t>4 November 2011</t>
        </is>
      </c>
      <c r="I61" s="2" t="n">
        <v>46294</v>
      </c>
      <c r="J61" t="inlineStr">
        <is>
          <t>Pencabutan</t>
        </is>
      </c>
      <c r="K61" t="n">
        <v>90</v>
      </c>
      <c r="L61" t="inlineStr">
        <is>
          <t>29 September 2026</t>
        </is>
      </c>
      <c r="M61" t="inlineStr">
        <is>
          <t>Konstruksi Gedung Pendidikan</t>
        </is>
      </c>
      <c r="N61" t="inlineStr">
        <is>
          <t>K</t>
        </is>
      </c>
      <c r="O61" t="inlineStr">
        <is>
          <t>20230929</t>
        </is>
      </c>
      <c r="P61" t="inlineStr">
        <is>
          <t>Sulawesi Selatan</t>
        </is>
      </c>
      <c r="Q61" t="inlineStr"/>
    </row>
    <row r="62">
      <c r="A62" t="inlineStr">
        <is>
          <t>MASA GANTA JAYA</t>
        </is>
      </c>
      <c r="B62" t="inlineStr">
        <is>
          <t>Kab. Lampung Utara</t>
        </is>
      </c>
      <c r="C62" t="inlineStr">
        <is>
          <t>082185072085</t>
        </is>
      </c>
      <c r="D62" t="inlineStr">
        <is>
          <t>teddywijaya1986@gmail.com</t>
        </is>
      </c>
      <c r="E62" t="inlineStr">
        <is>
          <t>https://lpjk.pu.go.id/search-badan-usaha-detail/KzA5TkJoOTFZaWV5bnBpVmpjalJUZz09</t>
        </is>
      </c>
      <c r="F62" t="n">
        <v>1</v>
      </c>
      <c r="G62" t="inlineStr">
        <is>
          <t>BS004</t>
        </is>
      </c>
      <c r="H62" t="inlineStr">
        <is>
          <t>13 Juli 2016</t>
        </is>
      </c>
      <c r="I62" s="2" t="n">
        <v>46294</v>
      </c>
      <c r="J62" t="inlineStr">
        <is>
          <t>Disetujui</t>
        </is>
      </c>
      <c r="K62" t="n">
        <v>90</v>
      </c>
      <c r="L62" t="inlineStr">
        <is>
          <t>29 September 2026</t>
        </is>
      </c>
      <c r="M62" t="inlineStr">
        <is>
          <t>Konstruksi Jaringan Irigasi dan Drainase</t>
        </is>
      </c>
      <c r="N62" t="inlineStr">
        <is>
          <t>K</t>
        </is>
      </c>
      <c r="O62" t="inlineStr">
        <is>
          <t>20230926</t>
        </is>
      </c>
      <c r="P62" t="inlineStr">
        <is>
          <t>Lampung</t>
        </is>
      </c>
      <c r="Q62" t="inlineStr"/>
    </row>
    <row r="63">
      <c r="A63" t="inlineStr">
        <is>
          <t>MEGA TAMA</t>
        </is>
      </c>
      <c r="B63" t="inlineStr">
        <is>
          <t>Kab. Banjarnegara</t>
        </is>
      </c>
      <c r="C63" t="inlineStr">
        <is>
          <t>081318730683</t>
        </is>
      </c>
      <c r="D63" t="inlineStr">
        <is>
          <t>megatamat9@gmail.com</t>
        </is>
      </c>
      <c r="E63" t="inlineStr">
        <is>
          <t>https://lpjk.pu.go.id/search-badan-usaha-detail/QzZicWtSRmZvMmhxUWRsK2FMT2RTdz09</t>
        </is>
      </c>
      <c r="F63" t="n">
        <v>1</v>
      </c>
      <c r="G63" t="inlineStr">
        <is>
          <t>BS001</t>
        </is>
      </c>
      <c r="H63" t="inlineStr">
        <is>
          <t>23 Maret 2017</t>
        </is>
      </c>
      <c r="I63" s="2" t="n">
        <v>46294</v>
      </c>
      <c r="J63" t="inlineStr">
        <is>
          <t>Disetujui</t>
        </is>
      </c>
      <c r="K63" t="n">
        <v>90</v>
      </c>
      <c r="L63" t="inlineStr">
        <is>
          <t>29 September 2026</t>
        </is>
      </c>
      <c r="M63" t="inlineStr">
        <is>
          <t>Konstruksi Bangunan Sipil Jalan</t>
        </is>
      </c>
      <c r="N63" t="inlineStr">
        <is>
          <t>K</t>
        </is>
      </c>
      <c r="O63" t="inlineStr">
        <is>
          <t>20230922</t>
        </is>
      </c>
      <c r="P63" t="inlineStr">
        <is>
          <t>Jawa Tengah</t>
        </is>
      </c>
      <c r="Q63" t="inlineStr"/>
    </row>
    <row r="64">
      <c r="A64" t="inlineStr">
        <is>
          <t>MEKAR SEJAHTERA</t>
        </is>
      </c>
      <c r="B64" t="inlineStr">
        <is>
          <t>Kab. Bantul</t>
        </is>
      </c>
      <c r="C64" t="inlineStr">
        <is>
          <t>087738392620</t>
        </is>
      </c>
      <c r="D64" t="inlineStr">
        <is>
          <t>NURIKHSANHIDAYAT33@gmail.com</t>
        </is>
      </c>
      <c r="E64" t="inlineStr">
        <is>
          <t>https://lpjk.pu.go.id/search-badan-usaha-detail/MHRQWk1aTW1MbS8ySWEwNmpBRGszdz09</t>
        </is>
      </c>
      <c r="F64" t="n">
        <v>4</v>
      </c>
      <c r="G64" t="inlineStr">
        <is>
          <t>BG005, BG006</t>
        </is>
      </c>
      <c r="H64" t="inlineStr">
        <is>
          <t>16 Januari 2006</t>
        </is>
      </c>
      <c r="I64" s="2" t="n">
        <v>46294</v>
      </c>
      <c r="J64" t="inlineStr">
        <is>
          <t>Disetujui</t>
        </is>
      </c>
      <c r="K64" t="n">
        <v>90</v>
      </c>
      <c r="L64" t="inlineStr">
        <is>
          <t>29 September 2026</t>
        </is>
      </c>
      <c r="M64" t="inlineStr">
        <is>
          <t>Konstruksi Gedung Kesehatan, Konstruksi Gedung Pendidikan</t>
        </is>
      </c>
      <c r="N64" t="inlineStr">
        <is>
          <t>K</t>
        </is>
      </c>
      <c r="O64" t="inlineStr">
        <is>
          <t>20230915</t>
        </is>
      </c>
      <c r="P64" t="inlineStr">
        <is>
          <t>DI Yogyakarta</t>
        </is>
      </c>
      <c r="Q64" t="inlineStr"/>
    </row>
    <row r="65">
      <c r="A65" t="inlineStr">
        <is>
          <t>MITRA BERSAMA</t>
        </is>
      </c>
      <c r="B65" t="inlineStr">
        <is>
          <t>Kab. Tanah Bumbu</t>
        </is>
      </c>
      <c r="C65" t="inlineStr">
        <is>
          <t>081251033323</t>
        </is>
      </c>
      <c r="D65" t="inlineStr">
        <is>
          <t>nano.nato@yahoo.co.id</t>
        </is>
      </c>
      <c r="E65" t="inlineStr">
        <is>
          <t>https://lpjk.pu.go.id/search-badan-usaha-detail/Q2ZaWDd0ME96OUFzU2I5KzFzRnYyQT09</t>
        </is>
      </c>
      <c r="F65" t="n">
        <v>3</v>
      </c>
      <c r="G65" t="inlineStr">
        <is>
          <t>BG005, BG006, BG009</t>
        </is>
      </c>
      <c r="H65" t="inlineStr">
        <is>
          <t>5 Juni 2006</t>
        </is>
      </c>
      <c r="I65" s="2" t="n">
        <v>46294</v>
      </c>
      <c r="J65" t="inlineStr">
        <is>
          <t>Disetujui</t>
        </is>
      </c>
      <c r="K65" t="n">
        <v>90</v>
      </c>
      <c r="L65" t="inlineStr">
        <is>
          <t>29 September 2026</t>
        </is>
      </c>
      <c r="M65" t="inlineStr">
        <is>
          <t>Konstruksi Gedung Kesehatan, Konstruksi Gedung Lainnya, Konstruksi Gedung Pendidikan</t>
        </is>
      </c>
      <c r="N65" t="inlineStr">
        <is>
          <t>K</t>
        </is>
      </c>
      <c r="O65" t="inlineStr">
        <is>
          <t>20230922</t>
        </is>
      </c>
      <c r="P65" t="inlineStr">
        <is>
          <t>Kalimantan Selatan</t>
        </is>
      </c>
      <c r="Q65" t="inlineStr"/>
    </row>
    <row r="66">
      <c r="A66" t="inlineStr">
        <is>
          <t>MUARA KARYA NUSANTARA</t>
        </is>
      </c>
      <c r="B66" t="inlineStr">
        <is>
          <t>Kab. Bandung Barat</t>
        </is>
      </c>
      <c r="C66" t="inlineStr">
        <is>
          <t>081221071854</t>
        </is>
      </c>
      <c r="D66" t="inlineStr">
        <is>
          <t>muarakarya.pt@gmail.com</t>
        </is>
      </c>
      <c r="E66" t="inlineStr">
        <is>
          <t>https://lpjk.pu.go.id/search-badan-usaha-detail/M0VqYVZtd21VbG5VZHRNaGlqVUNpQT09</t>
        </is>
      </c>
      <c r="F66" t="n">
        <v>3</v>
      </c>
      <c r="G66" t="inlineStr">
        <is>
          <t>BG002, BS001, BS007</t>
        </is>
      </c>
      <c r="H66" t="inlineStr">
        <is>
          <t>16 Januari 2023</t>
        </is>
      </c>
      <c r="I66" s="2" t="n">
        <v>46294</v>
      </c>
      <c r="J66" t="inlineStr">
        <is>
          <t>Disetujui</t>
        </is>
      </c>
      <c r="K66" t="n">
        <v>90</v>
      </c>
      <c r="L66" t="inlineStr">
        <is>
          <t>29 September 2026</t>
        </is>
      </c>
      <c r="M66" t="inlineStr">
        <is>
          <t>Konstruksi Bangunan Sipil Elektrikal, Konstruksi Bangunan Sipil Jalan, Konstruksi Gedung Perkantoran</t>
        </is>
      </c>
      <c r="N66" t="inlineStr">
        <is>
          <t>K</t>
        </is>
      </c>
      <c r="O66" t="inlineStr">
        <is>
          <t>20230926</t>
        </is>
      </c>
      <c r="P66" t="inlineStr">
        <is>
          <t>Jawa Barat</t>
        </is>
      </c>
      <c r="Q66" t="inlineStr"/>
    </row>
    <row r="67">
      <c r="A67" t="inlineStr">
        <is>
          <t>MUTIARA CISADANE</t>
        </is>
      </c>
      <c r="B67" t="inlineStr">
        <is>
          <t>Kab. Tangerang</t>
        </is>
      </c>
      <c r="C67" t="inlineStr">
        <is>
          <t>02159370924</t>
        </is>
      </c>
      <c r="D67" t="inlineStr">
        <is>
          <t>mutiaracisadane.office@gmail.com</t>
        </is>
      </c>
      <c r="E67" t="inlineStr">
        <is>
          <t>https://lpjk.pu.go.id/search-badan-usaha-detail/cVc1VVY4d0hvdWpWQ3VEclk3UnlYUT09</t>
        </is>
      </c>
      <c r="F67" t="n">
        <v>2</v>
      </c>
      <c r="G67" t="inlineStr">
        <is>
          <t>BS004</t>
        </is>
      </c>
      <c r="H67" t="inlineStr">
        <is>
          <t>20 Desember 2004</t>
        </is>
      </c>
      <c r="I67" s="2" t="n">
        <v>46294</v>
      </c>
      <c r="J67" t="inlineStr">
        <is>
          <t>Disetujui</t>
        </is>
      </c>
      <c r="K67" t="n">
        <v>90</v>
      </c>
      <c r="L67" t="inlineStr">
        <is>
          <t>29 September 2026</t>
        </is>
      </c>
      <c r="M67" t="inlineStr">
        <is>
          <t>Konstruksi Jaringan Irigasi dan Drainase</t>
        </is>
      </c>
      <c r="N67" t="inlineStr">
        <is>
          <t>K</t>
        </is>
      </c>
      <c r="O67" t="inlineStr">
        <is>
          <t>20230922</t>
        </is>
      </c>
      <c r="P67" t="inlineStr">
        <is>
          <t>Banten</t>
        </is>
      </c>
      <c r="Q67" t="inlineStr"/>
    </row>
    <row r="68">
      <c r="A68" t="inlineStr">
        <is>
          <t>NAGA HITAM</t>
        </is>
      </c>
      <c r="B68" t="inlineStr">
        <is>
          <t>Kab. Langkat</t>
        </is>
      </c>
      <c r="C68" t="inlineStr">
        <is>
          <t>082351341655</t>
        </is>
      </c>
      <c r="D68" t="inlineStr">
        <is>
          <t>cv.nagahitam@umkmgo.online</t>
        </is>
      </c>
      <c r="E68" t="inlineStr">
        <is>
          <t>https://lpjk.pu.go.id/search-badan-usaha-detail/eWl2UG5wN0F6SU1nekRQNXVYWDBXZz09</t>
        </is>
      </c>
      <c r="F68" t="n">
        <v>1</v>
      </c>
      <c r="G68" t="inlineStr">
        <is>
          <t>BS004</t>
        </is>
      </c>
      <c r="H68" t="inlineStr">
        <is>
          <t>9 Maret 2023</t>
        </is>
      </c>
      <c r="I68" s="2" t="n">
        <v>46294</v>
      </c>
      <c r="J68" t="inlineStr">
        <is>
          <t>Disetujui</t>
        </is>
      </c>
      <c r="K68" t="n">
        <v>90</v>
      </c>
      <c r="L68" t="inlineStr">
        <is>
          <t>29 September 2026</t>
        </is>
      </c>
      <c r="M68" t="inlineStr">
        <is>
          <t>Konstruksi Jaringan Irigasi dan Drainase</t>
        </is>
      </c>
      <c r="N68" t="inlineStr">
        <is>
          <t>K</t>
        </is>
      </c>
      <c r="O68" t="inlineStr">
        <is>
          <t>20230926</t>
        </is>
      </c>
      <c r="P68" t="inlineStr">
        <is>
          <t>Sumatera Utara</t>
        </is>
      </c>
      <c r="Q68" t="inlineStr"/>
    </row>
    <row r="69">
      <c r="A69" t="inlineStr">
        <is>
          <t>NUSANTARA PASER JAYA</t>
        </is>
      </c>
      <c r="B69" t="inlineStr">
        <is>
          <t>Kab. Penajam Paser Utara</t>
        </is>
      </c>
      <c r="C69" t="inlineStr">
        <is>
          <t>081244762200</t>
        </is>
      </c>
      <c r="D69" t="inlineStr">
        <is>
          <t>nusantarapaserjaya@gmail.com</t>
        </is>
      </c>
      <c r="E69" t="inlineStr">
        <is>
          <t>https://lpjk.pu.go.id/search-badan-usaha-detail/M2VWMjVtajBrcUZLejhkMGx6SmJVdz09</t>
        </is>
      </c>
      <c r="F69" t="n">
        <v>5</v>
      </c>
      <c r="G69" t="inlineStr">
        <is>
          <t>BG004, BG005, BG006, BG008, BG009</t>
        </is>
      </c>
      <c r="H69" t="inlineStr">
        <is>
          <t>5 Juni 2023</t>
        </is>
      </c>
      <c r="I69" s="2" t="n">
        <v>46294</v>
      </c>
      <c r="J69" t="inlineStr">
        <is>
          <t>Pencabutan</t>
        </is>
      </c>
      <c r="K69" t="n">
        <v>90</v>
      </c>
      <c r="L69" t="inlineStr">
        <is>
          <t>29 September 2026</t>
        </is>
      </c>
      <c r="M69" t="inlineStr">
        <is>
          <t>Konstruksi Gedung Kesehatan, Konstruksi Gedung Lainnya, Konstruksi Gedung Pendidikan, Konstruksi Gedung Perbelanjaan, Konstruksi Gedung Tempat Hiburan dan Olahraga</t>
        </is>
      </c>
      <c r="N69" t="inlineStr">
        <is>
          <t>K</t>
        </is>
      </c>
      <c r="O69" t="inlineStr">
        <is>
          <t>20230928</t>
        </is>
      </c>
      <c r="P69" t="inlineStr">
        <is>
          <t>Kalimantan Timur</t>
        </is>
      </c>
      <c r="Q69" t="inlineStr"/>
    </row>
    <row r="70">
      <c r="A70" t="inlineStr">
        <is>
          <t>PANGKALANG KARYA</t>
        </is>
      </c>
      <c r="B70" t="inlineStr">
        <is>
          <t>Kab. Takalar</t>
        </is>
      </c>
      <c r="C70" t="inlineStr">
        <is>
          <t>081355287310</t>
        </is>
      </c>
      <c r="D70" t="inlineStr">
        <is>
          <t>pangkalangkarya@gmail.com</t>
        </is>
      </c>
      <c r="E70" t="inlineStr">
        <is>
          <t>https://lpjk.pu.go.id/search-badan-usaha-detail/TjZMZVBFNkE4Ly93L0FVZGtheTNQZz09</t>
        </is>
      </c>
      <c r="F70" t="n">
        <v>1</v>
      </c>
      <c r="G70" t="inlineStr">
        <is>
          <t>BS012</t>
        </is>
      </c>
      <c r="H70" t="inlineStr">
        <is>
          <t>21 Desember 2018</t>
        </is>
      </c>
      <c r="I70" s="2" t="n">
        <v>46294</v>
      </c>
      <c r="J70" t="inlineStr">
        <is>
          <t>Disetujui</t>
        </is>
      </c>
      <c r="K70" t="n">
        <v>90</v>
      </c>
      <c r="L70" t="inlineStr">
        <is>
          <t>29 September 2026</t>
        </is>
      </c>
      <c r="M70" t="inlineStr">
        <is>
          <t>Konstruksi Bangunan Pelabuhan Perikanan</t>
        </is>
      </c>
      <c r="N70" t="inlineStr">
        <is>
          <t>K</t>
        </is>
      </c>
      <c r="O70" t="inlineStr">
        <is>
          <t>20230925</t>
        </is>
      </c>
      <c r="P70" t="inlineStr">
        <is>
          <t>Sulawesi Selatan</t>
        </is>
      </c>
      <c r="Q70" t="inlineStr"/>
    </row>
    <row r="71">
      <c r="A71" t="inlineStr">
        <is>
          <t>PEMBANGUNAN TIMUR SURYA</t>
        </is>
      </c>
      <c r="B71" t="inlineStr">
        <is>
          <t>Kab. Manokwari</t>
        </is>
      </c>
      <c r="C71" t="inlineStr">
        <is>
          <t>08124877352</t>
        </is>
      </c>
      <c r="D71" t="inlineStr">
        <is>
          <t>ptpembangunantimursurya@gmail.com</t>
        </is>
      </c>
      <c r="E71" t="inlineStr">
        <is>
          <t>https://lpjk.pu.go.id/search-badan-usaha-detail/T1B5ekhSa1lvYkpRMnR5OEo4K2xxUT09</t>
        </is>
      </c>
      <c r="F71" t="n">
        <v>1</v>
      </c>
      <c r="G71" t="inlineStr">
        <is>
          <t>BG009</t>
        </is>
      </c>
      <c r="H71" t="inlineStr">
        <is>
          <t>18 Juli 1998</t>
        </is>
      </c>
      <c r="I71" s="2" t="n">
        <v>46294</v>
      </c>
      <c r="J71" t="inlineStr">
        <is>
          <t>Disetujui</t>
        </is>
      </c>
      <c r="K71" t="n">
        <v>90</v>
      </c>
      <c r="L71" t="inlineStr">
        <is>
          <t>29 September 2026</t>
        </is>
      </c>
      <c r="M71" t="inlineStr">
        <is>
          <t>Konstruksi Gedung Lainnya</t>
        </is>
      </c>
      <c r="N71" t="inlineStr">
        <is>
          <t>K</t>
        </is>
      </c>
      <c r="O71" t="inlineStr">
        <is>
          <t>20230913</t>
        </is>
      </c>
      <c r="P71" t="inlineStr">
        <is>
          <t>Papua Barat</t>
        </is>
      </c>
      <c r="Q71" t="inlineStr"/>
    </row>
    <row r="72">
      <c r="A72" t="inlineStr">
        <is>
          <t>PRIMA MULTI PERALATAN</t>
        </is>
      </c>
      <c r="B72" t="inlineStr">
        <is>
          <t>Kab. Deli Serdang</t>
        </is>
      </c>
      <c r="C72" t="inlineStr">
        <is>
          <t>08116311373</t>
        </is>
      </c>
      <c r="D72" t="inlineStr">
        <is>
          <t>info@p1-pmp.com</t>
        </is>
      </c>
      <c r="E72" t="inlineStr">
        <is>
          <t>https://lpjk.pu.go.id/search-badan-usaha-detail/dVJlUjE0aGZNOWx1NlZqVHZiNG91UT09</t>
        </is>
      </c>
      <c r="F72" t="n">
        <v>1</v>
      </c>
      <c r="G72" t="inlineStr">
        <is>
          <t>IN001</t>
        </is>
      </c>
      <c r="H72" t="inlineStr">
        <is>
          <t>23 Desember 2022</t>
        </is>
      </c>
      <c r="I72" s="2" t="n">
        <v>46294</v>
      </c>
      <c r="J72" t="inlineStr">
        <is>
          <t>Pembekuan</t>
        </is>
      </c>
      <c r="K72" t="n">
        <v>90</v>
      </c>
      <c r="L72" t="inlineStr">
        <is>
          <t>29 September 2026</t>
        </is>
      </c>
      <c r="M72" t="inlineStr">
        <is>
          <t>Instalasi Mekanikal</t>
        </is>
      </c>
      <c r="N72" t="inlineStr">
        <is>
          <t>Spesialis</t>
        </is>
      </c>
      <c r="O72" t="inlineStr">
        <is>
          <t>20230905</t>
        </is>
      </c>
      <c r="P72" t="inlineStr">
        <is>
          <t>Sumatera Utara</t>
        </is>
      </c>
      <c r="Q72" t="inlineStr"/>
    </row>
    <row r="73">
      <c r="A73" t="inlineStr">
        <is>
          <t>PUTRA MAHKOTA MOROWALI</t>
        </is>
      </c>
      <c r="B73" t="inlineStr">
        <is>
          <t>Kab. Morowali</t>
        </is>
      </c>
      <c r="C73" t="inlineStr">
        <is>
          <t>081343951859</t>
        </is>
      </c>
      <c r="D73" t="inlineStr">
        <is>
          <t>ptputramahkotamorowali@gmail.com</t>
        </is>
      </c>
      <c r="E73" t="inlineStr">
        <is>
          <t>https://lpjk.pu.go.id/search-badan-usaha-detail/Ri9xcVg1ZWUxcmZhUTF5QlJVOUY5dz09</t>
        </is>
      </c>
      <c r="F73" t="n">
        <v>4</v>
      </c>
      <c r="G73" t="inlineStr">
        <is>
          <t>BG001, BG002, BG006</t>
        </is>
      </c>
      <c r="H73" t="inlineStr">
        <is>
          <t>15 Maret 2022</t>
        </is>
      </c>
      <c r="I73" s="2" t="n">
        <v>46294</v>
      </c>
      <c r="J73" t="inlineStr">
        <is>
          <t>Disetujui</t>
        </is>
      </c>
      <c r="K73" t="n">
        <v>90</v>
      </c>
      <c r="L73" t="inlineStr">
        <is>
          <t>29 September 2026</t>
        </is>
      </c>
      <c r="M73" t="inlineStr">
        <is>
          <t>Konstruksi Gedung Hunian, Konstruksi Gedung Pendidikan, Konstruksi Gedung Perkantoran</t>
        </is>
      </c>
      <c r="N73" t="inlineStr">
        <is>
          <t>K</t>
        </is>
      </c>
      <c r="O73" t="inlineStr">
        <is>
          <t>20230720, 20230929</t>
        </is>
      </c>
      <c r="P73" t="inlineStr">
        <is>
          <t>Sulawesi Tengah</t>
        </is>
      </c>
      <c r="Q73" t="inlineStr"/>
    </row>
    <row r="74">
      <c r="A74" t="inlineStr">
        <is>
          <t>PUTRA POWER ENERGI</t>
        </is>
      </c>
      <c r="B74" t="inlineStr">
        <is>
          <t>Kota Medan</t>
        </is>
      </c>
      <c r="C74" t="inlineStr">
        <is>
          <t>081370100036</t>
        </is>
      </c>
      <c r="D74" t="inlineStr">
        <is>
          <t>putrapowerenergi1@gmail.com</t>
        </is>
      </c>
      <c r="E74" t="inlineStr">
        <is>
          <t>https://lpjk.pu.go.id/search-badan-usaha-detail/NGpOUktaWkk0SUdoeDFZNlJVZ09Odz09</t>
        </is>
      </c>
      <c r="F74" t="n">
        <v>1</v>
      </c>
      <c r="G74" t="inlineStr">
        <is>
          <t>BG003</t>
        </is>
      </c>
      <c r="H74" t="inlineStr">
        <is>
          <t>5 April 2016</t>
        </is>
      </c>
      <c r="I74" s="2" t="n">
        <v>46294</v>
      </c>
      <c r="J74" t="inlineStr">
        <is>
          <t>Disetujui</t>
        </is>
      </c>
      <c r="K74" t="n">
        <v>90</v>
      </c>
      <c r="L74" t="inlineStr">
        <is>
          <t>29 September 2026</t>
        </is>
      </c>
      <c r="M74" t="inlineStr">
        <is>
          <t>Konstruksi Gedung Industri</t>
        </is>
      </c>
      <c r="N74" t="inlineStr">
        <is>
          <t>K</t>
        </is>
      </c>
      <c r="O74" t="inlineStr">
        <is>
          <t>20230828</t>
        </is>
      </c>
      <c r="P74" t="inlineStr">
        <is>
          <t>Sumatera Utara</t>
        </is>
      </c>
      <c r="Q74" t="inlineStr"/>
    </row>
    <row r="75">
      <c r="A75" t="inlineStr">
        <is>
          <t>PUTRANATA ADI MANDIRI</t>
        </is>
      </c>
      <c r="B75" t="inlineStr">
        <is>
          <t>Kota Adm. Jakarta Barat</t>
        </is>
      </c>
      <c r="C75" t="inlineStr">
        <is>
          <t>02129022588</t>
        </is>
      </c>
      <c r="D75" t="inlineStr">
        <is>
          <t>alfi.putranata@gmail.com</t>
        </is>
      </c>
      <c r="E75" t="inlineStr">
        <is>
          <t>https://lpjk.pu.go.id/search-badan-usaha-detail/ZE9aTm9RZDBZTVZqSC81Rm9TbXFjdz09</t>
        </is>
      </c>
      <c r="F75" t="n">
        <v>2</v>
      </c>
      <c r="G75" t="inlineStr">
        <is>
          <t>IN001, IN004</t>
        </is>
      </c>
      <c r="H75" t="inlineStr">
        <is>
          <t>27 Juli 1988</t>
        </is>
      </c>
      <c r="I75" s="2" t="n">
        <v>46294</v>
      </c>
      <c r="J75" t="inlineStr">
        <is>
          <t>Disetujui</t>
        </is>
      </c>
      <c r="K75" t="n">
        <v>90</v>
      </c>
      <c r="L75" t="inlineStr">
        <is>
          <t>29 September 2026</t>
        </is>
      </c>
      <c r="M75" t="inlineStr">
        <is>
          <t>Instalasi Mekanikal, Instalasi Minyak dan Gas</t>
        </is>
      </c>
      <c r="N75" t="inlineStr">
        <is>
          <t>Spesialis</t>
        </is>
      </c>
      <c r="O75" t="inlineStr">
        <is>
          <t>20230927</t>
        </is>
      </c>
      <c r="P75" t="inlineStr">
        <is>
          <t>DKI Jakarta</t>
        </is>
      </c>
      <c r="Q75" t="inlineStr"/>
    </row>
    <row r="76">
      <c r="A76" t="inlineStr">
        <is>
          <t>RAVAEL ATHA PRATAMA</t>
        </is>
      </c>
      <c r="B76" t="inlineStr">
        <is>
          <t>Kota Pekanbaru</t>
        </is>
      </c>
      <c r="C76" t="inlineStr">
        <is>
          <t>082283074342</t>
        </is>
      </c>
      <c r="D76" t="inlineStr">
        <is>
          <t>cv.ravaelathapratama777@gmail.com</t>
        </is>
      </c>
      <c r="E76" t="inlineStr">
        <is>
          <t>https://lpjk.pu.go.id/search-badan-usaha-detail/N3Mrcjd0QVBzekVsRmRPNkJTTkdDQT09</t>
        </is>
      </c>
      <c r="F76" t="n">
        <v>1</v>
      </c>
      <c r="G76" t="inlineStr">
        <is>
          <t>BS001</t>
        </is>
      </c>
      <c r="H76" t="inlineStr">
        <is>
          <t>12 Maret 2007</t>
        </is>
      </c>
      <c r="I76" s="2" t="n">
        <v>46294</v>
      </c>
      <c r="J76" t="inlineStr">
        <is>
          <t>Disetujui</t>
        </is>
      </c>
      <c r="K76" t="n">
        <v>90</v>
      </c>
      <c r="L76" t="inlineStr">
        <is>
          <t>29 September 2026</t>
        </is>
      </c>
      <c r="M76" t="inlineStr">
        <is>
          <t>Konstruksi Bangunan Sipil Jalan</t>
        </is>
      </c>
      <c r="N76" t="inlineStr">
        <is>
          <t>K</t>
        </is>
      </c>
      <c r="O76" t="inlineStr">
        <is>
          <t>20230925</t>
        </is>
      </c>
      <c r="P76" t="inlineStr">
        <is>
          <t>Riau</t>
        </is>
      </c>
      <c r="Q76" t="inlineStr"/>
    </row>
    <row r="77">
      <c r="A77" t="inlineStr">
        <is>
          <t>RIANDITA ADI PRATAMA</t>
        </is>
      </c>
      <c r="B77" t="inlineStr">
        <is>
          <t>Kota Surakarta</t>
        </is>
      </c>
      <c r="C77" t="inlineStr">
        <is>
          <t>082328794395</t>
        </is>
      </c>
      <c r="D77" t="inlineStr">
        <is>
          <t>pt.rianditaadipratama@yahoo.com</t>
        </is>
      </c>
      <c r="E77" t="inlineStr">
        <is>
          <t>https://lpjk.pu.go.id/search-badan-usaha-detail/bklNNS9BbW9WUklXY3JrdnNOcjQvUT09</t>
        </is>
      </c>
      <c r="F77" t="n">
        <v>1</v>
      </c>
      <c r="G77" t="inlineStr">
        <is>
          <t>BG006</t>
        </is>
      </c>
      <c r="H77" t="inlineStr">
        <is>
          <t>19 September 2019</t>
        </is>
      </c>
      <c r="I77" s="2" t="n">
        <v>46294</v>
      </c>
      <c r="J77" t="inlineStr">
        <is>
          <t>Disetujui</t>
        </is>
      </c>
      <c r="K77" t="n">
        <v>90</v>
      </c>
      <c r="L77" t="inlineStr">
        <is>
          <t>29 September 2026</t>
        </is>
      </c>
      <c r="M77" t="inlineStr">
        <is>
          <t>Konstruksi Gedung Pendidikan</t>
        </is>
      </c>
      <c r="N77" t="inlineStr">
        <is>
          <t>K</t>
        </is>
      </c>
      <c r="O77" t="inlineStr">
        <is>
          <t>20230928</t>
        </is>
      </c>
      <c r="P77" t="inlineStr">
        <is>
          <t>Jawa Tengah</t>
        </is>
      </c>
      <c r="Q77" t="inlineStr"/>
    </row>
    <row r="78">
      <c r="A78" t="inlineStr">
        <is>
          <t>RIDHO</t>
        </is>
      </c>
      <c r="B78" t="inlineStr">
        <is>
          <t>Kab. Barito Kuala</t>
        </is>
      </c>
      <c r="C78" t="inlineStr">
        <is>
          <t>081251216006</t>
        </is>
      </c>
      <c r="D78" t="inlineStr">
        <is>
          <t>ridhocv06@gmail.com</t>
        </is>
      </c>
      <c r="E78" t="inlineStr">
        <is>
          <t>https://lpjk.pu.go.id/search-badan-usaha-detail/L25mdThqRnRqTXhxUnRnOWNISmk5QT09</t>
        </is>
      </c>
      <c r="F78" t="n">
        <v>1</v>
      </c>
      <c r="G78" t="inlineStr">
        <is>
          <t>BS004</t>
        </is>
      </c>
      <c r="H78" t="inlineStr">
        <is>
          <t>4 April 2007</t>
        </is>
      </c>
      <c r="I78" s="2" t="n">
        <v>46294</v>
      </c>
      <c r="J78" t="inlineStr">
        <is>
          <t>Disetujui</t>
        </is>
      </c>
      <c r="K78" t="n">
        <v>90</v>
      </c>
      <c r="L78" t="inlineStr">
        <is>
          <t>29 September 2026</t>
        </is>
      </c>
      <c r="M78" t="inlineStr">
        <is>
          <t>Konstruksi Jaringan Irigasi dan Drainase</t>
        </is>
      </c>
      <c r="N78" t="inlineStr">
        <is>
          <t>K</t>
        </is>
      </c>
      <c r="O78" t="inlineStr">
        <is>
          <t>20230910</t>
        </is>
      </c>
      <c r="P78" t="inlineStr">
        <is>
          <t>Kalimantan Selatan</t>
        </is>
      </c>
      <c r="Q78" t="inlineStr"/>
    </row>
    <row r="79">
      <c r="A79" t="inlineStr">
        <is>
          <t>SAPTA INDOTAMA JAYA</t>
        </is>
      </c>
      <c r="B79" t="inlineStr">
        <is>
          <t>Kota Makassar</t>
        </is>
      </c>
      <c r="C79" t="inlineStr">
        <is>
          <t>082158896768</t>
        </is>
      </c>
      <c r="D79" t="inlineStr">
        <is>
          <t>saptaindotama@gmail.com</t>
        </is>
      </c>
      <c r="E79" t="inlineStr">
        <is>
          <t>https://lpjk.pu.go.id/search-badan-usaha-detail/Nm5vdGd3dEhlYzJJeXY5WFVKbVNxQT09</t>
        </is>
      </c>
      <c r="F79" t="n">
        <v>1</v>
      </c>
      <c r="G79" t="inlineStr">
        <is>
          <t>BS004</t>
        </is>
      </c>
      <c r="H79" t="inlineStr">
        <is>
          <t>24 Februari 2020</t>
        </is>
      </c>
      <c r="I79" s="2" t="n">
        <v>46294</v>
      </c>
      <c r="J79" t="inlineStr">
        <is>
          <t>Disetujui</t>
        </is>
      </c>
      <c r="K79" t="n">
        <v>90</v>
      </c>
      <c r="L79" t="inlineStr">
        <is>
          <t>29 September 2026</t>
        </is>
      </c>
      <c r="M79" t="inlineStr">
        <is>
          <t>Konstruksi Jaringan Irigasi dan Drainase</t>
        </is>
      </c>
      <c r="N79" t="inlineStr">
        <is>
          <t>K</t>
        </is>
      </c>
      <c r="O79" t="inlineStr">
        <is>
          <t>20230927</t>
        </is>
      </c>
      <c r="P79" t="inlineStr">
        <is>
          <t>Sulawesi Selatan</t>
        </is>
      </c>
      <c r="Q79" t="inlineStr"/>
    </row>
    <row r="80">
      <c r="A80" t="inlineStr">
        <is>
          <t>SARANA MANDIRI SUKSES</t>
        </is>
      </c>
      <c r="B80" t="inlineStr">
        <is>
          <t>Kab. Banjar</t>
        </is>
      </c>
      <c r="C80" t="inlineStr">
        <is>
          <t>08125025848</t>
        </is>
      </c>
      <c r="D80" t="inlineStr">
        <is>
          <t>saranamandirisukses4@gmail.com</t>
        </is>
      </c>
      <c r="E80" t="inlineStr">
        <is>
          <t>https://lpjk.pu.go.id/search-badan-usaha-detail/THJzSXIraHg3c3Y2VzlsNEpQOWlodz09</t>
        </is>
      </c>
      <c r="F80" t="n">
        <v>1</v>
      </c>
      <c r="G80" t="inlineStr">
        <is>
          <t>BS001</t>
        </is>
      </c>
      <c r="H80" t="inlineStr">
        <is>
          <t>4 Agustus 2003</t>
        </is>
      </c>
      <c r="I80" s="2" t="n">
        <v>46294</v>
      </c>
      <c r="J80" t="inlineStr">
        <is>
          <t>Disetujui</t>
        </is>
      </c>
      <c r="K80" t="n">
        <v>90</v>
      </c>
      <c r="L80" t="inlineStr">
        <is>
          <t>29 September 2026</t>
        </is>
      </c>
      <c r="M80" t="inlineStr">
        <is>
          <t>Konstruksi Bangunan Sipil Jalan</t>
        </is>
      </c>
      <c r="N80" t="inlineStr">
        <is>
          <t>K</t>
        </is>
      </c>
      <c r="O80" t="inlineStr">
        <is>
          <t>20230926</t>
        </is>
      </c>
      <c r="P80" t="inlineStr">
        <is>
          <t>Kalimantan Selatan</t>
        </is>
      </c>
      <c r="Q80" t="inlineStr"/>
    </row>
    <row r="81">
      <c r="A81" t="inlineStr">
        <is>
          <t>SEMOGA PADI JAYA</t>
        </is>
      </c>
      <c r="B81" t="inlineStr">
        <is>
          <t>Kab. Kutai Timur</t>
        </is>
      </c>
      <c r="C81" t="inlineStr">
        <is>
          <t>081258666863</t>
        </is>
      </c>
      <c r="D81" t="inlineStr">
        <is>
          <t>semogapadijaya.cv@yahoo.com</t>
        </is>
      </c>
      <c r="E81" t="inlineStr">
        <is>
          <t>https://lpjk.pu.go.id/search-badan-usaha-detail/OVFrbURKYkNYWHZDUVBic1pLNmNJUT09</t>
        </is>
      </c>
      <c r="F81" t="n">
        <v>2</v>
      </c>
      <c r="G81" t="inlineStr">
        <is>
          <t>BS001, BS004</t>
        </is>
      </c>
      <c r="H81" t="inlineStr">
        <is>
          <t>3 Januari 2013</t>
        </is>
      </c>
      <c r="I81" s="2" t="n">
        <v>46294</v>
      </c>
      <c r="J81" t="inlineStr">
        <is>
          <t>Disetujui</t>
        </is>
      </c>
      <c r="K81" t="n">
        <v>90</v>
      </c>
      <c r="L81" t="inlineStr">
        <is>
          <t>29 September 2026</t>
        </is>
      </c>
      <c r="M81" t="inlineStr">
        <is>
          <t>Konstruksi Bangunan Sipil Jalan, Konstruksi Jaringan Irigasi dan Drainase</t>
        </is>
      </c>
      <c r="N81" t="inlineStr">
        <is>
          <t>K</t>
        </is>
      </c>
      <c r="O81" t="inlineStr">
        <is>
          <t>20230926</t>
        </is>
      </c>
      <c r="P81" t="inlineStr">
        <is>
          <t>Kalimantan Timur</t>
        </is>
      </c>
      <c r="Q81" t="inlineStr"/>
    </row>
    <row r="82">
      <c r="A82" t="inlineStr">
        <is>
          <t>SINAR JAYA ENERGI</t>
        </is>
      </c>
      <c r="B82" t="inlineStr">
        <is>
          <t>Kab. Lampung Timur</t>
        </is>
      </c>
      <c r="C82" t="inlineStr">
        <is>
          <t>081379527899</t>
        </is>
      </c>
      <c r="D82" t="inlineStr">
        <is>
          <t>sinarjayaenergy@gmail.com</t>
        </is>
      </c>
      <c r="E82" t="inlineStr">
        <is>
          <t>https://lpjk.pu.go.id/search-badan-usaha-detail/OWNqSzdTdlkxK3RFUldyWnJLSUk5QT09</t>
        </is>
      </c>
      <c r="F82" t="n">
        <v>1</v>
      </c>
      <c r="G82" t="inlineStr">
        <is>
          <t>BG005</t>
        </is>
      </c>
      <c r="H82" t="inlineStr">
        <is>
          <t>28 November 2013</t>
        </is>
      </c>
      <c r="I82" s="2" t="n">
        <v>46294</v>
      </c>
      <c r="J82" t="inlineStr">
        <is>
          <t>Disetujui</t>
        </is>
      </c>
      <c r="K82" t="n">
        <v>90</v>
      </c>
      <c r="L82" t="inlineStr">
        <is>
          <t>29 September 2026</t>
        </is>
      </c>
      <c r="M82" t="inlineStr">
        <is>
          <t>Konstruksi Gedung Kesehatan</t>
        </is>
      </c>
      <c r="N82" t="inlineStr">
        <is>
          <t>K</t>
        </is>
      </c>
      <c r="O82" t="inlineStr">
        <is>
          <t>20230928</t>
        </is>
      </c>
      <c r="P82" t="inlineStr">
        <is>
          <t>Lampung</t>
        </is>
      </c>
      <c r="Q82" t="inlineStr"/>
    </row>
    <row r="83">
      <c r="A83" t="inlineStr">
        <is>
          <t>SINAR KAKAP JAYA</t>
        </is>
      </c>
      <c r="B83" t="inlineStr">
        <is>
          <t>Kab. Kubu Raya</t>
        </is>
      </c>
      <c r="C83" t="inlineStr">
        <is>
          <t>081258594929</t>
        </is>
      </c>
      <c r="D83" t="inlineStr">
        <is>
          <t>sinarkakapjaya65@gmail.com</t>
        </is>
      </c>
      <c r="E83" t="inlineStr">
        <is>
          <t>https://lpjk.pu.go.id/search-badan-usaha-detail/eENNMTFsejZvZy9sRDBlYlgyZWNOZz09</t>
        </is>
      </c>
      <c r="F83" t="n">
        <v>1</v>
      </c>
      <c r="G83" t="inlineStr">
        <is>
          <t>BS004</t>
        </is>
      </c>
      <c r="H83" t="inlineStr">
        <is>
          <t>12 Juni 2006</t>
        </is>
      </c>
      <c r="I83" s="2" t="n">
        <v>46294</v>
      </c>
      <c r="J83" t="inlineStr">
        <is>
          <t>Disetujui</t>
        </is>
      </c>
      <c r="K83" t="n">
        <v>90</v>
      </c>
      <c r="L83" t="inlineStr">
        <is>
          <t>29 September 2026</t>
        </is>
      </c>
      <c r="M83" t="inlineStr">
        <is>
          <t>Konstruksi Jaringan Irigasi dan Drainase</t>
        </is>
      </c>
      <c r="N83" t="inlineStr">
        <is>
          <t>K</t>
        </is>
      </c>
      <c r="O83" t="inlineStr">
        <is>
          <t>20230924</t>
        </is>
      </c>
      <c r="P83" t="inlineStr">
        <is>
          <t>Kalimantan Barat</t>
        </is>
      </c>
      <c r="Q83" t="inlineStr"/>
    </row>
    <row r="84">
      <c r="A84" t="inlineStr">
        <is>
          <t>SINAR MEKAR JAYA</t>
        </is>
      </c>
      <c r="B84" t="inlineStr">
        <is>
          <t>Kab. Bandung</t>
        </is>
      </c>
      <c r="C84" t="inlineStr">
        <is>
          <t>02287833646</t>
        </is>
      </c>
      <c r="D84" t="inlineStr">
        <is>
          <t>pt.sinar_mekarjaya@yahoo.com</t>
        </is>
      </c>
      <c r="E84" t="inlineStr">
        <is>
          <t>https://lpjk.pu.go.id/search-badan-usaha-detail/VWRXcVlxZEQ2MGROTTZRVVBqa0NXUT09</t>
        </is>
      </c>
      <c r="F84" t="n">
        <v>1</v>
      </c>
      <c r="G84" t="inlineStr">
        <is>
          <t>BG004</t>
        </is>
      </c>
      <c r="H84" t="inlineStr">
        <is>
          <t>20 Januari 2017</t>
        </is>
      </c>
      <c r="I84" s="2" t="n">
        <v>46294</v>
      </c>
      <c r="J84" t="inlineStr">
        <is>
          <t>Pencabutan</t>
        </is>
      </c>
      <c r="K84" t="n">
        <v>90</v>
      </c>
      <c r="L84" t="inlineStr">
        <is>
          <t>29 September 2026</t>
        </is>
      </c>
      <c r="M84" t="inlineStr">
        <is>
          <t>Konstruksi Gedung Perbelanjaan</t>
        </is>
      </c>
      <c r="N84" t="inlineStr">
        <is>
          <t>B</t>
        </is>
      </c>
      <c r="O84" t="inlineStr">
        <is>
          <t>20230929</t>
        </is>
      </c>
      <c r="P84" t="inlineStr">
        <is>
          <t>Jawa Barat</t>
        </is>
      </c>
      <c r="Q84" t="inlineStr"/>
    </row>
    <row r="85">
      <c r="A85" t="inlineStr">
        <is>
          <t>SONI ELKA BERSAUDARA</t>
        </is>
      </c>
      <c r="B85" t="inlineStr">
        <is>
          <t>Kota Kendari</t>
        </is>
      </c>
      <c r="C85" t="inlineStr">
        <is>
          <t>085256462929</t>
        </is>
      </c>
      <c r="D85" t="inlineStr">
        <is>
          <t>sonielkabersaudara@gmail.com</t>
        </is>
      </c>
      <c r="E85" t="inlineStr">
        <is>
          <t>https://lpjk.pu.go.id/search-badan-usaha-detail/RWgxSTJkaVBseFkyQ2IyQzAzeFQ2QT09</t>
        </is>
      </c>
      <c r="F85" t="n">
        <v>1</v>
      </c>
      <c r="G85" t="inlineStr">
        <is>
          <t>BS001</t>
        </is>
      </c>
      <c r="H85" t="inlineStr">
        <is>
          <t>7 September 2023</t>
        </is>
      </c>
      <c r="I85" s="2" t="n">
        <v>46294</v>
      </c>
      <c r="J85" t="inlineStr">
        <is>
          <t>Disetujui</t>
        </is>
      </c>
      <c r="K85" t="n">
        <v>90</v>
      </c>
      <c r="L85" t="inlineStr">
        <is>
          <t>29 September 2026</t>
        </is>
      </c>
      <c r="M85" t="inlineStr">
        <is>
          <t>Konstruksi Bangunan Sipil Jalan</t>
        </is>
      </c>
      <c r="N85" t="inlineStr">
        <is>
          <t>K</t>
        </is>
      </c>
      <c r="O85" t="inlineStr">
        <is>
          <t>20230920</t>
        </is>
      </c>
      <c r="P85" t="inlineStr">
        <is>
          <t>Sulawesi Tenggara</t>
        </is>
      </c>
      <c r="Q85" t="inlineStr"/>
    </row>
    <row r="86">
      <c r="A86" t="inlineStr">
        <is>
          <t>SYAFIRA GHANDI PUTRI TUNGGAL</t>
        </is>
      </c>
      <c r="B86" t="inlineStr">
        <is>
          <t>Kab. Indragiri Hilir</t>
        </is>
      </c>
      <c r="C86" t="inlineStr">
        <is>
          <t>085376319191</t>
        </is>
      </c>
      <c r="D86" t="inlineStr">
        <is>
          <t>cvsyafiraghandiputri@gmail.com</t>
        </is>
      </c>
      <c r="E86" t="inlineStr">
        <is>
          <t>https://lpjk.pu.go.id/search-badan-usaha-detail/M0FYNGlDNEp3T091OUtqVjQwT2hOdz09</t>
        </is>
      </c>
      <c r="F86" t="n">
        <v>1</v>
      </c>
      <c r="G86" t="inlineStr">
        <is>
          <t>BS001</t>
        </is>
      </c>
      <c r="H86" t="inlineStr">
        <is>
          <t>14 Januari 2020</t>
        </is>
      </c>
      <c r="I86" s="2" t="n">
        <v>46294</v>
      </c>
      <c r="J86" t="inlineStr">
        <is>
          <t>Disetujui</t>
        </is>
      </c>
      <c r="K86" t="n">
        <v>90</v>
      </c>
      <c r="L86" t="inlineStr">
        <is>
          <t>29 September 2026</t>
        </is>
      </c>
      <c r="M86" t="inlineStr">
        <is>
          <t>Konstruksi Bangunan Sipil Jalan</t>
        </is>
      </c>
      <c r="N86" t="inlineStr">
        <is>
          <t>K</t>
        </is>
      </c>
      <c r="O86" t="inlineStr">
        <is>
          <t>20230929</t>
        </is>
      </c>
      <c r="P86" t="inlineStr">
        <is>
          <t>Riau</t>
        </is>
      </c>
      <c r="Q86" t="inlineStr"/>
    </row>
    <row r="87">
      <c r="A87" t="inlineStr">
        <is>
          <t>TIARA PRATAMA MANDIRI</t>
        </is>
      </c>
      <c r="B87" t="inlineStr">
        <is>
          <t>Kota Samarinda</t>
        </is>
      </c>
      <c r="C87" t="inlineStr">
        <is>
          <t>082298222281</t>
        </is>
      </c>
      <c r="D87" t="inlineStr">
        <is>
          <t>tiarapratamamandiri.smd@gmail.com</t>
        </is>
      </c>
      <c r="E87" t="inlineStr">
        <is>
          <t>https://lpjk.pu.go.id/search-badan-usaha-detail/aGVNSGlYSFJNWWlOVmpyQURlenBrdz09</t>
        </is>
      </c>
      <c r="F87" t="n">
        <v>1</v>
      </c>
      <c r="G87" t="inlineStr">
        <is>
          <t>BG006</t>
        </is>
      </c>
      <c r="H87" t="inlineStr">
        <is>
          <t>12 Juni 2020</t>
        </is>
      </c>
      <c r="I87" s="2" t="n">
        <v>46294</v>
      </c>
      <c r="J87" t="inlineStr">
        <is>
          <t>Disetujui</t>
        </is>
      </c>
      <c r="K87" t="n">
        <v>90</v>
      </c>
      <c r="L87" t="inlineStr">
        <is>
          <t>29 September 2026</t>
        </is>
      </c>
      <c r="M87" t="inlineStr">
        <is>
          <t>Konstruksi Gedung Pendidikan</t>
        </is>
      </c>
      <c r="N87" t="inlineStr">
        <is>
          <t>K</t>
        </is>
      </c>
      <c r="O87" t="inlineStr">
        <is>
          <t>20230926</t>
        </is>
      </c>
      <c r="P87" t="inlineStr">
        <is>
          <t>Kalimantan Timur</t>
        </is>
      </c>
      <c r="Q87" t="inlineStr"/>
    </row>
    <row r="88">
      <c r="A88" t="inlineStr">
        <is>
          <t>TIGA MANUNGGAL</t>
        </is>
      </c>
      <c r="B88" t="inlineStr">
        <is>
          <t>Kab. Kulon Progo</t>
        </is>
      </c>
      <c r="C88" t="inlineStr">
        <is>
          <t>087821922228</t>
        </is>
      </c>
      <c r="D88" t="inlineStr">
        <is>
          <t>manunggaltiga@gmail.com</t>
        </is>
      </c>
      <c r="E88" t="inlineStr">
        <is>
          <t>https://lpjk.pu.go.id/search-badan-usaha-detail/aXBlSXBQVzlOdTJIMndqc1ZoeWtOUT09</t>
        </is>
      </c>
      <c r="F88" t="n">
        <v>3</v>
      </c>
      <c r="G88" t="inlineStr">
        <is>
          <t>BG002, BG006</t>
        </is>
      </c>
      <c r="H88" t="inlineStr">
        <is>
          <t>30 Desember 2013</t>
        </is>
      </c>
      <c r="I88" s="2" t="n">
        <v>46294</v>
      </c>
      <c r="J88" t="inlineStr">
        <is>
          <t>Disetujui</t>
        </is>
      </c>
      <c r="K88" t="n">
        <v>90</v>
      </c>
      <c r="L88" t="inlineStr">
        <is>
          <t>29 September 2026</t>
        </is>
      </c>
      <c r="M88" t="inlineStr">
        <is>
          <t>Konstruksi Gedung Pendidikan, Konstruksi Gedung Perkantoran</t>
        </is>
      </c>
      <c r="N88" t="inlineStr">
        <is>
          <t>K</t>
        </is>
      </c>
      <c r="O88" t="inlineStr">
        <is>
          <t>20230921</t>
        </is>
      </c>
      <c r="P88" t="inlineStr">
        <is>
          <t>DI Yogyakarta</t>
        </is>
      </c>
      <c r="Q88" t="inlineStr"/>
    </row>
    <row r="89">
      <c r="A89" t="inlineStr">
        <is>
          <t>TIGA PUTRA MANDIRI</t>
        </is>
      </c>
      <c r="B89" t="inlineStr">
        <is>
          <t>Kota Semarang</t>
        </is>
      </c>
      <c r="C89" t="inlineStr">
        <is>
          <t>081326092029</t>
        </is>
      </c>
      <c r="D89" t="inlineStr">
        <is>
          <t>tigaputramandiri229@yahoo.co.id</t>
        </is>
      </c>
      <c r="E89" t="inlineStr">
        <is>
          <t>https://lpjk.pu.go.id/search-badan-usaha-detail/UFluNEdidWR5TjNrM2pJQVNxSk1wQT09</t>
        </is>
      </c>
      <c r="F89" t="n">
        <v>1</v>
      </c>
      <c r="G89" t="inlineStr">
        <is>
          <t>BS001</t>
        </is>
      </c>
      <c r="H89" t="inlineStr">
        <is>
          <t>26 Agustus 2010</t>
        </is>
      </c>
      <c r="I89" s="2" t="n">
        <v>46294</v>
      </c>
      <c r="J89" t="inlineStr">
        <is>
          <t>Disetujui</t>
        </is>
      </c>
      <c r="K89" t="n">
        <v>90</v>
      </c>
      <c r="L89" t="inlineStr">
        <is>
          <t>29 September 2026</t>
        </is>
      </c>
      <c r="M89" t="inlineStr">
        <is>
          <t>Konstruksi Bangunan Sipil Jalan</t>
        </is>
      </c>
      <c r="N89" t="inlineStr">
        <is>
          <t>K</t>
        </is>
      </c>
      <c r="O89" t="inlineStr">
        <is>
          <t>20230921</t>
        </is>
      </c>
      <c r="P89" t="inlineStr">
        <is>
          <t>Jawa Tengah</t>
        </is>
      </c>
      <c r="Q89" t="inlineStr"/>
    </row>
    <row r="90">
      <c r="A90" t="inlineStr">
        <is>
          <t>TRI ARTHA MANDIRI</t>
        </is>
      </c>
      <c r="B90" t="inlineStr">
        <is>
          <t>Kota Makassar</t>
        </is>
      </c>
      <c r="C90" t="inlineStr">
        <is>
          <t>081342697271</t>
        </is>
      </c>
      <c r="D90" t="inlineStr">
        <is>
          <t>pt.triarthamandiri@yahoo.co.id</t>
        </is>
      </c>
      <c r="E90" t="inlineStr">
        <is>
          <t>https://lpjk.pu.go.id/search-badan-usaha-detail/WE92MHllcHdyZ2I5bGNxTGRCUkxrQT09</t>
        </is>
      </c>
      <c r="F90" t="n">
        <v>1</v>
      </c>
      <c r="G90" t="inlineStr">
        <is>
          <t>BS010</t>
        </is>
      </c>
      <c r="H90" t="inlineStr">
        <is>
          <t>5 September 2001</t>
        </is>
      </c>
      <c r="I90" s="2" t="n">
        <v>46294</v>
      </c>
      <c r="J90" t="inlineStr">
        <is>
          <t>Disetujui</t>
        </is>
      </c>
      <c r="K90" t="n">
        <v>90</v>
      </c>
      <c r="L90" t="inlineStr">
        <is>
          <t>29 September 2026</t>
        </is>
      </c>
      <c r="M90" t="inlineStr">
        <is>
          <t>Konstruksi Bangunan Prasarana Sumber Daya Air</t>
        </is>
      </c>
      <c r="N90" t="inlineStr">
        <is>
          <t>M</t>
        </is>
      </c>
      <c r="O90" t="inlineStr">
        <is>
          <t>20230906</t>
        </is>
      </c>
      <c r="P90" t="inlineStr">
        <is>
          <t>Sulawesi Selatan</t>
        </is>
      </c>
      <c r="Q90" t="inlineStr"/>
    </row>
    <row r="91">
      <c r="A91" t="inlineStr">
        <is>
          <t>WANGKANG JAYA</t>
        </is>
      </c>
      <c r="B91" t="inlineStr">
        <is>
          <t>Kab. Barito Kuala</t>
        </is>
      </c>
      <c r="C91" t="inlineStr">
        <is>
          <t>081271797680</t>
        </is>
      </c>
      <c r="D91" t="inlineStr">
        <is>
          <t>cv.wangkangjaya@gmail.com</t>
        </is>
      </c>
      <c r="E91" t="inlineStr">
        <is>
          <t>https://lpjk.pu.go.id/search-badan-usaha-detail/OS9pWWo0bE5NNm5MSEY0SFBpMGFPUT09</t>
        </is>
      </c>
      <c r="F91" t="n">
        <v>1</v>
      </c>
      <c r="G91" t="inlineStr">
        <is>
          <t>BS001</t>
        </is>
      </c>
      <c r="H91" t="inlineStr">
        <is>
          <t>11 Januari 1982</t>
        </is>
      </c>
      <c r="I91" s="2" t="n">
        <v>46294</v>
      </c>
      <c r="J91" t="inlineStr">
        <is>
          <t>Disetujui</t>
        </is>
      </c>
      <c r="K91" t="n">
        <v>90</v>
      </c>
      <c r="L91" t="inlineStr">
        <is>
          <t>29 September 2026</t>
        </is>
      </c>
      <c r="M91" t="inlineStr">
        <is>
          <t>Konstruksi Bangunan Sipil Jalan</t>
        </is>
      </c>
      <c r="N91" t="inlineStr">
        <is>
          <t>K</t>
        </is>
      </c>
      <c r="O91" t="inlineStr">
        <is>
          <t>20230921</t>
        </is>
      </c>
      <c r="P91" t="inlineStr">
        <is>
          <t>Kalimantan Selatan</t>
        </is>
      </c>
      <c r="Q91" t="inlineStr"/>
    </row>
    <row r="92">
      <c r="A92" t="inlineStr">
        <is>
          <t>WIJAYA</t>
        </is>
      </c>
      <c r="B92" t="inlineStr">
        <is>
          <t>Kab. Brebes</t>
        </is>
      </c>
      <c r="C92" t="inlineStr">
        <is>
          <t>0289432405</t>
        </is>
      </c>
      <c r="D92" t="inlineStr">
        <is>
          <t>cvwijaya86@gmail.com</t>
        </is>
      </c>
      <c r="E92" t="inlineStr">
        <is>
          <t>https://lpjk.pu.go.id/search-badan-usaha-detail/a0FoUkFrUjZFUTV6cFJhVmNFYkR0UT09</t>
        </is>
      </c>
      <c r="F92" t="n">
        <v>1</v>
      </c>
      <c r="G92" t="inlineStr">
        <is>
          <t>BS002</t>
        </is>
      </c>
      <c r="H92" t="inlineStr">
        <is>
          <t>18 Juli 2001</t>
        </is>
      </c>
      <c r="I92" s="2" t="n">
        <v>46294</v>
      </c>
      <c r="J92" t="inlineStr">
        <is>
          <t>Disetujui</t>
        </is>
      </c>
      <c r="K92" t="n">
        <v>90</v>
      </c>
      <c r="L92" t="inlineStr">
        <is>
          <t>29 September 2026</t>
        </is>
      </c>
      <c r="M92" t="inlineStr">
        <is>
          <t>Bangunan Sipil Jembatan, Jalan Layang, Fly Over, dan Underpass</t>
        </is>
      </c>
      <c r="N92" t="inlineStr">
        <is>
          <t>K</t>
        </is>
      </c>
      <c r="O92" t="inlineStr">
        <is>
          <t>20230926</t>
        </is>
      </c>
      <c r="P92" t="inlineStr">
        <is>
          <t>Jawa Tengah</t>
        </is>
      </c>
      <c r="Q92" t="inlineStr"/>
    </row>
    <row r="93">
      <c r="A93" t="inlineStr">
        <is>
          <t>YOGA UMBARA</t>
        </is>
      </c>
      <c r="B93" t="inlineStr">
        <is>
          <t>Kab. Bangka Barat</t>
        </is>
      </c>
      <c r="C93" t="inlineStr">
        <is>
          <t>081929083638</t>
        </is>
      </c>
      <c r="D93" t="inlineStr">
        <is>
          <t>de_ven@ymail.com</t>
        </is>
      </c>
      <c r="E93" t="inlineStr">
        <is>
          <t>https://lpjk.pu.go.id/search-badan-usaha-detail/VHhSUzc2alByTVlxVk4vVnBMMVlTZz09</t>
        </is>
      </c>
      <c r="F93" t="n">
        <v>1</v>
      </c>
      <c r="G93" t="inlineStr">
        <is>
          <t>BG005</t>
        </is>
      </c>
      <c r="H93" t="inlineStr">
        <is>
          <t>11 Januari 2021</t>
        </is>
      </c>
      <c r="I93" s="2" t="n">
        <v>46294</v>
      </c>
      <c r="J93" t="inlineStr">
        <is>
          <t>Disetujui</t>
        </is>
      </c>
      <c r="K93" t="n">
        <v>90</v>
      </c>
      <c r="L93" t="inlineStr">
        <is>
          <t>29 September 2026</t>
        </is>
      </c>
      <c r="M93" t="inlineStr">
        <is>
          <t>Konstruksi Gedung Kesehatan</t>
        </is>
      </c>
      <c r="N93" t="inlineStr">
        <is>
          <t>K</t>
        </is>
      </c>
      <c r="O93" t="inlineStr">
        <is>
          <t>20230929</t>
        </is>
      </c>
      <c r="P93" t="inlineStr">
        <is>
          <t>Kepulauan Bangka Belitung</t>
        </is>
      </c>
      <c r="Q93" t="inlineStr"/>
    </row>
    <row r="94">
      <c r="A94" t="inlineStr">
        <is>
          <t>YUDA PRATAMA MANDIRI</t>
        </is>
      </c>
      <c r="B94" t="inlineStr">
        <is>
          <t>Kab. Hulu Sungai Utara</t>
        </is>
      </c>
      <c r="C94" t="inlineStr">
        <is>
          <t>087815698328</t>
        </is>
      </c>
      <c r="D94" t="inlineStr">
        <is>
          <t>CV.YUDAPRATAMAMANDIRI@GMAIL.COM</t>
        </is>
      </c>
      <c r="E94" t="inlineStr">
        <is>
          <t>https://lpjk.pu.go.id/search-badan-usaha-detail/dXlpWjV6YXppMjFZaVhhQ2lZdmxHUT09</t>
        </is>
      </c>
      <c r="F94" t="n">
        <v>1</v>
      </c>
      <c r="G94" t="inlineStr">
        <is>
          <t>BG006</t>
        </is>
      </c>
      <c r="H94" t="inlineStr">
        <is>
          <t>5 September 2023</t>
        </is>
      </c>
      <c r="I94" s="2" t="n">
        <v>46294</v>
      </c>
      <c r="J94" t="inlineStr">
        <is>
          <t>Disetujui</t>
        </is>
      </c>
      <c r="K94" t="n">
        <v>90</v>
      </c>
      <c r="L94" t="inlineStr">
        <is>
          <t>29 September 2026</t>
        </is>
      </c>
      <c r="M94" t="inlineStr">
        <is>
          <t>Konstruksi Gedung Pendidikan</t>
        </is>
      </c>
      <c r="N94" t="inlineStr">
        <is>
          <t>K</t>
        </is>
      </c>
      <c r="O94" t="inlineStr">
        <is>
          <t>20230919</t>
        </is>
      </c>
      <c r="P94" t="inlineStr">
        <is>
          <t>Kalimantan Selatan</t>
        </is>
      </c>
      <c r="Q9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3"/>
  <sheetViews>
    <sheetView workbookViewId="0">
      <selection activeCell="A1" sqref="A1"/>
    </sheetView>
  </sheetViews>
  <sheetFormatPr baseColWidth="8" defaultRowHeight="15"/>
  <cols>
    <col width="49"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BONANZA SARANA FURNIA</t>
        </is>
      </c>
      <c r="B2" t="inlineStr">
        <is>
          <t>Kota Bekasi</t>
        </is>
      </c>
      <c r="C2" t="inlineStr">
        <is>
          <t>081294684618</t>
        </is>
      </c>
      <c r="D2" t="inlineStr">
        <is>
          <t>bonanzafurnia@gmail.com</t>
        </is>
      </c>
      <c r="E2" t="inlineStr">
        <is>
          <t>https://lpjk.pu.go.id/search-badan-usaha-detail/d2I0d2tHWUVjbGdrb2hJUHRHNzVrQT09</t>
        </is>
      </c>
      <c r="F2" t="n">
        <v>2</v>
      </c>
      <c r="G2" t="inlineStr">
        <is>
          <t>BG006</t>
        </is>
      </c>
      <c r="H2" t="inlineStr">
        <is>
          <t>1 April 2020</t>
        </is>
      </c>
      <c r="I2" s="2" t="n">
        <v>46264</v>
      </c>
      <c r="J2" t="inlineStr">
        <is>
          <t>Disetujui</t>
        </is>
      </c>
      <c r="K2" t="n">
        <v>60</v>
      </c>
      <c r="L2" t="inlineStr">
        <is>
          <t>30 Agustus 2026</t>
        </is>
      </c>
      <c r="M2" t="inlineStr">
        <is>
          <t>Konstruksi Gedung Pendidikan</t>
        </is>
      </c>
      <c r="N2" t="inlineStr">
        <is>
          <t>K</t>
        </is>
      </c>
      <c r="O2" t="inlineStr">
        <is>
          <t>20230829</t>
        </is>
      </c>
      <c r="P2" t="inlineStr">
        <is>
          <t>Jawa Barat</t>
        </is>
      </c>
      <c r="Q2" s="3">
        <f>HYPERLINK("https://wa.me/6281294684618?text=*[PENGINGAT MASA BERLAKU SBU BONANZA SARANA FURNIA]*%0A%0AYth. Pimpinan BONANZA SARANA FURNIA,%0AMohon izin menginformasikan status SBU Anda di sistem LPJK:%0A%0A📄 SBU: BG006%0A📅 Expired: 30 Agustus 2026 (60 Hari Lagi)%0A%0AKami tim PT. ESDEA Assistance Management siap men-support proses perpanjangan segera agar administrasi proyek tidak terhambat%0A%0AApakah boleh saya bantu siapkan estimasi biaya dan waktu pengerjaannya?.", "Hubungi")</f>
        <v/>
      </c>
    </row>
    <row r="3">
      <c r="A3" t="inlineStr">
        <is>
          <t>GLOBAL MEDIKA ENJINIRING</t>
        </is>
      </c>
      <c r="B3" t="inlineStr">
        <is>
          <t>Kota Depok</t>
        </is>
      </c>
      <c r="C3" t="inlineStr">
        <is>
          <t>02518413758</t>
        </is>
      </c>
      <c r="D3" t="inlineStr">
        <is>
          <t>ptglobalmedikaenjiniring@gmail.com</t>
        </is>
      </c>
      <c r="E3" t="inlineStr">
        <is>
          <t>https://lpjk.pu.go.id/search-badan-usaha-detail/Y0RvOUVYdU5ybDkzWFp2dDhkZHRIUT09</t>
        </is>
      </c>
      <c r="F3" t="n">
        <v>2</v>
      </c>
      <c r="G3" t="inlineStr">
        <is>
          <t>BG005, BG009</t>
        </is>
      </c>
      <c r="H3" t="inlineStr">
        <is>
          <t>11 November 2022</t>
        </is>
      </c>
      <c r="I3" s="2" t="n">
        <v>46264</v>
      </c>
      <c r="J3" t="inlineStr">
        <is>
          <t>Disetujui</t>
        </is>
      </c>
      <c r="K3" t="n">
        <v>60</v>
      </c>
      <c r="L3" t="inlineStr">
        <is>
          <t>30 Agustus 2026</t>
        </is>
      </c>
      <c r="M3" t="inlineStr">
        <is>
          <t>Konstruksi Gedung Kesehatan, Konstruksi Gedung Lainnya</t>
        </is>
      </c>
      <c r="N3" t="inlineStr">
        <is>
          <t>K</t>
        </is>
      </c>
      <c r="O3" t="inlineStr">
        <is>
          <t>20230826, 20230830</t>
        </is>
      </c>
      <c r="P3" t="inlineStr">
        <is>
          <t>Jawa Barat</t>
        </is>
      </c>
      <c r="Q3" s="3">
        <f>HYPERLINK("https://wa.me/622518413758?text=*[PENGINGAT MASA BERLAKU SBU GLOBAL MEDIKA ENJINIRING]*%0A%0AYth. Pimpinan GLOBAL MEDIKA ENJINIRING,%0AMohon izin menginformasikan status SBU Anda di sistem LPJK:%0A%0A📄 SBU: BG005, BG009%0A📅 Expired: 30 Agustus 2026 (60 Hari Lagi)%0A%0AKami tim PT. ESDEA Assistance Management siap men-support proses perpanjangan segera agar administrasi proyek tidak terhambat%0A%0AApakah boleh saya bantu siapkan estimasi biaya dan waktu pengerjaannya?.", "Hubungi")</f>
        <v/>
      </c>
    </row>
    <row r="4">
      <c r="A4" t="inlineStr">
        <is>
          <t>JAYA SANTIKA</t>
        </is>
      </c>
      <c r="B4" t="inlineStr">
        <is>
          <t>Kab. Bogor</t>
        </is>
      </c>
      <c r="C4" t="inlineStr">
        <is>
          <t>087885080708</t>
        </is>
      </c>
      <c r="D4" t="inlineStr">
        <is>
          <t>cv.jayasantikaa@gmail.com</t>
        </is>
      </c>
      <c r="E4" t="inlineStr">
        <is>
          <t>https://lpjk.pu.go.id/search-badan-usaha-detail/MTBlSStQaVEzNHFYa2NzeW00T2JLZz09</t>
        </is>
      </c>
      <c r="F4" t="n">
        <v>1</v>
      </c>
      <c r="G4" t="inlineStr">
        <is>
          <t>BS001</t>
        </is>
      </c>
      <c r="H4" t="inlineStr">
        <is>
          <t>16 Mei 2023</t>
        </is>
      </c>
      <c r="I4" s="2" t="n">
        <v>46264</v>
      </c>
      <c r="J4" t="inlineStr">
        <is>
          <t>Disetujui</t>
        </is>
      </c>
      <c r="K4" t="n">
        <v>60</v>
      </c>
      <c r="L4" t="inlineStr">
        <is>
          <t>30 Agustus 2026</t>
        </is>
      </c>
      <c r="M4" t="inlineStr">
        <is>
          <t>Konstruksi Bangunan Sipil Jalan</t>
        </is>
      </c>
      <c r="N4" t="inlineStr">
        <is>
          <t>K</t>
        </is>
      </c>
      <c r="O4" t="inlineStr">
        <is>
          <t>20230822</t>
        </is>
      </c>
      <c r="P4" t="inlineStr">
        <is>
          <t>Jawa Barat</t>
        </is>
      </c>
      <c r="Q4" s="3">
        <f>HYPERLINK("https://wa.me/6287885080708?text=*[PENGINGAT MASA BERLAKU SBU JAYA SANTIKA]*%0A%0AYth. Pimpinan JAYA SANTIKA,%0AMohon izin menginformasikan status SBU Anda di sistem LPJK:%0A%0A📄 SBU: BS001%0A📅 Expired: 30 Agustus 2026 (60 Hari Lagi)%0A%0AKami tim PT. ESDEA Assistance Management siap men-support proses perpanjangan segera agar administrasi proyek tidak terhambat%0A%0AApakah boleh saya bantu siapkan estimasi biaya dan waktu pengerjaannya?.", "Hubungi")</f>
        <v/>
      </c>
    </row>
    <row r="5">
      <c r="A5" t="inlineStr">
        <is>
          <t>MEGA RAYA CEMERLANG</t>
        </is>
      </c>
      <c r="B5" t="inlineStr">
        <is>
          <t>Kota Depok</t>
        </is>
      </c>
      <c r="C5" t="inlineStr">
        <is>
          <t>081213739140</t>
        </is>
      </c>
      <c r="D5" t="inlineStr">
        <is>
          <t>mrcemerlang@gmail.com</t>
        </is>
      </c>
      <c r="E5" t="inlineStr">
        <is>
          <t>https://lpjk.pu.go.id/search-badan-usaha-detail/elkrRXpXZGk4REdzdDJ0d2p1d3ZLZz09</t>
        </is>
      </c>
      <c r="F5" t="n">
        <v>1</v>
      </c>
      <c r="G5" t="inlineStr">
        <is>
          <t>BS004</t>
        </is>
      </c>
      <c r="H5" t="inlineStr">
        <is>
          <t>10 Mei 2023</t>
        </is>
      </c>
      <c r="I5" s="2" t="n">
        <v>46264</v>
      </c>
      <c r="J5" t="inlineStr">
        <is>
          <t>Disetujui</t>
        </is>
      </c>
      <c r="K5" t="n">
        <v>60</v>
      </c>
      <c r="L5" t="inlineStr">
        <is>
          <t>30 Agustus 2026</t>
        </is>
      </c>
      <c r="M5" t="inlineStr">
        <is>
          <t>Konstruksi Jaringan Irigasi dan Drainase</t>
        </is>
      </c>
      <c r="N5" t="inlineStr">
        <is>
          <t>K</t>
        </is>
      </c>
      <c r="O5" t="inlineStr">
        <is>
          <t>20230829</t>
        </is>
      </c>
      <c r="P5" t="inlineStr">
        <is>
          <t>Jawa Barat</t>
        </is>
      </c>
      <c r="Q5" s="3">
        <f>HYPERLINK("https://wa.me/6281213739140?text=*[PENGINGAT MASA BERLAKU SBU MEGA RAYA CEMERLANG]*%0A%0AYth. Pimpinan MEGA RAYA CEMERLANG,%0AMohon izin menginformasikan status SBU Anda di sistem LPJK:%0A%0A📄 SBU: BS004%0A📅 Expired: 30 Agustus 2026 (60 Hari Lagi)%0A%0AKami tim PT. ESDEA Assistance Management siap men-support proses perpanjangan segera agar administrasi proyek tidak terhambat%0A%0AApakah boleh saya bantu siapkan estimasi biaya dan waktu pengerjaannya?.", "Hubungi")</f>
        <v/>
      </c>
    </row>
    <row r="6">
      <c r="A6" t="inlineStr">
        <is>
          <t>PAJAJARAN</t>
        </is>
      </c>
      <c r="B6" t="inlineStr">
        <is>
          <t>Kab. Bekasi</t>
        </is>
      </c>
      <c r="C6" t="inlineStr">
        <is>
          <t>082117626019</t>
        </is>
      </c>
      <c r="D6" t="inlineStr">
        <is>
          <t>pajajaran_cv@yahoo.com</t>
        </is>
      </c>
      <c r="E6" t="inlineStr">
        <is>
          <t>https://lpjk.pu.go.id/search-badan-usaha-detail/T0oyYWZOWEFndlZSSnVocjMwZTdRdz09</t>
        </is>
      </c>
      <c r="F6" t="n">
        <v>1</v>
      </c>
      <c r="G6" t="inlineStr">
        <is>
          <t>BG006</t>
        </is>
      </c>
      <c r="H6" t="inlineStr">
        <is>
          <t>13 Mei 2009</t>
        </is>
      </c>
      <c r="I6" s="2" t="n">
        <v>46264</v>
      </c>
      <c r="J6" t="inlineStr">
        <is>
          <t>Pencabutan</t>
        </is>
      </c>
      <c r="K6" t="n">
        <v>60</v>
      </c>
      <c r="L6" t="inlineStr">
        <is>
          <t>30 Agustus 2026</t>
        </is>
      </c>
      <c r="M6" t="inlineStr">
        <is>
          <t>Konstruksi Gedung Pendidikan</t>
        </is>
      </c>
      <c r="N6" t="inlineStr">
        <is>
          <t>K</t>
        </is>
      </c>
      <c r="O6" t="inlineStr">
        <is>
          <t>20230825</t>
        </is>
      </c>
      <c r="P6" t="inlineStr">
        <is>
          <t>Jawa Barat</t>
        </is>
      </c>
      <c r="Q6" s="3">
        <f>HYPERLINK("https://wa.me/6282117626019?text=*[PENGINGAT MASA BERLAKU SBU PAJAJARAN]*%0A%0AYth. Pimpinan PAJAJARAN,%0AMohon izin menginformasikan status SBU Anda di sistem LPJK:%0A%0A📄 SBU: BG006%0A📅 Expired: 30 Agustus 2026 (60 Hari Lagi)%0A%0AKami tim PT. ESDEA Assistance Management siap men-support proses perpanjangan segera agar administrasi proyek tidak terhambat%0A%0AApakah boleh saya bantu siapkan estimasi biaya dan waktu pengerjaannya?.", "Hubungi")</f>
        <v/>
      </c>
    </row>
    <row r="7">
      <c r="A7" t="inlineStr">
        <is>
          <t>PERFORMA TRANS UTAMA</t>
        </is>
      </c>
      <c r="B7" t="inlineStr">
        <is>
          <t>Kota Bekasi</t>
        </is>
      </c>
      <c r="C7" t="inlineStr">
        <is>
          <t>02129477464</t>
        </is>
      </c>
      <c r="D7" t="inlineStr">
        <is>
          <t>performatrans@gmail.com</t>
        </is>
      </c>
      <c r="E7" t="inlineStr">
        <is>
          <t>https://lpjk.pu.go.id/search-badan-usaha-detail/bGhOZVN5dlduNVRLekNvT2twRWp4Zz09</t>
        </is>
      </c>
      <c r="F7" t="n">
        <v>1</v>
      </c>
      <c r="G7" t="inlineStr">
        <is>
          <t>BS001</t>
        </is>
      </c>
      <c r="H7" t="inlineStr">
        <is>
          <t>4 Desember 2017</t>
        </is>
      </c>
      <c r="I7" s="2" t="n">
        <v>46264</v>
      </c>
      <c r="J7" t="inlineStr">
        <is>
          <t>Disetujui</t>
        </is>
      </c>
      <c r="K7" t="n">
        <v>60</v>
      </c>
      <c r="L7" t="inlineStr">
        <is>
          <t>30 Agustus 2026</t>
        </is>
      </c>
      <c r="M7" t="inlineStr">
        <is>
          <t>Konstruksi Bangunan Sipil Jalan</t>
        </is>
      </c>
      <c r="N7" t="inlineStr">
        <is>
          <t>K</t>
        </is>
      </c>
      <c r="O7" t="inlineStr">
        <is>
          <t>20230828</t>
        </is>
      </c>
      <c r="P7" t="inlineStr">
        <is>
          <t>Jawa Barat</t>
        </is>
      </c>
      <c r="Q7" t="inlineStr"/>
    </row>
    <row r="8">
      <c r="A8" t="inlineStr">
        <is>
          <t>PERUSAHAAN PERSEROAN (PERSERO) PT. HUTAMA KARYA</t>
        </is>
      </c>
      <c r="B8" t="inlineStr">
        <is>
          <t>Kota Adm. Jakarta Timur</t>
        </is>
      </c>
      <c r="C8" t="inlineStr">
        <is>
          <t>0218193708</t>
        </is>
      </c>
      <c r="D8" t="inlineStr">
        <is>
          <t>pthk@hutamakarya.com</t>
        </is>
      </c>
      <c r="E8" t="inlineStr">
        <is>
          <t>https://lpjk.pu.go.id/search-badan-usaha-detail/TE1nYjBDd0dtOWR1MTRtTjcwVFgrdz09</t>
        </is>
      </c>
      <c r="F8" t="n">
        <v>1</v>
      </c>
      <c r="G8" t="inlineStr">
        <is>
          <t>GT003</t>
        </is>
      </c>
      <c r="H8" t="inlineStr">
        <is>
          <t>5 Maret 1973</t>
        </is>
      </c>
      <c r="I8" s="2" t="n">
        <v>46264</v>
      </c>
      <c r="J8" t="inlineStr">
        <is>
          <t>Disetujui</t>
        </is>
      </c>
      <c r="K8" t="n">
        <v>60</v>
      </c>
      <c r="L8" t="inlineStr">
        <is>
          <t>30 Agustus 2026</t>
        </is>
      </c>
      <c r="M8" t="inlineStr">
        <is>
          <t>Konstruksi Gedung Industri</t>
        </is>
      </c>
      <c r="N8" t="inlineStr">
        <is>
          <t>B</t>
        </is>
      </c>
      <c r="O8" t="inlineStr">
        <is>
          <t>20230808</t>
        </is>
      </c>
      <c r="P8" t="inlineStr">
        <is>
          <t>DKI Jakarta</t>
        </is>
      </c>
      <c r="Q8" t="inlineStr"/>
    </row>
    <row r="9">
      <c r="A9" t="inlineStr">
        <is>
          <t>SAHABAT INTI SUKSES MADANI</t>
        </is>
      </c>
      <c r="B9" t="inlineStr">
        <is>
          <t>Kota Bekasi</t>
        </is>
      </c>
      <c r="C9" t="inlineStr">
        <is>
          <t>02188892944</t>
        </is>
      </c>
      <c r="D9" t="inlineStr">
        <is>
          <t>sahabat.inti@gmail.com</t>
        </is>
      </c>
      <c r="E9" t="inlineStr">
        <is>
          <t>https://lpjk.pu.go.id/search-badan-usaha-detail/ZnhyeDBGWmk2SjRzNFVVTE0vcWRsdz09</t>
        </is>
      </c>
      <c r="F9" t="n">
        <v>1</v>
      </c>
      <c r="G9" t="inlineStr">
        <is>
          <t>IN011</t>
        </is>
      </c>
      <c r="H9" t="inlineStr">
        <is>
          <t>27 Januari 2010</t>
        </is>
      </c>
      <c r="I9" s="2" t="n">
        <v>46264</v>
      </c>
      <c r="J9" t="inlineStr">
        <is>
          <t>Disetujui</t>
        </is>
      </c>
      <c r="K9" t="n">
        <v>60</v>
      </c>
      <c r="L9" t="inlineStr">
        <is>
          <t>30 Agustus 2026</t>
        </is>
      </c>
      <c r="M9" t="inlineStr">
        <is>
          <t>Instalasi Sinyal dan Rambu-rambu Jalan Raya</t>
        </is>
      </c>
      <c r="N9" t="inlineStr">
        <is>
          <t>Spesialis</t>
        </is>
      </c>
      <c r="O9" t="inlineStr">
        <is>
          <t>20230821</t>
        </is>
      </c>
      <c r="P9" t="inlineStr">
        <is>
          <t>Jawa Barat</t>
        </is>
      </c>
      <c r="Q9" t="inlineStr"/>
    </row>
    <row r="10">
      <c r="A10" t="inlineStr">
        <is>
          <t>SURYA GEMILANG ABADI</t>
        </is>
      </c>
      <c r="B10" t="inlineStr">
        <is>
          <t>Kab. Bogor</t>
        </is>
      </c>
      <c r="C10" t="inlineStr">
        <is>
          <t>0217264175</t>
        </is>
      </c>
      <c r="D10" t="inlineStr">
        <is>
          <t>cv.sga2023@gmail.com</t>
        </is>
      </c>
      <c r="E10" t="inlineStr">
        <is>
          <t>https://lpjk.pu.go.id/search-badan-usaha-detail/c1NEaTdQV3MxU0ltcjVjRmR1U2R4QT09</t>
        </is>
      </c>
      <c r="F10" t="n">
        <v>1</v>
      </c>
      <c r="G10" t="inlineStr">
        <is>
          <t>BG001</t>
        </is>
      </c>
      <c r="H10" t="inlineStr">
        <is>
          <t>9 Februari 2012</t>
        </is>
      </c>
      <c r="I10" s="2" t="n">
        <v>46264</v>
      </c>
      <c r="J10" t="inlineStr">
        <is>
          <t>Disetujui</t>
        </is>
      </c>
      <c r="K10" t="n">
        <v>60</v>
      </c>
      <c r="L10" t="inlineStr">
        <is>
          <t>30 Agustus 2026</t>
        </is>
      </c>
      <c r="M10" t="inlineStr">
        <is>
          <t>Konstruksi Gedung Hunian</t>
        </is>
      </c>
      <c r="N10" t="inlineStr">
        <is>
          <t>K</t>
        </is>
      </c>
      <c r="O10" t="inlineStr">
        <is>
          <t>20230818</t>
        </is>
      </c>
      <c r="P10" t="inlineStr">
        <is>
          <t>Jawa Barat</t>
        </is>
      </c>
      <c r="Q10" t="inlineStr"/>
    </row>
    <row r="11">
      <c r="A11" t="inlineStr">
        <is>
          <t>TARUNA KARYA SEJAHTERA</t>
        </is>
      </c>
      <c r="B11" t="inlineStr">
        <is>
          <t>Kota Depok</t>
        </is>
      </c>
      <c r="C11" t="inlineStr">
        <is>
          <t>02177217599</t>
        </is>
      </c>
      <c r="D11" t="inlineStr">
        <is>
          <t>tarunakaryasjh@yahoo.co.id</t>
        </is>
      </c>
      <c r="E11" t="inlineStr">
        <is>
          <t>https://lpjk.pu.go.id/search-badan-usaha-detail/eGlpZzBXKzZidFdrMy9hYkNndGNoUT09</t>
        </is>
      </c>
      <c r="F11" t="n">
        <v>1</v>
      </c>
      <c r="G11" t="inlineStr">
        <is>
          <t>BS001</t>
        </is>
      </c>
      <c r="H11" t="inlineStr">
        <is>
          <t>20 Maret 1997</t>
        </is>
      </c>
      <c r="I11" s="2" t="n">
        <v>46264</v>
      </c>
      <c r="J11" t="inlineStr">
        <is>
          <t>Pencabutan</t>
        </is>
      </c>
      <c r="K11" t="n">
        <v>60</v>
      </c>
      <c r="L11" t="inlineStr">
        <is>
          <t>30 Agustus 2026</t>
        </is>
      </c>
      <c r="M11" t="inlineStr">
        <is>
          <t>Konstruksi Bangunan Sipil Jalan</t>
        </is>
      </c>
      <c r="N11" t="inlineStr">
        <is>
          <t>K</t>
        </is>
      </c>
      <c r="O11" t="inlineStr">
        <is>
          <t>20230830</t>
        </is>
      </c>
      <c r="P11" t="inlineStr">
        <is>
          <t>Jawa Barat</t>
        </is>
      </c>
      <c r="Q11" t="inlineStr"/>
    </row>
    <row r="12">
      <c r="A12" t="inlineStr">
        <is>
          <t>TIGAMAS MITRA SELARAS</t>
        </is>
      </c>
      <c r="B12" t="inlineStr">
        <is>
          <t>Kota Bekasi</t>
        </is>
      </c>
      <c r="C12" t="inlineStr">
        <is>
          <t>02186905293</t>
        </is>
      </c>
      <c r="D12" t="inlineStr">
        <is>
          <t>tigamasmselaras@gmail.com</t>
        </is>
      </c>
      <c r="E12" t="inlineStr">
        <is>
          <t>https://lpjk.pu.go.id/search-badan-usaha-detail/KyttbUVSMyt1NHJKZ0dRTzlBODBlZz09</t>
        </is>
      </c>
      <c r="F12" t="n">
        <v>2</v>
      </c>
      <c r="G12" t="inlineStr">
        <is>
          <t>BG007</t>
        </is>
      </c>
      <c r="H12" t="inlineStr">
        <is>
          <t>6 April 2011</t>
        </is>
      </c>
      <c r="I12" s="2" t="n">
        <v>46264</v>
      </c>
      <c r="J12" t="inlineStr">
        <is>
          <t>Disetujui</t>
        </is>
      </c>
      <c r="K12" t="n">
        <v>60</v>
      </c>
      <c r="L12" t="inlineStr">
        <is>
          <t>30 Agustus 2026</t>
        </is>
      </c>
      <c r="M12" t="inlineStr">
        <is>
          <t>Konstruksi Gedung Penginapan</t>
        </is>
      </c>
      <c r="N12" t="inlineStr">
        <is>
          <t>M</t>
        </is>
      </c>
      <c r="O12" t="inlineStr">
        <is>
          <t>20230831</t>
        </is>
      </c>
      <c r="P12" t="inlineStr">
        <is>
          <t>Jawa Barat</t>
        </is>
      </c>
      <c r="Q12" t="inlineStr"/>
    </row>
    <row r="13">
      <c r="A13" t="inlineStr">
        <is>
          <t>WINDU KENCANA UTAMA</t>
        </is>
      </c>
      <c r="B13" t="inlineStr">
        <is>
          <t>Kota Bogor</t>
        </is>
      </c>
      <c r="C13" t="inlineStr">
        <is>
          <t>081284574543</t>
        </is>
      </c>
      <c r="D13" t="inlineStr">
        <is>
          <t>windukencanautama9@gmail.com</t>
        </is>
      </c>
      <c r="E13" t="inlineStr">
        <is>
          <t>https://lpjk.pu.go.id/search-badan-usaha-detail/YXZaSFRqSk1Sam11N2RFUW84QitkQT09</t>
        </is>
      </c>
      <c r="F13" t="n">
        <v>1</v>
      </c>
      <c r="G13" t="inlineStr">
        <is>
          <t>BS001</t>
        </is>
      </c>
      <c r="H13" t="inlineStr">
        <is>
          <t>16 Agustus 2023</t>
        </is>
      </c>
      <c r="I13" s="2" t="n">
        <v>46264</v>
      </c>
      <c r="J13" t="inlineStr">
        <is>
          <t>Disetujui</t>
        </is>
      </c>
      <c r="K13" t="n">
        <v>60</v>
      </c>
      <c r="L13" t="inlineStr">
        <is>
          <t>30 Agustus 2026</t>
        </is>
      </c>
      <c r="M13" t="inlineStr">
        <is>
          <t>Konstruksi Bangunan Sipil Jalan</t>
        </is>
      </c>
      <c r="N13" t="inlineStr">
        <is>
          <t>K</t>
        </is>
      </c>
      <c r="O13" t="inlineStr">
        <is>
          <t>20230829</t>
        </is>
      </c>
      <c r="P13" t="inlineStr">
        <is>
          <t>Jawa Barat</t>
        </is>
      </c>
      <c r="Q13" s="3">
        <f>HYPERLINK("https://wa.me/6281284574543?text=*[PENGINGAT MASA BERLAKU SBU WINDU KENCANA UTAMA]*%0A%0AYth. Pimpinan WINDU KENCANA UTAMA,%0AMohon izin menginformasikan status SBU Anda di sistem LPJK:%0A%0A📄 SBU: BS001%0A📅 Expired: 30 Agustus 2026 (60 Hari Lagi)%0A%0AKami tim PT. ESDEA Assistance Management siap men-support proses perpanjangan segera agar administrasi proyek tidak terhambat%0A%0AApakah boleh saya bantu siapkan estimasi biaya dan waktu pengerjaannya?.", "Hubungi")</f>
        <v/>
      </c>
    </row>
    <row r="14">
      <c r="A14" t="inlineStr">
        <is>
          <t>ABIDIN JAYATAMA</t>
        </is>
      </c>
      <c r="B14" t="inlineStr">
        <is>
          <t>Kab. Karawang</t>
        </is>
      </c>
      <c r="C14" t="inlineStr">
        <is>
          <t>08111290029</t>
        </is>
      </c>
      <c r="D14" t="inlineStr">
        <is>
          <t>cvabidinjayatama@gmail.com</t>
        </is>
      </c>
      <c r="E14" t="inlineStr">
        <is>
          <t>https://lpjk.pu.go.id/search-badan-usaha-detail/K2szbEZwcUdoL0hsdGJsTTN0a3Y2UT09</t>
        </is>
      </c>
      <c r="F14" t="n">
        <v>1</v>
      </c>
      <c r="G14" t="inlineStr">
        <is>
          <t>BS004</t>
        </is>
      </c>
      <c r="H14" t="inlineStr">
        <is>
          <t>15 Januari 2009</t>
        </is>
      </c>
      <c r="I14" s="2" t="n">
        <v>46264</v>
      </c>
      <c r="J14" t="inlineStr">
        <is>
          <t>Disetujui</t>
        </is>
      </c>
      <c r="K14" t="n">
        <v>60</v>
      </c>
      <c r="L14" t="inlineStr">
        <is>
          <t>30 Agustus 2026</t>
        </is>
      </c>
      <c r="M14" t="inlineStr">
        <is>
          <t>Konstruksi Jaringan Irigasi dan Drainase</t>
        </is>
      </c>
      <c r="N14" t="inlineStr">
        <is>
          <t>K</t>
        </is>
      </c>
      <c r="O14" t="inlineStr">
        <is>
          <t>20230829</t>
        </is>
      </c>
      <c r="P14" t="inlineStr">
        <is>
          <t>Jawa Barat</t>
        </is>
      </c>
      <c r="Q14" t="inlineStr"/>
    </row>
    <row r="15">
      <c r="A15" t="inlineStr">
        <is>
          <t>ABYAKTA KARYA KONSTRUKSI PERSADA</t>
        </is>
      </c>
      <c r="B15" t="inlineStr">
        <is>
          <t>Kota Adm. Jakarta Barat</t>
        </is>
      </c>
      <c r="C15" t="inlineStr">
        <is>
          <t>081210683727</t>
        </is>
      </c>
      <c r="D15" t="inlineStr">
        <is>
          <t>pt.abyaktakaryakonstruksi@gmail.com</t>
        </is>
      </c>
      <c r="E15" t="inlineStr">
        <is>
          <t>https://lpjk.pu.go.id/search-badan-usaha-detail/MmpuMHBqU1VSa014SS84RXZTYUIzQT09</t>
        </is>
      </c>
      <c r="F15" t="n">
        <v>1</v>
      </c>
      <c r="G15" t="inlineStr">
        <is>
          <t>BG003</t>
        </is>
      </c>
      <c r="H15" t="inlineStr">
        <is>
          <t>7 Agustus 2023</t>
        </is>
      </c>
      <c r="I15" s="2" t="n">
        <v>46264</v>
      </c>
      <c r="J15" t="inlineStr">
        <is>
          <t>Pencabutan</t>
        </is>
      </c>
      <c r="K15" t="n">
        <v>60</v>
      </c>
      <c r="L15" t="inlineStr">
        <is>
          <t>30 Agustus 2026</t>
        </is>
      </c>
      <c r="M15" t="inlineStr">
        <is>
          <t>Konstruksi Gedung Industri</t>
        </is>
      </c>
      <c r="N15" t="inlineStr">
        <is>
          <t>K</t>
        </is>
      </c>
      <c r="O15" t="inlineStr">
        <is>
          <t>20230830</t>
        </is>
      </c>
      <c r="P15" t="inlineStr">
        <is>
          <t>DKI Jakarta</t>
        </is>
      </c>
      <c r="Q15" t="inlineStr"/>
    </row>
    <row r="16">
      <c r="A16" t="inlineStr">
        <is>
          <t>ADHI RAJASA KARYA</t>
        </is>
      </c>
      <c r="B16" t="inlineStr">
        <is>
          <t>Kab. Muna</t>
        </is>
      </c>
      <c r="C16" t="inlineStr">
        <is>
          <t>082196750775</t>
        </is>
      </c>
      <c r="D16" t="inlineStr">
        <is>
          <t>adhirajasakarya02@gmail.com</t>
        </is>
      </c>
      <c r="E16" t="inlineStr">
        <is>
          <t>https://lpjk.pu.go.id/search-badan-usaha-detail/Z0dDQ2p4bGc5c25yWXdOMW5USm5yQT09</t>
        </is>
      </c>
      <c r="F16" t="n">
        <v>1</v>
      </c>
      <c r="G16" t="inlineStr">
        <is>
          <t>BG001</t>
        </is>
      </c>
      <c r="H16" t="inlineStr">
        <is>
          <t>15 Februari 2023</t>
        </is>
      </c>
      <c r="I16" s="2" t="n">
        <v>46264</v>
      </c>
      <c r="J16" t="inlineStr">
        <is>
          <t>Disetujui</t>
        </is>
      </c>
      <c r="K16" t="n">
        <v>60</v>
      </c>
      <c r="L16" t="inlineStr">
        <is>
          <t>30 Agustus 2026</t>
        </is>
      </c>
      <c r="M16" t="inlineStr">
        <is>
          <t>Konstruksi Gedung Hunian</t>
        </is>
      </c>
      <c r="N16" t="inlineStr">
        <is>
          <t>K</t>
        </is>
      </c>
      <c r="O16" t="inlineStr">
        <is>
          <t>20230830</t>
        </is>
      </c>
      <c r="P16" t="inlineStr">
        <is>
          <t>Sulawesi Tenggara</t>
        </is>
      </c>
      <c r="Q16" t="inlineStr"/>
    </row>
    <row r="17">
      <c r="A17" t="inlineStr">
        <is>
          <t>ADJI MERTHA KARYA</t>
        </is>
      </c>
      <c r="B17" t="inlineStr">
        <is>
          <t>Kab. Pasuruan</t>
        </is>
      </c>
      <c r="C17" t="inlineStr">
        <is>
          <t>08125297937</t>
        </is>
      </c>
      <c r="D17" t="inlineStr">
        <is>
          <t>ajimerthakarya@gmail.com</t>
        </is>
      </c>
      <c r="E17" t="inlineStr">
        <is>
          <t>https://lpjk.pu.go.id/search-badan-usaha-detail/S1pYbHZXWElhVkoxdkxvOGI2anRlQT09</t>
        </is>
      </c>
      <c r="F17" t="n">
        <v>1</v>
      </c>
      <c r="G17" t="inlineStr">
        <is>
          <t>BG006</t>
        </is>
      </c>
      <c r="H17" t="inlineStr">
        <is>
          <t>6 Agustus 1982</t>
        </is>
      </c>
      <c r="I17" s="2" t="n">
        <v>46264</v>
      </c>
      <c r="J17" t="inlineStr">
        <is>
          <t>Disetujui</t>
        </is>
      </c>
      <c r="K17" t="n">
        <v>60</v>
      </c>
      <c r="L17" t="inlineStr">
        <is>
          <t>30 Agustus 2026</t>
        </is>
      </c>
      <c r="M17" t="inlineStr">
        <is>
          <t>Konstruksi Gedung Pendidikan</t>
        </is>
      </c>
      <c r="N17" t="inlineStr">
        <is>
          <t>K</t>
        </is>
      </c>
      <c r="O17" t="inlineStr">
        <is>
          <t>20230605</t>
        </is>
      </c>
      <c r="P17" t="inlineStr">
        <is>
          <t>Jawa Timur</t>
        </is>
      </c>
      <c r="Q17" t="inlineStr"/>
    </row>
    <row r="18">
      <c r="A18" t="inlineStr">
        <is>
          <t>ALFARIZZI</t>
        </is>
      </c>
      <c r="B18" t="inlineStr">
        <is>
          <t>Kota Banda Aceh</t>
        </is>
      </c>
      <c r="C18" t="inlineStr">
        <is>
          <t>081269188223</t>
        </is>
      </c>
      <c r="D18" t="inlineStr">
        <is>
          <t>cv.alfarizzi@gmail.com</t>
        </is>
      </c>
      <c r="E18" t="inlineStr">
        <is>
          <t>https://lpjk.pu.go.id/search-badan-usaha-detail/bWpFVzRYbXBxUTBhd3U1TS9XclVPQT09</t>
        </is>
      </c>
      <c r="F18" t="n">
        <v>4</v>
      </c>
      <c r="G18" t="inlineStr">
        <is>
          <t>BG005, BG006</t>
        </is>
      </c>
      <c r="H18" t="inlineStr">
        <is>
          <t>22 Juni 2012</t>
        </is>
      </c>
      <c r="I18" s="2" t="n">
        <v>46264</v>
      </c>
      <c r="J18" t="inlineStr">
        <is>
          <t>Disetujui</t>
        </is>
      </c>
      <c r="K18" t="n">
        <v>60</v>
      </c>
      <c r="L18" t="inlineStr">
        <is>
          <t>30 Agustus 2026</t>
        </is>
      </c>
      <c r="M18" t="inlineStr">
        <is>
          <t>Konstruksi Gedung Kesehatan, Konstruksi Gedung Pendidikan</t>
        </is>
      </c>
      <c r="N18" t="inlineStr">
        <is>
          <t>K</t>
        </is>
      </c>
      <c r="O18" t="inlineStr">
        <is>
          <t>20230829</t>
        </is>
      </c>
      <c r="P18" t="inlineStr">
        <is>
          <t>Aceh</t>
        </is>
      </c>
      <c r="Q18" t="inlineStr"/>
    </row>
    <row r="19">
      <c r="A19" t="inlineStr">
        <is>
          <t>ALYA PROPERTI MANDIRI</t>
        </is>
      </c>
      <c r="B19" t="inlineStr">
        <is>
          <t>Kota Makassar</t>
        </is>
      </c>
      <c r="C19" t="inlineStr">
        <is>
          <t>08114140166</t>
        </is>
      </c>
      <c r="D19" t="inlineStr">
        <is>
          <t>alyapropertimandiri.cv@gmail.com</t>
        </is>
      </c>
      <c r="E19" t="inlineStr">
        <is>
          <t>https://lpjk.pu.go.id/search-badan-usaha-detail/d1IvaHZlZTN3S1IwSlF3Y0ZKUXpVQT09</t>
        </is>
      </c>
      <c r="F19" t="n">
        <v>1</v>
      </c>
      <c r="G19" t="inlineStr">
        <is>
          <t>BG001</t>
        </is>
      </c>
      <c r="H19" t="inlineStr">
        <is>
          <t>10 September 2020</t>
        </is>
      </c>
      <c r="I19" s="2" t="n">
        <v>46264</v>
      </c>
      <c r="J19" t="inlineStr">
        <is>
          <t>Disetujui</t>
        </is>
      </c>
      <c r="K19" t="n">
        <v>60</v>
      </c>
      <c r="L19" t="inlineStr">
        <is>
          <t>30 Agustus 2026</t>
        </is>
      </c>
      <c r="M19" t="inlineStr">
        <is>
          <t>Konstruksi Gedung Hunian</t>
        </is>
      </c>
      <c r="N19" t="inlineStr">
        <is>
          <t>K</t>
        </is>
      </c>
      <c r="O19" t="inlineStr">
        <is>
          <t>20230818</t>
        </is>
      </c>
      <c r="P19" t="inlineStr">
        <is>
          <t>Sulawesi Selatan</t>
        </is>
      </c>
      <c r="Q19" t="inlineStr"/>
    </row>
    <row r="20">
      <c r="A20" t="inlineStr">
        <is>
          <t>AMANAH BERKAH SENTOSA</t>
        </is>
      </c>
      <c r="B20" t="inlineStr">
        <is>
          <t>Kab. Jombang</t>
        </is>
      </c>
      <c r="C20" t="inlineStr">
        <is>
          <t>081226590126</t>
        </is>
      </c>
      <c r="D20" t="inlineStr">
        <is>
          <t>arissafirotulf.ks115@gmail.com</t>
        </is>
      </c>
      <c r="E20" t="inlineStr">
        <is>
          <t>https://lpjk.pu.go.id/search-badan-usaha-detail/L3o4cFlrSzNrUzFaT0lxOXljZitNUT09</t>
        </is>
      </c>
      <c r="F20" t="n">
        <v>6</v>
      </c>
      <c r="G20" t="inlineStr">
        <is>
          <t>BG002, BG004</t>
        </is>
      </c>
      <c r="H20" t="inlineStr">
        <is>
          <t>28 Juni 2019</t>
        </is>
      </c>
      <c r="I20" s="2" t="n">
        <v>46264</v>
      </c>
      <c r="J20" t="inlineStr">
        <is>
          <t>Pencabutan</t>
        </is>
      </c>
      <c r="K20" t="n">
        <v>60</v>
      </c>
      <c r="L20" t="inlineStr">
        <is>
          <t>30 Agustus 2026</t>
        </is>
      </c>
      <c r="M20" t="inlineStr">
        <is>
          <t>Konstruksi Gedung Perbelanjaan, Konstruksi Gedung Perkantoran</t>
        </is>
      </c>
      <c r="N20" t="inlineStr">
        <is>
          <t>K</t>
        </is>
      </c>
      <c r="O20" t="inlineStr">
        <is>
          <t>20230705</t>
        </is>
      </c>
      <c r="P20" t="inlineStr">
        <is>
          <t>Jawa Timur</t>
        </is>
      </c>
      <c r="Q20" t="inlineStr"/>
    </row>
    <row r="21">
      <c r="A21" t="inlineStr">
        <is>
          <t>ANEKA SARI ALAM</t>
        </is>
      </c>
      <c r="B21" t="inlineStr">
        <is>
          <t>Kab. Ketapang</t>
        </is>
      </c>
      <c r="C21" t="inlineStr">
        <is>
          <t>081256026767</t>
        </is>
      </c>
      <c r="D21" t="inlineStr">
        <is>
          <t>anekasarialam217@gmail.com</t>
        </is>
      </c>
      <c r="E21" t="inlineStr">
        <is>
          <t>https://lpjk.pu.go.id/search-badan-usaha-detail/MDU5Sm15MVlBcGNKYkNZQi9FaTNXQT09</t>
        </is>
      </c>
      <c r="F21" t="n">
        <v>2</v>
      </c>
      <c r="G21" t="inlineStr">
        <is>
          <t>BS002</t>
        </is>
      </c>
      <c r="H21" t="inlineStr">
        <is>
          <t>1 Februari 1990</t>
        </is>
      </c>
      <c r="I21" s="2" t="n">
        <v>46264</v>
      </c>
      <c r="J21" t="inlineStr">
        <is>
          <t>Disetujui</t>
        </is>
      </c>
      <c r="K21" t="n">
        <v>60</v>
      </c>
      <c r="L21" t="inlineStr">
        <is>
          <t>30 Agustus 2026</t>
        </is>
      </c>
      <c r="M21" t="inlineStr">
        <is>
          <t>Bangunan Sipil Jembatan, Jalan Layang, Fly Over, dan Underpass</t>
        </is>
      </c>
      <c r="N21" t="inlineStr">
        <is>
          <t>K</t>
        </is>
      </c>
      <c r="O21" t="inlineStr">
        <is>
          <t>20230724</t>
        </is>
      </c>
      <c r="P21" t="inlineStr">
        <is>
          <t>Kalimantan Barat</t>
        </is>
      </c>
      <c r="Q21" t="inlineStr"/>
    </row>
    <row r="22">
      <c r="A22" t="inlineStr">
        <is>
          <t>ANUGERAH KARUNIA ABADI</t>
        </is>
      </c>
      <c r="B22" t="inlineStr">
        <is>
          <t>Kab. Majalengka</t>
        </is>
      </c>
      <c r="C22" t="inlineStr">
        <is>
          <t>0233881321</t>
        </is>
      </c>
      <c r="D22" t="inlineStr">
        <is>
          <t>anugerahkaruniaabadi@gmail.com</t>
        </is>
      </c>
      <c r="E22" t="inlineStr">
        <is>
          <t>https://lpjk.pu.go.id/search-badan-usaha-detail/dFJBSWxIWllZYVpMM2EzQVhqc1h5QT09</t>
        </is>
      </c>
      <c r="F22" t="n">
        <v>2</v>
      </c>
      <c r="G22" t="inlineStr">
        <is>
          <t>BS001, BS004</t>
        </is>
      </c>
      <c r="H22" t="inlineStr">
        <is>
          <t>8 Februari 2019</t>
        </is>
      </c>
      <c r="I22" s="2" t="n">
        <v>46264</v>
      </c>
      <c r="J22" t="inlineStr">
        <is>
          <t>Disetujui</t>
        </is>
      </c>
      <c r="K22" t="n">
        <v>60</v>
      </c>
      <c r="L22" t="inlineStr">
        <is>
          <t>30 Agustus 2026</t>
        </is>
      </c>
      <c r="M22" t="inlineStr">
        <is>
          <t>Konstruksi Bangunan Sipil Jalan, Konstruksi Jaringan Irigasi dan Drainase</t>
        </is>
      </c>
      <c r="N22" t="inlineStr">
        <is>
          <t>K</t>
        </is>
      </c>
      <c r="O22" t="inlineStr">
        <is>
          <t>20230830</t>
        </is>
      </c>
      <c r="P22" t="inlineStr">
        <is>
          <t>Jawa Barat</t>
        </is>
      </c>
      <c r="Q22" t="inlineStr"/>
    </row>
    <row r="23">
      <c r="A23" t="inlineStr">
        <is>
          <t>ARHINDO ARTHA UTAMA</t>
        </is>
      </c>
      <c r="B23" t="inlineStr">
        <is>
          <t>Kota Banda Aceh</t>
        </is>
      </c>
      <c r="C23" t="inlineStr">
        <is>
          <t>085280114002</t>
        </is>
      </c>
      <c r="D23" t="inlineStr">
        <is>
          <t>pt.aau2023@gmail.com</t>
        </is>
      </c>
      <c r="E23" t="inlineStr">
        <is>
          <t>https://lpjk.pu.go.id/search-badan-usaha-detail/MHd0T0hEZ2NveHpYcmx3cXl2emU1YjRTK0cwMzQwTnc4WTY2ZjN4cHMxbz0</t>
        </is>
      </c>
      <c r="F23" t="n">
        <v>5</v>
      </c>
      <c r="G23" t="inlineStr">
        <is>
          <t>BG003, BG004, BG005, BG006, BG007</t>
        </is>
      </c>
      <c r="H23" t="inlineStr">
        <is>
          <t>9 Oktober 2023</t>
        </is>
      </c>
      <c r="I23" s="2" t="n">
        <v>46264</v>
      </c>
      <c r="J23" t="inlineStr">
        <is>
          <t>Disetujui, Pencabutan</t>
        </is>
      </c>
      <c r="K23" t="n">
        <v>60</v>
      </c>
      <c r="L23" t="inlineStr">
        <is>
          <t>30 Agustus 2026</t>
        </is>
      </c>
      <c r="M23" t="inlineStr">
        <is>
          <t>Konstruksi Gedung Industri, Konstruksi Gedung Kesehatan, Konstruksi Gedung Pendidikan, Konstruksi Gedung Penginapan, Konstruksi Gedung Perbelanjaan</t>
        </is>
      </c>
      <c r="N23" t="inlineStr">
        <is>
          <t>K</t>
        </is>
      </c>
      <c r="O23" t="inlineStr">
        <is>
          <t>20230708, 20230830, 20230831</t>
        </is>
      </c>
      <c r="P23" t="inlineStr">
        <is>
          <t>Aceh</t>
        </is>
      </c>
      <c r="Q23" t="inlineStr"/>
    </row>
    <row r="24">
      <c r="A24" t="inlineStr">
        <is>
          <t>ARIF PRATAMA</t>
        </is>
      </c>
      <c r="B24" t="inlineStr">
        <is>
          <t>Kota Pontianak</t>
        </is>
      </c>
      <c r="C24" t="inlineStr">
        <is>
          <t>08994282692</t>
        </is>
      </c>
      <c r="D24" t="inlineStr">
        <is>
          <t>cvariefpratama@yahoo.co.id</t>
        </is>
      </c>
      <c r="E24" t="inlineStr">
        <is>
          <t>https://lpjk.pu.go.id/search-badan-usaha-detail/d0lmUHRISzZtdk5GWkpobzJaeWpQdz09</t>
        </is>
      </c>
      <c r="F24" t="n">
        <v>1</v>
      </c>
      <c r="G24" t="inlineStr">
        <is>
          <t>BG005</t>
        </is>
      </c>
      <c r="H24" t="inlineStr">
        <is>
          <t>22 Juni 2012</t>
        </is>
      </c>
      <c r="I24" s="2" t="n">
        <v>46264</v>
      </c>
      <c r="J24" t="inlineStr">
        <is>
          <t>Pencabutan</t>
        </is>
      </c>
      <c r="K24" t="n">
        <v>60</v>
      </c>
      <c r="L24" t="inlineStr">
        <is>
          <t>30 Agustus 2026</t>
        </is>
      </c>
      <c r="M24" t="inlineStr">
        <is>
          <t>Konstruksi Gedung Kesehatan</t>
        </is>
      </c>
      <c r="N24" t="inlineStr">
        <is>
          <t>K</t>
        </is>
      </c>
      <c r="O24" t="inlineStr">
        <is>
          <t>20230828</t>
        </is>
      </c>
      <c r="P24" t="inlineStr">
        <is>
          <t>Kalimantan Barat</t>
        </is>
      </c>
      <c r="Q24" t="inlineStr"/>
    </row>
    <row r="25">
      <c r="A25" t="inlineStr">
        <is>
          <t>ARKA KARYA ADIGRAHA</t>
        </is>
      </c>
      <c r="B25" t="inlineStr">
        <is>
          <t>Kota Bandung</t>
        </is>
      </c>
      <c r="C25" t="inlineStr">
        <is>
          <t>0222019676</t>
        </is>
      </c>
      <c r="D25" t="inlineStr">
        <is>
          <t>arkakarya@gmail.com</t>
        </is>
      </c>
      <c r="E25" t="inlineStr">
        <is>
          <t>https://lpjk.pu.go.id/search-badan-usaha-detail/Vm9yTlJjZUtUb28vVmRUaEUyTUNsUT09</t>
        </is>
      </c>
      <c r="F25" t="n">
        <v>1</v>
      </c>
      <c r="G25" t="inlineStr">
        <is>
          <t>BG002</t>
        </is>
      </c>
      <c r="H25" t="inlineStr">
        <is>
          <t>28 Agustus 2010</t>
        </is>
      </c>
      <c r="I25" s="2" t="n">
        <v>46264</v>
      </c>
      <c r="J25" t="inlineStr">
        <is>
          <t>Disetujui</t>
        </is>
      </c>
      <c r="K25" t="n">
        <v>60</v>
      </c>
      <c r="L25" t="inlineStr">
        <is>
          <t>30 Agustus 2026</t>
        </is>
      </c>
      <c r="M25" t="inlineStr">
        <is>
          <t>Konstruksi Gedung Perkantoran</t>
        </is>
      </c>
      <c r="N25" t="inlineStr">
        <is>
          <t>K</t>
        </is>
      </c>
      <c r="O25" t="inlineStr">
        <is>
          <t>20230803</t>
        </is>
      </c>
      <c r="P25" t="inlineStr">
        <is>
          <t>Jawa Barat</t>
        </is>
      </c>
      <c r="Q25" t="inlineStr"/>
    </row>
    <row r="26">
      <c r="A26" t="inlineStr">
        <is>
          <t>ARTHA LASTIAR</t>
        </is>
      </c>
      <c r="B26" t="inlineStr">
        <is>
          <t>Kab. Toba Samosir</t>
        </is>
      </c>
      <c r="C26" t="inlineStr">
        <is>
          <t>085276666671</t>
        </is>
      </c>
      <c r="D26" t="inlineStr">
        <is>
          <t>sianipartumbur13@gmail.com</t>
        </is>
      </c>
      <c r="E26" t="inlineStr">
        <is>
          <t>https://lpjk.pu.go.id/search-badan-usaha-detail/RUt2ODhzZThsSndISDZUZW9JWldhZz09</t>
        </is>
      </c>
      <c r="F26" t="n">
        <v>1</v>
      </c>
      <c r="G26" t="inlineStr">
        <is>
          <t>BS005</t>
        </is>
      </c>
      <c r="H26" t="inlineStr">
        <is>
          <t>17 September 2015</t>
        </is>
      </c>
      <c r="I26" s="2" t="n">
        <v>46264</v>
      </c>
      <c r="J26" t="inlineStr">
        <is>
          <t>Disetujui</t>
        </is>
      </c>
      <c r="K26" t="n">
        <v>60</v>
      </c>
      <c r="L26" t="inlineStr">
        <is>
          <t>30 Agustus 2026</t>
        </is>
      </c>
      <c r="M26" t="inlineStr">
        <is>
          <t>Konstruksi Bangunan Sipil Pengolahan Air Bersih</t>
        </is>
      </c>
      <c r="N26" t="inlineStr">
        <is>
          <t>K</t>
        </is>
      </c>
      <c r="O26" t="inlineStr">
        <is>
          <t>20230828</t>
        </is>
      </c>
      <c r="P26" t="inlineStr">
        <is>
          <t>Sumatera Utara</t>
        </is>
      </c>
      <c r="Q26" t="inlineStr"/>
    </row>
    <row r="27">
      <c r="A27" t="inlineStr">
        <is>
          <t>ASTABRATHA</t>
        </is>
      </c>
      <c r="B27" t="inlineStr">
        <is>
          <t>Kab. Trenggalek</t>
        </is>
      </c>
      <c r="C27" t="inlineStr">
        <is>
          <t>081335624444</t>
        </is>
      </c>
      <c r="D27" t="inlineStr">
        <is>
          <t>budiw9491@gmail.com</t>
        </is>
      </c>
      <c r="E27" t="inlineStr">
        <is>
          <t>https://lpjk.pu.go.id/search-badan-usaha-detail/K2FDWGFNZlErNTBJelhtM0t1ejZ0dz09</t>
        </is>
      </c>
      <c r="F27" t="n">
        <v>1</v>
      </c>
      <c r="G27" t="inlineStr">
        <is>
          <t>BS004</t>
        </is>
      </c>
      <c r="H27" t="inlineStr">
        <is>
          <t>21 Januari 2009</t>
        </is>
      </c>
      <c r="I27" s="2" t="n">
        <v>46264</v>
      </c>
      <c r="J27" t="inlineStr">
        <is>
          <t>Disetujui</t>
        </is>
      </c>
      <c r="K27" t="n">
        <v>60</v>
      </c>
      <c r="L27" t="inlineStr">
        <is>
          <t>30 Agustus 2026</t>
        </is>
      </c>
      <c r="M27" t="inlineStr">
        <is>
          <t>Konstruksi Jaringan Irigasi dan Drainase</t>
        </is>
      </c>
      <c r="N27" t="inlineStr">
        <is>
          <t>K</t>
        </is>
      </c>
      <c r="O27" t="inlineStr">
        <is>
          <t>20230818</t>
        </is>
      </c>
      <c r="P27" t="inlineStr">
        <is>
          <t>Jawa Timur</t>
        </is>
      </c>
      <c r="Q27" t="inlineStr"/>
    </row>
    <row r="28">
      <c r="A28" t="inlineStr">
        <is>
          <t>AYU WERDHI LAKSANA</t>
        </is>
      </c>
      <c r="B28" t="inlineStr">
        <is>
          <t>Kota Denpasar</t>
        </is>
      </c>
      <c r="C28" t="inlineStr">
        <is>
          <t>08123808259</t>
        </is>
      </c>
      <c r="D28" t="inlineStr">
        <is>
          <t>cvayuwerdhilaksana.44@gmail.com</t>
        </is>
      </c>
      <c r="E28" t="inlineStr">
        <is>
          <t>https://lpjk.pu.go.id/search-badan-usaha-detail/eTFiOTE5R1NJSE50OG4zQ3VvUW81dz09</t>
        </is>
      </c>
      <c r="F28" t="n">
        <v>1</v>
      </c>
      <c r="G28" t="inlineStr">
        <is>
          <t>BG006</t>
        </is>
      </c>
      <c r="H28" t="inlineStr">
        <is>
          <t>22 September 1992</t>
        </is>
      </c>
      <c r="I28" s="2" t="n">
        <v>46264</v>
      </c>
      <c r="J28" t="inlineStr">
        <is>
          <t>Disetujui</t>
        </is>
      </c>
      <c r="K28" t="n">
        <v>60</v>
      </c>
      <c r="L28" t="inlineStr">
        <is>
          <t>30 Agustus 2026</t>
        </is>
      </c>
      <c r="M28" t="inlineStr">
        <is>
          <t>Konstruksi Gedung Pendidikan</t>
        </is>
      </c>
      <c r="N28" t="inlineStr">
        <is>
          <t>K</t>
        </is>
      </c>
      <c r="O28" t="inlineStr">
        <is>
          <t>20230814</t>
        </is>
      </c>
      <c r="P28" t="inlineStr">
        <is>
          <t>Bali</t>
        </is>
      </c>
      <c r="Q28" t="inlineStr"/>
    </row>
    <row r="29">
      <c r="A29" t="inlineStr">
        <is>
          <t>AZKA SAMUDRA ABADI</t>
        </is>
      </c>
      <c r="B29" t="inlineStr">
        <is>
          <t>Kab. Banyuwangi</t>
        </is>
      </c>
      <c r="C29" t="inlineStr">
        <is>
          <t>081357886420</t>
        </is>
      </c>
      <c r="D29" t="inlineStr">
        <is>
          <t>azkasamudraabadicv@gmail.com</t>
        </is>
      </c>
      <c r="E29" t="inlineStr">
        <is>
          <t>https://lpjk.pu.go.id/search-badan-usaha-detail/RnpJa0RVVGVuRjhRSGR5Nlo2Nm4xQT09</t>
        </is>
      </c>
      <c r="F29" t="n">
        <v>5</v>
      </c>
      <c r="G29" t="inlineStr">
        <is>
          <t>BG005, BG006, BG009, BS001, BS004</t>
        </is>
      </c>
      <c r="H29" t="inlineStr">
        <is>
          <t>9 Januari 2023</t>
        </is>
      </c>
      <c r="I29" s="2" t="n">
        <v>46264</v>
      </c>
      <c r="J29" t="inlineStr">
        <is>
          <t>Disetujui</t>
        </is>
      </c>
      <c r="K29" t="n">
        <v>60</v>
      </c>
      <c r="L29" t="inlineStr">
        <is>
          <t>30 Agustus 2026</t>
        </is>
      </c>
      <c r="M29" t="inlineStr">
        <is>
          <t>Konstruksi Bangunan Sipil Jalan, Konstruksi Gedung Kesehatan, Konstruksi Gedung Lainnya, Konstruksi Gedung Pendidikan, Konstruksi Jaringan Irigasi dan Drainase</t>
        </is>
      </c>
      <c r="N29" t="inlineStr">
        <is>
          <t>K</t>
        </is>
      </c>
      <c r="O29" t="inlineStr">
        <is>
          <t>20230829, 20230830</t>
        </is>
      </c>
      <c r="P29" t="inlineStr">
        <is>
          <t>Jawa Timur</t>
        </is>
      </c>
      <c r="Q29" t="inlineStr"/>
    </row>
    <row r="30">
      <c r="A30" t="inlineStr">
        <is>
          <t>BAGOLO RAYA UTAMA</t>
        </is>
      </c>
      <c r="B30" t="inlineStr">
        <is>
          <t>Kab. Pangandaran</t>
        </is>
      </c>
      <c r="C30" t="inlineStr">
        <is>
          <t>08122434712</t>
        </is>
      </c>
      <c r="D30" t="inlineStr">
        <is>
          <t>cv.bagolorayautama77@gmail.com</t>
        </is>
      </c>
      <c r="E30" t="inlineStr">
        <is>
          <t>https://lpjk.pu.go.id/search-badan-usaha-detail/QmR2UjMweS9HSndLd0orbzVOL2FZQT09</t>
        </is>
      </c>
      <c r="F30" t="n">
        <v>1</v>
      </c>
      <c r="G30" t="inlineStr">
        <is>
          <t>BS004</t>
        </is>
      </c>
      <c r="H30" t="inlineStr">
        <is>
          <t>1 November 2010</t>
        </is>
      </c>
      <c r="I30" s="2" t="n">
        <v>46264</v>
      </c>
      <c r="J30" t="inlineStr">
        <is>
          <t>Disetujui</t>
        </is>
      </c>
      <c r="K30" t="n">
        <v>60</v>
      </c>
      <c r="L30" t="inlineStr">
        <is>
          <t>30 Agustus 2026</t>
        </is>
      </c>
      <c r="M30" t="inlineStr">
        <is>
          <t>Konstruksi Jaringan Irigasi dan Drainase</t>
        </is>
      </c>
      <c r="N30" t="inlineStr">
        <is>
          <t>K</t>
        </is>
      </c>
      <c r="O30" t="inlineStr">
        <is>
          <t>20230828</t>
        </is>
      </c>
      <c r="P30" t="inlineStr">
        <is>
          <t>Jawa Barat</t>
        </is>
      </c>
      <c r="Q30" t="inlineStr"/>
    </row>
    <row r="31">
      <c r="A31" t="inlineStr">
        <is>
          <t>BANGUN MULTI GRIYA ABADI</t>
        </is>
      </c>
      <c r="B31" t="inlineStr">
        <is>
          <t>Kota Adm. Jakarta Barat</t>
        </is>
      </c>
      <c r="C31" t="inlineStr">
        <is>
          <t>087875194241</t>
        </is>
      </c>
      <c r="D31" t="inlineStr">
        <is>
          <t>ptbmga@hotmail.com</t>
        </is>
      </c>
      <c r="E31" t="inlineStr">
        <is>
          <t>https://lpjk.pu.go.id/search-badan-usaha-detail/ZjlXQTRRcXBlSlFyQkZsblFWdWNTdz09</t>
        </is>
      </c>
      <c r="F31" t="n">
        <v>2</v>
      </c>
      <c r="G31" t="inlineStr">
        <is>
          <t>BG001</t>
        </is>
      </c>
      <c r="H31" t="inlineStr">
        <is>
          <t>15 Desember 2005</t>
        </is>
      </c>
      <c r="I31" s="2" t="n">
        <v>46264</v>
      </c>
      <c r="J31" t="inlineStr">
        <is>
          <t>Disetujui</t>
        </is>
      </c>
      <c r="K31" t="n">
        <v>60</v>
      </c>
      <c r="L31" t="inlineStr">
        <is>
          <t>30 Agustus 2026</t>
        </is>
      </c>
      <c r="M31" t="inlineStr">
        <is>
          <t>Konstruksi Gedung Hunian</t>
        </is>
      </c>
      <c r="N31" t="inlineStr">
        <is>
          <t>K</t>
        </is>
      </c>
      <c r="O31" t="inlineStr">
        <is>
          <t>20230815</t>
        </is>
      </c>
      <c r="P31" t="inlineStr">
        <is>
          <t>DKI Jakarta</t>
        </is>
      </c>
      <c r="Q31" t="inlineStr"/>
    </row>
    <row r="32">
      <c r="A32" t="inlineStr">
        <is>
          <t>BANUA SAKTI MULIA</t>
        </is>
      </c>
      <c r="B32" t="inlineStr">
        <is>
          <t>Kota Medan</t>
        </is>
      </c>
      <c r="C32" t="inlineStr">
        <is>
          <t>06142082923</t>
        </is>
      </c>
      <c r="D32" t="inlineStr">
        <is>
          <t>ptbanuasaktimulia3@gmail.com</t>
        </is>
      </c>
      <c r="E32" t="inlineStr">
        <is>
          <t>https://lpjk.pu.go.id/search-badan-usaha-detail/b2Y3U1pqMTNCMENxVEpHU0dHRjQ3UT09</t>
        </is>
      </c>
      <c r="F32" t="n">
        <v>1</v>
      </c>
      <c r="G32" t="inlineStr">
        <is>
          <t>BG001</t>
        </is>
      </c>
      <c r="H32" t="inlineStr">
        <is>
          <t>17 Juni 2013</t>
        </is>
      </c>
      <c r="I32" s="2" t="n">
        <v>46264</v>
      </c>
      <c r="J32" t="inlineStr">
        <is>
          <t>Pencabutan</t>
        </is>
      </c>
      <c r="K32" t="n">
        <v>60</v>
      </c>
      <c r="L32" t="inlineStr">
        <is>
          <t>30 Agustus 2026</t>
        </is>
      </c>
      <c r="M32" t="inlineStr">
        <is>
          <t>Konstruksi Gedung Hunian</t>
        </is>
      </c>
      <c r="N32" t="inlineStr">
        <is>
          <t>K</t>
        </is>
      </c>
      <c r="O32" t="inlineStr">
        <is>
          <t>20230828</t>
        </is>
      </c>
      <c r="P32" t="inlineStr">
        <is>
          <t>Sumatera Utara</t>
        </is>
      </c>
      <c r="Q32" t="inlineStr"/>
    </row>
    <row r="33">
      <c r="A33" t="inlineStr">
        <is>
          <t>BARA KARSA INDONESIA</t>
        </is>
      </c>
      <c r="B33" t="inlineStr">
        <is>
          <t>Kota Adm. Jakarta Barat</t>
        </is>
      </c>
      <c r="C33" t="inlineStr">
        <is>
          <t>08114320990</t>
        </is>
      </c>
      <c r="D33" t="inlineStr">
        <is>
          <t>cv.barakarsaindonesia@gmail.com</t>
        </is>
      </c>
      <c r="E33" t="inlineStr">
        <is>
          <t>https://lpjk.pu.go.id/search-badan-usaha-detail/eWxqbVJKU1JibTlvQ2lSOWg5RnlHdz09</t>
        </is>
      </c>
      <c r="F33" t="n">
        <v>6</v>
      </c>
      <c r="G33" t="inlineStr">
        <is>
          <t>BG007, BG008, BG009</t>
        </is>
      </c>
      <c r="H33" t="inlineStr">
        <is>
          <t>5 Mei 2023</t>
        </is>
      </c>
      <c r="I33" s="2" t="n">
        <v>46264</v>
      </c>
      <c r="J33" t="inlineStr">
        <is>
          <t>Disetujui</t>
        </is>
      </c>
      <c r="K33" t="n">
        <v>60</v>
      </c>
      <c r="L33" t="inlineStr">
        <is>
          <t>30 Agustus 2026</t>
        </is>
      </c>
      <c r="M33" t="inlineStr">
        <is>
          <t>Konstruksi Gedung Lainnya, Konstruksi Gedung Penginapan, Konstruksi Gedung Tempat Hiburan dan Olahraga</t>
        </is>
      </c>
      <c r="N33" t="inlineStr">
        <is>
          <t>K</t>
        </is>
      </c>
      <c r="O33" t="inlineStr">
        <is>
          <t>20230831</t>
        </is>
      </c>
      <c r="P33" t="inlineStr">
        <is>
          <t>DKI Jakarta</t>
        </is>
      </c>
      <c r="Q33" t="inlineStr"/>
    </row>
    <row r="34">
      <c r="A34" t="inlineStr">
        <is>
          <t>BASKARA PUTERA</t>
        </is>
      </c>
      <c r="B34" t="inlineStr">
        <is>
          <t>Kota Madiun</t>
        </is>
      </c>
      <c r="C34" t="inlineStr">
        <is>
          <t>08123406001</t>
        </is>
      </c>
      <c r="D34" t="inlineStr">
        <is>
          <t>cv.baskara_putera@yahoo.co.id</t>
        </is>
      </c>
      <c r="E34" t="inlineStr">
        <is>
          <t>https://lpjk.pu.go.id/search-badan-usaha-detail/VkhjRDdUYUhHNDF5VDdvMTVhRVd3UT09</t>
        </is>
      </c>
      <c r="F34" t="n">
        <v>4</v>
      </c>
      <c r="G34" t="inlineStr">
        <is>
          <t>BG002, BG004, BG005, BG006</t>
        </is>
      </c>
      <c r="H34" t="inlineStr">
        <is>
          <t>25 September 1990</t>
        </is>
      </c>
      <c r="I34" s="2" t="n">
        <v>46264</v>
      </c>
      <c r="J34" t="inlineStr">
        <is>
          <t>Disetujui</t>
        </is>
      </c>
      <c r="K34" t="n">
        <v>60</v>
      </c>
      <c r="L34" t="inlineStr">
        <is>
          <t>30 Agustus 2026</t>
        </is>
      </c>
      <c r="M34" t="inlineStr">
        <is>
          <t>Konstruksi Gedung Kesehatan, Konstruksi Gedung Pendidikan, Konstruksi Gedung Perbelanjaan, Konstruksi Gedung Perkantoran</t>
        </is>
      </c>
      <c r="N34" t="inlineStr">
        <is>
          <t>K</t>
        </is>
      </c>
      <c r="O34" t="inlineStr">
        <is>
          <t>20230826</t>
        </is>
      </c>
      <c r="P34" t="inlineStr">
        <is>
          <t>Jawa Timur</t>
        </is>
      </c>
      <c r="Q34" t="inlineStr"/>
    </row>
    <row r="35">
      <c r="A35" t="inlineStr">
        <is>
          <t>BATARA ALTHAR JAYA</t>
        </is>
      </c>
      <c r="B35" t="inlineStr">
        <is>
          <t>Kab. Kubu Raya</t>
        </is>
      </c>
      <c r="C35" t="inlineStr">
        <is>
          <t>085252079794</t>
        </is>
      </c>
      <c r="D35" t="inlineStr">
        <is>
          <t>bataraaltarjaya7@gmail.com</t>
        </is>
      </c>
      <c r="E35" t="inlineStr">
        <is>
          <t>https://lpjk.pu.go.id/search-badan-usaha-detail/WUx0UjdtMS9oT3JNK1lQbDFDM3hwUT09</t>
        </is>
      </c>
      <c r="F35" t="n">
        <v>1</v>
      </c>
      <c r="G35" t="inlineStr">
        <is>
          <t>BS005</t>
        </is>
      </c>
      <c r="H35" t="inlineStr">
        <is>
          <t>2 April 2007</t>
        </is>
      </c>
      <c r="I35" s="2" t="n">
        <v>46264</v>
      </c>
      <c r="J35" t="inlineStr">
        <is>
          <t>Disetujui</t>
        </is>
      </c>
      <c r="K35" t="n">
        <v>60</v>
      </c>
      <c r="L35" t="inlineStr">
        <is>
          <t>30 Agustus 2026</t>
        </is>
      </c>
      <c r="M35" t="inlineStr">
        <is>
          <t>Konstruksi Bangunan Sipil Pengolahan Air Bersih</t>
        </is>
      </c>
      <c r="N35" t="inlineStr">
        <is>
          <t>K</t>
        </is>
      </c>
      <c r="O35" t="inlineStr">
        <is>
          <t>20230828</t>
        </is>
      </c>
      <c r="P35" t="inlineStr">
        <is>
          <t>Kalimantan Barat</t>
        </is>
      </c>
      <c r="Q35" t="inlineStr"/>
    </row>
    <row r="36">
      <c r="A36" t="inlineStr">
        <is>
          <t>BAYU PASUPATI</t>
        </is>
      </c>
      <c r="B36" t="inlineStr">
        <is>
          <t>Kota Denpasar</t>
        </is>
      </c>
      <c r="C36" t="inlineStr">
        <is>
          <t>0811394348</t>
        </is>
      </c>
      <c r="D36" t="inlineStr">
        <is>
          <t>sawiram@yahoo.com</t>
        </is>
      </c>
      <c r="E36" t="inlineStr">
        <is>
          <t>https://lpjk.pu.go.id/search-badan-usaha-detail/SzZMTEMrVDA2dmp4aVRUblBtUk9iQT09</t>
        </is>
      </c>
      <c r="F36" t="n">
        <v>2</v>
      </c>
      <c r="G36" t="inlineStr">
        <is>
          <t>BG001, BG009</t>
        </is>
      </c>
      <c r="H36" t="inlineStr">
        <is>
          <t>28 September 2000</t>
        </is>
      </c>
      <c r="I36" s="2" t="n">
        <v>46264</v>
      </c>
      <c r="J36" t="inlineStr">
        <is>
          <t>Disetujui</t>
        </is>
      </c>
      <c r="K36" t="n">
        <v>60</v>
      </c>
      <c r="L36" t="inlineStr">
        <is>
          <t>30 Agustus 2026</t>
        </is>
      </c>
      <c r="M36" t="inlineStr">
        <is>
          <t>Konstruksi Gedung Hunian, Konstruksi Gedung Lainnya</t>
        </is>
      </c>
      <c r="N36" t="inlineStr">
        <is>
          <t>K</t>
        </is>
      </c>
      <c r="O36" t="inlineStr">
        <is>
          <t>20230816</t>
        </is>
      </c>
      <c r="P36" t="inlineStr">
        <is>
          <t>Bali</t>
        </is>
      </c>
      <c r="Q36" t="inlineStr"/>
    </row>
    <row r="37">
      <c r="A37" t="inlineStr">
        <is>
          <t>BAYU TUNGGAL RAYA</t>
        </is>
      </c>
      <c r="B37" t="inlineStr">
        <is>
          <t>Kab. Wonosobo</t>
        </is>
      </c>
      <c r="C37" t="inlineStr">
        <is>
          <t>081215964333</t>
        </is>
      </c>
      <c r="D37" t="inlineStr">
        <is>
          <t>bayutunggalraya@gmail.com</t>
        </is>
      </c>
      <c r="E37" t="inlineStr">
        <is>
          <t>https://lpjk.pu.go.id/search-badan-usaha-detail/cDFoUDNtaFkvd3FVNUk4Rkhqb3l2dz09</t>
        </is>
      </c>
      <c r="F37" t="n">
        <v>1</v>
      </c>
      <c r="G37" t="inlineStr">
        <is>
          <t>BG009</t>
        </is>
      </c>
      <c r="H37" t="inlineStr">
        <is>
          <t>10 Juli 2020</t>
        </is>
      </c>
      <c r="I37" s="2" t="n">
        <v>46264</v>
      </c>
      <c r="J37" t="inlineStr">
        <is>
          <t>Disetujui</t>
        </is>
      </c>
      <c r="K37" t="n">
        <v>60</v>
      </c>
      <c r="L37" t="inlineStr">
        <is>
          <t>30 Agustus 2026</t>
        </is>
      </c>
      <c r="M37" t="inlineStr">
        <is>
          <t>Konstruksi Gedung Lainnya</t>
        </is>
      </c>
      <c r="N37" t="inlineStr">
        <is>
          <t>K</t>
        </is>
      </c>
      <c r="O37" t="inlineStr">
        <is>
          <t>20230829</t>
        </is>
      </c>
      <c r="P37" t="inlineStr">
        <is>
          <t>Jawa Tengah</t>
        </is>
      </c>
      <c r="Q37" t="inlineStr"/>
    </row>
    <row r="38">
      <c r="A38" t="inlineStr">
        <is>
          <t>BELLA DINAMIKA PRIMA</t>
        </is>
      </c>
      <c r="B38" t="inlineStr">
        <is>
          <t>Kota Tarakan</t>
        </is>
      </c>
      <c r="C38" t="inlineStr">
        <is>
          <t>081255564212</t>
        </is>
      </c>
      <c r="D38" t="inlineStr">
        <is>
          <t>estherpaberang@gmail.com</t>
        </is>
      </c>
      <c r="E38" t="inlineStr">
        <is>
          <t>https://lpjk.pu.go.id/search-badan-usaha-detail/NGExaDgxcDdwOUlUeGJVOTQrMWVWZz09</t>
        </is>
      </c>
      <c r="F38" t="n">
        <v>1</v>
      </c>
      <c r="G38" t="inlineStr">
        <is>
          <t>BS004</t>
        </is>
      </c>
      <c r="H38" t="inlineStr">
        <is>
          <t>14 Maret 2023</t>
        </is>
      </c>
      <c r="I38" s="2" t="n">
        <v>46264</v>
      </c>
      <c r="J38" t="inlineStr">
        <is>
          <t>Disetujui</t>
        </is>
      </c>
      <c r="K38" t="n">
        <v>60</v>
      </c>
      <c r="L38" t="inlineStr">
        <is>
          <t>30 Agustus 2026</t>
        </is>
      </c>
      <c r="M38" t="inlineStr">
        <is>
          <t>Konstruksi Jaringan Irigasi dan Drainase</t>
        </is>
      </c>
      <c r="N38" t="inlineStr">
        <is>
          <t>K</t>
        </is>
      </c>
      <c r="O38" t="inlineStr">
        <is>
          <t>20230825</t>
        </is>
      </c>
      <c r="P38" t="inlineStr">
        <is>
          <t>Kalimantan Utara</t>
        </is>
      </c>
      <c r="Q38" t="inlineStr"/>
    </row>
    <row r="39">
      <c r="A39" t="inlineStr">
        <is>
          <t>BENUA KHATULISTIWA</t>
        </is>
      </c>
      <c r="B39" t="inlineStr">
        <is>
          <t>Kab. Kutai Timur</t>
        </is>
      </c>
      <c r="C39" t="inlineStr">
        <is>
          <t>081936582428</t>
        </is>
      </c>
      <c r="D39" t="inlineStr">
        <is>
          <t>benuakhatulistiwa1111@gmail.com</t>
        </is>
      </c>
      <c r="E39" t="inlineStr">
        <is>
          <t>https://lpjk.pu.go.id/search-badan-usaha-detail/MytJaXZrU1pHMk4zTml6TjZDSXZEUT09</t>
        </is>
      </c>
      <c r="F39" t="n">
        <v>7</v>
      </c>
      <c r="G39" t="inlineStr">
        <is>
          <t>BG001, BG002, BG005, BG006, BG009, BS001, BS004</t>
        </is>
      </c>
      <c r="H39" t="inlineStr">
        <is>
          <t>28 Januari 2020</t>
        </is>
      </c>
      <c r="I39" s="2" t="n">
        <v>46264</v>
      </c>
      <c r="J39" t="inlineStr">
        <is>
          <t>Disetujui</t>
        </is>
      </c>
      <c r="K39" t="n">
        <v>60</v>
      </c>
      <c r="L39" t="inlineStr">
        <is>
          <t>30 Agustus 2026</t>
        </is>
      </c>
      <c r="M39" t="inlineStr">
        <is>
          <t>Konstruksi Bangunan Sipil Jalan, Konstruksi Gedung Hunian, Konstruksi Gedung Kesehatan, Konstruksi Gedung Lainnya, Konstruksi Gedung Pendidikan, Konstruksi Gedung Perkantoran, Konstruksi Jaringan Irigasi dan Drainase</t>
        </is>
      </c>
      <c r="N39" t="inlineStr">
        <is>
          <t>K</t>
        </is>
      </c>
      <c r="O39" t="inlineStr">
        <is>
          <t>20230826</t>
        </is>
      </c>
      <c r="P39" t="inlineStr">
        <is>
          <t>Kalimantan Timur</t>
        </is>
      </c>
      <c r="Q39" t="inlineStr"/>
    </row>
    <row r="40">
      <c r="A40" t="inlineStr">
        <is>
          <t>BINTANG ARTHA MAKMUR</t>
        </is>
      </c>
      <c r="B40" t="inlineStr">
        <is>
          <t>Kab. Nabire</t>
        </is>
      </c>
      <c r="C40" t="inlineStr">
        <is>
          <t>081240299952</t>
        </is>
      </c>
      <c r="D40" t="inlineStr">
        <is>
          <t>makmurbintangartha@gmail.com</t>
        </is>
      </c>
      <c r="E40" t="inlineStr">
        <is>
          <t>https://lpjk.pu.go.id/search-badan-usaha-detail/NnlqY0FDRndnazRiTmpDNTVLbjY4Zz09</t>
        </is>
      </c>
      <c r="F40" t="n">
        <v>2</v>
      </c>
      <c r="G40" t="inlineStr">
        <is>
          <t>BG009</t>
        </is>
      </c>
      <c r="H40" t="inlineStr">
        <is>
          <t>5 Agustus 2022</t>
        </is>
      </c>
      <c r="I40" s="2" t="n">
        <v>46264</v>
      </c>
      <c r="J40" t="inlineStr">
        <is>
          <t>Pencabutan</t>
        </is>
      </c>
      <c r="K40" t="n">
        <v>60</v>
      </c>
      <c r="L40" t="inlineStr">
        <is>
          <t>30 Agustus 2026</t>
        </is>
      </c>
      <c r="M40" t="inlineStr">
        <is>
          <t>Konstruksi Gedung Lainnya</t>
        </is>
      </c>
      <c r="N40" t="inlineStr">
        <is>
          <t>K</t>
        </is>
      </c>
      <c r="O40" t="inlineStr">
        <is>
          <t>20230830</t>
        </is>
      </c>
      <c r="P40" t="inlineStr">
        <is>
          <t>Papua</t>
        </is>
      </c>
      <c r="Q40" t="inlineStr"/>
    </row>
    <row r="41">
      <c r="A41" t="inlineStr">
        <is>
          <t>BINTANG INDONESIA TIMUR</t>
        </is>
      </c>
      <c r="B41" t="inlineStr">
        <is>
          <t>Kab. Nabire</t>
        </is>
      </c>
      <c r="C41" t="inlineStr">
        <is>
          <t>085289644446</t>
        </is>
      </c>
      <c r="D41" t="inlineStr">
        <is>
          <t>pt.bintang.indonesia.timur20@gmail.com</t>
        </is>
      </c>
      <c r="E41" t="inlineStr">
        <is>
          <t>https://lpjk.pu.go.id/search-badan-usaha-detail/aU9nR2ZRcE85dHRudEdHdCtRa0w2dz09</t>
        </is>
      </c>
      <c r="F41" t="n">
        <v>4</v>
      </c>
      <c r="G41" t="inlineStr">
        <is>
          <t>BS001, BS002</t>
        </is>
      </c>
      <c r="H41" t="inlineStr">
        <is>
          <t>26 November 2015</t>
        </is>
      </c>
      <c r="I41" s="2" t="n">
        <v>46264</v>
      </c>
      <c r="J41" t="inlineStr">
        <is>
          <t>Disetujui</t>
        </is>
      </c>
      <c r="K41" t="n">
        <v>60</v>
      </c>
      <c r="L41" t="inlineStr">
        <is>
          <t>30 Agustus 2026</t>
        </is>
      </c>
      <c r="M41" t="inlineStr">
        <is>
          <t>Bangunan Sipil Jembatan, Jalan Layang, Fly Over, dan Underpass, Konstruksi Bangunan Sipil Jalan</t>
        </is>
      </c>
      <c r="N41" t="inlineStr">
        <is>
          <t>B, M</t>
        </is>
      </c>
      <c r="O41" t="inlineStr">
        <is>
          <t>20230830</t>
        </is>
      </c>
      <c r="P41" t="inlineStr">
        <is>
          <t>Papua</t>
        </is>
      </c>
      <c r="Q41" t="inlineStr"/>
    </row>
    <row r="42">
      <c r="A42" t="inlineStr">
        <is>
          <t>BINTANG PERKASA</t>
        </is>
      </c>
      <c r="B42" t="inlineStr">
        <is>
          <t>Kab. Kolaka Utara</t>
        </is>
      </c>
      <c r="C42" t="inlineStr">
        <is>
          <t>82187638907</t>
        </is>
      </c>
      <c r="D42" t="inlineStr">
        <is>
          <t>bintangperkasa196@gmail.com</t>
        </is>
      </c>
      <c r="E42" t="inlineStr">
        <is>
          <t>https://lpjk.pu.go.id/search-badan-usaha-detail/aC9wTmVuM251eXU5NGthUU1HazVKdz09</t>
        </is>
      </c>
      <c r="F42" t="n">
        <v>2</v>
      </c>
      <c r="G42" t="inlineStr">
        <is>
          <t>BS001</t>
        </is>
      </c>
      <c r="H42" t="inlineStr">
        <is>
          <t>29 Desember 2021</t>
        </is>
      </c>
      <c r="I42" s="2" t="n">
        <v>46264</v>
      </c>
      <c r="J42" t="inlineStr">
        <is>
          <t>Pencabutan</t>
        </is>
      </c>
      <c r="K42" t="n">
        <v>60</v>
      </c>
      <c r="L42" t="inlineStr">
        <is>
          <t>30 Agustus 2026</t>
        </is>
      </c>
      <c r="M42" t="inlineStr">
        <is>
          <t>Konstruksi Bangunan Sipil Jalan</t>
        </is>
      </c>
      <c r="N42" t="inlineStr">
        <is>
          <t>K</t>
        </is>
      </c>
      <c r="O42" t="inlineStr">
        <is>
          <t>20230825</t>
        </is>
      </c>
      <c r="P42" t="inlineStr">
        <is>
          <t>Sulawesi Tenggara</t>
        </is>
      </c>
      <c r="Q42" t="inlineStr"/>
    </row>
    <row r="43">
      <c r="A43" t="inlineStr">
        <is>
          <t>BINTANG SAMUDERA ABADI</t>
        </is>
      </c>
      <c r="B43" t="inlineStr">
        <is>
          <t>Kab. Belitung Timur</t>
        </is>
      </c>
      <c r="C43" t="inlineStr">
        <is>
          <t>081929744442</t>
        </is>
      </c>
      <c r="D43" t="inlineStr">
        <is>
          <t>cv.bintangsamuderaabadi@yahoo.co.id</t>
        </is>
      </c>
      <c r="E43" t="inlineStr">
        <is>
          <t>https://lpjk.pu.go.id/search-badan-usaha-detail/VzhuRFhYM1E0dktGOE5HYlhaZkhwdz09</t>
        </is>
      </c>
      <c r="F43" t="n">
        <v>2</v>
      </c>
      <c r="G43" t="inlineStr">
        <is>
          <t>BG005</t>
        </is>
      </c>
      <c r="H43" t="inlineStr">
        <is>
          <t>4 Desember 2014</t>
        </is>
      </c>
      <c r="I43" s="2" t="n">
        <v>46264</v>
      </c>
      <c r="J43" t="inlineStr">
        <is>
          <t>Disetujui</t>
        </is>
      </c>
      <c r="K43" t="n">
        <v>60</v>
      </c>
      <c r="L43" t="inlineStr">
        <is>
          <t>30 Agustus 2026</t>
        </is>
      </c>
      <c r="M43" t="inlineStr">
        <is>
          <t>Konstruksi Gedung Kesehatan</t>
        </is>
      </c>
      <c r="N43" t="inlineStr">
        <is>
          <t>K</t>
        </is>
      </c>
      <c r="O43" t="inlineStr">
        <is>
          <t>20230803</t>
        </is>
      </c>
      <c r="P43" t="inlineStr">
        <is>
          <t>Kepulauan Bangka Belitung</t>
        </is>
      </c>
      <c r="Q43" t="inlineStr"/>
    </row>
    <row r="44">
      <c r="A44" t="inlineStr">
        <is>
          <t>BORNEO JAYA SAKTI</t>
        </is>
      </c>
      <c r="B44" t="inlineStr">
        <is>
          <t>Kab. Nganjuk</t>
        </is>
      </c>
      <c r="C44" t="inlineStr">
        <is>
          <t>0358330345</t>
        </is>
      </c>
      <c r="D44" t="inlineStr">
        <is>
          <t>borneopt673@gmail.com</t>
        </is>
      </c>
      <c r="E44" t="inlineStr">
        <is>
          <t>https://lpjk.pu.go.id/search-badan-usaha-detail/VmtTSXM3eUdST1BMUHE5N3RFRWlxZz09</t>
        </is>
      </c>
      <c r="F44" t="n">
        <v>1</v>
      </c>
      <c r="G44" t="inlineStr">
        <is>
          <t>BS002</t>
        </is>
      </c>
      <c r="H44" t="inlineStr">
        <is>
          <t>9 November 2009</t>
        </is>
      </c>
      <c r="I44" s="2" t="n">
        <v>46264</v>
      </c>
      <c r="J44" t="inlineStr">
        <is>
          <t>Disetujui</t>
        </is>
      </c>
      <c r="K44" t="n">
        <v>60</v>
      </c>
      <c r="L44" t="inlineStr">
        <is>
          <t>30 Agustus 2026</t>
        </is>
      </c>
      <c r="M44" t="inlineStr">
        <is>
          <t>Bangunan Sipil Jembatan, Jalan Layang, Fly Over, dan Underpass</t>
        </is>
      </c>
      <c r="N44" t="inlineStr">
        <is>
          <t>M</t>
        </is>
      </c>
      <c r="O44" t="inlineStr">
        <is>
          <t>20230830</t>
        </is>
      </c>
      <c r="P44" t="inlineStr">
        <is>
          <t>Jawa Timur</t>
        </is>
      </c>
      <c r="Q44" t="inlineStr"/>
    </row>
    <row r="45">
      <c r="A45" t="inlineStr">
        <is>
          <t>BORNEO TARIGAS</t>
        </is>
      </c>
      <c r="B45" t="inlineStr">
        <is>
          <t>Kota Singkawang</t>
        </is>
      </c>
      <c r="C45" t="inlineStr">
        <is>
          <t>081280939117</t>
        </is>
      </c>
      <c r="D45" t="inlineStr">
        <is>
          <t>cvborneotarigas@gmail.com</t>
        </is>
      </c>
      <c r="E45" t="inlineStr">
        <is>
          <t>https://lpjk.pu.go.id/search-badan-usaha-detail/ejBoa3Yza2tEeGVsOGp3RmFkaFRrUT09</t>
        </is>
      </c>
      <c r="F45" t="n">
        <v>3</v>
      </c>
      <c r="G45" t="inlineStr">
        <is>
          <t>BG006</t>
        </is>
      </c>
      <c r="H45" t="inlineStr">
        <is>
          <t>10 Februari 2017</t>
        </is>
      </c>
      <c r="I45" s="2" t="n">
        <v>46264</v>
      </c>
      <c r="J45" t="inlineStr">
        <is>
          <t>Disetujui</t>
        </is>
      </c>
      <c r="K45" t="n">
        <v>60</v>
      </c>
      <c r="L45" t="inlineStr">
        <is>
          <t>30 Agustus 2026</t>
        </is>
      </c>
      <c r="M45" t="inlineStr">
        <is>
          <t>Konstruksi Gedung Pendidikan</t>
        </is>
      </c>
      <c r="N45" t="inlineStr">
        <is>
          <t>K</t>
        </is>
      </c>
      <c r="O45" t="inlineStr">
        <is>
          <t>20230828</t>
        </is>
      </c>
      <c r="P45" t="inlineStr">
        <is>
          <t>Kalimantan Barat</t>
        </is>
      </c>
      <c r="Q45" t="inlineStr"/>
    </row>
    <row r="46">
      <c r="A46" t="inlineStr">
        <is>
          <t>BRILLIANT BISNIS CENTRE</t>
        </is>
      </c>
      <c r="B46" t="inlineStr">
        <is>
          <t>Kab. Pasaman</t>
        </is>
      </c>
      <c r="C46" t="inlineStr">
        <is>
          <t>082268819726</t>
        </is>
      </c>
      <c r="D46" t="inlineStr">
        <is>
          <t>cvbisnisbangunankonstruksi@gmail.com</t>
        </is>
      </c>
      <c r="E46" t="inlineStr">
        <is>
          <t>https://lpjk.pu.go.id/search-badan-usaha-detail/cE1HUmozTnIzOGFPaThVKzhDbXg3UT09</t>
        </is>
      </c>
      <c r="F46" t="n">
        <v>1</v>
      </c>
      <c r="G46" t="inlineStr">
        <is>
          <t>BG008</t>
        </is>
      </c>
      <c r="H46" t="inlineStr">
        <is>
          <t>18 Agustus 2014</t>
        </is>
      </c>
      <c r="I46" s="2" t="n">
        <v>46264</v>
      </c>
      <c r="J46" t="inlineStr">
        <is>
          <t>Pencabutan</t>
        </is>
      </c>
      <c r="K46" t="n">
        <v>60</v>
      </c>
      <c r="L46" t="inlineStr">
        <is>
          <t>30 Agustus 2026</t>
        </is>
      </c>
      <c r="M46" t="inlineStr">
        <is>
          <t>Konstruksi Gedung Tempat Hiburan dan Olahraga</t>
        </is>
      </c>
      <c r="N46" t="inlineStr">
        <is>
          <t>K</t>
        </is>
      </c>
      <c r="O46" t="inlineStr">
        <is>
          <t>20230831</t>
        </is>
      </c>
      <c r="P46" t="inlineStr">
        <is>
          <t>Sumatera Barat</t>
        </is>
      </c>
      <c r="Q46" t="inlineStr"/>
    </row>
    <row r="47">
      <c r="A47" t="inlineStr">
        <is>
          <t>BUDI AGUNG</t>
        </is>
      </c>
      <c r="B47" t="inlineStr">
        <is>
          <t>Kab. Blitar</t>
        </is>
      </c>
      <c r="C47" t="inlineStr">
        <is>
          <t>082211122132</t>
        </is>
      </c>
      <c r="D47" t="inlineStr">
        <is>
          <t>budisantoso.be14@yahoo.co.id</t>
        </is>
      </c>
      <c r="E47" t="inlineStr">
        <is>
          <t>https://lpjk.pu.go.id/search-badan-usaha-detail/Rm9HYVcwRlM3NmJaTm5Db2o2UER6UT09</t>
        </is>
      </c>
      <c r="F47" t="n">
        <v>2</v>
      </c>
      <c r="G47" t="inlineStr">
        <is>
          <t>BG006, BS010</t>
        </is>
      </c>
      <c r="H47" t="inlineStr">
        <is>
          <t>20 Desember 1985</t>
        </is>
      </c>
      <c r="I47" s="2" t="n">
        <v>46264</v>
      </c>
      <c r="J47" t="inlineStr">
        <is>
          <t>Disetujui</t>
        </is>
      </c>
      <c r="K47" t="n">
        <v>60</v>
      </c>
      <c r="L47" t="inlineStr">
        <is>
          <t>30 Agustus 2026</t>
        </is>
      </c>
      <c r="M47" t="inlineStr">
        <is>
          <t>Konstruksi Bangunan Prasarana Sumber Daya Air, Konstruksi Gedung Pendidikan</t>
        </is>
      </c>
      <c r="N47" t="inlineStr">
        <is>
          <t>K</t>
        </is>
      </c>
      <c r="O47" t="inlineStr">
        <is>
          <t>20230825, 20230826</t>
        </is>
      </c>
      <c r="P47" t="inlineStr">
        <is>
          <t>Jawa Timur</t>
        </is>
      </c>
      <c r="Q47" t="inlineStr"/>
    </row>
    <row r="48">
      <c r="A48" t="inlineStr">
        <is>
          <t>BUMI ABADI</t>
        </is>
      </c>
      <c r="B48" t="inlineStr">
        <is>
          <t>Kota Palembang</t>
        </is>
      </c>
      <c r="C48" t="inlineStr">
        <is>
          <t>083844155972</t>
        </is>
      </c>
      <c r="D48" t="inlineStr">
        <is>
          <t>cvbumiabdi@gmail.com</t>
        </is>
      </c>
      <c r="E48" t="inlineStr">
        <is>
          <t>https://lpjk.pu.go.id/search-badan-usaha-detail/KzIwUDFXcVhPaU0rM09xdHVLLzZkZz09</t>
        </is>
      </c>
      <c r="F48" t="n">
        <v>1</v>
      </c>
      <c r="G48" t="inlineStr">
        <is>
          <t>BG009</t>
        </is>
      </c>
      <c r="H48" t="inlineStr">
        <is>
          <t>18 Agustus 2016</t>
        </is>
      </c>
      <c r="I48" s="2" t="n">
        <v>46264</v>
      </c>
      <c r="J48" t="inlineStr">
        <is>
          <t>Disetujui</t>
        </is>
      </c>
      <c r="K48" t="n">
        <v>60</v>
      </c>
      <c r="L48" t="inlineStr">
        <is>
          <t>30 Agustus 2026</t>
        </is>
      </c>
      <c r="M48" t="inlineStr">
        <is>
          <t>Konstruksi Gedung Lainnya</t>
        </is>
      </c>
      <c r="N48" t="inlineStr">
        <is>
          <t>K</t>
        </is>
      </c>
      <c r="O48" t="inlineStr">
        <is>
          <t>20230816</t>
        </is>
      </c>
      <c r="P48" t="inlineStr">
        <is>
          <t>Sumatera Selatan</t>
        </is>
      </c>
      <c r="Q48" t="inlineStr"/>
    </row>
    <row r="49">
      <c r="A49" t="inlineStr">
        <is>
          <t>BUMI KAIMANA KONSTRUKSI</t>
        </is>
      </c>
      <c r="B49" t="inlineStr">
        <is>
          <t>Kab. Kaimana</t>
        </is>
      </c>
      <c r="C49" t="inlineStr">
        <is>
          <t>082238164886</t>
        </is>
      </c>
      <c r="D49" t="inlineStr">
        <is>
          <t>bumikaimanakonstruksi2023@gmail.com</t>
        </is>
      </c>
      <c r="E49" t="inlineStr">
        <is>
          <t>https://lpjk.pu.go.id/search-badan-usaha-detail/S05yTnQ1eEFPd1QwVG03bnVLTnNTQT09</t>
        </is>
      </c>
      <c r="F49" t="n">
        <v>5</v>
      </c>
      <c r="G49" t="inlineStr">
        <is>
          <t>BG001, BG002, BG005, BG006, BG009</t>
        </is>
      </c>
      <c r="H49" t="inlineStr">
        <is>
          <t>15 Februari 2023</t>
        </is>
      </c>
      <c r="I49" s="2" t="n">
        <v>46264</v>
      </c>
      <c r="J49" t="inlineStr">
        <is>
          <t>Disetujui</t>
        </is>
      </c>
      <c r="K49" t="n">
        <v>60</v>
      </c>
      <c r="L49" t="inlineStr">
        <is>
          <t>30 Agustus 2026</t>
        </is>
      </c>
      <c r="M49" t="inlineStr">
        <is>
          <t>Konstruksi Gedung Hunian, Konstruksi Gedung Kesehatan, Konstruksi Gedung Lainnya, Konstruksi Gedung Pendidikan, Konstruksi Gedung Perkantoran</t>
        </is>
      </c>
      <c r="N49" t="inlineStr">
        <is>
          <t>K</t>
        </is>
      </c>
      <c r="O49" t="inlineStr">
        <is>
          <t>20230828</t>
        </is>
      </c>
      <c r="P49" t="inlineStr">
        <is>
          <t>Papua Barat</t>
        </is>
      </c>
      <c r="Q49" t="inlineStr"/>
    </row>
    <row r="50">
      <c r="A50" t="inlineStr">
        <is>
          <t>BUMI PERKASA PRATAMA</t>
        </is>
      </c>
      <c r="B50" t="inlineStr">
        <is>
          <t>Kota Pangkal Pinang</t>
        </is>
      </c>
      <c r="C50" t="inlineStr">
        <is>
          <t>07174261150</t>
        </is>
      </c>
      <c r="D50" t="inlineStr">
        <is>
          <t>bpp.office98@gmail.com</t>
        </is>
      </c>
      <c r="E50" t="inlineStr">
        <is>
          <t>https://lpjk.pu.go.id/search-badan-usaha-detail/ZFFOb2g2NUNiQTYzQ00xS2dtUWtaUT09</t>
        </is>
      </c>
      <c r="F50" t="n">
        <v>1</v>
      </c>
      <c r="G50" t="inlineStr">
        <is>
          <t>BG004</t>
        </is>
      </c>
      <c r="H50" t="inlineStr">
        <is>
          <t>6 Desember 2007</t>
        </is>
      </c>
      <c r="I50" s="2" t="n">
        <v>46264</v>
      </c>
      <c r="J50" t="inlineStr">
        <is>
          <t>Disetujui</t>
        </is>
      </c>
      <c r="K50" t="n">
        <v>60</v>
      </c>
      <c r="L50" t="inlineStr">
        <is>
          <t>30 Agustus 2026</t>
        </is>
      </c>
      <c r="M50" t="inlineStr">
        <is>
          <t>Konstruksi Gedung Perbelanjaan</t>
        </is>
      </c>
      <c r="N50" t="inlineStr">
        <is>
          <t>K</t>
        </is>
      </c>
      <c r="O50" t="inlineStr">
        <is>
          <t>20230714</t>
        </is>
      </c>
      <c r="P50" t="inlineStr">
        <is>
          <t>Kepulauan Bangka Belitung</t>
        </is>
      </c>
      <c r="Q50" t="inlineStr"/>
    </row>
    <row r="51">
      <c r="A51" t="inlineStr">
        <is>
          <t>CHARISMA MAESTRO INDONESIA</t>
        </is>
      </c>
      <c r="B51" t="inlineStr">
        <is>
          <t>Kota Tangerang</t>
        </is>
      </c>
      <c r="C51" t="inlineStr">
        <is>
          <t>087771198578</t>
        </is>
      </c>
      <c r="D51" t="inlineStr">
        <is>
          <t>pt.charismamaestro@gmail.com</t>
        </is>
      </c>
      <c r="E51" t="inlineStr">
        <is>
          <t>https://lpjk.pu.go.id/search-badan-usaha-detail/ZXhWUW5HbW5YZ0xBSEo5MmkrMXJLUT09</t>
        </is>
      </c>
      <c r="F51" t="n">
        <v>1</v>
      </c>
      <c r="G51" t="inlineStr">
        <is>
          <t>BG008</t>
        </is>
      </c>
      <c r="H51" t="inlineStr">
        <is>
          <t>18 Desember 2019</t>
        </is>
      </c>
      <c r="I51" s="2" t="n">
        <v>46264</v>
      </c>
      <c r="J51" t="inlineStr">
        <is>
          <t>Pencabutan</t>
        </is>
      </c>
      <c r="K51" t="n">
        <v>60</v>
      </c>
      <c r="L51" t="inlineStr">
        <is>
          <t>30 Agustus 2026</t>
        </is>
      </c>
      <c r="M51" t="inlineStr">
        <is>
          <t>Konstruksi Gedung Tempat Hiburan dan Olahraga</t>
        </is>
      </c>
      <c r="N51" t="inlineStr">
        <is>
          <t>K</t>
        </is>
      </c>
      <c r="O51" t="inlineStr">
        <is>
          <t>20230831</t>
        </is>
      </c>
      <c r="P51" t="inlineStr">
        <is>
          <t>Banten</t>
        </is>
      </c>
      <c r="Q51" t="inlineStr"/>
    </row>
    <row r="52">
      <c r="A52" t="inlineStr">
        <is>
          <t>CIPTA BANGUN ABADI</t>
        </is>
      </c>
      <c r="B52" t="inlineStr">
        <is>
          <t>Kota Pekanbaru</t>
        </is>
      </c>
      <c r="C52" t="inlineStr">
        <is>
          <t>081268332225</t>
        </is>
      </c>
      <c r="D52" t="inlineStr">
        <is>
          <t>pt.ciptabangunabadi@gmail.com</t>
        </is>
      </c>
      <c r="E52" t="inlineStr">
        <is>
          <t>https://lpjk.pu.go.id/search-badan-usaha-detail/dm5rWGZlYTNJTCtuMDZzUWV4UTRzZz09</t>
        </is>
      </c>
      <c r="F52" t="n">
        <v>2</v>
      </c>
      <c r="G52" t="inlineStr">
        <is>
          <t>BS001</t>
        </is>
      </c>
      <c r="H52" t="inlineStr">
        <is>
          <t>24 Oktober 2001</t>
        </is>
      </c>
      <c r="I52" s="2" t="n">
        <v>46264</v>
      </c>
      <c r="J52" t="inlineStr">
        <is>
          <t>Disetujui</t>
        </is>
      </c>
      <c r="K52" t="n">
        <v>60</v>
      </c>
      <c r="L52" t="inlineStr">
        <is>
          <t>30 Agustus 2026</t>
        </is>
      </c>
      <c r="M52" t="inlineStr">
        <is>
          <t>Konstruksi Bangunan Sipil Jalan</t>
        </is>
      </c>
      <c r="N52" t="inlineStr">
        <is>
          <t>B</t>
        </is>
      </c>
      <c r="O52" t="inlineStr">
        <is>
          <t>20230825</t>
        </is>
      </c>
      <c r="P52" t="inlineStr">
        <is>
          <t>Riau</t>
        </is>
      </c>
      <c r="Q52" t="inlineStr"/>
    </row>
    <row r="53">
      <c r="A53" t="inlineStr">
        <is>
          <t>CIPTA DINATA KARYA</t>
        </is>
      </c>
      <c r="B53" t="inlineStr">
        <is>
          <t>Kab. Jembrana</t>
        </is>
      </c>
      <c r="C53" t="inlineStr">
        <is>
          <t>036542351</t>
        </is>
      </c>
      <c r="D53" t="inlineStr">
        <is>
          <t>ciptadinatakarya@yahoo.com</t>
        </is>
      </c>
      <c r="E53" t="inlineStr">
        <is>
          <t>https://lpjk.pu.go.id/search-badan-usaha-detail/NnIzdUcxQTM2bDdVNnJ4a3hIckE1UT09</t>
        </is>
      </c>
      <c r="F53" t="n">
        <v>2</v>
      </c>
      <c r="G53" t="inlineStr">
        <is>
          <t>BG005, BG006</t>
        </is>
      </c>
      <c r="H53" t="inlineStr">
        <is>
          <t>3 Februari 2003</t>
        </is>
      </c>
      <c r="I53" s="2" t="n">
        <v>46264</v>
      </c>
      <c r="J53" t="inlineStr">
        <is>
          <t>Disetujui</t>
        </is>
      </c>
      <c r="K53" t="n">
        <v>60</v>
      </c>
      <c r="L53" t="inlineStr">
        <is>
          <t>30 Agustus 2026</t>
        </is>
      </c>
      <c r="M53" t="inlineStr">
        <is>
          <t>Konstruksi Gedung Kesehatan, Konstruksi Gedung Pendidikan</t>
        </is>
      </c>
      <c r="N53" t="inlineStr">
        <is>
          <t>K</t>
        </is>
      </c>
      <c r="O53" t="inlineStr">
        <is>
          <t>20230704, 20230823</t>
        </is>
      </c>
      <c r="P53" t="inlineStr">
        <is>
          <t>Bali</t>
        </is>
      </c>
      <c r="Q53" t="inlineStr"/>
    </row>
    <row r="54">
      <c r="A54" t="inlineStr">
        <is>
          <t>CIPTA GRAHA SELARAS</t>
        </is>
      </c>
      <c r="B54" t="inlineStr">
        <is>
          <t>Kota Surabaya</t>
        </is>
      </c>
      <c r="C54" t="inlineStr">
        <is>
          <t>081330052359</t>
        </is>
      </c>
      <c r="D54" t="inlineStr">
        <is>
          <t>cv.ciptagraha.selaras21@gmail.com</t>
        </is>
      </c>
      <c r="E54" t="inlineStr">
        <is>
          <t>https://lpjk.pu.go.id/search-badan-usaha-detail/UkxQTGcrMGpQdkxwTmhqTE4xQlFWdz09</t>
        </is>
      </c>
      <c r="F54" t="n">
        <v>1</v>
      </c>
      <c r="G54" t="inlineStr">
        <is>
          <t>BG009</t>
        </is>
      </c>
      <c r="H54" t="inlineStr">
        <is>
          <t>21 Desember 2006</t>
        </is>
      </c>
      <c r="I54" s="2" t="n">
        <v>46264</v>
      </c>
      <c r="J54" t="inlineStr">
        <is>
          <t>Disetujui</t>
        </is>
      </c>
      <c r="K54" t="n">
        <v>60</v>
      </c>
      <c r="L54" t="inlineStr">
        <is>
          <t>30 Agustus 2026</t>
        </is>
      </c>
      <c r="M54" t="inlineStr">
        <is>
          <t>Konstruksi Gedung Lainnya</t>
        </is>
      </c>
      <c r="N54" t="inlineStr">
        <is>
          <t>K</t>
        </is>
      </c>
      <c r="O54" t="inlineStr">
        <is>
          <t>20230818</t>
        </is>
      </c>
      <c r="P54" t="inlineStr">
        <is>
          <t>Jawa Timur</t>
        </is>
      </c>
      <c r="Q54" t="inlineStr"/>
    </row>
    <row r="55">
      <c r="A55" t="inlineStr">
        <is>
          <t>CIPTA KARYA ACEH</t>
        </is>
      </c>
      <c r="B55" t="inlineStr">
        <is>
          <t>Kab. Aceh Singkil</t>
        </is>
      </c>
      <c r="C55" t="inlineStr">
        <is>
          <t>064441371</t>
        </is>
      </c>
      <c r="D55" t="inlineStr">
        <is>
          <t>pt.ciptakaryaaceh@gmail.com</t>
        </is>
      </c>
      <c r="E55" t="inlineStr">
        <is>
          <t>https://lpjk.pu.go.id/search-badan-usaha-detail/TnVCaUxhTTlSRU9WUWQ5R0pqV0R2UT09</t>
        </is>
      </c>
      <c r="F55" t="n">
        <v>1</v>
      </c>
      <c r="G55" t="inlineStr">
        <is>
          <t>BS001</t>
        </is>
      </c>
      <c r="H55" t="inlineStr">
        <is>
          <t>12 Desember 1995</t>
        </is>
      </c>
      <c r="I55" s="2" t="n">
        <v>46264</v>
      </c>
      <c r="J55" t="inlineStr">
        <is>
          <t>Pencabutan</t>
        </is>
      </c>
      <c r="K55" t="n">
        <v>60</v>
      </c>
      <c r="L55" t="inlineStr">
        <is>
          <t>30 Agustus 2026</t>
        </is>
      </c>
      <c r="M55" t="inlineStr">
        <is>
          <t>Konstruksi Bangunan Sipil Jalan</t>
        </is>
      </c>
      <c r="N55" t="inlineStr">
        <is>
          <t>M</t>
        </is>
      </c>
      <c r="O55" t="inlineStr">
        <is>
          <t>20230708</t>
        </is>
      </c>
      <c r="P55" t="inlineStr">
        <is>
          <t>Aceh</t>
        </is>
      </c>
      <c r="Q55" t="inlineStr"/>
    </row>
    <row r="56">
      <c r="A56" t="inlineStr">
        <is>
          <t>CIPTA KIRANA RAYA</t>
        </is>
      </c>
      <c r="B56" t="inlineStr">
        <is>
          <t>Kab. Nganjuk</t>
        </is>
      </c>
      <c r="C56" t="inlineStr">
        <is>
          <t>082138888990</t>
        </is>
      </c>
      <c r="D56" t="inlineStr">
        <is>
          <t>ciptakiranaraya@gmail.com</t>
        </is>
      </c>
      <c r="E56" t="inlineStr">
        <is>
          <t>https://lpjk.pu.go.id/search-badan-usaha-detail/d2JsbXYrSFhqNWxBNnFKdTJLeGpidz09</t>
        </is>
      </c>
      <c r="F56" t="n">
        <v>1</v>
      </c>
      <c r="G56" t="inlineStr">
        <is>
          <t>BS001</t>
        </is>
      </c>
      <c r="H56" t="inlineStr">
        <is>
          <t>8 Maret 2023</t>
        </is>
      </c>
      <c r="I56" s="2" t="n">
        <v>46264</v>
      </c>
      <c r="J56" t="inlineStr">
        <is>
          <t>Disetujui</t>
        </is>
      </c>
      <c r="K56" t="n">
        <v>60</v>
      </c>
      <c r="L56" t="inlineStr">
        <is>
          <t>30 Agustus 2026</t>
        </is>
      </c>
      <c r="M56" t="inlineStr">
        <is>
          <t>Konstruksi Bangunan Sipil Jalan</t>
        </is>
      </c>
      <c r="N56" t="inlineStr">
        <is>
          <t>K</t>
        </is>
      </c>
      <c r="O56" t="inlineStr">
        <is>
          <t>20230830</t>
        </is>
      </c>
      <c r="P56" t="inlineStr">
        <is>
          <t>Jawa Timur</t>
        </is>
      </c>
      <c r="Q56" t="inlineStr"/>
    </row>
    <row r="57">
      <c r="A57" t="inlineStr">
        <is>
          <t>DEKA KHARIESMA</t>
        </is>
      </c>
      <c r="B57" t="inlineStr">
        <is>
          <t>Kota Malang</t>
        </is>
      </c>
      <c r="C57" t="inlineStr">
        <is>
          <t>08133321773</t>
        </is>
      </c>
      <c r="D57" t="inlineStr">
        <is>
          <t>hsta_dk@yahoo.co.id</t>
        </is>
      </c>
      <c r="E57" t="inlineStr">
        <is>
          <t>https://lpjk.pu.go.id/search-badan-usaha-detail/dE5uVWJLQjdpaXgvYjJPK1dXS2x2Zz09</t>
        </is>
      </c>
      <c r="F57" t="n">
        <v>3</v>
      </c>
      <c r="G57" t="inlineStr">
        <is>
          <t>RK001, RK002, RK003</t>
        </is>
      </c>
      <c r="H57" t="inlineStr">
        <is>
          <t>14 November 2006</t>
        </is>
      </c>
      <c r="I57" s="2" t="n">
        <v>46264</v>
      </c>
      <c r="J57" t="inlineStr">
        <is>
          <t>Disetujui</t>
        </is>
      </c>
      <c r="K57" t="n">
        <v>60</v>
      </c>
      <c r="L57" t="inlineStr">
        <is>
          <t>30 Agustus 2026</t>
        </is>
      </c>
      <c r="M57" t="inlineStr">
        <is>
          <t>Jasa Rekayasa Konstruksi Bangunan Gedung Hunian dan Non Hunian, Jasa Rekayasa Pekerjaan Teknik Sipil Sumber Daya Air, Jasa Rekayasa Pekerjaan Teknik Sipil Transportasi</t>
        </is>
      </c>
      <c r="N57" t="inlineStr">
        <is>
          <t>K</t>
        </is>
      </c>
      <c r="O57" t="inlineStr">
        <is>
          <t>20230821</t>
        </is>
      </c>
      <c r="P57" t="inlineStr">
        <is>
          <t>Jawa Timur</t>
        </is>
      </c>
      <c r="Q57" t="inlineStr"/>
    </row>
    <row r="58">
      <c r="A58" t="inlineStr">
        <is>
          <t>DELIMA ANUGERAH SUPLINDO</t>
        </is>
      </c>
      <c r="B58" t="inlineStr">
        <is>
          <t>Kota Adm. Jakarta Utara</t>
        </is>
      </c>
      <c r="C58" t="inlineStr">
        <is>
          <t>02145851017</t>
        </is>
      </c>
      <c r="D58" t="inlineStr">
        <is>
          <t>info@ptdas.co.id</t>
        </is>
      </c>
      <c r="E58" t="inlineStr">
        <is>
          <t>https://lpjk.pu.go.id/search-badan-usaha-detail/elF3K1FTYzB5ZXAzc3kzcVF1ZU95Zz09</t>
        </is>
      </c>
      <c r="F58" t="n">
        <v>2</v>
      </c>
      <c r="G58" t="inlineStr">
        <is>
          <t>IN001</t>
        </is>
      </c>
      <c r="H58" t="inlineStr">
        <is>
          <t>21 Agustus 2008</t>
        </is>
      </c>
      <c r="I58" s="2" t="n">
        <v>46264</v>
      </c>
      <c r="J58" t="inlineStr">
        <is>
          <t>Disetujui</t>
        </is>
      </c>
      <c r="K58" t="n">
        <v>60</v>
      </c>
      <c r="L58" t="inlineStr">
        <is>
          <t>30 Agustus 2026</t>
        </is>
      </c>
      <c r="M58" t="inlineStr">
        <is>
          <t>Instalasi Mekanikal</t>
        </is>
      </c>
      <c r="N58" t="inlineStr">
        <is>
          <t>Spesialis</t>
        </is>
      </c>
      <c r="O58" t="inlineStr">
        <is>
          <t>20230823</t>
        </is>
      </c>
      <c r="P58" t="inlineStr">
        <is>
          <t>DKI Jakarta</t>
        </is>
      </c>
      <c r="Q58" t="inlineStr"/>
    </row>
    <row r="59">
      <c r="A59" t="inlineStr">
        <is>
          <t>DELIMA PERTAMA NUSANTARA</t>
        </is>
      </c>
      <c r="B59" t="inlineStr">
        <is>
          <t>Kota Medan</t>
        </is>
      </c>
      <c r="C59" t="inlineStr">
        <is>
          <t>081360535444</t>
        </is>
      </c>
      <c r="D59" t="inlineStr">
        <is>
          <t>cv.delimapertamanusantara@gmail.com</t>
        </is>
      </c>
      <c r="E59" t="inlineStr">
        <is>
          <t>https://lpjk.pu.go.id/search-badan-usaha-detail/RDJPbkNVN2hjL1FtZ3YxZ2NUc0c0QT09</t>
        </is>
      </c>
      <c r="F59" t="n">
        <v>2</v>
      </c>
      <c r="G59" t="inlineStr">
        <is>
          <t>BS004</t>
        </is>
      </c>
      <c r="H59" t="inlineStr">
        <is>
          <t>16 Juli 2023</t>
        </is>
      </c>
      <c r="I59" s="2" t="n">
        <v>46264</v>
      </c>
      <c r="J59" t="inlineStr">
        <is>
          <t>Disetujui</t>
        </is>
      </c>
      <c r="K59" t="n">
        <v>60</v>
      </c>
      <c r="L59" t="inlineStr">
        <is>
          <t>30 Agustus 2026</t>
        </is>
      </c>
      <c r="M59" t="inlineStr">
        <is>
          <t>Konstruksi Jaringan Irigasi dan Drainase</t>
        </is>
      </c>
      <c r="N59" t="inlineStr">
        <is>
          <t>K</t>
        </is>
      </c>
      <c r="O59" t="inlineStr">
        <is>
          <t>20230830</t>
        </is>
      </c>
      <c r="P59" t="inlineStr">
        <is>
          <t>Sumatera Utara</t>
        </is>
      </c>
      <c r="Q59" t="inlineStr"/>
    </row>
    <row r="60">
      <c r="A60" t="inlineStr">
        <is>
          <t>DEVINA ANUGERAH SUMBERTAMA</t>
        </is>
      </c>
      <c r="B60" t="inlineStr">
        <is>
          <t>Kab. Sumbawa Barat</t>
        </is>
      </c>
      <c r="C60" t="inlineStr">
        <is>
          <t>087847379056</t>
        </is>
      </c>
      <c r="D60" t="inlineStr">
        <is>
          <t>pt.devinaanugerahsumbertama@gmail.com</t>
        </is>
      </c>
      <c r="E60" t="inlineStr">
        <is>
          <t>https://lpjk.pu.go.id/search-badan-usaha-detail/Nkd0blVOUHU5bmVhSVU3a1ZNaDdLQT09</t>
        </is>
      </c>
      <c r="F60" t="n">
        <v>1</v>
      </c>
      <c r="G60" t="inlineStr">
        <is>
          <t>BG003</t>
        </is>
      </c>
      <c r="H60" t="inlineStr">
        <is>
          <t>9 November 2022</t>
        </is>
      </c>
      <c r="I60" s="2" t="n">
        <v>46264</v>
      </c>
      <c r="J60" t="inlineStr">
        <is>
          <t>Disetujui</t>
        </is>
      </c>
      <c r="K60" t="n">
        <v>60</v>
      </c>
      <c r="L60" t="inlineStr">
        <is>
          <t>30 Agustus 2026</t>
        </is>
      </c>
      <c r="M60" t="inlineStr">
        <is>
          <t>Konstruksi Gedung Industri</t>
        </is>
      </c>
      <c r="N60" t="inlineStr">
        <is>
          <t>K</t>
        </is>
      </c>
      <c r="O60" t="inlineStr">
        <is>
          <t>20230811</t>
        </is>
      </c>
      <c r="P60" t="inlineStr">
        <is>
          <t>Nusa Tenggara Barat</t>
        </is>
      </c>
      <c r="Q60" t="inlineStr"/>
    </row>
    <row r="61">
      <c r="A61" t="inlineStr">
        <is>
          <t>DHARMA SAKTI</t>
        </is>
      </c>
      <c r="B61" t="inlineStr">
        <is>
          <t>Kab. Lampung Utara</t>
        </is>
      </c>
      <c r="C61" t="inlineStr">
        <is>
          <t>081271858300</t>
        </is>
      </c>
      <c r="D61" t="inlineStr">
        <is>
          <t>cv.dharmasakti76@gmail.com</t>
        </is>
      </c>
      <c r="E61" t="inlineStr">
        <is>
          <t>https://lpjk.pu.go.id/search-badan-usaha-detail/L0tWeVcwdXZ1bmJFTzBvTnp5U3dkdz09</t>
        </is>
      </c>
      <c r="F61" t="n">
        <v>2</v>
      </c>
      <c r="G61" t="inlineStr">
        <is>
          <t>BS001, BS004</t>
        </is>
      </c>
      <c r="H61" t="inlineStr">
        <is>
          <t>1 Maret 1976</t>
        </is>
      </c>
      <c r="I61" s="2" t="n">
        <v>46264</v>
      </c>
      <c r="J61" t="inlineStr">
        <is>
          <t>Disetujui</t>
        </is>
      </c>
      <c r="K61" t="n">
        <v>60</v>
      </c>
      <c r="L61" t="inlineStr">
        <is>
          <t>30 Agustus 2026</t>
        </is>
      </c>
      <c r="M61" t="inlineStr">
        <is>
          <t>Konstruksi Bangunan Sipil Jalan, Konstruksi Jaringan Irigasi dan Drainase</t>
        </is>
      </c>
      <c r="N61" t="inlineStr">
        <is>
          <t>K</t>
        </is>
      </c>
      <c r="O61" t="inlineStr">
        <is>
          <t>20230831</t>
        </is>
      </c>
      <c r="P61" t="inlineStr">
        <is>
          <t>Lampung</t>
        </is>
      </c>
      <c r="Q61" t="inlineStr"/>
    </row>
    <row r="62">
      <c r="A62" t="inlineStr">
        <is>
          <t>DIAN TEHNIK KONSULTAN</t>
        </is>
      </c>
      <c r="B62" t="inlineStr">
        <is>
          <t>Kota Bandar Lampung</t>
        </is>
      </c>
      <c r="C62" t="inlineStr">
        <is>
          <t>085269303110</t>
        </is>
      </c>
      <c r="D62" t="inlineStr">
        <is>
          <t>diantehnik2023@gmail.com</t>
        </is>
      </c>
      <c r="E62" t="inlineStr">
        <is>
          <t>https://lpjk.pu.go.id/search-badan-usaha-detail/QXFOd1hMcVBEcjZpV252MXl5U2FDQT09</t>
        </is>
      </c>
      <c r="F62" t="n">
        <v>1</v>
      </c>
      <c r="G62" t="inlineStr">
        <is>
          <t>RK001</t>
        </is>
      </c>
      <c r="H62" t="inlineStr">
        <is>
          <t>19 Juni 2006</t>
        </is>
      </c>
      <c r="I62" s="2" t="n">
        <v>46264</v>
      </c>
      <c r="J62" t="inlineStr">
        <is>
          <t>Disetujui</t>
        </is>
      </c>
      <c r="K62" t="n">
        <v>60</v>
      </c>
      <c r="L62" t="inlineStr">
        <is>
          <t>30 Agustus 2026</t>
        </is>
      </c>
      <c r="M62" t="inlineStr">
        <is>
          <t>Jasa Rekayasa Konstruksi Bangunan Gedung Hunian dan Non Hunian</t>
        </is>
      </c>
      <c r="N62" t="inlineStr">
        <is>
          <t>K</t>
        </is>
      </c>
      <c r="O62" t="inlineStr">
        <is>
          <t>20230816</t>
        </is>
      </c>
      <c r="P62" t="inlineStr">
        <is>
          <t>Lampung</t>
        </is>
      </c>
      <c r="Q62" t="inlineStr"/>
    </row>
    <row r="63">
      <c r="A63" t="inlineStr">
        <is>
          <t>DIFARMIA</t>
        </is>
      </c>
      <c r="B63" t="inlineStr">
        <is>
          <t>Kab. Solok</t>
        </is>
      </c>
      <c r="C63" t="inlineStr">
        <is>
          <t>085374743796</t>
        </is>
      </c>
      <c r="D63" t="inlineStr">
        <is>
          <t>dila30570@gmail.com</t>
        </is>
      </c>
      <c r="E63" t="inlineStr">
        <is>
          <t>https://lpjk.pu.go.id/search-badan-usaha-detail/WUE1cjl4SDRGZU42R3JXK0RlZll4QT09</t>
        </is>
      </c>
      <c r="F63" t="n">
        <v>1</v>
      </c>
      <c r="G63" t="inlineStr">
        <is>
          <t>BS001</t>
        </is>
      </c>
      <c r="H63" t="inlineStr">
        <is>
          <t>14 Juli 1999</t>
        </is>
      </c>
      <c r="I63" s="2" t="n">
        <v>46264</v>
      </c>
      <c r="J63" t="inlineStr">
        <is>
          <t>Disetujui</t>
        </is>
      </c>
      <c r="K63" t="n">
        <v>60</v>
      </c>
      <c r="L63" t="inlineStr">
        <is>
          <t>30 Agustus 2026</t>
        </is>
      </c>
      <c r="M63" t="inlineStr">
        <is>
          <t>Konstruksi Bangunan Sipil Jalan</t>
        </is>
      </c>
      <c r="N63" t="inlineStr">
        <is>
          <t>K</t>
        </is>
      </c>
      <c r="O63" t="inlineStr">
        <is>
          <t>20230824</t>
        </is>
      </c>
      <c r="P63" t="inlineStr">
        <is>
          <t>Sumatera Barat</t>
        </is>
      </c>
      <c r="Q63" t="inlineStr"/>
    </row>
    <row r="64">
      <c r="A64" t="inlineStr">
        <is>
          <t>DIRGA GARDA</t>
        </is>
      </c>
      <c r="B64" t="inlineStr">
        <is>
          <t>Kota Samarinda</t>
        </is>
      </c>
      <c r="C64" t="inlineStr">
        <is>
          <t>085247571717</t>
        </is>
      </c>
      <c r="D64" t="inlineStr">
        <is>
          <t>dirgagarda.cv@gmail.com</t>
        </is>
      </c>
      <c r="E64" t="inlineStr">
        <is>
          <t>https://lpjk.pu.go.id/search-badan-usaha-detail/WFpFYXUzOUt6OGxSYktwcE5QWUswdz09</t>
        </is>
      </c>
      <c r="F64" t="n">
        <v>1</v>
      </c>
      <c r="G64" t="inlineStr">
        <is>
          <t>BS004</t>
        </is>
      </c>
      <c r="H64" t="inlineStr">
        <is>
          <t>16 Desember 2020</t>
        </is>
      </c>
      <c r="I64" s="2" t="n">
        <v>46264</v>
      </c>
      <c r="J64" t="inlineStr">
        <is>
          <t>Disetujui</t>
        </is>
      </c>
      <c r="K64" t="n">
        <v>60</v>
      </c>
      <c r="L64" t="inlineStr">
        <is>
          <t>30 Agustus 2026</t>
        </is>
      </c>
      <c r="M64" t="inlineStr">
        <is>
          <t>Konstruksi Jaringan Irigasi dan Drainase</t>
        </is>
      </c>
      <c r="N64" t="inlineStr">
        <is>
          <t>K</t>
        </is>
      </c>
      <c r="O64" t="inlineStr">
        <is>
          <t>20230818</t>
        </is>
      </c>
      <c r="P64" t="inlineStr">
        <is>
          <t>Kalimantan Timur</t>
        </is>
      </c>
      <c r="Q64" t="inlineStr"/>
    </row>
    <row r="65">
      <c r="A65" t="inlineStr">
        <is>
          <t>DUA GARIS BIRU</t>
        </is>
      </c>
      <c r="B65" t="inlineStr">
        <is>
          <t>Kab. Indramayu</t>
        </is>
      </c>
      <c r="C65" t="inlineStr">
        <is>
          <t>0818238007</t>
        </is>
      </c>
      <c r="D65" t="inlineStr">
        <is>
          <t>duagarisbiru14@gmail.com</t>
        </is>
      </c>
      <c r="E65" t="inlineStr">
        <is>
          <t>https://lpjk.pu.go.id/search-badan-usaha-detail/RnpRV2tDYVhBUThqblFIdHJaTnV3dz09</t>
        </is>
      </c>
      <c r="F65" t="n">
        <v>1</v>
      </c>
      <c r="G65" t="inlineStr">
        <is>
          <t>BG006</t>
        </is>
      </c>
      <c r="H65" t="inlineStr">
        <is>
          <t>6 Maret 2023</t>
        </is>
      </c>
      <c r="I65" s="2" t="n">
        <v>46264</v>
      </c>
      <c r="J65" t="inlineStr">
        <is>
          <t>Disetujui</t>
        </is>
      </c>
      <c r="K65" t="n">
        <v>60</v>
      </c>
      <c r="L65" t="inlineStr">
        <is>
          <t>30 Agustus 2026</t>
        </is>
      </c>
      <c r="M65" t="inlineStr">
        <is>
          <t>Konstruksi Gedung Pendidikan</t>
        </is>
      </c>
      <c r="N65" t="inlineStr">
        <is>
          <t>K</t>
        </is>
      </c>
      <c r="O65" t="inlineStr">
        <is>
          <t>20230811</t>
        </is>
      </c>
      <c r="P65" t="inlineStr">
        <is>
          <t>Jawa Barat</t>
        </is>
      </c>
      <c r="Q65" t="inlineStr"/>
    </row>
    <row r="66">
      <c r="A66" t="inlineStr">
        <is>
          <t>DUA PUTRA SANJAYA</t>
        </is>
      </c>
      <c r="B66" t="inlineStr">
        <is>
          <t>Kab. Boalemo</t>
        </is>
      </c>
      <c r="C66" t="inlineStr">
        <is>
          <t>082366666364</t>
        </is>
      </c>
      <c r="D66" t="inlineStr">
        <is>
          <t>cv.duaputrasanjaya93@gmail.com</t>
        </is>
      </c>
      <c r="E66" t="inlineStr">
        <is>
          <t>https://lpjk.pu.go.id/search-badan-usaha-detail/S1Ruc01YbFdqbmVUT1hmREU3bWQwZz09</t>
        </is>
      </c>
      <c r="F66" t="n">
        <v>1</v>
      </c>
      <c r="G66" t="inlineStr">
        <is>
          <t>BS001</t>
        </is>
      </c>
      <c r="H66" t="inlineStr">
        <is>
          <t>3 Agustus 2023</t>
        </is>
      </c>
      <c r="I66" s="2" t="n">
        <v>46264</v>
      </c>
      <c r="J66" t="inlineStr">
        <is>
          <t>Disetujui</t>
        </is>
      </c>
      <c r="K66" t="n">
        <v>60</v>
      </c>
      <c r="L66" t="inlineStr">
        <is>
          <t>30 Agustus 2026</t>
        </is>
      </c>
      <c r="M66" t="inlineStr">
        <is>
          <t>Konstruksi Bangunan Sipil Jalan</t>
        </is>
      </c>
      <c r="N66" t="inlineStr">
        <is>
          <t>K</t>
        </is>
      </c>
      <c r="O66" t="inlineStr">
        <is>
          <t>20230811</t>
        </is>
      </c>
      <c r="P66" t="inlineStr">
        <is>
          <t>Gorontalo</t>
        </is>
      </c>
      <c r="Q66" t="inlineStr"/>
    </row>
    <row r="67">
      <c r="A67" t="inlineStr">
        <is>
          <t>DUA SAUDARA ANDI</t>
        </is>
      </c>
      <c r="B67" t="inlineStr">
        <is>
          <t>Kab. Ciamis</t>
        </is>
      </c>
      <c r="C67" t="inlineStr">
        <is>
          <t>081220033122</t>
        </is>
      </c>
      <c r="D67" t="inlineStr">
        <is>
          <t>cvduasaudaraandi@gmail.com</t>
        </is>
      </c>
      <c r="E67" t="inlineStr">
        <is>
          <t>https://lpjk.pu.go.id/search-badan-usaha-detail/U05CY1pENDlCYjBPbFN6SEpWVXFtdz09</t>
        </is>
      </c>
      <c r="F67" t="n">
        <v>1</v>
      </c>
      <c r="G67" t="inlineStr">
        <is>
          <t>BS004</t>
        </is>
      </c>
      <c r="H67" t="inlineStr">
        <is>
          <t>27 September 2022</t>
        </is>
      </c>
      <c r="I67" s="2" t="n">
        <v>46264</v>
      </c>
      <c r="J67" t="inlineStr">
        <is>
          <t>Pencabutan</t>
        </is>
      </c>
      <c r="K67" t="n">
        <v>60</v>
      </c>
      <c r="L67" t="inlineStr">
        <is>
          <t>30 Agustus 2026</t>
        </is>
      </c>
      <c r="M67" t="inlineStr">
        <is>
          <t>Konstruksi Jaringan Irigasi dan Drainase</t>
        </is>
      </c>
      <c r="N67" t="inlineStr">
        <is>
          <t>K</t>
        </is>
      </c>
      <c r="O67" t="inlineStr">
        <is>
          <t>20230826</t>
        </is>
      </c>
      <c r="P67" t="inlineStr">
        <is>
          <t>Jawa Barat</t>
        </is>
      </c>
      <c r="Q67" t="inlineStr"/>
    </row>
    <row r="68">
      <c r="A68" t="inlineStr">
        <is>
          <t>DUTA BINTORO</t>
        </is>
      </c>
      <c r="B68" t="inlineStr">
        <is>
          <t>Kota Semarang</t>
        </is>
      </c>
      <c r="C68" t="inlineStr">
        <is>
          <t>08979959005</t>
        </is>
      </c>
      <c r="D68" t="inlineStr">
        <is>
          <t>dubintek@gmail.com</t>
        </is>
      </c>
      <c r="E68" t="inlineStr">
        <is>
          <t>https://lpjk.pu.go.id/search-badan-usaha-detail/Wkd5M0NFeDFNNlc0a3RJc2dLMFlZUT09</t>
        </is>
      </c>
      <c r="F68" t="n">
        <v>1</v>
      </c>
      <c r="G68" t="inlineStr">
        <is>
          <t>AR003</t>
        </is>
      </c>
      <c r="H68" t="inlineStr">
        <is>
          <t>13 Desember 2017</t>
        </is>
      </c>
      <c r="I68" s="2" t="n">
        <v>46264</v>
      </c>
      <c r="J68" t="inlineStr">
        <is>
          <t>Pencabutan</t>
        </is>
      </c>
      <c r="K68" t="n">
        <v>60</v>
      </c>
      <c r="L68" t="inlineStr">
        <is>
          <t>30 Agustus 2026</t>
        </is>
      </c>
      <c r="M68" t="inlineStr">
        <is>
          <t>Jasa Desain Interior pada Bangunan Gedung dan Bangunan Sipil</t>
        </is>
      </c>
      <c r="N68" t="inlineStr">
        <is>
          <t>K</t>
        </is>
      </c>
      <c r="O68" t="inlineStr">
        <is>
          <t>20230825</t>
        </is>
      </c>
      <c r="P68" t="inlineStr">
        <is>
          <t>Jawa Tengah</t>
        </is>
      </c>
      <c r="Q68" t="inlineStr"/>
    </row>
    <row r="69">
      <c r="A69" t="inlineStr">
        <is>
          <t>DWIPA BHIRAWAPERSADA</t>
        </is>
      </c>
      <c r="B69" t="inlineStr">
        <is>
          <t>Kota Adm. Jakarta Selatan</t>
        </is>
      </c>
      <c r="C69" t="inlineStr">
        <is>
          <t>02175903217</t>
        </is>
      </c>
      <c r="D69" t="inlineStr">
        <is>
          <t>info@dwipabhirawapersada.id</t>
        </is>
      </c>
      <c r="E69" t="inlineStr">
        <is>
          <t>https://lpjk.pu.go.id/search-badan-usaha-detail/TjhBZEdwc1Y1SDZ2ejFYVTVhRE9udz09</t>
        </is>
      </c>
      <c r="F69" t="n">
        <v>2</v>
      </c>
      <c r="G69" t="inlineStr">
        <is>
          <t>BG006, BG008</t>
        </is>
      </c>
      <c r="H69" t="inlineStr">
        <is>
          <t>2 Oktober 1991</t>
        </is>
      </c>
      <c r="I69" s="2" t="n">
        <v>46264</v>
      </c>
      <c r="J69" t="inlineStr">
        <is>
          <t>Disetujui</t>
        </is>
      </c>
      <c r="K69" t="n">
        <v>60</v>
      </c>
      <c r="L69" t="inlineStr">
        <is>
          <t>30 Agustus 2026</t>
        </is>
      </c>
      <c r="M69" t="inlineStr">
        <is>
          <t>Konstruksi Gedung Pendidikan, Konstruksi Gedung Tempat Hiburan dan Olahraga</t>
        </is>
      </c>
      <c r="N69" t="inlineStr">
        <is>
          <t>M</t>
        </is>
      </c>
      <c r="O69" t="inlineStr">
        <is>
          <t>20230811</t>
        </is>
      </c>
      <c r="P69" t="inlineStr">
        <is>
          <t>DKI Jakarta</t>
        </is>
      </c>
      <c r="Q69" t="inlineStr"/>
    </row>
    <row r="70">
      <c r="A70" t="inlineStr">
        <is>
          <t>EKA WIJAYA</t>
        </is>
      </c>
      <c r="B70" t="inlineStr">
        <is>
          <t>Kota Metro</t>
        </is>
      </c>
      <c r="C70" t="inlineStr">
        <is>
          <t>-</t>
        </is>
      </c>
      <c r="D70" t="inlineStr">
        <is>
          <t>cv.ekawijaya15a@gmail.com</t>
        </is>
      </c>
      <c r="E70" t="inlineStr">
        <is>
          <t>https://lpjk.pu.go.id/search-badan-usaha-detail/Tmt0QzNaUElXL3RzWDJMTEx3Z25Wdz09</t>
        </is>
      </c>
      <c r="F70" t="n">
        <v>1</v>
      </c>
      <c r="G70" t="inlineStr">
        <is>
          <t>BG009</t>
        </is>
      </c>
      <c r="H70" t="inlineStr">
        <is>
          <t>14 September 1999</t>
        </is>
      </c>
      <c r="I70" s="2" t="n">
        <v>46264</v>
      </c>
      <c r="J70" t="inlineStr">
        <is>
          <t>Disetujui</t>
        </is>
      </c>
      <c r="K70" t="n">
        <v>60</v>
      </c>
      <c r="L70" t="inlineStr">
        <is>
          <t>30 Agustus 2026</t>
        </is>
      </c>
      <c r="M70" t="inlineStr">
        <is>
          <t>Konstruksi Gedung Lainnya</t>
        </is>
      </c>
      <c r="N70" t="inlineStr">
        <is>
          <t>K</t>
        </is>
      </c>
      <c r="O70" t="inlineStr">
        <is>
          <t>20230824</t>
        </is>
      </c>
      <c r="P70" t="inlineStr">
        <is>
          <t>Lampung</t>
        </is>
      </c>
      <c r="Q70" t="inlineStr"/>
    </row>
    <row r="71">
      <c r="A71" t="inlineStr">
        <is>
          <t>ENVIRO ENERGI LESTARI</t>
        </is>
      </c>
      <c r="B71" t="inlineStr">
        <is>
          <t>Kota Adm. Jakarta Selatan</t>
        </is>
      </c>
      <c r="C71" t="inlineStr">
        <is>
          <t>0217228945</t>
        </is>
      </c>
      <c r="D71" t="inlineStr">
        <is>
          <t>enviroenergilestari@gmail.com</t>
        </is>
      </c>
      <c r="E71" t="inlineStr">
        <is>
          <t>https://lpjk.pu.go.id/search-badan-usaha-detail/N2xHTU5xUXJYcUZJK1J1UCt1VTRWQT09</t>
        </is>
      </c>
      <c r="F71" t="n">
        <v>1</v>
      </c>
      <c r="G71" t="inlineStr">
        <is>
          <t>BS006</t>
        </is>
      </c>
      <c r="H71" t="inlineStr">
        <is>
          <t>23 November 2020</t>
        </is>
      </c>
      <c r="I71" s="2" t="n">
        <v>46264</v>
      </c>
      <c r="J71" t="inlineStr">
        <is>
          <t>Disetujui</t>
        </is>
      </c>
      <c r="K71" t="n">
        <v>60</v>
      </c>
      <c r="L71" t="inlineStr">
        <is>
          <t>30 Agustus 2026</t>
        </is>
      </c>
      <c r="M71" t="inlineStr">
        <is>
          <t>Konstruksi Bangunan Sipil Prasarana dan Sarana Sistem Pengolahan Limbah Padat, Cair, dan Gas</t>
        </is>
      </c>
      <c r="N71" t="inlineStr">
        <is>
          <t>K</t>
        </is>
      </c>
      <c r="O71" t="inlineStr">
        <is>
          <t>20230825</t>
        </is>
      </c>
      <c r="P71" t="inlineStr">
        <is>
          <t>DKI Jakarta</t>
        </is>
      </c>
      <c r="Q71" t="inlineStr"/>
    </row>
    <row r="72">
      <c r="A72" t="inlineStr">
        <is>
          <t>FARIZ KARYATAMA</t>
        </is>
      </c>
      <c r="B72" t="inlineStr">
        <is>
          <t>Kab. Banggai</t>
        </is>
      </c>
      <c r="C72" t="inlineStr">
        <is>
          <t>08534133998</t>
        </is>
      </c>
      <c r="D72" t="inlineStr">
        <is>
          <t>farizkaryatama07@gmail.com</t>
        </is>
      </c>
      <c r="E72" t="inlineStr">
        <is>
          <t>https://lpjk.pu.go.id/search-badan-usaha-detail/OWZtbFlPRmUyVDhWa3ViYnJ2TjZlZz09</t>
        </is>
      </c>
      <c r="F72" t="n">
        <v>2</v>
      </c>
      <c r="G72" t="inlineStr">
        <is>
          <t>BG005, BG006</t>
        </is>
      </c>
      <c r="H72" t="inlineStr">
        <is>
          <t>6 Januari 2025</t>
        </is>
      </c>
      <c r="I72" s="2" t="n">
        <v>46264</v>
      </c>
      <c r="J72" t="inlineStr">
        <is>
          <t>Disetujui</t>
        </is>
      </c>
      <c r="K72" t="n">
        <v>60</v>
      </c>
      <c r="L72" t="inlineStr">
        <is>
          <t>30 Agustus 2026</t>
        </is>
      </c>
      <c r="M72" t="inlineStr">
        <is>
          <t>Konstruksi Gedung Kesehatan, Konstruksi Gedung Pendidikan</t>
        </is>
      </c>
      <c r="N72" t="inlineStr">
        <is>
          <t>K</t>
        </is>
      </c>
      <c r="O72" t="inlineStr">
        <is>
          <t>20230831</t>
        </is>
      </c>
      <c r="P72" t="inlineStr">
        <is>
          <t>Sulawesi Tengah</t>
        </is>
      </c>
      <c r="Q72" t="inlineStr"/>
    </row>
    <row r="73">
      <c r="A73" t="inlineStr">
        <is>
          <t>FAZAR ANWARI ADIALOVA</t>
        </is>
      </c>
      <c r="B73" t="inlineStr">
        <is>
          <t>Kab. Bandung</t>
        </is>
      </c>
      <c r="C73" t="inlineStr">
        <is>
          <t>087823090007</t>
        </is>
      </c>
      <c r="D73" t="inlineStr">
        <is>
          <t>fajaradialova234@gmail.com</t>
        </is>
      </c>
      <c r="E73" t="inlineStr">
        <is>
          <t>https://lpjk.pu.go.id/search-badan-usaha-detail/b0d4WUVUdk9OQmFSSGtkWlZYY05BZz09</t>
        </is>
      </c>
      <c r="F73" t="n">
        <v>4</v>
      </c>
      <c r="G73" t="inlineStr">
        <is>
          <t>BG001, BG002</t>
        </is>
      </c>
      <c r="H73" t="inlineStr">
        <is>
          <t>26 Agustus 2019</t>
        </is>
      </c>
      <c r="I73" s="2" t="n">
        <v>46264</v>
      </c>
      <c r="J73" t="inlineStr">
        <is>
          <t>Disetujui</t>
        </is>
      </c>
      <c r="K73" t="n">
        <v>60</v>
      </c>
      <c r="L73" t="inlineStr">
        <is>
          <t>30 Agustus 2026</t>
        </is>
      </c>
      <c r="M73" t="inlineStr">
        <is>
          <t>Konstruksi Gedung Hunian, Konstruksi Gedung Perkantoran</t>
        </is>
      </c>
      <c r="N73" t="inlineStr">
        <is>
          <t>K</t>
        </is>
      </c>
      <c r="O73" t="inlineStr">
        <is>
          <t>20230831</t>
        </is>
      </c>
      <c r="P73" t="inlineStr">
        <is>
          <t>Jawa Barat</t>
        </is>
      </c>
      <c r="Q73" t="inlineStr"/>
    </row>
    <row r="74">
      <c r="A74" t="inlineStr">
        <is>
          <t>GARDA</t>
        </is>
      </c>
      <c r="B74" t="inlineStr">
        <is>
          <t>Kota Jambi</t>
        </is>
      </c>
      <c r="C74" t="inlineStr">
        <is>
          <t>08127879133</t>
        </is>
      </c>
      <c r="D74" t="inlineStr">
        <is>
          <t>gardacv01@gmail.com</t>
        </is>
      </c>
      <c r="E74" t="inlineStr">
        <is>
          <t>https://lpjk.pu.go.id/search-badan-usaha-detail/L0FnTlpjU0RJY21HWDl3R0RKLzFiQT09</t>
        </is>
      </c>
      <c r="F74" t="n">
        <v>2</v>
      </c>
      <c r="G74" t="inlineStr">
        <is>
          <t>BG005, BS002</t>
        </is>
      </c>
      <c r="H74" t="inlineStr">
        <is>
          <t>23 Juni 2008</t>
        </is>
      </c>
      <c r="I74" s="2" t="n">
        <v>46264</v>
      </c>
      <c r="J74" t="inlineStr">
        <is>
          <t>Disetujui</t>
        </is>
      </c>
      <c r="K74" t="n">
        <v>60</v>
      </c>
      <c r="L74" t="inlineStr">
        <is>
          <t>30 Agustus 2026</t>
        </is>
      </c>
      <c r="M74" t="inlineStr">
        <is>
          <t>Bangunan Sipil Jembatan, Jalan Layang, Fly Over, dan Underpass, Konstruksi Gedung Kesehatan</t>
        </is>
      </c>
      <c r="N74" t="inlineStr">
        <is>
          <t>K</t>
        </is>
      </c>
      <c r="O74" t="inlineStr">
        <is>
          <t>20230823</t>
        </is>
      </c>
      <c r="P74" t="inlineStr">
        <is>
          <t>Jambi</t>
        </is>
      </c>
      <c r="Q74" t="inlineStr"/>
    </row>
    <row r="75">
      <c r="A75" t="inlineStr">
        <is>
          <t>GEOTEKNIK PRIMA RAYA KONSULTANS</t>
        </is>
      </c>
      <c r="B75" t="inlineStr">
        <is>
          <t>Kota Jambi</t>
        </is>
      </c>
      <c r="C75" t="inlineStr">
        <is>
          <t>082299316592</t>
        </is>
      </c>
      <c r="D75" t="inlineStr">
        <is>
          <t>geoteknik_prima@yahoo.com</t>
        </is>
      </c>
      <c r="E75" t="inlineStr">
        <is>
          <t>https://lpjk.pu.go.id/search-badan-usaha-detail/aDdFM3ZITDRjWjhWM1J1bUJlNG9jUT09</t>
        </is>
      </c>
      <c r="F75" t="n">
        <v>2</v>
      </c>
      <c r="G75" t="inlineStr">
        <is>
          <t>RK001, RK003</t>
        </is>
      </c>
      <c r="H75" t="inlineStr">
        <is>
          <t>25 November 1991</t>
        </is>
      </c>
      <c r="I75" s="2" t="n">
        <v>46264</v>
      </c>
      <c r="J75" t="inlineStr">
        <is>
          <t>Disetujui</t>
        </is>
      </c>
      <c r="K75" t="n">
        <v>60</v>
      </c>
      <c r="L75" t="inlineStr">
        <is>
          <t>30 Agustus 2026</t>
        </is>
      </c>
      <c r="M75" t="inlineStr">
        <is>
          <t>Jasa Rekayasa Konstruksi Bangunan Gedung Hunian dan Non Hunian, Jasa Rekayasa Pekerjaan Teknik Sipil Transportasi</t>
        </is>
      </c>
      <c r="N75" t="inlineStr">
        <is>
          <t>K</t>
        </is>
      </c>
      <c r="O75" t="inlineStr">
        <is>
          <t>20230802, 20230815</t>
        </is>
      </c>
      <c r="P75" t="inlineStr">
        <is>
          <t>Jambi</t>
        </is>
      </c>
      <c r="Q75" t="inlineStr"/>
    </row>
    <row r="76">
      <c r="A76" t="inlineStr">
        <is>
          <t>GITA PRATAMA LESTARI</t>
        </is>
      </c>
      <c r="B76" t="inlineStr">
        <is>
          <t>Kab. Ciamis</t>
        </is>
      </c>
      <c r="C76" t="inlineStr">
        <is>
          <t>082218652158</t>
        </is>
      </c>
      <c r="D76" t="inlineStr">
        <is>
          <t>pt.gplestari@gmail.com</t>
        </is>
      </c>
      <c r="E76" t="inlineStr">
        <is>
          <t>https://lpjk.pu.go.id/search-badan-usaha-detail/MWk5eTZyekhBZmlRSHNrTUs3M3pOUT09</t>
        </is>
      </c>
      <c r="F76" t="n">
        <v>1</v>
      </c>
      <c r="G76" t="inlineStr">
        <is>
          <t>BS002</t>
        </is>
      </c>
      <c r="H76" t="inlineStr">
        <is>
          <t>27 Juli 2023</t>
        </is>
      </c>
      <c r="I76" s="2" t="n">
        <v>46264</v>
      </c>
      <c r="J76" t="inlineStr">
        <is>
          <t>Disetujui</t>
        </is>
      </c>
      <c r="K76" t="n">
        <v>60</v>
      </c>
      <c r="L76" t="inlineStr">
        <is>
          <t>30 Agustus 2026</t>
        </is>
      </c>
      <c r="M76" t="inlineStr">
        <is>
          <t>Bangunan Sipil Jembatan, Jalan Layang, Fly Over, dan Underpass</t>
        </is>
      </c>
      <c r="N76" t="inlineStr">
        <is>
          <t>K</t>
        </is>
      </c>
      <c r="O76" t="inlineStr">
        <is>
          <t>20230828</t>
        </is>
      </c>
      <c r="P76" t="inlineStr">
        <is>
          <t>Jawa Barat</t>
        </is>
      </c>
      <c r="Q76" t="inlineStr"/>
    </row>
    <row r="77">
      <c r="A77" t="inlineStr">
        <is>
          <t>GRAHASAKA PURBAWISESA</t>
        </is>
      </c>
      <c r="B77" t="inlineStr">
        <is>
          <t>Kota Malang</t>
        </is>
      </c>
      <c r="C77" t="inlineStr">
        <is>
          <t>081333362230</t>
        </is>
      </c>
      <c r="D77" t="inlineStr">
        <is>
          <t>cv.grahasakapurbawisesa@gmail.com</t>
        </is>
      </c>
      <c r="E77" t="inlineStr">
        <is>
          <t>https://lpjk.pu.go.id/search-badan-usaha-detail/QmJSaDlTMVE3TU1ia0JicUxna2RYdz09</t>
        </is>
      </c>
      <c r="F77" t="n">
        <v>3</v>
      </c>
      <c r="G77" t="inlineStr">
        <is>
          <t>BG002</t>
        </is>
      </c>
      <c r="H77" t="inlineStr">
        <is>
          <t>30 Agustus 1999</t>
        </is>
      </c>
      <c r="I77" s="2" t="n">
        <v>46264</v>
      </c>
      <c r="J77" t="inlineStr">
        <is>
          <t>Disetujui</t>
        </is>
      </c>
      <c r="K77" t="n">
        <v>60</v>
      </c>
      <c r="L77" t="inlineStr">
        <is>
          <t>30 Agustus 2026</t>
        </is>
      </c>
      <c r="M77" t="inlineStr">
        <is>
          <t>Konstruksi Gedung Perkantoran</t>
        </is>
      </c>
      <c r="N77" t="inlineStr">
        <is>
          <t>K</t>
        </is>
      </c>
      <c r="O77" t="inlineStr">
        <is>
          <t>20230818</t>
        </is>
      </c>
      <c r="P77" t="inlineStr">
        <is>
          <t>Jawa Timur</t>
        </is>
      </c>
      <c r="Q77" t="inlineStr"/>
    </row>
    <row r="78">
      <c r="A78" t="inlineStr">
        <is>
          <t>GUNA JAYA</t>
        </is>
      </c>
      <c r="B78" t="inlineStr">
        <is>
          <t>Kab. Lumajang</t>
        </is>
      </c>
      <c r="C78" t="inlineStr">
        <is>
          <t>087750319730</t>
        </is>
      </c>
      <c r="D78" t="inlineStr">
        <is>
          <t>j_guna@yahoo.com</t>
        </is>
      </c>
      <c r="E78" t="inlineStr">
        <is>
          <t>https://lpjk.pu.go.id/search-badan-usaha-detail/dUt5QU85b0VhN2QwcXludTQ0ZWduZz09</t>
        </is>
      </c>
      <c r="F78" t="n">
        <v>1</v>
      </c>
      <c r="G78" t="inlineStr">
        <is>
          <t>BS004</t>
        </is>
      </c>
      <c r="H78" t="inlineStr">
        <is>
          <t>17 Januari 2013</t>
        </is>
      </c>
      <c r="I78" s="2" t="n">
        <v>46264</v>
      </c>
      <c r="J78" t="inlineStr">
        <is>
          <t>Disetujui</t>
        </is>
      </c>
      <c r="K78" t="n">
        <v>60</v>
      </c>
      <c r="L78" t="inlineStr">
        <is>
          <t>30 Agustus 2026</t>
        </is>
      </c>
      <c r="M78" t="inlineStr">
        <is>
          <t>Konstruksi Jaringan Irigasi dan Drainase</t>
        </is>
      </c>
      <c r="N78" t="inlineStr">
        <is>
          <t>K</t>
        </is>
      </c>
      <c r="O78" t="inlineStr">
        <is>
          <t>20230824</t>
        </is>
      </c>
      <c r="P78" t="inlineStr">
        <is>
          <t>Jawa Timur</t>
        </is>
      </c>
      <c r="Q78" t="inlineStr"/>
    </row>
    <row r="79">
      <c r="A79" t="inlineStr">
        <is>
          <t>HARAPAN BARU TEKNIK</t>
        </is>
      </c>
      <c r="B79" t="inlineStr">
        <is>
          <t>Kota Banjarmasin</t>
        </is>
      </c>
      <c r="C79" t="inlineStr">
        <is>
          <t>085332523252</t>
        </is>
      </c>
      <c r="D79" t="inlineStr">
        <is>
          <t>harapanbaruteknik.bjm@gmail.com</t>
        </is>
      </c>
      <c r="E79" t="inlineStr">
        <is>
          <t>https://lpjk.pu.go.id/search-badan-usaha-detail/SjIvTWk1dU55VUdKd3hFL1BmZjEwdz09</t>
        </is>
      </c>
      <c r="F79" t="n">
        <v>1</v>
      </c>
      <c r="G79" t="inlineStr">
        <is>
          <t>BS001</t>
        </is>
      </c>
      <c r="H79" t="inlineStr">
        <is>
          <t>31 Mei 2016</t>
        </is>
      </c>
      <c r="I79" s="2" t="n">
        <v>46264</v>
      </c>
      <c r="J79" t="inlineStr">
        <is>
          <t>Disetujui</t>
        </is>
      </c>
      <c r="K79" t="n">
        <v>60</v>
      </c>
      <c r="L79" t="inlineStr">
        <is>
          <t>30 Agustus 2026</t>
        </is>
      </c>
      <c r="M79" t="inlineStr">
        <is>
          <t>Konstruksi Bangunan Sipil Jalan</t>
        </is>
      </c>
      <c r="N79" t="inlineStr">
        <is>
          <t>K</t>
        </is>
      </c>
      <c r="O79" t="inlineStr">
        <is>
          <t>20230823</t>
        </is>
      </c>
      <c r="P79" t="inlineStr">
        <is>
          <t>Kalimantan Selatan</t>
        </is>
      </c>
      <c r="Q79" t="inlineStr"/>
    </row>
    <row r="80">
      <c r="A80" t="inlineStr">
        <is>
          <t>HARUM</t>
        </is>
      </c>
      <c r="B80" t="inlineStr">
        <is>
          <t>Kab. Indramayu</t>
        </is>
      </c>
      <c r="C80" t="inlineStr">
        <is>
          <t>08156401062</t>
        </is>
      </c>
      <c r="D80" t="inlineStr">
        <is>
          <t>cholidasadi@yahoo.com</t>
        </is>
      </c>
      <c r="E80" t="inlineStr">
        <is>
          <t>https://lpjk.pu.go.id/search-badan-usaha-detail/SFcwMHBPZG1nb2lXV3hPOUZVNzNSZz09</t>
        </is>
      </c>
      <c r="F80" t="n">
        <v>2</v>
      </c>
      <c r="G80" t="inlineStr">
        <is>
          <t>BS001, BS004</t>
        </is>
      </c>
      <c r="H80" t="inlineStr">
        <is>
          <t>9 Agustus 1986</t>
        </is>
      </c>
      <c r="I80" s="2" t="n">
        <v>46264</v>
      </c>
      <c r="J80" t="inlineStr">
        <is>
          <t>Disetujui</t>
        </is>
      </c>
      <c r="K80" t="n">
        <v>60</v>
      </c>
      <c r="L80" t="inlineStr">
        <is>
          <t>30 Agustus 2026</t>
        </is>
      </c>
      <c r="M80" t="inlineStr">
        <is>
          <t>Konstruksi Bangunan Sipil Jalan, Konstruksi Jaringan Irigasi dan Drainase</t>
        </is>
      </c>
      <c r="N80" t="inlineStr">
        <is>
          <t>K</t>
        </is>
      </c>
      <c r="O80" t="inlineStr">
        <is>
          <t>20230830</t>
        </is>
      </c>
      <c r="P80" t="inlineStr">
        <is>
          <t>Jawa Barat</t>
        </is>
      </c>
      <c r="Q80" t="inlineStr"/>
    </row>
    <row r="81">
      <c r="A81" t="inlineStr">
        <is>
          <t>HASIL BARU SEJAHTERA</t>
        </is>
      </c>
      <c r="B81" t="inlineStr">
        <is>
          <t>Kota Cilegon</t>
        </is>
      </c>
      <c r="C81" t="inlineStr">
        <is>
          <t>085281762170</t>
        </is>
      </c>
      <c r="D81" t="inlineStr">
        <is>
          <t>hasilbarusejahtera01@GMAIL.COM</t>
        </is>
      </c>
      <c r="E81" t="inlineStr">
        <is>
          <t>https://lpjk.pu.go.id/search-badan-usaha-detail/T0k3bTY5YStLOCs0TVd5QnZlSXN5dz09</t>
        </is>
      </c>
      <c r="F81" t="n">
        <v>1</v>
      </c>
      <c r="G81" t="inlineStr">
        <is>
          <t>BS001</t>
        </is>
      </c>
      <c r="H81" t="inlineStr">
        <is>
          <t>7 Agustus 2023</t>
        </is>
      </c>
      <c r="I81" s="2" t="n">
        <v>46264</v>
      </c>
      <c r="J81" t="inlineStr">
        <is>
          <t>Disetujui</t>
        </is>
      </c>
      <c r="K81" t="n">
        <v>60</v>
      </c>
      <c r="L81" t="inlineStr">
        <is>
          <t>30 Agustus 2026</t>
        </is>
      </c>
      <c r="M81" t="inlineStr">
        <is>
          <t>Konstruksi Bangunan Sipil Jalan</t>
        </is>
      </c>
      <c r="N81" t="inlineStr">
        <is>
          <t>K</t>
        </is>
      </c>
      <c r="O81" t="inlineStr">
        <is>
          <t>20230830</t>
        </is>
      </c>
      <c r="P81" t="inlineStr">
        <is>
          <t>Banten</t>
        </is>
      </c>
      <c r="Q81" t="inlineStr"/>
    </row>
    <row r="82">
      <c r="A82" t="inlineStr">
        <is>
          <t>INDOPRIMA SELARAS</t>
        </is>
      </c>
      <c r="B82" t="inlineStr">
        <is>
          <t>Kab. Tangerang</t>
        </is>
      </c>
      <c r="C82" t="inlineStr">
        <is>
          <t>02159407018</t>
        </is>
      </c>
      <c r="D82" t="inlineStr">
        <is>
          <t>ptindoprimaselaras@gmail.com</t>
        </is>
      </c>
      <c r="E82" t="inlineStr">
        <is>
          <t>https://lpjk.pu.go.id/search-badan-usaha-detail/YngrOXE3U3h4dmVDS050T3FmZ21Mdz09</t>
        </is>
      </c>
      <c r="F82" t="n">
        <v>3</v>
      </c>
      <c r="G82" t="inlineStr">
        <is>
          <t>BG003, BG006, BG009</t>
        </is>
      </c>
      <c r="H82" t="inlineStr">
        <is>
          <t>22 Juni 2012</t>
        </is>
      </c>
      <c r="I82" s="2" t="n">
        <v>46264</v>
      </c>
      <c r="J82" t="inlineStr">
        <is>
          <t>Disetujui</t>
        </is>
      </c>
      <c r="K82" t="n">
        <v>60</v>
      </c>
      <c r="L82" t="inlineStr">
        <is>
          <t>30 Agustus 2026</t>
        </is>
      </c>
      <c r="M82" t="inlineStr">
        <is>
          <t>Konstruksi Gedung Industri, Konstruksi Gedung Lainnya, Konstruksi Gedung Pendidikan</t>
        </is>
      </c>
      <c r="N82" t="inlineStr">
        <is>
          <t>K</t>
        </is>
      </c>
      <c r="O82" t="inlineStr">
        <is>
          <t>20230825</t>
        </is>
      </c>
      <c r="P82" t="inlineStr">
        <is>
          <t>Banten</t>
        </is>
      </c>
      <c r="Q82" t="inlineStr"/>
    </row>
    <row r="83">
      <c r="A83" t="inlineStr">
        <is>
          <t>INDRA NUGRAHA</t>
        </is>
      </c>
      <c r="B83" t="inlineStr">
        <is>
          <t>Kab. Bandung Barat</t>
        </is>
      </c>
      <c r="C83" t="inlineStr">
        <is>
          <t>08122147347</t>
        </is>
      </c>
      <c r="D83" t="inlineStr">
        <is>
          <t>cv.indranugraha24@gmail.com</t>
        </is>
      </c>
      <c r="E83" t="inlineStr">
        <is>
          <t>https://lpjk.pu.go.id/search-badan-usaha-detail/Z0J5NUdmRVBGTnlKQjlNdHl0dExoY3l6TmhhZEZCZmFLeDNIeVg2R0NKVT0</t>
        </is>
      </c>
      <c r="F83" t="n">
        <v>2</v>
      </c>
      <c r="G83" t="inlineStr">
        <is>
          <t>BG002, BG009</t>
        </is>
      </c>
      <c r="H83" t="inlineStr">
        <is>
          <t>29 September 2020</t>
        </is>
      </c>
      <c r="I83" s="2" t="n">
        <v>46264</v>
      </c>
      <c r="J83" t="inlineStr">
        <is>
          <t>Disetujui</t>
        </is>
      </c>
      <c r="K83" t="n">
        <v>60</v>
      </c>
      <c r="L83" t="inlineStr">
        <is>
          <t>30 Agustus 2026</t>
        </is>
      </c>
      <c r="M83" t="inlineStr">
        <is>
          <t>Konstruksi Gedung Lainnya, Konstruksi Gedung Perkantoran</t>
        </is>
      </c>
      <c r="N83" t="inlineStr">
        <is>
          <t>K</t>
        </is>
      </c>
      <c r="O83" t="inlineStr">
        <is>
          <t>20230831</t>
        </is>
      </c>
      <c r="P83" t="inlineStr">
        <is>
          <t>Jawa Barat</t>
        </is>
      </c>
      <c r="Q83" t="inlineStr"/>
    </row>
    <row r="84">
      <c r="A84" t="inlineStr">
        <is>
          <t>INTAN CAHYA</t>
        </is>
      </c>
      <c r="B84" t="inlineStr">
        <is>
          <t>Kab. Pati</t>
        </is>
      </c>
      <c r="C84" t="inlineStr">
        <is>
          <t>081325743748</t>
        </is>
      </c>
      <c r="D84" t="inlineStr">
        <is>
          <t>intan.cv08@gmail.com</t>
        </is>
      </c>
      <c r="E84" t="inlineStr">
        <is>
          <t>https://lpjk.pu.go.id/search-badan-usaha-detail/UkVKMUpzYkJJZ0xjUHVkdnZXVGM4UT09</t>
        </is>
      </c>
      <c r="F84" t="n">
        <v>4</v>
      </c>
      <c r="G84" t="inlineStr">
        <is>
          <t>BG002, BG006, BS001, BS004</t>
        </is>
      </c>
      <c r="H84" t="inlineStr">
        <is>
          <t>11 Desember 2007</t>
        </is>
      </c>
      <c r="I84" s="2" t="n">
        <v>46264</v>
      </c>
      <c r="J84" t="inlineStr">
        <is>
          <t>Disetujui</t>
        </is>
      </c>
      <c r="K84" t="n">
        <v>60</v>
      </c>
      <c r="L84" t="inlineStr">
        <is>
          <t>30 Agustus 2026</t>
        </is>
      </c>
      <c r="M84" t="inlineStr">
        <is>
          <t>Konstruksi Bangunan Sipil Jalan, Konstruksi Gedung Pendidikan, Konstruksi Gedung Perkantoran, Konstruksi Jaringan Irigasi dan Drainase</t>
        </is>
      </c>
      <c r="N84" t="inlineStr">
        <is>
          <t>K</t>
        </is>
      </c>
      <c r="O84" t="inlineStr">
        <is>
          <t>20230810</t>
        </is>
      </c>
      <c r="P84" t="inlineStr">
        <is>
          <t>Jawa Tengah</t>
        </is>
      </c>
      <c r="Q84" t="inlineStr"/>
    </row>
    <row r="85">
      <c r="A85" t="inlineStr">
        <is>
          <t>IQBAL JAYA</t>
        </is>
      </c>
      <c r="B85" t="inlineStr">
        <is>
          <t>Kab. Kolaka</t>
        </is>
      </c>
      <c r="C85" t="inlineStr">
        <is>
          <t>085256611232</t>
        </is>
      </c>
      <c r="D85" t="inlineStr">
        <is>
          <t>heri.sukamto1972@gmail.com</t>
        </is>
      </c>
      <c r="E85" t="inlineStr">
        <is>
          <t>https://lpjk.pu.go.id/search-badan-usaha-detail/QkNEUUZ3RThkTnFMc2xDN2VGdEJvQT09</t>
        </is>
      </c>
      <c r="F85" t="n">
        <v>2</v>
      </c>
      <c r="G85" t="inlineStr">
        <is>
          <t>BG002, BG009</t>
        </is>
      </c>
      <c r="H85" t="inlineStr">
        <is>
          <t>25 Februari 2000</t>
        </is>
      </c>
      <c r="I85" s="2" t="n">
        <v>46264</v>
      </c>
      <c r="J85" t="inlineStr">
        <is>
          <t>Disetujui</t>
        </is>
      </c>
      <c r="K85" t="n">
        <v>60</v>
      </c>
      <c r="L85" t="inlineStr">
        <is>
          <t>30 Agustus 2026</t>
        </is>
      </c>
      <c r="M85" t="inlineStr">
        <is>
          <t>Konstruksi Gedung Lainnya, Konstruksi Gedung Perkantoran</t>
        </is>
      </c>
      <c r="N85" t="inlineStr">
        <is>
          <t>K</t>
        </is>
      </c>
      <c r="O85" t="inlineStr">
        <is>
          <t>20230829</t>
        </is>
      </c>
      <c r="P85" t="inlineStr">
        <is>
          <t>Sulawesi Tenggara</t>
        </is>
      </c>
      <c r="Q85" t="inlineStr"/>
    </row>
    <row r="86">
      <c r="A86" t="inlineStr">
        <is>
          <t>JAKA MANUNGGAL</t>
        </is>
      </c>
      <c r="B86" t="inlineStr">
        <is>
          <t>Kab. Malang</t>
        </is>
      </c>
      <c r="C86" t="inlineStr">
        <is>
          <t>081232324725</t>
        </is>
      </c>
      <c r="D86" t="inlineStr">
        <is>
          <t>cv.jakamanunggal@gmail.com</t>
        </is>
      </c>
      <c r="E86" t="inlineStr">
        <is>
          <t>https://lpjk.pu.go.id/search-badan-usaha-detail/TzlqdWJNUVpMMHNPNEkrWW1ZMER4dz09</t>
        </is>
      </c>
      <c r="F86" t="n">
        <v>1</v>
      </c>
      <c r="G86" t="inlineStr">
        <is>
          <t>BG006</t>
        </is>
      </c>
      <c r="H86" t="inlineStr">
        <is>
          <t>2 Maret 2023</t>
        </is>
      </c>
      <c r="I86" s="2" t="n">
        <v>46264</v>
      </c>
      <c r="J86" t="inlineStr">
        <is>
          <t>Disetujui</t>
        </is>
      </c>
      <c r="K86" t="n">
        <v>60</v>
      </c>
      <c r="L86" t="inlineStr">
        <is>
          <t>30 Agustus 2026</t>
        </is>
      </c>
      <c r="M86" t="inlineStr">
        <is>
          <t>Konstruksi Gedung Pendidikan</t>
        </is>
      </c>
      <c r="N86" t="inlineStr">
        <is>
          <t>K</t>
        </is>
      </c>
      <c r="O86" t="inlineStr">
        <is>
          <t>20230725</t>
        </is>
      </c>
      <c r="P86" t="inlineStr">
        <is>
          <t>Jawa Timur</t>
        </is>
      </c>
      <c r="Q86" t="inlineStr"/>
    </row>
    <row r="87">
      <c r="A87" t="inlineStr">
        <is>
          <t>JAYA AGUNG SEJAHTERA</t>
        </is>
      </c>
      <c r="B87" t="inlineStr">
        <is>
          <t>Kota Madiun</t>
        </is>
      </c>
      <c r="C87" t="inlineStr">
        <is>
          <t>0351462051</t>
        </is>
      </c>
      <c r="D87" t="inlineStr">
        <is>
          <t>jayaagungsejahterapt@yahoo.com</t>
        </is>
      </c>
      <c r="E87" t="inlineStr">
        <is>
          <t>https://lpjk.pu.go.id/search-badan-usaha-detail/UGZuQkM2ME9XUkM4LzhqQzc3cVNpZz09</t>
        </is>
      </c>
      <c r="F87" t="n">
        <v>4</v>
      </c>
      <c r="G87" t="inlineStr">
        <is>
          <t>BS001, BS002</t>
        </is>
      </c>
      <c r="H87" t="inlineStr">
        <is>
          <t>1 Maret 1978</t>
        </is>
      </c>
      <c r="I87" s="2" t="n">
        <v>46264</v>
      </c>
      <c r="J87" t="inlineStr">
        <is>
          <t>Disetujui</t>
        </is>
      </c>
      <c r="K87" t="n">
        <v>60</v>
      </c>
      <c r="L87" t="inlineStr">
        <is>
          <t>30 Agustus 2026</t>
        </is>
      </c>
      <c r="M87" t="inlineStr">
        <is>
          <t>Bangunan Sipil Jembatan, Jalan Layang, Fly Over, dan Underpass, Konstruksi Bangunan Sipil Jalan</t>
        </is>
      </c>
      <c r="N87" t="inlineStr">
        <is>
          <t>K</t>
        </is>
      </c>
      <c r="O87" t="inlineStr">
        <is>
          <t>20230809, 20230830</t>
        </is>
      </c>
      <c r="P87" t="inlineStr">
        <is>
          <t>Jawa Timur</t>
        </is>
      </c>
      <c r="Q87" t="inlineStr"/>
    </row>
    <row r="88">
      <c r="A88" t="inlineStr">
        <is>
          <t>KALINDO</t>
        </is>
      </c>
      <c r="B88" t="inlineStr">
        <is>
          <t>Kota Surabaya</t>
        </is>
      </c>
      <c r="C88" t="inlineStr">
        <is>
          <t>081332642262</t>
        </is>
      </c>
      <c r="D88" t="inlineStr">
        <is>
          <t>kalindo.contractor@gmail.com</t>
        </is>
      </c>
      <c r="E88" t="inlineStr">
        <is>
          <t>https://lpjk.pu.go.id/search-badan-usaha-detail/Q3Q3V3E1Z2xQVXgwQjdGRnZac01ZQT09</t>
        </is>
      </c>
      <c r="F88" t="n">
        <v>1</v>
      </c>
      <c r="G88" t="inlineStr">
        <is>
          <t>BG006</t>
        </is>
      </c>
      <c r="H88" t="inlineStr">
        <is>
          <t>30 Oktober 1995</t>
        </is>
      </c>
      <c r="I88" s="2" t="n">
        <v>46264</v>
      </c>
      <c r="J88" t="inlineStr">
        <is>
          <t>Disetujui</t>
        </is>
      </c>
      <c r="K88" t="n">
        <v>60</v>
      </c>
      <c r="L88" t="inlineStr">
        <is>
          <t>30 Agustus 2026</t>
        </is>
      </c>
      <c r="M88" t="inlineStr">
        <is>
          <t>Konstruksi Gedung Pendidikan</t>
        </is>
      </c>
      <c r="N88" t="inlineStr">
        <is>
          <t>K</t>
        </is>
      </c>
      <c r="O88" t="inlineStr">
        <is>
          <t>20230830</t>
        </is>
      </c>
      <c r="P88" t="inlineStr">
        <is>
          <t>Jawa Timur</t>
        </is>
      </c>
      <c r="Q88" t="inlineStr"/>
    </row>
    <row r="89">
      <c r="A89" t="inlineStr">
        <is>
          <t>KARTIKA CANDRA</t>
        </is>
      </c>
      <c r="B89" t="inlineStr">
        <is>
          <t>Kab. Jembrana</t>
        </is>
      </c>
      <c r="C89" t="inlineStr">
        <is>
          <t>081999264366</t>
        </is>
      </c>
      <c r="D89" t="inlineStr">
        <is>
          <t>cvkartikacantra@gmail.com</t>
        </is>
      </c>
      <c r="E89" t="inlineStr">
        <is>
          <t>https://lpjk.pu.go.id/search-badan-usaha-detail/NE0rNGdaa0VXZ0cvalcyY1d6VlRZZz09</t>
        </is>
      </c>
      <c r="F89" t="n">
        <v>2</v>
      </c>
      <c r="G89" t="inlineStr">
        <is>
          <t>BG006, BG009</t>
        </is>
      </c>
      <c r="H89" t="inlineStr">
        <is>
          <t>9 Maret 2011</t>
        </is>
      </c>
      <c r="I89" s="2" t="n">
        <v>46264</v>
      </c>
      <c r="J89" t="inlineStr">
        <is>
          <t>Disetujui</t>
        </is>
      </c>
      <c r="K89" t="n">
        <v>60</v>
      </c>
      <c r="L89" t="inlineStr">
        <is>
          <t>30 Agustus 2026</t>
        </is>
      </c>
      <c r="M89" t="inlineStr">
        <is>
          <t>Konstruksi Gedung Lainnya, Konstruksi Gedung Pendidikan</t>
        </is>
      </c>
      <c r="N89" t="inlineStr">
        <is>
          <t>K</t>
        </is>
      </c>
      <c r="O89" t="inlineStr">
        <is>
          <t>20230728, 20230826</t>
        </is>
      </c>
      <c r="P89" t="inlineStr">
        <is>
          <t>Bali</t>
        </is>
      </c>
      <c r="Q89" t="inlineStr"/>
    </row>
    <row r="90">
      <c r="A90" t="inlineStr">
        <is>
          <t>KARYA AGUNG BAROKAH</t>
        </is>
      </c>
      <c r="B90" t="inlineStr">
        <is>
          <t>Kab. Kulon Progo</t>
        </is>
      </c>
      <c r="C90" t="inlineStr">
        <is>
          <t>081809704904</t>
        </is>
      </c>
      <c r="D90" t="inlineStr">
        <is>
          <t>cvkaryaagungbarokah@gmail.com</t>
        </is>
      </c>
      <c r="E90" t="inlineStr">
        <is>
          <t>https://lpjk.pu.go.id/search-badan-usaha-detail/cmV6WWFyMmhlbTdwcXoxSkR0bkJCUT09</t>
        </is>
      </c>
      <c r="F90" t="n">
        <v>5</v>
      </c>
      <c r="G90" t="inlineStr">
        <is>
          <t>BG005, BG009</t>
        </is>
      </c>
      <c r="H90" t="inlineStr">
        <is>
          <t>24 Juli 2023</t>
        </is>
      </c>
      <c r="I90" s="2" t="n">
        <v>46264</v>
      </c>
      <c r="J90" t="inlineStr">
        <is>
          <t>Disetujui</t>
        </is>
      </c>
      <c r="K90" t="n">
        <v>60</v>
      </c>
      <c r="L90" t="inlineStr">
        <is>
          <t>30 Agustus 2026</t>
        </is>
      </c>
      <c r="M90" t="inlineStr">
        <is>
          <t>Konstruksi Gedung Kesehatan, Konstruksi Gedung Lainnya</t>
        </is>
      </c>
      <c r="N90" t="inlineStr">
        <is>
          <t>K</t>
        </is>
      </c>
      <c r="O90" t="inlineStr">
        <is>
          <t>20230829</t>
        </is>
      </c>
      <c r="P90" t="inlineStr">
        <is>
          <t>DI Yogyakarta</t>
        </is>
      </c>
      <c r="Q90" t="inlineStr"/>
    </row>
    <row r="91">
      <c r="A91" t="inlineStr">
        <is>
          <t>KARYA AGUNG MANDIRI JAYA</t>
        </is>
      </c>
      <c r="B91" t="inlineStr">
        <is>
          <t>Kab. Cirebon</t>
        </is>
      </c>
      <c r="C91" t="inlineStr">
        <is>
          <t>02318338121</t>
        </is>
      </c>
      <c r="D91" t="inlineStr">
        <is>
          <t>kamanja_pt@yahoo.com</t>
        </is>
      </c>
      <c r="E91" t="inlineStr">
        <is>
          <t>https://lpjk.pu.go.id/search-badan-usaha-detail/Y0cwUnNzQ3FiaVlCSUw1TmZndGtnZz09</t>
        </is>
      </c>
      <c r="F91" t="n">
        <v>1</v>
      </c>
      <c r="G91" t="inlineStr">
        <is>
          <t>BG002</t>
        </is>
      </c>
      <c r="H91" t="inlineStr">
        <is>
          <t>25 September 2008</t>
        </is>
      </c>
      <c r="I91" s="2" t="n">
        <v>46264</v>
      </c>
      <c r="J91" t="inlineStr">
        <is>
          <t>Disetujui</t>
        </is>
      </c>
      <c r="K91" t="n">
        <v>60</v>
      </c>
      <c r="L91" t="inlineStr">
        <is>
          <t>30 Agustus 2026</t>
        </is>
      </c>
      <c r="M91" t="inlineStr">
        <is>
          <t>Konstruksi Gedung Perkantoran</t>
        </is>
      </c>
      <c r="N91" t="inlineStr">
        <is>
          <t>M</t>
        </is>
      </c>
      <c r="O91" t="inlineStr">
        <is>
          <t>20230828</t>
        </is>
      </c>
      <c r="P91" t="inlineStr">
        <is>
          <t>Jawa Barat</t>
        </is>
      </c>
      <c r="Q91" t="inlineStr"/>
    </row>
    <row r="92">
      <c r="A92" t="inlineStr">
        <is>
          <t>KARYA BAHANA GEMILANG</t>
        </is>
      </c>
      <c r="B92" t="inlineStr">
        <is>
          <t>Kab. Tangerang</t>
        </is>
      </c>
      <c r="C92" t="inlineStr">
        <is>
          <t>081311332379</t>
        </is>
      </c>
      <c r="D92" t="inlineStr">
        <is>
          <t>hesto.biz@gmail.com</t>
        </is>
      </c>
      <c r="E92" t="inlineStr">
        <is>
          <t>https://lpjk.pu.go.id/search-badan-usaha-detail/VmE2bFBGUEtSVklYMWRYNmg3Y3VuUT09</t>
        </is>
      </c>
      <c r="F92" t="n">
        <v>2</v>
      </c>
      <c r="G92" t="inlineStr">
        <is>
          <t>BG006, BG008</t>
        </is>
      </c>
      <c r="H92" t="inlineStr">
        <is>
          <t>26 Maret 2018</t>
        </is>
      </c>
      <c r="I92" s="2" t="n">
        <v>46264</v>
      </c>
      <c r="J92" t="inlineStr">
        <is>
          <t>Disetujui</t>
        </is>
      </c>
      <c r="K92" t="n">
        <v>60</v>
      </c>
      <c r="L92" t="inlineStr">
        <is>
          <t>30 Agustus 2026</t>
        </is>
      </c>
      <c r="M92" t="inlineStr">
        <is>
          <t>Konstruksi Gedung Pendidikan, Konstruksi Gedung Tempat Hiburan dan Olahraga</t>
        </is>
      </c>
      <c r="N92" t="inlineStr">
        <is>
          <t>K</t>
        </is>
      </c>
      <c r="O92" t="inlineStr">
        <is>
          <t>20230827</t>
        </is>
      </c>
      <c r="P92" t="inlineStr">
        <is>
          <t>Banten</t>
        </is>
      </c>
      <c r="Q92" t="inlineStr"/>
    </row>
    <row r="93">
      <c r="A93" t="inlineStr">
        <is>
          <t>KARYA BHAKTI ABADI</t>
        </is>
      </c>
      <c r="B93" t="inlineStr">
        <is>
          <t>Kab. Aceh Barat</t>
        </is>
      </c>
      <c r="C93" t="inlineStr">
        <is>
          <t>085277214694</t>
        </is>
      </c>
      <c r="D93" t="inlineStr">
        <is>
          <t>kba_e_proc@yahoo.co.id</t>
        </is>
      </c>
      <c r="E93" t="inlineStr">
        <is>
          <t>https://lpjk.pu.go.id/search-badan-usaha-detail/LzRpWnNaazA5dnFLSDZHQ003S1NCUT09</t>
        </is>
      </c>
      <c r="F93" t="n">
        <v>2</v>
      </c>
      <c r="G93" t="inlineStr">
        <is>
          <t>BS002, BS004</t>
        </is>
      </c>
      <c r="H93" t="inlineStr">
        <is>
          <t>2 Mei 2000</t>
        </is>
      </c>
      <c r="I93" s="2" t="n">
        <v>46264</v>
      </c>
      <c r="J93" t="inlineStr">
        <is>
          <t>Disetujui</t>
        </is>
      </c>
      <c r="K93" t="n">
        <v>60</v>
      </c>
      <c r="L93" t="inlineStr">
        <is>
          <t>30 Agustus 2026</t>
        </is>
      </c>
      <c r="M93" t="inlineStr">
        <is>
          <t>Bangunan Sipil Jembatan, Jalan Layang, Fly Over, dan Underpass, Konstruksi Jaringan Irigasi dan Drainase</t>
        </is>
      </c>
      <c r="N93" t="inlineStr">
        <is>
          <t>K</t>
        </is>
      </c>
      <c r="O93" t="inlineStr">
        <is>
          <t>20230819</t>
        </is>
      </c>
      <c r="P93" t="inlineStr">
        <is>
          <t>Aceh</t>
        </is>
      </c>
      <c r="Q93" t="inlineStr"/>
    </row>
    <row r="94">
      <c r="A94" t="inlineStr">
        <is>
          <t>KARYA KITA</t>
        </is>
      </c>
      <c r="B94" t="inlineStr">
        <is>
          <t>Kota Banda Aceh</t>
        </is>
      </c>
      <c r="C94" t="inlineStr">
        <is>
          <t>082288216008</t>
        </is>
      </c>
      <c r="D94" t="inlineStr">
        <is>
          <t>karyakitasbu@gmail.com</t>
        </is>
      </c>
      <c r="E94" t="inlineStr">
        <is>
          <t>https://lpjk.pu.go.id/search-badan-usaha-detail/aG0wMjEvZjR2Q3p6NWozUjVtRjV0Zz09</t>
        </is>
      </c>
      <c r="F94" t="n">
        <v>2</v>
      </c>
      <c r="G94" t="inlineStr">
        <is>
          <t>BG007, BG009</t>
        </is>
      </c>
      <c r="H94" t="inlineStr">
        <is>
          <t>1 Maret 2022</t>
        </is>
      </c>
      <c r="I94" s="2" t="n">
        <v>46264</v>
      </c>
      <c r="J94" t="inlineStr">
        <is>
          <t>Disetujui</t>
        </is>
      </c>
      <c r="K94" t="n">
        <v>60</v>
      </c>
      <c r="L94" t="inlineStr">
        <is>
          <t>30 Agustus 2026</t>
        </is>
      </c>
      <c r="M94" t="inlineStr">
        <is>
          <t>Konstruksi Gedung Lainnya, Konstruksi Gedung Penginapan</t>
        </is>
      </c>
      <c r="N94" t="inlineStr">
        <is>
          <t>K</t>
        </is>
      </c>
      <c r="O94" t="inlineStr">
        <is>
          <t>20230829</t>
        </is>
      </c>
      <c r="P94" t="inlineStr">
        <is>
          <t>Aceh</t>
        </is>
      </c>
      <c r="Q94" t="inlineStr"/>
    </row>
    <row r="95">
      <c r="A95" t="inlineStr">
        <is>
          <t>KARYA UTAMA BANGKIT</t>
        </is>
      </c>
      <c r="B95" t="inlineStr">
        <is>
          <t>Kab. Boyolali</t>
        </is>
      </c>
      <c r="C95" t="inlineStr">
        <is>
          <t>085742559173</t>
        </is>
      </c>
      <c r="D95" t="inlineStr">
        <is>
          <t>karyautamaboyolali@yahoo.co.id</t>
        </is>
      </c>
      <c r="E95" t="inlineStr">
        <is>
          <t>https://lpjk.pu.go.id/search-badan-usaha-detail/ZzJ4UGxwV0JCNTlBb3hlSUpXU29zdz09</t>
        </is>
      </c>
      <c r="F95" t="n">
        <v>5</v>
      </c>
      <c r="G95" t="inlineStr">
        <is>
          <t>BG001, BG003, BG004, BS001, BS002</t>
        </is>
      </c>
      <c r="H95" t="inlineStr">
        <is>
          <t>22 Juni 2012</t>
        </is>
      </c>
      <c r="I95" s="2" t="n">
        <v>46264</v>
      </c>
      <c r="J95" t="inlineStr">
        <is>
          <t>Disetujui, Pencabutan</t>
        </is>
      </c>
      <c r="K95" t="n">
        <v>60</v>
      </c>
      <c r="L95" t="inlineStr">
        <is>
          <t>30 Agustus 2026</t>
        </is>
      </c>
      <c r="M95" t="inlineStr">
        <is>
          <t>Bangunan Sipil Jembatan, Jalan Layang, Fly Over, dan Underpass, Konstruksi Bangunan Sipil Jalan, Konstruksi Gedung Hunian, Konstruksi Gedung Industri, Konstruksi Gedung Perbelanjaan</t>
        </is>
      </c>
      <c r="N95" t="inlineStr">
        <is>
          <t>K</t>
        </is>
      </c>
      <c r="O95" t="inlineStr">
        <is>
          <t>20230828, 20230829</t>
        </is>
      </c>
      <c r="P95" t="inlineStr">
        <is>
          <t>Jawa Tengah</t>
        </is>
      </c>
      <c r="Q95" t="inlineStr"/>
    </row>
    <row r="96">
      <c r="A96" t="inlineStr">
        <is>
          <t>KEMBAR JAYA ABADI</t>
        </is>
      </c>
      <c r="B96" t="inlineStr">
        <is>
          <t>Kab. Boyolali</t>
        </is>
      </c>
      <c r="C96" t="inlineStr">
        <is>
          <t>0276324616</t>
        </is>
      </c>
      <c r="D96" t="inlineStr">
        <is>
          <t>mas3jokoo@gmail.com</t>
        </is>
      </c>
      <c r="E96" t="inlineStr">
        <is>
          <t>https://lpjk.pu.go.id/search-badan-usaha-detail/QmUvcGx5NzZGSDJJSmRWdmJrbThCZz09</t>
        </is>
      </c>
      <c r="F96" t="n">
        <v>3</v>
      </c>
      <c r="G96" t="inlineStr">
        <is>
          <t>BG006, BG009, BS001</t>
        </is>
      </c>
      <c r="H96" t="inlineStr">
        <is>
          <t>15 November 2011</t>
        </is>
      </c>
      <c r="I96" s="2" t="n">
        <v>46264</v>
      </c>
      <c r="J96" t="inlineStr">
        <is>
          <t>Disetujui, Pencabutan</t>
        </is>
      </c>
      <c r="K96" t="n">
        <v>60</v>
      </c>
      <c r="L96" t="inlineStr">
        <is>
          <t>30 Agustus 2026</t>
        </is>
      </c>
      <c r="M96" t="inlineStr">
        <is>
          <t>Konstruksi Bangunan Sipil Jalan, Konstruksi Gedung Lainnya, Konstruksi Gedung Pendidikan</t>
        </is>
      </c>
      <c r="N96" t="inlineStr">
        <is>
          <t>K</t>
        </is>
      </c>
      <c r="O96" t="inlineStr">
        <is>
          <t>20230826, 20230828</t>
        </is>
      </c>
      <c r="P96" t="inlineStr">
        <is>
          <t>Jawa Tengah</t>
        </is>
      </c>
      <c r="Q96" t="inlineStr"/>
    </row>
    <row r="97">
      <c r="A97" t="inlineStr">
        <is>
          <t>KEMBAR JAYA BITUNG</t>
        </is>
      </c>
      <c r="B97" t="inlineStr">
        <is>
          <t>Kota Bitung</t>
        </is>
      </c>
      <c r="C97" t="inlineStr">
        <is>
          <t>081356618392</t>
        </is>
      </c>
      <c r="D97" t="inlineStr">
        <is>
          <t>rudiytjandra1969@gmail.com</t>
        </is>
      </c>
      <c r="E97" t="inlineStr">
        <is>
          <t>https://lpjk.pu.go.id/search-badan-usaha-detail/QjJaeHNvUTVGOFJDeUpJVWZXRlVVZz09</t>
        </is>
      </c>
      <c r="F97" t="n">
        <v>3</v>
      </c>
      <c r="G97" t="inlineStr">
        <is>
          <t>BG002, BG006, BG009</t>
        </is>
      </c>
      <c r="H97" t="inlineStr">
        <is>
          <t>24 Februari 2006</t>
        </is>
      </c>
      <c r="I97" s="2" t="n">
        <v>46264</v>
      </c>
      <c r="J97" t="inlineStr">
        <is>
          <t>Disetujui</t>
        </is>
      </c>
      <c r="K97" t="n">
        <v>60</v>
      </c>
      <c r="L97" t="inlineStr">
        <is>
          <t>30 Agustus 2026</t>
        </is>
      </c>
      <c r="M97" t="inlineStr">
        <is>
          <t>Konstruksi Gedung Lainnya, Konstruksi Gedung Pendidikan, Konstruksi Gedung Perkantoran</t>
        </is>
      </c>
      <c r="N97" t="inlineStr">
        <is>
          <t>K</t>
        </is>
      </c>
      <c r="O97" t="inlineStr">
        <is>
          <t>20230823, 20230825, 20230828</t>
        </is>
      </c>
      <c r="P97" t="inlineStr">
        <is>
          <t>Sulawesi Utara</t>
        </is>
      </c>
      <c r="Q97" t="inlineStr"/>
    </row>
    <row r="98">
      <c r="A98" t="inlineStr">
        <is>
          <t>KEMBAR MANDIRI NUSANTARA</t>
        </is>
      </c>
      <c r="B98" t="inlineStr">
        <is>
          <t>Kab. Aceh Barat</t>
        </is>
      </c>
      <c r="C98" t="inlineStr">
        <is>
          <t>08116800676</t>
        </is>
      </c>
      <c r="D98" t="inlineStr">
        <is>
          <t>kembarmandirinusantara.cv@gmail.com</t>
        </is>
      </c>
      <c r="E98" t="inlineStr">
        <is>
          <t>https://lpjk.pu.go.id/search-badan-usaha-detail/MVZSbDFMSXRta1VzNWVBSlBObnZMZz09</t>
        </is>
      </c>
      <c r="F98" t="n">
        <v>4</v>
      </c>
      <c r="G98" t="inlineStr">
        <is>
          <t>BG001, BG005, BG008, BG009</t>
        </is>
      </c>
      <c r="H98" t="inlineStr">
        <is>
          <t>24 September 2012</t>
        </is>
      </c>
      <c r="I98" s="2" t="n">
        <v>46264</v>
      </c>
      <c r="J98" t="inlineStr">
        <is>
          <t>Pencabutan</t>
        </is>
      </c>
      <c r="K98" t="n">
        <v>60</v>
      </c>
      <c r="L98" t="inlineStr">
        <is>
          <t>30 Agustus 2026</t>
        </is>
      </c>
      <c r="M98" t="inlineStr">
        <is>
          <t>Konstruksi Gedung Hunian, Konstruksi Gedung Kesehatan, Konstruksi Gedung Lainnya, Konstruksi Gedung Tempat Hiburan dan Olahraga</t>
        </is>
      </c>
      <c r="N98" t="inlineStr">
        <is>
          <t>K</t>
        </is>
      </c>
      <c r="O98" t="inlineStr">
        <is>
          <t>20230825</t>
        </is>
      </c>
      <c r="P98" t="inlineStr">
        <is>
          <t>Aceh</t>
        </is>
      </c>
      <c r="Q98" t="inlineStr"/>
    </row>
    <row r="99">
      <c r="A99" t="inlineStr">
        <is>
          <t>KIARASI PERSADA PAPUA</t>
        </is>
      </c>
      <c r="B99" t="inlineStr">
        <is>
          <t>Kab. Manokwari</t>
        </is>
      </c>
      <c r="C99" t="inlineStr">
        <is>
          <t>082199277704</t>
        </is>
      </c>
      <c r="D99" t="inlineStr">
        <is>
          <t>pt.kiarasipersadapapua.@gmail.com</t>
        </is>
      </c>
      <c r="E99" t="inlineStr">
        <is>
          <t>https://lpjk.pu.go.id/search-badan-usaha-detail/bDZzT0x1STcxNllqZDBlYi81S0Qrdz09</t>
        </is>
      </c>
      <c r="F99" t="n">
        <v>1</v>
      </c>
      <c r="G99" t="inlineStr">
        <is>
          <t>BG001</t>
        </is>
      </c>
      <c r="H99" t="inlineStr">
        <is>
          <t>1 Februari 2023</t>
        </is>
      </c>
      <c r="I99" s="2" t="n">
        <v>46264</v>
      </c>
      <c r="J99" t="inlineStr">
        <is>
          <t>Pencabutan</t>
        </is>
      </c>
      <c r="K99" t="n">
        <v>60</v>
      </c>
      <c r="L99" t="inlineStr">
        <is>
          <t>30 Agustus 2026</t>
        </is>
      </c>
      <c r="M99" t="inlineStr">
        <is>
          <t>Konstruksi Gedung Hunian</t>
        </is>
      </c>
      <c r="N99" t="inlineStr">
        <is>
          <t>K</t>
        </is>
      </c>
      <c r="O99" t="inlineStr">
        <is>
          <t>20230831</t>
        </is>
      </c>
      <c r="P99" t="inlineStr">
        <is>
          <t>Papua Barat</t>
        </is>
      </c>
      <c r="Q99" t="inlineStr"/>
    </row>
    <row r="100">
      <c r="A100" t="inlineStr">
        <is>
          <t>KONSTRUKSI INDONESIA MANDIRI</t>
        </is>
      </c>
      <c r="B100" t="inlineStr">
        <is>
          <t>Kab. Malang</t>
        </is>
      </c>
      <c r="C100" t="inlineStr">
        <is>
          <t>081234424797</t>
        </is>
      </c>
      <c r="D100" t="inlineStr">
        <is>
          <t>pt.kontruksindomandiri@gmail.com</t>
        </is>
      </c>
      <c r="E100" t="inlineStr">
        <is>
          <t>https://lpjk.pu.go.id/search-badan-usaha-detail/R2N5dDRycGVOaUtpMlpORXVFWGJzQT09</t>
        </is>
      </c>
      <c r="F100" t="n">
        <v>1</v>
      </c>
      <c r="G100" t="inlineStr">
        <is>
          <t>BS001</t>
        </is>
      </c>
      <c r="H100" t="inlineStr">
        <is>
          <t>22 Juni 2012</t>
        </is>
      </c>
      <c r="I100" s="2" t="n">
        <v>46264</v>
      </c>
      <c r="J100" t="inlineStr">
        <is>
          <t>Pencabutan</t>
        </is>
      </c>
      <c r="K100" t="n">
        <v>60</v>
      </c>
      <c r="L100" t="inlineStr">
        <is>
          <t>30 Agustus 2026</t>
        </is>
      </c>
      <c r="M100" t="inlineStr">
        <is>
          <t>Konstruksi Bangunan Sipil Jalan</t>
        </is>
      </c>
      <c r="N100" t="inlineStr">
        <is>
          <t>M</t>
        </is>
      </c>
      <c r="O100" t="inlineStr">
        <is>
          <t>20230826</t>
        </is>
      </c>
      <c r="P100" t="inlineStr">
        <is>
          <t>Jawa Timur</t>
        </is>
      </c>
      <c r="Q100" t="inlineStr"/>
    </row>
    <row r="101">
      <c r="A101" t="inlineStr">
        <is>
          <t>KREASI DUTA PERKASA</t>
        </is>
      </c>
      <c r="B101" t="inlineStr">
        <is>
          <t>Kota Adm. Jakarta Selatan</t>
        </is>
      </c>
      <c r="C101" t="inlineStr">
        <is>
          <t>081399918813</t>
        </is>
      </c>
      <c r="D101" t="inlineStr">
        <is>
          <t>tarankasukses@gmail.com</t>
        </is>
      </c>
      <c r="E101" t="inlineStr">
        <is>
          <t>https://lpjk.pu.go.id/search-badan-usaha-detail/eVBDejkrd1ZqWmdrNzBkS0ZOR2wzUT09</t>
        </is>
      </c>
      <c r="F101" t="n">
        <v>1</v>
      </c>
      <c r="G101" t="inlineStr">
        <is>
          <t>BS009</t>
        </is>
      </c>
      <c r="H101" t="inlineStr">
        <is>
          <t>27 Desember 2022</t>
        </is>
      </c>
      <c r="I101" s="2" t="n">
        <v>46264</v>
      </c>
      <c r="J101" t="inlineStr">
        <is>
          <t>Pencabutan</t>
        </is>
      </c>
      <c r="K101" t="n">
        <v>60</v>
      </c>
      <c r="L101" t="inlineStr">
        <is>
          <t>30 Agustus 2026</t>
        </is>
      </c>
      <c r="M101" t="inlineStr">
        <is>
          <t>Konstruksi Sentral Telekomunikasi</t>
        </is>
      </c>
      <c r="N101" t="inlineStr">
        <is>
          <t>K</t>
        </is>
      </c>
      <c r="O101" t="inlineStr">
        <is>
          <t>20230830</t>
        </is>
      </c>
      <c r="P101" t="inlineStr">
        <is>
          <t>DKI Jakarta</t>
        </is>
      </c>
      <c r="Q101" t="inlineStr"/>
    </row>
    <row r="102">
      <c r="A102" t="inlineStr">
        <is>
          <t>LANCAR JAYA</t>
        </is>
      </c>
      <c r="B102" t="inlineStr">
        <is>
          <t>Kab. Timor Tengah Utara</t>
        </is>
      </c>
      <c r="C102" t="inlineStr">
        <is>
          <t>082146517799</t>
        </is>
      </c>
      <c r="D102" t="inlineStr">
        <is>
          <t>ljkefa@yahoo.com</t>
        </is>
      </c>
      <c r="E102" t="inlineStr">
        <is>
          <t>https://lpjk.pu.go.id/search-badan-usaha-detail/WllHYzVoMTBSOGdaaFRjVUFMNlBCdz09</t>
        </is>
      </c>
      <c r="F102" t="n">
        <v>1</v>
      </c>
      <c r="G102" t="inlineStr">
        <is>
          <t>BG002</t>
        </is>
      </c>
      <c r="H102" t="inlineStr">
        <is>
          <t>13 Januari 2016</t>
        </is>
      </c>
      <c r="I102" s="2" t="n">
        <v>46264</v>
      </c>
      <c r="J102" t="inlineStr">
        <is>
          <t>Disetujui</t>
        </is>
      </c>
      <c r="K102" t="n">
        <v>60</v>
      </c>
      <c r="L102" t="inlineStr">
        <is>
          <t>30 Agustus 2026</t>
        </is>
      </c>
      <c r="M102" t="inlineStr">
        <is>
          <t>Konstruksi Gedung Perkantoran</t>
        </is>
      </c>
      <c r="N102" t="inlineStr">
        <is>
          <t>K</t>
        </is>
      </c>
      <c r="O102" t="inlineStr">
        <is>
          <t>20230828</t>
        </is>
      </c>
      <c r="P102" t="inlineStr">
        <is>
          <t>Nusa Tenggara Timur</t>
        </is>
      </c>
      <c r="Q102" t="inlineStr"/>
    </row>
    <row r="103">
      <c r="A103" t="inlineStr">
        <is>
          <t>LANGGENG</t>
        </is>
      </c>
      <c r="B103" t="inlineStr">
        <is>
          <t>Kab. Bondowoso</t>
        </is>
      </c>
      <c r="C103" t="inlineStr">
        <is>
          <t>08123363023</t>
        </is>
      </c>
      <c r="D103" t="inlineStr">
        <is>
          <t>dhikofredly@yahoo.com</t>
        </is>
      </c>
      <c r="E103" t="inlineStr">
        <is>
          <t>https://lpjk.pu.go.id/search-badan-usaha-detail/ektEMXcvaVpqMDg2V2VNMXVVeUR6Zz09</t>
        </is>
      </c>
      <c r="F103" t="n">
        <v>2</v>
      </c>
      <c r="G103" t="inlineStr">
        <is>
          <t>BG009</t>
        </is>
      </c>
      <c r="H103" t="inlineStr">
        <is>
          <t>9 Maret 1983</t>
        </is>
      </c>
      <c r="I103" s="2" t="n">
        <v>46264</v>
      </c>
      <c r="J103" t="inlineStr">
        <is>
          <t>Disetujui</t>
        </is>
      </c>
      <c r="K103" t="n">
        <v>60</v>
      </c>
      <c r="L103" t="inlineStr">
        <is>
          <t>30 Agustus 2026</t>
        </is>
      </c>
      <c r="M103" t="inlineStr">
        <is>
          <t>Konstruksi Gedung Lainnya</t>
        </is>
      </c>
      <c r="N103" t="inlineStr">
        <is>
          <t>K</t>
        </is>
      </c>
      <c r="O103" t="inlineStr">
        <is>
          <t>20230825</t>
        </is>
      </c>
      <c r="P103" t="inlineStr">
        <is>
          <t>Jawa Timur</t>
        </is>
      </c>
      <c r="Q103" t="inlineStr"/>
    </row>
    <row r="104">
      <c r="A104" t="inlineStr">
        <is>
          <t>LAWANGIJO GRHARANA CONSULTANT</t>
        </is>
      </c>
      <c r="B104" t="inlineStr">
        <is>
          <t>Kab. Magetan</t>
        </is>
      </c>
      <c r="C104" t="inlineStr">
        <is>
          <t>0351893250</t>
        </is>
      </c>
      <c r="D104" t="inlineStr">
        <is>
          <t>lawangijogc@gmail.com</t>
        </is>
      </c>
      <c r="E104" t="inlineStr">
        <is>
          <t>https://lpjk.pu.go.id/search-badan-usaha-detail/NThsbEtoaVhuQisxVmIwYkhza2k3UT09</t>
        </is>
      </c>
      <c r="F104" t="n">
        <v>1</v>
      </c>
      <c r="G104" t="inlineStr">
        <is>
          <t>RK004</t>
        </is>
      </c>
      <c r="H104" t="inlineStr">
        <is>
          <t>20 November 2021</t>
        </is>
      </c>
      <c r="I104" s="2" t="n">
        <v>46264</v>
      </c>
      <c r="J104" t="inlineStr">
        <is>
          <t>Disetujui</t>
        </is>
      </c>
      <c r="K104" t="n">
        <v>60</v>
      </c>
      <c r="L104" t="inlineStr">
        <is>
          <t>30 Agustus 2026</t>
        </is>
      </c>
      <c r="M104" t="inlineStr">
        <is>
          <t>Jasa Rekayasa Pekerjaan Mekanikal Dalam Bangunan</t>
        </is>
      </c>
      <c r="N104" t="inlineStr">
        <is>
          <t>K</t>
        </is>
      </c>
      <c r="O104" t="inlineStr">
        <is>
          <t>20230815</t>
        </is>
      </c>
      <c r="P104" t="inlineStr">
        <is>
          <t>Jawa Timur</t>
        </is>
      </c>
      <c r="Q104" t="inlineStr"/>
    </row>
    <row r="105">
      <c r="A105" t="inlineStr">
        <is>
          <t>LUCKY INDONESIA</t>
        </is>
      </c>
      <c r="B105" t="inlineStr">
        <is>
          <t>Kota Tangerang Selatan</t>
        </is>
      </c>
      <c r="C105" t="inlineStr">
        <is>
          <t>087771616167</t>
        </is>
      </c>
      <c r="D105" t="inlineStr">
        <is>
          <t>luckyindonesia57@gmail.com</t>
        </is>
      </c>
      <c r="E105" t="inlineStr">
        <is>
          <t>https://lpjk.pu.go.id/search-badan-usaha-detail/Szh0WVZTK21ka09ZR2dVTkRZaTFlUT09</t>
        </is>
      </c>
      <c r="F105" t="n">
        <v>1</v>
      </c>
      <c r="G105" t="inlineStr">
        <is>
          <t>BG001</t>
        </is>
      </c>
      <c r="H105" t="inlineStr">
        <is>
          <t>18 Februari 2019</t>
        </is>
      </c>
      <c r="I105" s="2" t="n">
        <v>46264</v>
      </c>
      <c r="J105" t="inlineStr">
        <is>
          <t>Disetujui</t>
        </is>
      </c>
      <c r="K105" t="n">
        <v>60</v>
      </c>
      <c r="L105" t="inlineStr">
        <is>
          <t>30 Agustus 2026</t>
        </is>
      </c>
      <c r="M105" t="inlineStr">
        <is>
          <t>Konstruksi Gedung Hunian</t>
        </is>
      </c>
      <c r="N105" t="inlineStr">
        <is>
          <t>M</t>
        </is>
      </c>
      <c r="O105" t="inlineStr">
        <is>
          <t>20230405</t>
        </is>
      </c>
      <c r="P105" t="inlineStr">
        <is>
          <t>Banten</t>
        </is>
      </c>
      <c r="Q105" t="inlineStr"/>
    </row>
    <row r="106">
      <c r="A106" t="inlineStr">
        <is>
          <t>MAHANATA</t>
        </is>
      </c>
      <c r="B106" t="inlineStr">
        <is>
          <t>Kota Semarang</t>
        </is>
      </c>
      <c r="C106" t="inlineStr">
        <is>
          <t>087831027059</t>
        </is>
      </c>
      <c r="D106" t="inlineStr">
        <is>
          <t>dimasmundi@gmail.com</t>
        </is>
      </c>
      <c r="E106" t="inlineStr">
        <is>
          <t>https://lpjk.pu.go.id/search-badan-usaha-detail/bVA1OEhUVVVDbkV5VzdlUGNQbUp0QT09</t>
        </is>
      </c>
      <c r="F106" t="n">
        <v>3</v>
      </c>
      <c r="G106" t="inlineStr">
        <is>
          <t>BG002, BG006, BG009</t>
        </is>
      </c>
      <c r="H106" t="inlineStr">
        <is>
          <t>22 Juni 2012</t>
        </is>
      </c>
      <c r="I106" s="2" t="n">
        <v>46264</v>
      </c>
      <c r="J106" t="inlineStr">
        <is>
          <t>Disetujui</t>
        </is>
      </c>
      <c r="K106" t="n">
        <v>60</v>
      </c>
      <c r="L106" t="inlineStr">
        <is>
          <t>30 Agustus 2026</t>
        </is>
      </c>
      <c r="M106" t="inlineStr">
        <is>
          <t>Konstruksi Gedung Lainnya, Konstruksi Gedung Pendidikan, Konstruksi Gedung Perkantoran</t>
        </is>
      </c>
      <c r="N106" t="inlineStr">
        <is>
          <t>K</t>
        </is>
      </c>
      <c r="O106" t="inlineStr">
        <is>
          <t>20230829</t>
        </is>
      </c>
      <c r="P106" t="inlineStr">
        <is>
          <t>Jawa Tengah</t>
        </is>
      </c>
      <c r="Q106" t="inlineStr"/>
    </row>
    <row r="107">
      <c r="A107" t="inlineStr">
        <is>
          <t>MAHARI GROUP</t>
        </is>
      </c>
      <c r="B107" t="inlineStr">
        <is>
          <t>Kota Padang Sidempuan</t>
        </is>
      </c>
      <c r="C107" t="inlineStr">
        <is>
          <t>082276990785</t>
        </is>
      </c>
      <c r="D107" t="inlineStr">
        <is>
          <t>cvmaharigroup@gmail.com</t>
        </is>
      </c>
      <c r="E107" t="inlineStr">
        <is>
          <t>https://lpjk.pu.go.id/search-badan-usaha-detail/NjlUaGdxREJua0cvdzNtUGRwYXh2QT09</t>
        </is>
      </c>
      <c r="F107" t="n">
        <v>2</v>
      </c>
      <c r="G107" t="inlineStr">
        <is>
          <t>BS005</t>
        </is>
      </c>
      <c r="H107" t="inlineStr">
        <is>
          <t>11 Agustus 2023</t>
        </is>
      </c>
      <c r="I107" s="2" t="n">
        <v>46264</v>
      </c>
      <c r="J107" t="inlineStr">
        <is>
          <t>Disetujui</t>
        </is>
      </c>
      <c r="K107" t="n">
        <v>60</v>
      </c>
      <c r="L107" t="inlineStr">
        <is>
          <t>30 Agustus 2026</t>
        </is>
      </c>
      <c r="M107" t="inlineStr">
        <is>
          <t>Konstruksi Bangunan Sipil Pengolahan Air Bersih</t>
        </is>
      </c>
      <c r="N107" t="inlineStr">
        <is>
          <t>K</t>
        </is>
      </c>
      <c r="O107" t="inlineStr">
        <is>
          <t>20230831</t>
        </is>
      </c>
      <c r="P107" t="inlineStr">
        <is>
          <t>Sumatera Utara</t>
        </is>
      </c>
      <c r="Q107" t="inlineStr"/>
    </row>
    <row r="108">
      <c r="A108" t="inlineStr">
        <is>
          <t>MAHAWIRA</t>
        </is>
      </c>
      <c r="B108" t="inlineStr">
        <is>
          <t>Kota Pekalongan</t>
        </is>
      </c>
      <c r="C108" t="inlineStr">
        <is>
          <t>0895333724135</t>
        </is>
      </c>
      <c r="D108" t="inlineStr">
        <is>
          <t>cv.mahawira@gmail.com</t>
        </is>
      </c>
      <c r="E108" t="inlineStr">
        <is>
          <t>https://lpjk.pu.go.id/search-badan-usaha-detail/K2g0dUswclc1Ri9FMWRqRi9GemVMUT09</t>
        </is>
      </c>
      <c r="F108" t="n">
        <v>2</v>
      </c>
      <c r="G108" t="inlineStr">
        <is>
          <t>BG002, BG006</t>
        </is>
      </c>
      <c r="H108" t="inlineStr">
        <is>
          <t>31 Januari 2020</t>
        </is>
      </c>
      <c r="I108" s="2" t="n">
        <v>46264</v>
      </c>
      <c r="J108" t="inlineStr">
        <is>
          <t>Disetujui</t>
        </is>
      </c>
      <c r="K108" t="n">
        <v>60</v>
      </c>
      <c r="L108" t="inlineStr">
        <is>
          <t>30 Agustus 2026</t>
        </is>
      </c>
      <c r="M108" t="inlineStr">
        <is>
          <t>Konstruksi Gedung Pendidikan, Konstruksi Gedung Perkantoran</t>
        </is>
      </c>
      <c r="N108" t="inlineStr">
        <is>
          <t>K</t>
        </is>
      </c>
      <c r="O108" t="inlineStr">
        <is>
          <t>20230829</t>
        </is>
      </c>
      <c r="P108" t="inlineStr">
        <is>
          <t>Jawa Tengah</t>
        </is>
      </c>
      <c r="Q108" t="inlineStr"/>
    </row>
    <row r="109">
      <c r="A109" t="inlineStr">
        <is>
          <t>MAJU BERSAMA</t>
        </is>
      </c>
      <c r="B109" t="inlineStr">
        <is>
          <t>Kab. Nabire</t>
        </is>
      </c>
      <c r="C109" t="inlineStr">
        <is>
          <t>+6281281474305</t>
        </is>
      </c>
      <c r="D109" t="inlineStr">
        <is>
          <t>bersamamaju872@gmail.com</t>
        </is>
      </c>
      <c r="E109" t="inlineStr">
        <is>
          <t>https://lpjk.pu.go.id/search-badan-usaha-detail/LzJrbDBzdzlLSUtGV0QzazdtMFlmdz09</t>
        </is>
      </c>
      <c r="F109" t="n">
        <v>1</v>
      </c>
      <c r="G109" t="inlineStr">
        <is>
          <t>BG001</t>
        </is>
      </c>
      <c r="H109" t="inlineStr">
        <is>
          <t>9 September 2002</t>
        </is>
      </c>
      <c r="I109" s="2" t="n">
        <v>46264</v>
      </c>
      <c r="J109" t="inlineStr">
        <is>
          <t>Disetujui</t>
        </is>
      </c>
      <c r="K109" t="n">
        <v>60</v>
      </c>
      <c r="L109" t="inlineStr">
        <is>
          <t>30 Agustus 2026</t>
        </is>
      </c>
      <c r="M109" t="inlineStr">
        <is>
          <t>Konstruksi Gedung Hunian</t>
        </is>
      </c>
      <c r="N109" t="inlineStr">
        <is>
          <t>K</t>
        </is>
      </c>
      <c r="O109" t="inlineStr">
        <is>
          <t>20230831</t>
        </is>
      </c>
      <c r="P109" t="inlineStr">
        <is>
          <t>Papua</t>
        </is>
      </c>
      <c r="Q109" t="inlineStr"/>
    </row>
    <row r="110">
      <c r="A110" t="inlineStr">
        <is>
          <t>MATARIS</t>
        </is>
      </c>
      <c r="B110" t="inlineStr">
        <is>
          <t>Kab. Sumenep</t>
        </is>
      </c>
      <c r="C110" t="inlineStr">
        <is>
          <t>081703209200</t>
        </is>
      </c>
      <c r="D110" t="inlineStr">
        <is>
          <t>cvmataris@gmail.com</t>
        </is>
      </c>
      <c r="E110" t="inlineStr">
        <is>
          <t>https://lpjk.pu.go.id/search-badan-usaha-detail/QlFXcGR5bVVvMjN5bENTZlJrOEVhQT09</t>
        </is>
      </c>
      <c r="F110" t="n">
        <v>1</v>
      </c>
      <c r="G110" t="inlineStr">
        <is>
          <t>BS001</t>
        </is>
      </c>
      <c r="H110" t="inlineStr">
        <is>
          <t>6 April 2001</t>
        </is>
      </c>
      <c r="I110" s="2" t="n">
        <v>46264</v>
      </c>
      <c r="J110" t="inlineStr">
        <is>
          <t>Disetujui</t>
        </is>
      </c>
      <c r="K110" t="n">
        <v>60</v>
      </c>
      <c r="L110" t="inlineStr">
        <is>
          <t>30 Agustus 2026</t>
        </is>
      </c>
      <c r="M110" t="inlineStr">
        <is>
          <t>Konstruksi Bangunan Sipil Jalan</t>
        </is>
      </c>
      <c r="N110" t="inlineStr">
        <is>
          <t>K</t>
        </is>
      </c>
      <c r="O110" t="inlineStr">
        <is>
          <t>20230828</t>
        </is>
      </c>
      <c r="P110" t="inlineStr">
        <is>
          <t>Jawa Timur</t>
        </is>
      </c>
      <c r="Q110" t="inlineStr"/>
    </row>
    <row r="111">
      <c r="A111" t="inlineStr">
        <is>
          <t>MAWAR MERAH</t>
        </is>
      </c>
      <c r="B111" t="inlineStr">
        <is>
          <t>Kab. Kudus</t>
        </is>
      </c>
      <c r="C111" t="inlineStr">
        <is>
          <t>08157612703</t>
        </is>
      </c>
      <c r="D111" t="inlineStr">
        <is>
          <t>mawarmerahcv@ymail.com</t>
        </is>
      </c>
      <c r="E111" t="inlineStr">
        <is>
          <t>https://lpjk.pu.go.id/search-badan-usaha-detail/ZVc2NGhDcGJMTVYwd2JqZDdGa1Mvdz09</t>
        </is>
      </c>
      <c r="F111" t="n">
        <v>5</v>
      </c>
      <c r="G111" t="inlineStr">
        <is>
          <t>BG005, BS010</t>
        </is>
      </c>
      <c r="H111" t="inlineStr">
        <is>
          <t>23 Juni 2003</t>
        </is>
      </c>
      <c r="I111" s="2" t="n">
        <v>46264</v>
      </c>
      <c r="J111" t="inlineStr">
        <is>
          <t>Disetujui</t>
        </is>
      </c>
      <c r="K111" t="n">
        <v>60</v>
      </c>
      <c r="L111" t="inlineStr">
        <is>
          <t>30 Agustus 2026</t>
        </is>
      </c>
      <c r="M111" t="inlineStr">
        <is>
          <t>Konstruksi Bangunan Prasarana Sumber Daya Air, Konstruksi Gedung Kesehatan</t>
        </is>
      </c>
      <c r="N111" t="inlineStr">
        <is>
          <t>K</t>
        </is>
      </c>
      <c r="O111" t="inlineStr">
        <is>
          <t>20230828</t>
        </is>
      </c>
      <c r="P111" t="inlineStr">
        <is>
          <t>Jawa Tengah</t>
        </is>
      </c>
      <c r="Q111" t="inlineStr"/>
    </row>
    <row r="112">
      <c r="A112" t="inlineStr">
        <is>
          <t>MAY BORY SUP</t>
        </is>
      </c>
      <c r="B112" t="inlineStr">
        <is>
          <t>Kab. Biak Numfor</t>
        </is>
      </c>
      <c r="C112" t="inlineStr">
        <is>
          <t>-</t>
        </is>
      </c>
      <c r="D112" t="inlineStr">
        <is>
          <t>borysupcvmay@gmail.com</t>
        </is>
      </c>
      <c r="E112" t="inlineStr">
        <is>
          <t>https://lpjk.pu.go.id/search-badan-usaha-detail/YnNqMjlaOGV0cVFCZ2Rsc294Rm9BQT09</t>
        </is>
      </c>
      <c r="F112" t="n">
        <v>3</v>
      </c>
      <c r="G112" t="inlineStr">
        <is>
          <t>BG002, BG006, BG008</t>
        </is>
      </c>
      <c r="H112" t="inlineStr">
        <is>
          <t>11 Februari 2008</t>
        </is>
      </c>
      <c r="I112" s="2" t="n">
        <v>46264</v>
      </c>
      <c r="J112" t="inlineStr">
        <is>
          <t>Disetujui</t>
        </is>
      </c>
      <c r="K112" t="n">
        <v>60</v>
      </c>
      <c r="L112" t="inlineStr">
        <is>
          <t>30 Agustus 2026</t>
        </is>
      </c>
      <c r="M112" t="inlineStr">
        <is>
          <t>Konstruksi Gedung Pendidikan, Konstruksi Gedung Perkantoran, Konstruksi Gedung Tempat Hiburan dan Olahraga</t>
        </is>
      </c>
      <c r="N112" t="inlineStr">
        <is>
          <t>K</t>
        </is>
      </c>
      <c r="O112" t="inlineStr">
        <is>
          <t>20230816</t>
        </is>
      </c>
      <c r="P112" t="inlineStr">
        <is>
          <t>Papua</t>
        </is>
      </c>
      <c r="Q112" t="inlineStr"/>
    </row>
    <row r="113">
      <c r="A113" t="inlineStr">
        <is>
          <t>MEKAR ABADI JAYA</t>
        </is>
      </c>
      <c r="B113" t="inlineStr">
        <is>
          <t>Kab. Belitung Timur</t>
        </is>
      </c>
      <c r="C113" t="inlineStr">
        <is>
          <t>082130991107</t>
        </is>
      </c>
      <c r="D113" t="inlineStr">
        <is>
          <t>mekarabadijaya2012@gmail.com</t>
        </is>
      </c>
      <c r="E113" t="inlineStr">
        <is>
          <t>https://lpjk.pu.go.id/search-badan-usaha-detail/ZjQ3bnF0NlE5RkRia1p6RisvY1YzUT09</t>
        </is>
      </c>
      <c r="F113" t="n">
        <v>4</v>
      </c>
      <c r="G113" t="inlineStr">
        <is>
          <t>BG005, BG009</t>
        </is>
      </c>
      <c r="H113" t="inlineStr">
        <is>
          <t>17 Oktober 2012</t>
        </is>
      </c>
      <c r="I113" s="2" t="n">
        <v>46264</v>
      </c>
      <c r="J113" t="inlineStr">
        <is>
          <t>Disetujui</t>
        </is>
      </c>
      <c r="K113" t="n">
        <v>60</v>
      </c>
      <c r="L113" t="inlineStr">
        <is>
          <t>30 Agustus 2026</t>
        </is>
      </c>
      <c r="M113" t="inlineStr">
        <is>
          <t>Konstruksi Gedung Kesehatan, Konstruksi Gedung Lainnya</t>
        </is>
      </c>
      <c r="N113" t="inlineStr">
        <is>
          <t>K</t>
        </is>
      </c>
      <c r="O113" t="inlineStr">
        <is>
          <t>20230828</t>
        </is>
      </c>
      <c r="P113" t="inlineStr">
        <is>
          <t>Kepulauan Bangka Belitung</t>
        </is>
      </c>
      <c r="Q113" t="inlineStr"/>
    </row>
    <row r="114">
      <c r="A114" t="inlineStr">
        <is>
          <t>MITRA ABADI</t>
        </is>
      </c>
      <c r="B114" t="inlineStr">
        <is>
          <t>Kab. Belitung</t>
        </is>
      </c>
      <c r="C114" t="inlineStr">
        <is>
          <t>081995644433</t>
        </is>
      </c>
      <c r="D114" t="inlineStr">
        <is>
          <t>abadi.m3030@gmail.com</t>
        </is>
      </c>
      <c r="E114" t="inlineStr">
        <is>
          <t>https://lpjk.pu.go.id/search-badan-usaha-detail/TGtSWXV2ZlAxKzBNMmEwbTJXM1prdz09</t>
        </is>
      </c>
      <c r="F114" t="n">
        <v>2</v>
      </c>
      <c r="G114" t="inlineStr">
        <is>
          <t>BG006, BS001</t>
        </is>
      </c>
      <c r="H114" t="inlineStr">
        <is>
          <t>29 November 2017</t>
        </is>
      </c>
      <c r="I114" s="2" t="n">
        <v>46264</v>
      </c>
      <c r="J114" t="inlineStr">
        <is>
          <t>Disetujui</t>
        </is>
      </c>
      <c r="K114" t="n">
        <v>60</v>
      </c>
      <c r="L114" t="inlineStr">
        <is>
          <t>30 Agustus 2026</t>
        </is>
      </c>
      <c r="M114" t="inlineStr">
        <is>
          <t>Konstruksi Bangunan Sipil Jalan, Konstruksi Gedung Pendidikan</t>
        </is>
      </c>
      <c r="N114" t="inlineStr">
        <is>
          <t>K</t>
        </is>
      </c>
      <c r="O114" t="inlineStr">
        <is>
          <t>20230829</t>
        </is>
      </c>
      <c r="P114" t="inlineStr">
        <is>
          <t>Kepulauan Bangka Belitung</t>
        </is>
      </c>
      <c r="Q114" t="inlineStr"/>
    </row>
    <row r="115">
      <c r="A115" t="inlineStr">
        <is>
          <t>MITRA MANDALA JAYA</t>
        </is>
      </c>
      <c r="B115" t="inlineStr">
        <is>
          <t>Kab. Sidoarjo</t>
        </is>
      </c>
      <c r="C115" t="inlineStr">
        <is>
          <t>03158209465</t>
        </is>
      </c>
      <c r="D115" t="inlineStr">
        <is>
          <t>mitramandalajaya@gmail.com</t>
        </is>
      </c>
      <c r="E115" t="inlineStr">
        <is>
          <t>https://lpjk.pu.go.id/search-badan-usaha-detail/L3RQVzZBZjRGREdjL3doZDdtUE5uUT09</t>
        </is>
      </c>
      <c r="F115" t="n">
        <v>1</v>
      </c>
      <c r="G115" t="inlineStr">
        <is>
          <t>BS011</t>
        </is>
      </c>
      <c r="H115" t="inlineStr">
        <is>
          <t>19 November 2009</t>
        </is>
      </c>
      <c r="I115" s="2" t="n">
        <v>46264</v>
      </c>
      <c r="J115" t="inlineStr">
        <is>
          <t>Pencabutan</t>
        </is>
      </c>
      <c r="K115" t="n">
        <v>60</v>
      </c>
      <c r="L115" t="inlineStr">
        <is>
          <t>30 Agustus 2026</t>
        </is>
      </c>
      <c r="M115" t="inlineStr">
        <is>
          <t>Konstruksi Bangunan Pelabuhan Bukan Perikanan</t>
        </is>
      </c>
      <c r="N115" t="inlineStr">
        <is>
          <t>M</t>
        </is>
      </c>
      <c r="O115" t="inlineStr">
        <is>
          <t>20230808</t>
        </is>
      </c>
      <c r="P115" t="inlineStr">
        <is>
          <t>Jawa Timur</t>
        </is>
      </c>
      <c r="Q115" t="inlineStr"/>
    </row>
    <row r="116">
      <c r="A116" t="inlineStr">
        <is>
          <t>MUARA MULIA TEKNIK</t>
        </is>
      </c>
      <c r="B116" t="inlineStr">
        <is>
          <t>Kab. Tapanuli Selatan</t>
        </is>
      </c>
      <c r="C116" t="inlineStr">
        <is>
          <t>081376656164</t>
        </is>
      </c>
      <c r="D116" t="inlineStr">
        <is>
          <t>muaramuliateknik@gmail.com</t>
        </is>
      </c>
      <c r="E116" t="inlineStr">
        <is>
          <t>https://lpjk.pu.go.id/search-badan-usaha-detail/eVFERDhsdEl5U29JSGVJTVZRRUVyUT09</t>
        </is>
      </c>
      <c r="F116" t="n">
        <v>1</v>
      </c>
      <c r="G116" t="inlineStr">
        <is>
          <t>BG009</t>
        </is>
      </c>
      <c r="H116" t="inlineStr">
        <is>
          <t>19 November 2020</t>
        </is>
      </c>
      <c r="I116" s="2" t="n">
        <v>46264</v>
      </c>
      <c r="J116" t="inlineStr">
        <is>
          <t>Pencabutan</t>
        </is>
      </c>
      <c r="K116" t="n">
        <v>60</v>
      </c>
      <c r="L116" t="inlineStr">
        <is>
          <t>30 Agustus 2026</t>
        </is>
      </c>
      <c r="M116" t="inlineStr">
        <is>
          <t>Konstruksi Gedung Lainnya</t>
        </is>
      </c>
      <c r="N116" t="inlineStr">
        <is>
          <t>K</t>
        </is>
      </c>
      <c r="O116" t="inlineStr">
        <is>
          <t>20230824</t>
        </is>
      </c>
      <c r="P116" t="inlineStr">
        <is>
          <t>Sumatera Utara</t>
        </is>
      </c>
      <c r="Q116" t="inlineStr"/>
    </row>
    <row r="117">
      <c r="A117" t="inlineStr">
        <is>
          <t>MULYA WIJAYA</t>
        </is>
      </c>
      <c r="B117" t="inlineStr">
        <is>
          <t>Kab. Cianjur</t>
        </is>
      </c>
      <c r="C117" t="inlineStr">
        <is>
          <t>081288529958</t>
        </is>
      </c>
      <c r="D117" t="inlineStr">
        <is>
          <t>mulyawijaya_cv@yahoo.com</t>
        </is>
      </c>
      <c r="E117" t="inlineStr">
        <is>
          <t>https://lpjk.pu.go.id/search-badan-usaha-detail/ano4WlAwY0l0ZGl0ZStFbTAwWkQ3Zz09</t>
        </is>
      </c>
      <c r="F117" t="n">
        <v>1</v>
      </c>
      <c r="G117" t="inlineStr">
        <is>
          <t>BS005</t>
        </is>
      </c>
      <c r="H117" t="inlineStr">
        <is>
          <t>21 September 2015</t>
        </is>
      </c>
      <c r="I117" s="2" t="n">
        <v>46264</v>
      </c>
      <c r="J117" t="inlineStr">
        <is>
          <t>Disetujui</t>
        </is>
      </c>
      <c r="K117" t="n">
        <v>60</v>
      </c>
      <c r="L117" t="inlineStr">
        <is>
          <t>30 Agustus 2026</t>
        </is>
      </c>
      <c r="M117" t="inlineStr">
        <is>
          <t>Konstruksi Bangunan Sipil Pengolahan Air Bersih</t>
        </is>
      </c>
      <c r="N117" t="inlineStr">
        <is>
          <t>K</t>
        </is>
      </c>
      <c r="O117" t="inlineStr">
        <is>
          <t>20230830</t>
        </is>
      </c>
      <c r="P117" t="inlineStr">
        <is>
          <t>Jawa Barat</t>
        </is>
      </c>
      <c r="Q117" t="inlineStr"/>
    </row>
    <row r="118">
      <c r="A118" t="inlineStr">
        <is>
          <t>MUTIARA HITAM</t>
        </is>
      </c>
      <c r="B118" t="inlineStr">
        <is>
          <t>Kab. Bone</t>
        </is>
      </c>
      <c r="C118" t="inlineStr">
        <is>
          <t>082194258350</t>
        </is>
      </c>
      <c r="D118" t="inlineStr">
        <is>
          <t>Mutiara.hitam074@gmail.com</t>
        </is>
      </c>
      <c r="E118" t="inlineStr">
        <is>
          <t>https://lpjk.pu.go.id/search-badan-usaha-detail/RFgxSEpMQ2U1WnlrTlUvUUUzMEFpUT09</t>
        </is>
      </c>
      <c r="F118" t="n">
        <v>2</v>
      </c>
      <c r="G118" t="inlineStr">
        <is>
          <t>BS016</t>
        </is>
      </c>
      <c r="H118" t="inlineStr">
        <is>
          <t>8 Januari 2014</t>
        </is>
      </c>
      <c r="I118" s="2" t="n">
        <v>46264</v>
      </c>
      <c r="J118" t="inlineStr">
        <is>
          <t>Disetujui</t>
        </is>
      </c>
      <c r="K118" t="n">
        <v>60</v>
      </c>
      <c r="L118" t="inlineStr">
        <is>
          <t>30 Agustus 2026</t>
        </is>
      </c>
      <c r="M118" t="inlineStr">
        <is>
          <t>Konstruksi Bangunan Sipil Fasilitas Olah Raga</t>
        </is>
      </c>
      <c r="N118" t="inlineStr">
        <is>
          <t>K</t>
        </is>
      </c>
      <c r="O118" t="inlineStr">
        <is>
          <t>20230829</t>
        </is>
      </c>
      <c r="P118" t="inlineStr">
        <is>
          <t>Sulawesi Selatan</t>
        </is>
      </c>
      <c r="Q118" t="inlineStr"/>
    </row>
    <row r="119">
      <c r="A119" t="inlineStr">
        <is>
          <t>MUTIARA KONSULTAN</t>
        </is>
      </c>
      <c r="B119" t="inlineStr">
        <is>
          <t>Kota Surabaya</t>
        </is>
      </c>
      <c r="C119" t="inlineStr">
        <is>
          <t>082141320048</t>
        </is>
      </c>
      <c r="D119" t="inlineStr">
        <is>
          <t>cvmutiarakonsultan1@gmail.com</t>
        </is>
      </c>
      <c r="E119" t="inlineStr">
        <is>
          <t>https://lpjk.pu.go.id/search-badan-usaha-detail/Mk03cVh0ejBLMmI3VE13UkdjbmZHZz09</t>
        </is>
      </c>
      <c r="F119" t="n">
        <v>2</v>
      </c>
      <c r="G119" t="inlineStr">
        <is>
          <t>RK001</t>
        </is>
      </c>
      <c r="H119" t="inlineStr">
        <is>
          <t>15 Maret 2016</t>
        </is>
      </c>
      <c r="I119" s="2" t="n">
        <v>46264</v>
      </c>
      <c r="J119" t="inlineStr">
        <is>
          <t>Disetujui</t>
        </is>
      </c>
      <c r="K119" t="n">
        <v>60</v>
      </c>
      <c r="L119" t="inlineStr">
        <is>
          <t>30 Agustus 2026</t>
        </is>
      </c>
      <c r="M119" t="inlineStr">
        <is>
          <t>Jasa Rekayasa Konstruksi Bangunan Gedung Hunian dan Non Hunian</t>
        </is>
      </c>
      <c r="N119" t="inlineStr">
        <is>
          <t>K</t>
        </is>
      </c>
      <c r="O119" t="inlineStr">
        <is>
          <t>20230808</t>
        </is>
      </c>
      <c r="P119" t="inlineStr">
        <is>
          <t>Jawa Timur</t>
        </is>
      </c>
      <c r="Q119" t="inlineStr"/>
    </row>
    <row r="120">
      <c r="A120" t="inlineStr">
        <is>
          <t>MUTIARA TIMUR CONTRACTOR</t>
        </is>
      </c>
      <c r="B120" t="inlineStr">
        <is>
          <t>Kab. Bantul</t>
        </is>
      </c>
      <c r="C120" t="inlineStr">
        <is>
          <t>082134173446</t>
        </is>
      </c>
      <c r="D120" t="inlineStr">
        <is>
          <t>mutiaratimurcontractor.cv@gmail.com</t>
        </is>
      </c>
      <c r="E120" t="inlineStr">
        <is>
          <t>https://lpjk.pu.go.id/search-badan-usaha-detail/a010aEp1enJZcVorZGJSckx4bGMzQT09</t>
        </is>
      </c>
      <c r="F120" t="n">
        <v>1</v>
      </c>
      <c r="G120" t="inlineStr">
        <is>
          <t>BS001</t>
        </is>
      </c>
      <c r="H120" t="inlineStr">
        <is>
          <t>5 Maret 2020</t>
        </is>
      </c>
      <c r="I120" s="2" t="n">
        <v>46264</v>
      </c>
      <c r="J120" t="inlineStr">
        <is>
          <t>Disetujui</t>
        </is>
      </c>
      <c r="K120" t="n">
        <v>60</v>
      </c>
      <c r="L120" t="inlineStr">
        <is>
          <t>30 Agustus 2026</t>
        </is>
      </c>
      <c r="M120" t="inlineStr">
        <is>
          <t>Konstruksi Bangunan Sipil Jalan</t>
        </is>
      </c>
      <c r="N120" t="inlineStr">
        <is>
          <t>K</t>
        </is>
      </c>
      <c r="O120" t="inlineStr">
        <is>
          <t>20230830</t>
        </is>
      </c>
      <c r="P120" t="inlineStr">
        <is>
          <t>DI Yogyakarta</t>
        </is>
      </c>
      <c r="Q120" t="inlineStr"/>
    </row>
    <row r="121">
      <c r="A121" t="inlineStr">
        <is>
          <t>NABILA JAYA ABADI</t>
        </is>
      </c>
      <c r="B121" t="inlineStr">
        <is>
          <t>Kab. Tanah Bumbu</t>
        </is>
      </c>
      <c r="C121" t="inlineStr">
        <is>
          <t>081253807387</t>
        </is>
      </c>
      <c r="D121" t="inlineStr">
        <is>
          <t>nabilajayaabadi123@gmail.com</t>
        </is>
      </c>
      <c r="E121" t="inlineStr">
        <is>
          <t>https://lpjk.pu.go.id/search-badan-usaha-detail/ZUU4OUlybVBQdmI2SExuMWE5b0hXdz09</t>
        </is>
      </c>
      <c r="F121" t="n">
        <v>2</v>
      </c>
      <c r="G121" t="inlineStr">
        <is>
          <t>BS004</t>
        </is>
      </c>
      <c r="H121" t="inlineStr">
        <is>
          <t>28 Juni 2014</t>
        </is>
      </c>
      <c r="I121" s="2" t="n">
        <v>46264</v>
      </c>
      <c r="J121" t="inlineStr">
        <is>
          <t>Disetujui</t>
        </is>
      </c>
      <c r="K121" t="n">
        <v>60</v>
      </c>
      <c r="L121" t="inlineStr">
        <is>
          <t>30 Agustus 2026</t>
        </is>
      </c>
      <c r="M121" t="inlineStr">
        <is>
          <t>Konstruksi Jaringan Irigasi dan Drainase</t>
        </is>
      </c>
      <c r="N121" t="inlineStr">
        <is>
          <t>K</t>
        </is>
      </c>
      <c r="O121" t="inlineStr">
        <is>
          <t>20230829</t>
        </is>
      </c>
      <c r="P121" t="inlineStr">
        <is>
          <t>Kalimantan Selatan</t>
        </is>
      </c>
      <c r="Q121" t="inlineStr"/>
    </row>
    <row r="122">
      <c r="A122" t="inlineStr">
        <is>
          <t>NABILA ZASKI ABADI</t>
        </is>
      </c>
      <c r="B122" t="inlineStr">
        <is>
          <t>Kab. Kolaka</t>
        </is>
      </c>
      <c r="C122" t="inlineStr">
        <is>
          <t>085299317511</t>
        </is>
      </c>
      <c r="D122" t="inlineStr">
        <is>
          <t>nabilaabadi41@gmail.com</t>
        </is>
      </c>
      <c r="E122" t="inlineStr">
        <is>
          <t>https://lpjk.pu.go.id/search-badan-usaha-detail/YWFudUMxelhpelp0dTFibENaRWtkdz09</t>
        </is>
      </c>
      <c r="F122" t="n">
        <v>4</v>
      </c>
      <c r="G122" t="inlineStr">
        <is>
          <t>BS001, BS004</t>
        </is>
      </c>
      <c r="H122" t="inlineStr">
        <is>
          <t>12 Februari 2015</t>
        </is>
      </c>
      <c r="I122" s="2" t="n">
        <v>46264</v>
      </c>
      <c r="J122" t="inlineStr">
        <is>
          <t>Disetujui</t>
        </is>
      </c>
      <c r="K122" t="n">
        <v>60</v>
      </c>
      <c r="L122" t="inlineStr">
        <is>
          <t>30 Agustus 2026</t>
        </is>
      </c>
      <c r="M122" t="inlineStr">
        <is>
          <t>Konstruksi Bangunan Sipil Jalan, Konstruksi Jaringan Irigasi dan Drainase</t>
        </is>
      </c>
      <c r="N122" t="inlineStr">
        <is>
          <t>K</t>
        </is>
      </c>
      <c r="O122" t="inlineStr">
        <is>
          <t>20230828</t>
        </is>
      </c>
      <c r="P122" t="inlineStr">
        <is>
          <t>Sulawesi Tenggara</t>
        </is>
      </c>
      <c r="Q122" t="inlineStr"/>
    </row>
    <row r="123">
      <c r="A123" t="inlineStr">
        <is>
          <t>NAYAKA AGUNG</t>
        </is>
      </c>
      <c r="B123" t="inlineStr">
        <is>
          <t>Kab. Cilacap</t>
        </is>
      </c>
      <c r="C123" t="inlineStr">
        <is>
          <t>081328013636</t>
        </is>
      </c>
      <c r="D123" t="inlineStr">
        <is>
          <t>pt_nayaka_agung@yahoo.co.id</t>
        </is>
      </c>
      <c r="E123" t="inlineStr">
        <is>
          <t>https://lpjk.pu.go.id/search-badan-usaha-detail/dHhFOWtrdGNBcE5ydzZWSzkyVFM2QT09</t>
        </is>
      </c>
      <c r="F123" t="n">
        <v>4</v>
      </c>
      <c r="G123" t="inlineStr">
        <is>
          <t>BG001, BG004, BG005, BG006</t>
        </is>
      </c>
      <c r="H123" t="inlineStr">
        <is>
          <t>6 Oktober 2006</t>
        </is>
      </c>
      <c r="I123" s="2" t="n">
        <v>46264</v>
      </c>
      <c r="J123" t="inlineStr">
        <is>
          <t>Disetujui</t>
        </is>
      </c>
      <c r="K123" t="n">
        <v>60</v>
      </c>
      <c r="L123" t="inlineStr">
        <is>
          <t>30 Agustus 2026</t>
        </is>
      </c>
      <c r="M123" t="inlineStr">
        <is>
          <t>Konstruksi Gedung Hunian, Konstruksi Gedung Kesehatan, Konstruksi Gedung Pendidikan, Konstruksi Gedung Perbelanjaan</t>
        </is>
      </c>
      <c r="N123" t="inlineStr">
        <is>
          <t>K</t>
        </is>
      </c>
      <c r="O123" t="inlineStr">
        <is>
          <t>20230828, 20230829</t>
        </is>
      </c>
      <c r="P123" t="inlineStr">
        <is>
          <t>Jawa Tengah</t>
        </is>
      </c>
      <c r="Q123" t="inlineStr"/>
    </row>
    <row r="124">
      <c r="A124" t="inlineStr">
        <is>
          <t>NIAGA SUBATRA KONSTRUKSI</t>
        </is>
      </c>
      <c r="B124" t="inlineStr">
        <is>
          <t>Kota Bau Bau</t>
        </is>
      </c>
      <c r="C124" t="inlineStr">
        <is>
          <t>082271226654</t>
        </is>
      </c>
      <c r="D124" t="inlineStr">
        <is>
          <t>cvniagasubatrakonstruksi@gmail.com</t>
        </is>
      </c>
      <c r="E124" t="inlineStr">
        <is>
          <t>https://lpjk.pu.go.id/search-badan-usaha-detail/bTgreVhsWmI4OFY4YjZQWmJjSTdKZz09</t>
        </is>
      </c>
      <c r="F124" t="n">
        <v>1</v>
      </c>
      <c r="G124" t="inlineStr">
        <is>
          <t>BG009</t>
        </is>
      </c>
      <c r="H124" t="inlineStr">
        <is>
          <t>19 Juni 2023</t>
        </is>
      </c>
      <c r="I124" s="2" t="n">
        <v>46264</v>
      </c>
      <c r="J124" t="inlineStr">
        <is>
          <t>Disetujui</t>
        </is>
      </c>
      <c r="K124" t="n">
        <v>60</v>
      </c>
      <c r="L124" t="inlineStr">
        <is>
          <t>30 Agustus 2026</t>
        </is>
      </c>
      <c r="M124" t="inlineStr">
        <is>
          <t>Konstruksi Gedung Lainnya</t>
        </is>
      </c>
      <c r="N124" t="inlineStr">
        <is>
          <t>K</t>
        </is>
      </c>
      <c r="O124" t="inlineStr">
        <is>
          <t>20230829</t>
        </is>
      </c>
      <c r="P124" t="inlineStr">
        <is>
          <t>Sulawesi Tenggara</t>
        </is>
      </c>
      <c r="Q124" t="inlineStr"/>
    </row>
    <row r="125">
      <c r="A125" t="inlineStr">
        <is>
          <t>NINDYA ANUGERAH PRATAMA</t>
        </is>
      </c>
      <c r="B125" t="inlineStr">
        <is>
          <t>Kab. Banggai</t>
        </is>
      </c>
      <c r="C125" t="inlineStr">
        <is>
          <t>085341339998</t>
        </is>
      </c>
      <c r="D125" t="inlineStr">
        <is>
          <t>nindyapratama03@gmail.com</t>
        </is>
      </c>
      <c r="E125" t="inlineStr">
        <is>
          <t>https://lpjk.pu.go.id/search-badan-usaha-detail/TnRxaEQwSU5JTmppU2crV2VZNjBxZz09</t>
        </is>
      </c>
      <c r="F125" t="n">
        <v>2</v>
      </c>
      <c r="G125" t="inlineStr">
        <is>
          <t>BS001</t>
        </is>
      </c>
      <c r="H125" t="inlineStr">
        <is>
          <t>18 Agustus 2023</t>
        </is>
      </c>
      <c r="I125" s="2" t="n">
        <v>46264</v>
      </c>
      <c r="J125" t="inlineStr">
        <is>
          <t>Disetujui</t>
        </is>
      </c>
      <c r="K125" t="n">
        <v>60</v>
      </c>
      <c r="L125" t="inlineStr">
        <is>
          <t>30 Agustus 2026</t>
        </is>
      </c>
      <c r="M125" t="inlineStr">
        <is>
          <t>Konstruksi Bangunan Sipil Jalan</t>
        </is>
      </c>
      <c r="N125" t="inlineStr">
        <is>
          <t>K</t>
        </is>
      </c>
      <c r="O125" t="inlineStr">
        <is>
          <t>20230831</t>
        </is>
      </c>
      <c r="P125" t="inlineStr">
        <is>
          <t>Sulawesi Tengah</t>
        </is>
      </c>
      <c r="Q125" t="inlineStr"/>
    </row>
    <row r="126">
      <c r="A126" t="inlineStr">
        <is>
          <t>NUSANTARA</t>
        </is>
      </c>
      <c r="B126" t="inlineStr">
        <is>
          <t>Kab. Subang</t>
        </is>
      </c>
      <c r="C126" t="inlineStr">
        <is>
          <t>082321234333</t>
        </is>
      </c>
      <c r="D126" t="inlineStr">
        <is>
          <t>nusantara_777@yahoo.id</t>
        </is>
      </c>
      <c r="E126" t="inlineStr">
        <is>
          <t>https://lpjk.pu.go.id/search-badan-usaha-detail/cmVuUVhNN3dhUlBNbGJKdUJmZXRsdz09</t>
        </is>
      </c>
      <c r="F126" t="n">
        <v>6</v>
      </c>
      <c r="G126" t="inlineStr">
        <is>
          <t>BG002, BG006, BG009, BS001, BS004, BS010</t>
        </is>
      </c>
      <c r="H126" t="inlineStr">
        <is>
          <t>26 April 1974</t>
        </is>
      </c>
      <c r="I126" s="2" t="n">
        <v>46264</v>
      </c>
      <c r="J126" t="inlineStr">
        <is>
          <t>Disetujui</t>
        </is>
      </c>
      <c r="K126" t="n">
        <v>60</v>
      </c>
      <c r="L126" t="inlineStr">
        <is>
          <t>30 Agustus 2026</t>
        </is>
      </c>
      <c r="M126" t="inlineStr">
        <is>
          <t>Konstruksi Bangunan Prasarana Sumber Daya Air, Konstruksi Bangunan Sipil Jalan, Konstruksi Gedung Lainnya, Konstruksi Gedung Pendidikan, Konstruksi Gedung Perkantoran, Konstruksi Jaringan Irigasi dan Drainase</t>
        </is>
      </c>
      <c r="N126" t="inlineStr">
        <is>
          <t>K</t>
        </is>
      </c>
      <c r="O126" t="inlineStr">
        <is>
          <t>20230705</t>
        </is>
      </c>
      <c r="P126" t="inlineStr">
        <is>
          <t>Jawa Barat</t>
        </is>
      </c>
      <c r="Q126" t="inlineStr"/>
    </row>
    <row r="127">
      <c r="A127" t="inlineStr">
        <is>
          <t>PADI KARYA</t>
        </is>
      </c>
      <c r="B127" t="inlineStr">
        <is>
          <t>Kab. Kudus</t>
        </is>
      </c>
      <c r="C127" t="inlineStr">
        <is>
          <t>085229940200</t>
        </is>
      </c>
      <c r="D127" t="inlineStr">
        <is>
          <t>padikaryacv@gmail.com</t>
        </is>
      </c>
      <c r="E127" t="inlineStr">
        <is>
          <t>https://lpjk.pu.go.id/search-badan-usaha-detail/dTFjSiszRkZUOWxjRTVReEVnOXBrdz09</t>
        </is>
      </c>
      <c r="F127" t="n">
        <v>3</v>
      </c>
      <c r="G127" t="inlineStr">
        <is>
          <t>BG006, BG009, BS004</t>
        </is>
      </c>
      <c r="H127" t="inlineStr">
        <is>
          <t>13 Februari 2016</t>
        </is>
      </c>
      <c r="I127" s="2" t="n">
        <v>46264</v>
      </c>
      <c r="J127" t="inlineStr">
        <is>
          <t>Disetujui</t>
        </is>
      </c>
      <c r="K127" t="n">
        <v>60</v>
      </c>
      <c r="L127" t="inlineStr">
        <is>
          <t>30 Agustus 2026</t>
        </is>
      </c>
      <c r="M127" t="inlineStr">
        <is>
          <t>Konstruksi Gedung Lainnya, Konstruksi Gedung Pendidikan, Konstruksi Jaringan Irigasi dan Drainase</t>
        </is>
      </c>
      <c r="N127" t="inlineStr">
        <is>
          <t>K</t>
        </is>
      </c>
      <c r="O127" t="inlineStr">
        <is>
          <t>20230830</t>
        </is>
      </c>
      <c r="P127" t="inlineStr">
        <is>
          <t>Jawa Tengah</t>
        </is>
      </c>
      <c r="Q127" t="inlineStr"/>
    </row>
    <row r="128">
      <c r="A128" t="inlineStr">
        <is>
          <t>PANCANG JAYA</t>
        </is>
      </c>
      <c r="B128" t="inlineStr">
        <is>
          <t>Kab. Kebumen</t>
        </is>
      </c>
      <c r="C128" t="inlineStr">
        <is>
          <t>081392447977</t>
        </is>
      </c>
      <c r="D128" t="inlineStr">
        <is>
          <t>cvpancangjaya@gmail.com</t>
        </is>
      </c>
      <c r="E128" t="inlineStr">
        <is>
          <t>https://lpjk.pu.go.id/search-badan-usaha-detail/RzRjaTA4YkNRSGhkbHRMV0xmNzViUT09</t>
        </is>
      </c>
      <c r="F128" t="n">
        <v>4</v>
      </c>
      <c r="G128" t="inlineStr">
        <is>
          <t>BS001, BS010</t>
        </is>
      </c>
      <c r="H128" t="inlineStr">
        <is>
          <t>4 Januari 2011</t>
        </is>
      </c>
      <c r="I128" s="2" t="n">
        <v>46264</v>
      </c>
      <c r="J128" t="inlineStr">
        <is>
          <t>Disetujui</t>
        </is>
      </c>
      <c r="K128" t="n">
        <v>60</v>
      </c>
      <c r="L128" t="inlineStr">
        <is>
          <t>30 Agustus 2026</t>
        </is>
      </c>
      <c r="M128" t="inlineStr">
        <is>
          <t>Konstruksi Bangunan Prasarana Sumber Daya Air, Konstruksi Bangunan Sipil Jalan</t>
        </is>
      </c>
      <c r="N128" t="inlineStr">
        <is>
          <t>K</t>
        </is>
      </c>
      <c r="O128" t="inlineStr">
        <is>
          <t>20230816</t>
        </is>
      </c>
      <c r="P128" t="inlineStr">
        <is>
          <t>Jawa Tengah</t>
        </is>
      </c>
      <c r="Q128" t="inlineStr"/>
    </row>
    <row r="129">
      <c r="A129" t="inlineStr">
        <is>
          <t>PEMBANGUNAN KITA</t>
        </is>
      </c>
      <c r="B129" t="inlineStr">
        <is>
          <t>Kab. Mempawah</t>
        </is>
      </c>
      <c r="C129" t="inlineStr">
        <is>
          <t>-</t>
        </is>
      </c>
      <c r="D129" t="inlineStr">
        <is>
          <t>pembangunankita@yahoo.com</t>
        </is>
      </c>
      <c r="E129" t="inlineStr">
        <is>
          <t>https://lpjk.pu.go.id/search-badan-usaha-detail/bFJDSDJNT3NHOFJDM1dxRG9QWnU0dz09</t>
        </is>
      </c>
      <c r="F129" t="n">
        <v>1</v>
      </c>
      <c r="G129" t="inlineStr">
        <is>
          <t>BG009</t>
        </is>
      </c>
      <c r="H129" t="inlineStr">
        <is>
          <t>12 April 2002</t>
        </is>
      </c>
      <c r="I129" s="2" t="n">
        <v>46264</v>
      </c>
      <c r="J129" t="inlineStr">
        <is>
          <t>Pencabutan</t>
        </is>
      </c>
      <c r="K129" t="n">
        <v>60</v>
      </c>
      <c r="L129" t="inlineStr">
        <is>
          <t>30 Agustus 2026</t>
        </is>
      </c>
      <c r="M129" t="inlineStr">
        <is>
          <t>Konstruksi Gedung Lainnya</t>
        </is>
      </c>
      <c r="N129" t="inlineStr">
        <is>
          <t>K</t>
        </is>
      </c>
      <c r="O129" t="inlineStr">
        <is>
          <t>20230830</t>
        </is>
      </c>
      <c r="P129" t="inlineStr">
        <is>
          <t>Kalimantan Barat</t>
        </is>
      </c>
      <c r="Q129" t="inlineStr"/>
    </row>
    <row r="130">
      <c r="A130" t="inlineStr">
        <is>
          <t>PETRA JAYA MANDIRI</t>
        </is>
      </c>
      <c r="B130" t="inlineStr">
        <is>
          <t>Kota Banda Aceh</t>
        </is>
      </c>
      <c r="C130" t="inlineStr">
        <is>
          <t>082360854345</t>
        </is>
      </c>
      <c r="D130" t="inlineStr">
        <is>
          <t>cv.petrajaya.007@gmail.com</t>
        </is>
      </c>
      <c r="E130" t="inlineStr">
        <is>
          <t>https://lpjk.pu.go.id/search-badan-usaha-detail/dzh0Wk5iaW1KaWpXU09jR2N6bmpUQT09</t>
        </is>
      </c>
      <c r="F130" t="n">
        <v>2</v>
      </c>
      <c r="G130" t="inlineStr">
        <is>
          <t>BG008, BS001</t>
        </is>
      </c>
      <c r="H130" t="inlineStr">
        <is>
          <t>10 Januari 2017</t>
        </is>
      </c>
      <c r="I130" s="2" t="n">
        <v>46264</v>
      </c>
      <c r="J130" t="inlineStr">
        <is>
          <t>Disetujui</t>
        </is>
      </c>
      <c r="K130" t="n">
        <v>60</v>
      </c>
      <c r="L130" t="inlineStr">
        <is>
          <t>30 Agustus 2026</t>
        </is>
      </c>
      <c r="M130" t="inlineStr">
        <is>
          <t>Konstruksi Bangunan Sipil Jalan, Konstruksi Gedung Tempat Hiburan dan Olahraga</t>
        </is>
      </c>
      <c r="N130" t="inlineStr">
        <is>
          <t>K</t>
        </is>
      </c>
      <c r="O130" t="inlineStr">
        <is>
          <t>20230824</t>
        </is>
      </c>
      <c r="P130" t="inlineStr">
        <is>
          <t>Aceh</t>
        </is>
      </c>
      <c r="Q130" t="inlineStr"/>
    </row>
    <row r="131">
      <c r="A131" t="inlineStr">
        <is>
          <t>POS PROPERTI INDONESIA</t>
        </is>
      </c>
      <c r="B131" t="inlineStr">
        <is>
          <t>Kota Bandung</t>
        </is>
      </c>
      <c r="C131" t="inlineStr">
        <is>
          <t>081229875285</t>
        </is>
      </c>
      <c r="D131" t="inlineStr">
        <is>
          <t>dianfermana@posproperti.co.id</t>
        </is>
      </c>
      <c r="E131" t="inlineStr">
        <is>
          <t>https://lpjk.pu.go.id/search-badan-usaha-detail/MWJySDNWUTBDc2w0ajk0S3l5TGZyZz09</t>
        </is>
      </c>
      <c r="F131" t="n">
        <v>3</v>
      </c>
      <c r="G131" t="inlineStr">
        <is>
          <t>BG001, BG002, BG007</t>
        </is>
      </c>
      <c r="H131" t="inlineStr">
        <is>
          <t>31 Desember 2013</t>
        </is>
      </c>
      <c r="I131" s="2" t="n">
        <v>46264</v>
      </c>
      <c r="J131" t="inlineStr">
        <is>
          <t>Disetujui</t>
        </is>
      </c>
      <c r="K131" t="n">
        <v>60</v>
      </c>
      <c r="L131" t="inlineStr">
        <is>
          <t>30 Agustus 2026</t>
        </is>
      </c>
      <c r="M131" t="inlineStr">
        <is>
          <t>Konstruksi Gedung Hunian, Konstruksi Gedung Penginapan, Konstruksi Gedung Perkantoran</t>
        </is>
      </c>
      <c r="N131" t="inlineStr">
        <is>
          <t>K</t>
        </is>
      </c>
      <c r="O131" t="inlineStr">
        <is>
          <t>20230828, 20230829</t>
        </is>
      </c>
      <c r="P131" t="inlineStr">
        <is>
          <t>Jawa Barat</t>
        </is>
      </c>
      <c r="Q131" t="inlineStr"/>
    </row>
    <row r="132">
      <c r="A132" t="inlineStr">
        <is>
          <t>PULO LHEE BLAH</t>
        </is>
      </c>
      <c r="B132" t="inlineStr">
        <is>
          <t>Kab. Aceh Utara</t>
        </is>
      </c>
      <c r="C132" t="inlineStr">
        <is>
          <t>085372829682</t>
        </is>
      </c>
      <c r="D132" t="inlineStr">
        <is>
          <t>pulo_lheeblah@yahoo.com</t>
        </is>
      </c>
      <c r="E132" t="inlineStr">
        <is>
          <t>https://lpjk.pu.go.id/search-badan-usaha-detail/ZDl0bjhOZU1QREI4TTdFb2V4Q3YwQT09</t>
        </is>
      </c>
      <c r="F132" t="n">
        <v>1</v>
      </c>
      <c r="G132" t="inlineStr">
        <is>
          <t>BG002</t>
        </is>
      </c>
      <c r="H132" t="inlineStr">
        <is>
          <t>5 Desember 2009</t>
        </is>
      </c>
      <c r="I132" s="2" t="n">
        <v>46264</v>
      </c>
      <c r="J132" t="inlineStr">
        <is>
          <t>Disetujui</t>
        </is>
      </c>
      <c r="K132" t="n">
        <v>60</v>
      </c>
      <c r="L132" t="inlineStr">
        <is>
          <t>30 Agustus 2026</t>
        </is>
      </c>
      <c r="M132" t="inlineStr">
        <is>
          <t>Konstruksi Gedung Perkantoran</t>
        </is>
      </c>
      <c r="N132" t="inlineStr">
        <is>
          <t>K</t>
        </is>
      </c>
      <c r="O132" t="inlineStr">
        <is>
          <t>20230825</t>
        </is>
      </c>
      <c r="P132" t="inlineStr">
        <is>
          <t>Aceh</t>
        </is>
      </c>
      <c r="Q132" t="inlineStr"/>
    </row>
    <row r="133">
      <c r="A133" t="inlineStr">
        <is>
          <t>PUNCAK RIMBA RAYA</t>
        </is>
      </c>
      <c r="B133" t="inlineStr">
        <is>
          <t>Kab. Mamuju</t>
        </is>
      </c>
      <c r="C133" t="inlineStr">
        <is>
          <t>081242874287</t>
        </is>
      </c>
      <c r="D133" t="inlineStr">
        <is>
          <t>cvpuncakrimbaraya@gmail.com</t>
        </is>
      </c>
      <c r="E133" t="inlineStr">
        <is>
          <t>https://lpjk.pu.go.id/search-badan-usaha-detail/L24rNTQyNkZiSGgxUUdDR0o3bkI4Zz09</t>
        </is>
      </c>
      <c r="F133" t="n">
        <v>1</v>
      </c>
      <c r="G133" t="inlineStr">
        <is>
          <t>BS004</t>
        </is>
      </c>
      <c r="H133" t="inlineStr">
        <is>
          <t>13 Januari 2023</t>
        </is>
      </c>
      <c r="I133" s="2" t="n">
        <v>46264</v>
      </c>
      <c r="J133" t="inlineStr">
        <is>
          <t>Pencabutan</t>
        </is>
      </c>
      <c r="K133" t="n">
        <v>60</v>
      </c>
      <c r="L133" t="inlineStr">
        <is>
          <t>30 Agustus 2026</t>
        </is>
      </c>
      <c r="M133" t="inlineStr">
        <is>
          <t>Konstruksi Jaringan Irigasi dan Drainase</t>
        </is>
      </c>
      <c r="N133" t="inlineStr">
        <is>
          <t>K</t>
        </is>
      </c>
      <c r="O133" t="inlineStr">
        <is>
          <t>20230824</t>
        </is>
      </c>
      <c r="P133" t="inlineStr">
        <is>
          <t>Sulawesi Barat</t>
        </is>
      </c>
      <c r="Q133" t="inlineStr"/>
    </row>
    <row r="134">
      <c r="A134" t="inlineStr">
        <is>
          <t>PURNAMA INDAH</t>
        </is>
      </c>
      <c r="B134" t="inlineStr">
        <is>
          <t>Kota Gorontalo</t>
        </is>
      </c>
      <c r="C134" t="inlineStr">
        <is>
          <t>085395505945</t>
        </is>
      </c>
      <c r="D134" t="inlineStr">
        <is>
          <t>purnamaindah2013@yahoo.co.id</t>
        </is>
      </c>
      <c r="E134" t="inlineStr">
        <is>
          <t>https://lpjk.pu.go.id/search-badan-usaha-detail/eEU1VktTc0tKa3ZKY2hOK1c0WGduUT09</t>
        </is>
      </c>
      <c r="F134" t="n">
        <v>2</v>
      </c>
      <c r="G134" t="inlineStr">
        <is>
          <t>BG002</t>
        </is>
      </c>
      <c r="H134" t="inlineStr">
        <is>
          <t>23 Januari 2003</t>
        </is>
      </c>
      <c r="I134" s="2" t="n">
        <v>46264</v>
      </c>
      <c r="J134" t="inlineStr">
        <is>
          <t>Disetujui</t>
        </is>
      </c>
      <c r="K134" t="n">
        <v>60</v>
      </c>
      <c r="L134" t="inlineStr">
        <is>
          <t>30 Agustus 2026</t>
        </is>
      </c>
      <c r="M134" t="inlineStr">
        <is>
          <t>Konstruksi Gedung Perkantoran</t>
        </is>
      </c>
      <c r="N134" t="inlineStr">
        <is>
          <t>K</t>
        </is>
      </c>
      <c r="O134" t="inlineStr">
        <is>
          <t>20230809</t>
        </is>
      </c>
      <c r="P134" t="inlineStr">
        <is>
          <t>Gorontalo</t>
        </is>
      </c>
      <c r="Q134" t="inlineStr"/>
    </row>
    <row r="135">
      <c r="A135" t="inlineStr">
        <is>
          <t>PUTRA ANDILO NASONANG</t>
        </is>
      </c>
      <c r="B135" t="inlineStr">
        <is>
          <t>Kab. Tapanuli Selatan</t>
        </is>
      </c>
      <c r="C135" t="inlineStr">
        <is>
          <t>085361363444</t>
        </is>
      </c>
      <c r="D135" t="inlineStr">
        <is>
          <t>putraandilonasonang@yahoo.com</t>
        </is>
      </c>
      <c r="E135" t="inlineStr">
        <is>
          <t>https://lpjk.pu.go.id/search-badan-usaha-detail/QlptSGI5VEZveWJIRDRlellFSUVSUT09</t>
        </is>
      </c>
      <c r="F135" t="n">
        <v>4</v>
      </c>
      <c r="G135" t="inlineStr">
        <is>
          <t>BG002, BG005, BG006, BG009</t>
        </is>
      </c>
      <c r="H135" t="inlineStr">
        <is>
          <t>13 April 2023</t>
        </is>
      </c>
      <c r="I135" s="2" t="n">
        <v>46264</v>
      </c>
      <c r="J135" t="inlineStr">
        <is>
          <t>Pencabutan</t>
        </is>
      </c>
      <c r="K135" t="n">
        <v>60</v>
      </c>
      <c r="L135" t="inlineStr">
        <is>
          <t>30 Agustus 2026</t>
        </is>
      </c>
      <c r="M135" t="inlineStr">
        <is>
          <t>Konstruksi Gedung Kesehatan, Konstruksi Gedung Lainnya, Konstruksi Gedung Pendidikan, Konstruksi Gedung Perkantoran</t>
        </is>
      </c>
      <c r="N135" t="inlineStr">
        <is>
          <t>K</t>
        </is>
      </c>
      <c r="O135" t="inlineStr">
        <is>
          <t>20230828</t>
        </is>
      </c>
      <c r="P135" t="inlineStr">
        <is>
          <t>Sumatera Utara</t>
        </is>
      </c>
      <c r="Q135" t="inlineStr"/>
    </row>
    <row r="136">
      <c r="A136" t="inlineStr">
        <is>
          <t>PUTRA CORA</t>
        </is>
      </c>
      <c r="B136" t="inlineStr">
        <is>
          <t>Kota Metro</t>
        </is>
      </c>
      <c r="C136" t="inlineStr">
        <is>
          <t>081279209939</t>
        </is>
      </c>
      <c r="D136" t="inlineStr">
        <is>
          <t>putracora21@gmail.com</t>
        </is>
      </c>
      <c r="E136" t="inlineStr">
        <is>
          <t>https://lpjk.pu.go.id/search-badan-usaha-detail/cEt6MjR3d2FNUzNGZ2FCazNXUmt4Zz09</t>
        </is>
      </c>
      <c r="F136" t="n">
        <v>3</v>
      </c>
      <c r="G136" t="inlineStr">
        <is>
          <t>BG006, BG009, BS001</t>
        </is>
      </c>
      <c r="H136" t="inlineStr">
        <is>
          <t>6 Juli 1999</t>
        </is>
      </c>
      <c r="I136" s="2" t="n">
        <v>46264</v>
      </c>
      <c r="J136" t="inlineStr">
        <is>
          <t>Disetujui</t>
        </is>
      </c>
      <c r="K136" t="n">
        <v>60</v>
      </c>
      <c r="L136" t="inlineStr">
        <is>
          <t>30 Agustus 2026</t>
        </is>
      </c>
      <c r="M136" t="inlineStr">
        <is>
          <t>Konstruksi Bangunan Sipil Jalan, Konstruksi Gedung Lainnya, Konstruksi Gedung Pendidikan</t>
        </is>
      </c>
      <c r="N136" t="inlineStr">
        <is>
          <t>K</t>
        </is>
      </c>
      <c r="O136" t="inlineStr">
        <is>
          <t>20230831</t>
        </is>
      </c>
      <c r="P136" t="inlineStr">
        <is>
          <t>Lampung</t>
        </is>
      </c>
      <c r="Q136" t="inlineStr"/>
    </row>
    <row r="137">
      <c r="A137" t="inlineStr">
        <is>
          <t>PUTRA SIMPANG LIMA</t>
        </is>
      </c>
      <c r="B137" t="inlineStr">
        <is>
          <t>Kab. Garut</t>
        </is>
      </c>
      <c r="C137" t="inlineStr">
        <is>
          <t>08983068657</t>
        </is>
      </c>
      <c r="D137" t="inlineStr">
        <is>
          <t>cvputrasimpanglima4@gmail.com</t>
        </is>
      </c>
      <c r="E137" t="inlineStr">
        <is>
          <t>https://lpjk.pu.go.id/search-badan-usaha-detail/L1lOblcwbkJFWnRZUWxlZVRUOGwxZz09</t>
        </is>
      </c>
      <c r="F137" t="n">
        <v>2</v>
      </c>
      <c r="G137" t="inlineStr">
        <is>
          <t>BG006, BS001</t>
        </is>
      </c>
      <c r="H137" t="inlineStr">
        <is>
          <t>4 Maret 2020</t>
        </is>
      </c>
      <c r="I137" s="2" t="n">
        <v>46264</v>
      </c>
      <c r="J137" t="inlineStr">
        <is>
          <t>Disetujui</t>
        </is>
      </c>
      <c r="K137" t="n">
        <v>60</v>
      </c>
      <c r="L137" t="inlineStr">
        <is>
          <t>30 Agustus 2026</t>
        </is>
      </c>
      <c r="M137" t="inlineStr">
        <is>
          <t>Konstruksi Bangunan Sipil Jalan, Konstruksi Gedung Pendidikan</t>
        </is>
      </c>
      <c r="N137" t="inlineStr">
        <is>
          <t>K</t>
        </is>
      </c>
      <c r="O137" t="inlineStr">
        <is>
          <t>20230829</t>
        </is>
      </c>
      <c r="P137" t="inlineStr">
        <is>
          <t>Jawa Barat</t>
        </is>
      </c>
      <c r="Q137" t="inlineStr"/>
    </row>
    <row r="138">
      <c r="A138" t="inlineStr">
        <is>
          <t>PUTRI KEDIRI</t>
        </is>
      </c>
      <c r="B138" t="inlineStr">
        <is>
          <t>Kab. Berau</t>
        </is>
      </c>
      <c r="C138" t="inlineStr">
        <is>
          <t>085327377789</t>
        </is>
      </c>
      <c r="D138" t="inlineStr">
        <is>
          <t>cvputrikediri@gmail.com</t>
        </is>
      </c>
      <c r="E138" t="inlineStr">
        <is>
          <t>https://lpjk.pu.go.id/search-badan-usaha-detail/bXk2MWpsNHJXeVNPVThxaU1PdW5PQT09</t>
        </is>
      </c>
      <c r="F138" t="n">
        <v>2</v>
      </c>
      <c r="G138" t="inlineStr">
        <is>
          <t>BG007, BG009</t>
        </is>
      </c>
      <c r="H138" t="inlineStr">
        <is>
          <t>26 Oktober 2016</t>
        </is>
      </c>
      <c r="I138" s="2" t="n">
        <v>46264</v>
      </c>
      <c r="J138" t="inlineStr">
        <is>
          <t>Disetujui</t>
        </is>
      </c>
      <c r="K138" t="n">
        <v>60</v>
      </c>
      <c r="L138" t="inlineStr">
        <is>
          <t>30 Agustus 2026</t>
        </is>
      </c>
      <c r="M138" t="inlineStr">
        <is>
          <t>Konstruksi Gedung Lainnya, Konstruksi Gedung Penginapan</t>
        </is>
      </c>
      <c r="N138" t="inlineStr">
        <is>
          <t>K</t>
        </is>
      </c>
      <c r="O138" t="inlineStr">
        <is>
          <t>20230831</t>
        </is>
      </c>
      <c r="P138" t="inlineStr">
        <is>
          <t>Kalimantan Timur</t>
        </is>
      </c>
      <c r="Q138" t="inlineStr"/>
    </row>
    <row r="139">
      <c r="A139" t="inlineStr">
        <is>
          <t>PUTRI TUNGGAL PERKASA</t>
        </is>
      </c>
      <c r="B139" t="inlineStr">
        <is>
          <t>-</t>
        </is>
      </c>
      <c r="C139" t="inlineStr">
        <is>
          <t>085356525251</t>
        </is>
      </c>
      <c r="D139" t="inlineStr">
        <is>
          <t>putritunggalperkasa79@gmail.com</t>
        </is>
      </c>
      <c r="E139" t="inlineStr">
        <is>
          <t>https://lpjk.pu.go.id/search-badan-usaha-detail/MmlSOXdiZ2lacjV2eTlWNzFnTHd4QT09</t>
        </is>
      </c>
      <c r="F139" t="n">
        <v>1</v>
      </c>
      <c r="G139" t="inlineStr">
        <is>
          <t>BS001</t>
        </is>
      </c>
      <c r="H139" t="inlineStr">
        <is>
          <t>7 Oktober 2009</t>
        </is>
      </c>
      <c r="I139" s="2" t="n">
        <v>46264</v>
      </c>
      <c r="J139" t="inlineStr">
        <is>
          <t>Disetujui</t>
        </is>
      </c>
      <c r="K139" t="n">
        <v>60</v>
      </c>
      <c r="L139" t="inlineStr">
        <is>
          <t>30 Agustus 2026</t>
        </is>
      </c>
      <c r="M139" t="inlineStr">
        <is>
          <t>Konstruksi Bangunan Sipil Jalan</t>
        </is>
      </c>
      <c r="N139" t="inlineStr">
        <is>
          <t>K</t>
        </is>
      </c>
      <c r="O139" t="inlineStr">
        <is>
          <t>20230823</t>
        </is>
      </c>
      <c r="P139" t="inlineStr">
        <is>
          <t>Riau</t>
        </is>
      </c>
      <c r="Q139" t="inlineStr"/>
    </row>
    <row r="140">
      <c r="A140" t="inlineStr">
        <is>
          <t>RAHAYU PRIMA PERKASA</t>
        </is>
      </c>
      <c r="B140" t="inlineStr">
        <is>
          <t>Kota Palangkaraya</t>
        </is>
      </c>
      <c r="C140" t="inlineStr">
        <is>
          <t>08125098792</t>
        </is>
      </c>
      <c r="D140" t="inlineStr">
        <is>
          <t>cv.rahayuprimaperkasa@gmail.com</t>
        </is>
      </c>
      <c r="E140" t="inlineStr">
        <is>
          <t>https://lpjk.pu.go.id/search-badan-usaha-detail/ZldBL2lzVzNIQUxWd2dpNmQrcVhvUT09</t>
        </is>
      </c>
      <c r="F140" t="n">
        <v>2</v>
      </c>
      <c r="G140" t="inlineStr">
        <is>
          <t>BS002, BS004</t>
        </is>
      </c>
      <c r="H140" t="inlineStr">
        <is>
          <t>21 Juli 2023</t>
        </is>
      </c>
      <c r="I140" s="2" t="n">
        <v>46264</v>
      </c>
      <c r="J140" t="inlineStr">
        <is>
          <t>Disetujui</t>
        </is>
      </c>
      <c r="K140" t="n">
        <v>60</v>
      </c>
      <c r="L140" t="inlineStr">
        <is>
          <t>30 Agustus 2026</t>
        </is>
      </c>
      <c r="M140" t="inlineStr">
        <is>
          <t>Bangunan Sipil Jembatan, Jalan Layang, Fly Over, dan Underpass, Konstruksi Jaringan Irigasi dan Drainase</t>
        </is>
      </c>
      <c r="N140" t="inlineStr">
        <is>
          <t>K</t>
        </is>
      </c>
      <c r="O140" t="inlineStr">
        <is>
          <t>20230829</t>
        </is>
      </c>
      <c r="P140" t="inlineStr">
        <is>
          <t>Kalimantan Tengah</t>
        </is>
      </c>
      <c r="Q140" t="inlineStr"/>
    </row>
    <row r="141">
      <c r="A141" t="inlineStr">
        <is>
          <t>RAYA ILMI</t>
        </is>
      </c>
      <c r="B141" t="inlineStr">
        <is>
          <t>Kota Surabaya</t>
        </is>
      </c>
      <c r="C141" t="inlineStr">
        <is>
          <t>0318272526</t>
        </is>
      </c>
      <c r="D141" t="inlineStr">
        <is>
          <t>cv.rayailmi@gmail.com</t>
        </is>
      </c>
      <c r="E141" t="inlineStr">
        <is>
          <t>https://lpjk.pu.go.id/search-badan-usaha-detail/REpIenpwL1ZieHNoOGFDeWJLTzd4QT09</t>
        </is>
      </c>
      <c r="F141" t="n">
        <v>2</v>
      </c>
      <c r="G141" t="inlineStr">
        <is>
          <t>BG002, BG006</t>
        </is>
      </c>
      <c r="H141" t="inlineStr">
        <is>
          <t>10 Oktober 2011</t>
        </is>
      </c>
      <c r="I141" s="2" t="n">
        <v>46264</v>
      </c>
      <c r="J141" t="inlineStr">
        <is>
          <t>Pencabutan</t>
        </is>
      </c>
      <c r="K141" t="n">
        <v>60</v>
      </c>
      <c r="L141" t="inlineStr">
        <is>
          <t>30 Agustus 2026</t>
        </is>
      </c>
      <c r="M141" t="inlineStr">
        <is>
          <t>Konstruksi Gedung Pendidikan, Konstruksi Gedung Perkantoran</t>
        </is>
      </c>
      <c r="N141" t="inlineStr">
        <is>
          <t>K</t>
        </is>
      </c>
      <c r="O141" t="inlineStr">
        <is>
          <t>20230828</t>
        </is>
      </c>
      <c r="P141" t="inlineStr">
        <is>
          <t>Jawa Timur</t>
        </is>
      </c>
      <c r="Q141" t="inlineStr"/>
    </row>
    <row r="142">
      <c r="A142" t="inlineStr">
        <is>
          <t>REHAN WIJAYA</t>
        </is>
      </c>
      <c r="B142" t="inlineStr">
        <is>
          <t>Kab. Kutai Kartanegara</t>
        </is>
      </c>
      <c r="C142" t="inlineStr">
        <is>
          <t>082125428216</t>
        </is>
      </c>
      <c r="D142" t="inlineStr">
        <is>
          <t>cv.rehanwijaya@gmail.com</t>
        </is>
      </c>
      <c r="E142" t="inlineStr">
        <is>
          <t>https://lpjk.pu.go.id/search-badan-usaha-detail/SEdlL2taWEF3SFMwTDhvRW8xU0dQUT09</t>
        </is>
      </c>
      <c r="F142" t="n">
        <v>1</v>
      </c>
      <c r="G142" t="inlineStr">
        <is>
          <t>BS004</t>
        </is>
      </c>
      <c r="H142" t="inlineStr">
        <is>
          <t>24 Desember 2013</t>
        </is>
      </c>
      <c r="I142" s="2" t="n">
        <v>46264</v>
      </c>
      <c r="J142" t="inlineStr">
        <is>
          <t>Disetujui</t>
        </is>
      </c>
      <c r="K142" t="n">
        <v>60</v>
      </c>
      <c r="L142" t="inlineStr">
        <is>
          <t>30 Agustus 2026</t>
        </is>
      </c>
      <c r="M142" t="inlineStr">
        <is>
          <t>Konstruksi Jaringan Irigasi dan Drainase</t>
        </is>
      </c>
      <c r="N142" t="inlineStr">
        <is>
          <t>K</t>
        </is>
      </c>
      <c r="O142" t="inlineStr">
        <is>
          <t>20230830</t>
        </is>
      </c>
      <c r="P142" t="inlineStr">
        <is>
          <t>Kalimantan Timur</t>
        </is>
      </c>
      <c r="Q142" t="inlineStr"/>
    </row>
    <row r="143">
      <c r="A143" t="inlineStr">
        <is>
          <t>REVANO</t>
        </is>
      </c>
      <c r="B143" t="inlineStr">
        <is>
          <t>Kab. Dairi</t>
        </is>
      </c>
      <c r="C143" t="inlineStr">
        <is>
          <t>0627</t>
        </is>
      </c>
      <c r="D143" t="inlineStr">
        <is>
          <t>beslan_malau@yahoo.com</t>
        </is>
      </c>
      <c r="E143" t="inlineStr">
        <is>
          <t>https://lpjk.pu.go.id/search-badan-usaha-detail/NnhnYnhCVEFaVWZWdUtiN2hTLzEwUT09</t>
        </is>
      </c>
      <c r="F143" t="n">
        <v>2</v>
      </c>
      <c r="G143" t="inlineStr">
        <is>
          <t>BG006</t>
        </is>
      </c>
      <c r="H143" t="inlineStr">
        <is>
          <t>26 Oktober 2015</t>
        </is>
      </c>
      <c r="I143" s="2" t="n">
        <v>46264</v>
      </c>
      <c r="J143" t="inlineStr">
        <is>
          <t>Pencabutan</t>
        </is>
      </c>
      <c r="K143" t="n">
        <v>60</v>
      </c>
      <c r="L143" t="inlineStr">
        <is>
          <t>30 Agustus 2026</t>
        </is>
      </c>
      <c r="M143" t="inlineStr">
        <is>
          <t>Konstruksi Gedung Pendidikan</t>
        </is>
      </c>
      <c r="N143" t="inlineStr">
        <is>
          <t>K</t>
        </is>
      </c>
      <c r="O143" t="inlineStr">
        <is>
          <t>20230830</t>
        </is>
      </c>
      <c r="P143" t="inlineStr">
        <is>
          <t>Sumatera Utara</t>
        </is>
      </c>
      <c r="Q143" t="inlineStr"/>
    </row>
    <row r="144">
      <c r="A144" t="inlineStr">
        <is>
          <t>RINJANI UTAMA ABADI</t>
        </is>
      </c>
      <c r="B144" t="inlineStr">
        <is>
          <t>Kota Bandung</t>
        </is>
      </c>
      <c r="C144" t="inlineStr">
        <is>
          <t>02220686181</t>
        </is>
      </c>
      <c r="D144" t="inlineStr">
        <is>
          <t>ptrinjaniutama@gmail.com</t>
        </is>
      </c>
      <c r="E144" t="inlineStr">
        <is>
          <t>https://lpjk.pu.go.id/search-badan-usaha-detail/bk9lenFXTWRLS3VaZDc5MXZTbld3Zz09</t>
        </is>
      </c>
      <c r="F144" t="n">
        <v>1</v>
      </c>
      <c r="G144" t="inlineStr">
        <is>
          <t>BG005</t>
        </is>
      </c>
      <c r="H144" t="inlineStr">
        <is>
          <t>3 Agustus 2021</t>
        </is>
      </c>
      <c r="I144" s="2" t="n">
        <v>46264</v>
      </c>
      <c r="J144" t="inlineStr">
        <is>
          <t>Disetujui</t>
        </is>
      </c>
      <c r="K144" t="n">
        <v>60</v>
      </c>
      <c r="L144" t="inlineStr">
        <is>
          <t>30 Agustus 2026</t>
        </is>
      </c>
      <c r="M144" t="inlineStr">
        <is>
          <t>Konstruksi Gedung Kesehatan</t>
        </is>
      </c>
      <c r="N144" t="inlineStr">
        <is>
          <t>K</t>
        </is>
      </c>
      <c r="O144" t="inlineStr">
        <is>
          <t>20230830</t>
        </is>
      </c>
      <c r="P144" t="inlineStr">
        <is>
          <t>Jawa Barat</t>
        </is>
      </c>
      <c r="Q144" t="inlineStr"/>
    </row>
    <row r="145">
      <c r="A145" t="inlineStr">
        <is>
          <t>RIZKI ADI GUNA</t>
        </is>
      </c>
      <c r="B145" t="inlineStr">
        <is>
          <t>Kab. Lombok Tengah</t>
        </is>
      </c>
      <c r="C145" t="inlineStr">
        <is>
          <t>087851934428</t>
        </is>
      </c>
      <c r="D145" t="inlineStr">
        <is>
          <t>rizkiadiguna23@gmail.com</t>
        </is>
      </c>
      <c r="E145" t="inlineStr">
        <is>
          <t>https://lpjk.pu.go.id/search-badan-usaha-detail/TWNONlhrSm8zSkdnYksyVk1tOUg0dz09</t>
        </is>
      </c>
      <c r="F145" t="n">
        <v>1</v>
      </c>
      <c r="G145" t="inlineStr">
        <is>
          <t>BS001</t>
        </is>
      </c>
      <c r="H145" t="inlineStr">
        <is>
          <t>22 Juni 2012</t>
        </is>
      </c>
      <c r="I145" s="2" t="n">
        <v>46264</v>
      </c>
      <c r="J145" t="inlineStr">
        <is>
          <t>Disetujui</t>
        </is>
      </c>
      <c r="K145" t="n">
        <v>60</v>
      </c>
      <c r="L145" t="inlineStr">
        <is>
          <t>30 Agustus 2026</t>
        </is>
      </c>
      <c r="M145" t="inlineStr">
        <is>
          <t>Konstruksi Bangunan Sipil Jalan</t>
        </is>
      </c>
      <c r="N145" t="inlineStr">
        <is>
          <t>K</t>
        </is>
      </c>
      <c r="O145" t="inlineStr">
        <is>
          <t>20230829</t>
        </is>
      </c>
      <c r="P145" t="inlineStr">
        <is>
          <t>Nusa Tenggara Barat</t>
        </is>
      </c>
      <c r="Q145" t="inlineStr"/>
    </row>
    <row r="146">
      <c r="A146" t="inlineStr">
        <is>
          <t>RIZKI UTAMA TEKNIK</t>
        </is>
      </c>
      <c r="B146" t="inlineStr">
        <is>
          <t>Kota Medan</t>
        </is>
      </c>
      <c r="C146" t="inlineStr">
        <is>
          <t>081269741858</t>
        </is>
      </c>
      <c r="D146" t="inlineStr">
        <is>
          <t>cv.rizkiutamateknik@gmail.com</t>
        </is>
      </c>
      <c r="E146" t="inlineStr">
        <is>
          <t>https://lpjk.pu.go.id/search-badan-usaha-detail/YlpRNTZSRTQ1MjRlcU81TkJ4ZUxoZz09</t>
        </is>
      </c>
      <c r="F146" t="n">
        <v>4</v>
      </c>
      <c r="G146" t="inlineStr">
        <is>
          <t>BG001, BG002, BG004, BG009</t>
        </is>
      </c>
      <c r="H146" t="inlineStr">
        <is>
          <t>7 Februari 2020</t>
        </is>
      </c>
      <c r="I146" s="2" t="n">
        <v>46264</v>
      </c>
      <c r="J146" t="inlineStr">
        <is>
          <t>Disetujui</t>
        </is>
      </c>
      <c r="K146" t="n">
        <v>60</v>
      </c>
      <c r="L146" t="inlineStr">
        <is>
          <t>30 Agustus 2026</t>
        </is>
      </c>
      <c r="M146" t="inlineStr">
        <is>
          <t>Konstruksi Gedung Hunian, Konstruksi Gedung Lainnya, Konstruksi Gedung Perbelanjaan, Konstruksi Gedung Perkantoran</t>
        </is>
      </c>
      <c r="N146" t="inlineStr">
        <is>
          <t>K</t>
        </is>
      </c>
      <c r="O146" t="inlineStr">
        <is>
          <t>20230830</t>
        </is>
      </c>
      <c r="P146" t="inlineStr">
        <is>
          <t>Sumatera Utara</t>
        </is>
      </c>
      <c r="Q146" t="inlineStr"/>
    </row>
    <row r="147">
      <c r="A147" t="inlineStr">
        <is>
          <t>RYAN SYAHM JAYA</t>
        </is>
      </c>
      <c r="B147" t="inlineStr">
        <is>
          <t>Kab. Barru</t>
        </is>
      </c>
      <c r="C147" t="inlineStr">
        <is>
          <t>082395237777</t>
        </is>
      </c>
      <c r="D147" t="inlineStr">
        <is>
          <t>ptryansyahmjaya@gmail.com</t>
        </is>
      </c>
      <c r="E147" t="inlineStr">
        <is>
          <t>https://lpjk.pu.go.id/search-badan-usaha-detail/ckZHbVUzWkszYjltSGhjZy9yVTl4Zz09</t>
        </is>
      </c>
      <c r="F147" t="n">
        <v>1</v>
      </c>
      <c r="G147" t="inlineStr">
        <is>
          <t>BG001</t>
        </is>
      </c>
      <c r="H147" t="inlineStr">
        <is>
          <t>22 Agustus 2017</t>
        </is>
      </c>
      <c r="I147" s="2" t="n">
        <v>46264</v>
      </c>
      <c r="J147" t="inlineStr">
        <is>
          <t>Pencabutan</t>
        </is>
      </c>
      <c r="K147" t="n">
        <v>60</v>
      </c>
      <c r="L147" t="inlineStr">
        <is>
          <t>30 Agustus 2026</t>
        </is>
      </c>
      <c r="M147" t="inlineStr">
        <is>
          <t>Konstruksi Gedung Hunian</t>
        </is>
      </c>
      <c r="N147" t="inlineStr">
        <is>
          <t>K</t>
        </is>
      </c>
      <c r="O147" t="inlineStr">
        <is>
          <t>20230829</t>
        </is>
      </c>
      <c r="P147" t="inlineStr">
        <is>
          <t>Sulawesi Selatan</t>
        </is>
      </c>
      <c r="Q147" t="inlineStr"/>
    </row>
    <row r="148">
      <c r="A148" t="inlineStr">
        <is>
          <t>SARANA ANUGERAH BERSAMA</t>
        </is>
      </c>
      <c r="B148" t="inlineStr">
        <is>
          <t>Kab. Ogan Ilir</t>
        </is>
      </c>
      <c r="C148" t="inlineStr">
        <is>
          <t>081367615932</t>
        </is>
      </c>
      <c r="D148" t="inlineStr">
        <is>
          <t>cv.sarana.anugerah.b@gmail.com</t>
        </is>
      </c>
      <c r="E148" t="inlineStr">
        <is>
          <t>https://lpjk.pu.go.id/search-badan-usaha-detail/amxFTklvako1bnRyc1VjT2ZMT1R6QT09</t>
        </is>
      </c>
      <c r="F148" t="n">
        <v>1</v>
      </c>
      <c r="G148" t="inlineStr">
        <is>
          <t>BS002</t>
        </is>
      </c>
      <c r="H148" t="inlineStr">
        <is>
          <t>11 Februari 2020</t>
        </is>
      </c>
      <c r="I148" s="2" t="n">
        <v>46264</v>
      </c>
      <c r="J148" t="inlineStr">
        <is>
          <t>Disetujui</t>
        </is>
      </c>
      <c r="K148" t="n">
        <v>60</v>
      </c>
      <c r="L148" t="inlineStr">
        <is>
          <t>30 Agustus 2026</t>
        </is>
      </c>
      <c r="M148" t="inlineStr">
        <is>
          <t>Bangunan Sipil Jembatan, Jalan Layang, Fly Over, dan Underpass</t>
        </is>
      </c>
      <c r="N148" t="inlineStr">
        <is>
          <t>K</t>
        </is>
      </c>
      <c r="O148" t="inlineStr">
        <is>
          <t>20230830</t>
        </is>
      </c>
      <c r="P148" t="inlineStr">
        <is>
          <t>Sumatera Selatan</t>
        </is>
      </c>
      <c r="Q148" t="inlineStr"/>
    </row>
    <row r="149">
      <c r="A149" t="inlineStr">
        <is>
          <t>SELVI BAHAGIA UTAMA</t>
        </is>
      </c>
      <c r="B149" t="inlineStr">
        <is>
          <t>Kota Adm. Jakarta Selatan</t>
        </is>
      </c>
      <c r="C149" t="inlineStr">
        <is>
          <t>081809041969</t>
        </is>
      </c>
      <c r="D149" t="inlineStr">
        <is>
          <t>selvibahagiautama2018@gmail.com</t>
        </is>
      </c>
      <c r="E149" t="inlineStr">
        <is>
          <t>https://lpjk.pu.go.id/search-badan-usaha-detail/RTgyNzhsYzMxNGdUU3duYnB5WkZsQT09</t>
        </is>
      </c>
      <c r="F149" t="n">
        <v>1</v>
      </c>
      <c r="G149" t="inlineStr">
        <is>
          <t>BS001</t>
        </is>
      </c>
      <c r="H149" t="inlineStr">
        <is>
          <t>16 Agustus 2016</t>
        </is>
      </c>
      <c r="I149" s="2" t="n">
        <v>46264</v>
      </c>
      <c r="J149" t="inlineStr">
        <is>
          <t>Disetujui</t>
        </is>
      </c>
      <c r="K149" t="n">
        <v>60</v>
      </c>
      <c r="L149" t="inlineStr">
        <is>
          <t>30 Agustus 2026</t>
        </is>
      </c>
      <c r="M149" t="inlineStr">
        <is>
          <t>Konstruksi Bangunan Sipil Jalan</t>
        </is>
      </c>
      <c r="N149" t="inlineStr">
        <is>
          <t>K</t>
        </is>
      </c>
      <c r="O149" t="inlineStr">
        <is>
          <t>20230831</t>
        </is>
      </c>
      <c r="P149" t="inlineStr">
        <is>
          <t>DKI Jakarta</t>
        </is>
      </c>
      <c r="Q149" t="inlineStr"/>
    </row>
    <row r="150">
      <c r="A150" t="inlineStr">
        <is>
          <t>SENDANG DAKARA NUSANTARA</t>
        </is>
      </c>
      <c r="B150" t="inlineStr">
        <is>
          <t>Kab. Badung</t>
        </is>
      </c>
      <c r="C150" t="inlineStr">
        <is>
          <t>081999964805</t>
        </is>
      </c>
      <c r="D150" t="inlineStr">
        <is>
          <t>ptsendangdaksaranusantara@gmail.com</t>
        </is>
      </c>
      <c r="E150" t="inlineStr">
        <is>
          <t>https://lpjk.pu.go.id/search-badan-usaha-detail/ZHQ5SVR2cjFJTllxS3IwM1JGREd3dz09</t>
        </is>
      </c>
      <c r="F150" t="n">
        <v>2</v>
      </c>
      <c r="G150" t="inlineStr">
        <is>
          <t>BG001, BG002</t>
        </is>
      </c>
      <c r="H150" t="inlineStr">
        <is>
          <t>11 Oktober 2022</t>
        </is>
      </c>
      <c r="I150" s="2" t="n">
        <v>46264</v>
      </c>
      <c r="J150" t="inlineStr">
        <is>
          <t>Disetujui</t>
        </is>
      </c>
      <c r="K150" t="n">
        <v>60</v>
      </c>
      <c r="L150" t="inlineStr">
        <is>
          <t>30 Agustus 2026</t>
        </is>
      </c>
      <c r="M150" t="inlineStr">
        <is>
          <t>Konstruksi Gedung Hunian, Konstruksi Gedung Perkantoran</t>
        </is>
      </c>
      <c r="N150" t="inlineStr">
        <is>
          <t>K</t>
        </is>
      </c>
      <c r="O150" t="inlineStr">
        <is>
          <t>20230822, 20230823</t>
        </is>
      </c>
      <c r="P150" t="inlineStr">
        <is>
          <t>Bali</t>
        </is>
      </c>
      <c r="Q150" t="inlineStr"/>
    </row>
    <row r="151">
      <c r="A151" t="inlineStr">
        <is>
          <t>SHAKAFATIH</t>
        </is>
      </c>
      <c r="B151" t="inlineStr">
        <is>
          <t>Kota Medan</t>
        </is>
      </c>
      <c r="C151" t="inlineStr">
        <is>
          <t>08116570706</t>
        </is>
      </c>
      <c r="D151" t="inlineStr">
        <is>
          <t>diskykhalid4@gmail.com</t>
        </is>
      </c>
      <c r="E151" t="inlineStr">
        <is>
          <t>https://lpjk.pu.go.id/search-badan-usaha-detail/YXYzU2VqOW45cTRWL043RXd0Tksxdz09</t>
        </is>
      </c>
      <c r="F151" t="n">
        <v>3</v>
      </c>
      <c r="G151" t="inlineStr">
        <is>
          <t>BG001, BG009</t>
        </is>
      </c>
      <c r="H151" t="inlineStr">
        <is>
          <t>14 November 2019</t>
        </is>
      </c>
      <c r="I151" s="2" t="n">
        <v>46264</v>
      </c>
      <c r="J151" t="inlineStr">
        <is>
          <t>Pencabutan</t>
        </is>
      </c>
      <c r="K151" t="n">
        <v>60</v>
      </c>
      <c r="L151" t="inlineStr">
        <is>
          <t>30 Agustus 2026</t>
        </is>
      </c>
      <c r="M151" t="inlineStr">
        <is>
          <t>Konstruksi Gedung Hunian, Konstruksi Gedung Lainnya</t>
        </is>
      </c>
      <c r="N151" t="inlineStr">
        <is>
          <t>K</t>
        </is>
      </c>
      <c r="O151" t="inlineStr">
        <is>
          <t>20230829</t>
        </is>
      </c>
      <c r="P151" t="inlineStr">
        <is>
          <t>Sumatera Utara</t>
        </is>
      </c>
      <c r="Q151" t="inlineStr"/>
    </row>
    <row r="152">
      <c r="A152" t="inlineStr">
        <is>
          <t>SINAR BAROKAH</t>
        </is>
      </c>
      <c r="B152" t="inlineStr">
        <is>
          <t>Kab. Kotawaringin Timur</t>
        </is>
      </c>
      <c r="C152" t="inlineStr">
        <is>
          <t>0811524241</t>
        </is>
      </c>
      <c r="D152" t="inlineStr">
        <is>
          <t>legalossrba.sinarbarokah@gmail.com</t>
        </is>
      </c>
      <c r="E152" t="inlineStr">
        <is>
          <t>https://lpjk.pu.go.id/search-badan-usaha-detail/YXhGd2IvNkt3d2hOSjZvY3IrL0dmZz09</t>
        </is>
      </c>
      <c r="F152" t="n">
        <v>2</v>
      </c>
      <c r="G152" t="inlineStr">
        <is>
          <t>BG001, BG009</t>
        </is>
      </c>
      <c r="H152" t="inlineStr">
        <is>
          <t>5 Oktober 2009</t>
        </is>
      </c>
      <c r="I152" s="2" t="n">
        <v>46264</v>
      </c>
      <c r="J152" t="inlineStr">
        <is>
          <t>Pencabutan</t>
        </is>
      </c>
      <c r="K152" t="n">
        <v>60</v>
      </c>
      <c r="L152" t="inlineStr">
        <is>
          <t>30 Agustus 2026</t>
        </is>
      </c>
      <c r="M152" t="inlineStr">
        <is>
          <t>Konstruksi Gedung Hunian, Konstruksi Gedung Lainnya</t>
        </is>
      </c>
      <c r="N152" t="inlineStr">
        <is>
          <t>K</t>
        </is>
      </c>
      <c r="O152" t="inlineStr">
        <is>
          <t>20230830</t>
        </is>
      </c>
      <c r="P152" t="inlineStr">
        <is>
          <t>Kalimantan Tengah</t>
        </is>
      </c>
      <c r="Q152" t="inlineStr"/>
    </row>
    <row r="153">
      <c r="A153" t="inlineStr">
        <is>
          <t>SINAR DUNIA</t>
        </is>
      </c>
      <c r="B153" t="inlineStr">
        <is>
          <t>Kab. Banggai Kepulauan</t>
        </is>
      </c>
      <c r="C153" t="inlineStr">
        <is>
          <t>085394100700</t>
        </is>
      </c>
      <c r="D153" t="inlineStr">
        <is>
          <t>sdunia110@gmail.com</t>
        </is>
      </c>
      <c r="E153" t="inlineStr">
        <is>
          <t>https://lpjk.pu.go.id/search-badan-usaha-detail/VFJXWS9ZYWJrK3RSK0pINW9HNElVdz09</t>
        </is>
      </c>
      <c r="F153" t="n">
        <v>2</v>
      </c>
      <c r="G153" t="inlineStr">
        <is>
          <t>BG006, BS010</t>
        </is>
      </c>
      <c r="H153" t="inlineStr">
        <is>
          <t>22 Desember 2015</t>
        </is>
      </c>
      <c r="I153" s="2" t="n">
        <v>46264</v>
      </c>
      <c r="J153" t="inlineStr">
        <is>
          <t>Disetujui</t>
        </is>
      </c>
      <c r="K153" t="n">
        <v>60</v>
      </c>
      <c r="L153" t="inlineStr">
        <is>
          <t>30 Agustus 2026</t>
        </is>
      </c>
      <c r="M153" t="inlineStr">
        <is>
          <t>Konstruksi Bangunan Prasarana Sumber Daya Air, Konstruksi Gedung Pendidikan</t>
        </is>
      </c>
      <c r="N153" t="inlineStr">
        <is>
          <t>K</t>
        </is>
      </c>
      <c r="O153" t="inlineStr">
        <is>
          <t>20230320, 20230830</t>
        </is>
      </c>
      <c r="P153" t="inlineStr">
        <is>
          <t>Sulawesi Tengah</t>
        </is>
      </c>
      <c r="Q153" t="inlineStr"/>
    </row>
    <row r="154">
      <c r="A154" t="inlineStr">
        <is>
          <t>SINAR JAYA SEJAHTERA</t>
        </is>
      </c>
      <c r="B154" t="inlineStr">
        <is>
          <t>Kota Medan</t>
        </is>
      </c>
      <c r="C154" t="inlineStr">
        <is>
          <t>081396448020</t>
        </is>
      </c>
      <c r="D154" t="inlineStr">
        <is>
          <t>sinarjayasejahtera15@gmail.com</t>
        </is>
      </c>
      <c r="E154" t="inlineStr">
        <is>
          <t>https://lpjk.pu.go.id/search-badan-usaha-detail/UW5qaVNBVXJrVTRmUUpRQUpHN2ZxUT09</t>
        </is>
      </c>
      <c r="F154" t="n">
        <v>2</v>
      </c>
      <c r="G154" t="inlineStr">
        <is>
          <t>BG001, BG009</t>
        </is>
      </c>
      <c r="H154" t="inlineStr">
        <is>
          <t>7 Desember 2016</t>
        </is>
      </c>
      <c r="I154" s="2" t="n">
        <v>46264</v>
      </c>
      <c r="J154" t="inlineStr">
        <is>
          <t>Disetujui</t>
        </is>
      </c>
      <c r="K154" t="n">
        <v>60</v>
      </c>
      <c r="L154" t="inlineStr">
        <is>
          <t>30 Agustus 2026</t>
        </is>
      </c>
      <c r="M154" t="inlineStr">
        <is>
          <t>Konstruksi Gedung Hunian, Konstruksi Gedung Lainnya</t>
        </is>
      </c>
      <c r="N154" t="inlineStr">
        <is>
          <t>K</t>
        </is>
      </c>
      <c r="O154" t="inlineStr">
        <is>
          <t>20230829</t>
        </is>
      </c>
      <c r="P154" t="inlineStr">
        <is>
          <t>Sumatera Utara</t>
        </is>
      </c>
      <c r="Q154" t="inlineStr"/>
    </row>
    <row r="155">
      <c r="A155" t="inlineStr">
        <is>
          <t>SINAR MATAHARI</t>
        </is>
      </c>
      <c r="B155" t="inlineStr">
        <is>
          <t>Kab. Bandung</t>
        </is>
      </c>
      <c r="C155" t="inlineStr">
        <is>
          <t>0225942493</t>
        </is>
      </c>
      <c r="D155" t="inlineStr">
        <is>
          <t>sinarmataharipanas@yahoo.com</t>
        </is>
      </c>
      <c r="E155" t="inlineStr">
        <is>
          <t>https://lpjk.pu.go.id/search-badan-usaha-detail/MzdBZnplZFdLYVIyTjJTZ1l6VkE2dz09</t>
        </is>
      </c>
      <c r="F155" t="n">
        <v>1</v>
      </c>
      <c r="G155" t="inlineStr">
        <is>
          <t>BS004</t>
        </is>
      </c>
      <c r="H155" t="inlineStr">
        <is>
          <t>7 Januari 2011</t>
        </is>
      </c>
      <c r="I155" s="2" t="n">
        <v>46264</v>
      </c>
      <c r="J155" t="inlineStr">
        <is>
          <t>Disetujui</t>
        </is>
      </c>
      <c r="K155" t="n">
        <v>60</v>
      </c>
      <c r="L155" t="inlineStr">
        <is>
          <t>30 Agustus 2026</t>
        </is>
      </c>
      <c r="M155" t="inlineStr">
        <is>
          <t>Konstruksi Jaringan Irigasi dan Drainase</t>
        </is>
      </c>
      <c r="N155" t="inlineStr">
        <is>
          <t>K</t>
        </is>
      </c>
      <c r="O155" t="inlineStr">
        <is>
          <t>20230830</t>
        </is>
      </c>
      <c r="P155" t="inlineStr">
        <is>
          <t>Jawa Barat</t>
        </is>
      </c>
      <c r="Q155" t="inlineStr"/>
    </row>
    <row r="156">
      <c r="A156" t="inlineStr">
        <is>
          <t>SINAR REMBULAN</t>
        </is>
      </c>
      <c r="B156" t="inlineStr">
        <is>
          <t>Kab. Landak</t>
        </is>
      </c>
      <c r="C156" t="inlineStr">
        <is>
          <t>085246964073</t>
        </is>
      </c>
      <c r="D156" t="inlineStr">
        <is>
          <t>cv_sinarrembulan@yahoo.com</t>
        </is>
      </c>
      <c r="E156" t="inlineStr">
        <is>
          <t>https://lpjk.pu.go.id/search-badan-usaha-detail/bkdhdTk1bXl4aTM1ZG5NU1kvWXVEQT09</t>
        </is>
      </c>
      <c r="F156" t="n">
        <v>1</v>
      </c>
      <c r="G156" t="inlineStr">
        <is>
          <t>BS004</t>
        </is>
      </c>
      <c r="H156" t="inlineStr">
        <is>
          <t>4 Januari 2016</t>
        </is>
      </c>
      <c r="I156" s="2" t="n">
        <v>46264</v>
      </c>
      <c r="J156" t="inlineStr">
        <is>
          <t>Disetujui</t>
        </is>
      </c>
      <c r="K156" t="n">
        <v>60</v>
      </c>
      <c r="L156" t="inlineStr">
        <is>
          <t>30 Agustus 2026</t>
        </is>
      </c>
      <c r="M156" t="inlineStr">
        <is>
          <t>Konstruksi Jaringan Irigasi dan Drainase</t>
        </is>
      </c>
      <c r="N156" t="inlineStr">
        <is>
          <t>K</t>
        </is>
      </c>
      <c r="O156" t="inlineStr">
        <is>
          <t>20230827</t>
        </is>
      </c>
      <c r="P156" t="inlineStr">
        <is>
          <t>Kalimantan Barat</t>
        </is>
      </c>
      <c r="Q156" t="inlineStr"/>
    </row>
    <row r="157">
      <c r="A157" t="inlineStr">
        <is>
          <t>SINDOMAS JAYA PERKASA</t>
        </is>
      </c>
      <c r="B157" t="inlineStr">
        <is>
          <t>Kota Medan</t>
        </is>
      </c>
      <c r="C157" t="inlineStr">
        <is>
          <t>081269986789</t>
        </is>
      </c>
      <c r="D157" t="inlineStr">
        <is>
          <t>-</t>
        </is>
      </c>
      <c r="E157" t="inlineStr">
        <is>
          <t>https://lpjk.pu.go.id/search-badan-usaha-detail/d0lvbFVkei9kUzVVeEJ1RHpZWDVmdz09</t>
        </is>
      </c>
      <c r="F157" t="n">
        <v>1</v>
      </c>
      <c r="G157" t="inlineStr">
        <is>
          <t>BG003</t>
        </is>
      </c>
      <c r="H157" t="inlineStr">
        <is>
          <t>1 Februari 2007</t>
        </is>
      </c>
      <c r="I157" s="2" t="n">
        <v>46264</v>
      </c>
      <c r="J157" t="inlineStr">
        <is>
          <t>Disetujui</t>
        </is>
      </c>
      <c r="K157" t="n">
        <v>60</v>
      </c>
      <c r="L157" t="inlineStr">
        <is>
          <t>30 Agustus 2026</t>
        </is>
      </c>
      <c r="M157" t="inlineStr">
        <is>
          <t>Konstruksi Gedung Industri</t>
        </is>
      </c>
      <c r="N157" t="inlineStr">
        <is>
          <t>K</t>
        </is>
      </c>
      <c r="O157" t="inlineStr">
        <is>
          <t>20230828</t>
        </is>
      </c>
      <c r="P157" t="inlineStr">
        <is>
          <t>Sumatera Utara</t>
        </is>
      </c>
      <c r="Q157" t="inlineStr"/>
    </row>
    <row r="158">
      <c r="A158" t="inlineStr">
        <is>
          <t>SINERGI MITRA LESTARINDO</t>
        </is>
      </c>
      <c r="B158" t="inlineStr">
        <is>
          <t>Kab. Serang</t>
        </is>
      </c>
      <c r="C158" t="inlineStr">
        <is>
          <t>083192333904</t>
        </is>
      </c>
      <c r="D158" t="inlineStr">
        <is>
          <t>ptsinergimitralestari@gmail.com</t>
        </is>
      </c>
      <c r="E158" t="inlineStr">
        <is>
          <t>https://lpjk.pu.go.id/search-badan-usaha-detail/ajdCczloVi9KblFCQlYxQkJOeHk1UT09</t>
        </is>
      </c>
      <c r="F158" t="n">
        <v>2</v>
      </c>
      <c r="G158" t="inlineStr">
        <is>
          <t>BG002, BG003</t>
        </is>
      </c>
      <c r="H158" t="inlineStr">
        <is>
          <t>6 April 2018</t>
        </is>
      </c>
      <c r="I158" s="2" t="n">
        <v>46264</v>
      </c>
      <c r="J158" t="inlineStr">
        <is>
          <t>Disetujui</t>
        </is>
      </c>
      <c r="K158" t="n">
        <v>60</v>
      </c>
      <c r="L158" t="inlineStr">
        <is>
          <t>30 Agustus 2026</t>
        </is>
      </c>
      <c r="M158" t="inlineStr">
        <is>
          <t>Konstruksi Gedung Industri, Konstruksi Gedung Perkantoran</t>
        </is>
      </c>
      <c r="N158" t="inlineStr">
        <is>
          <t>K</t>
        </is>
      </c>
      <c r="O158" t="inlineStr">
        <is>
          <t>20230826</t>
        </is>
      </c>
      <c r="P158" t="inlineStr">
        <is>
          <t>Banten</t>
        </is>
      </c>
      <c r="Q158" t="inlineStr"/>
    </row>
    <row r="159">
      <c r="A159" t="inlineStr">
        <is>
          <t>SINERGI PROPERTI PRATAMA</t>
        </is>
      </c>
      <c r="B159" t="inlineStr">
        <is>
          <t>Kota Adm. Jakarta Selatan</t>
        </is>
      </c>
      <c r="C159" t="inlineStr">
        <is>
          <t>02173910767</t>
        </is>
      </c>
      <c r="D159" t="inlineStr">
        <is>
          <t>sinergi.pp@gmail.com</t>
        </is>
      </c>
      <c r="E159" t="inlineStr">
        <is>
          <t>https://lpjk.pu.go.id/search-badan-usaha-detail/RzhsU085MEdINlFRY3BMMk5Iemc3QT09</t>
        </is>
      </c>
      <c r="F159" t="n">
        <v>1</v>
      </c>
      <c r="G159" t="inlineStr">
        <is>
          <t>IN002</t>
        </is>
      </c>
      <c r="H159" t="inlineStr">
        <is>
          <t>25 Maret 2015</t>
        </is>
      </c>
      <c r="I159" s="2" t="n">
        <v>46264</v>
      </c>
      <c r="J159" t="inlineStr">
        <is>
          <t>Disetujui</t>
        </is>
      </c>
      <c r="K159" t="n">
        <v>60</v>
      </c>
      <c r="L159" t="inlineStr">
        <is>
          <t>30 Agustus 2026</t>
        </is>
      </c>
      <c r="M159" t="inlineStr">
        <is>
          <t>Instalasi Telekomunikasi</t>
        </is>
      </c>
      <c r="N159" t="inlineStr">
        <is>
          <t>Spesialis</t>
        </is>
      </c>
      <c r="O159" t="inlineStr">
        <is>
          <t>20230829</t>
        </is>
      </c>
      <c r="P159" t="inlineStr">
        <is>
          <t>DKI Jakarta</t>
        </is>
      </c>
      <c r="Q159" t="inlineStr"/>
    </row>
    <row r="160">
      <c r="A160" t="inlineStr">
        <is>
          <t>SOLID KONSTRUKSI</t>
        </is>
      </c>
      <c r="B160" t="inlineStr">
        <is>
          <t>Kota Semarang</t>
        </is>
      </c>
      <c r="C160" t="inlineStr">
        <is>
          <t>081226411370</t>
        </is>
      </c>
      <c r="D160" t="inlineStr">
        <is>
          <t>solidkonstruksi2020@gmail.com</t>
        </is>
      </c>
      <c r="E160" t="inlineStr">
        <is>
          <t>https://lpjk.pu.go.id/search-badan-usaha-detail/VjBLODR2V1czZXd3eURuT2lSanNIZz09</t>
        </is>
      </c>
      <c r="F160" t="n">
        <v>1</v>
      </c>
      <c r="G160" t="inlineStr">
        <is>
          <t>BS001</t>
        </is>
      </c>
      <c r="H160" t="inlineStr">
        <is>
          <t>13 Mei 2020</t>
        </is>
      </c>
      <c r="I160" s="2" t="n">
        <v>46264</v>
      </c>
      <c r="J160" t="inlineStr">
        <is>
          <t>Pencabutan</t>
        </is>
      </c>
      <c r="K160" t="n">
        <v>60</v>
      </c>
      <c r="L160" t="inlineStr">
        <is>
          <t>30 Agustus 2026</t>
        </is>
      </c>
      <c r="M160" t="inlineStr">
        <is>
          <t>Konstruksi Bangunan Sipil Jalan</t>
        </is>
      </c>
      <c r="N160" t="inlineStr">
        <is>
          <t>K</t>
        </is>
      </c>
      <c r="O160" t="inlineStr">
        <is>
          <t>20230831</t>
        </is>
      </c>
      <c r="P160" t="inlineStr">
        <is>
          <t>Jawa Tengah</t>
        </is>
      </c>
      <c r="Q160" t="inlineStr"/>
    </row>
    <row r="161">
      <c r="A161" t="inlineStr">
        <is>
          <t>SONI PUTRA</t>
        </is>
      </c>
      <c r="B161" t="inlineStr">
        <is>
          <t>Kota Banjar</t>
        </is>
      </c>
      <c r="C161" t="inlineStr">
        <is>
          <t>082116073566</t>
        </is>
      </c>
      <c r="D161" t="inlineStr">
        <is>
          <t>cvsoniputra@gmail.com</t>
        </is>
      </c>
      <c r="E161" t="inlineStr">
        <is>
          <t>https://lpjk.pu.go.id/search-badan-usaha-detail/RXpQWjMwMDkzK0lJR2RhQmNET0thUT09</t>
        </is>
      </c>
      <c r="F161" t="n">
        <v>1</v>
      </c>
      <c r="G161" t="inlineStr">
        <is>
          <t>BG006</t>
        </is>
      </c>
      <c r="H161" t="inlineStr">
        <is>
          <t>14 Oktober 2019</t>
        </is>
      </c>
      <c r="I161" s="2" t="n">
        <v>46264</v>
      </c>
      <c r="J161" t="inlineStr">
        <is>
          <t>Disetujui</t>
        </is>
      </c>
      <c r="K161" t="n">
        <v>60</v>
      </c>
      <c r="L161" t="inlineStr">
        <is>
          <t>30 Agustus 2026</t>
        </is>
      </c>
      <c r="M161" t="inlineStr">
        <is>
          <t>Konstruksi Gedung Pendidikan</t>
        </is>
      </c>
      <c r="N161" t="inlineStr">
        <is>
          <t>K</t>
        </is>
      </c>
      <c r="O161" t="inlineStr">
        <is>
          <t>20230826</t>
        </is>
      </c>
      <c r="P161" t="inlineStr">
        <is>
          <t>Jawa Barat</t>
        </is>
      </c>
      <c r="Q161" t="inlineStr"/>
    </row>
    <row r="162">
      <c r="A162" t="inlineStr">
        <is>
          <t>TALINO JAYA</t>
        </is>
      </c>
      <c r="B162" t="inlineStr">
        <is>
          <t>Kab. Sekadau</t>
        </is>
      </c>
      <c r="C162" t="inlineStr">
        <is>
          <t>082138252001</t>
        </is>
      </c>
      <c r="D162" t="inlineStr">
        <is>
          <t>CVTALINOJAYA11@gmail.com</t>
        </is>
      </c>
      <c r="E162" t="inlineStr">
        <is>
          <t>https://lpjk.pu.go.id/search-badan-usaha-detail/VkNKQmwxOTlkaktzYlBEWEJvU3NiUT09</t>
        </is>
      </c>
      <c r="F162" t="n">
        <v>2</v>
      </c>
      <c r="G162" t="inlineStr">
        <is>
          <t>BG001, BG005</t>
        </is>
      </c>
      <c r="H162" t="inlineStr">
        <is>
          <t>11 Mei 2009</t>
        </is>
      </c>
      <c r="I162" s="2" t="n">
        <v>46264</v>
      </c>
      <c r="J162" t="inlineStr">
        <is>
          <t>Disetujui</t>
        </is>
      </c>
      <c r="K162" t="n">
        <v>60</v>
      </c>
      <c r="L162" t="inlineStr">
        <is>
          <t>30 Agustus 2026</t>
        </is>
      </c>
      <c r="M162" t="inlineStr">
        <is>
          <t>Konstruksi Gedung Hunian, Konstruksi Gedung Kesehatan</t>
        </is>
      </c>
      <c r="N162" t="inlineStr">
        <is>
          <t>K</t>
        </is>
      </c>
      <c r="O162" t="inlineStr">
        <is>
          <t>20230829</t>
        </is>
      </c>
      <c r="P162" t="inlineStr">
        <is>
          <t>Kalimantan Barat</t>
        </is>
      </c>
      <c r="Q162" t="inlineStr"/>
    </row>
    <row r="163">
      <c r="A163" t="inlineStr">
        <is>
          <t>TANI ENGINEERING INDONESIA</t>
        </is>
      </c>
      <c r="B163" t="inlineStr">
        <is>
          <t>-</t>
        </is>
      </c>
      <c r="C163" t="inlineStr">
        <is>
          <t>085320130313</t>
        </is>
      </c>
      <c r="D163" t="inlineStr">
        <is>
          <t>taniengineering@tani.co.id</t>
        </is>
      </c>
      <c r="E163" t="inlineStr">
        <is>
          <t>https://lpjk.pu.go.id/search-badan-usaha-detail/azRmRUJuLzc3SFNuQ3EvVXl2eHFmUT09</t>
        </is>
      </c>
      <c r="F163" t="n">
        <v>1</v>
      </c>
      <c r="G163" t="inlineStr">
        <is>
          <t>IN001</t>
        </is>
      </c>
      <c r="H163" t="inlineStr">
        <is>
          <t>26 Januari 2023</t>
        </is>
      </c>
      <c r="I163" s="2" t="n">
        <v>46264</v>
      </c>
      <c r="J163" t="inlineStr">
        <is>
          <t>Disetujui</t>
        </is>
      </c>
      <c r="K163" t="n">
        <v>60</v>
      </c>
      <c r="L163" t="inlineStr">
        <is>
          <t>30 Agustus 2026</t>
        </is>
      </c>
      <c r="M163" t="inlineStr">
        <is>
          <t>Instalasi Mekanikal</t>
        </is>
      </c>
      <c r="N163" t="inlineStr">
        <is>
          <t>Spesialis</t>
        </is>
      </c>
      <c r="O163" t="inlineStr">
        <is>
          <t>20230802</t>
        </is>
      </c>
      <c r="P163" t="inlineStr">
        <is>
          <t>Riau</t>
        </is>
      </c>
      <c r="Q163" t="inlineStr"/>
    </row>
    <row r="164">
      <c r="A164" t="inlineStr">
        <is>
          <t>TATAU ANDRAU</t>
        </is>
      </c>
      <c r="B164" t="inlineStr">
        <is>
          <t>Kab. Barito Timur</t>
        </is>
      </c>
      <c r="C164" t="inlineStr">
        <is>
          <t>0852-4803-6134</t>
        </is>
      </c>
      <c r="D164" t="inlineStr">
        <is>
          <t>tatauandrau@gmail.com</t>
        </is>
      </c>
      <c r="E164" t="inlineStr">
        <is>
          <t>https://lpjk.pu.go.id/search-badan-usaha-detail/QzgyTWh4bFZncTdwRlBuY0l6YVNidz09</t>
        </is>
      </c>
      <c r="F164" t="n">
        <v>1</v>
      </c>
      <c r="G164" t="inlineStr">
        <is>
          <t>BS001</t>
        </is>
      </c>
      <c r="H164" t="inlineStr">
        <is>
          <t>25 Juli 2023</t>
        </is>
      </c>
      <c r="I164" s="2" t="n">
        <v>46264</v>
      </c>
      <c r="J164" t="inlineStr">
        <is>
          <t>Disetujui</t>
        </is>
      </c>
      <c r="K164" t="n">
        <v>60</v>
      </c>
      <c r="L164" t="inlineStr">
        <is>
          <t>30 Agustus 2026</t>
        </is>
      </c>
      <c r="M164" t="inlineStr">
        <is>
          <t>Konstruksi Bangunan Sipil Jalan</t>
        </is>
      </c>
      <c r="N164" t="inlineStr">
        <is>
          <t>K</t>
        </is>
      </c>
      <c r="O164" t="inlineStr">
        <is>
          <t>20230828</t>
        </is>
      </c>
      <c r="P164" t="inlineStr">
        <is>
          <t>Kalimantan Tengah</t>
        </is>
      </c>
      <c r="Q164" t="inlineStr"/>
    </row>
    <row r="165">
      <c r="A165" t="inlineStr">
        <is>
          <t>TIGA PUTRI</t>
        </is>
      </c>
      <c r="B165" t="inlineStr">
        <is>
          <t>Kota Solok</t>
        </is>
      </c>
      <c r="C165" t="inlineStr">
        <is>
          <t>08126712750</t>
        </is>
      </c>
      <c r="D165" t="inlineStr">
        <is>
          <t>cvtigaputri10@gmail.com</t>
        </is>
      </c>
      <c r="E165" t="inlineStr">
        <is>
          <t>https://lpjk.pu.go.id/search-badan-usaha-detail/OFhlYlZDWmJLVzRsVjhhc05ESTRoZz09</t>
        </is>
      </c>
      <c r="F165" t="n">
        <v>1</v>
      </c>
      <c r="G165" t="inlineStr">
        <is>
          <t>BS004</t>
        </is>
      </c>
      <c r="H165" t="inlineStr">
        <is>
          <t>27 Mei 2016</t>
        </is>
      </c>
      <c r="I165" s="2" t="n">
        <v>46264</v>
      </c>
      <c r="J165" t="inlineStr">
        <is>
          <t>Disetujui</t>
        </is>
      </c>
      <c r="K165" t="n">
        <v>60</v>
      </c>
      <c r="L165" t="inlineStr">
        <is>
          <t>30 Agustus 2026</t>
        </is>
      </c>
      <c r="M165" t="inlineStr">
        <is>
          <t>Konstruksi Jaringan Irigasi dan Drainase</t>
        </is>
      </c>
      <c r="N165" t="inlineStr">
        <is>
          <t>K</t>
        </is>
      </c>
      <c r="O165" t="inlineStr">
        <is>
          <t>20230827</t>
        </is>
      </c>
      <c r="P165" t="inlineStr">
        <is>
          <t>Sumatera Barat</t>
        </is>
      </c>
      <c r="Q165" t="inlineStr"/>
    </row>
    <row r="166">
      <c r="A166" t="inlineStr">
        <is>
          <t>TRANS INDO NUSA</t>
        </is>
      </c>
      <c r="B166" t="inlineStr">
        <is>
          <t>Kab. Sumenep</t>
        </is>
      </c>
      <c r="C166" t="inlineStr">
        <is>
          <t>082148383883</t>
        </is>
      </c>
      <c r="D166" t="inlineStr">
        <is>
          <t>putraandikaprasetya@gmail.com</t>
        </is>
      </c>
      <c r="E166" t="inlineStr">
        <is>
          <t>https://lpjk.pu.go.id/search-badan-usaha-detail/N1FqcXJ1WkswbVh4Y2NSNXVMY0JrQT09</t>
        </is>
      </c>
      <c r="F166" t="n">
        <v>2</v>
      </c>
      <c r="G166" t="inlineStr">
        <is>
          <t>BG009</t>
        </is>
      </c>
      <c r="H166" t="inlineStr">
        <is>
          <t>28 Juli 2023</t>
        </is>
      </c>
      <c r="I166" s="2" t="n">
        <v>46264</v>
      </c>
      <c r="J166" t="inlineStr">
        <is>
          <t>Disetujui</t>
        </is>
      </c>
      <c r="K166" t="n">
        <v>60</v>
      </c>
      <c r="L166" t="inlineStr">
        <is>
          <t>30 Agustus 2026</t>
        </is>
      </c>
      <c r="M166" t="inlineStr">
        <is>
          <t>Konstruksi Gedung Lainnya</t>
        </is>
      </c>
      <c r="N166" t="inlineStr">
        <is>
          <t>K</t>
        </is>
      </c>
      <c r="O166" t="inlineStr">
        <is>
          <t>20230829</t>
        </is>
      </c>
      <c r="P166" t="inlineStr">
        <is>
          <t>Jawa Timur</t>
        </is>
      </c>
      <c r="Q166" t="inlineStr"/>
    </row>
    <row r="167">
      <c r="A167" t="inlineStr">
        <is>
          <t>TRI BAJRA SENA</t>
        </is>
      </c>
      <c r="B167" t="inlineStr">
        <is>
          <t>Kab. Indramayu</t>
        </is>
      </c>
      <c r="C167" t="inlineStr">
        <is>
          <t>089520946464</t>
        </is>
      </c>
      <c r="D167" t="inlineStr">
        <is>
          <t>cv.tribajrasenaindramayu@gmail.com</t>
        </is>
      </c>
      <c r="E167" t="inlineStr">
        <is>
          <t>https://lpjk.pu.go.id/search-badan-usaha-detail/QjhYMDROVDdOTzFaTDM4ZWhpMEgrdz09</t>
        </is>
      </c>
      <c r="F167" t="n">
        <v>2</v>
      </c>
      <c r="G167" t="inlineStr">
        <is>
          <t>BG005, BG006</t>
        </is>
      </c>
      <c r="H167" t="inlineStr">
        <is>
          <t>25 Juli 2023</t>
        </is>
      </c>
      <c r="I167" s="2" t="n">
        <v>46264</v>
      </c>
      <c r="J167" t="inlineStr">
        <is>
          <t>Disetujui</t>
        </is>
      </c>
      <c r="K167" t="n">
        <v>60</v>
      </c>
      <c r="L167" t="inlineStr">
        <is>
          <t>30 Agustus 2026</t>
        </is>
      </c>
      <c r="M167" t="inlineStr">
        <is>
          <t>Konstruksi Gedung Kesehatan, Konstruksi Gedung Pendidikan</t>
        </is>
      </c>
      <c r="N167" t="inlineStr">
        <is>
          <t>K</t>
        </is>
      </c>
      <c r="O167" t="inlineStr">
        <is>
          <t>20230831</t>
        </is>
      </c>
      <c r="P167" t="inlineStr">
        <is>
          <t>Jawa Barat</t>
        </is>
      </c>
      <c r="Q167" t="inlineStr"/>
    </row>
    <row r="168">
      <c r="A168" t="inlineStr">
        <is>
          <t>TRI PUTRA KARYA</t>
        </is>
      </c>
      <c r="B168" t="inlineStr">
        <is>
          <t>Kab. Tabanan</t>
        </is>
      </c>
      <c r="C168" t="inlineStr">
        <is>
          <t>08123615074</t>
        </is>
      </c>
      <c r="D168" t="inlineStr">
        <is>
          <t>cv.triputrakarya908@gmail.com</t>
        </is>
      </c>
      <c r="E168" t="inlineStr">
        <is>
          <t>https://lpjk.pu.go.id/search-badan-usaha-detail/NmR1SEQyb3RPUGxOYUN3TDJGcUhtQT09</t>
        </is>
      </c>
      <c r="F168" t="n">
        <v>1</v>
      </c>
      <c r="G168" t="inlineStr">
        <is>
          <t>BG005</t>
        </is>
      </c>
      <c r="H168" t="inlineStr">
        <is>
          <t>21 Februari 2002</t>
        </is>
      </c>
      <c r="I168" s="2" t="n">
        <v>46264</v>
      </c>
      <c r="J168" t="inlineStr">
        <is>
          <t>Disetujui</t>
        </is>
      </c>
      <c r="K168" t="n">
        <v>60</v>
      </c>
      <c r="L168" t="inlineStr">
        <is>
          <t>30 Agustus 2026</t>
        </is>
      </c>
      <c r="M168" t="inlineStr">
        <is>
          <t>Konstruksi Gedung Kesehatan</t>
        </is>
      </c>
      <c r="N168" t="inlineStr">
        <is>
          <t>K</t>
        </is>
      </c>
      <c r="O168" t="inlineStr">
        <is>
          <t>20230825</t>
        </is>
      </c>
      <c r="P168" t="inlineStr">
        <is>
          <t>Bali</t>
        </is>
      </c>
      <c r="Q168" t="inlineStr"/>
    </row>
    <row r="169">
      <c r="A169" t="inlineStr">
        <is>
          <t>TRI SUKSES BAROKAH</t>
        </is>
      </c>
      <c r="B169" t="inlineStr">
        <is>
          <t>Kab. Gresik</t>
        </is>
      </c>
      <c r="C169" t="inlineStr">
        <is>
          <t>082141661352</t>
        </is>
      </c>
      <c r="D169" t="inlineStr">
        <is>
          <t>cv.trisuksesbarokah@gmail.com</t>
        </is>
      </c>
      <c r="E169" t="inlineStr">
        <is>
          <t>https://lpjk.pu.go.id/search-badan-usaha-detail/Qk5xSE43ZzRHVlN2NWRpQUhPZUdZQT09</t>
        </is>
      </c>
      <c r="F169" t="n">
        <v>2</v>
      </c>
      <c r="G169" t="inlineStr">
        <is>
          <t>BS001, BS002</t>
        </is>
      </c>
      <c r="H169" t="inlineStr">
        <is>
          <t>3 Februari 2016</t>
        </is>
      </c>
      <c r="I169" s="2" t="n">
        <v>46264</v>
      </c>
      <c r="J169" t="inlineStr">
        <is>
          <t>Disetujui</t>
        </is>
      </c>
      <c r="K169" t="n">
        <v>60</v>
      </c>
      <c r="L169" t="inlineStr">
        <is>
          <t>30 Agustus 2026</t>
        </is>
      </c>
      <c r="M169" t="inlineStr">
        <is>
          <t>Bangunan Sipil Jembatan, Jalan Layang, Fly Over, dan Underpass, Konstruksi Bangunan Sipil Jalan</t>
        </is>
      </c>
      <c r="N169" t="inlineStr">
        <is>
          <t>K</t>
        </is>
      </c>
      <c r="O169" t="inlineStr">
        <is>
          <t>20230829</t>
        </is>
      </c>
      <c r="P169" t="inlineStr">
        <is>
          <t>Jawa Timur</t>
        </is>
      </c>
      <c r="Q169" t="inlineStr"/>
    </row>
    <row r="170">
      <c r="A170" t="inlineStr">
        <is>
          <t>TRIJAYA LAND INDONESIA</t>
        </is>
      </c>
      <c r="B170" t="inlineStr">
        <is>
          <t>Kab. Polewali Mandar</t>
        </is>
      </c>
      <c r="C170" t="inlineStr">
        <is>
          <t>081241301006</t>
        </is>
      </c>
      <c r="D170" t="inlineStr">
        <is>
          <t>trijayaland558@gmail.com</t>
        </is>
      </c>
      <c r="E170" t="inlineStr">
        <is>
          <t>https://lpjk.pu.go.id/search-badan-usaha-detail/a0dHbVZUQnozSDFocEFwUytzR0tsZz09</t>
        </is>
      </c>
      <c r="F170" t="n">
        <v>1</v>
      </c>
      <c r="G170" t="inlineStr">
        <is>
          <t>BS001</t>
        </is>
      </c>
      <c r="H170" t="inlineStr">
        <is>
          <t>4 Mei 2023</t>
        </is>
      </c>
      <c r="I170" s="2" t="n">
        <v>46264</v>
      </c>
      <c r="J170" t="inlineStr">
        <is>
          <t>Pencabutan</t>
        </is>
      </c>
      <c r="K170" t="n">
        <v>60</v>
      </c>
      <c r="L170" t="inlineStr">
        <is>
          <t>30 Agustus 2026</t>
        </is>
      </c>
      <c r="M170" t="inlineStr">
        <is>
          <t>Konstruksi Bangunan Sipil Jalan</t>
        </is>
      </c>
      <c r="N170" t="inlineStr">
        <is>
          <t>K</t>
        </is>
      </c>
      <c r="O170" t="inlineStr">
        <is>
          <t>20230830</t>
        </is>
      </c>
      <c r="P170" t="inlineStr">
        <is>
          <t>Sulawesi Barat</t>
        </is>
      </c>
      <c r="Q170" t="inlineStr"/>
    </row>
    <row r="171">
      <c r="A171" t="inlineStr">
        <is>
          <t>UTAMA TEKNIK</t>
        </is>
      </c>
      <c r="B171" t="inlineStr">
        <is>
          <t>Kota Makassar</t>
        </is>
      </c>
      <c r="C171" t="inlineStr">
        <is>
          <t>081355176909</t>
        </is>
      </c>
      <c r="D171" t="inlineStr">
        <is>
          <t>cv.utamateknik2021@gmail.com</t>
        </is>
      </c>
      <c r="E171" t="inlineStr">
        <is>
          <t>https://lpjk.pu.go.id/search-badan-usaha-detail/eVYzcEQ2emdjclVjUjJmRTBXWDUvdz09</t>
        </is>
      </c>
      <c r="F171" t="n">
        <v>1</v>
      </c>
      <c r="G171" t="inlineStr">
        <is>
          <t>BG005</t>
        </is>
      </c>
      <c r="H171" t="inlineStr">
        <is>
          <t>8 Januari 2016</t>
        </is>
      </c>
      <c r="I171" s="2" t="n">
        <v>46264</v>
      </c>
      <c r="J171" t="inlineStr">
        <is>
          <t>Disetujui</t>
        </is>
      </c>
      <c r="K171" t="n">
        <v>60</v>
      </c>
      <c r="L171" t="inlineStr">
        <is>
          <t>30 Agustus 2026</t>
        </is>
      </c>
      <c r="M171" t="inlineStr">
        <is>
          <t>Konstruksi Gedung Kesehatan</t>
        </is>
      </c>
      <c r="N171" t="inlineStr">
        <is>
          <t>K</t>
        </is>
      </c>
      <c r="O171" t="inlineStr">
        <is>
          <t>20230816</t>
        </is>
      </c>
      <c r="P171" t="inlineStr">
        <is>
          <t>Sulawesi Selatan</t>
        </is>
      </c>
      <c r="Q171" t="inlineStr"/>
    </row>
    <row r="172">
      <c r="A172" t="inlineStr">
        <is>
          <t>WELLINDO JAYA KIATGUNA</t>
        </is>
      </c>
      <c r="B172" t="inlineStr">
        <is>
          <t>Kota Adm. Jakarta Utara</t>
        </is>
      </c>
      <c r="C172" t="inlineStr">
        <is>
          <t>02165833920</t>
        </is>
      </c>
      <c r="D172" t="inlineStr">
        <is>
          <t>optwemb@yahoo.com</t>
        </is>
      </c>
      <c r="E172" t="inlineStr">
        <is>
          <t>https://lpjk.pu.go.id/search-badan-usaha-detail/Q2s2d0E5SjNtbkRMc1BEenB2L0xmUT09</t>
        </is>
      </c>
      <c r="F172" t="n">
        <v>1</v>
      </c>
      <c r="G172" t="inlineStr">
        <is>
          <t>BS004</t>
        </is>
      </c>
      <c r="H172" t="inlineStr">
        <is>
          <t>6 Februari 2004</t>
        </is>
      </c>
      <c r="I172" s="2" t="n">
        <v>46264</v>
      </c>
      <c r="J172" t="inlineStr">
        <is>
          <t>Disetujui</t>
        </is>
      </c>
      <c r="K172" t="n">
        <v>60</v>
      </c>
      <c r="L172" t="inlineStr">
        <is>
          <t>30 Agustus 2026</t>
        </is>
      </c>
      <c r="M172" t="inlineStr">
        <is>
          <t>Konstruksi Jaringan Irigasi dan Drainase</t>
        </is>
      </c>
      <c r="N172" t="inlineStr">
        <is>
          <t>K</t>
        </is>
      </c>
      <c r="O172" t="inlineStr">
        <is>
          <t>20230825</t>
        </is>
      </c>
      <c r="P172" t="inlineStr">
        <is>
          <t>DKI Jakarta</t>
        </is>
      </c>
      <c r="Q172" t="inlineStr"/>
    </row>
    <row r="173">
      <c r="A173" t="inlineStr">
        <is>
          <t>WIJAYA PERKASA UTAMA</t>
        </is>
      </c>
      <c r="B173" t="inlineStr">
        <is>
          <t>Kab. Tangerang</t>
        </is>
      </c>
      <c r="C173" t="inlineStr">
        <is>
          <t>08121484888</t>
        </is>
      </c>
      <c r="D173" t="inlineStr">
        <is>
          <t>utamawijaperkasa@gmail.com</t>
        </is>
      </c>
      <c r="E173" t="inlineStr">
        <is>
          <t>https://lpjk.pu.go.id/search-badan-usaha-detail/akRBd3NUemt5ckZJUE14aGl6TW9FZz09</t>
        </is>
      </c>
      <c r="F173" t="n">
        <v>6</v>
      </c>
      <c r="G173" t="inlineStr">
        <is>
          <t>BS001, BS004, BS010</t>
        </is>
      </c>
      <c r="H173" t="inlineStr">
        <is>
          <t>6 Januari 2023</t>
        </is>
      </c>
      <c r="I173" s="2" t="n">
        <v>46264</v>
      </c>
      <c r="J173" t="inlineStr">
        <is>
          <t>Disetujui</t>
        </is>
      </c>
      <c r="K173" t="n">
        <v>60</v>
      </c>
      <c r="L173" t="inlineStr">
        <is>
          <t>30 Agustus 2026</t>
        </is>
      </c>
      <c r="M173" t="inlineStr">
        <is>
          <t>Konstruksi Bangunan Prasarana Sumber Daya Air, Konstruksi Bangunan Sipil Jalan, Konstruksi Jaringan Irigasi dan Drainase</t>
        </is>
      </c>
      <c r="N173" t="inlineStr">
        <is>
          <t>K</t>
        </is>
      </c>
      <c r="O173" t="inlineStr">
        <is>
          <t>20230823, 20230828</t>
        </is>
      </c>
      <c r="P173" t="inlineStr">
        <is>
          <t>Banten</t>
        </is>
      </c>
      <c r="Q1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5"/>
  <sheetViews>
    <sheetView workbookViewId="0">
      <selection activeCell="A1" sqref="A1"/>
    </sheetView>
  </sheetViews>
  <sheetFormatPr baseColWidth="8" defaultRowHeight="15"/>
  <cols>
    <col width="33" customWidth="1" min="1" max="1"/>
    <col width="27" customWidth="1" min="2" max="2"/>
    <col width="16" customWidth="1" min="3" max="3"/>
    <col width="39" customWidth="1" min="4" max="4"/>
    <col width="50" customWidth="1" min="5" max="5"/>
    <col width="18" customWidth="1" min="6" max="6"/>
    <col width="50" customWidth="1" min="7" max="7"/>
    <col width="20" customWidth="1" min="8" max="8"/>
    <col width="28" customWidth="1" min="9" max="9"/>
    <col width="28"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ARJUNA PUTRA MANDIRI SINERGI</t>
        </is>
      </c>
      <c r="B2" t="inlineStr">
        <is>
          <t>Kota Bekasi</t>
        </is>
      </c>
      <c r="C2" t="inlineStr">
        <is>
          <t>0218624233</t>
        </is>
      </c>
      <c r="D2" t="inlineStr">
        <is>
          <t>apm.sinergi1@gmail.com</t>
        </is>
      </c>
      <c r="E2" t="inlineStr">
        <is>
          <t>https://lpjk.pu.go.id/search-badan-usaha-detail/dGUybFN3WjcrSDBuQXRnNGxBM0p4UT09</t>
        </is>
      </c>
      <c r="F2" t="n">
        <v>1</v>
      </c>
      <c r="G2" t="inlineStr">
        <is>
          <t>BS005</t>
        </is>
      </c>
      <c r="H2" t="inlineStr">
        <is>
          <t>8 Agustus 2016</t>
        </is>
      </c>
      <c r="I2" s="2" t="n">
        <v>46234</v>
      </c>
      <c r="J2" t="inlineStr">
        <is>
          <t>Disetujui</t>
        </is>
      </c>
      <c r="K2" t="n">
        <v>30</v>
      </c>
      <c r="L2" t="inlineStr">
        <is>
          <t>31 Juli 2026</t>
        </is>
      </c>
      <c r="M2" t="inlineStr">
        <is>
          <t>Konstruksi Bangunan Sipil Pengolahan Air Bersih</t>
        </is>
      </c>
      <c r="N2" t="inlineStr">
        <is>
          <t>K</t>
        </is>
      </c>
      <c r="O2" t="inlineStr">
        <is>
          <t>20230712</t>
        </is>
      </c>
      <c r="P2" t="inlineStr">
        <is>
          <t>Jawa Barat</t>
        </is>
      </c>
      <c r="Q2" t="inlineStr"/>
    </row>
    <row r="3">
      <c r="A3" t="inlineStr">
        <is>
          <t>BAKRIE METAL INDUSTRIES</t>
        </is>
      </c>
      <c r="B3" t="inlineStr">
        <is>
          <t>Kota Bekasi</t>
        </is>
      </c>
      <c r="C3" t="inlineStr">
        <is>
          <t>02129912030</t>
        </is>
      </c>
      <c r="D3" t="inlineStr">
        <is>
          <t>legal.bmi@bakriemetal.co.id</t>
        </is>
      </c>
      <c r="E3" t="inlineStr">
        <is>
          <t>https://lpjk.pu.go.id/search-badan-usaha-detail/TmhwRkxDVVVvWWF6VnBvTmpoQlkzdz09</t>
        </is>
      </c>
      <c r="F3" t="n">
        <v>2</v>
      </c>
      <c r="G3" t="inlineStr">
        <is>
          <t>BS002</t>
        </is>
      </c>
      <c r="H3" t="inlineStr">
        <is>
          <t>16 Februari 1981</t>
        </is>
      </c>
      <c r="I3" s="2" t="n">
        <v>46234</v>
      </c>
      <c r="J3" t="inlineStr">
        <is>
          <t>Pencabutan</t>
        </is>
      </c>
      <c r="K3" t="n">
        <v>30</v>
      </c>
      <c r="L3" t="inlineStr">
        <is>
          <t>31 Juli 2026</t>
        </is>
      </c>
      <c r="M3" t="inlineStr">
        <is>
          <t>Bangunan Sipil Jembatan, Jalan Layang, Fly Over, dan Underpass</t>
        </is>
      </c>
      <c r="N3" t="inlineStr">
        <is>
          <t>B</t>
        </is>
      </c>
      <c r="O3" t="inlineStr">
        <is>
          <t>20230724</t>
        </is>
      </c>
      <c r="P3" t="inlineStr">
        <is>
          <t>Jawa Barat</t>
        </is>
      </c>
      <c r="Q3" t="inlineStr"/>
    </row>
    <row r="4">
      <c r="A4" t="inlineStr">
        <is>
          <t>CAHAYA REFTINA</t>
        </is>
      </c>
      <c r="B4" t="inlineStr">
        <is>
          <t>Kota Depok</t>
        </is>
      </c>
      <c r="C4" t="inlineStr">
        <is>
          <t>081280309972</t>
        </is>
      </c>
      <c r="D4" t="inlineStr">
        <is>
          <t>cahaya.reftina76@yahoo.com</t>
        </is>
      </c>
      <c r="E4" t="inlineStr">
        <is>
          <t>https://lpjk.pu.go.id/search-badan-usaha-detail/WUpGMmpKaTJWMmhMcllDc1VSeVdJQT09</t>
        </is>
      </c>
      <c r="F4" t="n">
        <v>1</v>
      </c>
      <c r="G4" t="inlineStr">
        <is>
          <t>BS004</t>
        </is>
      </c>
      <c r="H4" t="inlineStr">
        <is>
          <t>23 November 2007</t>
        </is>
      </c>
      <c r="I4" s="2" t="n">
        <v>46234</v>
      </c>
      <c r="J4" t="inlineStr">
        <is>
          <t>Pencabutan</t>
        </is>
      </c>
      <c r="K4" t="n">
        <v>30</v>
      </c>
      <c r="L4" t="inlineStr">
        <is>
          <t>31 Juli 2026</t>
        </is>
      </c>
      <c r="M4" t="inlineStr">
        <is>
          <t>Konstruksi Jaringan Irigasi dan Drainase</t>
        </is>
      </c>
      <c r="N4" t="inlineStr">
        <is>
          <t>K</t>
        </is>
      </c>
      <c r="O4" t="inlineStr">
        <is>
          <t>20230727</t>
        </is>
      </c>
      <c r="P4" t="inlineStr">
        <is>
          <t>Jawa Barat</t>
        </is>
      </c>
      <c r="Q4" s="3">
        <f>HYPERLINK("https://wa.me/6281280309972?text=*[Pengingat Masa Berlaku SBU CAHAYA REFTINA]*%0A%0AYth. Pimpinan CAHAYA REFTINA,%0AMohon izin menginformasikan status SBU Anda:%0A%0A📄 SBU: BS004%0A📅 Expired: 31 Juli 2026 (30 Hari Lagi)%0A%0AKami tim PT. ESDEA Assistance Management siap men-support proses perpanjangan segera agar administrasi proyek tidak terhambat%0A%0AApakah boleh saya bantu siapkan estimasi biaya dan waktu pengerjaannya?.", "Hubungi")</f>
        <v/>
      </c>
    </row>
    <row r="5">
      <c r="A5" t="inlineStr">
        <is>
          <t>DELAYU IRWA SETIA</t>
        </is>
      </c>
      <c r="B5" t="inlineStr">
        <is>
          <t>Kota Adm. Jakarta Timur</t>
        </is>
      </c>
      <c r="C5" t="inlineStr">
        <is>
          <t>081354915530</t>
        </is>
      </c>
      <c r="D5" t="inlineStr">
        <is>
          <t>delayuirwasetia@yahoo.co.id</t>
        </is>
      </c>
      <c r="E5" t="inlineStr">
        <is>
          <t>https://lpjk.pu.go.id/search-badan-usaha-detail/d0U3NUVJcndhVTd0NGdaaFkwWEpZUT09</t>
        </is>
      </c>
      <c r="F5" t="n">
        <v>1</v>
      </c>
      <c r="G5" t="inlineStr">
        <is>
          <t>BS001</t>
        </is>
      </c>
      <c r="H5" t="inlineStr">
        <is>
          <t>14 November 2012</t>
        </is>
      </c>
      <c r="I5" s="2" t="n">
        <v>46234</v>
      </c>
      <c r="J5" t="inlineStr">
        <is>
          <t>Pencabutan</t>
        </is>
      </c>
      <c r="K5" t="n">
        <v>30</v>
      </c>
      <c r="L5" t="inlineStr">
        <is>
          <t>31 Juli 2026</t>
        </is>
      </c>
      <c r="M5" t="inlineStr">
        <is>
          <t>Konstruksi Bangunan Sipil Jalan</t>
        </is>
      </c>
      <c r="N5" t="inlineStr">
        <is>
          <t>K</t>
        </is>
      </c>
      <c r="O5" t="inlineStr">
        <is>
          <t>20230711</t>
        </is>
      </c>
      <c r="P5" t="inlineStr">
        <is>
          <t>DKI Jakarta</t>
        </is>
      </c>
      <c r="Q5" s="3">
        <f>HYPERLINK("https://wa.me/6281354915530?text=*[Pengingat Masa Berlaku SBU DELAYU IRWA SETIA]*%0A%0AYth. Pimpinan DELAYU IRWA SETIA,%0AMohon izin menginformasikan status SBU Anda:%0A%0A📄 SBU: BS001%0A📅 Expired: 31 Juli 2026 (30 Hari Lagi)%0A%0AKami tim PT. ESDEA Assistance Management siap men-support proses perpanjangan segera agar administrasi proyek tidak terhambat%0A%0AApakah boleh saya bantu siapkan estimasi biaya dan waktu pengerjaannya?.", "Hubungi")</f>
        <v/>
      </c>
    </row>
    <row r="6">
      <c r="A6" t="inlineStr">
        <is>
          <t>HERU ADI KONSTRUKSI</t>
        </is>
      </c>
      <c r="B6" t="inlineStr">
        <is>
          <t>Kota Bekasi</t>
        </is>
      </c>
      <c r="C6" t="inlineStr">
        <is>
          <t>082233431118</t>
        </is>
      </c>
      <c r="D6" t="inlineStr">
        <is>
          <t>pt.hakonstruksi@gmail.com</t>
        </is>
      </c>
      <c r="E6" t="inlineStr">
        <is>
          <t>https://lpjk.pu.go.id/search-badan-usaha-detail/NUlEWFpCVmN3N3lsMkg2NlVMNzV3Zz09</t>
        </is>
      </c>
      <c r="F6" t="n">
        <v>1</v>
      </c>
      <c r="G6" t="inlineStr">
        <is>
          <t>KK016</t>
        </is>
      </c>
      <c r="H6" t="inlineStr">
        <is>
          <t>11 Desember 2020</t>
        </is>
      </c>
      <c r="I6" s="2" t="n">
        <v>46234</v>
      </c>
      <c r="J6" t="inlineStr">
        <is>
          <t>Pembekuan</t>
        </is>
      </c>
      <c r="K6" t="n">
        <v>30</v>
      </c>
      <c r="L6" t="inlineStr">
        <is>
          <t>31 Juli 2026</t>
        </is>
      </c>
      <c r="M6" t="inlineStr">
        <is>
          <t>Pemasangan Kerangka Baja</t>
        </is>
      </c>
      <c r="N6" t="inlineStr">
        <is>
          <t>Spesialis</t>
        </is>
      </c>
      <c r="O6" t="inlineStr">
        <is>
          <t>20230731</t>
        </is>
      </c>
      <c r="P6" t="inlineStr">
        <is>
          <t>Jawa Barat</t>
        </is>
      </c>
      <c r="Q6" s="3">
        <f>HYPERLINK("https://wa.me/6282233431118?text=*[Pengingat Masa Berlaku SBU HERU ADI KONSTRUKSI]*%0A%0AYth. Pimpinan HERU ADI KONSTRUKSI,%0AMohon izin menginformasikan status SBU Anda:%0A%0A📄 SBU: KK016%0A📅 Expired: 31 Juli 2026 (30 Hari Lagi)%0A%0AKami tim PT. ESDEA Assistance Management siap men-support proses perpanjangan segera agar administrasi proyek tidak terhambat%0A%0AApakah boleh saya bantu siapkan estimasi biaya dan waktu pengerjaannya?.", "Hubungi")</f>
        <v/>
      </c>
    </row>
    <row r="7">
      <c r="A7" t="inlineStr">
        <is>
          <t>KAILANI PRATAMA</t>
        </is>
      </c>
      <c r="B7" t="inlineStr">
        <is>
          <t>Kab. Bogor</t>
        </is>
      </c>
      <c r="C7" t="inlineStr">
        <is>
          <t>085289316644</t>
        </is>
      </c>
      <c r="D7" t="inlineStr">
        <is>
          <t>cv.kailanipratama75@gmail.com</t>
        </is>
      </c>
      <c r="E7" t="inlineStr">
        <is>
          <t>https://lpjk.pu.go.id/search-badan-usaha-detail/cWhDY3M4RkFlM0owK1A1QWU0d1o1dz09</t>
        </is>
      </c>
      <c r="F7" t="n">
        <v>8</v>
      </c>
      <c r="G7" t="inlineStr">
        <is>
          <t>BG006, BG009, BS001, BS004</t>
        </is>
      </c>
      <c r="H7" t="inlineStr">
        <is>
          <t>22 Juni 2012</t>
        </is>
      </c>
      <c r="I7" s="2" t="n">
        <v>46234</v>
      </c>
      <c r="J7" t="inlineStr">
        <is>
          <t>Disetujui</t>
        </is>
      </c>
      <c r="K7" t="n">
        <v>30</v>
      </c>
      <c r="L7" t="inlineStr">
        <is>
          <t>31 Juli 2026</t>
        </is>
      </c>
      <c r="M7" t="inlineStr">
        <is>
          <t>Konstruksi Bangunan Sipil Jalan, Konstruksi Gedung Lainnya, Konstruksi Gedung Pendidikan, Konstruksi Jaringan Irigasi dan Drainase</t>
        </is>
      </c>
      <c r="N7" t="inlineStr">
        <is>
          <t>K</t>
        </is>
      </c>
      <c r="O7" t="inlineStr">
        <is>
          <t>20230731</t>
        </is>
      </c>
      <c r="P7" t="inlineStr">
        <is>
          <t>Jawa Barat</t>
        </is>
      </c>
      <c r="Q7" s="3">
        <f>HYPERLINK("https://wa.me/6285289316644?text=*[Pengingat Masa Berlaku SBU KAILANI PRATAMA]*%0A%0AYth. Pimpinan KAILANI PRATAMA,%0AMohon izin menginformasikan status SBU Anda:%0A%0A📄 SBU: BG006, BG009, BS001, BS004%0A📅 Expired: 31 Juli 2026 (30 Hari Lagi)%0A%0AKami tim PT. ESDEA Assistance Management siap men-support proses perpanjangan segera agar administrasi proyek tidak terhambat%0A%0AApakah boleh saya bantu siapkan estimasi biaya dan waktu pengerjaannya?.", "Hubungi")</f>
        <v/>
      </c>
    </row>
    <row r="8">
      <c r="A8" t="inlineStr">
        <is>
          <t>KINDAI TECHNOLOGY</t>
        </is>
      </c>
      <c r="B8" t="inlineStr">
        <is>
          <t>Kab. Bekasi</t>
        </is>
      </c>
      <c r="C8" t="inlineStr">
        <is>
          <t>02189117340</t>
        </is>
      </c>
      <c r="D8" t="inlineStr">
        <is>
          <t>fatma@kindai.fortace-indonesia.com</t>
        </is>
      </c>
      <c r="E8" t="inlineStr">
        <is>
          <t>https://lpjk.pu.go.id/search-badan-usaha-detail/czFkQ0NCOWV0UUR0RkZQQlBHamQzdz09</t>
        </is>
      </c>
      <c r="F8" t="n">
        <v>1</v>
      </c>
      <c r="G8" t="inlineStr">
        <is>
          <t>BG003</t>
        </is>
      </c>
      <c r="H8" t="inlineStr">
        <is>
          <t>19 Juli 2005</t>
        </is>
      </c>
      <c r="I8" s="2" t="n">
        <v>46234</v>
      </c>
      <c r="J8" t="inlineStr">
        <is>
          <t>Pencabutan</t>
        </is>
      </c>
      <c r="K8" t="n">
        <v>30</v>
      </c>
      <c r="L8" t="inlineStr">
        <is>
          <t>31 Juli 2026</t>
        </is>
      </c>
      <c r="M8" t="inlineStr">
        <is>
          <t>Konstruksi Gedung Industri</t>
        </is>
      </c>
      <c r="N8" t="inlineStr">
        <is>
          <t>M</t>
        </is>
      </c>
      <c r="O8" t="inlineStr">
        <is>
          <t>20230531</t>
        </is>
      </c>
      <c r="P8" t="inlineStr">
        <is>
          <t>Jawa Barat</t>
        </is>
      </c>
      <c r="Q8" t="inlineStr"/>
    </row>
    <row r="9">
      <c r="A9" t="inlineStr">
        <is>
          <t>KUADRAN SOLUSINDO MANDIRI</t>
        </is>
      </c>
      <c r="B9" t="inlineStr">
        <is>
          <t>Kota Depok</t>
        </is>
      </c>
      <c r="C9" t="inlineStr">
        <is>
          <t>082312807988</t>
        </is>
      </c>
      <c r="D9" t="inlineStr">
        <is>
          <t>kuadransolusindomandiri@gmail.com</t>
        </is>
      </c>
      <c r="E9" t="inlineStr">
        <is>
          <t>https://lpjk.pu.go.id/search-badan-usaha-detail/Vzc5QmtIT3hmcTVFeUxwc1czbkVKZz09</t>
        </is>
      </c>
      <c r="F9" t="n">
        <v>1</v>
      </c>
      <c r="G9" t="inlineStr">
        <is>
          <t>BS009</t>
        </is>
      </c>
      <c r="H9" t="inlineStr">
        <is>
          <t>10 Desember 2021</t>
        </is>
      </c>
      <c r="I9" s="2" t="n">
        <v>46234</v>
      </c>
      <c r="J9" t="inlineStr">
        <is>
          <t>Disetujui</t>
        </is>
      </c>
      <c r="K9" t="n">
        <v>30</v>
      </c>
      <c r="L9" t="inlineStr">
        <is>
          <t>31 Juli 2026</t>
        </is>
      </c>
      <c r="M9" t="inlineStr">
        <is>
          <t>Konstruksi Sentral Telekomunikasi</t>
        </is>
      </c>
      <c r="N9" t="inlineStr">
        <is>
          <t>K</t>
        </is>
      </c>
      <c r="O9" t="inlineStr">
        <is>
          <t>20230731</t>
        </is>
      </c>
      <c r="P9" t="inlineStr">
        <is>
          <t>Jawa Barat</t>
        </is>
      </c>
      <c r="Q9" s="3">
        <f>HYPERLINK("https://wa.me/6282312807988?text=*[Pengingat Masa Berlaku SBU KUADRAN SOLUSINDO MANDIRI]*%0A%0AYth. Pimpinan KUADRAN SOLUSINDO MANDIRI,%0AMohon izin menginformasikan status SBU Anda:%0A%0A📄 SBU: BS009%0A📅 Expired: 31 Juli 2026 (30 Hari Lagi)%0A%0AKami tim PT. ESDEA Assistance Management siap men-support proses perpanjangan segera agar administrasi proyek tidak terhambat%0A%0AApakah boleh saya bantu siapkan estimasi biaya dan waktu pengerjaannya?.", "Hubungi")</f>
        <v/>
      </c>
    </row>
    <row r="10">
      <c r="A10" t="inlineStr">
        <is>
          <t>LIMATUJUHLIMADELAPAN MAJU MAPAN</t>
        </is>
      </c>
      <c r="B10" t="inlineStr">
        <is>
          <t>Kota Bekasi</t>
        </is>
      </c>
      <c r="C10" t="inlineStr">
        <is>
          <t>082116845055</t>
        </is>
      </c>
      <c r="D10" t="inlineStr">
        <is>
          <t>cv5758majaumapan@gmail.com</t>
        </is>
      </c>
      <c r="E10" t="inlineStr">
        <is>
          <t>https://lpjk.pu.go.id/search-badan-usaha-detail/WU5vV1BmVjk5dFc4Q2ZhaHlRQlpUQT09</t>
        </is>
      </c>
      <c r="F10" t="n">
        <v>10</v>
      </c>
      <c r="G10" t="inlineStr">
        <is>
          <t>BG001, BG003, BG005, BG006, BG009</t>
        </is>
      </c>
      <c r="H10" t="inlineStr">
        <is>
          <t>9 Januari 2019</t>
        </is>
      </c>
      <c r="I10" s="2" t="n">
        <v>46234</v>
      </c>
      <c r="J10" t="inlineStr">
        <is>
          <t>Pencabutan</t>
        </is>
      </c>
      <c r="K10" t="n">
        <v>30</v>
      </c>
      <c r="L10" t="inlineStr">
        <is>
          <t>31 Juli 2026</t>
        </is>
      </c>
      <c r="M10" t="inlineStr">
        <is>
          <t>Konstruksi Gedung Hunian, Konstruksi Gedung Industri, Konstruksi Gedung Kesehatan, Konstruksi Gedung Lainnya, Konstruksi Gedung Pendidikan</t>
        </is>
      </c>
      <c r="N10" t="inlineStr">
        <is>
          <t>K</t>
        </is>
      </c>
      <c r="O10" t="inlineStr">
        <is>
          <t>20230711, 20230712, 20230725</t>
        </is>
      </c>
      <c r="P10" t="inlineStr">
        <is>
          <t>Jawa Barat</t>
        </is>
      </c>
      <c r="Q10" s="3">
        <f>HYPERLINK("https://wa.me/6282116845055?text=*[Pengingat Masa Berlaku SBU LIMATUJUHLIMADELAPAN MAJU MAPAN]*%0A%0AYth. Pimpinan LIMATUJUHLIMADELAPAN MAJU MAPAN,%0AMohon izin menginformasikan status SBU Anda:%0A%0A📄 SBU: BG001, BG003, BG005, BG006, BG009%0A📅 Expired: 31 Juli 2026 (30 Hari Lagi)%0A%0AKami tim PT. ESDEA Assistance Management siap men-support proses perpanjangan segera agar administrasi proyek tidak terhambat%0A%0AApakah boleh saya bantu siapkan estimasi biaya dan waktu pengerjaannya?.", "Hubungi")</f>
        <v/>
      </c>
    </row>
    <row r="11">
      <c r="A11" t="inlineStr">
        <is>
          <t>PERKASA MARITIM UTAMA</t>
        </is>
      </c>
      <c r="B11" t="inlineStr">
        <is>
          <t>Kota Bekasi</t>
        </is>
      </c>
      <c r="C11" t="inlineStr">
        <is>
          <t>02189494565</t>
        </is>
      </c>
      <c r="D11" t="inlineStr">
        <is>
          <t>perkasamaritimutama@gmail.com</t>
        </is>
      </c>
      <c r="E11" t="inlineStr">
        <is>
          <t>https://lpjk.pu.go.id/search-badan-usaha-detail/cjc3a1pZcEtCQURnMUNKQ0RYY0RQQT09</t>
        </is>
      </c>
      <c r="F11" t="n">
        <v>3</v>
      </c>
      <c r="G11" t="inlineStr">
        <is>
          <t>BG002, BG009, BS011</t>
        </is>
      </c>
      <c r="H11" t="inlineStr">
        <is>
          <t>8 Maret 2017</t>
        </is>
      </c>
      <c r="I11" s="2" t="n">
        <v>46234</v>
      </c>
      <c r="J11" t="inlineStr">
        <is>
          <t>Disetujui</t>
        </is>
      </c>
      <c r="K11" t="n">
        <v>30</v>
      </c>
      <c r="L11" t="inlineStr">
        <is>
          <t>31 Juli 2026</t>
        </is>
      </c>
      <c r="M11" t="inlineStr">
        <is>
          <t>Konstruksi Bangunan Pelabuhan Bukan Perikanan, Konstruksi Gedung Lainnya, Konstruksi Gedung Perkantoran</t>
        </is>
      </c>
      <c r="N11" t="inlineStr">
        <is>
          <t>K</t>
        </is>
      </c>
      <c r="O11" t="inlineStr">
        <is>
          <t>20230718</t>
        </is>
      </c>
      <c r="P11" t="inlineStr">
        <is>
          <t>Jawa Barat</t>
        </is>
      </c>
      <c r="Q11" t="inlineStr"/>
    </row>
    <row r="12">
      <c r="A12" t="inlineStr">
        <is>
          <t>PRIMA BERKARYA DWIJAYA</t>
        </is>
      </c>
      <c r="B12" t="inlineStr">
        <is>
          <t>Kota Bekasi</t>
        </is>
      </c>
      <c r="C12" t="inlineStr">
        <is>
          <t>0218210303</t>
        </is>
      </c>
      <c r="D12" t="inlineStr">
        <is>
          <t>ptprimaberkaryad@yahoo.com</t>
        </is>
      </c>
      <c r="E12" t="inlineStr">
        <is>
          <t>https://lpjk.pu.go.id/search-badan-usaha-detail/SnE4UGkxTFdrS1hOQmNWV09mSnJHdz09</t>
        </is>
      </c>
      <c r="F12" t="n">
        <v>2</v>
      </c>
      <c r="G12" t="inlineStr">
        <is>
          <t>BS001, IN004</t>
        </is>
      </c>
      <c r="H12" t="inlineStr">
        <is>
          <t>22 April 1989</t>
        </is>
      </c>
      <c r="I12" s="2" t="n">
        <v>46234</v>
      </c>
      <c r="J12" t="inlineStr">
        <is>
          <t>Disetujui</t>
        </is>
      </c>
      <c r="K12" t="n">
        <v>30</v>
      </c>
      <c r="L12" t="inlineStr">
        <is>
          <t>31 Juli 2026</t>
        </is>
      </c>
      <c r="M12" t="inlineStr">
        <is>
          <t>Instalasi Minyak dan Gas, Konstruksi Bangunan Sipil Jalan</t>
        </is>
      </c>
      <c r="N12" t="inlineStr">
        <is>
          <t>M, Spesialis</t>
        </is>
      </c>
      <c r="O12" t="inlineStr">
        <is>
          <t>20230722, 20230724</t>
        </is>
      </c>
      <c r="P12" t="inlineStr">
        <is>
          <t>Jawa Barat</t>
        </is>
      </c>
      <c r="Q12" t="inlineStr"/>
    </row>
    <row r="13">
      <c r="A13" t="inlineStr">
        <is>
          <t>SAYAGA MANDRAGUNA</t>
        </is>
      </c>
      <c r="B13" t="inlineStr">
        <is>
          <t>Kota Depok</t>
        </is>
      </c>
      <c r="C13" t="inlineStr">
        <is>
          <t>081210268572</t>
        </is>
      </c>
      <c r="D13" t="inlineStr">
        <is>
          <t>sayaga.mandraguna@gmail.com</t>
        </is>
      </c>
      <c r="E13" t="inlineStr">
        <is>
          <t>https://lpjk.pu.go.id/search-badan-usaha-detail/ZTZaU0RRUjAvc0k1OHBWaWs3MWRodz09</t>
        </is>
      </c>
      <c r="F13" t="n">
        <v>3</v>
      </c>
      <c r="G13" t="inlineStr">
        <is>
          <t>BG006, BG009, BS004</t>
        </is>
      </c>
      <c r="H13" t="inlineStr">
        <is>
          <t>24 Mei 2000</t>
        </is>
      </c>
      <c r="I13" s="2" t="n">
        <v>46234</v>
      </c>
      <c r="J13" t="inlineStr">
        <is>
          <t>Pencabutan</t>
        </is>
      </c>
      <c r="K13" t="n">
        <v>30</v>
      </c>
      <c r="L13" t="inlineStr">
        <is>
          <t>31 Juli 2026</t>
        </is>
      </c>
      <c r="M13" t="inlineStr">
        <is>
          <t>Konstruksi Gedung Lainnya, Konstruksi Gedung Pendidikan, Konstruksi Jaringan Irigasi dan Drainase</t>
        </is>
      </c>
      <c r="N13" t="inlineStr">
        <is>
          <t>K</t>
        </is>
      </c>
      <c r="O13" t="inlineStr">
        <is>
          <t>20230705</t>
        </is>
      </c>
      <c r="P13" t="inlineStr">
        <is>
          <t>Jawa Barat</t>
        </is>
      </c>
      <c r="Q13" s="3">
        <f>HYPERLINK("https://wa.me/6281210268572?text=*[Pengingat Masa Berlaku SBU SAYAGA MANDRAGUNA]*%0A%0AYth. Pimpinan SAYAGA MANDRAGUNA,%0AMohon izin menginformasikan status SBU Anda:%0A%0A📄 SBU: BG006, BG009, BS004%0A📅 Expired: 31 Juli 2026 (30 Hari Lagi)%0A%0AKami tim PT. ESDEA Assistance Management siap men-support proses perpanjangan segera agar administrasi proyek tidak terhambat%0A%0AApakah boleh saya bantu siapkan estimasi biaya dan waktu pengerjaannya?.", "Hubungi")</f>
        <v/>
      </c>
    </row>
    <row r="14">
      <c r="A14" t="inlineStr">
        <is>
          <t>TAKASHITA HOBASHI</t>
        </is>
      </c>
      <c r="B14" t="inlineStr">
        <is>
          <t>Kota Adm. Jakarta Timur</t>
        </is>
      </c>
      <c r="C14" t="inlineStr">
        <is>
          <t>0214890787</t>
        </is>
      </c>
      <c r="D14" t="inlineStr">
        <is>
          <t>cv.takashita@gmail.com</t>
        </is>
      </c>
      <c r="E14" t="inlineStr">
        <is>
          <t>https://lpjk.pu.go.id/search-badan-usaha-detail/NTZMUHNCRTQ5YmZRYnpacy94OUVPZz09</t>
        </is>
      </c>
      <c r="F14" t="n">
        <v>2</v>
      </c>
      <c r="G14" t="inlineStr">
        <is>
          <t>BS004</t>
        </is>
      </c>
      <c r="H14" t="inlineStr">
        <is>
          <t>27 Desember 2005</t>
        </is>
      </c>
      <c r="I14" s="2" t="n">
        <v>46234</v>
      </c>
      <c r="J14" t="inlineStr">
        <is>
          <t>Pencabutan</t>
        </is>
      </c>
      <c r="K14" t="n">
        <v>30</v>
      </c>
      <c r="L14" t="inlineStr">
        <is>
          <t>31 Juli 2026</t>
        </is>
      </c>
      <c r="M14" t="inlineStr">
        <is>
          <t>Konstruksi Jaringan Irigasi dan Drainase</t>
        </is>
      </c>
      <c r="N14" t="inlineStr">
        <is>
          <t>K</t>
        </is>
      </c>
      <c r="O14" t="inlineStr">
        <is>
          <t>20230724</t>
        </is>
      </c>
      <c r="P14" t="inlineStr">
        <is>
          <t>DKI Jakarta</t>
        </is>
      </c>
      <c r="Q14" t="inlineStr"/>
    </row>
    <row r="15">
      <c r="A15" t="inlineStr">
        <is>
          <t>TARUNA BANGUN BERSAMA</t>
        </is>
      </c>
      <c r="B15" t="inlineStr">
        <is>
          <t>Kota Bekasi</t>
        </is>
      </c>
      <c r="C15" t="inlineStr">
        <is>
          <t>08128078975</t>
        </is>
      </c>
      <c r="D15" t="inlineStr">
        <is>
          <t>tarunabangunbersama@gmail.com</t>
        </is>
      </c>
      <c r="E15" t="inlineStr">
        <is>
          <t>https://lpjk.pu.go.id/search-badan-usaha-detail/QytybFE3OFhoclFaQU5ELzNLZk02UT09</t>
        </is>
      </c>
      <c r="F15" t="n">
        <v>4</v>
      </c>
      <c r="G15" t="inlineStr">
        <is>
          <t>BG002, BG005, BG006, BG009</t>
        </is>
      </c>
      <c r="H15" t="inlineStr">
        <is>
          <t>20 Juni 2023</t>
        </is>
      </c>
      <c r="I15" s="2" t="n">
        <v>46234</v>
      </c>
      <c r="J15" t="inlineStr">
        <is>
          <t>Disetujui</t>
        </is>
      </c>
      <c r="K15" t="n">
        <v>30</v>
      </c>
      <c r="L15" t="inlineStr">
        <is>
          <t>31 Juli 2026</t>
        </is>
      </c>
      <c r="M15" t="inlineStr">
        <is>
          <t>Konstruksi Gedung Kesehatan, Konstruksi Gedung Lainnya, Konstruksi Gedung Pendidikan, Konstruksi Gedung Perkantoran</t>
        </is>
      </c>
      <c r="N15" t="inlineStr">
        <is>
          <t>K</t>
        </is>
      </c>
      <c r="O15" t="inlineStr">
        <is>
          <t>20230801</t>
        </is>
      </c>
      <c r="P15" t="inlineStr">
        <is>
          <t>Jawa Barat</t>
        </is>
      </c>
      <c r="Q15" s="3">
        <f>HYPERLINK("https://wa.me/628128078975?text=*[Pengingat Masa Berlaku SBU TARUNA BANGUN BERSAMA]*%0A%0AYth. Pimpinan TARUNA BANGUN BERSAMA,%0AMohon izin menginformasikan status SBU Anda:%0A%0A📄 SBU: BG002, BG005, BG006, BG009%0A📅 Expired: 31 Juli 2026 (30 Hari Lagi)%0A%0AKami tim PT. ESDEA Assistance Management siap men-support proses perpanjangan segera agar administrasi proyek tidak terhambat%0A%0AApakah boleh saya bantu siapkan estimasi biaya dan waktu pengerjaannya?.", "Hubungi")</f>
        <v/>
      </c>
    </row>
    <row r="16">
      <c r="A16" t="inlineStr">
        <is>
          <t>ABIZARD KATTA BERSAUDARA</t>
        </is>
      </c>
      <c r="B16" t="inlineStr">
        <is>
          <t>Kota Palembang</t>
        </is>
      </c>
      <c r="C16" t="inlineStr">
        <is>
          <t>082176408375</t>
        </is>
      </c>
      <c r="D16" t="inlineStr">
        <is>
          <t>cvabizardkattabersaudara@gmail.com</t>
        </is>
      </c>
      <c r="E16" t="inlineStr">
        <is>
          <t>https://lpjk.pu.go.id/search-badan-usaha-detail/Z3AxRnloMlJ1QWF4bUdxcFdQVDlFdz09</t>
        </is>
      </c>
      <c r="F16" t="n">
        <v>2</v>
      </c>
      <c r="G16" t="inlineStr">
        <is>
          <t>BS004</t>
        </is>
      </c>
      <c r="H16" t="inlineStr">
        <is>
          <t>14 Februari 2020</t>
        </is>
      </c>
      <c r="I16" s="2" t="n">
        <v>46234</v>
      </c>
      <c r="J16" t="inlineStr">
        <is>
          <t>Pencabutan</t>
        </is>
      </c>
      <c r="K16" t="n">
        <v>30</v>
      </c>
      <c r="L16" t="inlineStr">
        <is>
          <t>31 Juli 2026</t>
        </is>
      </c>
      <c r="M16" t="inlineStr">
        <is>
          <t>Konstruksi Jaringan Irigasi dan Drainase</t>
        </is>
      </c>
      <c r="N16" t="inlineStr">
        <is>
          <t>K</t>
        </is>
      </c>
      <c r="O16" t="inlineStr">
        <is>
          <t>20230731</t>
        </is>
      </c>
      <c r="P16" t="inlineStr">
        <is>
          <t>Sumatera Selatan</t>
        </is>
      </c>
      <c r="Q16" t="inlineStr"/>
    </row>
    <row r="17">
      <c r="A17" t="inlineStr">
        <is>
          <t>ADEEVA JAYA PERKASA</t>
        </is>
      </c>
      <c r="B17" t="inlineStr">
        <is>
          <t>Kab. Majene</t>
        </is>
      </c>
      <c r="C17" t="inlineStr">
        <is>
          <t>085342145732</t>
        </is>
      </c>
      <c r="D17" t="inlineStr">
        <is>
          <t>pt.adeevajayaperkasa@gmail.com</t>
        </is>
      </c>
      <c r="E17" t="inlineStr">
        <is>
          <t>https://lpjk.pu.go.id/search-badan-usaha-detail/RXQxaExHclpOOUpHTXVIbkxFdkZ5Zz09</t>
        </is>
      </c>
      <c r="F17" t="n">
        <v>1</v>
      </c>
      <c r="G17" t="inlineStr">
        <is>
          <t>BS001</t>
        </is>
      </c>
      <c r="H17" t="inlineStr">
        <is>
          <t>28 Agustus 2020</t>
        </is>
      </c>
      <c r="I17" s="2" t="n">
        <v>46234</v>
      </c>
      <c r="J17" t="inlineStr">
        <is>
          <t>Pembekuan</t>
        </is>
      </c>
      <c r="K17" t="n">
        <v>30</v>
      </c>
      <c r="L17" t="inlineStr">
        <is>
          <t>31 Juli 2026</t>
        </is>
      </c>
      <c r="M17" t="inlineStr">
        <is>
          <t>Konstruksi Bangunan Sipil Jalan</t>
        </is>
      </c>
      <c r="N17" t="inlineStr">
        <is>
          <t>M</t>
        </is>
      </c>
      <c r="O17" t="inlineStr">
        <is>
          <t>20230729</t>
        </is>
      </c>
      <c r="P17" t="inlineStr">
        <is>
          <t>Sulawesi Barat</t>
        </is>
      </c>
      <c r="Q17" t="inlineStr"/>
    </row>
    <row r="18">
      <c r="A18" t="inlineStr">
        <is>
          <t>ADI KENCANA</t>
        </is>
      </c>
      <c r="B18" t="inlineStr">
        <is>
          <t>Kab. Cilacap</t>
        </is>
      </c>
      <c r="C18" t="inlineStr">
        <is>
          <t>087781305142</t>
        </is>
      </c>
      <c r="D18" t="inlineStr">
        <is>
          <t>adikencanasdr@gmail.com</t>
        </is>
      </c>
      <c r="E18" t="inlineStr">
        <is>
          <t>https://lpjk.pu.go.id/search-badan-usaha-detail/STd0d0xSdUtjclZ6cVI0cmFRYVdkQT09</t>
        </is>
      </c>
      <c r="F18" t="n">
        <v>1</v>
      </c>
      <c r="G18" t="inlineStr">
        <is>
          <t>BG005</t>
        </is>
      </c>
      <c r="H18" t="inlineStr">
        <is>
          <t>3 Februari 2015</t>
        </is>
      </c>
      <c r="I18" s="2" t="n">
        <v>46234</v>
      </c>
      <c r="J18" t="inlineStr">
        <is>
          <t>Disetujui</t>
        </is>
      </c>
      <c r="K18" t="n">
        <v>30</v>
      </c>
      <c r="L18" t="inlineStr">
        <is>
          <t>31 Juli 2026</t>
        </is>
      </c>
      <c r="M18" t="inlineStr">
        <is>
          <t>Konstruksi Gedung Kesehatan</t>
        </is>
      </c>
      <c r="N18" t="inlineStr">
        <is>
          <t>K</t>
        </is>
      </c>
      <c r="O18" t="inlineStr">
        <is>
          <t>20230731</t>
        </is>
      </c>
      <c r="P18" t="inlineStr">
        <is>
          <t>Jawa Tengah</t>
        </is>
      </c>
      <c r="Q18" t="inlineStr"/>
    </row>
    <row r="19">
      <c r="A19" t="inlineStr">
        <is>
          <t>ADYASTHA SURYA PERDANA</t>
        </is>
      </c>
      <c r="B19" t="inlineStr">
        <is>
          <t>Kota Adm. Jakarta Selatan</t>
        </is>
      </c>
      <c r="C19" t="inlineStr">
        <is>
          <t>02129552693</t>
        </is>
      </c>
      <c r="D19" t="inlineStr">
        <is>
          <t>adyasthasuryaperdana18@gmail.com</t>
        </is>
      </c>
      <c r="E19" t="inlineStr">
        <is>
          <t>https://lpjk.pu.go.id/search-badan-usaha-detail/M0tiT0hxYjQ5NHl4MUZkNTcxTTdBQT09</t>
        </is>
      </c>
      <c r="F19" t="n">
        <v>1</v>
      </c>
      <c r="G19" t="inlineStr">
        <is>
          <t>RK003</t>
        </is>
      </c>
      <c r="H19" t="inlineStr">
        <is>
          <t>3 Maret 2004</t>
        </is>
      </c>
      <c r="I19" s="2" t="n">
        <v>46234</v>
      </c>
      <c r="J19" t="inlineStr">
        <is>
          <t>Disetujui</t>
        </is>
      </c>
      <c r="K19" t="n">
        <v>30</v>
      </c>
      <c r="L19" t="inlineStr">
        <is>
          <t>31 Juli 2026</t>
        </is>
      </c>
      <c r="M19" t="inlineStr">
        <is>
          <t>Jasa Rekayasa Pekerjaan Teknik Sipil Transportasi</t>
        </is>
      </c>
      <c r="N19" t="inlineStr">
        <is>
          <t>B</t>
        </is>
      </c>
      <c r="O19" t="inlineStr">
        <is>
          <t>20230717</t>
        </is>
      </c>
      <c r="P19" t="inlineStr">
        <is>
          <t>DKI Jakarta</t>
        </is>
      </c>
      <c r="Q19" t="inlineStr"/>
    </row>
    <row r="20">
      <c r="A20" t="inlineStr">
        <is>
          <t>AGUNG ERA KARYA CIPTA</t>
        </is>
      </c>
      <c r="B20" t="inlineStr">
        <is>
          <t>Kab. Ketapang</t>
        </is>
      </c>
      <c r="C20" t="inlineStr">
        <is>
          <t>0895704084443</t>
        </is>
      </c>
      <c r="D20" t="inlineStr">
        <is>
          <t>agung.erakaryacipta@gmail.com</t>
        </is>
      </c>
      <c r="E20" t="inlineStr">
        <is>
          <t>https://lpjk.pu.go.id/search-badan-usaha-detail/Ny9MY0xVVlBXczRwZStFUmY2YkVaZz09</t>
        </is>
      </c>
      <c r="F20" t="n">
        <v>2</v>
      </c>
      <c r="G20" t="inlineStr">
        <is>
          <t>BS001</t>
        </is>
      </c>
      <c r="H20" t="inlineStr">
        <is>
          <t>11 Oktober 2019</t>
        </is>
      </c>
      <c r="I20" s="2" t="n">
        <v>46234</v>
      </c>
      <c r="J20" t="inlineStr">
        <is>
          <t>Disetujui</t>
        </is>
      </c>
      <c r="K20" t="n">
        <v>30</v>
      </c>
      <c r="L20" t="inlineStr">
        <is>
          <t>31 Juli 2026</t>
        </is>
      </c>
      <c r="M20" t="inlineStr">
        <is>
          <t>Konstruksi Bangunan Sipil Jalan</t>
        </is>
      </c>
      <c r="N20" t="inlineStr">
        <is>
          <t>K</t>
        </is>
      </c>
      <c r="O20" t="inlineStr">
        <is>
          <t>20230606</t>
        </is>
      </c>
      <c r="P20" t="inlineStr">
        <is>
          <t>Kalimantan Barat</t>
        </is>
      </c>
      <c r="Q20" t="inlineStr"/>
    </row>
    <row r="21">
      <c r="A21" t="inlineStr">
        <is>
          <t>ALANG LAUIK</t>
        </is>
      </c>
      <c r="B21" t="inlineStr">
        <is>
          <t>Kota Payakumbuh</t>
        </is>
      </c>
      <c r="C21" t="inlineStr">
        <is>
          <t>08126695546</t>
        </is>
      </c>
      <c r="D21" t="inlineStr">
        <is>
          <t>alang.lauik01@gmail.com</t>
        </is>
      </c>
      <c r="E21" t="inlineStr">
        <is>
          <t>https://lpjk.pu.go.id/search-badan-usaha-detail/ZjViWTlveFdaOXdoL1prMnlNemRDUT09</t>
        </is>
      </c>
      <c r="F21" t="n">
        <v>1</v>
      </c>
      <c r="G21" t="inlineStr">
        <is>
          <t>BG006</t>
        </is>
      </c>
      <c r="H21" t="inlineStr">
        <is>
          <t>31 Mei 2017</t>
        </is>
      </c>
      <c r="I21" s="2" t="n">
        <v>46234</v>
      </c>
      <c r="J21" t="inlineStr">
        <is>
          <t>Disetujui</t>
        </is>
      </c>
      <c r="K21" t="n">
        <v>30</v>
      </c>
      <c r="L21" t="inlineStr">
        <is>
          <t>31 Juli 2026</t>
        </is>
      </c>
      <c r="M21" t="inlineStr">
        <is>
          <t>Konstruksi Gedung Pendidikan</t>
        </is>
      </c>
      <c r="N21" t="inlineStr">
        <is>
          <t>K</t>
        </is>
      </c>
      <c r="O21" t="inlineStr">
        <is>
          <t>20230801</t>
        </is>
      </c>
      <c r="P21" t="inlineStr">
        <is>
          <t>Sumatera Barat</t>
        </is>
      </c>
      <c r="Q21" t="inlineStr"/>
    </row>
    <row r="22">
      <c r="A22" t="inlineStr">
        <is>
          <t>ALFARIEL CIPTA PERKASA</t>
        </is>
      </c>
      <c r="B22" t="inlineStr">
        <is>
          <t>Kota Banda Aceh</t>
        </is>
      </c>
      <c r="C22" t="inlineStr">
        <is>
          <t>082164146464</t>
        </is>
      </c>
      <c r="D22" t="inlineStr">
        <is>
          <t>betty.ibun@yahoo.com</t>
        </is>
      </c>
      <c r="E22" t="inlineStr">
        <is>
          <t>https://lpjk.pu.go.id/search-badan-usaha-detail/VHFIZGplZTZWQkJYeFF2b25IRGpCUT09</t>
        </is>
      </c>
      <c r="F22" t="n">
        <v>5</v>
      </c>
      <c r="G22" t="inlineStr">
        <is>
          <t>BG002, BG005, BG006, BG008, BG009</t>
        </is>
      </c>
      <c r="H22" t="inlineStr">
        <is>
          <t>4 Februari 2020</t>
        </is>
      </c>
      <c r="I22" s="2" t="n">
        <v>46234</v>
      </c>
      <c r="J22" t="inlineStr">
        <is>
          <t>Disetujui</t>
        </is>
      </c>
      <c r="K22" t="n">
        <v>30</v>
      </c>
      <c r="L22" t="inlineStr">
        <is>
          <t>31 Juli 2026</t>
        </is>
      </c>
      <c r="M22" t="inlineStr">
        <is>
          <t>Konstruksi Gedung Kesehatan, Konstruksi Gedung Lainnya, Konstruksi Gedung Pendidikan, Konstruksi Gedung Perkantoran, Konstruksi Gedung Tempat Hiburan dan Olahraga</t>
        </is>
      </c>
      <c r="N22" t="inlineStr">
        <is>
          <t>K</t>
        </is>
      </c>
      <c r="O22" t="inlineStr">
        <is>
          <t>20230727</t>
        </is>
      </c>
      <c r="P22" t="inlineStr">
        <is>
          <t>Aceh</t>
        </is>
      </c>
      <c r="Q22" t="inlineStr"/>
    </row>
    <row r="23">
      <c r="A23" t="inlineStr">
        <is>
          <t>ALFARIN</t>
        </is>
      </c>
      <c r="B23" t="inlineStr">
        <is>
          <t>Kab. Bangkalan</t>
        </is>
      </c>
      <c r="C23" t="inlineStr">
        <is>
          <t>87849499575</t>
        </is>
      </c>
      <c r="D23" t="inlineStr">
        <is>
          <t>cv.alfarin22@gmail.com</t>
        </is>
      </c>
      <c r="E23" t="inlineStr">
        <is>
          <t>https://lpjk.pu.go.id/search-badan-usaha-detail/V0JSWUs2NEpSL1dzRTZzQzV0bzhjUT09</t>
        </is>
      </c>
      <c r="F23" t="n">
        <v>1</v>
      </c>
      <c r="G23" t="inlineStr">
        <is>
          <t>BG006</t>
        </is>
      </c>
      <c r="H23" t="inlineStr">
        <is>
          <t>31 Agustus 2022</t>
        </is>
      </c>
      <c r="I23" s="2" t="n">
        <v>46234</v>
      </c>
      <c r="J23" t="inlineStr">
        <is>
          <t>Disetujui</t>
        </is>
      </c>
      <c r="K23" t="n">
        <v>30</v>
      </c>
      <c r="L23" t="inlineStr">
        <is>
          <t>31 Juli 2026</t>
        </is>
      </c>
      <c r="M23" t="inlineStr">
        <is>
          <t>Konstruksi Gedung Pendidikan</t>
        </is>
      </c>
      <c r="N23" t="inlineStr">
        <is>
          <t>K</t>
        </is>
      </c>
      <c r="O23" t="inlineStr">
        <is>
          <t>20230726</t>
        </is>
      </c>
      <c r="P23" t="inlineStr">
        <is>
          <t>Jawa Timur</t>
        </is>
      </c>
      <c r="Q23" t="inlineStr"/>
    </row>
    <row r="24">
      <c r="A24" t="inlineStr">
        <is>
          <t>ALGHANI LAKEISHA ABADI</t>
        </is>
      </c>
      <c r="B24" t="inlineStr">
        <is>
          <t>Kab. Kuantan Singingi</t>
        </is>
      </c>
      <c r="C24" t="inlineStr">
        <is>
          <t>0811755151</t>
        </is>
      </c>
      <c r="D24" t="inlineStr">
        <is>
          <t>cvalghaniabadi82@gmail.com</t>
        </is>
      </c>
      <c r="E24" t="inlineStr">
        <is>
          <t>https://lpjk.pu.go.id/search-badan-usaha-detail/Q29sRlJBY3FxOUtQR0FQZG5RSE5TZz09</t>
        </is>
      </c>
      <c r="F24" t="n">
        <v>1</v>
      </c>
      <c r="G24" t="inlineStr">
        <is>
          <t>BS004</t>
        </is>
      </c>
      <c r="H24" t="inlineStr">
        <is>
          <t>31 Januari 2020</t>
        </is>
      </c>
      <c r="I24" s="2" t="n">
        <v>46234</v>
      </c>
      <c r="J24" t="inlineStr">
        <is>
          <t>Disetujui</t>
        </is>
      </c>
      <c r="K24" t="n">
        <v>30</v>
      </c>
      <c r="L24" t="inlineStr">
        <is>
          <t>31 Juli 2026</t>
        </is>
      </c>
      <c r="M24" t="inlineStr">
        <is>
          <t>Konstruksi Jaringan Irigasi dan Drainase</t>
        </is>
      </c>
      <c r="N24" t="inlineStr">
        <is>
          <t>K</t>
        </is>
      </c>
      <c r="O24" t="inlineStr">
        <is>
          <t>20230720</t>
        </is>
      </c>
      <c r="P24" t="inlineStr">
        <is>
          <t>Riau</t>
        </is>
      </c>
      <c r="Q24" t="inlineStr"/>
    </row>
    <row r="25">
      <c r="A25" t="inlineStr">
        <is>
          <t>ALI ASSHAFWA</t>
        </is>
      </c>
      <c r="B25" t="inlineStr">
        <is>
          <t>Kota Makassar</t>
        </is>
      </c>
      <c r="C25" t="inlineStr">
        <is>
          <t>082189554554</t>
        </is>
      </c>
      <c r="D25" t="inlineStr">
        <is>
          <t>cv.aliasshafwa@gmail.com</t>
        </is>
      </c>
      <c r="E25" t="inlineStr">
        <is>
          <t>https://lpjk.pu.go.id/search-badan-usaha-detail/cngzQ3dPSEEyRG1pK21wVE9POEdtZz09</t>
        </is>
      </c>
      <c r="F25" t="n">
        <v>1</v>
      </c>
      <c r="G25" t="inlineStr">
        <is>
          <t>BS001</t>
        </is>
      </c>
      <c r="H25" t="inlineStr">
        <is>
          <t>3 November 2016</t>
        </is>
      </c>
      <c r="I25" s="2" t="n">
        <v>46234</v>
      </c>
      <c r="J25" t="inlineStr">
        <is>
          <t>Disetujui</t>
        </is>
      </c>
      <c r="K25" t="n">
        <v>30</v>
      </c>
      <c r="L25" t="inlineStr">
        <is>
          <t>31 Juli 2026</t>
        </is>
      </c>
      <c r="M25" t="inlineStr">
        <is>
          <t>Konstruksi Bangunan Sipil Jalan</t>
        </is>
      </c>
      <c r="N25" t="inlineStr">
        <is>
          <t>K</t>
        </is>
      </c>
      <c r="O25" t="inlineStr">
        <is>
          <t>20230731</t>
        </is>
      </c>
      <c r="P25" t="inlineStr">
        <is>
          <t>Sulawesi Selatan</t>
        </is>
      </c>
      <c r="Q25" t="inlineStr"/>
    </row>
    <row r="26">
      <c r="A26" t="inlineStr">
        <is>
          <t>ALIF JAYA ABADI</t>
        </is>
      </c>
      <c r="B26" t="inlineStr">
        <is>
          <t>Kab. Sigi</t>
        </is>
      </c>
      <c r="C26" t="inlineStr">
        <is>
          <t>082344804435</t>
        </is>
      </c>
      <c r="D26" t="inlineStr">
        <is>
          <t>cvalifjayaabadi@gmail.com</t>
        </is>
      </c>
      <c r="E26" t="inlineStr">
        <is>
          <t>https://lpjk.pu.go.id/search-badan-usaha-detail/bVdnMlM5V2NnRnh3Y2J0QXJ5RW9vQT09</t>
        </is>
      </c>
      <c r="F26" t="n">
        <v>5</v>
      </c>
      <c r="G26" t="inlineStr">
        <is>
          <t>BG001, BG002, BG005, BG006, BG009</t>
        </is>
      </c>
      <c r="H26" t="inlineStr">
        <is>
          <t>4 Februari 2000</t>
        </is>
      </c>
      <c r="I26" s="2" t="n">
        <v>46234</v>
      </c>
      <c r="J26" t="inlineStr">
        <is>
          <t>Disetujui</t>
        </is>
      </c>
      <c r="K26" t="n">
        <v>30</v>
      </c>
      <c r="L26" t="inlineStr">
        <is>
          <t>31 Juli 2026</t>
        </is>
      </c>
      <c r="M26" t="inlineStr">
        <is>
          <t>Konstruksi Gedung Hunian, Konstruksi Gedung Kesehatan, Konstruksi Gedung Lainnya, Konstruksi Gedung Pendidikan, Konstruksi Gedung Perkantoran</t>
        </is>
      </c>
      <c r="N26" t="inlineStr">
        <is>
          <t>K</t>
        </is>
      </c>
      <c r="O26" t="inlineStr">
        <is>
          <t>20230731</t>
        </is>
      </c>
      <c r="P26" t="inlineStr">
        <is>
          <t>Sulawesi Tengah</t>
        </is>
      </c>
      <c r="Q26" t="inlineStr"/>
    </row>
    <row r="27">
      <c r="A27" t="inlineStr">
        <is>
          <t>ALZAM FAIZ</t>
        </is>
      </c>
      <c r="B27" t="inlineStr">
        <is>
          <t>Kota Pontianak</t>
        </is>
      </c>
      <c r="C27" t="inlineStr">
        <is>
          <t>089680760805</t>
        </is>
      </c>
      <c r="D27" t="inlineStr">
        <is>
          <t>alzamfaiz823@gmail.com</t>
        </is>
      </c>
      <c r="E27" t="inlineStr">
        <is>
          <t>https://lpjk.pu.go.id/search-badan-usaha-detail/eERrMlBUazBIUVVXZEJWdE00WjFqUT09</t>
        </is>
      </c>
      <c r="F27" t="n">
        <v>1</v>
      </c>
      <c r="G27" t="inlineStr">
        <is>
          <t>BS001</t>
        </is>
      </c>
      <c r="H27" t="inlineStr">
        <is>
          <t>5 Februari 2020</t>
        </is>
      </c>
      <c r="I27" s="2" t="n">
        <v>46234</v>
      </c>
      <c r="J27" t="inlineStr">
        <is>
          <t>Disetujui</t>
        </is>
      </c>
      <c r="K27" t="n">
        <v>30</v>
      </c>
      <c r="L27" t="inlineStr">
        <is>
          <t>31 Juli 2026</t>
        </is>
      </c>
      <c r="M27" t="inlineStr">
        <is>
          <t>Konstruksi Bangunan Sipil Jalan</t>
        </is>
      </c>
      <c r="N27" t="inlineStr">
        <is>
          <t>K</t>
        </is>
      </c>
      <c r="O27" t="inlineStr">
        <is>
          <t>20230801</t>
        </is>
      </c>
      <c r="P27" t="inlineStr">
        <is>
          <t>Kalimantan Barat</t>
        </is>
      </c>
      <c r="Q27" t="inlineStr"/>
    </row>
    <row r="28">
      <c r="A28" t="inlineStr">
        <is>
          <t>ANDRA RAYA NIAGA</t>
        </is>
      </c>
      <c r="B28" t="inlineStr">
        <is>
          <t>Kab. Garut</t>
        </is>
      </c>
      <c r="C28" t="inlineStr">
        <is>
          <t>0822-1723-3233</t>
        </is>
      </c>
      <c r="D28" t="inlineStr">
        <is>
          <t>araniaga.cv@gmail.com</t>
        </is>
      </c>
      <c r="E28" t="inlineStr">
        <is>
          <t>https://lpjk.pu.go.id/search-badan-usaha-detail/NnA1TVhWV1dZWG16MGJUN0VnckpkZz09</t>
        </is>
      </c>
      <c r="F28" t="n">
        <v>1</v>
      </c>
      <c r="G28" t="inlineStr">
        <is>
          <t>BG005</t>
        </is>
      </c>
      <c r="H28" t="inlineStr">
        <is>
          <t>6 Juni 2017</t>
        </is>
      </c>
      <c r="I28" s="2" t="n">
        <v>46234</v>
      </c>
      <c r="J28" t="inlineStr">
        <is>
          <t>Disetujui</t>
        </is>
      </c>
      <c r="K28" t="n">
        <v>30</v>
      </c>
      <c r="L28" t="inlineStr">
        <is>
          <t>31 Juli 2026</t>
        </is>
      </c>
      <c r="M28" t="inlineStr">
        <is>
          <t>Konstruksi Gedung Kesehatan</t>
        </is>
      </c>
      <c r="N28" t="inlineStr">
        <is>
          <t>K</t>
        </is>
      </c>
      <c r="O28" t="inlineStr">
        <is>
          <t>20230801</t>
        </is>
      </c>
      <c r="P28" t="inlineStr">
        <is>
          <t>Jawa Barat</t>
        </is>
      </c>
      <c r="Q28" t="inlineStr"/>
    </row>
    <row r="29">
      <c r="A29" t="inlineStr">
        <is>
          <t>ANGKASA RAYA</t>
        </is>
      </c>
      <c r="B29" t="inlineStr">
        <is>
          <t>Kota Pontianak</t>
        </is>
      </c>
      <c r="C29" t="inlineStr">
        <is>
          <t>082155539021</t>
        </is>
      </c>
      <c r="D29" t="inlineStr">
        <is>
          <t>aangkasarraya@gmail.com</t>
        </is>
      </c>
      <c r="E29" t="inlineStr">
        <is>
          <t>https://lpjk.pu.go.id/search-badan-usaha-detail/UkV4dWhWTDgvUzQxcWp2NmNFR3hmdz09</t>
        </is>
      </c>
      <c r="F29" t="n">
        <v>4</v>
      </c>
      <c r="G29" t="inlineStr">
        <is>
          <t>BG002, BG006</t>
        </is>
      </c>
      <c r="H29" t="inlineStr">
        <is>
          <t>22 Juni 2012</t>
        </is>
      </c>
      <c r="I29" s="2" t="n">
        <v>46234</v>
      </c>
      <c r="J29" t="inlineStr">
        <is>
          <t>Disetujui</t>
        </is>
      </c>
      <c r="K29" t="n">
        <v>30</v>
      </c>
      <c r="L29" t="inlineStr">
        <is>
          <t>31 Juli 2026</t>
        </is>
      </c>
      <c r="M29" t="inlineStr">
        <is>
          <t>Konstruksi Gedung Pendidikan, Konstruksi Gedung Perkantoran</t>
        </is>
      </c>
      <c r="N29" t="inlineStr">
        <is>
          <t>K</t>
        </is>
      </c>
      <c r="O29" t="inlineStr">
        <is>
          <t>20230730, 20230731</t>
        </is>
      </c>
      <c r="P29" t="inlineStr">
        <is>
          <t>Kalimantan Barat</t>
        </is>
      </c>
      <c r="Q29" t="inlineStr"/>
    </row>
    <row r="30">
      <c r="A30" t="inlineStr">
        <is>
          <t>ANTAREJA PERDANA SAKTI</t>
        </is>
      </c>
      <c r="B30" t="inlineStr">
        <is>
          <t>Kota Tangerang</t>
        </is>
      </c>
      <c r="C30" t="inlineStr">
        <is>
          <t>087871723662</t>
        </is>
      </c>
      <c r="D30" t="inlineStr">
        <is>
          <t>b16_70pih@yahoo.com</t>
        </is>
      </c>
      <c r="E30" t="inlineStr">
        <is>
          <t>https://lpjk.pu.go.id/search-badan-usaha-detail/Q09ndmtJZ0g5b1BGUnk4Q2ZuZWUyUT09</t>
        </is>
      </c>
      <c r="F30" t="n">
        <v>1</v>
      </c>
      <c r="G30" t="inlineStr">
        <is>
          <t>BS001</t>
        </is>
      </c>
      <c r="H30" t="inlineStr">
        <is>
          <t>3 Agustus 2012</t>
        </is>
      </c>
      <c r="I30" s="2" t="n">
        <v>46234</v>
      </c>
      <c r="J30" t="inlineStr">
        <is>
          <t>Disetujui</t>
        </is>
      </c>
      <c r="K30" t="n">
        <v>30</v>
      </c>
      <c r="L30" t="inlineStr">
        <is>
          <t>31 Juli 2026</t>
        </is>
      </c>
      <c r="M30" t="inlineStr">
        <is>
          <t>Konstruksi Bangunan Sipil Jalan</t>
        </is>
      </c>
      <c r="N30" t="inlineStr">
        <is>
          <t>K</t>
        </is>
      </c>
      <c r="O30" t="inlineStr">
        <is>
          <t>20230728</t>
        </is>
      </c>
      <c r="P30" t="inlineStr">
        <is>
          <t>Banten</t>
        </is>
      </c>
      <c r="Q30" t="inlineStr"/>
    </row>
    <row r="31">
      <c r="A31" t="inlineStr">
        <is>
          <t>ANUGERAH PRIMA SELARAS</t>
        </is>
      </c>
      <c r="B31" t="inlineStr">
        <is>
          <t>Kota Adm. Jakarta Barat</t>
        </is>
      </c>
      <c r="C31" t="inlineStr">
        <is>
          <t>0215301194</t>
        </is>
      </c>
      <c r="D31" t="inlineStr">
        <is>
          <t>anugerahprimaselaras@gmail.com</t>
        </is>
      </c>
      <c r="E31" t="inlineStr">
        <is>
          <t>https://lpjk.pu.go.id/search-badan-usaha-detail/ZnYvb3VPditkRFZ4OXIzOTdYZm9QUT09</t>
        </is>
      </c>
      <c r="F31" t="n">
        <v>1</v>
      </c>
      <c r="G31" t="inlineStr">
        <is>
          <t>BG009</t>
        </is>
      </c>
      <c r="H31" t="inlineStr">
        <is>
          <t>11 Desember 2011</t>
        </is>
      </c>
      <c r="I31" s="2" t="n">
        <v>46234</v>
      </c>
      <c r="J31" t="inlineStr">
        <is>
          <t>Disetujui</t>
        </is>
      </c>
      <c r="K31" t="n">
        <v>30</v>
      </c>
      <c r="L31" t="inlineStr">
        <is>
          <t>31 Juli 2026</t>
        </is>
      </c>
      <c r="M31" t="inlineStr">
        <is>
          <t>Konstruksi Gedung Lainnya</t>
        </is>
      </c>
      <c r="N31" t="inlineStr">
        <is>
          <t>K</t>
        </is>
      </c>
      <c r="O31" t="inlineStr">
        <is>
          <t>20230621</t>
        </is>
      </c>
      <c r="P31" t="inlineStr">
        <is>
          <t>DKI Jakarta</t>
        </is>
      </c>
      <c r="Q31" t="inlineStr"/>
    </row>
    <row r="32">
      <c r="A32" t="inlineStr">
        <is>
          <t>ANUGRAH TEKNIK MANDIRI</t>
        </is>
      </c>
      <c r="B32" t="inlineStr">
        <is>
          <t>Kota Cilegon</t>
        </is>
      </c>
      <c r="C32" t="inlineStr">
        <is>
          <t>085217833076</t>
        </is>
      </c>
      <c r="D32" t="inlineStr">
        <is>
          <t>anugrahteknikmandiri.cv@gmail.com</t>
        </is>
      </c>
      <c r="E32" t="inlineStr">
        <is>
          <t>https://lpjk.pu.go.id/search-badan-usaha-detail/VUdVR2pYYnlyNjdUOXd4amQ0T2JmUT09</t>
        </is>
      </c>
      <c r="F32" t="n">
        <v>2</v>
      </c>
      <c r="G32" t="inlineStr">
        <is>
          <t>BG003</t>
        </is>
      </c>
      <c r="H32" t="inlineStr">
        <is>
          <t>1 Maret 2019</t>
        </is>
      </c>
      <c r="I32" s="2" t="n">
        <v>46234</v>
      </c>
      <c r="J32" t="inlineStr">
        <is>
          <t>Pencabutan</t>
        </is>
      </c>
      <c r="K32" t="n">
        <v>30</v>
      </c>
      <c r="L32" t="inlineStr">
        <is>
          <t>31 Juli 2026</t>
        </is>
      </c>
      <c r="M32" t="inlineStr">
        <is>
          <t>Konstruksi Gedung Industri</t>
        </is>
      </c>
      <c r="N32" t="inlineStr">
        <is>
          <t>K</t>
        </is>
      </c>
      <c r="O32" t="inlineStr">
        <is>
          <t>20230727</t>
        </is>
      </c>
      <c r="P32" t="inlineStr">
        <is>
          <t>Banten</t>
        </is>
      </c>
      <c r="Q32" t="inlineStr"/>
    </row>
    <row r="33">
      <c r="A33" t="inlineStr">
        <is>
          <t>ANUGRAH USAHA MANDIRI</t>
        </is>
      </c>
      <c r="B33" t="inlineStr">
        <is>
          <t>Kab. Cianjur</t>
        </is>
      </c>
      <c r="C33" t="inlineStr">
        <is>
          <t>082126340008</t>
        </is>
      </c>
      <c r="D33" t="inlineStr">
        <is>
          <t>anugrahusahamandiri.cv@gmail.com</t>
        </is>
      </c>
      <c r="E33" t="inlineStr">
        <is>
          <t>https://lpjk.pu.go.id/search-badan-usaha-detail/Mll2Mm9VbFBJdW4rUkttcmk4cmt6QT09</t>
        </is>
      </c>
      <c r="F33" t="n">
        <v>10</v>
      </c>
      <c r="G33" t="inlineStr">
        <is>
          <t>BG005, BG006, BG009, BS001, BS004</t>
        </is>
      </c>
      <c r="H33" t="inlineStr">
        <is>
          <t>27 Maret 2020</t>
        </is>
      </c>
      <c r="I33" s="2" t="n">
        <v>46234</v>
      </c>
      <c r="J33" t="inlineStr">
        <is>
          <t>Pencabutan</t>
        </is>
      </c>
      <c r="K33" t="n">
        <v>30</v>
      </c>
      <c r="L33" t="inlineStr">
        <is>
          <t>31 Juli 2026</t>
        </is>
      </c>
      <c r="M33" t="inlineStr">
        <is>
          <t>Konstruksi Bangunan Sipil Jalan, Konstruksi Gedung Kesehatan, Konstruksi Gedung Lainnya, Konstruksi Gedung Pendidikan, Konstruksi Jaringan Irigasi dan Drainase</t>
        </is>
      </c>
      <c r="N33" t="inlineStr">
        <is>
          <t>K</t>
        </is>
      </c>
      <c r="O33" t="inlineStr">
        <is>
          <t>20230726</t>
        </is>
      </c>
      <c r="P33" t="inlineStr">
        <is>
          <t>Jawa Barat</t>
        </is>
      </c>
      <c r="Q33" t="inlineStr"/>
    </row>
    <row r="34">
      <c r="A34" t="inlineStr">
        <is>
          <t>ARDIANTI</t>
        </is>
      </c>
      <c r="B34" t="inlineStr">
        <is>
          <t>Kab. Lombok Tengah</t>
        </is>
      </c>
      <c r="C34" t="inlineStr">
        <is>
          <t>081938427497</t>
        </is>
      </c>
      <c r="D34" t="inlineStr">
        <is>
          <t>cvardianti@gmail.com</t>
        </is>
      </c>
      <c r="E34" t="inlineStr">
        <is>
          <t>https://lpjk.pu.go.id/search-badan-usaha-detail/bmJ0ODJVTC9jN2xiVHZQekJqclJldz09</t>
        </is>
      </c>
      <c r="F34" t="n">
        <v>9</v>
      </c>
      <c r="G34" t="inlineStr">
        <is>
          <t>BG002, BG005, BG006</t>
        </is>
      </c>
      <c r="H34" t="inlineStr">
        <is>
          <t>26 September 2019</t>
        </is>
      </c>
      <c r="I34" s="2" t="n">
        <v>46234</v>
      </c>
      <c r="J34" t="inlineStr">
        <is>
          <t>Disetujui, Dokumen Lengkap</t>
        </is>
      </c>
      <c r="K34" t="n">
        <v>30</v>
      </c>
      <c r="L34" t="inlineStr">
        <is>
          <t>31 Juli 2026</t>
        </is>
      </c>
      <c r="M34" t="inlineStr">
        <is>
          <t>Konstruksi Gedung Kesehatan, Konstruksi Gedung Pendidikan, Konstruksi Gedung Perkantoran</t>
        </is>
      </c>
      <c r="N34" t="inlineStr">
        <is>
          <t>K</t>
        </is>
      </c>
      <c r="O34" t="inlineStr">
        <is>
          <t>20230731, 20230801</t>
        </is>
      </c>
      <c r="P34" t="inlineStr">
        <is>
          <t>Nusa Tenggara Barat</t>
        </is>
      </c>
      <c r="Q34" t="inlineStr"/>
    </row>
    <row r="35">
      <c r="A35" t="inlineStr">
        <is>
          <t>ARIF PUTRA JUANG</t>
        </is>
      </c>
      <c r="B35" t="inlineStr">
        <is>
          <t>Kota Banda Aceh</t>
        </is>
      </c>
      <c r="C35" t="inlineStr">
        <is>
          <t>08116872555</t>
        </is>
      </c>
      <c r="D35" t="inlineStr">
        <is>
          <t>cvarifputrajuang@yahoo.com</t>
        </is>
      </c>
      <c r="E35" t="inlineStr">
        <is>
          <t>https://lpjk.pu.go.id/search-badan-usaha-detail/Y1BqMVU3eHUrVlFuNzZuTDZRNWQrUT09</t>
        </is>
      </c>
      <c r="F35" t="n">
        <v>1</v>
      </c>
      <c r="G35" t="inlineStr">
        <is>
          <t>BS004</t>
        </is>
      </c>
      <c r="H35" t="inlineStr">
        <is>
          <t>17 Desember 2009</t>
        </is>
      </c>
      <c r="I35" s="2" t="n">
        <v>46234</v>
      </c>
      <c r="J35" t="inlineStr">
        <is>
          <t>Disetujui</t>
        </is>
      </c>
      <c r="K35" t="n">
        <v>30</v>
      </c>
      <c r="L35" t="inlineStr">
        <is>
          <t>31 Juli 2026</t>
        </is>
      </c>
      <c r="M35" t="inlineStr">
        <is>
          <t>Konstruksi Jaringan Irigasi dan Drainase</t>
        </is>
      </c>
      <c r="N35" t="inlineStr">
        <is>
          <t>K</t>
        </is>
      </c>
      <c r="O35" t="inlineStr">
        <is>
          <t>20230729</t>
        </is>
      </c>
      <c r="P35" t="inlineStr">
        <is>
          <t>Aceh</t>
        </is>
      </c>
      <c r="Q35" t="inlineStr"/>
    </row>
    <row r="36">
      <c r="A36" t="inlineStr">
        <is>
          <t>ARKAAN WA TAMAAM</t>
        </is>
      </c>
      <c r="B36" t="inlineStr">
        <is>
          <t>Kab. Karawang</t>
        </is>
      </c>
      <c r="C36" t="inlineStr">
        <is>
          <t>082318479089</t>
        </is>
      </c>
      <c r="D36" t="inlineStr">
        <is>
          <t>cvarkaan@gmail.com</t>
        </is>
      </c>
      <c r="E36" t="inlineStr">
        <is>
          <t>https://lpjk.pu.go.id/search-badan-usaha-detail/eHdoQ053eUdrWW14Z3FqVWhmSFhjQT09</t>
        </is>
      </c>
      <c r="F36" t="n">
        <v>2</v>
      </c>
      <c r="G36" t="inlineStr">
        <is>
          <t>BG009</t>
        </is>
      </c>
      <c r="H36" t="inlineStr">
        <is>
          <t>3 Mei 2019</t>
        </is>
      </c>
      <c r="I36" s="2" t="n">
        <v>46234</v>
      </c>
      <c r="J36" t="inlineStr">
        <is>
          <t>Disetujui</t>
        </is>
      </c>
      <c r="K36" t="n">
        <v>30</v>
      </c>
      <c r="L36" t="inlineStr">
        <is>
          <t>31 Juli 2026</t>
        </is>
      </c>
      <c r="M36" t="inlineStr">
        <is>
          <t>Konstruksi Gedung Lainnya</t>
        </is>
      </c>
      <c r="N36" t="inlineStr">
        <is>
          <t>K</t>
        </is>
      </c>
      <c r="O36" t="inlineStr">
        <is>
          <t>20230801</t>
        </is>
      </c>
      <c r="P36" t="inlineStr">
        <is>
          <t>Jawa Barat</t>
        </is>
      </c>
      <c r="Q36" t="inlineStr"/>
    </row>
    <row r="37">
      <c r="A37" t="inlineStr">
        <is>
          <t>ARKATAMA PUTRA</t>
        </is>
      </c>
      <c r="B37" t="inlineStr">
        <is>
          <t>Kab. Jember</t>
        </is>
      </c>
      <c r="C37" t="inlineStr">
        <is>
          <t>085236370640</t>
        </is>
      </c>
      <c r="D37" t="inlineStr">
        <is>
          <t>cv.arkatamaputra@gmail.com</t>
        </is>
      </c>
      <c r="E37" t="inlineStr">
        <is>
          <t>https://lpjk.pu.go.id/search-badan-usaha-detail/RG12RFFMZXR1N055K1R6OFZWQ29keWY2aXRzUU9YdWd4Q3NzdnRIdklIWT0</t>
        </is>
      </c>
      <c r="F37" t="n">
        <v>9</v>
      </c>
      <c r="G37" t="inlineStr">
        <is>
          <t>BG006, BG008, BG009</t>
        </is>
      </c>
      <c r="H37" t="inlineStr">
        <is>
          <t>25 Maret 2026</t>
        </is>
      </c>
      <c r="I37" s="2" t="n">
        <v>46234</v>
      </c>
      <c r="J37" t="inlineStr">
        <is>
          <t>Disetujui</t>
        </is>
      </c>
      <c r="K37" t="n">
        <v>30</v>
      </c>
      <c r="L37" t="inlineStr">
        <is>
          <t>31 Juli 2026</t>
        </is>
      </c>
      <c r="M37" t="inlineStr">
        <is>
          <t>Konstruksi Gedung Lainnya, Konstruksi Gedung Pendidikan, Konstruksi Gedung Tempat Hiburan dan Olahraga</t>
        </is>
      </c>
      <c r="N37" t="inlineStr">
        <is>
          <t>K</t>
        </is>
      </c>
      <c r="O37" t="inlineStr">
        <is>
          <t>20230728</t>
        </is>
      </c>
      <c r="P37" t="inlineStr">
        <is>
          <t>Jawa Timur</t>
        </is>
      </c>
      <c r="Q37" t="inlineStr"/>
    </row>
    <row r="38">
      <c r="A38" t="inlineStr">
        <is>
          <t>ARMADA SEJAHTERA MANDIRI</t>
        </is>
      </c>
      <c r="B38" t="inlineStr">
        <is>
          <t>Kota Banjarmasin</t>
        </is>
      </c>
      <c r="C38" t="inlineStr">
        <is>
          <t>085247724560</t>
        </is>
      </c>
      <c r="D38" t="inlineStr">
        <is>
          <t>armada_sejahtera_bjm@yahoo.com</t>
        </is>
      </c>
      <c r="E38" t="inlineStr">
        <is>
          <t>https://lpjk.pu.go.id/search-badan-usaha-detail/dXhSSi9ENzF6NkFaYUsrL2ZwUjlzQT09</t>
        </is>
      </c>
      <c r="F38" t="n">
        <v>1</v>
      </c>
      <c r="G38" t="inlineStr">
        <is>
          <t>BS010</t>
        </is>
      </c>
      <c r="H38" t="inlineStr">
        <is>
          <t>6 Februari 2020</t>
        </is>
      </c>
      <c r="I38" s="2" t="n">
        <v>46234</v>
      </c>
      <c r="J38" t="inlineStr">
        <is>
          <t>Disetujui</t>
        </is>
      </c>
      <c r="K38" t="n">
        <v>30</v>
      </c>
      <c r="L38" t="inlineStr">
        <is>
          <t>31 Juli 2026</t>
        </is>
      </c>
      <c r="M38" t="inlineStr">
        <is>
          <t>Konstruksi Bangunan Prasarana Sumber Daya Air</t>
        </is>
      </c>
      <c r="N38" t="inlineStr">
        <is>
          <t>K</t>
        </is>
      </c>
      <c r="O38" t="inlineStr">
        <is>
          <t>20230721</t>
        </is>
      </c>
      <c r="P38" t="inlineStr">
        <is>
          <t>Kalimantan Selatan</t>
        </is>
      </c>
      <c r="Q38" t="inlineStr"/>
    </row>
    <row r="39">
      <c r="A39" t="inlineStr">
        <is>
          <t>ARSYFA</t>
        </is>
      </c>
      <c r="B39" t="inlineStr">
        <is>
          <t>Kab. Indragiri Hilir</t>
        </is>
      </c>
      <c r="C39" t="inlineStr">
        <is>
          <t>085232666615</t>
        </is>
      </c>
      <c r="D39" t="inlineStr">
        <is>
          <t>arsyfa2002@gmail.com</t>
        </is>
      </c>
      <c r="E39" t="inlineStr">
        <is>
          <t>https://lpjk.pu.go.id/search-badan-usaha-detail/UytsdlE4c3Mrd0ZYVjNIY1ZNTUl3dz09</t>
        </is>
      </c>
      <c r="F39" t="n">
        <v>6</v>
      </c>
      <c r="G39" t="inlineStr">
        <is>
          <t>BG001, BG006, BG009</t>
        </is>
      </c>
      <c r="H39" t="inlineStr">
        <is>
          <t>31 Juli 2019</t>
        </is>
      </c>
      <c r="I39" s="2" t="n">
        <v>46234</v>
      </c>
      <c r="J39" t="inlineStr">
        <is>
          <t>Disetujui</t>
        </is>
      </c>
      <c r="K39" t="n">
        <v>30</v>
      </c>
      <c r="L39" t="inlineStr">
        <is>
          <t>31 Juli 2026</t>
        </is>
      </c>
      <c r="M39" t="inlineStr">
        <is>
          <t>Konstruksi Gedung Hunian, Konstruksi Gedung Lainnya, Konstruksi Gedung Pendidikan</t>
        </is>
      </c>
      <c r="N39" t="inlineStr">
        <is>
          <t>K</t>
        </is>
      </c>
      <c r="O39" t="inlineStr">
        <is>
          <t>20230801</t>
        </is>
      </c>
      <c r="P39" t="inlineStr">
        <is>
          <t>Riau</t>
        </is>
      </c>
      <c r="Q39" t="inlineStr"/>
    </row>
    <row r="40">
      <c r="A40" t="inlineStr">
        <is>
          <t>ARTA BIMANTARA KARYA</t>
        </is>
      </c>
      <c r="B40" t="inlineStr">
        <is>
          <t>Kota Adm. Jakarta Selatan</t>
        </is>
      </c>
      <c r="C40" t="inlineStr">
        <is>
          <t>0811833341</t>
        </is>
      </c>
      <c r="D40" t="inlineStr">
        <is>
          <t>artabimantarakarya@gmail.com</t>
        </is>
      </c>
      <c r="E40" t="inlineStr">
        <is>
          <t>https://lpjk.pu.go.id/search-badan-usaha-detail/cFBtQmNmOXNBa1lBdHFJV3FLYlc2UT09</t>
        </is>
      </c>
      <c r="F40" t="n">
        <v>1</v>
      </c>
      <c r="G40" t="inlineStr">
        <is>
          <t>BG003</t>
        </is>
      </c>
      <c r="H40" t="inlineStr">
        <is>
          <t>23 Juni 2023</t>
        </is>
      </c>
      <c r="I40" s="2" t="n">
        <v>46234</v>
      </c>
      <c r="J40" t="inlineStr">
        <is>
          <t>Disetujui</t>
        </is>
      </c>
      <c r="K40" t="n">
        <v>30</v>
      </c>
      <c r="L40" t="inlineStr">
        <is>
          <t>31 Juli 2026</t>
        </is>
      </c>
      <c r="M40" t="inlineStr">
        <is>
          <t>Konstruksi Gedung Industri</t>
        </is>
      </c>
      <c r="N40" t="inlineStr">
        <is>
          <t>K</t>
        </is>
      </c>
      <c r="O40" t="inlineStr">
        <is>
          <t>20230801</t>
        </is>
      </c>
      <c r="P40" t="inlineStr">
        <is>
          <t>DKI Jakarta</t>
        </is>
      </c>
      <c r="Q40" t="inlineStr"/>
    </row>
    <row r="41">
      <c r="A41" t="inlineStr">
        <is>
          <t>ARTHAYASA DHARMA KENCANA</t>
        </is>
      </c>
      <c r="B41" t="inlineStr">
        <is>
          <t>Kab. Sidoarjo</t>
        </is>
      </c>
      <c r="C41" t="inlineStr">
        <is>
          <t>082244551314</t>
        </is>
      </c>
      <c r="D41" t="inlineStr">
        <is>
          <t>cv.arthayasadharma.k@gmail.com</t>
        </is>
      </c>
      <c r="E41" t="inlineStr">
        <is>
          <t>https://lpjk.pu.go.id/search-badan-usaha-detail/cDlJQzJXRFdka0NRWVU5TVJqaDZuUT09</t>
        </is>
      </c>
      <c r="F41" t="n">
        <v>1</v>
      </c>
      <c r="G41" t="inlineStr">
        <is>
          <t>RK001</t>
        </is>
      </c>
      <c r="H41" t="inlineStr">
        <is>
          <t>25 April 2022</t>
        </is>
      </c>
      <c r="I41" s="2" t="n">
        <v>46234</v>
      </c>
      <c r="J41" t="inlineStr">
        <is>
          <t>Pencabutan</t>
        </is>
      </c>
      <c r="K41" t="n">
        <v>30</v>
      </c>
      <c r="L41" t="inlineStr">
        <is>
          <t>31 Juli 2026</t>
        </is>
      </c>
      <c r="M41" t="inlineStr">
        <is>
          <t>Jasa Rekayasa Konstruksi Bangunan Gedung Hunian dan Non Hunian</t>
        </is>
      </c>
      <c r="N41" t="inlineStr">
        <is>
          <t>K</t>
        </is>
      </c>
      <c r="O41" t="inlineStr">
        <is>
          <t>20230714</t>
        </is>
      </c>
      <c r="P41" t="inlineStr">
        <is>
          <t>Jawa Timur</t>
        </is>
      </c>
      <c r="Q41" t="inlineStr"/>
    </row>
    <row r="42">
      <c r="A42" t="inlineStr">
        <is>
          <t>ARUNG SAMUDRA</t>
        </is>
      </c>
      <c r="B42" t="inlineStr">
        <is>
          <t>Kota Banjarmasin</t>
        </is>
      </c>
      <c r="C42" t="inlineStr">
        <is>
          <t>082251677872</t>
        </is>
      </c>
      <c r="D42" t="inlineStr">
        <is>
          <t>arungsamudrapt@yahoo.co.id</t>
        </is>
      </c>
      <c r="E42" t="inlineStr">
        <is>
          <t>https://lpjk.pu.go.id/search-badan-usaha-detail/MGllYlFZOGw2K2IxNEFqSWlkdUM3QT09</t>
        </is>
      </c>
      <c r="F42" t="n">
        <v>5</v>
      </c>
      <c r="G42" t="inlineStr">
        <is>
          <t>BG001, BG006, BG009, BS001, BS005</t>
        </is>
      </c>
      <c r="H42" t="inlineStr">
        <is>
          <t>4 September 2020</t>
        </is>
      </c>
      <c r="I42" s="2" t="n">
        <v>46234</v>
      </c>
      <c r="J42" t="inlineStr">
        <is>
          <t>Disetujui</t>
        </is>
      </c>
      <c r="K42" t="n">
        <v>30</v>
      </c>
      <c r="L42" t="inlineStr">
        <is>
          <t>31 Juli 2026</t>
        </is>
      </c>
      <c r="M42" t="inlineStr">
        <is>
          <t>Konstruksi Bangunan Sipil Jalan, Konstruksi Bangunan Sipil Pengolahan Air Bersih, Konstruksi Gedung Hunian, Konstruksi Gedung Lainnya, Konstruksi Gedung Pendidikan</t>
        </is>
      </c>
      <c r="N42" t="inlineStr">
        <is>
          <t>K</t>
        </is>
      </c>
      <c r="O42" t="inlineStr">
        <is>
          <t>20230727, 20230728</t>
        </is>
      </c>
      <c r="P42" t="inlineStr">
        <is>
          <t>Kalimantan Selatan</t>
        </is>
      </c>
      <c r="Q42" t="inlineStr"/>
    </row>
    <row r="43">
      <c r="A43" t="inlineStr">
        <is>
          <t>ASKAM PRATAMA MEMBANGUN</t>
        </is>
      </c>
      <c r="B43" t="inlineStr">
        <is>
          <t>Kab. Parigi Moutong</t>
        </is>
      </c>
      <c r="C43" t="inlineStr">
        <is>
          <t>085341010251</t>
        </is>
      </c>
      <c r="D43" t="inlineStr">
        <is>
          <t>askampratamamembangun@gmail.com</t>
        </is>
      </c>
      <c r="E43" t="inlineStr">
        <is>
          <t>https://lpjk.pu.go.id/search-badan-usaha-detail/NkNEUlVYWlJSRkRjb1RHKzkzMllWdz09</t>
        </is>
      </c>
      <c r="F43" t="n">
        <v>4</v>
      </c>
      <c r="G43" t="inlineStr">
        <is>
          <t>BG001, BG002, BG005, BG009</t>
        </is>
      </c>
      <c r="H43" t="inlineStr">
        <is>
          <t>9 November 2020</t>
        </is>
      </c>
      <c r="I43" s="2" t="n">
        <v>46234</v>
      </c>
      <c r="J43" t="inlineStr">
        <is>
          <t>Disetujui</t>
        </is>
      </c>
      <c r="K43" t="n">
        <v>30</v>
      </c>
      <c r="L43" t="inlineStr">
        <is>
          <t>31 Juli 2026</t>
        </is>
      </c>
      <c r="M43" t="inlineStr">
        <is>
          <t>Konstruksi Gedung Hunian, Konstruksi Gedung Kesehatan, Konstruksi Gedung Lainnya, Konstruksi Gedung Perkantoran</t>
        </is>
      </c>
      <c r="N43" t="inlineStr">
        <is>
          <t>K</t>
        </is>
      </c>
      <c r="O43" t="inlineStr">
        <is>
          <t>20230727</t>
        </is>
      </c>
      <c r="P43" t="inlineStr">
        <is>
          <t>Sulawesi Tengah</t>
        </is>
      </c>
      <c r="Q43" t="inlineStr"/>
    </row>
    <row r="44">
      <c r="A44" t="inlineStr">
        <is>
          <t>ASRI PRATAMA</t>
        </is>
      </c>
      <c r="B44" t="inlineStr">
        <is>
          <t>Kab. Nabire</t>
        </is>
      </c>
      <c r="C44" t="inlineStr">
        <is>
          <t>082243888222</t>
        </is>
      </c>
      <c r="D44" t="inlineStr">
        <is>
          <t>cv.asripratama.nabire@gmail.com</t>
        </is>
      </c>
      <c r="E44" t="inlineStr">
        <is>
          <t>https://lpjk.pu.go.id/search-badan-usaha-detail/aXVVaXkrcXIxLzVnU2hROXNFWGFsUT09</t>
        </is>
      </c>
      <c r="F44" t="n">
        <v>1</v>
      </c>
      <c r="G44" t="inlineStr">
        <is>
          <t>BG006</t>
        </is>
      </c>
      <c r="H44" t="inlineStr">
        <is>
          <t>3 Agustus 1999</t>
        </is>
      </c>
      <c r="I44" s="2" t="n">
        <v>46234</v>
      </c>
      <c r="J44" t="inlineStr">
        <is>
          <t>Pencabutan</t>
        </is>
      </c>
      <c r="K44" t="n">
        <v>30</v>
      </c>
      <c r="L44" t="inlineStr">
        <is>
          <t>31 Juli 2026</t>
        </is>
      </c>
      <c r="M44" t="inlineStr">
        <is>
          <t>Konstruksi Gedung Pendidikan</t>
        </is>
      </c>
      <c r="N44" t="inlineStr">
        <is>
          <t>K</t>
        </is>
      </c>
      <c r="O44" t="inlineStr">
        <is>
          <t>20230711</t>
        </is>
      </c>
      <c r="P44" t="inlineStr">
        <is>
          <t>Papua</t>
        </is>
      </c>
      <c r="Q44" t="inlineStr"/>
    </row>
    <row r="45">
      <c r="A45" t="inlineStr">
        <is>
          <t>ASTA PRADIPTA JAYA</t>
        </is>
      </c>
      <c r="B45" t="inlineStr">
        <is>
          <t>Kab. Kediri</t>
        </is>
      </c>
      <c r="C45" t="inlineStr">
        <is>
          <t>081330641151</t>
        </is>
      </c>
      <c r="D45" t="inlineStr">
        <is>
          <t>astapradiptajaya@gmail.com</t>
        </is>
      </c>
      <c r="E45" t="inlineStr">
        <is>
          <t>https://lpjk.pu.go.id/search-badan-usaha-detail/TGtyZ2xTOVpURUc5TVhZNkE5aWlyZz09</t>
        </is>
      </c>
      <c r="F45" t="n">
        <v>1</v>
      </c>
      <c r="G45" t="inlineStr">
        <is>
          <t>BG002</t>
        </is>
      </c>
      <c r="H45" t="inlineStr">
        <is>
          <t>8 November 2019</t>
        </is>
      </c>
      <c r="I45" s="2" t="n">
        <v>46234</v>
      </c>
      <c r="J45" t="inlineStr">
        <is>
          <t>Pencabutan</t>
        </is>
      </c>
      <c r="K45" t="n">
        <v>30</v>
      </c>
      <c r="L45" t="inlineStr">
        <is>
          <t>31 Juli 2026</t>
        </is>
      </c>
      <c r="M45" t="inlineStr">
        <is>
          <t>Konstruksi Gedung Perkantoran</t>
        </is>
      </c>
      <c r="N45" t="inlineStr">
        <is>
          <t>K</t>
        </is>
      </c>
      <c r="O45" t="inlineStr">
        <is>
          <t>20230731</t>
        </is>
      </c>
      <c r="P45" t="inlineStr">
        <is>
          <t>Jawa Timur</t>
        </is>
      </c>
      <c r="Q45" t="inlineStr"/>
    </row>
    <row r="46">
      <c r="A46" t="inlineStr">
        <is>
          <t>AURA SINAR BARU</t>
        </is>
      </c>
      <c r="B46" t="inlineStr">
        <is>
          <t>Kota Surabaya</t>
        </is>
      </c>
      <c r="C46" t="inlineStr">
        <is>
          <t>0318280866</t>
        </is>
      </c>
      <c r="D46" t="inlineStr">
        <is>
          <t>sinarbarutirta@gmail.com</t>
        </is>
      </c>
      <c r="E46" t="inlineStr">
        <is>
          <t>https://lpjk.pu.go.id/search-badan-usaha-detail/MkZUaTV4MXZsaVBwYXo3dkxBZWtUZz09</t>
        </is>
      </c>
      <c r="F46" t="n">
        <v>1</v>
      </c>
      <c r="G46" t="inlineStr">
        <is>
          <t>BS005</t>
        </is>
      </c>
      <c r="H46" t="inlineStr">
        <is>
          <t>9 November 2006</t>
        </is>
      </c>
      <c r="I46" s="2" t="n">
        <v>46234</v>
      </c>
      <c r="J46" t="inlineStr">
        <is>
          <t>Disetujui</t>
        </is>
      </c>
      <c r="K46" t="n">
        <v>30</v>
      </c>
      <c r="L46" t="inlineStr">
        <is>
          <t>31 Juli 2026</t>
        </is>
      </c>
      <c r="M46" t="inlineStr">
        <is>
          <t>Konstruksi Bangunan Sipil Pengolahan Air Bersih</t>
        </is>
      </c>
      <c r="N46" t="inlineStr">
        <is>
          <t>M</t>
        </is>
      </c>
      <c r="O46" t="inlineStr">
        <is>
          <t>20230727</t>
        </is>
      </c>
      <c r="P46" t="inlineStr">
        <is>
          <t>Jawa Timur</t>
        </is>
      </c>
      <c r="Q46" t="inlineStr"/>
    </row>
    <row r="47">
      <c r="A47" t="inlineStr">
        <is>
          <t>AYU PRATAMA</t>
        </is>
      </c>
      <c r="B47" t="inlineStr">
        <is>
          <t>Kab. Muara Enim</t>
        </is>
      </c>
      <c r="C47" t="inlineStr">
        <is>
          <t>085382774824</t>
        </is>
      </c>
      <c r="D47" t="inlineStr">
        <is>
          <t>pratamacvayu@gmail.com</t>
        </is>
      </c>
      <c r="E47" t="inlineStr">
        <is>
          <t>https://lpjk.pu.go.id/search-badan-usaha-detail/M0lVTHVrcUFNM3F2cmlMVG5jc0F5dz09</t>
        </is>
      </c>
      <c r="F47" t="n">
        <v>1</v>
      </c>
      <c r="G47" t="inlineStr">
        <is>
          <t>BG005</t>
        </is>
      </c>
      <c r="H47" t="inlineStr">
        <is>
          <t>30 Januari 2002</t>
        </is>
      </c>
      <c r="I47" s="2" t="n">
        <v>46234</v>
      </c>
      <c r="J47" t="inlineStr">
        <is>
          <t>Pencabutan</t>
        </is>
      </c>
      <c r="K47" t="n">
        <v>30</v>
      </c>
      <c r="L47" t="inlineStr">
        <is>
          <t>31 Juli 2026</t>
        </is>
      </c>
      <c r="M47" t="inlineStr">
        <is>
          <t>Konstruksi Gedung Kesehatan</t>
        </is>
      </c>
      <c r="N47" t="inlineStr">
        <is>
          <t>K</t>
        </is>
      </c>
      <c r="O47" t="inlineStr">
        <is>
          <t>20230727</t>
        </is>
      </c>
      <c r="P47" t="inlineStr">
        <is>
          <t>Sumatera Selatan</t>
        </is>
      </c>
      <c r="Q47" t="inlineStr"/>
    </row>
    <row r="48">
      <c r="A48" t="inlineStr">
        <is>
          <t>AZI BANDUNG BANDAWASA</t>
        </is>
      </c>
      <c r="B48" t="inlineStr">
        <is>
          <t>Kota Cimahi</t>
        </is>
      </c>
      <c r="C48" t="inlineStr">
        <is>
          <t>0222003491</t>
        </is>
      </c>
      <c r="D48" t="inlineStr">
        <is>
          <t>ptazibandungbandawasa@gmail.com</t>
        </is>
      </c>
      <c r="E48" t="inlineStr">
        <is>
          <t>https://lpjk.pu.go.id/search-badan-usaha-detail/ckRub3lnZ2E5S1RrM01DblpkN2Q2UT09</t>
        </is>
      </c>
      <c r="F48" t="n">
        <v>1</v>
      </c>
      <c r="G48" t="inlineStr">
        <is>
          <t>BG006</t>
        </is>
      </c>
      <c r="H48" t="inlineStr">
        <is>
          <t>2 Maret 2023</t>
        </is>
      </c>
      <c r="I48" s="2" t="n">
        <v>46234</v>
      </c>
      <c r="J48" t="inlineStr">
        <is>
          <t>Disetujui</t>
        </is>
      </c>
      <c r="K48" t="n">
        <v>30</v>
      </c>
      <c r="L48" t="inlineStr">
        <is>
          <t>31 Juli 2026</t>
        </is>
      </c>
      <c r="M48" t="inlineStr">
        <is>
          <t>Konstruksi Gedung Pendidikan</t>
        </is>
      </c>
      <c r="N48" t="inlineStr">
        <is>
          <t>K</t>
        </is>
      </c>
      <c r="O48" t="inlineStr">
        <is>
          <t>20230718</t>
        </is>
      </c>
      <c r="P48" t="inlineStr">
        <is>
          <t>Jawa Barat</t>
        </is>
      </c>
      <c r="Q48" t="inlineStr"/>
    </row>
    <row r="49">
      <c r="A49" t="inlineStr">
        <is>
          <t>BAJA TEHNIK PERKASA</t>
        </is>
      </c>
      <c r="B49" t="inlineStr">
        <is>
          <t>Kota Adm. Jakarta Selatan</t>
        </is>
      </c>
      <c r="C49" t="inlineStr">
        <is>
          <t>082210915854</t>
        </is>
      </c>
      <c r="D49" t="inlineStr">
        <is>
          <t>sales@bajatehnikperkasa.co.id</t>
        </is>
      </c>
      <c r="E49" t="inlineStr">
        <is>
          <t>https://lpjk.pu.go.id/search-badan-usaha-detail/OW5OdCswcEN5Rkl3MTF3YnIzb0VvQT09</t>
        </is>
      </c>
      <c r="F49" t="n">
        <v>1</v>
      </c>
      <c r="G49" t="inlineStr">
        <is>
          <t>BS004</t>
        </is>
      </c>
      <c r="H49" t="inlineStr">
        <is>
          <t>3 April 2019</t>
        </is>
      </c>
      <c r="I49" s="2" t="n">
        <v>46234</v>
      </c>
      <c r="J49" t="inlineStr">
        <is>
          <t>Disetujui</t>
        </is>
      </c>
      <c r="K49" t="n">
        <v>30</v>
      </c>
      <c r="L49" t="inlineStr">
        <is>
          <t>31 Juli 2026</t>
        </is>
      </c>
      <c r="M49" t="inlineStr">
        <is>
          <t>Konstruksi Jaringan Irigasi dan Drainase</t>
        </is>
      </c>
      <c r="N49" t="inlineStr">
        <is>
          <t>K</t>
        </is>
      </c>
      <c r="O49" t="inlineStr">
        <is>
          <t>20230729</t>
        </is>
      </c>
      <c r="P49" t="inlineStr">
        <is>
          <t>DKI Jakarta</t>
        </is>
      </c>
      <c r="Q49" t="inlineStr"/>
    </row>
    <row r="50">
      <c r="A50" t="inlineStr">
        <is>
          <t>BANGUN JAYA</t>
        </is>
      </c>
      <c r="B50" t="inlineStr">
        <is>
          <t>Kota Semarang</t>
        </is>
      </c>
      <c r="C50" t="inlineStr">
        <is>
          <t>08122809573</t>
        </is>
      </c>
      <c r="D50" t="inlineStr">
        <is>
          <t>cv.bangunjaya4@gmail.com</t>
        </is>
      </c>
      <c r="E50" t="inlineStr">
        <is>
          <t>https://lpjk.pu.go.id/search-badan-usaha-detail/dkZSZ3pCb2oyK016NjkzdjFac0hqUT09</t>
        </is>
      </c>
      <c r="F50" t="n">
        <v>1</v>
      </c>
      <c r="G50" t="inlineStr">
        <is>
          <t>BS003</t>
        </is>
      </c>
      <c r="H50" t="inlineStr">
        <is>
          <t>23 Oktober 2008</t>
        </is>
      </c>
      <c r="I50" s="2" t="n">
        <v>46234</v>
      </c>
      <c r="J50" t="inlineStr">
        <is>
          <t>Disetujui</t>
        </is>
      </c>
      <c r="K50" t="n">
        <v>30</v>
      </c>
      <c r="L50" t="inlineStr">
        <is>
          <t>31 Juli 2026</t>
        </is>
      </c>
      <c r="M50" t="inlineStr">
        <is>
          <t>Konstruksi Jalan Rel</t>
        </is>
      </c>
      <c r="N50" t="inlineStr">
        <is>
          <t>K</t>
        </is>
      </c>
      <c r="O50" t="inlineStr">
        <is>
          <t>20230522</t>
        </is>
      </c>
      <c r="P50" t="inlineStr">
        <is>
          <t>Jawa Tengah</t>
        </is>
      </c>
      <c r="Q50" t="inlineStr"/>
    </row>
    <row r="51">
      <c r="A51" t="inlineStr">
        <is>
          <t>BAROKAH JAYA MANDIRI</t>
        </is>
      </c>
      <c r="B51" t="inlineStr">
        <is>
          <t>Kota Tegal</t>
        </is>
      </c>
      <c r="C51" t="inlineStr">
        <is>
          <t>081575059660</t>
        </is>
      </c>
      <c r="D51" t="inlineStr">
        <is>
          <t>cvbarokahjayamandiri2023@gmail.com</t>
        </is>
      </c>
      <c r="E51" t="inlineStr">
        <is>
          <t>https://lpjk.pu.go.id/search-badan-usaha-detail/VkxmOXNEWkFoUnVtUllOazNTYnFaZz09</t>
        </is>
      </c>
      <c r="F51" t="n">
        <v>4</v>
      </c>
      <c r="G51" t="inlineStr">
        <is>
          <t>BS001, BS004</t>
        </is>
      </c>
      <c r="H51" t="inlineStr">
        <is>
          <t>26 Oktober 2004</t>
        </is>
      </c>
      <c r="I51" s="2" t="n">
        <v>46234</v>
      </c>
      <c r="J51" t="inlineStr">
        <is>
          <t>Disetujui</t>
        </is>
      </c>
      <c r="K51" t="n">
        <v>30</v>
      </c>
      <c r="L51" t="inlineStr">
        <is>
          <t>31 Juli 2026</t>
        </is>
      </c>
      <c r="M51" t="inlineStr">
        <is>
          <t>Konstruksi Bangunan Sipil Jalan, Konstruksi Jaringan Irigasi dan Drainase</t>
        </is>
      </c>
      <c r="N51" t="inlineStr">
        <is>
          <t>K</t>
        </is>
      </c>
      <c r="O51" t="inlineStr">
        <is>
          <t>20230726, 20230728</t>
        </is>
      </c>
      <c r="P51" t="inlineStr">
        <is>
          <t>Jawa Tengah</t>
        </is>
      </c>
      <c r="Q51" t="inlineStr"/>
    </row>
    <row r="52">
      <c r="A52" t="inlineStr">
        <is>
          <t>BATARA NUSANTARA</t>
        </is>
      </c>
      <c r="B52" t="inlineStr">
        <is>
          <t>Kota Palu</t>
        </is>
      </c>
      <c r="C52" t="inlineStr">
        <is>
          <t>082193235401</t>
        </is>
      </c>
      <c r="D52" t="inlineStr">
        <is>
          <t>batara.nusantara.cv@gmail.com</t>
        </is>
      </c>
      <c r="E52" t="inlineStr">
        <is>
          <t>https://lpjk.pu.go.id/search-badan-usaha-detail/TVNPOGUyZkhCMkdEb3hKUkhmcTBYdz09</t>
        </is>
      </c>
      <c r="F52" t="n">
        <v>3</v>
      </c>
      <c r="G52" t="inlineStr">
        <is>
          <t>AR001, AR002, AR003</t>
        </is>
      </c>
      <c r="H52" t="inlineStr">
        <is>
          <t>24 Januari 2019</t>
        </is>
      </c>
      <c r="I52" s="2" t="n">
        <v>46234</v>
      </c>
      <c r="J52" t="inlineStr">
        <is>
          <t>Disetujui</t>
        </is>
      </c>
      <c r="K52" t="n">
        <v>30</v>
      </c>
      <c r="L52" t="inlineStr">
        <is>
          <t>31 Juli 2026</t>
        </is>
      </c>
      <c r="M52" t="inlineStr">
        <is>
          <t>Jasa Arsitektural Bangunan Gedung Hunian dan Non Hunian, Jasa Arsitektural Lainnya, Jasa Desain Interior pada Bangunan Gedung dan Bangunan Sipil</t>
        </is>
      </c>
      <c r="N52" t="inlineStr">
        <is>
          <t>K</t>
        </is>
      </c>
      <c r="O52" t="inlineStr">
        <is>
          <t>20230716, 20230720</t>
        </is>
      </c>
      <c r="P52" t="inlineStr">
        <is>
          <t>Sulawesi Tengah</t>
        </is>
      </c>
      <c r="Q52" t="inlineStr"/>
    </row>
    <row r="53">
      <c r="A53" t="inlineStr">
        <is>
          <t>BATARA PERSADA</t>
        </is>
      </c>
      <c r="B53" t="inlineStr">
        <is>
          <t>Kota Makassar</t>
        </is>
      </c>
      <c r="C53" t="inlineStr">
        <is>
          <t>082310637975</t>
        </is>
      </c>
      <c r="D53" t="inlineStr">
        <is>
          <t>batarapersada@yahoo.com</t>
        </is>
      </c>
      <c r="E53" t="inlineStr">
        <is>
          <t>https://lpjk.pu.go.id/search-badan-usaha-detail/VlZEMGs0Y0I4V0l1ZCt5S1VNUHloQT09</t>
        </is>
      </c>
      <c r="F53" t="n">
        <v>4</v>
      </c>
      <c r="G53" t="inlineStr">
        <is>
          <t>BG002, BG005, BG006, BG009</t>
        </is>
      </c>
      <c r="H53" t="inlineStr">
        <is>
          <t>15 Agustus 2008</t>
        </is>
      </c>
      <c r="I53" s="2" t="n">
        <v>46234</v>
      </c>
      <c r="J53" t="inlineStr">
        <is>
          <t>Disetujui</t>
        </is>
      </c>
      <c r="K53" t="n">
        <v>30</v>
      </c>
      <c r="L53" t="inlineStr">
        <is>
          <t>31 Juli 2026</t>
        </is>
      </c>
      <c r="M53" t="inlineStr">
        <is>
          <t>Konstruksi Gedung Kesehatan, Konstruksi Gedung Lainnya, Konstruksi Gedung Pendidikan, Konstruksi Gedung Perkantoran</t>
        </is>
      </c>
      <c r="N53" t="inlineStr">
        <is>
          <t>K</t>
        </is>
      </c>
      <c r="O53" t="inlineStr">
        <is>
          <t>20230718, 20230721</t>
        </is>
      </c>
      <c r="P53" t="inlineStr">
        <is>
          <t>Sulawesi Selatan</t>
        </is>
      </c>
      <c r="Q53" t="inlineStr"/>
    </row>
    <row r="54">
      <c r="A54" t="inlineStr">
        <is>
          <t>BENGKEL KREASINDO KEPRI</t>
        </is>
      </c>
      <c r="B54" t="inlineStr">
        <is>
          <t>Kota Tanjung Pinang</t>
        </is>
      </c>
      <c r="C54" t="inlineStr">
        <is>
          <t>0811702503</t>
        </is>
      </c>
      <c r="D54" t="inlineStr">
        <is>
          <t>cvbengkelkreasindokepri.bkk@gmail.com</t>
        </is>
      </c>
      <c r="E54" t="inlineStr">
        <is>
          <t>https://lpjk.pu.go.id/search-badan-usaha-detail/SFAyY0xxWXNZZjk5Q0NmeE5nSC9EZz09</t>
        </is>
      </c>
      <c r="F54" t="n">
        <v>1</v>
      </c>
      <c r="G54" t="inlineStr">
        <is>
          <t>KK004</t>
        </is>
      </c>
      <c r="H54" t="inlineStr">
        <is>
          <t>19 Januari 2022</t>
        </is>
      </c>
      <c r="I54" s="2" t="n">
        <v>46234</v>
      </c>
      <c r="J54" t="inlineStr">
        <is>
          <t>Disetujui</t>
        </is>
      </c>
      <c r="K54" t="n">
        <v>30</v>
      </c>
      <c r="L54" t="inlineStr">
        <is>
          <t>31 Juli 2026</t>
        </is>
      </c>
      <c r="M54" t="inlineStr">
        <is>
          <t>Konstruksi Pelindung Pantai</t>
        </is>
      </c>
      <c r="N54" t="inlineStr">
        <is>
          <t>Spesialis</t>
        </is>
      </c>
      <c r="O54" t="inlineStr">
        <is>
          <t>20230711</t>
        </is>
      </c>
      <c r="P54" t="inlineStr">
        <is>
          <t>Kepulauan Riau</t>
        </is>
      </c>
      <c r="Q54" t="inlineStr"/>
    </row>
    <row r="55">
      <c r="A55" t="inlineStr">
        <is>
          <t>BENTANG ALAM NUSANTARA</t>
        </is>
      </c>
      <c r="B55" t="inlineStr">
        <is>
          <t>Kab. Banyuwangi</t>
        </is>
      </c>
      <c r="C55" t="inlineStr">
        <is>
          <t>081217956316</t>
        </is>
      </c>
      <c r="D55" t="inlineStr">
        <is>
          <t>pt_bentang_alam_nusantara@yahoo.co.id</t>
        </is>
      </c>
      <c r="E55" t="inlineStr">
        <is>
          <t>https://lpjk.pu.go.id/search-badan-usaha-detail/REhOMGJFeVpIaHJHdXkxRlBQdUdVdz09</t>
        </is>
      </c>
      <c r="F55" t="n">
        <v>1</v>
      </c>
      <c r="G55" t="inlineStr">
        <is>
          <t>BS001</t>
        </is>
      </c>
      <c r="H55" t="inlineStr">
        <is>
          <t>7 November 2006</t>
        </is>
      </c>
      <c r="I55" s="2" t="n">
        <v>46234</v>
      </c>
      <c r="J55" t="inlineStr">
        <is>
          <t>Disetujui</t>
        </is>
      </c>
      <c r="K55" t="n">
        <v>30</v>
      </c>
      <c r="L55" t="inlineStr">
        <is>
          <t>31 Juli 2026</t>
        </is>
      </c>
      <c r="M55" t="inlineStr">
        <is>
          <t>Konstruksi Bangunan Sipil Jalan</t>
        </is>
      </c>
      <c r="N55" t="inlineStr">
        <is>
          <t>M</t>
        </is>
      </c>
      <c r="O55" t="inlineStr">
        <is>
          <t>20230705</t>
        </is>
      </c>
      <c r="P55" t="inlineStr">
        <is>
          <t>Jawa Timur</t>
        </is>
      </c>
      <c r="Q55" t="inlineStr"/>
    </row>
    <row r="56">
      <c r="A56" t="inlineStr">
        <is>
          <t>BERKAH JAYA</t>
        </is>
      </c>
      <c r="B56" t="inlineStr">
        <is>
          <t>Kab. Lampung Selatan</t>
        </is>
      </c>
      <c r="C56" t="inlineStr">
        <is>
          <t>082371741688</t>
        </is>
      </c>
      <c r="D56" t="inlineStr">
        <is>
          <t>berkahj74@gmail.com</t>
        </is>
      </c>
      <c r="E56" t="inlineStr">
        <is>
          <t>https://lpjk.pu.go.id/search-badan-usaha-detail/aDJnWHo5NVVhdmJGK0ZFMEpWaTB3dz09</t>
        </is>
      </c>
      <c r="F56" t="n">
        <v>6</v>
      </c>
      <c r="G56" t="inlineStr">
        <is>
          <t>BG005, BG009, BS001</t>
        </is>
      </c>
      <c r="H56" t="inlineStr">
        <is>
          <t>22 Juni 2012</t>
        </is>
      </c>
      <c r="I56" s="2" t="n">
        <v>46234</v>
      </c>
      <c r="J56" t="inlineStr">
        <is>
          <t>Pencabutan</t>
        </is>
      </c>
      <c r="K56" t="n">
        <v>30</v>
      </c>
      <c r="L56" t="inlineStr">
        <is>
          <t>31 Juli 2026</t>
        </is>
      </c>
      <c r="M56" t="inlineStr">
        <is>
          <t>Konstruksi Bangunan Sipil Jalan, Konstruksi Gedung Kesehatan, Konstruksi Gedung Lainnya</t>
        </is>
      </c>
      <c r="N56" t="inlineStr">
        <is>
          <t>K</t>
        </is>
      </c>
      <c r="O56" t="inlineStr">
        <is>
          <t>20230704, 20230726</t>
        </is>
      </c>
      <c r="P56" t="inlineStr">
        <is>
          <t>Lampung</t>
        </is>
      </c>
      <c r="Q56" t="inlineStr"/>
    </row>
    <row r="57">
      <c r="A57" t="inlineStr">
        <is>
          <t>BERKAH LANGIT</t>
        </is>
      </c>
      <c r="B57" t="inlineStr">
        <is>
          <t>Kab. Muara Enim</t>
        </is>
      </c>
      <c r="C57" t="inlineStr">
        <is>
          <t>081271509986</t>
        </is>
      </c>
      <c r="D57" t="inlineStr">
        <is>
          <t>2018berkahlangit@gmail.com</t>
        </is>
      </c>
      <c r="E57" t="inlineStr">
        <is>
          <t>https://lpjk.pu.go.id/search-badan-usaha-detail/N3JaQmtBOFN2UWRmSklpRitwNDFnQT09</t>
        </is>
      </c>
      <c r="F57" t="n">
        <v>2</v>
      </c>
      <c r="G57" t="inlineStr">
        <is>
          <t>BG009</t>
        </is>
      </c>
      <c r="H57" t="inlineStr">
        <is>
          <t>21 September 2018</t>
        </is>
      </c>
      <c r="I57" s="2" t="n">
        <v>46234</v>
      </c>
      <c r="J57" t="inlineStr">
        <is>
          <t>Disetujui</t>
        </is>
      </c>
      <c r="K57" t="n">
        <v>30</v>
      </c>
      <c r="L57" t="inlineStr">
        <is>
          <t>31 Juli 2026</t>
        </is>
      </c>
      <c r="M57" t="inlineStr">
        <is>
          <t>Konstruksi Gedung Lainnya</t>
        </is>
      </c>
      <c r="N57" t="inlineStr">
        <is>
          <t>K</t>
        </is>
      </c>
      <c r="O57" t="inlineStr">
        <is>
          <t>20230731</t>
        </is>
      </c>
      <c r="P57" t="inlineStr">
        <is>
          <t>Sumatera Selatan</t>
        </is>
      </c>
      <c r="Q57" t="inlineStr"/>
    </row>
    <row r="58">
      <c r="A58" t="inlineStr">
        <is>
          <t>BERKAH PUYING JAYA</t>
        </is>
      </c>
      <c r="B58" t="inlineStr">
        <is>
          <t>Kab. Bulungan</t>
        </is>
      </c>
      <c r="C58" t="inlineStr">
        <is>
          <t>081234875232</t>
        </is>
      </c>
      <c r="D58" t="inlineStr">
        <is>
          <t>cvberkahpuyingjaya@gmail.com</t>
        </is>
      </c>
      <c r="E58" t="inlineStr">
        <is>
          <t>https://lpjk.pu.go.id/search-badan-usaha-detail/Y2c3NFl4bGI3RFA4K0FjMVRMT0hGdz09</t>
        </is>
      </c>
      <c r="F58" t="n">
        <v>2</v>
      </c>
      <c r="G58" t="inlineStr">
        <is>
          <t>BS001</t>
        </is>
      </c>
      <c r="H58" t="inlineStr">
        <is>
          <t>24 Maret 2021</t>
        </is>
      </c>
      <c r="I58" s="2" t="n">
        <v>46234</v>
      </c>
      <c r="J58" t="inlineStr">
        <is>
          <t>Disetujui</t>
        </is>
      </c>
      <c r="K58" t="n">
        <v>30</v>
      </c>
      <c r="L58" t="inlineStr">
        <is>
          <t>31 Juli 2026</t>
        </is>
      </c>
      <c r="M58" t="inlineStr">
        <is>
          <t>Konstruksi Bangunan Sipil Jalan</t>
        </is>
      </c>
      <c r="N58" t="inlineStr">
        <is>
          <t>K</t>
        </is>
      </c>
      <c r="O58" t="inlineStr">
        <is>
          <t>20230724</t>
        </is>
      </c>
      <c r="P58" t="inlineStr">
        <is>
          <t>Kalimantan Utara</t>
        </is>
      </c>
      <c r="Q58" t="inlineStr"/>
    </row>
    <row r="59">
      <c r="A59" t="inlineStr">
        <is>
          <t>BINANGKIT BAGJA RAHAYU</t>
        </is>
      </c>
      <c r="B59" t="inlineStr">
        <is>
          <t>Kota Banjar</t>
        </is>
      </c>
      <c r="C59" t="inlineStr">
        <is>
          <t>081310737984</t>
        </is>
      </c>
      <c r="D59" t="inlineStr">
        <is>
          <t>cvbinangkitbagjarahayu@gmail.com</t>
        </is>
      </c>
      <c r="E59" t="inlineStr">
        <is>
          <t>https://lpjk.pu.go.id/search-badan-usaha-detail/Qy9hb2ZWdXdES3Y0em1oazZUelA2UT09</t>
        </is>
      </c>
      <c r="F59" t="n">
        <v>2</v>
      </c>
      <c r="G59" t="inlineStr">
        <is>
          <t>BG005</t>
        </is>
      </c>
      <c r="H59" t="inlineStr">
        <is>
          <t>25 Januari 2023</t>
        </is>
      </c>
      <c r="I59" s="2" t="n">
        <v>46234</v>
      </c>
      <c r="J59" t="inlineStr">
        <is>
          <t>Disetujui</t>
        </is>
      </c>
      <c r="K59" t="n">
        <v>30</v>
      </c>
      <c r="L59" t="inlineStr">
        <is>
          <t>31 Juli 2026</t>
        </is>
      </c>
      <c r="M59" t="inlineStr">
        <is>
          <t>Konstruksi Gedung Kesehatan</t>
        </is>
      </c>
      <c r="N59" t="inlineStr">
        <is>
          <t>K</t>
        </is>
      </c>
      <c r="O59" t="inlineStr">
        <is>
          <t>20230801</t>
        </is>
      </c>
      <c r="P59" t="inlineStr">
        <is>
          <t>Jawa Barat</t>
        </is>
      </c>
      <c r="Q59" t="inlineStr"/>
    </row>
    <row r="60">
      <c r="A60" t="inlineStr">
        <is>
          <t>BINARA PERSADA KONSTRUKSI</t>
        </is>
      </c>
      <c r="B60" t="inlineStr">
        <is>
          <t>Kab. Sidoarjo</t>
        </is>
      </c>
      <c r="C60" t="inlineStr">
        <is>
          <t>081343350922</t>
        </is>
      </c>
      <c r="D60" t="inlineStr">
        <is>
          <t>binarapersadakonstruksi@gmail.com</t>
        </is>
      </c>
      <c r="E60" t="inlineStr">
        <is>
          <t>https://lpjk.pu.go.id/search-badan-usaha-detail/REpLWXRhcFpNN1RsWWZOaWk4SnFydz09</t>
        </is>
      </c>
      <c r="F60" t="n">
        <v>2</v>
      </c>
      <c r="G60" t="inlineStr">
        <is>
          <t>BS001, BS004</t>
        </is>
      </c>
      <c r="H60" t="inlineStr">
        <is>
          <t>19 Maret 2021</t>
        </is>
      </c>
      <c r="I60" s="2" t="n">
        <v>46234</v>
      </c>
      <c r="J60" t="inlineStr">
        <is>
          <t>Disetujui</t>
        </is>
      </c>
      <c r="K60" t="n">
        <v>30</v>
      </c>
      <c r="L60" t="inlineStr">
        <is>
          <t>31 Juli 2026</t>
        </is>
      </c>
      <c r="M60" t="inlineStr">
        <is>
          <t>Konstruksi Bangunan Sipil Jalan, Konstruksi Jaringan Irigasi dan Drainase</t>
        </is>
      </c>
      <c r="N60" t="inlineStr">
        <is>
          <t>K</t>
        </is>
      </c>
      <c r="O60" t="inlineStr">
        <is>
          <t>20230731</t>
        </is>
      </c>
      <c r="P60" t="inlineStr">
        <is>
          <t>Jawa Timur</t>
        </is>
      </c>
      <c r="Q60" t="inlineStr"/>
    </row>
    <row r="61">
      <c r="A61" t="inlineStr">
        <is>
          <t>BINTANG GALAXY</t>
        </is>
      </c>
      <c r="B61" t="inlineStr">
        <is>
          <t>Kab. Lamongan</t>
        </is>
      </c>
      <c r="C61" t="inlineStr">
        <is>
          <t>081230695297</t>
        </is>
      </c>
      <c r="D61" t="inlineStr">
        <is>
          <t>b_galaxy@ymail.com</t>
        </is>
      </c>
      <c r="E61" t="inlineStr">
        <is>
          <t>https://lpjk.pu.go.id/search-badan-usaha-detail/SEl4MnZ0WENGNnZtV0xQQm4zMHFVZz09</t>
        </is>
      </c>
      <c r="F61" t="n">
        <v>2</v>
      </c>
      <c r="G61" t="inlineStr">
        <is>
          <t>BG009</t>
        </is>
      </c>
      <c r="H61" t="inlineStr">
        <is>
          <t>26 Juli 2007</t>
        </is>
      </c>
      <c r="I61" s="2" t="n">
        <v>46234</v>
      </c>
      <c r="J61" t="inlineStr">
        <is>
          <t>Disetujui</t>
        </is>
      </c>
      <c r="K61" t="n">
        <v>30</v>
      </c>
      <c r="L61" t="inlineStr">
        <is>
          <t>31 Juli 2026</t>
        </is>
      </c>
      <c r="M61" t="inlineStr">
        <is>
          <t>Konstruksi Gedung Lainnya</t>
        </is>
      </c>
      <c r="N61" t="inlineStr">
        <is>
          <t>K</t>
        </is>
      </c>
      <c r="O61" t="inlineStr">
        <is>
          <t>20230725</t>
        </is>
      </c>
      <c r="P61" t="inlineStr">
        <is>
          <t>Jawa Timur</t>
        </is>
      </c>
      <c r="Q61" t="inlineStr"/>
    </row>
    <row r="62">
      <c r="A62" t="inlineStr">
        <is>
          <t>BINTANG PERKASA</t>
        </is>
      </c>
      <c r="B62" t="inlineStr">
        <is>
          <t>Kab. Kolaka Utara</t>
        </is>
      </c>
      <c r="C62" t="inlineStr">
        <is>
          <t>82187638907</t>
        </is>
      </c>
      <c r="D62" t="inlineStr">
        <is>
          <t>bintangperkasa196@gmail.com</t>
        </is>
      </c>
      <c r="E62" t="inlineStr">
        <is>
          <t>https://lpjk.pu.go.id/search-badan-usaha-detail/aC9wTmVuM251eXU5NGthUU1HazVKdz09</t>
        </is>
      </c>
      <c r="F62" t="n">
        <v>2</v>
      </c>
      <c r="G62" t="inlineStr">
        <is>
          <t>BG002</t>
        </is>
      </c>
      <c r="H62" t="inlineStr">
        <is>
          <t>29 Desember 2021</t>
        </is>
      </c>
      <c r="I62" s="2" t="n">
        <v>46234</v>
      </c>
      <c r="J62" t="inlineStr">
        <is>
          <t>Disetujui</t>
        </is>
      </c>
      <c r="K62" t="n">
        <v>30</v>
      </c>
      <c r="L62" t="inlineStr">
        <is>
          <t>31 Juli 2026</t>
        </is>
      </c>
      <c r="M62" t="inlineStr">
        <is>
          <t>Konstruksi Gedung Perkantoran</t>
        </is>
      </c>
      <c r="N62" t="inlineStr">
        <is>
          <t>K</t>
        </is>
      </c>
      <c r="O62" t="inlineStr">
        <is>
          <t>20230726</t>
        </is>
      </c>
      <c r="P62" t="inlineStr">
        <is>
          <t>Sulawesi Tenggara</t>
        </is>
      </c>
      <c r="Q62" t="inlineStr"/>
    </row>
    <row r="63">
      <c r="A63" t="inlineStr">
        <is>
          <t>BINTANG UTAMA KONTRAKTOR</t>
        </is>
      </c>
      <c r="B63" t="inlineStr">
        <is>
          <t>Kab. Indragiri Hilir</t>
        </is>
      </c>
      <c r="C63" t="inlineStr">
        <is>
          <t>081268400566</t>
        </is>
      </c>
      <c r="D63" t="inlineStr">
        <is>
          <t>salsabila.cv09@gmail.com</t>
        </is>
      </c>
      <c r="E63" t="inlineStr">
        <is>
          <t>https://lpjk.pu.go.id/search-badan-usaha-detail/WEcyWTFBRkF1WEsrcmlTWUNNdlpIdz09</t>
        </is>
      </c>
      <c r="F63" t="n">
        <v>2</v>
      </c>
      <c r="G63" t="inlineStr">
        <is>
          <t>BG009</t>
        </is>
      </c>
      <c r="H63" t="inlineStr">
        <is>
          <t>19 November 2014</t>
        </is>
      </c>
      <c r="I63" s="2" t="n">
        <v>46234</v>
      </c>
      <c r="J63" t="inlineStr">
        <is>
          <t>Disetujui</t>
        </is>
      </c>
      <c r="K63" t="n">
        <v>30</v>
      </c>
      <c r="L63" t="inlineStr">
        <is>
          <t>31 Juli 2026</t>
        </is>
      </c>
      <c r="M63" t="inlineStr">
        <is>
          <t>Konstruksi Gedung Lainnya</t>
        </is>
      </c>
      <c r="N63" t="inlineStr">
        <is>
          <t>K</t>
        </is>
      </c>
      <c r="O63" t="inlineStr">
        <is>
          <t>20230727</t>
        </is>
      </c>
      <c r="P63" t="inlineStr">
        <is>
          <t>Riau</t>
        </is>
      </c>
      <c r="Q63" t="inlineStr"/>
    </row>
    <row r="64">
      <c r="A64" t="inlineStr">
        <is>
          <t>BUANA DWI PERSADA</t>
        </is>
      </c>
      <c r="B64" t="inlineStr">
        <is>
          <t>Kota Bontang</t>
        </is>
      </c>
      <c r="C64" t="inlineStr">
        <is>
          <t>085245918020</t>
        </is>
      </c>
      <c r="D64" t="inlineStr">
        <is>
          <t>buanadwipersada@ymail.com</t>
        </is>
      </c>
      <c r="E64" t="inlineStr">
        <is>
          <t>https://lpjk.pu.go.id/search-badan-usaha-detail/MmNZYysrcUpxRWZRbkhWVmxYWHhNUT09</t>
        </is>
      </c>
      <c r="F64" t="n">
        <v>1</v>
      </c>
      <c r="G64" t="inlineStr">
        <is>
          <t>BS004</t>
        </is>
      </c>
      <c r="H64" t="inlineStr">
        <is>
          <t>4 Januari 2002</t>
        </is>
      </c>
      <c r="I64" s="2" t="n">
        <v>46234</v>
      </c>
      <c r="J64" t="inlineStr">
        <is>
          <t>Permohonan Perpanjangan</t>
        </is>
      </c>
      <c r="K64" t="n">
        <v>30</v>
      </c>
      <c r="L64" t="inlineStr">
        <is>
          <t>31 Juli 2026</t>
        </is>
      </c>
      <c r="M64" t="inlineStr">
        <is>
          <t>Konstruksi Jaringan Irigasi dan Drainase</t>
        </is>
      </c>
      <c r="N64" t="inlineStr">
        <is>
          <t>K</t>
        </is>
      </c>
      <c r="O64" t="inlineStr">
        <is>
          <t>20230801</t>
        </is>
      </c>
      <c r="P64" t="inlineStr">
        <is>
          <t>Kalimantan Timur</t>
        </is>
      </c>
      <c r="Q64" t="inlineStr"/>
    </row>
    <row r="65">
      <c r="A65" t="inlineStr">
        <is>
          <t>BUMI MEGA WAHANA</t>
        </is>
      </c>
      <c r="B65" t="inlineStr">
        <is>
          <t>Kab. Bone</t>
        </is>
      </c>
      <c r="C65" t="inlineStr">
        <is>
          <t>082385554777</t>
        </is>
      </c>
      <c r="D65" t="inlineStr">
        <is>
          <t>cv_bumuputra.wahana@yahoo.com</t>
        </is>
      </c>
      <c r="E65" t="inlineStr">
        <is>
          <t>https://lpjk.pu.go.id/search-badan-usaha-detail/UEFiMm5SZ3BKcE1FOHhkb3N6NURVZz09</t>
        </is>
      </c>
      <c r="F65" t="n">
        <v>1</v>
      </c>
      <c r="G65" t="inlineStr">
        <is>
          <t>BS004</t>
        </is>
      </c>
      <c r="H65" t="inlineStr">
        <is>
          <t>20 Januari 2017</t>
        </is>
      </c>
      <c r="I65" s="2" t="n">
        <v>46234</v>
      </c>
      <c r="J65" t="inlineStr">
        <is>
          <t>Disetujui</t>
        </is>
      </c>
      <c r="K65" t="n">
        <v>30</v>
      </c>
      <c r="L65" t="inlineStr">
        <is>
          <t>31 Juli 2026</t>
        </is>
      </c>
      <c r="M65" t="inlineStr">
        <is>
          <t>Konstruksi Jaringan Irigasi dan Drainase</t>
        </is>
      </c>
      <c r="N65" t="inlineStr">
        <is>
          <t>K</t>
        </is>
      </c>
      <c r="O65" t="inlineStr">
        <is>
          <t>20230708</t>
        </is>
      </c>
      <c r="P65" t="inlineStr">
        <is>
          <t>Sulawesi Selatan</t>
        </is>
      </c>
      <c r="Q65" t="inlineStr"/>
    </row>
    <row r="66">
      <c r="A66" t="inlineStr">
        <is>
          <t>BUMI PERWIRA</t>
        </is>
      </c>
      <c r="B66" t="inlineStr">
        <is>
          <t>Kab. Banyuwangi</t>
        </is>
      </c>
      <c r="C66" t="inlineStr">
        <is>
          <t>081333797460</t>
        </is>
      </c>
      <c r="D66" t="inlineStr">
        <is>
          <t>bumiperwira22@gmail.com</t>
        </is>
      </c>
      <c r="E66" t="inlineStr">
        <is>
          <t>https://lpjk.pu.go.id/search-badan-usaha-detail/V1NTUE8wVDNJN3JSSWF2ZS9TVUtZQT09</t>
        </is>
      </c>
      <c r="F66" t="n">
        <v>2</v>
      </c>
      <c r="G66" t="inlineStr">
        <is>
          <t>BG005, BG006</t>
        </is>
      </c>
      <c r="H66" t="inlineStr">
        <is>
          <t>4 November 2015</t>
        </is>
      </c>
      <c r="I66" s="2" t="n">
        <v>46234</v>
      </c>
      <c r="J66" t="inlineStr">
        <is>
          <t>Disetujui</t>
        </is>
      </c>
      <c r="K66" t="n">
        <v>30</v>
      </c>
      <c r="L66" t="inlineStr">
        <is>
          <t>31 Juli 2026</t>
        </is>
      </c>
      <c r="M66" t="inlineStr">
        <is>
          <t>Konstruksi Gedung Kesehatan, Konstruksi Gedung Pendidikan</t>
        </is>
      </c>
      <c r="N66" t="inlineStr">
        <is>
          <t>K</t>
        </is>
      </c>
      <c r="O66" t="inlineStr">
        <is>
          <t>20230731</t>
        </is>
      </c>
      <c r="P66" t="inlineStr">
        <is>
          <t>Jawa Timur</t>
        </is>
      </c>
      <c r="Q66" t="inlineStr"/>
    </row>
    <row r="67">
      <c r="A67" t="inlineStr">
        <is>
          <t>CAHAYA ALIKA ABADI</t>
        </is>
      </c>
      <c r="B67" t="inlineStr">
        <is>
          <t>Kab. Minahasa</t>
        </is>
      </c>
      <c r="C67" t="inlineStr">
        <is>
          <t>08124438787</t>
        </is>
      </c>
      <c r="D67" t="inlineStr">
        <is>
          <t>cahayaalikaabadi.cv@gmail.com</t>
        </is>
      </c>
      <c r="E67" t="inlineStr">
        <is>
          <t>https://lpjk.pu.go.id/search-badan-usaha-detail/R1FFbUlFYmFLL2xPSzVkMy9TZ3JwZz09</t>
        </is>
      </c>
      <c r="F67" t="n">
        <v>1</v>
      </c>
      <c r="G67" t="inlineStr">
        <is>
          <t>BG006</t>
        </is>
      </c>
      <c r="H67" t="inlineStr">
        <is>
          <t>6 Oktober 2021</t>
        </is>
      </c>
      <c r="I67" s="2" t="n">
        <v>46234</v>
      </c>
      <c r="J67" t="inlineStr">
        <is>
          <t>Disetujui</t>
        </is>
      </c>
      <c r="K67" t="n">
        <v>30</v>
      </c>
      <c r="L67" t="inlineStr">
        <is>
          <t>31 Juli 2026</t>
        </is>
      </c>
      <c r="M67" t="inlineStr">
        <is>
          <t>Konstruksi Gedung Pendidikan</t>
        </is>
      </c>
      <c r="N67" t="inlineStr">
        <is>
          <t>K</t>
        </is>
      </c>
      <c r="O67" t="inlineStr">
        <is>
          <t>20230801</t>
        </is>
      </c>
      <c r="P67" t="inlineStr">
        <is>
          <t>Sulawesi Utara</t>
        </is>
      </c>
      <c r="Q67" t="inlineStr"/>
    </row>
    <row r="68">
      <c r="A68" t="inlineStr">
        <is>
          <t>CAHAYA CREMONA KONSTRUKSI</t>
        </is>
      </c>
      <c r="B68" t="inlineStr">
        <is>
          <t>Kab. Batanghari</t>
        </is>
      </c>
      <c r="C68" t="inlineStr">
        <is>
          <t>082299387009</t>
        </is>
      </c>
      <c r="D68" t="inlineStr">
        <is>
          <t>cremona014@gmail.com</t>
        </is>
      </c>
      <c r="E68" t="inlineStr">
        <is>
          <t>https://lpjk.pu.go.id/search-badan-usaha-detail/bmgwWHoyb1N4bVlpTWlBZVZ3bEdYUT09</t>
        </is>
      </c>
      <c r="F68" t="n">
        <v>4</v>
      </c>
      <c r="G68" t="inlineStr">
        <is>
          <t>BG005, BG006, BG008, BS010</t>
        </is>
      </c>
      <c r="H68" t="inlineStr">
        <is>
          <t>2 Oktober 2019</t>
        </is>
      </c>
      <c r="I68" s="2" t="n">
        <v>46234</v>
      </c>
      <c r="J68" t="inlineStr">
        <is>
          <t>Disetujui</t>
        </is>
      </c>
      <c r="K68" t="n">
        <v>30</v>
      </c>
      <c r="L68" t="inlineStr">
        <is>
          <t>31 Juli 2026</t>
        </is>
      </c>
      <c r="M68" t="inlineStr">
        <is>
          <t>Konstruksi Bangunan Prasarana Sumber Daya Air, Konstruksi Gedung Kesehatan, Konstruksi Gedung Pendidikan, Konstruksi Gedung Tempat Hiburan dan Olahraga</t>
        </is>
      </c>
      <c r="N68" t="inlineStr">
        <is>
          <t>K</t>
        </is>
      </c>
      <c r="O68" t="inlineStr">
        <is>
          <t>20230731</t>
        </is>
      </c>
      <c r="P68" t="inlineStr">
        <is>
          <t>Jambi</t>
        </is>
      </c>
      <c r="Q68" t="inlineStr"/>
    </row>
    <row r="69">
      <c r="A69" t="inlineStr">
        <is>
          <t>CAHAYA EFATA</t>
        </is>
      </c>
      <c r="B69" t="inlineStr">
        <is>
          <t>Kab. Sintang</t>
        </is>
      </c>
      <c r="C69" t="inlineStr">
        <is>
          <t>081347755859</t>
        </is>
      </c>
      <c r="D69" t="inlineStr">
        <is>
          <t>cvcahayaefata@gmail.com</t>
        </is>
      </c>
      <c r="E69" t="inlineStr">
        <is>
          <t>https://lpjk.pu.go.id/search-badan-usaha-detail/b3BZYk00dm1kZ1FwN05FU1FVeXo0UT09</t>
        </is>
      </c>
      <c r="F69" t="n">
        <v>1</v>
      </c>
      <c r="G69" t="inlineStr">
        <is>
          <t>BS004</t>
        </is>
      </c>
      <c r="H69" t="inlineStr">
        <is>
          <t>12 Juni 2007</t>
        </is>
      </c>
      <c r="I69" s="2" t="n">
        <v>46234</v>
      </c>
      <c r="J69" t="inlineStr">
        <is>
          <t>Disetujui</t>
        </is>
      </c>
      <c r="K69" t="n">
        <v>30</v>
      </c>
      <c r="L69" t="inlineStr">
        <is>
          <t>31 Juli 2026</t>
        </is>
      </c>
      <c r="M69" t="inlineStr">
        <is>
          <t>Konstruksi Jaringan Irigasi dan Drainase</t>
        </is>
      </c>
      <c r="N69" t="inlineStr">
        <is>
          <t>K</t>
        </is>
      </c>
      <c r="O69" t="inlineStr">
        <is>
          <t>20230717</t>
        </is>
      </c>
      <c r="P69" t="inlineStr">
        <is>
          <t>Kalimantan Barat</t>
        </is>
      </c>
      <c r="Q69" t="inlineStr"/>
    </row>
    <row r="70">
      <c r="A70" t="inlineStr">
        <is>
          <t>CAHAYA MELATI</t>
        </is>
      </c>
      <c r="B70" t="inlineStr">
        <is>
          <t>Kab. Bantaeng</t>
        </is>
      </c>
      <c r="C70" t="inlineStr">
        <is>
          <t>082328072733</t>
        </is>
      </c>
      <c r="D70" t="inlineStr">
        <is>
          <t>cvcahayamelat9@gmail.com</t>
        </is>
      </c>
      <c r="E70" t="inlineStr">
        <is>
          <t>https://lpjk.pu.go.id/search-badan-usaha-detail/cHo3dVdSK2c5ZVNnZHBpWWRUSmFOQT09</t>
        </is>
      </c>
      <c r="F70" t="n">
        <v>1</v>
      </c>
      <c r="G70" t="inlineStr">
        <is>
          <t>BG006</t>
        </is>
      </c>
      <c r="H70" t="inlineStr">
        <is>
          <t>12 November 1997</t>
        </is>
      </c>
      <c r="I70" s="2" t="n">
        <v>46234</v>
      </c>
      <c r="J70" t="inlineStr">
        <is>
          <t>Disetujui</t>
        </is>
      </c>
      <c r="K70" t="n">
        <v>30</v>
      </c>
      <c r="L70" t="inlineStr">
        <is>
          <t>31 Juli 2026</t>
        </is>
      </c>
      <c r="M70" t="inlineStr">
        <is>
          <t>Konstruksi Gedung Pendidikan</t>
        </is>
      </c>
      <c r="N70" t="inlineStr">
        <is>
          <t>K</t>
        </is>
      </c>
      <c r="O70" t="inlineStr">
        <is>
          <t>20230731</t>
        </is>
      </c>
      <c r="P70" t="inlineStr">
        <is>
          <t>Sulawesi Selatan</t>
        </is>
      </c>
      <c r="Q70" t="inlineStr"/>
    </row>
    <row r="71">
      <c r="A71" t="inlineStr">
        <is>
          <t>CAHAYA SALJU ABADI</t>
        </is>
      </c>
      <c r="B71" t="inlineStr">
        <is>
          <t>Kab. Mimika</t>
        </is>
      </c>
      <c r="C71" t="inlineStr">
        <is>
          <t>085231523527</t>
        </is>
      </c>
      <c r="D71" t="inlineStr">
        <is>
          <t>cahayasaljuabadi@gmail.com</t>
        </is>
      </c>
      <c r="E71" t="inlineStr">
        <is>
          <t>https://lpjk.pu.go.id/search-badan-usaha-detail/ZVNPMlBzWUoyRnRxeDF3c29RUzVoZz09</t>
        </is>
      </c>
      <c r="F71" t="n">
        <v>2</v>
      </c>
      <c r="G71" t="inlineStr">
        <is>
          <t>BG006, BG009</t>
        </is>
      </c>
      <c r="H71" t="inlineStr">
        <is>
          <t>23 September 2021</t>
        </is>
      </c>
      <c r="I71" s="2" t="n">
        <v>46234</v>
      </c>
      <c r="J71" t="inlineStr">
        <is>
          <t>Disetujui</t>
        </is>
      </c>
      <c r="K71" t="n">
        <v>30</v>
      </c>
      <c r="L71" t="inlineStr">
        <is>
          <t>31 Juli 2026</t>
        </is>
      </c>
      <c r="M71" t="inlineStr">
        <is>
          <t>Konstruksi Gedung Lainnya, Konstruksi Gedung Pendidikan</t>
        </is>
      </c>
      <c r="N71" t="inlineStr">
        <is>
          <t>K</t>
        </is>
      </c>
      <c r="O71" t="inlineStr">
        <is>
          <t>20230729</t>
        </is>
      </c>
      <c r="P71" t="inlineStr">
        <is>
          <t>Papua</t>
        </is>
      </c>
      <c r="Q71" t="inlineStr"/>
    </row>
    <row r="72">
      <c r="A72" t="inlineStr">
        <is>
          <t>CAHAYA SEJAHTERA ABADI</t>
        </is>
      </c>
      <c r="B72" t="inlineStr">
        <is>
          <t>Kab. Merauke</t>
        </is>
      </c>
      <c r="C72" t="inlineStr">
        <is>
          <t>082141049134</t>
        </is>
      </c>
      <c r="D72" t="inlineStr">
        <is>
          <t>cahayasejahteraabadi235@gmail.com</t>
        </is>
      </c>
      <c r="E72" t="inlineStr">
        <is>
          <t>https://lpjk.pu.go.id/search-badan-usaha-detail/S0xTSG1rY3pMTHBYQTJqWnpYNExQZz09</t>
        </is>
      </c>
      <c r="F72" t="n">
        <v>2</v>
      </c>
      <c r="G72" t="inlineStr">
        <is>
          <t>BS004, BS010</t>
        </is>
      </c>
      <c r="H72" t="inlineStr">
        <is>
          <t>6 Februari 2018</t>
        </is>
      </c>
      <c r="I72" s="2" t="n">
        <v>46234</v>
      </c>
      <c r="J72" t="inlineStr">
        <is>
          <t>Disetujui</t>
        </is>
      </c>
      <c r="K72" t="n">
        <v>30</v>
      </c>
      <c r="L72" t="inlineStr">
        <is>
          <t>31 Juli 2026</t>
        </is>
      </c>
      <c r="M72" t="inlineStr">
        <is>
          <t>Konstruksi Bangunan Prasarana Sumber Daya Air, Konstruksi Jaringan Irigasi dan Drainase</t>
        </is>
      </c>
      <c r="N72" t="inlineStr">
        <is>
          <t>K</t>
        </is>
      </c>
      <c r="O72" t="inlineStr">
        <is>
          <t>20230726</t>
        </is>
      </c>
      <c r="P72" t="inlineStr">
        <is>
          <t>Papua</t>
        </is>
      </c>
      <c r="Q72" t="inlineStr"/>
    </row>
    <row r="73">
      <c r="A73" t="inlineStr">
        <is>
          <t>CINTA PERUBAHAN</t>
        </is>
      </c>
      <c r="B73" t="inlineStr">
        <is>
          <t>Kab. Aceh Tenggara</t>
        </is>
      </c>
      <c r="C73" t="inlineStr">
        <is>
          <t>085275220353</t>
        </is>
      </c>
      <c r="D73" t="inlineStr">
        <is>
          <t>cvcintaperubahan@gmail.com</t>
        </is>
      </c>
      <c r="E73" t="inlineStr">
        <is>
          <t>https://lpjk.pu.go.id/search-badan-usaha-detail/QjRSY3M4MDRXYU91TEllK2VNWmt2UT09</t>
        </is>
      </c>
      <c r="F73" t="n">
        <v>2</v>
      </c>
      <c r="G73" t="inlineStr">
        <is>
          <t>BG001, BG009</t>
        </is>
      </c>
      <c r="H73" t="inlineStr">
        <is>
          <t>4 Oktober 2017</t>
        </is>
      </c>
      <c r="I73" s="2" t="n">
        <v>46234</v>
      </c>
      <c r="J73" t="inlineStr">
        <is>
          <t>Disetujui</t>
        </is>
      </c>
      <c r="K73" t="n">
        <v>30</v>
      </c>
      <c r="L73" t="inlineStr">
        <is>
          <t>31 Juli 2026</t>
        </is>
      </c>
      <c r="M73" t="inlineStr">
        <is>
          <t>Konstruksi Gedung Hunian, Konstruksi Gedung Lainnya</t>
        </is>
      </c>
      <c r="N73" t="inlineStr">
        <is>
          <t>K</t>
        </is>
      </c>
      <c r="O73" t="inlineStr">
        <is>
          <t>20230619, 20230621</t>
        </is>
      </c>
      <c r="P73" t="inlineStr">
        <is>
          <t>Aceh</t>
        </is>
      </c>
      <c r="Q73" t="inlineStr"/>
    </row>
    <row r="74">
      <c r="A74" t="inlineStr">
        <is>
          <t>CIPTA DINAMIK PERKASA</t>
        </is>
      </c>
      <c r="B74" t="inlineStr">
        <is>
          <t>Kota Palembang</t>
        </is>
      </c>
      <c r="C74" t="inlineStr">
        <is>
          <t>082185678988</t>
        </is>
      </c>
      <c r="D74" t="inlineStr">
        <is>
          <t>cv.ciptadinamikperkasa@gmail.com</t>
        </is>
      </c>
      <c r="E74" t="inlineStr">
        <is>
          <t>https://lpjk.pu.go.id/search-badan-usaha-detail/UWZmRlk0OHEvckVCTnMveXVUdUN5QT09</t>
        </is>
      </c>
      <c r="F74" t="n">
        <v>2</v>
      </c>
      <c r="G74" t="inlineStr">
        <is>
          <t>BG001, BG005</t>
        </is>
      </c>
      <c r="H74" t="inlineStr">
        <is>
          <t>2 Desember 2019</t>
        </is>
      </c>
      <c r="I74" s="2" t="n">
        <v>46234</v>
      </c>
      <c r="J74" t="inlineStr">
        <is>
          <t>Disetujui</t>
        </is>
      </c>
      <c r="K74" t="n">
        <v>30</v>
      </c>
      <c r="L74" t="inlineStr">
        <is>
          <t>31 Juli 2026</t>
        </is>
      </c>
      <c r="M74" t="inlineStr">
        <is>
          <t>Konstruksi Gedung Hunian, Konstruksi Gedung Kesehatan</t>
        </is>
      </c>
      <c r="N74" t="inlineStr">
        <is>
          <t>K</t>
        </is>
      </c>
      <c r="O74" t="inlineStr">
        <is>
          <t>20230731</t>
        </is>
      </c>
      <c r="P74" t="inlineStr">
        <is>
          <t>Sumatera Selatan</t>
        </is>
      </c>
      <c r="Q74" t="inlineStr"/>
    </row>
    <row r="75">
      <c r="A75" t="inlineStr">
        <is>
          <t>CIPTA TEKNIK UTAMA</t>
        </is>
      </c>
      <c r="B75" t="inlineStr">
        <is>
          <t>Kota Adm. Jakarta Utara</t>
        </is>
      </c>
      <c r="C75" t="inlineStr">
        <is>
          <t>0216530794</t>
        </is>
      </c>
      <c r="D75" t="inlineStr">
        <is>
          <t>admin@ctu-indonesia.com</t>
        </is>
      </c>
      <c r="E75" t="inlineStr">
        <is>
          <t>https://lpjk.pu.go.id/search-badan-usaha-detail/bFFtejNkaXkzQzJvNkVSUjdGQkhSZz09</t>
        </is>
      </c>
      <c r="F75" t="n">
        <v>1</v>
      </c>
      <c r="G75" t="inlineStr">
        <is>
          <t>BS009</t>
        </is>
      </c>
      <c r="H75" t="inlineStr">
        <is>
          <t>27 Januari 2015</t>
        </is>
      </c>
      <c r="I75" s="2" t="n">
        <v>46234</v>
      </c>
      <c r="J75" t="inlineStr">
        <is>
          <t>Pembekuan</t>
        </is>
      </c>
      <c r="K75" t="n">
        <v>30</v>
      </c>
      <c r="L75" t="inlineStr">
        <is>
          <t>31 Juli 2026</t>
        </is>
      </c>
      <c r="M75" t="inlineStr">
        <is>
          <t>Konstruksi Sentral Telekomunikasi</t>
        </is>
      </c>
      <c r="N75" t="inlineStr">
        <is>
          <t>M</t>
        </is>
      </c>
      <c r="O75" t="inlineStr">
        <is>
          <t>20230801</t>
        </is>
      </c>
      <c r="P75" t="inlineStr">
        <is>
          <t>DKI Jakarta</t>
        </is>
      </c>
      <c r="Q75" t="inlineStr"/>
    </row>
    <row r="76">
      <c r="A76" t="inlineStr">
        <is>
          <t>CITRA EXACT ENGINEERING</t>
        </is>
      </c>
      <c r="B76" t="inlineStr">
        <is>
          <t>Kab. Badung</t>
        </is>
      </c>
      <c r="C76" t="inlineStr">
        <is>
          <t>0361766632</t>
        </is>
      </c>
      <c r="D76" t="inlineStr">
        <is>
          <t>ptcee_bali@pttjs.com</t>
        </is>
      </c>
      <c r="E76" t="inlineStr">
        <is>
          <t>https://lpjk.pu.go.id/search-badan-usaha-detail/SEhDanJLeUY2bHAvMWxyS3NQY2hoQT09</t>
        </is>
      </c>
      <c r="F76" t="n">
        <v>1</v>
      </c>
      <c r="G76" t="inlineStr">
        <is>
          <t>BS001</t>
        </is>
      </c>
      <c r="H76" t="inlineStr">
        <is>
          <t>3 Oktober 1991</t>
        </is>
      </c>
      <c r="I76" s="2" t="n">
        <v>46234</v>
      </c>
      <c r="J76" t="inlineStr">
        <is>
          <t>Disetujui</t>
        </is>
      </c>
      <c r="K76" t="n">
        <v>30</v>
      </c>
      <c r="L76" t="inlineStr">
        <is>
          <t>31 Juli 2026</t>
        </is>
      </c>
      <c r="M76" t="inlineStr">
        <is>
          <t>Konstruksi Bangunan Sipil Jalan</t>
        </is>
      </c>
      <c r="N76" t="inlineStr">
        <is>
          <t>M</t>
        </is>
      </c>
      <c r="O76" t="inlineStr">
        <is>
          <t>20230725</t>
        </is>
      </c>
      <c r="P76" t="inlineStr">
        <is>
          <t>Bali</t>
        </is>
      </c>
      <c r="Q76" t="inlineStr"/>
    </row>
    <row r="77">
      <c r="A77" t="inlineStr">
        <is>
          <t>DARMA JASA</t>
        </is>
      </c>
      <c r="B77" t="inlineStr">
        <is>
          <t>Kab. Sukabumi</t>
        </is>
      </c>
      <c r="C77" t="inlineStr">
        <is>
          <t>081310414218</t>
        </is>
      </c>
      <c r="D77" t="inlineStr">
        <is>
          <t>cvdarmajasa1970@yahoo.com</t>
        </is>
      </c>
      <c r="E77" t="inlineStr">
        <is>
          <t>https://lpjk.pu.go.id/search-badan-usaha-detail/cWRvdzVKSm5FQWdCcEJ2dkdpdFlqUT09</t>
        </is>
      </c>
      <c r="F77" t="n">
        <v>1</v>
      </c>
      <c r="G77" t="inlineStr">
        <is>
          <t>BG008</t>
        </is>
      </c>
      <c r="H77" t="inlineStr">
        <is>
          <t>30 Oktober 2008</t>
        </is>
      </c>
      <c r="I77" s="2" t="n">
        <v>46234</v>
      </c>
      <c r="J77" t="inlineStr">
        <is>
          <t>Disetujui</t>
        </is>
      </c>
      <c r="K77" t="n">
        <v>30</v>
      </c>
      <c r="L77" t="inlineStr">
        <is>
          <t>31 Juli 2026</t>
        </is>
      </c>
      <c r="M77" t="inlineStr">
        <is>
          <t>Konstruksi Gedung Tempat Hiburan dan Olahraga</t>
        </is>
      </c>
      <c r="N77" t="inlineStr">
        <is>
          <t>K</t>
        </is>
      </c>
      <c r="O77" t="inlineStr">
        <is>
          <t>20230713</t>
        </is>
      </c>
      <c r="P77" t="inlineStr">
        <is>
          <t>Jawa Barat</t>
        </is>
      </c>
      <c r="Q77" t="inlineStr"/>
    </row>
    <row r="78">
      <c r="A78" t="inlineStr">
        <is>
          <t>DIAN PERSADA</t>
        </is>
      </c>
      <c r="B78" t="inlineStr">
        <is>
          <t>Kota Metro</t>
        </is>
      </c>
      <c r="C78" t="inlineStr">
        <is>
          <t>082179914361</t>
        </is>
      </c>
      <c r="D78" t="inlineStr">
        <is>
          <t>cvdianpersada82@gmail.com</t>
        </is>
      </c>
      <c r="E78" t="inlineStr">
        <is>
          <t>https://lpjk.pu.go.id/search-badan-usaha-detail/cVBZVjYzYnJuSStaZ3AyaTlWR2FnZz09</t>
        </is>
      </c>
      <c r="F78" t="n">
        <v>2</v>
      </c>
      <c r="G78" t="inlineStr">
        <is>
          <t>BS001, BS004</t>
        </is>
      </c>
      <c r="H78" t="inlineStr">
        <is>
          <t>17 Januari 2003</t>
        </is>
      </c>
      <c r="I78" s="2" t="n">
        <v>46234</v>
      </c>
      <c r="J78" t="inlineStr">
        <is>
          <t>Disetujui, Pencabutan</t>
        </is>
      </c>
      <c r="K78" t="n">
        <v>30</v>
      </c>
      <c r="L78" t="inlineStr">
        <is>
          <t>31 Juli 2026</t>
        </is>
      </c>
      <c r="M78" t="inlineStr">
        <is>
          <t>Konstruksi Bangunan Sipil Jalan, Konstruksi Jaringan Irigasi dan Drainase</t>
        </is>
      </c>
      <c r="N78" t="inlineStr">
        <is>
          <t>K</t>
        </is>
      </c>
      <c r="O78" t="inlineStr">
        <is>
          <t>20230731</t>
        </is>
      </c>
      <c r="P78" t="inlineStr">
        <is>
          <t>Lampung</t>
        </is>
      </c>
      <c r="Q78" t="inlineStr"/>
    </row>
    <row r="79">
      <c r="A79" t="inlineStr">
        <is>
          <t>DIGITAL VISUAL INDO</t>
        </is>
      </c>
      <c r="B79" t="inlineStr">
        <is>
          <t>Kota Adm. Jakarta Barat</t>
        </is>
      </c>
      <c r="C79" t="inlineStr">
        <is>
          <t>081212787626</t>
        </is>
      </c>
      <c r="D79" t="inlineStr">
        <is>
          <t>dvi.digitalvisualindo@gmail.com</t>
        </is>
      </c>
      <c r="E79" t="inlineStr">
        <is>
          <t>https://lpjk.pu.go.id/search-badan-usaha-detail/RGYvS1d4WC9kSU9ZdGR5MHhKTElzQT09</t>
        </is>
      </c>
      <c r="F79" t="n">
        <v>1</v>
      </c>
      <c r="G79" t="inlineStr">
        <is>
          <t>BS007</t>
        </is>
      </c>
      <c r="H79" t="inlineStr">
        <is>
          <t>2 Juni 2023</t>
        </is>
      </c>
      <c r="I79" s="2" t="n">
        <v>46234</v>
      </c>
      <c r="J79" t="inlineStr">
        <is>
          <t>Disetujui</t>
        </is>
      </c>
      <c r="K79" t="n">
        <v>30</v>
      </c>
      <c r="L79" t="inlineStr">
        <is>
          <t>31 Juli 2026</t>
        </is>
      </c>
      <c r="M79" t="inlineStr">
        <is>
          <t>Konstruksi Bangunan Sipil Elektrikal</t>
        </is>
      </c>
      <c r="N79" t="inlineStr">
        <is>
          <t>K</t>
        </is>
      </c>
      <c r="O79" t="inlineStr">
        <is>
          <t>20230717</t>
        </is>
      </c>
      <c r="P79" t="inlineStr">
        <is>
          <t>DKI Jakarta</t>
        </is>
      </c>
      <c r="Q79" t="inlineStr"/>
    </row>
    <row r="80">
      <c r="A80" t="inlineStr">
        <is>
          <t>DUA BELAS JAYA</t>
        </is>
      </c>
      <c r="B80" t="inlineStr">
        <is>
          <t>Kab. Probolinggo</t>
        </is>
      </c>
      <c r="C80" t="inlineStr">
        <is>
          <t>082334126734</t>
        </is>
      </c>
      <c r="D80" t="inlineStr">
        <is>
          <t>duabelasjaya53@gmail.com</t>
        </is>
      </c>
      <c r="E80" t="inlineStr">
        <is>
          <t>https://lpjk.pu.go.id/search-badan-usaha-detail/bERlRVZFYXlDclBjdThZbXAySlZ0QT09</t>
        </is>
      </c>
      <c r="F80" t="n">
        <v>1</v>
      </c>
      <c r="G80" t="inlineStr">
        <is>
          <t>BS005</t>
        </is>
      </c>
      <c r="H80" t="inlineStr">
        <is>
          <t>28 Februari 2023</t>
        </is>
      </c>
      <c r="I80" s="2" t="n">
        <v>46234</v>
      </c>
      <c r="J80" t="inlineStr">
        <is>
          <t>Disetujui</t>
        </is>
      </c>
      <c r="K80" t="n">
        <v>30</v>
      </c>
      <c r="L80" t="inlineStr">
        <is>
          <t>31 Juli 2026</t>
        </is>
      </c>
      <c r="M80" t="inlineStr">
        <is>
          <t>Konstruksi Bangunan Sipil Pengolahan Air Bersih</t>
        </is>
      </c>
      <c r="N80" t="inlineStr">
        <is>
          <t>K</t>
        </is>
      </c>
      <c r="O80" t="inlineStr">
        <is>
          <t>20230721</t>
        </is>
      </c>
      <c r="P80" t="inlineStr">
        <is>
          <t>Jawa Timur</t>
        </is>
      </c>
      <c r="Q80" t="inlineStr"/>
    </row>
    <row r="81">
      <c r="A81" t="inlineStr">
        <is>
          <t>DUA BELAS PUTRA</t>
        </is>
      </c>
      <c r="B81" t="inlineStr">
        <is>
          <t>Kab. Bungo</t>
        </is>
      </c>
      <c r="C81" t="inlineStr">
        <is>
          <t>082180142323</t>
        </is>
      </c>
      <c r="D81" t="inlineStr">
        <is>
          <t>duabelas_putra@yahoo.com</t>
        </is>
      </c>
      <c r="E81" t="inlineStr">
        <is>
          <t>https://lpjk.pu.go.id/search-badan-usaha-detail/OVJnalRTMjhtZEltb0trNlJnSmt1Zz09</t>
        </is>
      </c>
      <c r="F81" t="n">
        <v>1</v>
      </c>
      <c r="G81" t="inlineStr">
        <is>
          <t>BG004</t>
        </is>
      </c>
      <c r="H81" t="inlineStr">
        <is>
          <t>11 Desember 2009</t>
        </is>
      </c>
      <c r="I81" s="2" t="n">
        <v>46234</v>
      </c>
      <c r="J81" t="inlineStr">
        <is>
          <t>Disetujui</t>
        </is>
      </c>
      <c r="K81" t="n">
        <v>30</v>
      </c>
      <c r="L81" t="inlineStr">
        <is>
          <t>31 Juli 2026</t>
        </is>
      </c>
      <c r="M81" t="inlineStr">
        <is>
          <t>Konstruksi Gedung Perbelanjaan</t>
        </is>
      </c>
      <c r="N81" t="inlineStr">
        <is>
          <t>K</t>
        </is>
      </c>
      <c r="O81" t="inlineStr">
        <is>
          <t>20230728</t>
        </is>
      </c>
      <c r="P81" t="inlineStr">
        <is>
          <t>Jambi</t>
        </is>
      </c>
      <c r="Q81" t="inlineStr"/>
    </row>
    <row r="82">
      <c r="A82" t="inlineStr">
        <is>
          <t>EKO PUTRA BUNGSU</t>
        </is>
      </c>
      <c r="B82" t="inlineStr">
        <is>
          <t>Kab. Manokwari</t>
        </is>
      </c>
      <c r="C82" t="inlineStr">
        <is>
          <t>081245536675</t>
        </is>
      </c>
      <c r="D82" t="inlineStr">
        <is>
          <t>elisabetullo817@gmail.com</t>
        </is>
      </c>
      <c r="E82" t="inlineStr">
        <is>
          <t>https://lpjk.pu.go.id/search-badan-usaha-detail/RWdVYWFKcVNUeWswSVZFRWtQanlCQT09</t>
        </is>
      </c>
      <c r="F82" t="n">
        <v>1</v>
      </c>
      <c r="G82" t="inlineStr">
        <is>
          <t>BG006</t>
        </is>
      </c>
      <c r="H82" t="inlineStr">
        <is>
          <t>22 Juni 2023</t>
        </is>
      </c>
      <c r="I82" s="2" t="n">
        <v>46234</v>
      </c>
      <c r="J82" t="inlineStr">
        <is>
          <t>Pencabutan</t>
        </is>
      </c>
      <c r="K82" t="n">
        <v>30</v>
      </c>
      <c r="L82" t="inlineStr">
        <is>
          <t>31 Juli 2026</t>
        </is>
      </c>
      <c r="M82" t="inlineStr">
        <is>
          <t>Konstruksi Gedung Pendidikan</t>
        </is>
      </c>
      <c r="N82" t="inlineStr">
        <is>
          <t>K</t>
        </is>
      </c>
      <c r="O82" t="inlineStr">
        <is>
          <t>20230728</t>
        </is>
      </c>
      <c r="P82" t="inlineStr">
        <is>
          <t>Papua Barat</t>
        </is>
      </c>
      <c r="Q82" t="inlineStr"/>
    </row>
    <row r="83">
      <c r="A83" t="inlineStr">
        <is>
          <t>ERNY</t>
        </is>
      </c>
      <c r="B83" t="inlineStr">
        <is>
          <t>Kab. Cianjur</t>
        </is>
      </c>
      <c r="C83" t="inlineStr">
        <is>
          <t>08190621988</t>
        </is>
      </c>
      <c r="D83" t="inlineStr">
        <is>
          <t>cv.erny@hotmail.com</t>
        </is>
      </c>
      <c r="E83" t="inlineStr">
        <is>
          <t>https://lpjk.pu.go.id/search-badan-usaha-detail/V0pERDNEL2Zjb0NOdWZXY2lTRnhCQT09</t>
        </is>
      </c>
      <c r="F83" t="n">
        <v>1</v>
      </c>
      <c r="G83" t="inlineStr">
        <is>
          <t>BS001</t>
        </is>
      </c>
      <c r="H83" t="inlineStr">
        <is>
          <t>20 Januari 2017</t>
        </is>
      </c>
      <c r="I83" s="2" t="n">
        <v>46234</v>
      </c>
      <c r="J83" t="inlineStr">
        <is>
          <t>Disetujui</t>
        </is>
      </c>
      <c r="K83" t="n">
        <v>30</v>
      </c>
      <c r="L83" t="inlineStr">
        <is>
          <t>31 Juli 2026</t>
        </is>
      </c>
      <c r="M83" t="inlineStr">
        <is>
          <t>Konstruksi Bangunan Sipil Jalan</t>
        </is>
      </c>
      <c r="N83" t="inlineStr">
        <is>
          <t>K</t>
        </is>
      </c>
      <c r="O83" t="inlineStr">
        <is>
          <t>20230708</t>
        </is>
      </c>
      <c r="P83" t="inlineStr">
        <is>
          <t>Jawa Barat</t>
        </is>
      </c>
      <c r="Q83" t="inlineStr"/>
    </row>
    <row r="84">
      <c r="A84" t="inlineStr">
        <is>
          <t>FAJAR BERKARYA</t>
        </is>
      </c>
      <c r="B84" t="inlineStr">
        <is>
          <t>Kota Kendari</t>
        </is>
      </c>
      <c r="C84" t="inlineStr">
        <is>
          <t>081242279900</t>
        </is>
      </c>
      <c r="D84" t="inlineStr">
        <is>
          <t>firdauzirio@gmail.com</t>
        </is>
      </c>
      <c r="E84" t="inlineStr">
        <is>
          <t>https://lpjk.pu.go.id/search-badan-usaha-detail/eWgwcmR4NlpsRGpRbGJYUnE4SHd6dz09</t>
        </is>
      </c>
      <c r="F84" t="n">
        <v>3</v>
      </c>
      <c r="G84" t="inlineStr">
        <is>
          <t>BG001, BG004, BS010</t>
        </is>
      </c>
      <c r="H84" t="inlineStr">
        <is>
          <t>10 April 2017</t>
        </is>
      </c>
      <c r="I84" s="2" t="n">
        <v>46234</v>
      </c>
      <c r="J84" t="inlineStr">
        <is>
          <t>Disetujui</t>
        </is>
      </c>
      <c r="K84" t="n">
        <v>30</v>
      </c>
      <c r="L84" t="inlineStr">
        <is>
          <t>31 Juli 2026</t>
        </is>
      </c>
      <c r="M84" t="inlineStr">
        <is>
          <t>Konstruksi Bangunan Prasarana Sumber Daya Air, Konstruksi Gedung Hunian, Konstruksi Gedung Perbelanjaan</t>
        </is>
      </c>
      <c r="N84" t="inlineStr">
        <is>
          <t>K</t>
        </is>
      </c>
      <c r="O84" t="inlineStr">
        <is>
          <t>20230728</t>
        </is>
      </c>
      <c r="P84" t="inlineStr">
        <is>
          <t>Sulawesi Tenggara</t>
        </is>
      </c>
      <c r="Q84" t="inlineStr"/>
    </row>
    <row r="85">
      <c r="A85" t="inlineStr">
        <is>
          <t>GALINDO</t>
        </is>
      </c>
      <c r="B85" t="inlineStr">
        <is>
          <t>Kab. Pasuruan</t>
        </is>
      </c>
      <c r="C85" t="inlineStr">
        <is>
          <t>81337679528</t>
        </is>
      </c>
      <c r="D85" t="inlineStr">
        <is>
          <t>cvgalindo123@gmail.com</t>
        </is>
      </c>
      <c r="E85" t="inlineStr">
        <is>
          <t>https://lpjk.pu.go.id/search-badan-usaha-detail/ZjA3TVZmVVowR2ttb2xLNHpEMmJadz09</t>
        </is>
      </c>
      <c r="F85" t="n">
        <v>2</v>
      </c>
      <c r="G85" t="inlineStr">
        <is>
          <t>BS001, BS004</t>
        </is>
      </c>
      <c r="H85" t="inlineStr">
        <is>
          <t>17 Desember 2003</t>
        </is>
      </c>
      <c r="I85" s="2" t="n">
        <v>46234</v>
      </c>
      <c r="J85" t="inlineStr">
        <is>
          <t>Pencabutan</t>
        </is>
      </c>
      <c r="K85" t="n">
        <v>30</v>
      </c>
      <c r="L85" t="inlineStr">
        <is>
          <t>31 Juli 2026</t>
        </is>
      </c>
      <c r="M85" t="inlineStr">
        <is>
          <t>Konstruksi Bangunan Sipil Jalan, Konstruksi Jaringan Irigasi dan Drainase</t>
        </is>
      </c>
      <c r="N85" t="inlineStr">
        <is>
          <t>K</t>
        </is>
      </c>
      <c r="O85" t="inlineStr">
        <is>
          <t>20230728</t>
        </is>
      </c>
      <c r="P85" t="inlineStr">
        <is>
          <t>Jawa Timur</t>
        </is>
      </c>
      <c r="Q85" t="inlineStr"/>
    </row>
    <row r="86">
      <c r="A86" t="inlineStr">
        <is>
          <t>GARDU JAYA</t>
        </is>
      </c>
      <c r="B86" t="inlineStr">
        <is>
          <t>Kab. Majalengka</t>
        </is>
      </c>
      <c r="C86" t="inlineStr">
        <is>
          <t>082295834224</t>
        </is>
      </c>
      <c r="D86" t="inlineStr">
        <is>
          <t>jajasukarjana0489@gmail.com</t>
        </is>
      </c>
      <c r="E86" t="inlineStr">
        <is>
          <t>https://lpjk.pu.go.id/search-badan-usaha-detail/Q1A5ZCt4VUtDWWpwVnFpU0h6cm9iZz09</t>
        </is>
      </c>
      <c r="F86" t="n">
        <v>2</v>
      </c>
      <c r="G86" t="inlineStr">
        <is>
          <t>BG006, BS004</t>
        </is>
      </c>
      <c r="H86" t="inlineStr">
        <is>
          <t>6 Juli 2018</t>
        </is>
      </c>
      <c r="I86" s="2" t="n">
        <v>46234</v>
      </c>
      <c r="J86" t="inlineStr">
        <is>
          <t>Disetujui</t>
        </is>
      </c>
      <c r="K86" t="n">
        <v>30</v>
      </c>
      <c r="L86" t="inlineStr">
        <is>
          <t>31 Juli 2026</t>
        </is>
      </c>
      <c r="M86" t="inlineStr">
        <is>
          <t>Konstruksi Gedung Pendidikan, Konstruksi Jaringan Irigasi dan Drainase</t>
        </is>
      </c>
      <c r="N86" t="inlineStr">
        <is>
          <t>K</t>
        </is>
      </c>
      <c r="O86" t="inlineStr">
        <is>
          <t>20230724</t>
        </is>
      </c>
      <c r="P86" t="inlineStr">
        <is>
          <t>Jawa Barat</t>
        </is>
      </c>
      <c r="Q86" t="inlineStr"/>
    </row>
    <row r="87">
      <c r="A87" t="inlineStr">
        <is>
          <t>GRANARY REKA CIPTA</t>
        </is>
      </c>
      <c r="B87" t="inlineStr">
        <is>
          <t>Kota Bandung</t>
        </is>
      </c>
      <c r="C87" t="inlineStr">
        <is>
          <t>0227507235</t>
        </is>
      </c>
      <c r="D87" t="inlineStr">
        <is>
          <t>granaryrekacipta35@gmail.com</t>
        </is>
      </c>
      <c r="E87" t="inlineStr">
        <is>
          <t>https://lpjk.pu.go.id/search-badan-usaha-detail/ZklyU1lkS0ZMNDg1ZVFUbEJaTCtyQT09</t>
        </is>
      </c>
      <c r="F87" t="n">
        <v>1</v>
      </c>
      <c r="G87" t="inlineStr">
        <is>
          <t>BS009</t>
        </is>
      </c>
      <c r="H87" t="inlineStr">
        <is>
          <t>22 Mei 2006</t>
        </is>
      </c>
      <c r="I87" s="2" t="n">
        <v>46234</v>
      </c>
      <c r="J87" t="inlineStr">
        <is>
          <t>Disetujui</t>
        </is>
      </c>
      <c r="K87" t="n">
        <v>30</v>
      </c>
      <c r="L87" t="inlineStr">
        <is>
          <t>31 Juli 2026</t>
        </is>
      </c>
      <c r="M87" t="inlineStr">
        <is>
          <t>Konstruksi Sentral Telekomunikasi</t>
        </is>
      </c>
      <c r="N87" t="inlineStr">
        <is>
          <t>K</t>
        </is>
      </c>
      <c r="O87" t="inlineStr">
        <is>
          <t>20230718</t>
        </is>
      </c>
      <c r="P87" t="inlineStr">
        <is>
          <t>Jawa Barat</t>
        </is>
      </c>
      <c r="Q87" t="inlineStr"/>
    </row>
    <row r="88">
      <c r="A88" t="inlineStr">
        <is>
          <t>GRHA PUTERA KARSA</t>
        </is>
      </c>
      <c r="B88" t="inlineStr">
        <is>
          <t>Kota Bandung</t>
        </is>
      </c>
      <c r="C88" t="inlineStr">
        <is>
          <t>0895411640115</t>
        </is>
      </c>
      <c r="D88" t="inlineStr">
        <is>
          <t>grhaputerakarsa@gmail.com</t>
        </is>
      </c>
      <c r="E88" t="inlineStr">
        <is>
          <t>https://lpjk.pu.go.id/search-badan-usaha-detail/M0QwejB0WmtwQ1RaZ3J6UGIvYVI4dz09</t>
        </is>
      </c>
      <c r="F88" t="n">
        <v>3</v>
      </c>
      <c r="G88" t="inlineStr">
        <is>
          <t>BG002, BG005, BG006</t>
        </is>
      </c>
      <c r="H88" t="inlineStr">
        <is>
          <t>15 Januari 2021</t>
        </is>
      </c>
      <c r="I88" s="2" t="n">
        <v>46234</v>
      </c>
      <c r="J88" t="inlineStr">
        <is>
          <t>Disetujui</t>
        </is>
      </c>
      <c r="K88" t="n">
        <v>30</v>
      </c>
      <c r="L88" t="inlineStr">
        <is>
          <t>31 Juli 2026</t>
        </is>
      </c>
      <c r="M88" t="inlineStr">
        <is>
          <t>Konstruksi Gedung Kesehatan, Konstruksi Gedung Pendidikan, Konstruksi Gedung Perkantoran</t>
        </is>
      </c>
      <c r="N88" t="inlineStr">
        <is>
          <t>K</t>
        </is>
      </c>
      <c r="O88" t="inlineStr">
        <is>
          <t>20230731, 20230801</t>
        </is>
      </c>
      <c r="P88" t="inlineStr">
        <is>
          <t>Jawa Barat</t>
        </is>
      </c>
      <c r="Q88" t="inlineStr"/>
    </row>
    <row r="89">
      <c r="A89" t="inlineStr">
        <is>
          <t>GUGUN PUTRA</t>
        </is>
      </c>
      <c r="B89" t="inlineStr">
        <is>
          <t>Kab. Ciamis</t>
        </is>
      </c>
      <c r="C89" t="inlineStr">
        <is>
          <t>085223735948</t>
        </is>
      </c>
      <c r="D89" t="inlineStr">
        <is>
          <t>cv.gugunputra@yahoo.co.id</t>
        </is>
      </c>
      <c r="E89" t="inlineStr">
        <is>
          <t>https://lpjk.pu.go.id/search-badan-usaha-detail/OFNQbkd5ZUJRQy9VdnUwaE41OStYdz09</t>
        </is>
      </c>
      <c r="F89" t="n">
        <v>3</v>
      </c>
      <c r="G89" t="inlineStr">
        <is>
          <t>BG002, BG004, BG009</t>
        </is>
      </c>
      <c r="H89" t="inlineStr">
        <is>
          <t>14 Maret 1984</t>
        </is>
      </c>
      <c r="I89" s="2" t="n">
        <v>46234</v>
      </c>
      <c r="J89" t="inlineStr">
        <is>
          <t>Disetujui</t>
        </is>
      </c>
      <c r="K89" t="n">
        <v>30</v>
      </c>
      <c r="L89" t="inlineStr">
        <is>
          <t>31 Juli 2026</t>
        </is>
      </c>
      <c r="M89" t="inlineStr">
        <is>
          <t>Konstruksi Gedung Lainnya, Konstruksi Gedung Perbelanjaan, Konstruksi Gedung Perkantoran</t>
        </is>
      </c>
      <c r="N89" t="inlineStr">
        <is>
          <t>K</t>
        </is>
      </c>
      <c r="O89" t="inlineStr">
        <is>
          <t>20230728</t>
        </is>
      </c>
      <c r="P89" t="inlineStr">
        <is>
          <t>Jawa Barat</t>
        </is>
      </c>
      <c r="Q89" t="inlineStr"/>
    </row>
    <row r="90">
      <c r="A90" t="inlineStr">
        <is>
          <t>GUMILAR</t>
        </is>
      </c>
      <c r="B90" t="inlineStr">
        <is>
          <t>Kab. Indramayu</t>
        </is>
      </c>
      <c r="C90" t="inlineStr">
        <is>
          <t>085222999158</t>
        </is>
      </c>
      <c r="D90" t="inlineStr">
        <is>
          <t>cv.gumilar72@gmail.com</t>
        </is>
      </c>
      <c r="E90" t="inlineStr">
        <is>
          <t>https://lpjk.pu.go.id/search-badan-usaha-detail/dStiK3YxRGZIZnFNZWY0bHMzcmJiZz09</t>
        </is>
      </c>
      <c r="F90" t="n">
        <v>2</v>
      </c>
      <c r="G90" t="inlineStr">
        <is>
          <t>BG005, BG006</t>
        </is>
      </c>
      <c r="H90" t="inlineStr">
        <is>
          <t>7 Agustus 2001</t>
        </is>
      </c>
      <c r="I90" s="2" t="n">
        <v>46234</v>
      </c>
      <c r="J90" t="inlineStr">
        <is>
          <t>Disetujui</t>
        </is>
      </c>
      <c r="K90" t="n">
        <v>30</v>
      </c>
      <c r="L90" t="inlineStr">
        <is>
          <t>31 Juli 2026</t>
        </is>
      </c>
      <c r="M90" t="inlineStr">
        <is>
          <t>Konstruksi Gedung Kesehatan, Konstruksi Gedung Pendidikan</t>
        </is>
      </c>
      <c r="N90" t="inlineStr">
        <is>
          <t>K</t>
        </is>
      </c>
      <c r="O90" t="inlineStr">
        <is>
          <t>20230726, 20230728</t>
        </is>
      </c>
      <c r="P90" t="inlineStr">
        <is>
          <t>Jawa Barat</t>
        </is>
      </c>
      <c r="Q90" t="inlineStr"/>
    </row>
    <row r="91">
      <c r="A91" t="inlineStr">
        <is>
          <t>HARMONI YASA</t>
        </is>
      </c>
      <c r="B91" t="inlineStr">
        <is>
          <t>Kab. Bantul</t>
        </is>
      </c>
      <c r="C91" t="inlineStr">
        <is>
          <t>085868086388</t>
        </is>
      </c>
      <c r="D91" t="inlineStr">
        <is>
          <t>sukimandadapan@gmail.com</t>
        </is>
      </c>
      <c r="E91" t="inlineStr">
        <is>
          <t>https://lpjk.pu.go.id/search-badan-usaha-detail/NzV6SlFLRGliWnlhcUZNMXVKOTRrdz09</t>
        </is>
      </c>
      <c r="F91" t="n">
        <v>4</v>
      </c>
      <c r="G91" t="inlineStr">
        <is>
          <t>BG006, BS001, BS004, BS005</t>
        </is>
      </c>
      <c r="H91" t="inlineStr">
        <is>
          <t>5 Februari 1999</t>
        </is>
      </c>
      <c r="I91" s="2" t="n">
        <v>46234</v>
      </c>
      <c r="J91" t="inlineStr">
        <is>
          <t>Disetujui</t>
        </is>
      </c>
      <c r="K91" t="n">
        <v>30</v>
      </c>
      <c r="L91" t="inlineStr">
        <is>
          <t>31 Juli 2026</t>
        </is>
      </c>
      <c r="M91" t="inlineStr">
        <is>
          <t>Konstruksi Bangunan Sipil Jalan, Konstruksi Bangunan Sipil Pengolahan Air Bersih, Konstruksi Gedung Pendidikan, Konstruksi Jaringan Irigasi dan Drainase</t>
        </is>
      </c>
      <c r="N91" t="inlineStr">
        <is>
          <t>K</t>
        </is>
      </c>
      <c r="O91" t="inlineStr">
        <is>
          <t>20230719</t>
        </is>
      </c>
      <c r="P91" t="inlineStr">
        <is>
          <t>DI Yogyakarta</t>
        </is>
      </c>
      <c r="Q91" t="inlineStr"/>
    </row>
    <row r="92">
      <c r="A92" t="inlineStr">
        <is>
          <t>HASTA KARYA</t>
        </is>
      </c>
      <c r="B92" t="inlineStr">
        <is>
          <t>Kab. Jember</t>
        </is>
      </c>
      <c r="C92" t="inlineStr">
        <is>
          <t>085100841037</t>
        </is>
      </c>
      <c r="D92" t="inlineStr">
        <is>
          <t>aristiawanw@yahoo.co.id</t>
        </is>
      </c>
      <c r="E92" t="inlineStr">
        <is>
          <t>https://lpjk.pu.go.id/search-badan-usaha-detail/bkg0NGhJb0t1VHZ2N1AzNjREUFllUT09</t>
        </is>
      </c>
      <c r="F92" t="n">
        <v>1</v>
      </c>
      <c r="G92" t="inlineStr">
        <is>
          <t>BS001</t>
        </is>
      </c>
      <c r="H92" t="inlineStr">
        <is>
          <t>19 April 1974</t>
        </is>
      </c>
      <c r="I92" s="2" t="n">
        <v>46234</v>
      </c>
      <c r="J92" t="inlineStr">
        <is>
          <t>Pencabutan</t>
        </is>
      </c>
      <c r="K92" t="n">
        <v>30</v>
      </c>
      <c r="L92" t="inlineStr">
        <is>
          <t>31 Juli 2026</t>
        </is>
      </c>
      <c r="M92" t="inlineStr">
        <is>
          <t>Konstruksi Bangunan Sipil Jalan</t>
        </is>
      </c>
      <c r="N92" t="inlineStr">
        <is>
          <t>K</t>
        </is>
      </c>
      <c r="O92" t="inlineStr">
        <is>
          <t>20230728</t>
        </is>
      </c>
      <c r="P92" t="inlineStr">
        <is>
          <t>Jawa Timur</t>
        </is>
      </c>
      <c r="Q92" t="inlineStr"/>
    </row>
    <row r="93">
      <c r="A93" t="inlineStr">
        <is>
          <t>HITA KARYA JASA</t>
        </is>
      </c>
      <c r="B93" t="inlineStr">
        <is>
          <t>Kota Pekalongan</t>
        </is>
      </c>
      <c r="C93" t="inlineStr">
        <is>
          <t>085742830877</t>
        </is>
      </c>
      <c r="D93" t="inlineStr">
        <is>
          <t>hitakaryajasa@gmail.com</t>
        </is>
      </c>
      <c r="E93" t="inlineStr">
        <is>
          <t>https://lpjk.pu.go.id/search-badan-usaha-detail/ZDNudDZicm0zL0lVeDhyNWd1SnFGMFRFQ1JNd0hqRmloRG4xMGxjamVRUT0</t>
        </is>
      </c>
      <c r="F93" t="n">
        <v>3</v>
      </c>
      <c r="G93" t="inlineStr">
        <is>
          <t>RK001, RK002, RK003</t>
        </is>
      </c>
      <c r="H93" t="inlineStr">
        <is>
          <t>23 Juli 2025</t>
        </is>
      </c>
      <c r="I93" s="2" t="n">
        <v>46234</v>
      </c>
      <c r="J93" t="inlineStr">
        <is>
          <t>Disetujui</t>
        </is>
      </c>
      <c r="K93" t="n">
        <v>30</v>
      </c>
      <c r="L93" t="inlineStr">
        <is>
          <t>31 Juli 2026</t>
        </is>
      </c>
      <c r="M93" t="inlineStr">
        <is>
          <t>Jasa Rekayasa Konstruksi Bangunan Gedung Hunian dan Non Hunian, Jasa Rekayasa Pekerjaan Teknik Sipil Sumber Daya Air, Jasa Rekayasa Pekerjaan Teknik Sipil Transportasi</t>
        </is>
      </c>
      <c r="N93" t="inlineStr">
        <is>
          <t>K</t>
        </is>
      </c>
      <c r="O93" t="inlineStr">
        <is>
          <t>20221211, 20230725</t>
        </is>
      </c>
      <c r="P93" t="inlineStr">
        <is>
          <t>Jawa Tengah</t>
        </is>
      </c>
      <c r="Q93" t="inlineStr"/>
    </row>
    <row r="94">
      <c r="A94" t="inlineStr">
        <is>
          <t>INDIWA JAYA KONTRUKSI</t>
        </is>
      </c>
      <c r="B94" t="inlineStr">
        <is>
          <t>Kota Samarinda</t>
        </is>
      </c>
      <c r="C94" t="inlineStr">
        <is>
          <t>085200008769</t>
        </is>
      </c>
      <c r="D94" t="inlineStr">
        <is>
          <t>indiwa.jaya.kontruksi@gmail.com</t>
        </is>
      </c>
      <c r="E94" t="inlineStr">
        <is>
          <t>https://lpjk.pu.go.id/search-badan-usaha-detail/ZE1ROG1UK2VyR25leGRSbHBEdHF2dz09</t>
        </is>
      </c>
      <c r="F94" t="n">
        <v>3</v>
      </c>
      <c r="G94" t="inlineStr">
        <is>
          <t>BG005, BG009, BS001</t>
        </is>
      </c>
      <c r="H94" t="inlineStr">
        <is>
          <t>21 Januari 2019</t>
        </is>
      </c>
      <c r="I94" s="2" t="n">
        <v>46234</v>
      </c>
      <c r="J94" t="inlineStr">
        <is>
          <t>Disetujui</t>
        </is>
      </c>
      <c r="K94" t="n">
        <v>30</v>
      </c>
      <c r="L94" t="inlineStr">
        <is>
          <t>31 Juli 2026</t>
        </is>
      </c>
      <c r="M94" t="inlineStr">
        <is>
          <t>Konstruksi Bangunan Sipil Jalan, Konstruksi Gedung Kesehatan, Konstruksi Gedung Lainnya</t>
        </is>
      </c>
      <c r="N94" t="inlineStr">
        <is>
          <t>K</t>
        </is>
      </c>
      <c r="O94" t="inlineStr">
        <is>
          <t>20230729</t>
        </is>
      </c>
      <c r="P94" t="inlineStr">
        <is>
          <t>Kalimantan Timur</t>
        </is>
      </c>
      <c r="Q94" t="inlineStr"/>
    </row>
    <row r="95">
      <c r="A95" t="inlineStr">
        <is>
          <t>INTERLOCK KARYA BERJAYA</t>
        </is>
      </c>
      <c r="B95" t="inlineStr">
        <is>
          <t>Kota Batam</t>
        </is>
      </c>
      <c r="C95" t="inlineStr">
        <is>
          <t>07787436678</t>
        </is>
      </c>
      <c r="D95" t="inlineStr">
        <is>
          <t>ikb_btm@yahoo.co.id</t>
        </is>
      </c>
      <c r="E95" t="inlineStr">
        <is>
          <t>https://lpjk.pu.go.id/search-badan-usaha-detail/UlhsLy9YV3pGbXRsR1IxY3RPdWVVZz09</t>
        </is>
      </c>
      <c r="F95" t="n">
        <v>2</v>
      </c>
      <c r="G95" t="inlineStr">
        <is>
          <t>BS001, BS004</t>
        </is>
      </c>
      <c r="H95" t="inlineStr">
        <is>
          <t>12 April 2006</t>
        </is>
      </c>
      <c r="I95" s="2" t="n">
        <v>46234</v>
      </c>
      <c r="J95" t="inlineStr">
        <is>
          <t>Disetujui</t>
        </is>
      </c>
      <c r="K95" t="n">
        <v>30</v>
      </c>
      <c r="L95" t="inlineStr">
        <is>
          <t>31 Juli 2026</t>
        </is>
      </c>
      <c r="M95" t="inlineStr">
        <is>
          <t>Konstruksi Bangunan Sipil Jalan, Konstruksi Jaringan Irigasi dan Drainase</t>
        </is>
      </c>
      <c r="N95" t="inlineStr">
        <is>
          <t>K</t>
        </is>
      </c>
      <c r="O95" t="inlineStr">
        <is>
          <t>20230502</t>
        </is>
      </c>
      <c r="P95" t="inlineStr">
        <is>
          <t>Kepulauan Riau</t>
        </is>
      </c>
      <c r="Q95" t="inlineStr"/>
    </row>
    <row r="96">
      <c r="A96" t="inlineStr">
        <is>
          <t>INTI BUANA RAYA</t>
        </is>
      </c>
      <c r="B96" t="inlineStr">
        <is>
          <t>Kab. Konawe</t>
        </is>
      </c>
      <c r="C96" t="inlineStr">
        <is>
          <t>082226333165</t>
        </is>
      </c>
      <c r="D96" t="inlineStr">
        <is>
          <t>inti_buanaraya@yahoo.co.id</t>
        </is>
      </c>
      <c r="E96" t="inlineStr">
        <is>
          <t>https://lpjk.pu.go.id/search-badan-usaha-detail/azZqMDQ5N2dDc1l0MFNIQ0Q4WjVDQT09</t>
        </is>
      </c>
      <c r="F96" t="n">
        <v>1</v>
      </c>
      <c r="G96" t="inlineStr">
        <is>
          <t>BG001</t>
        </is>
      </c>
      <c r="H96" t="inlineStr">
        <is>
          <t>30 Oktober 2014</t>
        </is>
      </c>
      <c r="I96" s="2" t="n">
        <v>46234</v>
      </c>
      <c r="J96" t="inlineStr">
        <is>
          <t>Disetujui</t>
        </is>
      </c>
      <c r="K96" t="n">
        <v>30</v>
      </c>
      <c r="L96" t="inlineStr">
        <is>
          <t>31 Juli 2026</t>
        </is>
      </c>
      <c r="M96" t="inlineStr">
        <is>
          <t>Konstruksi Gedung Hunian</t>
        </is>
      </c>
      <c r="N96" t="inlineStr">
        <is>
          <t>K</t>
        </is>
      </c>
      <c r="O96" t="inlineStr">
        <is>
          <t>20230801</t>
        </is>
      </c>
      <c r="P96" t="inlineStr">
        <is>
          <t>Sulawesi Tenggara</t>
        </is>
      </c>
      <c r="Q96" t="inlineStr"/>
    </row>
    <row r="97">
      <c r="A97" t="inlineStr">
        <is>
          <t>INTI KARYA SENTOSA</t>
        </is>
      </c>
      <c r="B97" t="inlineStr">
        <is>
          <t>Kab. Temanggung</t>
        </is>
      </c>
      <c r="C97" t="inlineStr">
        <is>
          <t>082137236767</t>
        </is>
      </c>
      <c r="D97" t="inlineStr">
        <is>
          <t>intikaryasentosa@gmail.com</t>
        </is>
      </c>
      <c r="E97" t="inlineStr">
        <is>
          <t>https://lpjk.pu.go.id/search-badan-usaha-detail/UzBmcFJlcGdySVpMRlFiWEhpd2NoQT09</t>
        </is>
      </c>
      <c r="F97" t="n">
        <v>1</v>
      </c>
      <c r="G97" t="inlineStr">
        <is>
          <t>BS001</t>
        </is>
      </c>
      <c r="H97" t="inlineStr">
        <is>
          <t>28 Februari 2017</t>
        </is>
      </c>
      <c r="I97" s="2" t="n">
        <v>46234</v>
      </c>
      <c r="J97" t="inlineStr">
        <is>
          <t>Disetujui</t>
        </is>
      </c>
      <c r="K97" t="n">
        <v>30</v>
      </c>
      <c r="L97" t="inlineStr">
        <is>
          <t>31 Juli 2026</t>
        </is>
      </c>
      <c r="M97" t="inlineStr">
        <is>
          <t>Konstruksi Bangunan Sipil Jalan</t>
        </is>
      </c>
      <c r="N97" t="inlineStr">
        <is>
          <t>K</t>
        </is>
      </c>
      <c r="O97" t="inlineStr">
        <is>
          <t>20230731</t>
        </is>
      </c>
      <c r="P97" t="inlineStr">
        <is>
          <t>Jawa Tengah</t>
        </is>
      </c>
      <c r="Q97" t="inlineStr"/>
    </row>
    <row r="98">
      <c r="A98" t="inlineStr">
        <is>
          <t>ISTIQOMAH</t>
        </is>
      </c>
      <c r="B98" t="inlineStr">
        <is>
          <t>Kab. Hulu Sungai Tengah</t>
        </is>
      </c>
      <c r="C98" t="inlineStr">
        <is>
          <t>085250005025</t>
        </is>
      </c>
      <c r="D98" t="inlineStr">
        <is>
          <t>cv.istiqomah2016@gmail.com</t>
        </is>
      </c>
      <c r="E98" t="inlineStr">
        <is>
          <t>https://lpjk.pu.go.id/search-badan-usaha-detail/WVpNVjJsOUdhWnFxY2dkdjIxblNwZz09</t>
        </is>
      </c>
      <c r="F98" t="n">
        <v>2</v>
      </c>
      <c r="G98" t="inlineStr">
        <is>
          <t>BS004</t>
        </is>
      </c>
      <c r="H98" t="inlineStr">
        <is>
          <t>31 Mei 1980</t>
        </is>
      </c>
      <c r="I98" s="2" t="n">
        <v>46234</v>
      </c>
      <c r="J98" t="inlineStr">
        <is>
          <t>Disetujui</t>
        </is>
      </c>
      <c r="K98" t="n">
        <v>30</v>
      </c>
      <c r="L98" t="inlineStr">
        <is>
          <t>31 Juli 2026</t>
        </is>
      </c>
      <c r="M98" t="inlineStr">
        <is>
          <t>Konstruksi Jaringan Irigasi dan Drainase</t>
        </is>
      </c>
      <c r="N98" t="inlineStr">
        <is>
          <t>K</t>
        </is>
      </c>
      <c r="O98" t="inlineStr">
        <is>
          <t>20230725</t>
        </is>
      </c>
      <c r="P98" t="inlineStr">
        <is>
          <t>Kalimantan Selatan</t>
        </is>
      </c>
      <c r="Q98" t="inlineStr"/>
    </row>
    <row r="99">
      <c r="A99" t="inlineStr">
        <is>
          <t>JASA MANUNGGAL</t>
        </is>
      </c>
      <c r="B99" t="inlineStr">
        <is>
          <t>Kab. Ngawi</t>
        </is>
      </c>
      <c r="C99" t="inlineStr">
        <is>
          <t>082147684375</t>
        </is>
      </c>
      <c r="D99" t="inlineStr">
        <is>
          <t>jasamanunggalcv@yahoo.co.id</t>
        </is>
      </c>
      <c r="E99" t="inlineStr">
        <is>
          <t>https://lpjk.pu.go.id/search-badan-usaha-detail/cGJpQUNvY1FEN3lIa2Z0WWYySW1sUT09</t>
        </is>
      </c>
      <c r="F99" t="n">
        <v>1</v>
      </c>
      <c r="G99" t="inlineStr">
        <is>
          <t>BS001</t>
        </is>
      </c>
      <c r="H99" t="inlineStr">
        <is>
          <t>17 Januari 2006</t>
        </is>
      </c>
      <c r="I99" s="2" t="n">
        <v>46234</v>
      </c>
      <c r="J99" t="inlineStr">
        <is>
          <t>Disetujui</t>
        </is>
      </c>
      <c r="K99" t="n">
        <v>30</v>
      </c>
      <c r="L99" t="inlineStr">
        <is>
          <t>31 Juli 2026</t>
        </is>
      </c>
      <c r="M99" t="inlineStr">
        <is>
          <t>Konstruksi Bangunan Sipil Jalan</t>
        </is>
      </c>
      <c r="N99" t="inlineStr">
        <is>
          <t>K</t>
        </is>
      </c>
      <c r="O99" t="inlineStr">
        <is>
          <t>20230718</t>
        </is>
      </c>
      <c r="P99" t="inlineStr">
        <is>
          <t>Jawa Timur</t>
        </is>
      </c>
      <c r="Q99" t="inlineStr"/>
    </row>
    <row r="100">
      <c r="A100" t="inlineStr">
        <is>
          <t>JAVAS KONSTRUKSI</t>
        </is>
      </c>
      <c r="B100" t="inlineStr">
        <is>
          <t>Kab. Bojonegoro</t>
        </is>
      </c>
      <c r="C100" t="inlineStr">
        <is>
          <t>085230494949</t>
        </is>
      </c>
      <c r="D100" t="inlineStr">
        <is>
          <t>javaskonstruksicv@gmail.com</t>
        </is>
      </c>
      <c r="E100" t="inlineStr">
        <is>
          <t>https://lpjk.pu.go.id/search-badan-usaha-detail/UlJVVTRnZys0YUdMYW9mMHJ5RzZGZz09</t>
        </is>
      </c>
      <c r="F100" t="n">
        <v>2</v>
      </c>
      <c r="G100" t="inlineStr">
        <is>
          <t>BS002</t>
        </is>
      </c>
      <c r="H100" t="inlineStr">
        <is>
          <t>12 Mei 2023</t>
        </is>
      </c>
      <c r="I100" s="2" t="n">
        <v>46234</v>
      </c>
      <c r="J100" t="inlineStr">
        <is>
          <t>Disetujui</t>
        </is>
      </c>
      <c r="K100" t="n">
        <v>30</v>
      </c>
      <c r="L100" t="inlineStr">
        <is>
          <t>31 Juli 2026</t>
        </is>
      </c>
      <c r="M100" t="inlineStr">
        <is>
          <t>Bangunan Sipil Jembatan, Jalan Layang, Fly Over, dan Underpass</t>
        </is>
      </c>
      <c r="N100" t="inlineStr">
        <is>
          <t>K</t>
        </is>
      </c>
      <c r="O100" t="inlineStr">
        <is>
          <t>20230724</t>
        </is>
      </c>
      <c r="P100" t="inlineStr">
        <is>
          <t>Jawa Timur</t>
        </is>
      </c>
      <c r="Q100" t="inlineStr"/>
    </row>
    <row r="101">
      <c r="A101" t="inlineStr">
        <is>
          <t>JAYA SEKAWAN ABADI</t>
        </is>
      </c>
      <c r="B101" t="inlineStr">
        <is>
          <t>Kab. Batu Bara</t>
        </is>
      </c>
      <c r="C101" t="inlineStr">
        <is>
          <t>082304278009</t>
        </is>
      </c>
      <c r="D101" t="inlineStr">
        <is>
          <t>jayasekawanabadi@gmail.com</t>
        </is>
      </c>
      <c r="E101" t="inlineStr">
        <is>
          <t>https://lpjk.pu.go.id/search-badan-usaha-detail/dDNQY3d4QklMb1U4VDhFZzlnaCtlQT09</t>
        </is>
      </c>
      <c r="F101" t="n">
        <v>1</v>
      </c>
      <c r="G101" t="inlineStr">
        <is>
          <t>BS001</t>
        </is>
      </c>
      <c r="H101" t="inlineStr">
        <is>
          <t>19 Februari 2021</t>
        </is>
      </c>
      <c r="I101" s="2" t="n">
        <v>46234</v>
      </c>
      <c r="J101" t="inlineStr">
        <is>
          <t>Disetujui</t>
        </is>
      </c>
      <c r="K101" t="n">
        <v>30</v>
      </c>
      <c r="L101" t="inlineStr">
        <is>
          <t>31 Juli 2026</t>
        </is>
      </c>
      <c r="M101" t="inlineStr">
        <is>
          <t>Konstruksi Bangunan Sipil Jalan</t>
        </is>
      </c>
      <c r="N101" t="inlineStr">
        <is>
          <t>K</t>
        </is>
      </c>
      <c r="O101" t="inlineStr">
        <is>
          <t>20230717</t>
        </is>
      </c>
      <c r="P101" t="inlineStr">
        <is>
          <t>Sumatera Utara</t>
        </is>
      </c>
      <c r="Q101" t="inlineStr"/>
    </row>
    <row r="102">
      <c r="A102" t="inlineStr">
        <is>
          <t>JAYA TEHNIKA PERKASA</t>
        </is>
      </c>
      <c r="B102" t="inlineStr">
        <is>
          <t>Kab. Tuban</t>
        </is>
      </c>
      <c r="C102" t="inlineStr">
        <is>
          <t>08123245953</t>
        </is>
      </c>
      <c r="D102" t="inlineStr">
        <is>
          <t>jt_perkasa@yahoo.co.id</t>
        </is>
      </c>
      <c r="E102" t="inlineStr">
        <is>
          <t>https://lpjk.pu.go.id/search-badan-usaha-detail/Rnc3RmUvV2NIdlBjRXdHcGNzTWRJUT09</t>
        </is>
      </c>
      <c r="F102" t="n">
        <v>1</v>
      </c>
      <c r="G102" t="inlineStr">
        <is>
          <t>BG003</t>
        </is>
      </c>
      <c r="H102" t="inlineStr">
        <is>
          <t>16 April 2014</t>
        </is>
      </c>
      <c r="I102" s="2" t="n">
        <v>46234</v>
      </c>
      <c r="J102" t="inlineStr">
        <is>
          <t>Disetujui</t>
        </is>
      </c>
      <c r="K102" t="n">
        <v>30</v>
      </c>
      <c r="L102" t="inlineStr">
        <is>
          <t>31 Juli 2026</t>
        </is>
      </c>
      <c r="M102" t="inlineStr">
        <is>
          <t>Konstruksi Gedung Industri</t>
        </is>
      </c>
      <c r="N102" t="inlineStr">
        <is>
          <t>K</t>
        </is>
      </c>
      <c r="O102" t="inlineStr">
        <is>
          <t>20230727</t>
        </is>
      </c>
      <c r="P102" t="inlineStr">
        <is>
          <t>Jawa Timur</t>
        </is>
      </c>
      <c r="Q102" t="inlineStr"/>
    </row>
    <row r="103">
      <c r="A103" t="inlineStr">
        <is>
          <t>KARANG INDAH KARYA</t>
        </is>
      </c>
      <c r="B103" t="inlineStr">
        <is>
          <t>Kab. Bojonegoro</t>
        </is>
      </c>
      <c r="C103" t="inlineStr">
        <is>
          <t>0816564101</t>
        </is>
      </c>
      <c r="D103" t="inlineStr">
        <is>
          <t>karangindahkarya@gmail.com</t>
        </is>
      </c>
      <c r="E103" t="inlineStr">
        <is>
          <t>https://lpjk.pu.go.id/search-badan-usaha-detail/dWZnN0xPQmFLcnF3RnpBMGlablZqQT09</t>
        </is>
      </c>
      <c r="F103" t="n">
        <v>9</v>
      </c>
      <c r="G103" t="inlineStr">
        <is>
          <t>BG002, BG005, BS004</t>
        </is>
      </c>
      <c r="H103" t="inlineStr">
        <is>
          <t>5 Februari 2015</t>
        </is>
      </c>
      <c r="I103" s="2" t="n">
        <v>46234</v>
      </c>
      <c r="J103" t="inlineStr">
        <is>
          <t>Disetujui</t>
        </is>
      </c>
      <c r="K103" t="n">
        <v>30</v>
      </c>
      <c r="L103" t="inlineStr">
        <is>
          <t>31 Juli 2026</t>
        </is>
      </c>
      <c r="M103" t="inlineStr">
        <is>
          <t>Konstruksi Gedung Kesehatan, Konstruksi Gedung Perkantoran, Konstruksi Jaringan Irigasi dan Drainase</t>
        </is>
      </c>
      <c r="N103" t="inlineStr">
        <is>
          <t>K</t>
        </is>
      </c>
      <c r="O103" t="inlineStr">
        <is>
          <t>20230628, 20230729</t>
        </is>
      </c>
      <c r="P103" t="inlineStr">
        <is>
          <t>Jawa Timur</t>
        </is>
      </c>
      <c r="Q103" t="inlineStr"/>
    </row>
    <row r="104">
      <c r="A104" t="inlineStr">
        <is>
          <t>KARANG SUCY TEHNIK PRATAMA</t>
        </is>
      </c>
      <c r="B104" t="inlineStr">
        <is>
          <t>Kota Padang</t>
        </is>
      </c>
      <c r="C104" t="inlineStr">
        <is>
          <t>085376417074</t>
        </is>
      </c>
      <c r="D104" t="inlineStr">
        <is>
          <t>karangsucytehnikpratamapt@yahoo.com</t>
        </is>
      </c>
      <c r="E104" t="inlineStr">
        <is>
          <t>https://lpjk.pu.go.id/search-badan-usaha-detail/SHljY0RtYk1nUzg4QTVKaVFySGhnUT09</t>
        </is>
      </c>
      <c r="F104" t="n">
        <v>3</v>
      </c>
      <c r="G104" t="inlineStr">
        <is>
          <t>BG009</t>
        </is>
      </c>
      <c r="H104" t="inlineStr">
        <is>
          <t>7 Juni 2012</t>
        </is>
      </c>
      <c r="I104" s="2" t="n">
        <v>46234</v>
      </c>
      <c r="J104" t="inlineStr">
        <is>
          <t>Disetujui</t>
        </is>
      </c>
      <c r="K104" t="n">
        <v>30</v>
      </c>
      <c r="L104" t="inlineStr">
        <is>
          <t>31 Juli 2026</t>
        </is>
      </c>
      <c r="M104" t="inlineStr">
        <is>
          <t>Konstruksi Gedung Lainnya</t>
        </is>
      </c>
      <c r="N104" t="inlineStr">
        <is>
          <t>K</t>
        </is>
      </c>
      <c r="O104" t="inlineStr">
        <is>
          <t>20230725</t>
        </is>
      </c>
      <c r="P104" t="inlineStr">
        <is>
          <t>Sumatera Barat</t>
        </is>
      </c>
      <c r="Q104" t="inlineStr"/>
    </row>
    <row r="105">
      <c r="A105" t="inlineStr">
        <is>
          <t>KARYA ABADI BERSAUDARA</t>
        </is>
      </c>
      <c r="B105" t="inlineStr">
        <is>
          <t>Kab. Banyuwangi</t>
        </is>
      </c>
      <c r="C105" t="inlineStr">
        <is>
          <t>081260199262</t>
        </is>
      </c>
      <c r="D105" t="inlineStr">
        <is>
          <t>karya_ab@yahoo.com</t>
        </is>
      </c>
      <c r="E105" t="inlineStr">
        <is>
          <t>https://lpjk.pu.go.id/search-badan-usaha-detail/bGNvbmhWcDhTa3R0UGlYUkllS3lRdz09</t>
        </is>
      </c>
      <c r="F105" t="n">
        <v>1</v>
      </c>
      <c r="G105" t="inlineStr">
        <is>
          <t>BS001</t>
        </is>
      </c>
      <c r="H105" t="inlineStr">
        <is>
          <t>22 Juni 2012</t>
        </is>
      </c>
      <c r="I105" s="2" t="n">
        <v>46234</v>
      </c>
      <c r="J105" t="inlineStr">
        <is>
          <t>Disetujui</t>
        </is>
      </c>
      <c r="K105" t="n">
        <v>30</v>
      </c>
      <c r="L105" t="inlineStr">
        <is>
          <t>31 Juli 2026</t>
        </is>
      </c>
      <c r="M105" t="inlineStr">
        <is>
          <t>Konstruksi Bangunan Sipil Jalan</t>
        </is>
      </c>
      <c r="N105" t="inlineStr">
        <is>
          <t>K</t>
        </is>
      </c>
      <c r="O105" t="inlineStr">
        <is>
          <t>20230801</t>
        </is>
      </c>
      <c r="P105" t="inlineStr">
        <is>
          <t>Jawa Timur</t>
        </is>
      </c>
      <c r="Q105" t="inlineStr"/>
    </row>
    <row r="106">
      <c r="A106" t="inlineStr">
        <is>
          <t>KARYA AGUNG BANYUWANGI</t>
        </is>
      </c>
      <c r="B106" t="inlineStr">
        <is>
          <t>Kab. Banyuwangi</t>
        </is>
      </c>
      <c r="C106" t="inlineStr">
        <is>
          <t>081285649200</t>
        </is>
      </c>
      <c r="D106" t="inlineStr">
        <is>
          <t>cvkaryaagungbanyuwangicv@gmail.com</t>
        </is>
      </c>
      <c r="E106" t="inlineStr">
        <is>
          <t>https://lpjk.pu.go.id/search-badan-usaha-detail/d3QzOE5KRGpia0hidXhNbFRqYjdQZz09</t>
        </is>
      </c>
      <c r="F106" t="n">
        <v>1</v>
      </c>
      <c r="G106" t="inlineStr">
        <is>
          <t>BG005</t>
        </is>
      </c>
      <c r="H106" t="inlineStr">
        <is>
          <t>24 Oktober 2022</t>
        </is>
      </c>
      <c r="I106" s="2" t="n">
        <v>46234</v>
      </c>
      <c r="J106" t="inlineStr">
        <is>
          <t>Disetujui</t>
        </is>
      </c>
      <c r="K106" t="n">
        <v>30</v>
      </c>
      <c r="L106" t="inlineStr">
        <is>
          <t>31 Juli 2026</t>
        </is>
      </c>
      <c r="M106" t="inlineStr">
        <is>
          <t>Konstruksi Gedung Kesehatan</t>
        </is>
      </c>
      <c r="N106" t="inlineStr">
        <is>
          <t>K</t>
        </is>
      </c>
      <c r="O106" t="inlineStr">
        <is>
          <t>20230728</t>
        </is>
      </c>
      <c r="P106" t="inlineStr">
        <is>
          <t>Jawa Timur</t>
        </is>
      </c>
      <c r="Q106" t="inlineStr"/>
    </row>
    <row r="107">
      <c r="A107" t="inlineStr">
        <is>
          <t>KARYA AGUNG GUMILAR</t>
        </is>
      </c>
      <c r="B107" t="inlineStr">
        <is>
          <t>Kab. Indramayu</t>
        </is>
      </c>
      <c r="C107" t="inlineStr">
        <is>
          <t>02345744905</t>
        </is>
      </c>
      <c r="D107" t="inlineStr">
        <is>
          <t>cv.kag72@gmail.com</t>
        </is>
      </c>
      <c r="E107" t="inlineStr">
        <is>
          <t>https://lpjk.pu.go.id/search-badan-usaha-detail/QzhoTXJIUjdOOTNwSUVDdExsU1hqdz09</t>
        </is>
      </c>
      <c r="F107" t="n">
        <v>1</v>
      </c>
      <c r="G107" t="inlineStr">
        <is>
          <t>BS001</t>
        </is>
      </c>
      <c r="H107" t="inlineStr">
        <is>
          <t>4 April 2006</t>
        </is>
      </c>
      <c r="I107" s="2" t="n">
        <v>46234</v>
      </c>
      <c r="J107" t="inlineStr">
        <is>
          <t>Disetujui</t>
        </is>
      </c>
      <c r="K107" t="n">
        <v>30</v>
      </c>
      <c r="L107" t="inlineStr">
        <is>
          <t>31 Juli 2026</t>
        </is>
      </c>
      <c r="M107" t="inlineStr">
        <is>
          <t>Konstruksi Bangunan Sipil Jalan</t>
        </is>
      </c>
      <c r="N107" t="inlineStr">
        <is>
          <t>K</t>
        </is>
      </c>
      <c r="O107" t="inlineStr">
        <is>
          <t>20230729</t>
        </is>
      </c>
      <c r="P107" t="inlineStr">
        <is>
          <t>Jawa Barat</t>
        </is>
      </c>
      <c r="Q107" t="inlineStr"/>
    </row>
    <row r="108">
      <c r="A108" t="inlineStr">
        <is>
          <t>KARYA INOVASI TERPADU</t>
        </is>
      </c>
      <c r="B108" t="inlineStr">
        <is>
          <t>Kab. Bandung</t>
        </is>
      </c>
      <c r="C108" t="inlineStr">
        <is>
          <t>081324200234</t>
        </is>
      </c>
      <c r="D108" t="inlineStr">
        <is>
          <t>karyainovasi101@gmail.com</t>
        </is>
      </c>
      <c r="E108" t="inlineStr">
        <is>
          <t>https://lpjk.pu.go.id/search-badan-usaha-detail/Nk1XeWdXTGdscHJqR3dJb0Q1K255QT09</t>
        </is>
      </c>
      <c r="F108" t="n">
        <v>1</v>
      </c>
      <c r="G108" t="inlineStr">
        <is>
          <t>BG006</t>
        </is>
      </c>
      <c r="H108" t="inlineStr">
        <is>
          <t>7 Maret 2023</t>
        </is>
      </c>
      <c r="I108" s="2" t="n">
        <v>46234</v>
      </c>
      <c r="J108" t="inlineStr">
        <is>
          <t>Disetujui</t>
        </is>
      </c>
      <c r="K108" t="n">
        <v>30</v>
      </c>
      <c r="L108" t="inlineStr">
        <is>
          <t>31 Juli 2026</t>
        </is>
      </c>
      <c r="M108" t="inlineStr">
        <is>
          <t>Konstruksi Gedung Pendidikan</t>
        </is>
      </c>
      <c r="N108" t="inlineStr">
        <is>
          <t>K</t>
        </is>
      </c>
      <c r="O108" t="inlineStr">
        <is>
          <t>20230726</t>
        </is>
      </c>
      <c r="P108" t="inlineStr">
        <is>
          <t>Jawa Barat</t>
        </is>
      </c>
      <c r="Q108" t="inlineStr"/>
    </row>
    <row r="109">
      <c r="A109" t="inlineStr">
        <is>
          <t>KARYA JOHAR KONSULTAN</t>
        </is>
      </c>
      <c r="B109" t="inlineStr">
        <is>
          <t>Kota Jayapura</t>
        </is>
      </c>
      <c r="C109" t="inlineStr">
        <is>
          <t>09675572253</t>
        </is>
      </c>
      <c r="D109" t="inlineStr">
        <is>
          <t>karya_johar@yahoo.co.id</t>
        </is>
      </c>
      <c r="E109" t="inlineStr">
        <is>
          <t>https://lpjk.pu.go.id/search-badan-usaha-detail/azVPTnN2OG5vQ2M2RXNweVBoL2orQT09</t>
        </is>
      </c>
      <c r="F109" t="n">
        <v>1</v>
      </c>
      <c r="G109" t="inlineStr">
        <is>
          <t>RK001</t>
        </is>
      </c>
      <c r="H109" t="inlineStr">
        <is>
          <t>28 Agustus 1974</t>
        </is>
      </c>
      <c r="I109" s="2" t="n">
        <v>46234</v>
      </c>
      <c r="J109" t="inlineStr">
        <is>
          <t>Disetujui</t>
        </is>
      </c>
      <c r="K109" t="n">
        <v>30</v>
      </c>
      <c r="L109" t="inlineStr">
        <is>
          <t>31 Juli 2026</t>
        </is>
      </c>
      <c r="M109" t="inlineStr">
        <is>
          <t>Jasa Rekayasa Konstruksi Bangunan Gedung Hunian dan Non Hunian</t>
        </is>
      </c>
      <c r="N109" t="inlineStr">
        <is>
          <t>K</t>
        </is>
      </c>
      <c r="O109" t="inlineStr">
        <is>
          <t>20230718</t>
        </is>
      </c>
      <c r="P109" t="inlineStr">
        <is>
          <t>Papua</t>
        </is>
      </c>
      <c r="Q109" t="inlineStr"/>
    </row>
    <row r="110">
      <c r="A110" t="inlineStr">
        <is>
          <t>KARYA KENCANA</t>
        </is>
      </c>
      <c r="B110" t="inlineStr">
        <is>
          <t>Kota Mataram</t>
        </is>
      </c>
      <c r="C110" t="inlineStr">
        <is>
          <t>081805753813</t>
        </is>
      </c>
      <c r="D110" t="inlineStr">
        <is>
          <t>oss.karyakencana@gmail.com</t>
        </is>
      </c>
      <c r="E110" t="inlineStr">
        <is>
          <t>https://lpjk.pu.go.id/search-badan-usaha-detail/VTYybk4zS0ZyNU9rUDllT244TzN5UT09</t>
        </is>
      </c>
      <c r="F110" t="n">
        <v>1</v>
      </c>
      <c r="G110" t="inlineStr">
        <is>
          <t>RK001</t>
        </is>
      </c>
      <c r="H110" t="inlineStr">
        <is>
          <t>12 Oktober 1992</t>
        </is>
      </c>
      <c r="I110" s="2" t="n">
        <v>46234</v>
      </c>
      <c r="J110" t="inlineStr">
        <is>
          <t>Disetujui</t>
        </is>
      </c>
      <c r="K110" t="n">
        <v>30</v>
      </c>
      <c r="L110" t="inlineStr">
        <is>
          <t>31 Juli 2026</t>
        </is>
      </c>
      <c r="M110" t="inlineStr">
        <is>
          <t>Jasa Rekayasa Konstruksi Bangunan Gedung Hunian dan Non Hunian</t>
        </is>
      </c>
      <c r="N110" t="inlineStr">
        <is>
          <t>K</t>
        </is>
      </c>
      <c r="O110" t="inlineStr">
        <is>
          <t>20230517</t>
        </is>
      </c>
      <c r="P110" t="inlineStr">
        <is>
          <t>Nusa Tenggara Barat</t>
        </is>
      </c>
      <c r="Q110" t="inlineStr"/>
    </row>
    <row r="111">
      <c r="A111" t="inlineStr">
        <is>
          <t>KARYA MANDIRI</t>
        </is>
      </c>
      <c r="B111" t="inlineStr">
        <is>
          <t>Kota Pontianak</t>
        </is>
      </c>
      <c r="C111" t="inlineStr">
        <is>
          <t>081345511105</t>
        </is>
      </c>
      <c r="D111" t="inlineStr">
        <is>
          <t>karya_mandiri_cv@yahoo.co.id</t>
        </is>
      </c>
      <c r="E111" t="inlineStr">
        <is>
          <t>https://lpjk.pu.go.id/search-badan-usaha-detail/VFduU2hsYVVmSDYvT1BBODFpQW0wQT09</t>
        </is>
      </c>
      <c r="F111" t="n">
        <v>1</v>
      </c>
      <c r="G111" t="inlineStr">
        <is>
          <t>BS001</t>
        </is>
      </c>
      <c r="H111" t="inlineStr">
        <is>
          <t>23 Juli 1993</t>
        </is>
      </c>
      <c r="I111" s="2" t="n">
        <v>46234</v>
      </c>
      <c r="J111" t="inlineStr">
        <is>
          <t>Disetujui</t>
        </is>
      </c>
      <c r="K111" t="n">
        <v>30</v>
      </c>
      <c r="L111" t="inlineStr">
        <is>
          <t>31 Juli 2026</t>
        </is>
      </c>
      <c r="M111" t="inlineStr">
        <is>
          <t>Konstruksi Bangunan Sipil Jalan</t>
        </is>
      </c>
      <c r="N111" t="inlineStr">
        <is>
          <t>K</t>
        </is>
      </c>
      <c r="O111" t="inlineStr">
        <is>
          <t>20230721</t>
        </is>
      </c>
      <c r="P111" t="inlineStr">
        <is>
          <t>Kalimantan Barat</t>
        </is>
      </c>
      <c r="Q111" t="inlineStr"/>
    </row>
    <row r="112">
      <c r="A112" t="inlineStr">
        <is>
          <t>KARYA MUDA</t>
        </is>
      </c>
      <c r="B112" t="inlineStr">
        <is>
          <t>Kab. Tuban</t>
        </is>
      </c>
      <c r="C112" t="inlineStr">
        <is>
          <t>085230638989</t>
        </is>
      </c>
      <c r="D112" t="inlineStr">
        <is>
          <t>karyamuda_tuban@yahoo.com</t>
        </is>
      </c>
      <c r="E112" t="inlineStr">
        <is>
          <t>https://lpjk.pu.go.id/search-badan-usaha-detail/N1ZoYkNBemJKTUhzbUN3S3ZkSlI3QT09</t>
        </is>
      </c>
      <c r="F112" t="n">
        <v>3</v>
      </c>
      <c r="G112" t="inlineStr">
        <is>
          <t>BG009, BS001, BS004</t>
        </is>
      </c>
      <c r="H112" t="inlineStr">
        <is>
          <t>16 Januari 2007</t>
        </is>
      </c>
      <c r="I112" s="2" t="n">
        <v>46234</v>
      </c>
      <c r="J112" t="inlineStr">
        <is>
          <t>Disetujui</t>
        </is>
      </c>
      <c r="K112" t="n">
        <v>30</v>
      </c>
      <c r="L112" t="inlineStr">
        <is>
          <t>31 Juli 2026</t>
        </is>
      </c>
      <c r="M112" t="inlineStr">
        <is>
          <t>Konstruksi Bangunan Sipil Jalan, Konstruksi Gedung Lainnya, Konstruksi Jaringan Irigasi dan Drainase</t>
        </is>
      </c>
      <c r="N112" t="inlineStr">
        <is>
          <t>K</t>
        </is>
      </c>
      <c r="O112" t="inlineStr">
        <is>
          <t>20230723, 20230724</t>
        </is>
      </c>
      <c r="P112" t="inlineStr">
        <is>
          <t>Jawa Timur</t>
        </is>
      </c>
      <c r="Q112" t="inlineStr"/>
    </row>
    <row r="113">
      <c r="A113" t="inlineStr">
        <is>
          <t>KARYA MUTIARA</t>
        </is>
      </c>
      <c r="B113" t="inlineStr">
        <is>
          <t>Kota Makassar</t>
        </is>
      </c>
      <c r="C113" t="inlineStr">
        <is>
          <t>082333993636</t>
        </is>
      </c>
      <c r="D113" t="inlineStr">
        <is>
          <t>karyamutiara.mks@gmail.com</t>
        </is>
      </c>
      <c r="E113" t="inlineStr">
        <is>
          <t>https://lpjk.pu.go.id/search-badan-usaha-detail/bXdIUUQ2MG1SdHE0VU5qVU41YVRJZz09</t>
        </is>
      </c>
      <c r="F113" t="n">
        <v>1</v>
      </c>
      <c r="G113" t="inlineStr">
        <is>
          <t>RK003</t>
        </is>
      </c>
      <c r="H113" t="inlineStr">
        <is>
          <t>9 Januari 2010</t>
        </is>
      </c>
      <c r="I113" s="2" t="n">
        <v>46234</v>
      </c>
      <c r="J113" t="inlineStr">
        <is>
          <t>Disetujui</t>
        </is>
      </c>
      <c r="K113" t="n">
        <v>30</v>
      </c>
      <c r="L113" t="inlineStr">
        <is>
          <t>31 Juli 2026</t>
        </is>
      </c>
      <c r="M113" t="inlineStr">
        <is>
          <t>Jasa Rekayasa Pekerjaan Teknik Sipil Transportasi</t>
        </is>
      </c>
      <c r="N113" t="inlineStr">
        <is>
          <t>K</t>
        </is>
      </c>
      <c r="O113" t="inlineStr">
        <is>
          <t>20230714</t>
        </is>
      </c>
      <c r="P113" t="inlineStr">
        <is>
          <t>Sulawesi Selatan</t>
        </is>
      </c>
      <c r="Q113" t="inlineStr"/>
    </row>
    <row r="114">
      <c r="A114" t="inlineStr">
        <is>
          <t>KARYA PUTRA BAHARI</t>
        </is>
      </c>
      <c r="B114" t="inlineStr">
        <is>
          <t>Kab. Belitung</t>
        </is>
      </c>
      <c r="C114" t="inlineStr">
        <is>
          <t>083157926630</t>
        </is>
      </c>
      <c r="D114" t="inlineStr">
        <is>
          <t>kputrabah@gmail.com</t>
        </is>
      </c>
      <c r="E114" t="inlineStr">
        <is>
          <t>https://lpjk.pu.go.id/search-badan-usaha-detail/OS9uNDdiZkQ3cGM5SFBSWWJORlVYdz09</t>
        </is>
      </c>
      <c r="F114" t="n">
        <v>3</v>
      </c>
      <c r="G114" t="inlineStr">
        <is>
          <t>BG005, BG006, BG009</t>
        </is>
      </c>
      <c r="H114" t="inlineStr">
        <is>
          <t>29 Desember 2020</t>
        </is>
      </c>
      <c r="I114" s="2" t="n">
        <v>46234</v>
      </c>
      <c r="J114" t="inlineStr">
        <is>
          <t>Disetujui</t>
        </is>
      </c>
      <c r="K114" t="n">
        <v>30</v>
      </c>
      <c r="L114" t="inlineStr">
        <is>
          <t>31 Juli 2026</t>
        </is>
      </c>
      <c r="M114" t="inlineStr">
        <is>
          <t>Konstruksi Gedung Kesehatan, Konstruksi Gedung Lainnya, Konstruksi Gedung Pendidikan</t>
        </is>
      </c>
      <c r="N114" t="inlineStr">
        <is>
          <t>K</t>
        </is>
      </c>
      <c r="O114" t="inlineStr">
        <is>
          <t>20230731</t>
        </is>
      </c>
      <c r="P114" t="inlineStr">
        <is>
          <t>Kepulauan Bangka Belitung</t>
        </is>
      </c>
      <c r="Q114" t="inlineStr"/>
    </row>
    <row r="115">
      <c r="A115" t="inlineStr">
        <is>
          <t>KARYA SINERGI</t>
        </is>
      </c>
      <c r="B115" t="inlineStr">
        <is>
          <t>Kab. Garut</t>
        </is>
      </c>
      <c r="C115" t="inlineStr">
        <is>
          <t>081214818635</t>
        </is>
      </c>
      <c r="D115" t="inlineStr">
        <is>
          <t>scvkarya@gmail.com</t>
        </is>
      </c>
      <c r="E115" t="inlineStr">
        <is>
          <t>https://lpjk.pu.go.id/search-badan-usaha-detail/NUFidDVkVi9mNE1TbWNUQVJaTWNIdmNCYWFXMU81UGxTVnljN2RuYzQvcz0</t>
        </is>
      </c>
      <c r="F115" t="n">
        <v>1</v>
      </c>
      <c r="G115" t="inlineStr">
        <is>
          <t>BG002</t>
        </is>
      </c>
      <c r="H115" t="inlineStr">
        <is>
          <t>9 April 2019</t>
        </is>
      </c>
      <c r="I115" s="2" t="n">
        <v>46234</v>
      </c>
      <c r="J115" t="inlineStr">
        <is>
          <t>Disetujui</t>
        </is>
      </c>
      <c r="K115" t="n">
        <v>30</v>
      </c>
      <c r="L115" t="inlineStr">
        <is>
          <t>31 Juli 2026</t>
        </is>
      </c>
      <c r="M115" t="inlineStr">
        <is>
          <t>Konstruksi Gedung Perkantoran</t>
        </is>
      </c>
      <c r="N115" t="inlineStr">
        <is>
          <t>K</t>
        </is>
      </c>
      <c r="O115" t="inlineStr">
        <is>
          <t>20230801</t>
        </is>
      </c>
      <c r="P115" t="inlineStr">
        <is>
          <t>Jawa Barat</t>
        </is>
      </c>
      <c r="Q115" t="inlineStr"/>
    </row>
    <row r="116">
      <c r="A116" t="inlineStr">
        <is>
          <t>KARYA UTAMA</t>
        </is>
      </c>
      <c r="B116" t="inlineStr">
        <is>
          <t>Kab. Sumbawa</t>
        </is>
      </c>
      <c r="C116" t="inlineStr">
        <is>
          <t>0823 4193 9022</t>
        </is>
      </c>
      <c r="D116" t="inlineStr">
        <is>
          <t>cvkaryautama61@gmail.com</t>
        </is>
      </c>
      <c r="E116" t="inlineStr">
        <is>
          <t>https://lpjk.pu.go.id/search-badan-usaha-detail/SktXODU2ZmU4VC9iMjFyNVlQUUlEUT09</t>
        </is>
      </c>
      <c r="F116" t="n">
        <v>5</v>
      </c>
      <c r="G116" t="inlineStr">
        <is>
          <t>BG005, BG006, BG009, BS002, BS010</t>
        </is>
      </c>
      <c r="H116" t="inlineStr">
        <is>
          <t>31 Agustus 1968</t>
        </is>
      </c>
      <c r="I116" s="2" t="n">
        <v>46234</v>
      </c>
      <c r="J116" t="inlineStr">
        <is>
          <t>Disetujui, Validasi</t>
        </is>
      </c>
      <c r="K116" t="n">
        <v>30</v>
      </c>
      <c r="L116" t="inlineStr">
        <is>
          <t>31 Juli 2026</t>
        </is>
      </c>
      <c r="M116" t="inlineStr">
        <is>
          <t>Bangunan Sipil Jembatan, Jalan Layang, Fly Over, dan Underpass, Konstruksi Bangunan Prasarana Sumber Daya Air, Konstruksi Gedung Kesehatan, Konstruksi Gedung Lainnya, Konstruksi Gedung Pendidikan</t>
        </is>
      </c>
      <c r="N116" t="inlineStr">
        <is>
          <t>K</t>
        </is>
      </c>
      <c r="O116" t="inlineStr">
        <is>
          <t>20230728</t>
        </is>
      </c>
      <c r="P116" t="inlineStr">
        <is>
          <t>Nusa Tenggara Barat</t>
        </is>
      </c>
      <c r="Q116" t="inlineStr"/>
    </row>
    <row r="117">
      <c r="A117" t="inlineStr">
        <is>
          <t>KARYA UTAMA MANDIRI</t>
        </is>
      </c>
      <c r="B117" t="inlineStr">
        <is>
          <t>Kab. Sukabumi</t>
        </is>
      </c>
      <c r="C117" t="inlineStr">
        <is>
          <t>081563393800</t>
        </is>
      </c>
      <c r="D117" t="inlineStr">
        <is>
          <t>cv.karyautamamandiri251191@yahoo.com</t>
        </is>
      </c>
      <c r="E117" t="inlineStr">
        <is>
          <t>https://lpjk.pu.go.id/search-badan-usaha-detail/ZkVCYm5zZGtlMGtVeTc4bWx1RVRjQT09</t>
        </is>
      </c>
      <c r="F117" t="n">
        <v>1</v>
      </c>
      <c r="G117" t="inlineStr">
        <is>
          <t>BG009</t>
        </is>
      </c>
      <c r="H117" t="inlineStr">
        <is>
          <t>13 Desember 2006</t>
        </is>
      </c>
      <c r="I117" s="2" t="n">
        <v>46234</v>
      </c>
      <c r="J117" t="inlineStr">
        <is>
          <t>Disetujui</t>
        </is>
      </c>
      <c r="K117" t="n">
        <v>30</v>
      </c>
      <c r="L117" t="inlineStr">
        <is>
          <t>31 Juli 2026</t>
        </is>
      </c>
      <c r="M117" t="inlineStr">
        <is>
          <t>Konstruksi Gedung Lainnya</t>
        </is>
      </c>
      <c r="N117" t="inlineStr">
        <is>
          <t>K</t>
        </is>
      </c>
      <c r="O117" t="inlineStr">
        <is>
          <t>20230728</t>
        </is>
      </c>
      <c r="P117" t="inlineStr">
        <is>
          <t>Jawa Barat</t>
        </is>
      </c>
      <c r="Q117" t="inlineStr"/>
    </row>
    <row r="118">
      <c r="A118" t="inlineStr">
        <is>
          <t>KAZA MULIA RAYA</t>
        </is>
      </c>
      <c r="B118" t="inlineStr">
        <is>
          <t>Kota Bandar Lampung</t>
        </is>
      </c>
      <c r="C118" t="inlineStr">
        <is>
          <t>082278845858</t>
        </is>
      </c>
      <c r="D118" t="inlineStr">
        <is>
          <t>kazamuliaraya@gmail.com</t>
        </is>
      </c>
      <c r="E118" t="inlineStr">
        <is>
          <t>https://lpjk.pu.go.id/search-badan-usaha-detail/TlpxVzVUM3NXM3dhTTNDVmQ4YWMwZz09</t>
        </is>
      </c>
      <c r="F118" t="n">
        <v>1</v>
      </c>
      <c r="G118" t="inlineStr">
        <is>
          <t>BS001</t>
        </is>
      </c>
      <c r="H118" t="inlineStr">
        <is>
          <t>22 Januari 2020</t>
        </is>
      </c>
      <c r="I118" s="2" t="n">
        <v>46234</v>
      </c>
      <c r="J118" t="inlineStr">
        <is>
          <t>Pencabutan</t>
        </is>
      </c>
      <c r="K118" t="n">
        <v>30</v>
      </c>
      <c r="L118" t="inlineStr">
        <is>
          <t>31 Juli 2026</t>
        </is>
      </c>
      <c r="M118" t="inlineStr">
        <is>
          <t>Konstruksi Bangunan Sipil Jalan</t>
        </is>
      </c>
      <c r="N118" t="inlineStr">
        <is>
          <t>K</t>
        </is>
      </c>
      <c r="O118" t="inlineStr">
        <is>
          <t>20230722</t>
        </is>
      </c>
      <c r="P118" t="inlineStr">
        <is>
          <t>Lampung</t>
        </is>
      </c>
      <c r="Q118" t="inlineStr"/>
    </row>
    <row r="119">
      <c r="A119" t="inlineStr">
        <is>
          <t>KEMBANG JAYA KARYA</t>
        </is>
      </c>
      <c r="B119" t="inlineStr">
        <is>
          <t>Kota Adm. Jakarta Utara</t>
        </is>
      </c>
      <c r="C119" t="inlineStr">
        <is>
          <t>081519997222</t>
        </is>
      </c>
      <c r="D119" t="inlineStr">
        <is>
          <t>KEMBANGJAYAKARYA@gmail.com</t>
        </is>
      </c>
      <c r="E119" t="inlineStr">
        <is>
          <t>https://lpjk.pu.go.id/search-badan-usaha-detail/U0tJTTZUTCtTZ1NUWTFvMnNJQTd0dz09</t>
        </is>
      </c>
      <c r="F119" t="n">
        <v>2</v>
      </c>
      <c r="G119" t="inlineStr">
        <is>
          <t>BG003, BS001</t>
        </is>
      </c>
      <c r="H119" t="inlineStr">
        <is>
          <t>6 April 2023</t>
        </is>
      </c>
      <c r="I119" s="2" t="n">
        <v>46234</v>
      </c>
      <c r="J119" t="inlineStr">
        <is>
          <t>Disetujui</t>
        </is>
      </c>
      <c r="K119" t="n">
        <v>30</v>
      </c>
      <c r="L119" t="inlineStr">
        <is>
          <t>31 Juli 2026</t>
        </is>
      </c>
      <c r="M119" t="inlineStr">
        <is>
          <t>Konstruksi Bangunan Sipil Jalan, Konstruksi Gedung Industri</t>
        </is>
      </c>
      <c r="N119" t="inlineStr">
        <is>
          <t>K</t>
        </is>
      </c>
      <c r="O119" t="inlineStr">
        <is>
          <t>20230727</t>
        </is>
      </c>
      <c r="P119" t="inlineStr">
        <is>
          <t>DKI Jakarta</t>
        </is>
      </c>
      <c r="Q119" t="inlineStr"/>
    </row>
    <row r="120">
      <c r="A120" t="inlineStr">
        <is>
          <t>KHARISMA TEHNIK</t>
        </is>
      </c>
      <c r="B120" t="inlineStr">
        <is>
          <t>Kab. Jombang</t>
        </is>
      </c>
      <c r="C120" t="inlineStr">
        <is>
          <t>082140804173</t>
        </is>
      </c>
      <c r="D120" t="inlineStr">
        <is>
          <t>jonnylionodinata@gmail.com</t>
        </is>
      </c>
      <c r="E120" t="inlineStr">
        <is>
          <t>https://lpjk.pu.go.id/search-badan-usaha-detail/VEVMV0RScnhyWjlZUVpSYkdRdFU2QT09</t>
        </is>
      </c>
      <c r="F120" t="n">
        <v>2</v>
      </c>
      <c r="G120" t="inlineStr">
        <is>
          <t>BG009</t>
        </is>
      </c>
      <c r="H120" t="inlineStr">
        <is>
          <t>22 Maret 1990</t>
        </is>
      </c>
      <c r="I120" s="2" t="n">
        <v>46234</v>
      </c>
      <c r="J120" t="inlineStr">
        <is>
          <t>Disetujui</t>
        </is>
      </c>
      <c r="K120" t="n">
        <v>30</v>
      </c>
      <c r="L120" t="inlineStr">
        <is>
          <t>31 Juli 2026</t>
        </is>
      </c>
      <c r="M120" t="inlineStr">
        <is>
          <t>Konstruksi Gedung Lainnya</t>
        </is>
      </c>
      <c r="N120" t="inlineStr">
        <is>
          <t>K</t>
        </is>
      </c>
      <c r="O120" t="inlineStr">
        <is>
          <t>20230727</t>
        </is>
      </c>
      <c r="P120" t="inlineStr">
        <is>
          <t>Jawa Timur</t>
        </is>
      </c>
      <c r="Q120" t="inlineStr"/>
    </row>
    <row r="121">
      <c r="A121" t="inlineStr">
        <is>
          <t>KINARYA DINAMIS</t>
        </is>
      </c>
      <c r="B121" t="inlineStr">
        <is>
          <t>Kab. Pandeglang</t>
        </is>
      </c>
      <c r="C121" t="inlineStr">
        <is>
          <t>081293692689</t>
        </is>
      </c>
      <c r="D121" t="inlineStr">
        <is>
          <t>kinaryadinamis@gmail.com</t>
        </is>
      </c>
      <c r="E121" t="inlineStr">
        <is>
          <t>https://lpjk.pu.go.id/search-badan-usaha-detail/MEU4TGJRcGM5VEpCYm52cW1oMXI4Zz09</t>
        </is>
      </c>
      <c r="F121" t="n">
        <v>8</v>
      </c>
      <c r="G121" t="inlineStr">
        <is>
          <t>BG001, BG002, BG006, BG009</t>
        </is>
      </c>
      <c r="H121" t="inlineStr">
        <is>
          <t>6 Oktober 2017</t>
        </is>
      </c>
      <c r="I121" s="2" t="n">
        <v>46234</v>
      </c>
      <c r="J121" t="inlineStr">
        <is>
          <t>Disetujui</t>
        </is>
      </c>
      <c r="K121" t="n">
        <v>30</v>
      </c>
      <c r="L121" t="inlineStr">
        <is>
          <t>31 Juli 2026</t>
        </is>
      </c>
      <c r="M121" t="inlineStr">
        <is>
          <t>Konstruksi Gedung Hunian, Konstruksi Gedung Lainnya, Konstruksi Gedung Pendidikan, Konstruksi Gedung Perkantoran</t>
        </is>
      </c>
      <c r="N121" t="inlineStr">
        <is>
          <t>K</t>
        </is>
      </c>
      <c r="O121" t="inlineStr">
        <is>
          <t>20230715, 20230801</t>
        </is>
      </c>
      <c r="P121" t="inlineStr">
        <is>
          <t>Banten</t>
        </is>
      </c>
      <c r="Q121" t="inlineStr"/>
    </row>
    <row r="122">
      <c r="A122" t="inlineStr">
        <is>
          <t>LENTERA ICON</t>
        </is>
      </c>
      <c r="B122" t="inlineStr">
        <is>
          <t>Kab. Sidoarjo</t>
        </is>
      </c>
      <c r="C122" t="inlineStr">
        <is>
          <t>081330927127</t>
        </is>
      </c>
      <c r="D122" t="inlineStr">
        <is>
          <t>lentera.icon@gmail.com</t>
        </is>
      </c>
      <c r="E122" t="inlineStr">
        <is>
          <t>https://lpjk.pu.go.id/search-badan-usaha-detail/ZFlXSTdScE9wbEVVZmZqN09iWTJ3Zz09</t>
        </is>
      </c>
      <c r="F122" t="n">
        <v>1</v>
      </c>
      <c r="G122" t="inlineStr">
        <is>
          <t>RK002</t>
        </is>
      </c>
      <c r="H122" t="inlineStr">
        <is>
          <t>18 September 2022</t>
        </is>
      </c>
      <c r="I122" s="2" t="n">
        <v>46234</v>
      </c>
      <c r="J122" t="inlineStr">
        <is>
          <t>Disetujui</t>
        </is>
      </c>
      <c r="K122" t="n">
        <v>30</v>
      </c>
      <c r="L122" t="inlineStr">
        <is>
          <t>31 Juli 2026</t>
        </is>
      </c>
      <c r="M122" t="inlineStr">
        <is>
          <t>Jasa Rekayasa Pekerjaan Teknik Sipil Sumber Daya Air</t>
        </is>
      </c>
      <c r="N122" t="inlineStr">
        <is>
          <t>K</t>
        </is>
      </c>
      <c r="O122" t="inlineStr">
        <is>
          <t>20230725</t>
        </is>
      </c>
      <c r="P122" t="inlineStr">
        <is>
          <t>Jawa Timur</t>
        </is>
      </c>
      <c r="Q122" t="inlineStr"/>
    </row>
    <row r="123">
      <c r="A123" t="inlineStr">
        <is>
          <t>LIMA BERSAUDARA CONTRAKTOR</t>
        </is>
      </c>
      <c r="B123" t="inlineStr">
        <is>
          <t>Kab. Serang</t>
        </is>
      </c>
      <c r="C123" t="inlineStr">
        <is>
          <t>081585660970</t>
        </is>
      </c>
      <c r="D123" t="inlineStr">
        <is>
          <t>lsbubanten@gmail.com</t>
        </is>
      </c>
      <c r="E123" t="inlineStr">
        <is>
          <t>https://lpjk.pu.go.id/search-badan-usaha-detail/b0lKUDZRMmNFenBCbktiajlUS29JZz09</t>
        </is>
      </c>
      <c r="F123" t="n">
        <v>1</v>
      </c>
      <c r="G123" t="inlineStr">
        <is>
          <t>BS002</t>
        </is>
      </c>
      <c r="H123" t="inlineStr">
        <is>
          <t>5 Desember 2022</t>
        </is>
      </c>
      <c r="I123" s="2" t="n">
        <v>46234</v>
      </c>
      <c r="J123" t="inlineStr">
        <is>
          <t>Pencabutan</t>
        </is>
      </c>
      <c r="K123" t="n">
        <v>30</v>
      </c>
      <c r="L123" t="inlineStr">
        <is>
          <t>31 Juli 2026</t>
        </is>
      </c>
      <c r="M123" t="inlineStr">
        <is>
          <t>Bangunan Sipil Jembatan, Jalan Layang, Fly Over, dan Underpass</t>
        </is>
      </c>
      <c r="N123" t="inlineStr">
        <is>
          <t>K</t>
        </is>
      </c>
      <c r="O123" t="inlineStr">
        <is>
          <t>20230722</t>
        </is>
      </c>
      <c r="P123" t="inlineStr">
        <is>
          <t>Banten</t>
        </is>
      </c>
      <c r="Q123" t="inlineStr"/>
    </row>
    <row r="124">
      <c r="A124" t="inlineStr">
        <is>
          <t>MAHAMERU SURYA PERKASA</t>
        </is>
      </c>
      <c r="B124" t="inlineStr">
        <is>
          <t>Kab. Kepulauan Selayar</t>
        </is>
      </c>
      <c r="C124" t="inlineStr">
        <is>
          <t>085696410663</t>
        </is>
      </c>
      <c r="D124" t="inlineStr">
        <is>
          <t>cv.mahamerusuryaperkasa@gmail.com</t>
        </is>
      </c>
      <c r="E124" t="inlineStr">
        <is>
          <t>https://lpjk.pu.go.id/search-badan-usaha-detail/bFp2bFN2RkNpUHFQNGVXL0JvdGNRdz09</t>
        </is>
      </c>
      <c r="F124" t="n">
        <v>4</v>
      </c>
      <c r="G124" t="inlineStr">
        <is>
          <t>BS010, BS011</t>
        </is>
      </c>
      <c r="H124" t="inlineStr">
        <is>
          <t>25 Juli 2023</t>
        </is>
      </c>
      <c r="I124" s="2" t="n">
        <v>46234</v>
      </c>
      <c r="J124" t="inlineStr">
        <is>
          <t>Disetujui</t>
        </is>
      </c>
      <c r="K124" t="n">
        <v>30</v>
      </c>
      <c r="L124" t="inlineStr">
        <is>
          <t>31 Juli 2026</t>
        </is>
      </c>
      <c r="M124" t="inlineStr">
        <is>
          <t>Konstruksi Bangunan Pelabuhan Bukan Perikanan, Konstruksi Bangunan Prasarana Sumber Daya Air</t>
        </is>
      </c>
      <c r="N124" t="inlineStr">
        <is>
          <t>K</t>
        </is>
      </c>
      <c r="O124" t="inlineStr">
        <is>
          <t>20230801</t>
        </is>
      </c>
      <c r="P124" t="inlineStr">
        <is>
          <t>Sulawesi Selatan</t>
        </is>
      </c>
      <c r="Q124" t="inlineStr"/>
    </row>
    <row r="125">
      <c r="A125" t="inlineStr">
        <is>
          <t>MAHARANI PUTRI MANDIRI</t>
        </is>
      </c>
      <c r="B125" t="inlineStr">
        <is>
          <t>Kota Tasikmalaya</t>
        </is>
      </c>
      <c r="C125" t="inlineStr">
        <is>
          <t>0895363128805</t>
        </is>
      </c>
      <c r="D125" t="inlineStr">
        <is>
          <t>melati.eduwork@gmail.com</t>
        </is>
      </c>
      <c r="E125" t="inlineStr">
        <is>
          <t>https://lpjk.pu.go.id/search-badan-usaha-detail/K0Fpd0hsVUtVQ2ZVMkthd0hvd3dKUT09</t>
        </is>
      </c>
      <c r="F125" t="n">
        <v>12</v>
      </c>
      <c r="G125" t="inlineStr">
        <is>
          <t>BS001, BS002, BS004</t>
        </is>
      </c>
      <c r="H125" t="inlineStr">
        <is>
          <t>19 November 2020</t>
        </is>
      </c>
      <c r="I125" s="2" t="n">
        <v>46234</v>
      </c>
      <c r="J125" t="inlineStr">
        <is>
          <t>Disetujui</t>
        </is>
      </c>
      <c r="K125" t="n">
        <v>30</v>
      </c>
      <c r="L125" t="inlineStr">
        <is>
          <t>31 Juli 2026</t>
        </is>
      </c>
      <c r="M125" t="inlineStr">
        <is>
          <t>Bangunan Sipil Jembatan, Jalan Layang, Fly Over, dan Underpass, Konstruksi Bangunan Sipil Jalan, Konstruksi Jaringan Irigasi dan Drainase</t>
        </is>
      </c>
      <c r="N125" t="inlineStr">
        <is>
          <t>K</t>
        </is>
      </c>
      <c r="O125" t="inlineStr">
        <is>
          <t>20230731</t>
        </is>
      </c>
      <c r="P125" t="inlineStr">
        <is>
          <t>Jawa Barat</t>
        </is>
      </c>
      <c r="Q125" t="inlineStr"/>
    </row>
    <row r="126">
      <c r="A126" t="inlineStr">
        <is>
          <t>MAJU BERKAH SAUYUNAN</t>
        </is>
      </c>
      <c r="B126" t="inlineStr">
        <is>
          <t>Kab. Subang</t>
        </is>
      </c>
      <c r="C126" t="inlineStr">
        <is>
          <t>081287927305</t>
        </is>
      </c>
      <c r="D126" t="inlineStr">
        <is>
          <t>MAJUBERKAHSAUYUNAN@GMAIL.COM</t>
        </is>
      </c>
      <c r="E126" t="inlineStr">
        <is>
          <t>https://lpjk.pu.go.id/search-badan-usaha-detail/TW44K1B3dnd4YmYzcEJoMG41UGEyZz09</t>
        </is>
      </c>
      <c r="F126" t="n">
        <v>1</v>
      </c>
      <c r="G126" t="inlineStr">
        <is>
          <t>BS004</t>
        </is>
      </c>
      <c r="H126" t="inlineStr">
        <is>
          <t>12 Mei 2023</t>
        </is>
      </c>
      <c r="I126" s="2" t="n">
        <v>46234</v>
      </c>
      <c r="J126" t="inlineStr">
        <is>
          <t>Disetujui</t>
        </is>
      </c>
      <c r="K126" t="n">
        <v>30</v>
      </c>
      <c r="L126" t="inlineStr">
        <is>
          <t>31 Juli 2026</t>
        </is>
      </c>
      <c r="M126" t="inlineStr">
        <is>
          <t>Konstruksi Jaringan Irigasi dan Drainase</t>
        </is>
      </c>
      <c r="N126" t="inlineStr">
        <is>
          <t>K</t>
        </is>
      </c>
      <c r="O126" t="inlineStr">
        <is>
          <t>20230727</t>
        </is>
      </c>
      <c r="P126" t="inlineStr">
        <is>
          <t>Jawa Barat</t>
        </is>
      </c>
      <c r="Q126" t="inlineStr"/>
    </row>
    <row r="127">
      <c r="A127" t="inlineStr">
        <is>
          <t>MANDIRI JAYA</t>
        </is>
      </c>
      <c r="B127" t="inlineStr">
        <is>
          <t>Kab. Kulon Progo</t>
        </is>
      </c>
      <c r="C127" t="inlineStr">
        <is>
          <t>0274 - 775221</t>
        </is>
      </c>
      <c r="D127" t="inlineStr">
        <is>
          <t>cvmandirijayakp@gmail.com</t>
        </is>
      </c>
      <c r="E127" t="inlineStr">
        <is>
          <t>https://lpjk.pu.go.id/search-badan-usaha-detail/UDgxejd1T3RlTHJoMVA4MUFLbjkxZz09</t>
        </is>
      </c>
      <c r="F127" t="n">
        <v>2</v>
      </c>
      <c r="G127" t="inlineStr">
        <is>
          <t>BG002, BG004</t>
        </is>
      </c>
      <c r="H127" t="inlineStr">
        <is>
          <t>7 April 2004</t>
        </is>
      </c>
      <c r="I127" s="2" t="n">
        <v>46234</v>
      </c>
      <c r="J127" t="inlineStr">
        <is>
          <t>Disetujui</t>
        </is>
      </c>
      <c r="K127" t="n">
        <v>30</v>
      </c>
      <c r="L127" t="inlineStr">
        <is>
          <t>31 Juli 2026</t>
        </is>
      </c>
      <c r="M127" t="inlineStr">
        <is>
          <t>Konstruksi Gedung Perbelanjaan, Konstruksi Gedung Perkantoran</t>
        </is>
      </c>
      <c r="N127" t="inlineStr">
        <is>
          <t>K</t>
        </is>
      </c>
      <c r="O127" t="inlineStr">
        <is>
          <t>20230725, 20230727</t>
        </is>
      </c>
      <c r="P127" t="inlineStr">
        <is>
          <t>DI Yogyakarta</t>
        </is>
      </c>
      <c r="Q127" t="inlineStr"/>
    </row>
    <row r="128">
      <c r="A128" t="inlineStr">
        <is>
          <t>MARADDA SEJAHTERA</t>
        </is>
      </c>
      <c r="B128" t="inlineStr">
        <is>
          <t>Kota Makassar</t>
        </is>
      </c>
      <c r="C128" t="inlineStr">
        <is>
          <t>082191192440</t>
        </is>
      </c>
      <c r="D128" t="inlineStr">
        <is>
          <t>maraddasejahtera@gmail.com</t>
        </is>
      </c>
      <c r="E128" t="inlineStr">
        <is>
          <t>https://lpjk.pu.go.id/search-badan-usaha-detail/SjdoTldCRCswaW54OFhxQkhNQ0tPUT09</t>
        </is>
      </c>
      <c r="F128" t="n">
        <v>2</v>
      </c>
      <c r="G128" t="inlineStr">
        <is>
          <t>BG002, BG009</t>
        </is>
      </c>
      <c r="H128" t="inlineStr">
        <is>
          <t>4 November 2011</t>
        </is>
      </c>
      <c r="I128" s="2" t="n">
        <v>46234</v>
      </c>
      <c r="J128" t="inlineStr">
        <is>
          <t>Pencabutan</t>
        </is>
      </c>
      <c r="K128" t="n">
        <v>30</v>
      </c>
      <c r="L128" t="inlineStr">
        <is>
          <t>31 Juli 2026</t>
        </is>
      </c>
      <c r="M128" t="inlineStr">
        <is>
          <t>Konstruksi Gedung Lainnya, Konstruksi Gedung Perkantoran</t>
        </is>
      </c>
      <c r="N128" t="inlineStr">
        <is>
          <t>K</t>
        </is>
      </c>
      <c r="O128" t="inlineStr">
        <is>
          <t>20230727</t>
        </is>
      </c>
      <c r="P128" t="inlineStr">
        <is>
          <t>Sulawesi Selatan</t>
        </is>
      </c>
      <c r="Q128" t="inlineStr"/>
    </row>
    <row r="129">
      <c r="A129" t="inlineStr">
        <is>
          <t>MARYAM PAGUN JAYA</t>
        </is>
      </c>
      <c r="B129" t="inlineStr">
        <is>
          <t>Kab. Tana Tidung</t>
        </is>
      </c>
      <c r="C129" t="inlineStr">
        <is>
          <t>082352300045</t>
        </is>
      </c>
      <c r="D129" t="inlineStr">
        <is>
          <t>muhamadismail180793747410@gmail.com</t>
        </is>
      </c>
      <c r="E129" t="inlineStr">
        <is>
          <t>https://lpjk.pu.go.id/search-badan-usaha-detail/ZkJmMFZOZVN5d3F5OFZickVsUEF2Zz09</t>
        </is>
      </c>
      <c r="F129" t="n">
        <v>1</v>
      </c>
      <c r="G129" t="inlineStr">
        <is>
          <t>BG009</t>
        </is>
      </c>
      <c r="H129" t="inlineStr">
        <is>
          <t>10 Mei 2023</t>
        </is>
      </c>
      <c r="I129" s="2" t="n">
        <v>46234</v>
      </c>
      <c r="J129" t="inlineStr">
        <is>
          <t>Disetujui</t>
        </is>
      </c>
      <c r="K129" t="n">
        <v>30</v>
      </c>
      <c r="L129" t="inlineStr">
        <is>
          <t>31 Juli 2026</t>
        </is>
      </c>
      <c r="M129" t="inlineStr">
        <is>
          <t>Konstruksi Gedung Lainnya</t>
        </is>
      </c>
      <c r="N129" t="inlineStr">
        <is>
          <t>K</t>
        </is>
      </c>
      <c r="O129" t="inlineStr">
        <is>
          <t>20230727</t>
        </is>
      </c>
      <c r="P129" t="inlineStr">
        <is>
          <t>Kalimantan Utara</t>
        </is>
      </c>
      <c r="Q129" t="inlineStr"/>
    </row>
    <row r="130">
      <c r="A130" t="inlineStr">
        <is>
          <t>MEDAL SINAR PELANGI</t>
        </is>
      </c>
      <c r="B130" t="inlineStr">
        <is>
          <t>Kota Bandung</t>
        </is>
      </c>
      <c r="C130" t="inlineStr">
        <is>
          <t>0227300358</t>
        </is>
      </c>
      <c r="D130" t="inlineStr">
        <is>
          <t>medalsinarpelangi@gmail.com</t>
        </is>
      </c>
      <c r="E130" t="inlineStr">
        <is>
          <t>https://lpjk.pu.go.id/search-badan-usaha-detail/d0szQm1JRzhsclkveC84KzdOakNCQT09</t>
        </is>
      </c>
      <c r="F130" t="n">
        <v>3</v>
      </c>
      <c r="G130" t="inlineStr">
        <is>
          <t>BG001, BG006, BG009</t>
        </is>
      </c>
      <c r="H130" t="inlineStr">
        <is>
          <t>18 Oktober 2017</t>
        </is>
      </c>
      <c r="I130" s="2" t="n">
        <v>46234</v>
      </c>
      <c r="J130" t="inlineStr">
        <is>
          <t>Disetujui</t>
        </is>
      </c>
      <c r="K130" t="n">
        <v>30</v>
      </c>
      <c r="L130" t="inlineStr">
        <is>
          <t>31 Juli 2026</t>
        </is>
      </c>
      <c r="M130" t="inlineStr">
        <is>
          <t>Konstruksi Gedung Hunian, Konstruksi Gedung Lainnya, Konstruksi Gedung Pendidikan</t>
        </is>
      </c>
      <c r="N130" t="inlineStr">
        <is>
          <t>K</t>
        </is>
      </c>
      <c r="O130" t="inlineStr">
        <is>
          <t>20230725, 20230728</t>
        </is>
      </c>
      <c r="P130" t="inlineStr">
        <is>
          <t>Jawa Barat</t>
        </is>
      </c>
      <c r="Q130" t="inlineStr"/>
    </row>
    <row r="131">
      <c r="A131" t="inlineStr">
        <is>
          <t>MEDIA CIPTA PERKASA</t>
        </is>
      </c>
      <c r="B131" t="inlineStr">
        <is>
          <t>Kota Surabaya</t>
        </is>
      </c>
      <c r="C131" t="inlineStr">
        <is>
          <t>0315673911</t>
        </is>
      </c>
      <c r="D131" t="inlineStr">
        <is>
          <t>mediaciptaperkasa@gmail.com</t>
        </is>
      </c>
      <c r="E131" t="inlineStr">
        <is>
          <t>https://lpjk.pu.go.id/search-badan-usaha-detail/c1Z0ZlQyeGlhT3p5d3BnNnUwakxlZz09</t>
        </is>
      </c>
      <c r="F131" t="n">
        <v>3</v>
      </c>
      <c r="G131" t="inlineStr">
        <is>
          <t>BS004, BS010, BS016</t>
        </is>
      </c>
      <c r="H131" t="inlineStr">
        <is>
          <t>13 Februari 2003</t>
        </is>
      </c>
      <c r="I131" s="2" t="n">
        <v>46234</v>
      </c>
      <c r="J131" t="inlineStr">
        <is>
          <t>Disetujui</t>
        </is>
      </c>
      <c r="K131" t="n">
        <v>30</v>
      </c>
      <c r="L131" t="inlineStr">
        <is>
          <t>31 Juli 2026</t>
        </is>
      </c>
      <c r="M131" t="inlineStr">
        <is>
          <t>Konstruksi Bangunan Prasarana Sumber Daya Air, Konstruksi Bangunan Sipil Fasilitas Olah Raga, Konstruksi Jaringan Irigasi dan Drainase</t>
        </is>
      </c>
      <c r="N131" t="inlineStr">
        <is>
          <t>B, M</t>
        </is>
      </c>
      <c r="O131" t="inlineStr">
        <is>
          <t>20230510, 20230724, 20230726</t>
        </is>
      </c>
      <c r="P131" t="inlineStr">
        <is>
          <t>Jawa Timur</t>
        </is>
      </c>
      <c r="Q131" t="inlineStr"/>
    </row>
    <row r="132">
      <c r="A132" t="inlineStr">
        <is>
          <t>MEGAH SARI JAYA</t>
        </is>
      </c>
      <c r="B132" t="inlineStr">
        <is>
          <t>Kota Balikpapan</t>
        </is>
      </c>
      <c r="C132" t="inlineStr">
        <is>
          <t>085347992272</t>
        </is>
      </c>
      <c r="D132" t="inlineStr">
        <is>
          <t>megehsarijaya@yahoo.com</t>
        </is>
      </c>
      <c r="E132" t="inlineStr">
        <is>
          <t>https://lpjk.pu.go.id/search-badan-usaha-detail/WlhHdmpLNHRndXlLS3FrbW9XcE9hdz09</t>
        </is>
      </c>
      <c r="F132" t="n">
        <v>15</v>
      </c>
      <c r="G132" t="inlineStr">
        <is>
          <t>BG001, BG002, BG005, BG006, BG009</t>
        </is>
      </c>
      <c r="H132" t="inlineStr">
        <is>
          <t>2 Agustus 2012</t>
        </is>
      </c>
      <c r="I132" s="2" t="n">
        <v>46234</v>
      </c>
      <c r="J132" t="inlineStr">
        <is>
          <t>Disetujui</t>
        </is>
      </c>
      <c r="K132" t="n">
        <v>30</v>
      </c>
      <c r="L132" t="inlineStr">
        <is>
          <t>31 Juli 2026</t>
        </is>
      </c>
      <c r="M132" t="inlineStr">
        <is>
          <t>Konstruksi Gedung Hunian, Konstruksi Gedung Kesehatan, Konstruksi Gedung Lainnya, Konstruksi Gedung Pendidikan, Konstruksi Gedung Perkantoran</t>
        </is>
      </c>
      <c r="N132" t="inlineStr">
        <is>
          <t>K</t>
        </is>
      </c>
      <c r="O132" t="inlineStr">
        <is>
          <t>20230731, 20230801</t>
        </is>
      </c>
      <c r="P132" t="inlineStr">
        <is>
          <t>Kalimantan Timur</t>
        </is>
      </c>
      <c r="Q132" t="inlineStr"/>
    </row>
    <row r="133">
      <c r="A133" t="inlineStr">
        <is>
          <t>MEKAR JAYA</t>
        </is>
      </c>
      <c r="B133" t="inlineStr">
        <is>
          <t>Kab. Grobogan</t>
        </is>
      </c>
      <c r="C133" t="inlineStr">
        <is>
          <t>082137274703</t>
        </is>
      </c>
      <c r="D133" t="inlineStr">
        <is>
          <t>cv.mekarjaya@rocketmail.com</t>
        </is>
      </c>
      <c r="E133" t="inlineStr">
        <is>
          <t>https://lpjk.pu.go.id/search-badan-usaha-detail/aS9YUXhZV1FBS3hjSG1obnBhWUNtUT09</t>
        </is>
      </c>
      <c r="F133" t="n">
        <v>18</v>
      </c>
      <c r="G133" t="inlineStr">
        <is>
          <t>BG002, BG004, BG005, BG006, BG009, BS001, BS002, BS004, BS010</t>
        </is>
      </c>
      <c r="H133" t="inlineStr">
        <is>
          <t>2 Maret 1990</t>
        </is>
      </c>
      <c r="I133" s="2" t="n">
        <v>46234</v>
      </c>
      <c r="J133" t="inlineStr">
        <is>
          <t>Disetujui</t>
        </is>
      </c>
      <c r="K133" t="n">
        <v>30</v>
      </c>
      <c r="L133" t="inlineStr">
        <is>
          <t>31 Juli 2026</t>
        </is>
      </c>
      <c r="M133" t="inlineStr">
        <is>
          <t>Bangunan Sipil Jembatan, Jalan Layang, Fly Over, dan Underpass, Konstruksi Bangunan Prasarana Sumber Daya Air, Konstruksi Bangunan Sipil Jalan, Konstruksi Gedung Kesehatan, Konstruksi Gedung Lainnya, Konstruksi Gedung Pendidikan, Konstruksi Gedung Perbelanjaan, Konstruksi Gedung Perkantoran, Konstruksi Jaringan Irigasi dan Drainase</t>
        </is>
      </c>
      <c r="N133" t="inlineStr">
        <is>
          <t>K</t>
        </is>
      </c>
      <c r="O133" t="inlineStr">
        <is>
          <t>20230718, 20230724, 20230725</t>
        </is>
      </c>
      <c r="P133" t="inlineStr">
        <is>
          <t>Jawa Tengah</t>
        </is>
      </c>
      <c r="Q133" t="inlineStr"/>
    </row>
    <row r="134">
      <c r="A134" t="inlineStr">
        <is>
          <t>MINAKO PUTRA</t>
        </is>
      </c>
      <c r="B134" t="inlineStr">
        <is>
          <t>Kab. Ogan Komering Ulu</t>
        </is>
      </c>
      <c r="C134" t="inlineStr">
        <is>
          <t>081367001155</t>
        </is>
      </c>
      <c r="D134" t="inlineStr">
        <is>
          <t>cvminakoputra2@gmail.com</t>
        </is>
      </c>
      <c r="E134" t="inlineStr">
        <is>
          <t>https://lpjk.pu.go.id/search-badan-usaha-detail/NkJHajVieENkNHJvZFlXMDBTdzFKdz09</t>
        </is>
      </c>
      <c r="F134" t="n">
        <v>1</v>
      </c>
      <c r="G134" t="inlineStr">
        <is>
          <t>BG006</t>
        </is>
      </c>
      <c r="H134" t="inlineStr">
        <is>
          <t>31 Maret 2006</t>
        </is>
      </c>
      <c r="I134" s="2" t="n">
        <v>46234</v>
      </c>
      <c r="J134" t="inlineStr">
        <is>
          <t>Disetujui</t>
        </is>
      </c>
      <c r="K134" t="n">
        <v>30</v>
      </c>
      <c r="L134" t="inlineStr">
        <is>
          <t>31 Juli 2026</t>
        </is>
      </c>
      <c r="M134" t="inlineStr">
        <is>
          <t>Konstruksi Gedung Pendidikan</t>
        </is>
      </c>
      <c r="N134" t="inlineStr">
        <is>
          <t>K</t>
        </is>
      </c>
      <c r="O134" t="inlineStr">
        <is>
          <t>20230731</t>
        </is>
      </c>
      <c r="P134" t="inlineStr">
        <is>
          <t>Sumatera Selatan</t>
        </is>
      </c>
      <c r="Q134" t="inlineStr"/>
    </row>
    <row r="135">
      <c r="A135" t="inlineStr">
        <is>
          <t>MITRA BERSAUDARA MANDIRI</t>
        </is>
      </c>
      <c r="B135" t="inlineStr">
        <is>
          <t>Kab. Padang Lawas Utara</t>
        </is>
      </c>
      <c r="C135" t="inlineStr">
        <is>
          <t>082278270029</t>
        </is>
      </c>
      <c r="D135" t="inlineStr">
        <is>
          <t>cvmitrasaudaram@gmail.com</t>
        </is>
      </c>
      <c r="E135" t="inlineStr">
        <is>
          <t>https://lpjk.pu.go.id/search-badan-usaha-detail/eGp6OVFyNFFuSFZRNVYwajliekN5Zz09</t>
        </is>
      </c>
      <c r="F135" t="n">
        <v>1</v>
      </c>
      <c r="G135" t="inlineStr">
        <is>
          <t>BS005</t>
        </is>
      </c>
      <c r="H135" t="inlineStr">
        <is>
          <t>14 Juli 2023</t>
        </is>
      </c>
      <c r="I135" s="2" t="n">
        <v>46234</v>
      </c>
      <c r="J135" t="inlineStr">
        <is>
          <t>Disetujui</t>
        </is>
      </c>
      <c r="K135" t="n">
        <v>30</v>
      </c>
      <c r="L135" t="inlineStr">
        <is>
          <t>31 Juli 2026</t>
        </is>
      </c>
      <c r="M135" t="inlineStr">
        <is>
          <t>Konstruksi Bangunan Sipil Pengolahan Air Bersih</t>
        </is>
      </c>
      <c r="N135" t="inlineStr">
        <is>
          <t>K</t>
        </is>
      </c>
      <c r="O135" t="inlineStr">
        <is>
          <t>20230731</t>
        </is>
      </c>
      <c r="P135" t="inlineStr">
        <is>
          <t>Sumatera Utara</t>
        </is>
      </c>
      <c r="Q135" t="inlineStr"/>
    </row>
    <row r="136">
      <c r="A136" t="inlineStr">
        <is>
          <t>MITRA CIPTA WIJAYA</t>
        </is>
      </c>
      <c r="B136" t="inlineStr">
        <is>
          <t>Kota Palembang</t>
        </is>
      </c>
      <c r="C136" t="inlineStr">
        <is>
          <t>081368710497</t>
        </is>
      </c>
      <c r="D136" t="inlineStr">
        <is>
          <t>mitraciptawijaya@gmail.com</t>
        </is>
      </c>
      <c r="E136" t="inlineStr">
        <is>
          <t>https://lpjk.pu.go.id/search-badan-usaha-detail/Yk0weHJ4NTVWUXpwY01lLzZJOGZPdz09</t>
        </is>
      </c>
      <c r="F136" t="n">
        <v>1</v>
      </c>
      <c r="G136" t="inlineStr">
        <is>
          <t>BG005</t>
        </is>
      </c>
      <c r="H136" t="inlineStr">
        <is>
          <t>16 Maret 2023</t>
        </is>
      </c>
      <c r="I136" s="2" t="n">
        <v>46234</v>
      </c>
      <c r="J136" t="inlineStr">
        <is>
          <t>Disetujui</t>
        </is>
      </c>
      <c r="K136" t="n">
        <v>30</v>
      </c>
      <c r="L136" t="inlineStr">
        <is>
          <t>31 Juli 2026</t>
        </is>
      </c>
      <c r="M136" t="inlineStr">
        <is>
          <t>Konstruksi Gedung Kesehatan</t>
        </is>
      </c>
      <c r="N136" t="inlineStr">
        <is>
          <t>K</t>
        </is>
      </c>
      <c r="O136" t="inlineStr">
        <is>
          <t>20230721</t>
        </is>
      </c>
      <c r="P136" t="inlineStr">
        <is>
          <t>Sumatera Selatan</t>
        </is>
      </c>
      <c r="Q136" t="inlineStr"/>
    </row>
    <row r="137">
      <c r="A137" t="inlineStr">
        <is>
          <t>MITRA KARYA KONSTRUKSI</t>
        </is>
      </c>
      <c r="B137" t="inlineStr">
        <is>
          <t>Kota Batam</t>
        </is>
      </c>
      <c r="C137" t="inlineStr">
        <is>
          <t>081233338181</t>
        </is>
      </c>
      <c r="D137" t="inlineStr">
        <is>
          <t>mitrakaryakonstruksi.pt@gmail.com</t>
        </is>
      </c>
      <c r="E137" t="inlineStr">
        <is>
          <t>https://lpjk.pu.go.id/search-badan-usaha-detail/bmNmbUdHbERDdG5PMUJ1M25SaHR4UT09</t>
        </is>
      </c>
      <c r="F137" t="n">
        <v>1</v>
      </c>
      <c r="G137" t="inlineStr">
        <is>
          <t>BS001</t>
        </is>
      </c>
      <c r="H137" t="inlineStr">
        <is>
          <t>25 Juni 2011</t>
        </is>
      </c>
      <c r="I137" s="2" t="n">
        <v>46234</v>
      </c>
      <c r="J137" t="inlineStr">
        <is>
          <t>Disetujui</t>
        </is>
      </c>
      <c r="K137" t="n">
        <v>30</v>
      </c>
      <c r="L137" t="inlineStr">
        <is>
          <t>31 Juli 2026</t>
        </is>
      </c>
      <c r="M137" t="inlineStr">
        <is>
          <t>Konstruksi Bangunan Sipil Jalan</t>
        </is>
      </c>
      <c r="N137" t="inlineStr">
        <is>
          <t>K</t>
        </is>
      </c>
      <c r="O137" t="inlineStr">
        <is>
          <t>20230801</t>
        </is>
      </c>
      <c r="P137" t="inlineStr">
        <is>
          <t>Kepulauan Riau</t>
        </is>
      </c>
      <c r="Q137" t="inlineStr"/>
    </row>
    <row r="138">
      <c r="A138" t="inlineStr">
        <is>
          <t>MITRA KARYA NUSANTARA</t>
        </is>
      </c>
      <c r="B138" t="inlineStr">
        <is>
          <t>Kab. Minahasa Utara</t>
        </is>
      </c>
      <c r="C138" t="inlineStr">
        <is>
          <t>081356225229</t>
        </is>
      </c>
      <c r="D138" t="inlineStr">
        <is>
          <t>mitrakarya.nusantara@yahoo.com</t>
        </is>
      </c>
      <c r="E138" t="inlineStr">
        <is>
          <t>https://lpjk.pu.go.id/search-badan-usaha-detail/U2MvMDdsb3JKY240QzM1VENRRzQ5UT09</t>
        </is>
      </c>
      <c r="F138" t="n">
        <v>3</v>
      </c>
      <c r="G138" t="inlineStr">
        <is>
          <t>BG002, BS001, PB010</t>
        </is>
      </c>
      <c r="H138" t="inlineStr">
        <is>
          <t>24 Juni 2011</t>
        </is>
      </c>
      <c r="I138" s="2" t="n">
        <v>46234</v>
      </c>
      <c r="J138" t="inlineStr">
        <is>
          <t>Disetujui, Pencabutan</t>
        </is>
      </c>
      <c r="K138" t="n">
        <v>30</v>
      </c>
      <c r="L138" t="inlineStr">
        <is>
          <t>31 Juli 2026</t>
        </is>
      </c>
      <c r="M138" t="inlineStr">
        <is>
          <t>Konstruksi Bangunan Sipil Jalan, Konstruksi Gedung Perkantoran, Pekerjaan Lanskap, Pertamanan, dan Penanaman Vegetasi</t>
        </is>
      </c>
      <c r="N138" t="inlineStr">
        <is>
          <t>K, Spesialis</t>
        </is>
      </c>
      <c r="O138" t="inlineStr">
        <is>
          <t>20230706</t>
        </is>
      </c>
      <c r="P138" t="inlineStr">
        <is>
          <t>Sulawesi Utara</t>
        </is>
      </c>
      <c r="Q138" t="inlineStr"/>
    </row>
    <row r="139">
      <c r="A139" t="inlineStr">
        <is>
          <t>MITRA UTAMA</t>
        </is>
      </c>
      <c r="B139" t="inlineStr">
        <is>
          <t>Kab. Barito Selatan</t>
        </is>
      </c>
      <c r="C139" t="inlineStr">
        <is>
          <t>081348037447</t>
        </is>
      </c>
      <c r="D139" t="inlineStr">
        <is>
          <t>mitrautama.cv23@gmail.com</t>
        </is>
      </c>
      <c r="E139" t="inlineStr">
        <is>
          <t>https://lpjk.pu.go.id/search-badan-usaha-detail/dFI4SzBmRGRwekNYa1dReXJhTC9OQT09</t>
        </is>
      </c>
      <c r="F139" t="n">
        <v>1</v>
      </c>
      <c r="G139" t="inlineStr">
        <is>
          <t>BS001</t>
        </is>
      </c>
      <c r="H139" t="inlineStr">
        <is>
          <t>26 Maret 1990</t>
        </is>
      </c>
      <c r="I139" s="2" t="n">
        <v>46234</v>
      </c>
      <c r="J139" t="inlineStr">
        <is>
          <t>Disetujui</t>
        </is>
      </c>
      <c r="K139" t="n">
        <v>30</v>
      </c>
      <c r="L139" t="inlineStr">
        <is>
          <t>31 Juli 2026</t>
        </is>
      </c>
      <c r="M139" t="inlineStr">
        <is>
          <t>Konstruksi Bangunan Sipil Jalan</t>
        </is>
      </c>
      <c r="N139" t="inlineStr">
        <is>
          <t>K</t>
        </is>
      </c>
      <c r="O139" t="inlineStr">
        <is>
          <t>20230801</t>
        </is>
      </c>
      <c r="P139" t="inlineStr">
        <is>
          <t>Kalimantan Tengah</t>
        </is>
      </c>
      <c r="Q139" t="inlineStr"/>
    </row>
    <row r="140">
      <c r="A140" t="inlineStr">
        <is>
          <t>MITRATAMA KARYA SEJAHTERA</t>
        </is>
      </c>
      <c r="B140" t="inlineStr">
        <is>
          <t>Kab. Tangerang</t>
        </is>
      </c>
      <c r="C140" t="inlineStr">
        <is>
          <t>02159993242</t>
        </is>
      </c>
      <c r="D140" t="inlineStr">
        <is>
          <t>mitratamakaryasejahtera@gmail.com</t>
        </is>
      </c>
      <c r="E140" t="inlineStr">
        <is>
          <t>https://lpjk.pu.go.id/search-badan-usaha-detail/WmU4UVJxTk1RN3VGeDAvSFk1OEpYUT09</t>
        </is>
      </c>
      <c r="F140" t="n">
        <v>2</v>
      </c>
      <c r="G140" t="inlineStr">
        <is>
          <t>BG004</t>
        </is>
      </c>
      <c r="H140" t="inlineStr">
        <is>
          <t>27 Januari 2021</t>
        </is>
      </c>
      <c r="I140" s="2" t="n">
        <v>46234</v>
      </c>
      <c r="J140" t="inlineStr">
        <is>
          <t>Disetujui</t>
        </is>
      </c>
      <c r="K140" t="n">
        <v>30</v>
      </c>
      <c r="L140" t="inlineStr">
        <is>
          <t>31 Juli 2026</t>
        </is>
      </c>
      <c r="M140" t="inlineStr">
        <is>
          <t>Konstruksi Gedung Perbelanjaan</t>
        </is>
      </c>
      <c r="N140" t="inlineStr">
        <is>
          <t>K</t>
        </is>
      </c>
      <c r="O140" t="inlineStr">
        <is>
          <t>20230801</t>
        </is>
      </c>
      <c r="P140" t="inlineStr">
        <is>
          <t>Banten</t>
        </is>
      </c>
      <c r="Q140" t="inlineStr"/>
    </row>
    <row r="141">
      <c r="A141" t="inlineStr">
        <is>
          <t>MSP/INTAN</t>
        </is>
      </c>
      <c r="B141" t="inlineStr">
        <is>
          <t>Kota Bandung</t>
        </is>
      </c>
      <c r="C141" t="inlineStr">
        <is>
          <t>08122073582</t>
        </is>
      </c>
      <c r="D141" t="inlineStr">
        <is>
          <t>mspintancv@gmail.com</t>
        </is>
      </c>
      <c r="E141" t="inlineStr">
        <is>
          <t>https://lpjk.pu.go.id/search-badan-usaha-detail/Z0ZxVEZ2WU1hc2ladVhVdFBKMHJLdz09</t>
        </is>
      </c>
      <c r="F141" t="n">
        <v>3</v>
      </c>
      <c r="G141" t="inlineStr">
        <is>
          <t>BG002, BG006, BG007</t>
        </is>
      </c>
      <c r="H141" t="inlineStr">
        <is>
          <t>23 Maret 2005</t>
        </is>
      </c>
      <c r="I141" s="2" t="n">
        <v>46234</v>
      </c>
      <c r="J141" t="inlineStr">
        <is>
          <t>Disetujui</t>
        </is>
      </c>
      <c r="K141" t="n">
        <v>30</v>
      </c>
      <c r="L141" t="inlineStr">
        <is>
          <t>31 Juli 2026</t>
        </is>
      </c>
      <c r="M141" t="inlineStr">
        <is>
          <t>Konstruksi Gedung Pendidikan, Konstruksi Gedung Penginapan, Konstruksi Gedung Perkantoran</t>
        </is>
      </c>
      <c r="N141" t="inlineStr">
        <is>
          <t>K</t>
        </is>
      </c>
      <c r="O141" t="inlineStr">
        <is>
          <t>20230727</t>
        </is>
      </c>
      <c r="P141" t="inlineStr">
        <is>
          <t>Jawa Barat</t>
        </is>
      </c>
      <c r="Q141" t="inlineStr"/>
    </row>
    <row r="142">
      <c r="A142" t="inlineStr">
        <is>
          <t>MUGIWARA D KONSTRUKSI</t>
        </is>
      </c>
      <c r="B142" t="inlineStr">
        <is>
          <t>Kab. Sintang</t>
        </is>
      </c>
      <c r="C142" t="inlineStr">
        <is>
          <t>081345961010</t>
        </is>
      </c>
      <c r="D142" t="inlineStr">
        <is>
          <t>cv.mugiwaradkonstruksi@gmail.com</t>
        </is>
      </c>
      <c r="E142" t="inlineStr">
        <is>
          <t>https://lpjk.pu.go.id/search-badan-usaha-detail/ZjVMMXNTcXBvNFBHbHlpOENRcVozQT09</t>
        </is>
      </c>
      <c r="F142" t="n">
        <v>1</v>
      </c>
      <c r="G142" t="inlineStr">
        <is>
          <t>BG009</t>
        </is>
      </c>
      <c r="H142" t="inlineStr">
        <is>
          <t>3 Maret 2020</t>
        </is>
      </c>
      <c r="I142" s="2" t="n">
        <v>46234</v>
      </c>
      <c r="J142" t="inlineStr">
        <is>
          <t>Disetujui</t>
        </is>
      </c>
      <c r="K142" t="n">
        <v>30</v>
      </c>
      <c r="L142" t="inlineStr">
        <is>
          <t>31 Juli 2026</t>
        </is>
      </c>
      <c r="M142" t="inlineStr">
        <is>
          <t>Konstruksi Gedung Lainnya</t>
        </is>
      </c>
      <c r="N142" t="inlineStr">
        <is>
          <t>K</t>
        </is>
      </c>
      <c r="O142" t="inlineStr">
        <is>
          <t>20230801</t>
        </is>
      </c>
      <c r="P142" t="inlineStr">
        <is>
          <t>Kalimantan Barat</t>
        </is>
      </c>
      <c r="Q142" t="inlineStr"/>
    </row>
    <row r="143">
      <c r="A143" t="inlineStr">
        <is>
          <t>MULYA CIPTA KALBAR</t>
        </is>
      </c>
      <c r="B143" t="inlineStr">
        <is>
          <t>Kab. Mempawah</t>
        </is>
      </c>
      <c r="C143" t="inlineStr">
        <is>
          <t>085956141541</t>
        </is>
      </c>
      <c r="D143" t="inlineStr">
        <is>
          <t>multiciptaprima77@yahoo.com</t>
        </is>
      </c>
      <c r="E143" t="inlineStr">
        <is>
          <t>https://lpjk.pu.go.id/search-badan-usaha-detail/UXZRcWF2MXJKUVE1aHh1N05MZWIrQT09</t>
        </is>
      </c>
      <c r="F143" t="n">
        <v>2</v>
      </c>
      <c r="G143" t="inlineStr">
        <is>
          <t>BS001, BS004</t>
        </is>
      </c>
      <c r="H143" t="inlineStr">
        <is>
          <t>12 September 2001</t>
        </is>
      </c>
      <c r="I143" s="2" t="n">
        <v>46234</v>
      </c>
      <c r="J143" t="inlineStr">
        <is>
          <t>Disetujui</t>
        </is>
      </c>
      <c r="K143" t="n">
        <v>30</v>
      </c>
      <c r="L143" t="inlineStr">
        <is>
          <t>31 Juli 2026</t>
        </is>
      </c>
      <c r="M143" t="inlineStr">
        <is>
          <t>Konstruksi Bangunan Sipil Jalan, Konstruksi Jaringan Irigasi dan Drainase</t>
        </is>
      </c>
      <c r="N143" t="inlineStr">
        <is>
          <t>K</t>
        </is>
      </c>
      <c r="O143" t="inlineStr">
        <is>
          <t>20230727</t>
        </is>
      </c>
      <c r="P143" t="inlineStr">
        <is>
          <t>Kalimantan Barat</t>
        </is>
      </c>
      <c r="Q143" t="inlineStr"/>
    </row>
    <row r="144">
      <c r="A144" t="inlineStr">
        <is>
          <t>NAWA KARYA MANDIRI</t>
        </is>
      </c>
      <c r="B144" t="inlineStr">
        <is>
          <t>Kota Probolinggo</t>
        </is>
      </c>
      <c r="C144" t="inlineStr">
        <is>
          <t>082330609884</t>
        </is>
      </c>
      <c r="D144" t="inlineStr">
        <is>
          <t>nawakaryamandiri@yahoo.co.id</t>
        </is>
      </c>
      <c r="E144" t="inlineStr">
        <is>
          <t>https://lpjk.pu.go.id/search-badan-usaha-detail/V1BXUjExb3E1VU1HSndEUnkwUmRLUT09</t>
        </is>
      </c>
      <c r="F144" t="n">
        <v>1</v>
      </c>
      <c r="G144" t="inlineStr">
        <is>
          <t>RK003</t>
        </is>
      </c>
      <c r="H144" t="inlineStr">
        <is>
          <t>19 Oktober 2013</t>
        </is>
      </c>
      <c r="I144" s="2" t="n">
        <v>46234</v>
      </c>
      <c r="J144" t="inlineStr">
        <is>
          <t>Dokumen Tidak Lengkap</t>
        </is>
      </c>
      <c r="K144" t="n">
        <v>30</v>
      </c>
      <c r="L144" t="inlineStr">
        <is>
          <t>31 Juli 2026</t>
        </is>
      </c>
      <c r="M144" t="inlineStr">
        <is>
          <t>Jasa Rekayasa Pekerjaan Teknik Sipil Transportasi</t>
        </is>
      </c>
      <c r="N144" t="inlineStr">
        <is>
          <t>K</t>
        </is>
      </c>
      <c r="O144" t="inlineStr">
        <is>
          <t>20230717</t>
        </is>
      </c>
      <c r="P144" t="inlineStr">
        <is>
          <t>Jawa Timur</t>
        </is>
      </c>
      <c r="Q144" t="inlineStr"/>
    </row>
    <row r="145">
      <c r="A145" t="inlineStr">
        <is>
          <t>NUSANTARA MEMBANGUN</t>
        </is>
      </c>
      <c r="B145" t="inlineStr">
        <is>
          <t>Kota Palu</t>
        </is>
      </c>
      <c r="C145" t="inlineStr">
        <is>
          <t>-</t>
        </is>
      </c>
      <c r="D145" t="inlineStr">
        <is>
          <t>umareljufrie45@gmail.com</t>
        </is>
      </c>
      <c r="E145" t="inlineStr">
        <is>
          <t>https://lpjk.pu.go.id/search-badan-usaha-detail/eFcvTjY4SXJRc3lHRFlzeUtDSWFmZz09</t>
        </is>
      </c>
      <c r="F145" t="n">
        <v>1</v>
      </c>
      <c r="G145" t="inlineStr">
        <is>
          <t>BS004</t>
        </is>
      </c>
      <c r="H145" t="inlineStr">
        <is>
          <t>7 Desember 2017</t>
        </is>
      </c>
      <c r="I145" s="2" t="n">
        <v>46234</v>
      </c>
      <c r="J145" t="inlineStr">
        <is>
          <t>Disetujui</t>
        </is>
      </c>
      <c r="K145" t="n">
        <v>30</v>
      </c>
      <c r="L145" t="inlineStr">
        <is>
          <t>31 Juli 2026</t>
        </is>
      </c>
      <c r="M145" t="inlineStr">
        <is>
          <t>Konstruksi Jaringan Irigasi dan Drainase</t>
        </is>
      </c>
      <c r="N145" t="inlineStr">
        <is>
          <t>K</t>
        </is>
      </c>
      <c r="O145" t="inlineStr">
        <is>
          <t>20230801</t>
        </is>
      </c>
      <c r="P145" t="inlineStr">
        <is>
          <t>Sulawesi Tengah</t>
        </is>
      </c>
      <c r="Q145" t="inlineStr"/>
    </row>
    <row r="146">
      <c r="A146" t="inlineStr">
        <is>
          <t>PAGINDO ZAMZAM SIMA</t>
        </is>
      </c>
      <c r="B146" t="inlineStr">
        <is>
          <t>Kab. Sidenreng Rappang</t>
        </is>
      </c>
      <c r="C146" t="inlineStr">
        <is>
          <t>081253142089</t>
        </is>
      </c>
      <c r="D146" t="inlineStr">
        <is>
          <t>pagindozamzamsima67@gmail.com</t>
        </is>
      </c>
      <c r="E146" t="inlineStr">
        <is>
          <t>https://lpjk.pu.go.id/search-badan-usaha-detail/eUFyWkNHT3drTnBFOTZnSzArb1c0Zz09</t>
        </is>
      </c>
      <c r="F146" t="n">
        <v>1</v>
      </c>
      <c r="G146" t="inlineStr">
        <is>
          <t>BS001</t>
        </is>
      </c>
      <c r="H146" t="inlineStr">
        <is>
          <t>25 Februari 2020</t>
        </is>
      </c>
      <c r="I146" s="2" t="n">
        <v>46234</v>
      </c>
      <c r="J146" t="inlineStr">
        <is>
          <t>Disetujui</t>
        </is>
      </c>
      <c r="K146" t="n">
        <v>30</v>
      </c>
      <c r="L146" t="inlineStr">
        <is>
          <t>31 Juli 2026</t>
        </is>
      </c>
      <c r="M146" t="inlineStr">
        <is>
          <t>Konstruksi Bangunan Sipil Jalan</t>
        </is>
      </c>
      <c r="N146" t="inlineStr">
        <is>
          <t>K</t>
        </is>
      </c>
      <c r="O146" t="inlineStr">
        <is>
          <t>20230731</t>
        </is>
      </c>
      <c r="P146" t="inlineStr">
        <is>
          <t>Sulawesi Selatan</t>
        </is>
      </c>
      <c r="Q146" t="inlineStr"/>
    </row>
    <row r="147">
      <c r="A147" t="inlineStr">
        <is>
          <t>PANCA YOGATAMA</t>
        </is>
      </c>
      <c r="B147" t="inlineStr">
        <is>
          <t>Kota Surakarta</t>
        </is>
      </c>
      <c r="C147" t="inlineStr">
        <is>
          <t>082133999029</t>
        </is>
      </c>
      <c r="D147" t="inlineStr">
        <is>
          <t>cv.pancayogatama@yahoo.co.id</t>
        </is>
      </c>
      <c r="E147" t="inlineStr">
        <is>
          <t>https://lpjk.pu.go.id/search-badan-usaha-detail/aU56MDZaZjZJNWhQOHNUKys3RkpTUT09</t>
        </is>
      </c>
      <c r="F147" t="n">
        <v>3</v>
      </c>
      <c r="G147" t="inlineStr">
        <is>
          <t>BG005, BG006, BG009</t>
        </is>
      </c>
      <c r="H147" t="inlineStr">
        <is>
          <t>23 Maret 2002</t>
        </is>
      </c>
      <c r="I147" s="2" t="n">
        <v>46234</v>
      </c>
      <c r="J147" t="inlineStr">
        <is>
          <t>Disetujui</t>
        </is>
      </c>
      <c r="K147" t="n">
        <v>30</v>
      </c>
      <c r="L147" t="inlineStr">
        <is>
          <t>31 Juli 2026</t>
        </is>
      </c>
      <c r="M147" t="inlineStr">
        <is>
          <t>Konstruksi Gedung Kesehatan, Konstruksi Gedung Lainnya, Konstruksi Gedung Pendidikan</t>
        </is>
      </c>
      <c r="N147" t="inlineStr">
        <is>
          <t>K</t>
        </is>
      </c>
      <c r="O147" t="inlineStr">
        <is>
          <t>20230727</t>
        </is>
      </c>
      <c r="P147" t="inlineStr">
        <is>
          <t>Jawa Tengah</t>
        </is>
      </c>
      <c r="Q147" t="inlineStr"/>
    </row>
    <row r="148">
      <c r="A148" t="inlineStr">
        <is>
          <t>PARAMA DHARMA</t>
        </is>
      </c>
      <c r="B148" t="inlineStr">
        <is>
          <t>Kota Adm. Jakarta Selatan</t>
        </is>
      </c>
      <c r="C148" t="inlineStr">
        <is>
          <t>0217253008</t>
        </is>
      </c>
      <c r="D148" t="inlineStr">
        <is>
          <t>construction@paramadharma.co.id</t>
        </is>
      </c>
      <c r="E148" t="inlineStr">
        <is>
          <t>https://lpjk.pu.go.id/search-badan-usaha-detail/MEFuU0I3U0kxQi83UFJqQXFac0xFQT09</t>
        </is>
      </c>
      <c r="F148" t="n">
        <v>1</v>
      </c>
      <c r="G148" t="inlineStr">
        <is>
          <t>BG002</t>
        </is>
      </c>
      <c r="H148" t="inlineStr">
        <is>
          <t>8 November 1982</t>
        </is>
      </c>
      <c r="I148" s="2" t="n">
        <v>46234</v>
      </c>
      <c r="J148" t="inlineStr">
        <is>
          <t>Disetujui</t>
        </is>
      </c>
      <c r="K148" t="n">
        <v>30</v>
      </c>
      <c r="L148" t="inlineStr">
        <is>
          <t>31 Juli 2026</t>
        </is>
      </c>
      <c r="M148" t="inlineStr">
        <is>
          <t>Konstruksi Gedung Perkantoran</t>
        </is>
      </c>
      <c r="N148" t="inlineStr">
        <is>
          <t>M</t>
        </is>
      </c>
      <c r="O148" t="inlineStr">
        <is>
          <t>20230705</t>
        </is>
      </c>
      <c r="P148" t="inlineStr">
        <is>
          <t>DKI Jakarta</t>
        </is>
      </c>
      <c r="Q148" t="inlineStr"/>
    </row>
    <row r="149">
      <c r="A149" t="inlineStr">
        <is>
          <t>PERMATA LESTARI</t>
        </is>
      </c>
      <c r="B149" t="inlineStr">
        <is>
          <t>Kab. Jember</t>
        </is>
      </c>
      <c r="C149" t="inlineStr">
        <is>
          <t>082333455470</t>
        </is>
      </c>
      <c r="D149" t="inlineStr">
        <is>
          <t>riopermata1210@gmail.com</t>
        </is>
      </c>
      <c r="E149" t="inlineStr">
        <is>
          <t>https://lpjk.pu.go.id/search-badan-usaha-detail/VWNKb3BZbDg2NUx4eFBwdnFvWmVjUT09</t>
        </is>
      </c>
      <c r="F149" t="n">
        <v>1</v>
      </c>
      <c r="G149" t="inlineStr">
        <is>
          <t>BG009</t>
        </is>
      </c>
      <c r="H149" t="inlineStr">
        <is>
          <t>2 Oktober 2015</t>
        </is>
      </c>
      <c r="I149" s="2" t="n">
        <v>46234</v>
      </c>
      <c r="J149" t="inlineStr">
        <is>
          <t>Disetujui</t>
        </is>
      </c>
      <c r="K149" t="n">
        <v>30</v>
      </c>
      <c r="L149" t="inlineStr">
        <is>
          <t>31 Juli 2026</t>
        </is>
      </c>
      <c r="M149" t="inlineStr">
        <is>
          <t>Konstruksi Gedung Lainnya</t>
        </is>
      </c>
      <c r="N149" t="inlineStr">
        <is>
          <t>K</t>
        </is>
      </c>
      <c r="O149" t="inlineStr">
        <is>
          <t>20230728</t>
        </is>
      </c>
      <c r="P149" t="inlineStr">
        <is>
          <t>Jawa Timur</t>
        </is>
      </c>
      <c r="Q149" t="inlineStr"/>
    </row>
    <row r="150">
      <c r="A150" t="inlineStr">
        <is>
          <t>PRIMA ADI JAYA</t>
        </is>
      </c>
      <c r="B150" t="inlineStr">
        <is>
          <t>Kab. Jombang</t>
        </is>
      </c>
      <c r="C150" t="inlineStr">
        <is>
          <t>085655339990</t>
        </is>
      </c>
      <c r="D150" t="inlineStr">
        <is>
          <t>primaadijaya.cv@gmail.com</t>
        </is>
      </c>
      <c r="E150" t="inlineStr">
        <is>
          <t>https://lpjk.pu.go.id/search-badan-usaha-detail/YSs1UU9PL1h4M2JYcG5jSkx1bkNXdz09</t>
        </is>
      </c>
      <c r="F150" t="n">
        <v>1</v>
      </c>
      <c r="G150" t="inlineStr">
        <is>
          <t>BS001</t>
        </is>
      </c>
      <c r="H150" t="inlineStr">
        <is>
          <t>19 Desember 2007</t>
        </is>
      </c>
      <c r="I150" s="2" t="n">
        <v>46234</v>
      </c>
      <c r="J150" t="inlineStr">
        <is>
          <t>Disetujui</t>
        </is>
      </c>
      <c r="K150" t="n">
        <v>30</v>
      </c>
      <c r="L150" t="inlineStr">
        <is>
          <t>31 Juli 2026</t>
        </is>
      </c>
      <c r="M150" t="inlineStr">
        <is>
          <t>Konstruksi Bangunan Sipil Jalan</t>
        </is>
      </c>
      <c r="N150" t="inlineStr">
        <is>
          <t>K</t>
        </is>
      </c>
      <c r="O150" t="inlineStr">
        <is>
          <t>20230717</t>
        </is>
      </c>
      <c r="P150" t="inlineStr">
        <is>
          <t>Jawa Timur</t>
        </is>
      </c>
      <c r="Q150" t="inlineStr"/>
    </row>
    <row r="151">
      <c r="A151" t="inlineStr">
        <is>
          <t>PUJA BUANA INDAH</t>
        </is>
      </c>
      <c r="B151" t="inlineStr">
        <is>
          <t>Kota Bima</t>
        </is>
      </c>
      <c r="C151" t="inlineStr">
        <is>
          <t>0823 3903 9180</t>
        </is>
      </c>
      <c r="D151" t="inlineStr">
        <is>
          <t>buanabima123@gmail.com</t>
        </is>
      </c>
      <c r="E151" t="inlineStr">
        <is>
          <t>https://lpjk.pu.go.id/search-badan-usaha-detail/Sm44WTFVYzNSTm5pVHBMSFpMU1ZjZz09</t>
        </is>
      </c>
      <c r="F151" t="n">
        <v>1</v>
      </c>
      <c r="G151" t="inlineStr">
        <is>
          <t>BS005</t>
        </is>
      </c>
      <c r="H151" t="inlineStr">
        <is>
          <t>1 Agustus 1998</t>
        </is>
      </c>
      <c r="I151" s="2" t="n">
        <v>46234</v>
      </c>
      <c r="J151" t="inlineStr">
        <is>
          <t>Disetujui</t>
        </is>
      </c>
      <c r="K151" t="n">
        <v>30</v>
      </c>
      <c r="L151" t="inlineStr">
        <is>
          <t>31 Juli 2026</t>
        </is>
      </c>
      <c r="M151" t="inlineStr">
        <is>
          <t>Konstruksi Bangunan Sipil Pengolahan Air Bersih</t>
        </is>
      </c>
      <c r="N151" t="inlineStr">
        <is>
          <t>K</t>
        </is>
      </c>
      <c r="O151" t="inlineStr">
        <is>
          <t>20230724</t>
        </is>
      </c>
      <c r="P151" t="inlineStr">
        <is>
          <t>Nusa Tenggara Barat</t>
        </is>
      </c>
      <c r="Q151" t="inlineStr"/>
    </row>
    <row r="152">
      <c r="A152" t="inlineStr">
        <is>
          <t>PUNCAK VANDRING RAYA</t>
        </is>
      </c>
      <c r="B152" t="inlineStr">
        <is>
          <t>Kab. Bengkayang</t>
        </is>
      </c>
      <c r="C152" t="inlineStr">
        <is>
          <t>082252338328</t>
        </is>
      </c>
      <c r="D152" t="inlineStr">
        <is>
          <t>cv.pvr90@gmail.com</t>
        </is>
      </c>
      <c r="E152" t="inlineStr">
        <is>
          <t>https://lpjk.pu.go.id/search-badan-usaha-detail/VVpBcE1jZ1hyNk5iTVQzWUxjWlJTZz09</t>
        </is>
      </c>
      <c r="F152" t="n">
        <v>2</v>
      </c>
      <c r="G152" t="inlineStr">
        <is>
          <t>BG006, BS001</t>
        </is>
      </c>
      <c r="H152" t="inlineStr">
        <is>
          <t>25 Juli 2023</t>
        </is>
      </c>
      <c r="I152" s="2" t="n">
        <v>46234</v>
      </c>
      <c r="J152" t="inlineStr">
        <is>
          <t>Disetujui</t>
        </is>
      </c>
      <c r="K152" t="n">
        <v>30</v>
      </c>
      <c r="L152" t="inlineStr">
        <is>
          <t>31 Juli 2026</t>
        </is>
      </c>
      <c r="M152" t="inlineStr">
        <is>
          <t>Konstruksi Bangunan Sipil Jalan, Konstruksi Gedung Pendidikan</t>
        </is>
      </c>
      <c r="N152" t="inlineStr">
        <is>
          <t>K</t>
        </is>
      </c>
      <c r="O152" t="inlineStr">
        <is>
          <t>20230801</t>
        </is>
      </c>
      <c r="P152" t="inlineStr">
        <is>
          <t>Kalimantan Barat</t>
        </is>
      </c>
      <c r="Q152" t="inlineStr"/>
    </row>
    <row r="153">
      <c r="A153" t="inlineStr">
        <is>
          <t>PUTRA FILLY</t>
        </is>
      </c>
      <c r="B153" t="inlineStr">
        <is>
          <t>Kab. Sanggau</t>
        </is>
      </c>
      <c r="C153" t="inlineStr">
        <is>
          <t>081258416756</t>
        </is>
      </c>
      <c r="D153" t="inlineStr">
        <is>
          <t>putrafilly@gmail.com</t>
        </is>
      </c>
      <c r="E153" t="inlineStr">
        <is>
          <t>https://lpjk.pu.go.id/search-badan-usaha-detail/SDJIcHlTQUYxVzRQRW5tL1d3T1hEQT09</t>
        </is>
      </c>
      <c r="F153" t="n">
        <v>1</v>
      </c>
      <c r="G153" t="inlineStr">
        <is>
          <t>BG002</t>
        </is>
      </c>
      <c r="H153" t="inlineStr">
        <is>
          <t>20 Juli 2023</t>
        </is>
      </c>
      <c r="I153" s="2" t="n">
        <v>46234</v>
      </c>
      <c r="J153" t="inlineStr">
        <is>
          <t>Disetujui</t>
        </is>
      </c>
      <c r="K153" t="n">
        <v>30</v>
      </c>
      <c r="L153" t="inlineStr">
        <is>
          <t>31 Juli 2026</t>
        </is>
      </c>
      <c r="M153" t="inlineStr">
        <is>
          <t>Konstruksi Gedung Perkantoran</t>
        </is>
      </c>
      <c r="N153" t="inlineStr">
        <is>
          <t>K</t>
        </is>
      </c>
      <c r="O153" t="inlineStr">
        <is>
          <t>20230728</t>
        </is>
      </c>
      <c r="P153" t="inlineStr">
        <is>
          <t>Kalimantan Barat</t>
        </is>
      </c>
      <c r="Q153" t="inlineStr"/>
    </row>
    <row r="154">
      <c r="A154" t="inlineStr">
        <is>
          <t>PUTRA JAYA MANDIRI</t>
        </is>
      </c>
      <c r="B154" t="inlineStr">
        <is>
          <t>Kota Adm. Jakarta Utara</t>
        </is>
      </c>
      <c r="C154" t="inlineStr">
        <is>
          <t>02165302044</t>
        </is>
      </c>
      <c r="D154" t="inlineStr">
        <is>
          <t>kamdani_putrajaya@yahoo.com</t>
        </is>
      </c>
      <c r="E154" t="inlineStr">
        <is>
          <t>https://lpjk.pu.go.id/search-badan-usaha-detail/SWIxRndXRVBmU3Z4eVNZT1dkcjI4QT09</t>
        </is>
      </c>
      <c r="F154" t="n">
        <v>1</v>
      </c>
      <c r="G154" t="inlineStr">
        <is>
          <t>BS001</t>
        </is>
      </c>
      <c r="H154" t="inlineStr">
        <is>
          <t>17 Mei 2023</t>
        </is>
      </c>
      <c r="I154" s="2" t="n">
        <v>46234</v>
      </c>
      <c r="J154" t="inlineStr">
        <is>
          <t>Disetujui</t>
        </is>
      </c>
      <c r="K154" t="n">
        <v>30</v>
      </c>
      <c r="L154" t="inlineStr">
        <is>
          <t>31 Juli 2026</t>
        </is>
      </c>
      <c r="M154" t="inlineStr">
        <is>
          <t>Konstruksi Bangunan Sipil Jalan</t>
        </is>
      </c>
      <c r="N154" t="inlineStr">
        <is>
          <t>K</t>
        </is>
      </c>
      <c r="O154" t="inlineStr">
        <is>
          <t>20230728</t>
        </is>
      </c>
      <c r="P154" t="inlineStr">
        <is>
          <t>DKI Jakarta</t>
        </is>
      </c>
      <c r="Q154" t="inlineStr"/>
    </row>
    <row r="155">
      <c r="A155" t="inlineStr">
        <is>
          <t>PUTRA MAHKOTA ADYAKSA</t>
        </is>
      </c>
      <c r="B155" t="inlineStr">
        <is>
          <t>Kab. Luwu Utara</t>
        </is>
      </c>
      <c r="C155" t="inlineStr">
        <is>
          <t>085396177272</t>
        </is>
      </c>
      <c r="D155" t="inlineStr">
        <is>
          <t>mahkota_adyaksa@yahoo.com</t>
        </is>
      </c>
      <c r="E155" t="inlineStr">
        <is>
          <t>https://lpjk.pu.go.id/search-badan-usaha-detail/ZEVZaFQvcG5WREYvZ1F3T1RxQ3dZQT09</t>
        </is>
      </c>
      <c r="F155" t="n">
        <v>1</v>
      </c>
      <c r="G155" t="inlineStr">
        <is>
          <t>BS001</t>
        </is>
      </c>
      <c r="H155" t="inlineStr">
        <is>
          <t>11 Januari 2016</t>
        </is>
      </c>
      <c r="I155" s="2" t="n">
        <v>46234</v>
      </c>
      <c r="J155" t="inlineStr">
        <is>
          <t>Disetujui</t>
        </is>
      </c>
      <c r="K155" t="n">
        <v>30</v>
      </c>
      <c r="L155" t="inlineStr">
        <is>
          <t>31 Juli 2026</t>
        </is>
      </c>
      <c r="M155" t="inlineStr">
        <is>
          <t>Konstruksi Bangunan Sipil Jalan</t>
        </is>
      </c>
      <c r="N155" t="inlineStr">
        <is>
          <t>K</t>
        </is>
      </c>
      <c r="O155" t="inlineStr">
        <is>
          <t>20230731</t>
        </is>
      </c>
      <c r="P155" t="inlineStr">
        <is>
          <t>Sulawesi Selatan</t>
        </is>
      </c>
      <c r="Q155" t="inlineStr"/>
    </row>
    <row r="156">
      <c r="A156" t="inlineStr">
        <is>
          <t>PUTRA MAREYO ENITO</t>
        </is>
      </c>
      <c r="B156" t="inlineStr">
        <is>
          <t>Kab. Pegunungan Arfak</t>
        </is>
      </c>
      <c r="C156" t="inlineStr">
        <is>
          <t>081344213560</t>
        </is>
      </c>
      <c r="D156" t="inlineStr">
        <is>
          <t>putramareyoenito@gmail.com</t>
        </is>
      </c>
      <c r="E156" t="inlineStr">
        <is>
          <t>https://lpjk.pu.go.id/search-badan-usaha-detail/QTgzb21nQzZwUmRsaTZpNkR1NEpNUT09</t>
        </is>
      </c>
      <c r="F156" t="n">
        <v>1</v>
      </c>
      <c r="G156" t="inlineStr">
        <is>
          <t>BG005</t>
        </is>
      </c>
      <c r="H156" t="inlineStr">
        <is>
          <t>25 Juli 2019</t>
        </is>
      </c>
      <c r="I156" s="2" t="n">
        <v>46234</v>
      </c>
      <c r="J156" t="inlineStr">
        <is>
          <t>Pencabutan</t>
        </is>
      </c>
      <c r="K156" t="n">
        <v>30</v>
      </c>
      <c r="L156" t="inlineStr">
        <is>
          <t>31 Juli 2026</t>
        </is>
      </c>
      <c r="M156" t="inlineStr">
        <is>
          <t>Konstruksi Gedung Kesehatan</t>
        </is>
      </c>
      <c r="N156" t="inlineStr">
        <is>
          <t>K</t>
        </is>
      </c>
      <c r="O156" t="inlineStr">
        <is>
          <t>20230730</t>
        </is>
      </c>
      <c r="P156" t="inlineStr">
        <is>
          <t>Papua Barat</t>
        </is>
      </c>
      <c r="Q156" t="inlineStr"/>
    </row>
    <row r="157">
      <c r="A157" t="inlineStr">
        <is>
          <t>PUTRA NATAMA ENGINEERING</t>
        </is>
      </c>
      <c r="B157" t="inlineStr">
        <is>
          <t>Kota Medan</t>
        </is>
      </c>
      <c r="C157" t="inlineStr">
        <is>
          <t>081314075327</t>
        </is>
      </c>
      <c r="D157" t="inlineStr">
        <is>
          <t>putra.natama@ymail.com</t>
        </is>
      </c>
      <c r="E157" t="inlineStr">
        <is>
          <t>https://lpjk.pu.go.id/search-badan-usaha-detail/ZXlpbDdwaW9ZeWUvSzhaRkJWdFNvdz09</t>
        </is>
      </c>
      <c r="F157" t="n">
        <v>2</v>
      </c>
      <c r="G157" t="inlineStr">
        <is>
          <t>BG005, BG006</t>
        </is>
      </c>
      <c r="H157" t="inlineStr">
        <is>
          <t>16 Desember 1999</t>
        </is>
      </c>
      <c r="I157" s="2" t="n">
        <v>46234</v>
      </c>
      <c r="J157" t="inlineStr">
        <is>
          <t>Disetujui</t>
        </is>
      </c>
      <c r="K157" t="n">
        <v>30</v>
      </c>
      <c r="L157" t="inlineStr">
        <is>
          <t>31 Juli 2026</t>
        </is>
      </c>
      <c r="M157" t="inlineStr">
        <is>
          <t>Konstruksi Gedung Kesehatan, Konstruksi Gedung Pendidikan</t>
        </is>
      </c>
      <c r="N157" t="inlineStr">
        <is>
          <t>K</t>
        </is>
      </c>
      <c r="O157" t="inlineStr">
        <is>
          <t>20230728, 20230729</t>
        </is>
      </c>
      <c r="P157" t="inlineStr">
        <is>
          <t>Sumatera Utara</t>
        </is>
      </c>
      <c r="Q157" t="inlineStr"/>
    </row>
    <row r="158">
      <c r="A158" t="inlineStr">
        <is>
          <t>PUTRA PURBATUA</t>
        </is>
      </c>
      <c r="B158" t="inlineStr">
        <is>
          <t>Kota Tangerang Selatan</t>
        </is>
      </c>
      <c r="C158" t="inlineStr">
        <is>
          <t>081380885551</t>
        </is>
      </c>
      <c r="D158" t="inlineStr">
        <is>
          <t>putra.purbatua@gmail.com</t>
        </is>
      </c>
      <c r="E158" t="inlineStr">
        <is>
          <t>https://lpjk.pu.go.id/search-badan-usaha-detail/YWxwUDFjRS8rVVR5SjM1bU85SFJmQT09</t>
        </is>
      </c>
      <c r="F158" t="n">
        <v>1</v>
      </c>
      <c r="G158" t="inlineStr">
        <is>
          <t>BG009</t>
        </is>
      </c>
      <c r="H158" t="inlineStr">
        <is>
          <t>8 November 2013</t>
        </is>
      </c>
      <c r="I158" s="2" t="n">
        <v>46234</v>
      </c>
      <c r="J158" t="inlineStr">
        <is>
          <t>Disetujui</t>
        </is>
      </c>
      <c r="K158" t="n">
        <v>30</v>
      </c>
      <c r="L158" t="inlineStr">
        <is>
          <t>31 Juli 2026</t>
        </is>
      </c>
      <c r="M158" t="inlineStr">
        <is>
          <t>Konstruksi Gedung Lainnya</t>
        </is>
      </c>
      <c r="N158" t="inlineStr">
        <is>
          <t>K</t>
        </is>
      </c>
      <c r="O158" t="inlineStr">
        <is>
          <t>20230801</t>
        </is>
      </c>
      <c r="P158" t="inlineStr">
        <is>
          <t>Banten</t>
        </is>
      </c>
      <c r="Q158" t="inlineStr"/>
    </row>
    <row r="159">
      <c r="A159" t="inlineStr">
        <is>
          <t>PUTRA SULTAN GEMILANG</t>
        </is>
      </c>
      <c r="B159" t="inlineStr">
        <is>
          <t>Kota Banda Aceh</t>
        </is>
      </c>
      <c r="C159" t="inlineStr">
        <is>
          <t>082363848767</t>
        </is>
      </c>
      <c r="D159" t="inlineStr">
        <is>
          <t>putrasultangemilang@gmail.com</t>
        </is>
      </c>
      <c r="E159" t="inlineStr">
        <is>
          <t>https://lpjk.pu.go.id/search-badan-usaha-detail/K1E5Uk5MdldKbXBkUnB4QzBxVDJSdz09</t>
        </is>
      </c>
      <c r="F159" t="n">
        <v>4</v>
      </c>
      <c r="G159" t="inlineStr">
        <is>
          <t>BG001, BG005, BG008, BS001</t>
        </is>
      </c>
      <c r="H159" t="inlineStr">
        <is>
          <t>7 Januari 2021</t>
        </is>
      </c>
      <c r="I159" s="2" t="n">
        <v>46234</v>
      </c>
      <c r="J159" t="inlineStr">
        <is>
          <t>Disetujui</t>
        </is>
      </c>
      <c r="K159" t="n">
        <v>30</v>
      </c>
      <c r="L159" t="inlineStr">
        <is>
          <t>31 Juli 2026</t>
        </is>
      </c>
      <c r="M159" t="inlineStr">
        <is>
          <t>Konstruksi Bangunan Sipil Jalan, Konstruksi Gedung Hunian, Konstruksi Gedung Kesehatan, Konstruksi Gedung Tempat Hiburan dan Olahraga</t>
        </is>
      </c>
      <c r="N159" t="inlineStr">
        <is>
          <t>K</t>
        </is>
      </c>
      <c r="O159" t="inlineStr">
        <is>
          <t>20230725, 20230726</t>
        </is>
      </c>
      <c r="P159" t="inlineStr">
        <is>
          <t>Aceh</t>
        </is>
      </c>
      <c r="Q159" t="inlineStr"/>
    </row>
    <row r="160">
      <c r="A160" t="inlineStr">
        <is>
          <t>PUTRA TANJUNG RANCING</t>
        </is>
      </c>
      <c r="B160" t="inlineStr">
        <is>
          <t>Kab. Ogan Komering Ilir</t>
        </is>
      </c>
      <c r="C160" t="inlineStr">
        <is>
          <t>082282376186</t>
        </is>
      </c>
      <c r="D160" t="inlineStr">
        <is>
          <t>asepdwi197@gmail.com</t>
        </is>
      </c>
      <c r="E160" t="inlineStr">
        <is>
          <t>https://lpjk.pu.go.id/search-badan-usaha-detail/ZGdzY2k5UFlHTXcxQldFR1R4bzIwdz09</t>
        </is>
      </c>
      <c r="F160" t="n">
        <v>1</v>
      </c>
      <c r="G160" t="inlineStr">
        <is>
          <t>BG009</t>
        </is>
      </c>
      <c r="H160" t="inlineStr">
        <is>
          <t>20 Agustus 2012</t>
        </is>
      </c>
      <c r="I160" s="2" t="n">
        <v>46234</v>
      </c>
      <c r="J160" t="inlineStr">
        <is>
          <t>Disetujui</t>
        </is>
      </c>
      <c r="K160" t="n">
        <v>30</v>
      </c>
      <c r="L160" t="inlineStr">
        <is>
          <t>31 Juli 2026</t>
        </is>
      </c>
      <c r="M160" t="inlineStr">
        <is>
          <t>Konstruksi Gedung Lainnya</t>
        </is>
      </c>
      <c r="N160" t="inlineStr">
        <is>
          <t>K</t>
        </is>
      </c>
      <c r="O160" t="inlineStr">
        <is>
          <t>20230718</t>
        </is>
      </c>
      <c r="P160" t="inlineStr">
        <is>
          <t>Sumatera Selatan</t>
        </is>
      </c>
      <c r="Q160" t="inlineStr"/>
    </row>
    <row r="161">
      <c r="A161" t="inlineStr">
        <is>
          <t>PUTRA UTAMA KONSTRUKSI</t>
        </is>
      </c>
      <c r="B161" t="inlineStr">
        <is>
          <t>Kota Makassar</t>
        </is>
      </c>
      <c r="C161" t="inlineStr">
        <is>
          <t>082259321338</t>
        </is>
      </c>
      <c r="D161" t="inlineStr">
        <is>
          <t>konstruksiputrautama@gmail.com</t>
        </is>
      </c>
      <c r="E161" t="inlineStr">
        <is>
          <t>https://lpjk.pu.go.id/search-badan-usaha-detail/VmNYTm91ek0yeDdaSEdXbTl3MmVrdz09</t>
        </is>
      </c>
      <c r="F161" t="n">
        <v>1</v>
      </c>
      <c r="G161" t="inlineStr">
        <is>
          <t>BG009</t>
        </is>
      </c>
      <c r="H161" t="inlineStr">
        <is>
          <t>14 Agustus 2018</t>
        </is>
      </c>
      <c r="I161" s="2" t="n">
        <v>46234</v>
      </c>
      <c r="J161" t="inlineStr">
        <is>
          <t>Pencabutan</t>
        </is>
      </c>
      <c r="K161" t="n">
        <v>30</v>
      </c>
      <c r="L161" t="inlineStr">
        <is>
          <t>31 Juli 2026</t>
        </is>
      </c>
      <c r="M161" t="inlineStr">
        <is>
          <t>Konstruksi Gedung Lainnya</t>
        </is>
      </c>
      <c r="N161" t="inlineStr">
        <is>
          <t>M</t>
        </is>
      </c>
      <c r="O161" t="inlineStr">
        <is>
          <t>20230801</t>
        </is>
      </c>
      <c r="P161" t="inlineStr">
        <is>
          <t>Sulawesi Selatan</t>
        </is>
      </c>
      <c r="Q161" t="inlineStr"/>
    </row>
    <row r="162">
      <c r="A162" t="inlineStr">
        <is>
          <t>PUTRI SAFIRA</t>
        </is>
      </c>
      <c r="B162" t="inlineStr">
        <is>
          <t>Kota Palu</t>
        </is>
      </c>
      <c r="C162" t="inlineStr">
        <is>
          <t>08114548844</t>
        </is>
      </c>
      <c r="D162" t="inlineStr">
        <is>
          <t>putrisafira.cv@gmail.com</t>
        </is>
      </c>
      <c r="E162" t="inlineStr">
        <is>
          <t>https://lpjk.pu.go.id/search-badan-usaha-detail/TDZOTEFOK3A1VldxR25vV285MkZBdz09</t>
        </is>
      </c>
      <c r="F162" t="n">
        <v>2</v>
      </c>
      <c r="G162" t="inlineStr">
        <is>
          <t>BG004, BG007</t>
        </is>
      </c>
      <c r="H162" t="inlineStr">
        <is>
          <t>5 Januari 2017</t>
        </is>
      </c>
      <c r="I162" s="2" t="n">
        <v>46234</v>
      </c>
      <c r="J162" t="inlineStr">
        <is>
          <t>Disetujui</t>
        </is>
      </c>
      <c r="K162" t="n">
        <v>30</v>
      </c>
      <c r="L162" t="inlineStr">
        <is>
          <t>31 Juli 2026</t>
        </is>
      </c>
      <c r="M162" t="inlineStr">
        <is>
          <t>Konstruksi Gedung Penginapan, Konstruksi Gedung Perbelanjaan</t>
        </is>
      </c>
      <c r="N162" t="inlineStr">
        <is>
          <t>K</t>
        </is>
      </c>
      <c r="O162" t="inlineStr">
        <is>
          <t>20230801</t>
        </is>
      </c>
      <c r="P162" t="inlineStr">
        <is>
          <t>Sulawesi Tengah</t>
        </is>
      </c>
      <c r="Q162" t="inlineStr"/>
    </row>
    <row r="163">
      <c r="A163" t="inlineStr">
        <is>
          <t>RAIHAN JAYA PERKASA</t>
        </is>
      </c>
      <c r="B163" t="inlineStr">
        <is>
          <t>Kab. Melawi</t>
        </is>
      </c>
      <c r="C163" t="inlineStr">
        <is>
          <t>085210100145</t>
        </is>
      </c>
      <c r="D163" t="inlineStr">
        <is>
          <t>cvraihanjayaperkasa@gmail.com</t>
        </is>
      </c>
      <c r="E163" t="inlineStr">
        <is>
          <t>https://lpjk.pu.go.id/search-badan-usaha-detail/VStYd053Y2VpOGE1M3FxVnVsK2NoZz09</t>
        </is>
      </c>
      <c r="F163" t="n">
        <v>2</v>
      </c>
      <c r="G163" t="inlineStr">
        <is>
          <t>BS001</t>
        </is>
      </c>
      <c r="H163" t="inlineStr">
        <is>
          <t>21 Januari 2020</t>
        </is>
      </c>
      <c r="I163" s="2" t="n">
        <v>46234</v>
      </c>
      <c r="J163" t="inlineStr">
        <is>
          <t>Disetujui</t>
        </is>
      </c>
      <c r="K163" t="n">
        <v>30</v>
      </c>
      <c r="L163" t="inlineStr">
        <is>
          <t>31 Juli 2026</t>
        </is>
      </c>
      <c r="M163" t="inlineStr">
        <is>
          <t>Konstruksi Bangunan Sipil Jalan</t>
        </is>
      </c>
      <c r="N163" t="inlineStr">
        <is>
          <t>K</t>
        </is>
      </c>
      <c r="O163" t="inlineStr">
        <is>
          <t>20230718</t>
        </is>
      </c>
      <c r="P163" t="inlineStr">
        <is>
          <t>Kalimantan Barat</t>
        </is>
      </c>
      <c r="Q163" t="inlineStr"/>
    </row>
    <row r="164">
      <c r="A164" t="inlineStr">
        <is>
          <t>RAJAWALI DEWANATA</t>
        </is>
      </c>
      <c r="B164" t="inlineStr">
        <is>
          <t>Kab. Karangasem</t>
        </is>
      </c>
      <c r="C164" t="inlineStr">
        <is>
          <t>081316531089</t>
        </is>
      </c>
      <c r="D164" t="inlineStr">
        <is>
          <t>rajawali_dewanata@yahoo.co.id</t>
        </is>
      </c>
      <c r="E164" t="inlineStr">
        <is>
          <t>https://lpjk.pu.go.id/search-badan-usaha-detail/ZmE5M2x1UEdBVUh1OWVvREI4TnYzdz09</t>
        </is>
      </c>
      <c r="F164" t="n">
        <v>2</v>
      </c>
      <c r="G164" t="inlineStr">
        <is>
          <t>BS011</t>
        </is>
      </c>
      <c r="H164" t="inlineStr">
        <is>
          <t>3 Desember 2004</t>
        </is>
      </c>
      <c r="I164" s="2" t="n">
        <v>46234</v>
      </c>
      <c r="J164" t="inlineStr">
        <is>
          <t>Dokumen Tidak Lengkap</t>
        </is>
      </c>
      <c r="K164" t="n">
        <v>30</v>
      </c>
      <c r="L164" t="inlineStr">
        <is>
          <t>31 Juli 2026</t>
        </is>
      </c>
      <c r="M164" t="inlineStr">
        <is>
          <t>Konstruksi Bangunan Pelabuhan Bukan Perikanan</t>
        </is>
      </c>
      <c r="N164" t="inlineStr">
        <is>
          <t>K</t>
        </is>
      </c>
      <c r="O164" t="inlineStr">
        <is>
          <t>20230726</t>
        </is>
      </c>
      <c r="P164" t="inlineStr">
        <is>
          <t>Bali</t>
        </is>
      </c>
      <c r="Q164" t="inlineStr"/>
    </row>
    <row r="165">
      <c r="A165" t="inlineStr">
        <is>
          <t>RAKASUTAMA MITRA ABADI</t>
        </is>
      </c>
      <c r="B165" t="inlineStr">
        <is>
          <t>Kab. Badung</t>
        </is>
      </c>
      <c r="C165" t="inlineStr">
        <is>
          <t>082247126006</t>
        </is>
      </c>
      <c r="D165" t="inlineStr">
        <is>
          <t>Rakasutama2023@gmail.com</t>
        </is>
      </c>
      <c r="E165" t="inlineStr">
        <is>
          <t>https://lpjk.pu.go.id/search-badan-usaha-detail/L2ZvRVVkaGtJSWdnOTRMSlpaSm0zQT09</t>
        </is>
      </c>
      <c r="F165" t="n">
        <v>1</v>
      </c>
      <c r="G165" t="inlineStr">
        <is>
          <t>RK003</t>
        </is>
      </c>
      <c r="H165" t="inlineStr">
        <is>
          <t>29 Maret 2023</t>
        </is>
      </c>
      <c r="I165" s="2" t="n">
        <v>46234</v>
      </c>
      <c r="J165" t="inlineStr">
        <is>
          <t>Disetujui</t>
        </is>
      </c>
      <c r="K165" t="n">
        <v>30</v>
      </c>
      <c r="L165" t="inlineStr">
        <is>
          <t>31 Juli 2026</t>
        </is>
      </c>
      <c r="M165" t="inlineStr">
        <is>
          <t>Jasa Rekayasa Pekerjaan Teknik Sipil Transportasi</t>
        </is>
      </c>
      <c r="N165" t="inlineStr">
        <is>
          <t>K</t>
        </is>
      </c>
      <c r="O165" t="inlineStr">
        <is>
          <t>20230717</t>
        </is>
      </c>
      <c r="P165" t="inlineStr">
        <is>
          <t>Bali</t>
        </is>
      </c>
      <c r="Q165" t="inlineStr"/>
    </row>
    <row r="166">
      <c r="A166" t="inlineStr">
        <is>
          <t>RAKHA CIPTA ENGINEERING</t>
        </is>
      </c>
      <c r="B166" t="inlineStr">
        <is>
          <t>Kota Tanjung Pinang</t>
        </is>
      </c>
      <c r="C166" t="inlineStr">
        <is>
          <t>0811772486</t>
        </is>
      </c>
      <c r="D166" t="inlineStr">
        <is>
          <t>rakhacipta.ec@gmail.com</t>
        </is>
      </c>
      <c r="E166" t="inlineStr">
        <is>
          <t>https://lpjk.pu.go.id/search-badan-usaha-detail/ZEdIdmVPSkJrQWwxRzltQXRwSGdWQT09</t>
        </is>
      </c>
      <c r="F166" t="n">
        <v>1</v>
      </c>
      <c r="G166" t="inlineStr">
        <is>
          <t>RK003</t>
        </is>
      </c>
      <c r="H166" t="inlineStr">
        <is>
          <t>9 Oktober 2019</t>
        </is>
      </c>
      <c r="I166" s="2" t="n">
        <v>46234</v>
      </c>
      <c r="J166" t="inlineStr">
        <is>
          <t>Disetujui</t>
        </is>
      </c>
      <c r="K166" t="n">
        <v>30</v>
      </c>
      <c r="L166" t="inlineStr">
        <is>
          <t>31 Juli 2026</t>
        </is>
      </c>
      <c r="M166" t="inlineStr">
        <is>
          <t>Jasa Rekayasa Pekerjaan Teknik Sipil Transportasi</t>
        </is>
      </c>
      <c r="N166" t="inlineStr">
        <is>
          <t>K</t>
        </is>
      </c>
      <c r="O166" t="inlineStr">
        <is>
          <t>20230718</t>
        </is>
      </c>
      <c r="P166" t="inlineStr">
        <is>
          <t>Kepulauan Riau</t>
        </is>
      </c>
      <c r="Q166" t="inlineStr"/>
    </row>
    <row r="167">
      <c r="A167" t="inlineStr">
        <is>
          <t>RAMA WIJAYA</t>
        </is>
      </c>
      <c r="B167" t="inlineStr">
        <is>
          <t>Kab. Banyuwangi</t>
        </is>
      </c>
      <c r="C167" t="inlineStr">
        <is>
          <t>082334204747</t>
        </is>
      </c>
      <c r="D167" t="inlineStr">
        <is>
          <t>rama.wijaya_bwi@yahoo.com</t>
        </is>
      </c>
      <c r="E167" t="inlineStr">
        <is>
          <t>https://lpjk.pu.go.id/search-badan-usaha-detail/OUdLK2xPK01QdmlsV1Q3K0h3aE50UT09</t>
        </is>
      </c>
      <c r="F167" t="n">
        <v>1</v>
      </c>
      <c r="G167" t="inlineStr">
        <is>
          <t>BS001</t>
        </is>
      </c>
      <c r="H167" t="inlineStr">
        <is>
          <t>21 Januari 1998</t>
        </is>
      </c>
      <c r="I167" s="2" t="n">
        <v>46234</v>
      </c>
      <c r="J167" t="inlineStr">
        <is>
          <t>Disetujui</t>
        </is>
      </c>
      <c r="K167" t="n">
        <v>30</v>
      </c>
      <c r="L167" t="inlineStr">
        <is>
          <t>31 Juli 2026</t>
        </is>
      </c>
      <c r="M167" t="inlineStr">
        <is>
          <t>Konstruksi Bangunan Sipil Jalan</t>
        </is>
      </c>
      <c r="N167" t="inlineStr">
        <is>
          <t>K</t>
        </is>
      </c>
      <c r="O167" t="inlineStr">
        <is>
          <t>20230728</t>
        </is>
      </c>
      <c r="P167" t="inlineStr">
        <is>
          <t>Jawa Timur</t>
        </is>
      </c>
      <c r="Q167" t="inlineStr"/>
    </row>
    <row r="168">
      <c r="A168" t="inlineStr">
        <is>
          <t>RANI MANDIRI</t>
        </is>
      </c>
      <c r="B168" t="inlineStr">
        <is>
          <t>Kab. Sidenreng Rappang</t>
        </is>
      </c>
      <c r="C168" t="inlineStr">
        <is>
          <t>081242431367</t>
        </is>
      </c>
      <c r="D168" t="inlineStr">
        <is>
          <t>ranysafitri2@gmail.com</t>
        </is>
      </c>
      <c r="E168" t="inlineStr">
        <is>
          <t>https://lpjk.pu.go.id/search-badan-usaha-detail/N09Ea3RjSU5yQkhNZTFoeFQ0UUxPdz09</t>
        </is>
      </c>
      <c r="F168" t="n">
        <v>1</v>
      </c>
      <c r="G168" t="inlineStr">
        <is>
          <t>BG006</t>
        </is>
      </c>
      <c r="H168" t="inlineStr">
        <is>
          <t>30 Oktober 2019</t>
        </is>
      </c>
      <c r="I168" s="2" t="n">
        <v>46234</v>
      </c>
      <c r="J168" t="inlineStr">
        <is>
          <t>Disetujui</t>
        </is>
      </c>
      <c r="K168" t="n">
        <v>30</v>
      </c>
      <c r="L168" t="inlineStr">
        <is>
          <t>31 Juli 2026</t>
        </is>
      </c>
      <c r="M168" t="inlineStr">
        <is>
          <t>Konstruksi Gedung Pendidikan</t>
        </is>
      </c>
      <c r="N168" t="inlineStr">
        <is>
          <t>K</t>
        </is>
      </c>
      <c r="O168" t="inlineStr">
        <is>
          <t>20230731</t>
        </is>
      </c>
      <c r="P168" t="inlineStr">
        <is>
          <t>Sulawesi Selatan</t>
        </is>
      </c>
      <c r="Q168" t="inlineStr"/>
    </row>
    <row r="169">
      <c r="A169" t="inlineStr">
        <is>
          <t>RANULE ADE KAKA</t>
        </is>
      </c>
      <c r="B169" t="inlineStr">
        <is>
          <t>Kab. Halmahera Tengah</t>
        </is>
      </c>
      <c r="C169" t="inlineStr">
        <is>
          <t>081244391711</t>
        </is>
      </c>
      <c r="D169" t="inlineStr">
        <is>
          <t>cv.ranuleadekaka@gmail.com</t>
        </is>
      </c>
      <c r="E169" t="inlineStr">
        <is>
          <t>https://lpjk.pu.go.id/search-badan-usaha-detail/WE4rbGE5dFprTHNPcGdqcjRQU3VtUT09</t>
        </is>
      </c>
      <c r="F169" t="n">
        <v>1</v>
      </c>
      <c r="G169" t="inlineStr">
        <is>
          <t>BG009</t>
        </is>
      </c>
      <c r="H169" t="inlineStr">
        <is>
          <t>16 Juli 2020</t>
        </is>
      </c>
      <c r="I169" s="2" t="n">
        <v>46234</v>
      </c>
      <c r="J169" t="inlineStr">
        <is>
          <t>Disetujui</t>
        </is>
      </c>
      <c r="K169" t="n">
        <v>30</v>
      </c>
      <c r="L169" t="inlineStr">
        <is>
          <t>31 Juli 2026</t>
        </is>
      </c>
      <c r="M169" t="inlineStr">
        <is>
          <t>Konstruksi Gedung Lainnya</t>
        </is>
      </c>
      <c r="N169" t="inlineStr">
        <is>
          <t>K</t>
        </is>
      </c>
      <c r="O169" t="inlineStr">
        <is>
          <t>20230710</t>
        </is>
      </c>
      <c r="P169" t="inlineStr">
        <is>
          <t>Maluku Utara</t>
        </is>
      </c>
      <c r="Q169" t="inlineStr"/>
    </row>
    <row r="170">
      <c r="A170" t="inlineStr">
        <is>
          <t>REKABANGUN PRADAYA MULTIDIMENSI</t>
        </is>
      </c>
      <c r="B170" t="inlineStr">
        <is>
          <t>Kota Bandung</t>
        </is>
      </c>
      <c r="C170" t="inlineStr">
        <is>
          <t>082118277088</t>
        </is>
      </c>
      <c r="D170" t="inlineStr">
        <is>
          <t>rekabangun.pradaya@gmail.com</t>
        </is>
      </c>
      <c r="E170" t="inlineStr">
        <is>
          <t>https://lpjk.pu.go.id/search-badan-usaha-detail/SVBudlY5VTJYQUp3TVpQUWFOenhmdz09</t>
        </is>
      </c>
      <c r="F170" t="n">
        <v>6</v>
      </c>
      <c r="G170" t="inlineStr">
        <is>
          <t>BG002, BG006, BG009</t>
        </is>
      </c>
      <c r="H170" t="inlineStr">
        <is>
          <t>5 September 2019</t>
        </is>
      </c>
      <c r="I170" s="2" t="n">
        <v>46234</v>
      </c>
      <c r="J170" t="inlineStr">
        <is>
          <t>Disetujui</t>
        </is>
      </c>
      <c r="K170" t="n">
        <v>30</v>
      </c>
      <c r="L170" t="inlineStr">
        <is>
          <t>31 Juli 2026</t>
        </is>
      </c>
      <c r="M170" t="inlineStr">
        <is>
          <t>Konstruksi Gedung Lainnya, Konstruksi Gedung Pendidikan, Konstruksi Gedung Perkantoran</t>
        </is>
      </c>
      <c r="N170" t="inlineStr">
        <is>
          <t>K</t>
        </is>
      </c>
      <c r="O170" t="inlineStr">
        <is>
          <t>20230728</t>
        </is>
      </c>
      <c r="P170" t="inlineStr">
        <is>
          <t>Jawa Barat</t>
        </is>
      </c>
      <c r="Q170" t="inlineStr"/>
    </row>
    <row r="171">
      <c r="A171" t="inlineStr">
        <is>
          <t>RESPATI BIMANTARA</t>
        </is>
      </c>
      <c r="B171" t="inlineStr">
        <is>
          <t>Kab. Jember</t>
        </is>
      </c>
      <c r="C171" t="inlineStr">
        <is>
          <t>085749314849</t>
        </is>
      </c>
      <c r="D171" t="inlineStr">
        <is>
          <t>respatibimantara04@gmail.com</t>
        </is>
      </c>
      <c r="E171" t="inlineStr">
        <is>
          <t>https://lpjk.pu.go.id/search-badan-usaha-detail/VFdQQldkdXdFa09wS1Q4OXVEOG11QT09</t>
        </is>
      </c>
      <c r="F171" t="n">
        <v>3</v>
      </c>
      <c r="G171" t="inlineStr">
        <is>
          <t>BG001, BG003, BG006</t>
        </is>
      </c>
      <c r="H171" t="inlineStr">
        <is>
          <t>16 Juni 2022</t>
        </is>
      </c>
      <c r="I171" s="2" t="n">
        <v>46234</v>
      </c>
      <c r="J171" t="inlineStr">
        <is>
          <t>Disetujui</t>
        </is>
      </c>
      <c r="K171" t="n">
        <v>30</v>
      </c>
      <c r="L171" t="inlineStr">
        <is>
          <t>31 Juli 2026</t>
        </is>
      </c>
      <c r="M171" t="inlineStr">
        <is>
          <t>Konstruksi Gedung Hunian, Konstruksi Gedung Industri, Konstruksi Gedung Pendidikan</t>
        </is>
      </c>
      <c r="N171" t="inlineStr">
        <is>
          <t>K</t>
        </is>
      </c>
      <c r="O171" t="inlineStr">
        <is>
          <t>20230614</t>
        </is>
      </c>
      <c r="P171" t="inlineStr">
        <is>
          <t>Jawa Timur</t>
        </is>
      </c>
      <c r="Q171" t="inlineStr"/>
    </row>
    <row r="172">
      <c r="A172" t="inlineStr">
        <is>
          <t>REZA TEKNIK MANDIRI</t>
        </is>
      </c>
      <c r="B172" t="inlineStr">
        <is>
          <t>Kota Jambi</t>
        </is>
      </c>
      <c r="C172" t="inlineStr">
        <is>
          <t>081260199262</t>
        </is>
      </c>
      <c r="D172" t="inlineStr">
        <is>
          <t>081260199262</t>
        </is>
      </c>
      <c r="E172" t="inlineStr">
        <is>
          <t>https://lpjk.pu.go.id/search-badan-usaha-detail/RHpja1YwSzRTZkpwalNHWWdQSUVaZz09</t>
        </is>
      </c>
      <c r="F172" t="n">
        <v>1</v>
      </c>
      <c r="G172" t="inlineStr">
        <is>
          <t>BS004</t>
        </is>
      </c>
      <c r="H172" t="inlineStr">
        <is>
          <t>9 Februari 2015</t>
        </is>
      </c>
      <c r="I172" s="2" t="n">
        <v>46234</v>
      </c>
      <c r="J172" t="inlineStr">
        <is>
          <t>Disetujui</t>
        </is>
      </c>
      <c r="K172" t="n">
        <v>30</v>
      </c>
      <c r="L172" t="inlineStr">
        <is>
          <t>31 Juli 2026</t>
        </is>
      </c>
      <c r="M172" t="inlineStr">
        <is>
          <t>Konstruksi Jaringan Irigasi dan Drainase</t>
        </is>
      </c>
      <c r="N172" t="inlineStr">
        <is>
          <t>K</t>
        </is>
      </c>
      <c r="O172" t="inlineStr">
        <is>
          <t>20230731</t>
        </is>
      </c>
      <c r="P172" t="inlineStr">
        <is>
          <t>Jambi</t>
        </is>
      </c>
      <c r="Q172" t="inlineStr"/>
    </row>
    <row r="173">
      <c r="A173" t="inlineStr">
        <is>
          <t>RINO PERSADA</t>
        </is>
      </c>
      <c r="B173" t="inlineStr">
        <is>
          <t>Kab. Konawe</t>
        </is>
      </c>
      <c r="C173" t="inlineStr">
        <is>
          <t>081341530543</t>
        </is>
      </c>
      <c r="D173" t="inlineStr">
        <is>
          <t>rinopersada2020@gmail.com</t>
        </is>
      </c>
      <c r="E173" t="inlineStr">
        <is>
          <t>https://lpjk.pu.go.id/search-badan-usaha-detail/Y1BhV0lnYkozbXkvVmplR1dJVzY1QT09</t>
        </is>
      </c>
      <c r="F173" t="n">
        <v>1</v>
      </c>
      <c r="G173" t="inlineStr">
        <is>
          <t>BG009</t>
        </is>
      </c>
      <c r="H173" t="inlineStr">
        <is>
          <t>7 Januari 2013</t>
        </is>
      </c>
      <c r="I173" s="2" t="n">
        <v>46234</v>
      </c>
      <c r="J173" t="inlineStr">
        <is>
          <t>Pencabutan</t>
        </is>
      </c>
      <c r="K173" t="n">
        <v>30</v>
      </c>
      <c r="L173" t="inlineStr">
        <is>
          <t>31 Juli 2026</t>
        </is>
      </c>
      <c r="M173" t="inlineStr">
        <is>
          <t>Konstruksi Gedung Lainnya</t>
        </is>
      </c>
      <c r="N173" t="inlineStr">
        <is>
          <t>K</t>
        </is>
      </c>
      <c r="O173" t="inlineStr">
        <is>
          <t>20230801</t>
        </is>
      </c>
      <c r="P173" t="inlineStr">
        <is>
          <t>Sulawesi Tenggara</t>
        </is>
      </c>
      <c r="Q173" t="inlineStr"/>
    </row>
    <row r="174">
      <c r="A174" t="inlineStr">
        <is>
          <t>RIZKI UTAMA</t>
        </is>
      </c>
      <c r="B174" t="inlineStr">
        <is>
          <t>Kab. Bondowoso</t>
        </is>
      </c>
      <c r="C174" t="inlineStr">
        <is>
          <t>085231377788</t>
        </is>
      </c>
      <c r="D174" t="inlineStr">
        <is>
          <t>djajuscv@gmail.com</t>
        </is>
      </c>
      <c r="E174" t="inlineStr">
        <is>
          <t>https://lpjk.pu.go.id/search-badan-usaha-detail/QlpMajMyU2JMOVYxR1VEQytpQ3FkZz09</t>
        </is>
      </c>
      <c r="F174" t="n">
        <v>2</v>
      </c>
      <c r="G174" t="inlineStr">
        <is>
          <t>BG006, BS004</t>
        </is>
      </c>
      <c r="H174" t="inlineStr">
        <is>
          <t>30 Desember 2002</t>
        </is>
      </c>
      <c r="I174" s="2" t="n">
        <v>46234</v>
      </c>
      <c r="J174" t="inlineStr">
        <is>
          <t>Disetujui</t>
        </is>
      </c>
      <c r="K174" t="n">
        <v>30</v>
      </c>
      <c r="L174" t="inlineStr">
        <is>
          <t>31 Juli 2026</t>
        </is>
      </c>
      <c r="M174" t="inlineStr">
        <is>
          <t>Konstruksi Gedung Pendidikan, Konstruksi Jaringan Irigasi dan Drainase</t>
        </is>
      </c>
      <c r="N174" t="inlineStr">
        <is>
          <t>K</t>
        </is>
      </c>
      <c r="O174" t="inlineStr">
        <is>
          <t>20230726, 20230731</t>
        </is>
      </c>
      <c r="P174" t="inlineStr">
        <is>
          <t>Jawa Timur</t>
        </is>
      </c>
      <c r="Q174" t="inlineStr"/>
    </row>
    <row r="175">
      <c r="A175" t="inlineStr">
        <is>
          <t>SAHABAT</t>
        </is>
      </c>
      <c r="B175" t="inlineStr">
        <is>
          <t>Kab. Banyumas</t>
        </is>
      </c>
      <c r="C175" t="inlineStr">
        <is>
          <t>082220070187</t>
        </is>
      </c>
      <c r="D175" t="inlineStr">
        <is>
          <t>sahabat342@gmail.com</t>
        </is>
      </c>
      <c r="E175" t="inlineStr">
        <is>
          <t>https://lpjk.pu.go.id/search-badan-usaha-detail/SGtuR3pkQndqUUQxYUJSV0dGVFhjUT09</t>
        </is>
      </c>
      <c r="F175" t="n">
        <v>2</v>
      </c>
      <c r="G175" t="inlineStr">
        <is>
          <t>BG009, BS002</t>
        </is>
      </c>
      <c r="H175" t="inlineStr">
        <is>
          <t>10 Februari 2015</t>
        </is>
      </c>
      <c r="I175" s="2" t="n">
        <v>46234</v>
      </c>
      <c r="J175" t="inlineStr">
        <is>
          <t>Disetujui</t>
        </is>
      </c>
      <c r="K175" t="n">
        <v>30</v>
      </c>
      <c r="L175" t="inlineStr">
        <is>
          <t>31 Juli 2026</t>
        </is>
      </c>
      <c r="M175" t="inlineStr">
        <is>
          <t>Bangunan Sipil Jembatan, Jalan Layang, Fly Over, dan Underpass, Konstruksi Gedung Lainnya</t>
        </is>
      </c>
      <c r="N175" t="inlineStr">
        <is>
          <t>K</t>
        </is>
      </c>
      <c r="O175" t="inlineStr">
        <is>
          <t>20230728, 20230731</t>
        </is>
      </c>
      <c r="P175" t="inlineStr">
        <is>
          <t>Jawa Tengah</t>
        </is>
      </c>
      <c r="Q175" t="inlineStr"/>
    </row>
    <row r="176">
      <c r="A176" t="inlineStr">
        <is>
          <t>SAMPURNA JAYA</t>
        </is>
      </c>
      <c r="B176" t="inlineStr">
        <is>
          <t>Kab. Jember</t>
        </is>
      </c>
      <c r="C176" t="inlineStr">
        <is>
          <t>081334129238</t>
        </is>
      </c>
      <c r="D176" t="inlineStr">
        <is>
          <t>sampurnajaya126@gmail.com</t>
        </is>
      </c>
      <c r="E176" t="inlineStr">
        <is>
          <t>https://lpjk.pu.go.id/search-badan-usaha-detail/WjNFamZLNkUzQW93bTNRQjdyYVFNQT09</t>
        </is>
      </c>
      <c r="F176" t="n">
        <v>3</v>
      </c>
      <c r="G176" t="inlineStr">
        <is>
          <t>BG006, BG009, BS001</t>
        </is>
      </c>
      <c r="H176" t="inlineStr">
        <is>
          <t>2 September 2015</t>
        </is>
      </c>
      <c r="I176" s="2" t="n">
        <v>46234</v>
      </c>
      <c r="J176" t="inlineStr">
        <is>
          <t>Disetujui</t>
        </is>
      </c>
      <c r="K176" t="n">
        <v>30</v>
      </c>
      <c r="L176" t="inlineStr">
        <is>
          <t>31 Juli 2026</t>
        </is>
      </c>
      <c r="M176" t="inlineStr">
        <is>
          <t>Konstruksi Bangunan Sipil Jalan, Konstruksi Gedung Lainnya, Konstruksi Gedung Pendidikan</t>
        </is>
      </c>
      <c r="N176" t="inlineStr">
        <is>
          <t>K</t>
        </is>
      </c>
      <c r="O176" t="inlineStr">
        <is>
          <t>20230721</t>
        </is>
      </c>
      <c r="P176" t="inlineStr">
        <is>
          <t>Jawa Timur</t>
        </is>
      </c>
      <c r="Q176" t="inlineStr"/>
    </row>
    <row r="177">
      <c r="A177" t="inlineStr">
        <is>
          <t>SARANA MITRA KARYA</t>
        </is>
      </c>
      <c r="B177" t="inlineStr">
        <is>
          <t>Kota Padang</t>
        </is>
      </c>
      <c r="C177" t="inlineStr">
        <is>
          <t>085271422005</t>
        </is>
      </c>
      <c r="D177" t="inlineStr">
        <is>
          <t>saranamitrakarya@gmail.com</t>
        </is>
      </c>
      <c r="E177" t="inlineStr">
        <is>
          <t>https://lpjk.pu.go.id/search-badan-usaha-detail/TnNyVXhwNHdWaUVwVFJISlZUbEFxUT09</t>
        </is>
      </c>
      <c r="F177" t="n">
        <v>1</v>
      </c>
      <c r="G177" t="inlineStr">
        <is>
          <t>BS004</t>
        </is>
      </c>
      <c r="H177" t="inlineStr">
        <is>
          <t>9 Desember 2013</t>
        </is>
      </c>
      <c r="I177" s="2" t="n">
        <v>46234</v>
      </c>
      <c r="J177" t="inlineStr">
        <is>
          <t>Disetujui</t>
        </is>
      </c>
      <c r="K177" t="n">
        <v>30</v>
      </c>
      <c r="L177" t="inlineStr">
        <is>
          <t>31 Juli 2026</t>
        </is>
      </c>
      <c r="M177" t="inlineStr">
        <is>
          <t>Konstruksi Jaringan Irigasi dan Drainase</t>
        </is>
      </c>
      <c r="N177" t="inlineStr">
        <is>
          <t>K</t>
        </is>
      </c>
      <c r="O177" t="inlineStr">
        <is>
          <t>20230404</t>
        </is>
      </c>
      <c r="P177" t="inlineStr">
        <is>
          <t>Sumatera Barat</t>
        </is>
      </c>
      <c r="Q177" t="inlineStr"/>
    </row>
    <row r="178">
      <c r="A178" t="inlineStr">
        <is>
          <t>SATU INDONESIA KIRANA</t>
        </is>
      </c>
      <c r="B178" t="inlineStr">
        <is>
          <t>Kota Makassar</t>
        </is>
      </c>
      <c r="C178" t="inlineStr">
        <is>
          <t>0411830723</t>
        </is>
      </c>
      <c r="D178" t="inlineStr">
        <is>
          <t>pt.satuindonesiakirana@gmail.com</t>
        </is>
      </c>
      <c r="E178" t="inlineStr">
        <is>
          <t>https://lpjk.pu.go.id/search-badan-usaha-detail/aU4rc2syM2ZETGVaeFUyL1JkYzdpUT09</t>
        </is>
      </c>
      <c r="F178" t="n">
        <v>3</v>
      </c>
      <c r="G178" t="inlineStr">
        <is>
          <t>BG004, BG005, BG009</t>
        </is>
      </c>
      <c r="H178" t="inlineStr">
        <is>
          <t>5 Januari 2016</t>
        </is>
      </c>
      <c r="I178" s="2" t="n">
        <v>46234</v>
      </c>
      <c r="J178" t="inlineStr">
        <is>
          <t>Disetujui, Pembekuan</t>
        </is>
      </c>
      <c r="K178" t="n">
        <v>30</v>
      </c>
      <c r="L178" t="inlineStr">
        <is>
          <t>31 Juli 2026</t>
        </is>
      </c>
      <c r="M178" t="inlineStr">
        <is>
          <t>Konstruksi Gedung Kesehatan, Konstruksi Gedung Lainnya, Konstruksi Gedung Perbelanjaan</t>
        </is>
      </c>
      <c r="N178" t="inlineStr">
        <is>
          <t>K, M</t>
        </is>
      </c>
      <c r="O178" t="inlineStr">
        <is>
          <t>20230731</t>
        </is>
      </c>
      <c r="P178" t="inlineStr">
        <is>
          <t>Sulawesi Selatan</t>
        </is>
      </c>
      <c r="Q178" t="inlineStr"/>
    </row>
    <row r="179">
      <c r="A179" t="inlineStr">
        <is>
          <t>SEGERA SEJAHTERA</t>
        </is>
      </c>
      <c r="B179" t="inlineStr">
        <is>
          <t>Kab. Sukabumi</t>
        </is>
      </c>
      <c r="C179" t="inlineStr">
        <is>
          <t>085219539377</t>
        </is>
      </c>
      <c r="D179" t="inlineStr">
        <is>
          <t>cv.segerasejahtera@gmail.com</t>
        </is>
      </c>
      <c r="E179" t="inlineStr">
        <is>
          <t>https://lpjk.pu.go.id/search-badan-usaha-detail/TzRBdy83UmdwY2pGdUFiNWtrL2Fndz09</t>
        </is>
      </c>
      <c r="F179" t="n">
        <v>1</v>
      </c>
      <c r="G179" t="inlineStr">
        <is>
          <t>BG006</t>
        </is>
      </c>
      <c r="H179" t="inlineStr">
        <is>
          <t>26 Juni 2023</t>
        </is>
      </c>
      <c r="I179" s="2" t="n">
        <v>46234</v>
      </c>
      <c r="J179" t="inlineStr">
        <is>
          <t>Disetujui</t>
        </is>
      </c>
      <c r="K179" t="n">
        <v>30</v>
      </c>
      <c r="L179" t="inlineStr">
        <is>
          <t>31 Juli 2026</t>
        </is>
      </c>
      <c r="M179" t="inlineStr">
        <is>
          <t>Konstruksi Gedung Pendidikan</t>
        </is>
      </c>
      <c r="N179" t="inlineStr">
        <is>
          <t>K</t>
        </is>
      </c>
      <c r="O179" t="inlineStr">
        <is>
          <t>20230728</t>
        </is>
      </c>
      <c r="P179" t="inlineStr">
        <is>
          <t>Jawa Barat</t>
        </is>
      </c>
      <c r="Q179" t="inlineStr"/>
    </row>
    <row r="180">
      <c r="A180" t="inlineStr">
        <is>
          <t>SEJAHTERA BERSAMA MEGA RAYA</t>
        </is>
      </c>
      <c r="B180" t="inlineStr">
        <is>
          <t>Kab. Nganjuk</t>
        </is>
      </c>
      <c r="C180" t="inlineStr">
        <is>
          <t>081289929270</t>
        </is>
      </c>
      <c r="D180" t="inlineStr">
        <is>
          <t>sbmrcakep100@gmail.com</t>
        </is>
      </c>
      <c r="E180" t="inlineStr">
        <is>
          <t>https://lpjk.pu.go.id/search-badan-usaha-detail/c0x3R0ZyRzk2bWVpeGYyNW1pSHU4dz09</t>
        </is>
      </c>
      <c r="F180" t="n">
        <v>1</v>
      </c>
      <c r="G180" t="inlineStr">
        <is>
          <t>BS002</t>
        </is>
      </c>
      <c r="H180" t="inlineStr">
        <is>
          <t>11 Februari 2020</t>
        </is>
      </c>
      <c r="I180" s="2" t="n">
        <v>46234</v>
      </c>
      <c r="J180" t="inlineStr">
        <is>
          <t>Disetujui</t>
        </is>
      </c>
      <c r="K180" t="n">
        <v>30</v>
      </c>
      <c r="L180" t="inlineStr">
        <is>
          <t>31 Juli 2026</t>
        </is>
      </c>
      <c r="M180" t="inlineStr">
        <is>
          <t>Bangunan Sipil Jembatan, Jalan Layang, Fly Over, dan Underpass</t>
        </is>
      </c>
      <c r="N180" t="inlineStr">
        <is>
          <t>K</t>
        </is>
      </c>
      <c r="O180" t="inlineStr">
        <is>
          <t>20230715</t>
        </is>
      </c>
      <c r="P180" t="inlineStr">
        <is>
          <t>Jawa Timur</t>
        </is>
      </c>
      <c r="Q180" t="inlineStr"/>
    </row>
    <row r="181">
      <c r="A181" t="inlineStr">
        <is>
          <t>SEMBILAN - SEMBILAN</t>
        </is>
      </c>
      <c r="B181" t="inlineStr">
        <is>
          <t>Kab. Pekalongan</t>
        </is>
      </c>
      <c r="C181" t="inlineStr">
        <is>
          <t>081329731008</t>
        </is>
      </c>
      <c r="D181" t="inlineStr">
        <is>
          <t>sembilan2.cv@gmail.com</t>
        </is>
      </c>
      <c r="E181" t="inlineStr">
        <is>
          <t>https://lpjk.pu.go.id/search-badan-usaha-detail/UE9EY1RjNmlPWkdwQmg2bGpzd0RvQT09</t>
        </is>
      </c>
      <c r="F181" t="n">
        <v>1</v>
      </c>
      <c r="G181" t="inlineStr">
        <is>
          <t>BG006</t>
        </is>
      </c>
      <c r="H181" t="inlineStr">
        <is>
          <t>9 September 2009</t>
        </is>
      </c>
      <c r="I181" s="2" t="n">
        <v>46234</v>
      </c>
      <c r="J181" t="inlineStr">
        <is>
          <t>Disetujui</t>
        </is>
      </c>
      <c r="K181" t="n">
        <v>30</v>
      </c>
      <c r="L181" t="inlineStr">
        <is>
          <t>31 Juli 2026</t>
        </is>
      </c>
      <c r="M181" t="inlineStr">
        <is>
          <t>Konstruksi Gedung Pendidikan</t>
        </is>
      </c>
      <c r="N181" t="inlineStr">
        <is>
          <t>K</t>
        </is>
      </c>
      <c r="O181" t="inlineStr">
        <is>
          <t>20230718</t>
        </is>
      </c>
      <c r="P181" t="inlineStr">
        <is>
          <t>Jawa Tengah</t>
        </is>
      </c>
      <c r="Q181" t="inlineStr"/>
    </row>
    <row r="182">
      <c r="A182" t="inlineStr">
        <is>
          <t>SEMPURNA SEJAHTERA</t>
        </is>
      </c>
      <c r="B182" t="inlineStr">
        <is>
          <t>Kab. Banyuwangi</t>
        </is>
      </c>
      <c r="C182" t="inlineStr">
        <is>
          <t>081336013405</t>
        </is>
      </c>
      <c r="D182" t="inlineStr">
        <is>
          <t>angkisejahtera@gmail.com</t>
        </is>
      </c>
      <c r="E182" t="inlineStr">
        <is>
          <t>https://lpjk.pu.go.id/search-badan-usaha-detail/c0NINnhCUngwUkxWWGJ5elliUkNLdz09</t>
        </is>
      </c>
      <c r="F182" t="n">
        <v>4</v>
      </c>
      <c r="G182" t="inlineStr">
        <is>
          <t>BG006, BS001</t>
        </is>
      </c>
      <c r="H182" t="inlineStr">
        <is>
          <t>3 Februari 2020</t>
        </is>
      </c>
      <c r="I182" s="2" t="n">
        <v>46234</v>
      </c>
      <c r="J182" t="inlineStr">
        <is>
          <t>Disetujui</t>
        </is>
      </c>
      <c r="K182" t="n">
        <v>30</v>
      </c>
      <c r="L182" t="inlineStr">
        <is>
          <t>31 Juli 2026</t>
        </is>
      </c>
      <c r="M182" t="inlineStr">
        <is>
          <t>Konstruksi Bangunan Sipil Jalan, Konstruksi Gedung Pendidikan</t>
        </is>
      </c>
      <c r="N182" t="inlineStr">
        <is>
          <t>K</t>
        </is>
      </c>
      <c r="O182" t="inlineStr">
        <is>
          <t>20230731</t>
        </is>
      </c>
      <c r="P182" t="inlineStr">
        <is>
          <t>Jawa Timur</t>
        </is>
      </c>
      <c r="Q182" t="inlineStr"/>
    </row>
    <row r="183">
      <c r="A183" t="inlineStr">
        <is>
          <t>SEPAKAT JAYA</t>
        </is>
      </c>
      <c r="B183" t="inlineStr">
        <is>
          <t>Kota Pontianak</t>
        </is>
      </c>
      <c r="C183" t="inlineStr">
        <is>
          <t>082159824895</t>
        </is>
      </c>
      <c r="D183" t="inlineStr">
        <is>
          <t>cv.sepakatjaya77@gmail.com</t>
        </is>
      </c>
      <c r="E183" t="inlineStr">
        <is>
          <t>https://lpjk.pu.go.id/search-badan-usaha-detail/NWNtTit2U1BHYzlXT1puN2VrdC9pdz09</t>
        </is>
      </c>
      <c r="F183" t="n">
        <v>2</v>
      </c>
      <c r="G183" t="inlineStr">
        <is>
          <t>BG005, BG009</t>
        </is>
      </c>
      <c r="H183" t="inlineStr">
        <is>
          <t>6 Desember 2016</t>
        </is>
      </c>
      <c r="I183" s="2" t="n">
        <v>46234</v>
      </c>
      <c r="J183" t="inlineStr">
        <is>
          <t>Pencabutan</t>
        </is>
      </c>
      <c r="K183" t="n">
        <v>30</v>
      </c>
      <c r="L183" t="inlineStr">
        <is>
          <t>31 Juli 2026</t>
        </is>
      </c>
      <c r="M183" t="inlineStr">
        <is>
          <t>Konstruksi Gedung Kesehatan, Konstruksi Gedung Lainnya</t>
        </is>
      </c>
      <c r="N183" t="inlineStr">
        <is>
          <t>K</t>
        </is>
      </c>
      <c r="O183" t="inlineStr">
        <is>
          <t>20230715</t>
        </is>
      </c>
      <c r="P183" t="inlineStr">
        <is>
          <t>Kalimantan Barat</t>
        </is>
      </c>
      <c r="Q183" t="inlineStr"/>
    </row>
    <row r="184">
      <c r="A184" t="inlineStr">
        <is>
          <t>SHAKTI KARYA CONSULTANT</t>
        </is>
      </c>
      <c r="B184" t="inlineStr">
        <is>
          <t>Kab. Bojonegoro</t>
        </is>
      </c>
      <c r="C184" t="inlineStr">
        <is>
          <t>082331316668</t>
        </is>
      </c>
      <c r="D184" t="inlineStr">
        <is>
          <t>shaktikarya@gmail.com</t>
        </is>
      </c>
      <c r="E184" t="inlineStr">
        <is>
          <t>https://lpjk.pu.go.id/search-badan-usaha-detail/MjFLb2Z6QWZ4cjVxRk02K1NPSlBTdz09</t>
        </is>
      </c>
      <c r="F184" t="n">
        <v>2</v>
      </c>
      <c r="G184" t="inlineStr">
        <is>
          <t>RK001, RK003</t>
        </is>
      </c>
      <c r="H184" t="inlineStr">
        <is>
          <t>23 Agustus 2016</t>
        </is>
      </c>
      <c r="I184" s="2" t="n">
        <v>46234</v>
      </c>
      <c r="J184" t="inlineStr">
        <is>
          <t>Disetujui, Pencabutan</t>
        </is>
      </c>
      <c r="K184" t="n">
        <v>30</v>
      </c>
      <c r="L184" t="inlineStr">
        <is>
          <t>31 Juli 2026</t>
        </is>
      </c>
      <c r="M184" t="inlineStr">
        <is>
          <t>Jasa Rekayasa Konstruksi Bangunan Gedung Hunian dan Non Hunian, Jasa Rekayasa Pekerjaan Teknik Sipil Transportasi</t>
        </is>
      </c>
      <c r="N184" t="inlineStr">
        <is>
          <t>K</t>
        </is>
      </c>
      <c r="O184" t="inlineStr">
        <is>
          <t>20230704, 20230717</t>
        </is>
      </c>
      <c r="P184" t="inlineStr">
        <is>
          <t>Jawa Timur</t>
        </is>
      </c>
      <c r="Q184" t="inlineStr"/>
    </row>
    <row r="185">
      <c r="A185" t="inlineStr">
        <is>
          <t>SINAR KISWARA ABADI</t>
        </is>
      </c>
      <c r="B185" t="inlineStr">
        <is>
          <t>Kab. Bangka</t>
        </is>
      </c>
      <c r="C185" t="inlineStr">
        <is>
          <t>081367266921</t>
        </is>
      </c>
      <c r="D185" t="inlineStr">
        <is>
          <t>Sinarkiswaraabadi@yahoo.co.id</t>
        </is>
      </c>
      <c r="E185" t="inlineStr">
        <is>
          <t>https://lpjk.pu.go.id/search-badan-usaha-detail/WmRLZVo1L0UydVVsNThtTnJpMEZNQT09</t>
        </is>
      </c>
      <c r="F185" t="n">
        <v>3</v>
      </c>
      <c r="G185" t="inlineStr">
        <is>
          <t>BG005, BG009, BS004</t>
        </is>
      </c>
      <c r="H185" t="inlineStr">
        <is>
          <t>15 Januari 2015</t>
        </is>
      </c>
      <c r="I185" s="2" t="n">
        <v>46234</v>
      </c>
      <c r="J185" t="inlineStr">
        <is>
          <t>Disetujui</t>
        </is>
      </c>
      <c r="K185" t="n">
        <v>30</v>
      </c>
      <c r="L185" t="inlineStr">
        <is>
          <t>31 Juli 2026</t>
        </is>
      </c>
      <c r="M185" t="inlineStr">
        <is>
          <t>Konstruksi Gedung Kesehatan, Konstruksi Gedung Lainnya, Konstruksi Jaringan Irigasi dan Drainase</t>
        </is>
      </c>
      <c r="N185" t="inlineStr">
        <is>
          <t>K</t>
        </is>
      </c>
      <c r="O185" t="inlineStr">
        <is>
          <t>20230726</t>
        </is>
      </c>
      <c r="P185" t="inlineStr">
        <is>
          <t>Kepulauan Bangka Belitung</t>
        </is>
      </c>
      <c r="Q185" t="inlineStr"/>
    </row>
    <row r="186">
      <c r="A186" t="inlineStr">
        <is>
          <t>SINAR MENTARI</t>
        </is>
      </c>
      <c r="B186" t="inlineStr">
        <is>
          <t>Kab. Murung Raya</t>
        </is>
      </c>
      <c r="C186" t="inlineStr">
        <is>
          <t>082154023420</t>
        </is>
      </c>
      <c r="D186" t="inlineStr">
        <is>
          <t>sinarm6@gmail.com</t>
        </is>
      </c>
      <c r="E186" t="inlineStr">
        <is>
          <t>https://lpjk.pu.go.id/search-badan-usaha-detail/K2Rza29lT29jV1lhT3A1S0pZWVZWQT09</t>
        </is>
      </c>
      <c r="F186" t="n">
        <v>1</v>
      </c>
      <c r="G186" t="inlineStr">
        <is>
          <t>BG002</t>
        </is>
      </c>
      <c r="H186" t="inlineStr">
        <is>
          <t>27 Januari 2009</t>
        </is>
      </c>
      <c r="I186" s="2" t="n">
        <v>46234</v>
      </c>
      <c r="J186" t="inlineStr">
        <is>
          <t>Pencabutan</t>
        </is>
      </c>
      <c r="K186" t="n">
        <v>30</v>
      </c>
      <c r="L186" t="inlineStr">
        <is>
          <t>31 Juli 2026</t>
        </is>
      </c>
      <c r="M186" t="inlineStr">
        <is>
          <t>Konstruksi Gedung Perkantoran</t>
        </is>
      </c>
      <c r="N186" t="inlineStr">
        <is>
          <t>K</t>
        </is>
      </c>
      <c r="O186" t="inlineStr">
        <is>
          <t>20230728</t>
        </is>
      </c>
      <c r="P186" t="inlineStr">
        <is>
          <t>Kalimantan Tengah</t>
        </is>
      </c>
      <c r="Q186" t="inlineStr"/>
    </row>
    <row r="187">
      <c r="A187" t="inlineStr">
        <is>
          <t>SINAR TANJUNG</t>
        </is>
      </c>
      <c r="B187" t="inlineStr">
        <is>
          <t>Kota Tarakan</t>
        </is>
      </c>
      <c r="C187" t="inlineStr">
        <is>
          <t>082277775887</t>
        </is>
      </c>
      <c r="D187" t="inlineStr">
        <is>
          <t>sinartanjung_44@yahoo.co.id</t>
        </is>
      </c>
      <c r="E187" t="inlineStr">
        <is>
          <t>https://lpjk.pu.go.id/search-badan-usaha-detail/RlppYnh5SXNKRGxub0hmUys0UFRiQT09</t>
        </is>
      </c>
      <c r="F187" t="n">
        <v>2</v>
      </c>
      <c r="G187" t="inlineStr">
        <is>
          <t>BS001, BS004</t>
        </is>
      </c>
      <c r="H187" t="inlineStr">
        <is>
          <t>21 November 1992</t>
        </is>
      </c>
      <c r="I187" s="2" t="n">
        <v>46234</v>
      </c>
      <c r="J187" t="inlineStr">
        <is>
          <t>Disetujui</t>
        </is>
      </c>
      <c r="K187" t="n">
        <v>30</v>
      </c>
      <c r="L187" t="inlineStr">
        <is>
          <t>31 Juli 2026</t>
        </is>
      </c>
      <c r="M187" t="inlineStr">
        <is>
          <t>Konstruksi Bangunan Sipil Jalan, Konstruksi Jaringan Irigasi dan Drainase</t>
        </is>
      </c>
      <c r="N187" t="inlineStr">
        <is>
          <t>K</t>
        </is>
      </c>
      <c r="O187" t="inlineStr">
        <is>
          <t>20230727</t>
        </is>
      </c>
      <c r="P187" t="inlineStr">
        <is>
          <t>Kalimantan Utara</t>
        </is>
      </c>
      <c r="Q187" t="inlineStr"/>
    </row>
    <row r="188">
      <c r="A188" t="inlineStr">
        <is>
          <t>SUMBER DAMAI SENTOSA</t>
        </is>
      </c>
      <c r="B188" t="inlineStr">
        <is>
          <t>Kota Kupang</t>
        </is>
      </c>
      <c r="C188" t="inlineStr">
        <is>
          <t>085337616936</t>
        </is>
      </c>
      <c r="D188" t="inlineStr">
        <is>
          <t>rezkyfanggidae1@gmail.com</t>
        </is>
      </c>
      <c r="E188" t="inlineStr">
        <is>
          <t>https://lpjk.pu.go.id/search-badan-usaha-detail/OUFDcE9IYXRaVnNLZDZMQWhUZlhnQT09</t>
        </is>
      </c>
      <c r="F188" t="n">
        <v>1</v>
      </c>
      <c r="G188" t="inlineStr">
        <is>
          <t>BS010</t>
        </is>
      </c>
      <c r="H188" t="inlineStr">
        <is>
          <t>4 Januari 2017</t>
        </is>
      </c>
      <c r="I188" s="2" t="n">
        <v>46234</v>
      </c>
      <c r="J188" t="inlineStr">
        <is>
          <t>Pencabutan</t>
        </is>
      </c>
      <c r="K188" t="n">
        <v>30</v>
      </c>
      <c r="L188" t="inlineStr">
        <is>
          <t>31 Juli 2026</t>
        </is>
      </c>
      <c r="M188" t="inlineStr">
        <is>
          <t>Konstruksi Bangunan Prasarana Sumber Daya Air</t>
        </is>
      </c>
      <c r="N188" t="inlineStr">
        <is>
          <t>K</t>
        </is>
      </c>
      <c r="O188" t="inlineStr">
        <is>
          <t>20230512</t>
        </is>
      </c>
      <c r="P188" t="inlineStr">
        <is>
          <t>Nusa Tenggara Timur</t>
        </is>
      </c>
      <c r="Q188" t="inlineStr"/>
    </row>
    <row r="189">
      <c r="A189" t="inlineStr">
        <is>
          <t>SUMBER WAHANA SULAWESI</t>
        </is>
      </c>
      <c r="B189" t="inlineStr">
        <is>
          <t>Kota Palu</t>
        </is>
      </c>
      <c r="C189" t="inlineStr">
        <is>
          <t>082393071808</t>
        </is>
      </c>
      <c r="D189" t="inlineStr">
        <is>
          <t>sumberwahanasulawesi@gmail.com</t>
        </is>
      </c>
      <c r="E189" t="inlineStr">
        <is>
          <t>https://lpjk.pu.go.id/search-badan-usaha-detail/K2pjcTArV2FsVFZJUHVQM2hkUGtHQT09</t>
        </is>
      </c>
      <c r="F189" t="n">
        <v>1</v>
      </c>
      <c r="G189" t="inlineStr">
        <is>
          <t>BG006</t>
        </is>
      </c>
      <c r="H189" t="inlineStr">
        <is>
          <t>3 Maret 2023</t>
        </is>
      </c>
      <c r="I189" s="2" t="n">
        <v>46234</v>
      </c>
      <c r="J189" t="inlineStr">
        <is>
          <t>Pencabutan</t>
        </is>
      </c>
      <c r="K189" t="n">
        <v>30</v>
      </c>
      <c r="L189" t="inlineStr">
        <is>
          <t>31 Juli 2026</t>
        </is>
      </c>
      <c r="M189" t="inlineStr">
        <is>
          <t>Konstruksi Gedung Pendidikan</t>
        </is>
      </c>
      <c r="N189" t="inlineStr">
        <is>
          <t>K</t>
        </is>
      </c>
      <c r="O189" t="inlineStr">
        <is>
          <t>20230712</t>
        </is>
      </c>
      <c r="P189" t="inlineStr">
        <is>
          <t>Sulawesi Tengah</t>
        </is>
      </c>
      <c r="Q189" t="inlineStr"/>
    </row>
    <row r="190">
      <c r="A190" t="inlineStr">
        <is>
          <t>SURYA ABADI RAYA</t>
        </is>
      </c>
      <c r="B190" t="inlineStr">
        <is>
          <t>Kota Samarinda</t>
        </is>
      </c>
      <c r="C190" t="inlineStr">
        <is>
          <t>085347475888</t>
        </is>
      </c>
      <c r="D190" t="inlineStr">
        <is>
          <t>suryaabadiraya5@gmail.com</t>
        </is>
      </c>
      <c r="E190" t="inlineStr">
        <is>
          <t>https://lpjk.pu.go.id/search-badan-usaha-detail/WkJEMVF0QVlLa1VIMUZjRkt4aHZEZz09</t>
        </is>
      </c>
      <c r="F190" t="n">
        <v>1</v>
      </c>
      <c r="G190" t="inlineStr">
        <is>
          <t>BG009</t>
        </is>
      </c>
      <c r="H190" t="inlineStr">
        <is>
          <t>31 Mei 2023</t>
        </is>
      </c>
      <c r="I190" s="2" t="n">
        <v>46234</v>
      </c>
      <c r="J190" t="inlineStr">
        <is>
          <t>Disetujui</t>
        </is>
      </c>
      <c r="K190" t="n">
        <v>30</v>
      </c>
      <c r="L190" t="inlineStr">
        <is>
          <t>31 Juli 2026</t>
        </is>
      </c>
      <c r="M190" t="inlineStr">
        <is>
          <t>Konstruksi Gedung Lainnya</t>
        </is>
      </c>
      <c r="N190" t="inlineStr">
        <is>
          <t>K</t>
        </is>
      </c>
      <c r="O190" t="inlineStr">
        <is>
          <t>20230730</t>
        </is>
      </c>
      <c r="P190" t="inlineStr">
        <is>
          <t>Kalimantan Timur</t>
        </is>
      </c>
      <c r="Q190" t="inlineStr"/>
    </row>
    <row r="191">
      <c r="A191" t="inlineStr">
        <is>
          <t>SURYA KENCANA</t>
        </is>
      </c>
      <c r="B191" t="inlineStr">
        <is>
          <t>Kota Surabaya</t>
        </is>
      </c>
      <c r="C191" t="inlineStr">
        <is>
          <t>081252100100</t>
        </is>
      </c>
      <c r="D191" t="inlineStr">
        <is>
          <t>cvsuryakencana.sby@yahoo.com</t>
        </is>
      </c>
      <c r="E191" t="inlineStr">
        <is>
          <t>https://lpjk.pu.go.id/search-badan-usaha-detail/aXNuMi9RYk9RMXFsU3RTWDdJdk1qQT09</t>
        </is>
      </c>
      <c r="F191" t="n">
        <v>1</v>
      </c>
      <c r="G191" t="inlineStr">
        <is>
          <t>BS001</t>
        </is>
      </c>
      <c r="H191" t="inlineStr">
        <is>
          <t>15 Maret 2023</t>
        </is>
      </c>
      <c r="I191" s="2" t="n">
        <v>46234</v>
      </c>
      <c r="J191" t="inlineStr">
        <is>
          <t>Disetujui</t>
        </is>
      </c>
      <c r="K191" t="n">
        <v>30</v>
      </c>
      <c r="L191" t="inlineStr">
        <is>
          <t>31 Juli 2026</t>
        </is>
      </c>
      <c r="M191" t="inlineStr">
        <is>
          <t>Konstruksi Bangunan Sipil Jalan</t>
        </is>
      </c>
      <c r="N191" t="inlineStr">
        <is>
          <t>K</t>
        </is>
      </c>
      <c r="O191" t="inlineStr">
        <is>
          <t>20230728</t>
        </is>
      </c>
      <c r="P191" t="inlineStr">
        <is>
          <t>Jawa Timur</t>
        </is>
      </c>
      <c r="Q191" t="inlineStr"/>
    </row>
    <row r="192">
      <c r="A192" t="inlineStr">
        <is>
          <t>TARUNA BANGUN KARYA</t>
        </is>
      </c>
      <c r="B192" t="inlineStr">
        <is>
          <t>Kab. Ponorogo</t>
        </is>
      </c>
      <c r="C192" t="inlineStr">
        <is>
          <t>082134421350</t>
        </is>
      </c>
      <c r="D192" t="inlineStr">
        <is>
          <t>lubisbiting@gmail.com</t>
        </is>
      </c>
      <c r="E192" t="inlineStr">
        <is>
          <t>https://lpjk.pu.go.id/search-badan-usaha-detail/M1hMZitYZklkZlk0MGNNeXl0KzNXQT09</t>
        </is>
      </c>
      <c r="F192" t="n">
        <v>1</v>
      </c>
      <c r="G192" t="inlineStr">
        <is>
          <t>BG008</t>
        </is>
      </c>
      <c r="H192" t="inlineStr">
        <is>
          <t>5 Februari 2016</t>
        </is>
      </c>
      <c r="I192" s="2" t="n">
        <v>46234</v>
      </c>
      <c r="J192" t="inlineStr">
        <is>
          <t>Disetujui</t>
        </is>
      </c>
      <c r="K192" t="n">
        <v>30</v>
      </c>
      <c r="L192" t="inlineStr">
        <is>
          <t>31 Juli 2026</t>
        </is>
      </c>
      <c r="M192" t="inlineStr">
        <is>
          <t>Konstruksi Gedung Tempat Hiburan dan Olahraga</t>
        </is>
      </c>
      <c r="N192" t="inlineStr">
        <is>
          <t>K</t>
        </is>
      </c>
      <c r="O192" t="inlineStr">
        <is>
          <t>20230729</t>
        </is>
      </c>
      <c r="P192" t="inlineStr">
        <is>
          <t>Jawa Timur</t>
        </is>
      </c>
      <c r="Q192" t="inlineStr"/>
    </row>
    <row r="193">
      <c r="A193" t="inlineStr">
        <is>
          <t>TECHA JAYA KRISNA</t>
        </is>
      </c>
      <c r="B193" t="inlineStr">
        <is>
          <t>Kab. Indramayu</t>
        </is>
      </c>
      <c r="C193" t="inlineStr">
        <is>
          <t>087718600602</t>
        </is>
      </c>
      <c r="D193" t="inlineStr">
        <is>
          <t>cv.techajayakrisna@gmail.com</t>
        </is>
      </c>
      <c r="E193" t="inlineStr">
        <is>
          <t>https://lpjk.pu.go.id/search-badan-usaha-detail/R0lXcndBcGlZRCtTVFVtODJCd2trdz09</t>
        </is>
      </c>
      <c r="F193" t="n">
        <v>2</v>
      </c>
      <c r="G193" t="inlineStr">
        <is>
          <t>BG008, BS004</t>
        </is>
      </c>
      <c r="H193" t="inlineStr">
        <is>
          <t>24 Juli 2023</t>
        </is>
      </c>
      <c r="I193" s="2" t="n">
        <v>46234</v>
      </c>
      <c r="J193" t="inlineStr">
        <is>
          <t>Pencabutan</t>
        </is>
      </c>
      <c r="K193" t="n">
        <v>30</v>
      </c>
      <c r="L193" t="inlineStr">
        <is>
          <t>31 Juli 2026</t>
        </is>
      </c>
      <c r="M193" t="inlineStr">
        <is>
          <t>Konstruksi Gedung Tempat Hiburan dan Olahraga, Konstruksi Jaringan Irigasi dan Drainase</t>
        </is>
      </c>
      <c r="N193" t="inlineStr">
        <is>
          <t>K</t>
        </is>
      </c>
      <c r="O193" t="inlineStr">
        <is>
          <t>20230728</t>
        </is>
      </c>
      <c r="P193" t="inlineStr">
        <is>
          <t>Jawa Barat</t>
        </is>
      </c>
      <c r="Q193" t="inlineStr"/>
    </row>
    <row r="194">
      <c r="A194" t="inlineStr">
        <is>
          <t>TEKNIK PRIBADI</t>
        </is>
      </c>
      <c r="B194" t="inlineStr">
        <is>
          <t>Kota Makassar</t>
        </is>
      </c>
      <c r="C194" t="inlineStr">
        <is>
          <t>0811414242</t>
        </is>
      </c>
      <c r="D194" t="inlineStr">
        <is>
          <t>teknikpribadi@gmail.com</t>
        </is>
      </c>
      <c r="E194" t="inlineStr">
        <is>
          <t>https://lpjk.pu.go.id/search-badan-usaha-detail/N3Y0b0Yrc2hoYmFzcC9oRGRodlJBUT09</t>
        </is>
      </c>
      <c r="F194" t="n">
        <v>1</v>
      </c>
      <c r="G194" t="inlineStr">
        <is>
          <t>BG009</t>
        </is>
      </c>
      <c r="H194" t="inlineStr">
        <is>
          <t>22 Oktober 1998</t>
        </is>
      </c>
      <c r="I194" s="2" t="n">
        <v>46234</v>
      </c>
      <c r="J194" t="inlineStr">
        <is>
          <t>Disetujui</t>
        </is>
      </c>
      <c r="K194" t="n">
        <v>30</v>
      </c>
      <c r="L194" t="inlineStr">
        <is>
          <t>31 Juli 2026</t>
        </is>
      </c>
      <c r="M194" t="inlineStr">
        <is>
          <t>Konstruksi Gedung Lainnya</t>
        </is>
      </c>
      <c r="N194" t="inlineStr">
        <is>
          <t>K</t>
        </is>
      </c>
      <c r="O194" t="inlineStr">
        <is>
          <t>20230801</t>
        </is>
      </c>
      <c r="P194" t="inlineStr">
        <is>
          <t>Sulawesi Selatan</t>
        </is>
      </c>
      <c r="Q194" t="inlineStr"/>
    </row>
    <row r="195">
      <c r="A195" t="inlineStr">
        <is>
          <t>TELAGA AGUNG JAYA PERKASA</t>
        </is>
      </c>
      <c r="B195" t="inlineStr">
        <is>
          <t>Kab. Kebumen</t>
        </is>
      </c>
      <c r="C195" t="inlineStr">
        <is>
          <t>08122222748</t>
        </is>
      </c>
      <c r="D195" t="inlineStr">
        <is>
          <t>cvtelagaagung@gmail.com</t>
        </is>
      </c>
      <c r="E195" t="inlineStr">
        <is>
          <t>https://lpjk.pu.go.id/search-badan-usaha-detail/Tkc3c3dPRHNaTmhiSEVBUTdEVEVEUT09</t>
        </is>
      </c>
      <c r="F195" t="n">
        <v>2</v>
      </c>
      <c r="G195" t="inlineStr">
        <is>
          <t>BG002, BG008</t>
        </is>
      </c>
      <c r="H195" t="inlineStr">
        <is>
          <t>28 Juli 2022</t>
        </is>
      </c>
      <c r="I195" s="2" t="n">
        <v>46234</v>
      </c>
      <c r="J195" t="inlineStr">
        <is>
          <t>Disetujui</t>
        </is>
      </c>
      <c r="K195" t="n">
        <v>30</v>
      </c>
      <c r="L195" t="inlineStr">
        <is>
          <t>31 Juli 2026</t>
        </is>
      </c>
      <c r="M195" t="inlineStr">
        <is>
          <t>Konstruksi Gedung Perkantoran, Konstruksi Gedung Tempat Hiburan dan Olahraga</t>
        </is>
      </c>
      <c r="N195" t="inlineStr">
        <is>
          <t>K</t>
        </is>
      </c>
      <c r="O195" t="inlineStr">
        <is>
          <t>20230731</t>
        </is>
      </c>
      <c r="P195" t="inlineStr">
        <is>
          <t>Jawa Tengah</t>
        </is>
      </c>
      <c r="Q195" t="inlineStr"/>
    </row>
    <row r="196">
      <c r="A196" t="inlineStr">
        <is>
          <t>TIGA LAKSANA</t>
        </is>
      </c>
      <c r="B196" t="inlineStr">
        <is>
          <t>Kab. Kediri</t>
        </is>
      </c>
      <c r="C196" t="inlineStr">
        <is>
          <t>085259008572</t>
        </is>
      </c>
      <c r="D196" t="inlineStr">
        <is>
          <t>cvtigalaksanasukses@gmail.com</t>
        </is>
      </c>
      <c r="E196" t="inlineStr">
        <is>
          <t>https://lpjk.pu.go.id/search-badan-usaha-detail/aG1YM2tEMmFSRTZrZEhQTnFoNUtMdz09</t>
        </is>
      </c>
      <c r="F196" t="n">
        <v>2</v>
      </c>
      <c r="G196" t="inlineStr">
        <is>
          <t>BG002, BG006</t>
        </is>
      </c>
      <c r="H196" t="inlineStr">
        <is>
          <t>5 Februari 2020</t>
        </is>
      </c>
      <c r="I196" s="2" t="n">
        <v>46234</v>
      </c>
      <c r="J196" t="inlineStr">
        <is>
          <t>Disetujui</t>
        </is>
      </c>
      <c r="K196" t="n">
        <v>30</v>
      </c>
      <c r="L196" t="inlineStr">
        <is>
          <t>31 Juli 2026</t>
        </is>
      </c>
      <c r="M196" t="inlineStr">
        <is>
          <t>Konstruksi Gedung Pendidikan, Konstruksi Gedung Perkantoran</t>
        </is>
      </c>
      <c r="N196" t="inlineStr">
        <is>
          <t>K</t>
        </is>
      </c>
      <c r="O196" t="inlineStr">
        <is>
          <t>20230727</t>
        </is>
      </c>
      <c r="P196" t="inlineStr">
        <is>
          <t>Jawa Timur</t>
        </is>
      </c>
      <c r="Q196" t="inlineStr"/>
    </row>
    <row r="197">
      <c r="A197" t="inlineStr">
        <is>
          <t>TIGALALU PUTRA MANDIRI</t>
        </is>
      </c>
      <c r="B197" t="inlineStr">
        <is>
          <t>Kota Ternate</t>
        </is>
      </c>
      <c r="C197" t="inlineStr">
        <is>
          <t>081244497775</t>
        </is>
      </c>
      <c r="D197" t="inlineStr">
        <is>
          <t>tigalaluputramandiri@gmail.com</t>
        </is>
      </c>
      <c r="E197" t="inlineStr">
        <is>
          <t>https://lpjk.pu.go.id/search-badan-usaha-detail/SVZmNlI0OWVFY1N6VkhqUnZYZ2Nhdz09</t>
        </is>
      </c>
      <c r="F197" t="n">
        <v>5</v>
      </c>
      <c r="G197" t="inlineStr">
        <is>
          <t>BG002, BG005, BG006, BG008, BG009</t>
        </is>
      </c>
      <c r="H197" t="inlineStr">
        <is>
          <t>13 Januari 2023</t>
        </is>
      </c>
      <c r="I197" s="2" t="n">
        <v>46234</v>
      </c>
      <c r="J197" t="inlineStr">
        <is>
          <t>Pencabutan</t>
        </is>
      </c>
      <c r="K197" t="n">
        <v>30</v>
      </c>
      <c r="L197" t="inlineStr">
        <is>
          <t>31 Juli 2026</t>
        </is>
      </c>
      <c r="M197" t="inlineStr">
        <is>
          <t>Konstruksi Gedung Kesehatan, Konstruksi Gedung Lainnya, Konstruksi Gedung Pendidikan, Konstruksi Gedung Perkantoran, Konstruksi Gedung Tempat Hiburan dan Olahraga</t>
        </is>
      </c>
      <c r="N197" t="inlineStr">
        <is>
          <t>K</t>
        </is>
      </c>
      <c r="O197" t="inlineStr">
        <is>
          <t>20230728</t>
        </is>
      </c>
      <c r="P197" t="inlineStr">
        <is>
          <t>Maluku Utara</t>
        </is>
      </c>
      <c r="Q197" t="inlineStr"/>
    </row>
    <row r="198">
      <c r="A198" t="inlineStr">
        <is>
          <t>TITIAN USAHA GRAHA UTAMA</t>
        </is>
      </c>
      <c r="B198" t="inlineStr">
        <is>
          <t>Kota Bandung</t>
        </is>
      </c>
      <c r="C198" t="inlineStr">
        <is>
          <t>02287241035</t>
        </is>
      </c>
      <c r="D198" t="inlineStr">
        <is>
          <t>tugu_pt@yahoo.co.id</t>
        </is>
      </c>
      <c r="E198" t="inlineStr">
        <is>
          <t>https://lpjk.pu.go.id/search-badan-usaha-detail/bnNBS21uS25xSlBVVzY0bHRrSm1GZz09</t>
        </is>
      </c>
      <c r="F198" t="n">
        <v>2</v>
      </c>
      <c r="G198" t="inlineStr">
        <is>
          <t>BG002</t>
        </is>
      </c>
      <c r="H198" t="inlineStr">
        <is>
          <t>16 Oktober 2006</t>
        </is>
      </c>
      <c r="I198" s="2" t="n">
        <v>46234</v>
      </c>
      <c r="J198" t="inlineStr">
        <is>
          <t>Disetujui</t>
        </is>
      </c>
      <c r="K198" t="n">
        <v>30</v>
      </c>
      <c r="L198" t="inlineStr">
        <is>
          <t>31 Juli 2026</t>
        </is>
      </c>
      <c r="M198" t="inlineStr">
        <is>
          <t>Konstruksi Gedung Perkantoran</t>
        </is>
      </c>
      <c r="N198" t="inlineStr">
        <is>
          <t>M</t>
        </is>
      </c>
      <c r="O198" t="inlineStr">
        <is>
          <t>20230717</t>
        </is>
      </c>
      <c r="P198" t="inlineStr">
        <is>
          <t>Jawa Barat</t>
        </is>
      </c>
      <c r="Q198" t="inlineStr"/>
    </row>
    <row r="199">
      <c r="A199" t="inlineStr">
        <is>
          <t>TOBA NAULI JAYA</t>
        </is>
      </c>
      <c r="B199" t="inlineStr">
        <is>
          <t>Kota Batam</t>
        </is>
      </c>
      <c r="C199" t="inlineStr">
        <is>
          <t>081374759735</t>
        </is>
      </c>
      <c r="D199" t="inlineStr">
        <is>
          <t>tobanaulijaya@yahoo.com</t>
        </is>
      </c>
      <c r="E199" t="inlineStr">
        <is>
          <t>https://lpjk.pu.go.id/search-badan-usaha-detail/emFMSHNqQW8wTlQrTU00RlhPOTRJUT09</t>
        </is>
      </c>
      <c r="F199" t="n">
        <v>2</v>
      </c>
      <c r="G199" t="inlineStr">
        <is>
          <t>BG006, BG009</t>
        </is>
      </c>
      <c r="H199" t="inlineStr">
        <is>
          <t>4 Januari 2010</t>
        </is>
      </c>
      <c r="I199" s="2" t="n">
        <v>46234</v>
      </c>
      <c r="J199" t="inlineStr">
        <is>
          <t>Disetujui</t>
        </is>
      </c>
      <c r="K199" t="n">
        <v>30</v>
      </c>
      <c r="L199" t="inlineStr">
        <is>
          <t>31 Juli 2026</t>
        </is>
      </c>
      <c r="M199" t="inlineStr">
        <is>
          <t>Konstruksi Gedung Lainnya, Konstruksi Gedung Pendidikan</t>
        </is>
      </c>
      <c r="N199" t="inlineStr">
        <is>
          <t>K</t>
        </is>
      </c>
      <c r="O199" t="inlineStr">
        <is>
          <t>20230731</t>
        </is>
      </c>
      <c r="P199" t="inlineStr">
        <is>
          <t>Kepulauan Riau</t>
        </is>
      </c>
      <c r="Q199" t="inlineStr"/>
    </row>
    <row r="200">
      <c r="A200" t="inlineStr">
        <is>
          <t>TRI HASTA SEJAHTERA</t>
        </is>
      </c>
      <c r="B200" t="inlineStr">
        <is>
          <t>Kota Semarang</t>
        </is>
      </c>
      <c r="C200" t="inlineStr">
        <is>
          <t>0247619148</t>
        </is>
      </c>
      <c r="D200" t="inlineStr">
        <is>
          <t>trihastasejahtera@gmail.com</t>
        </is>
      </c>
      <c r="E200" t="inlineStr">
        <is>
          <t>https://lpjk.pu.go.id/search-badan-usaha-detail/NURmbk1MbGQ3b2tMR2RFUnd5b0hqZz09</t>
        </is>
      </c>
      <c r="F200" t="n">
        <v>1</v>
      </c>
      <c r="G200" t="inlineStr">
        <is>
          <t>RK003</t>
        </is>
      </c>
      <c r="H200" t="inlineStr">
        <is>
          <t>21 Februari 2003</t>
        </is>
      </c>
      <c r="I200" s="2" t="n">
        <v>46234</v>
      </c>
      <c r="J200" t="inlineStr">
        <is>
          <t>Disetujui</t>
        </is>
      </c>
      <c r="K200" t="n">
        <v>30</v>
      </c>
      <c r="L200" t="inlineStr">
        <is>
          <t>31 Juli 2026</t>
        </is>
      </c>
      <c r="M200" t="inlineStr">
        <is>
          <t>Jasa Rekayasa Pekerjaan Teknik Sipil Transportasi</t>
        </is>
      </c>
      <c r="N200" t="inlineStr">
        <is>
          <t>K</t>
        </is>
      </c>
      <c r="O200" t="inlineStr">
        <is>
          <t>20230707</t>
        </is>
      </c>
      <c r="P200" t="inlineStr">
        <is>
          <t>Jawa Tengah</t>
        </is>
      </c>
      <c r="Q200" t="inlineStr"/>
    </row>
    <row r="201">
      <c r="A201" t="inlineStr">
        <is>
          <t>TRI KENCANA ABADI</t>
        </is>
      </c>
      <c r="B201" t="inlineStr">
        <is>
          <t>Kab. Bengkalis</t>
        </is>
      </c>
      <c r="C201" t="inlineStr">
        <is>
          <t>081260199262</t>
        </is>
      </c>
      <c r="D201" t="inlineStr">
        <is>
          <t>trikencanaabadi@gmail.com</t>
        </is>
      </c>
      <c r="E201" t="inlineStr">
        <is>
          <t>https://lpjk.pu.go.id/search-badan-usaha-detail/S3A1TVlybUtCa1FUeVh4OUx0SkFVdz09</t>
        </is>
      </c>
      <c r="F201" t="n">
        <v>1</v>
      </c>
      <c r="G201" t="inlineStr">
        <is>
          <t>BS004</t>
        </is>
      </c>
      <c r="H201" t="inlineStr">
        <is>
          <t>23 Mei 2023</t>
        </is>
      </c>
      <c r="I201" s="2" t="n">
        <v>46234</v>
      </c>
      <c r="J201" t="inlineStr">
        <is>
          <t>Disetujui</t>
        </is>
      </c>
      <c r="K201" t="n">
        <v>30</v>
      </c>
      <c r="L201" t="inlineStr">
        <is>
          <t>31 Juli 2026</t>
        </is>
      </c>
      <c r="M201" t="inlineStr">
        <is>
          <t>Konstruksi Jaringan Irigasi dan Drainase</t>
        </is>
      </c>
      <c r="N201" t="inlineStr">
        <is>
          <t>K</t>
        </is>
      </c>
      <c r="O201" t="inlineStr">
        <is>
          <t>20230731</t>
        </is>
      </c>
      <c r="P201" t="inlineStr">
        <is>
          <t>Riau</t>
        </is>
      </c>
      <c r="Q201" t="inlineStr"/>
    </row>
    <row r="202">
      <c r="A202" t="inlineStr">
        <is>
          <t>TRI TUNGGAL</t>
        </is>
      </c>
      <c r="B202" t="inlineStr">
        <is>
          <t>Kab. Minahasa Selatan</t>
        </is>
      </c>
      <c r="C202" t="inlineStr">
        <is>
          <t>085216387547</t>
        </is>
      </c>
      <c r="D202" t="inlineStr">
        <is>
          <t>tritunggalminsel@gmail.com</t>
        </is>
      </c>
      <c r="E202" t="inlineStr">
        <is>
          <t>https://lpjk.pu.go.id/search-badan-usaha-detail/Ym5KQWFCK3VHVThST2ZYczJQZzFvZz09</t>
        </is>
      </c>
      <c r="F202" t="n">
        <v>1</v>
      </c>
      <c r="G202" t="inlineStr">
        <is>
          <t>BG006</t>
        </is>
      </c>
      <c r="H202" t="inlineStr">
        <is>
          <t>28 Januari 2022</t>
        </is>
      </c>
      <c r="I202" s="2" t="n">
        <v>46234</v>
      </c>
      <c r="J202" t="inlineStr">
        <is>
          <t>Disetujui</t>
        </is>
      </c>
      <c r="K202" t="n">
        <v>30</v>
      </c>
      <c r="L202" t="inlineStr">
        <is>
          <t>31 Juli 2026</t>
        </is>
      </c>
      <c r="M202" t="inlineStr">
        <is>
          <t>Konstruksi Gedung Pendidikan</t>
        </is>
      </c>
      <c r="N202" t="inlineStr">
        <is>
          <t>K</t>
        </is>
      </c>
      <c r="O202" t="inlineStr">
        <is>
          <t>20230727</t>
        </is>
      </c>
      <c r="P202" t="inlineStr">
        <is>
          <t>Sulawesi Utara</t>
        </is>
      </c>
      <c r="Q202" t="inlineStr"/>
    </row>
    <row r="203">
      <c r="A203" t="inlineStr">
        <is>
          <t>TRIAS INTI MITRA SEJATI</t>
        </is>
      </c>
      <c r="B203" t="inlineStr">
        <is>
          <t>Kota Adm. Jakarta Barat</t>
        </is>
      </c>
      <c r="C203" t="inlineStr">
        <is>
          <t>02154335299</t>
        </is>
      </c>
      <c r="D203" t="inlineStr">
        <is>
          <t>ticaindonesia@gmail.com</t>
        </is>
      </c>
      <c r="E203" t="inlineStr">
        <is>
          <t>https://lpjk.pu.go.id/search-badan-usaha-detail/YWczUVdHb1B6QmNNdks1TFpPWVB5dz09</t>
        </is>
      </c>
      <c r="F203" t="n">
        <v>2</v>
      </c>
      <c r="G203" t="inlineStr">
        <is>
          <t>IN008</t>
        </is>
      </c>
      <c r="H203" t="inlineStr">
        <is>
          <t>25 Mei 2023</t>
        </is>
      </c>
      <c r="I203" s="2" t="n">
        <v>46234</v>
      </c>
      <c r="J203" t="inlineStr">
        <is>
          <t>Pencabutan</t>
        </is>
      </c>
      <c r="K203" t="n">
        <v>30</v>
      </c>
      <c r="L203" t="inlineStr">
        <is>
          <t>31 Juli 2026</t>
        </is>
      </c>
      <c r="M203" t="inlineStr">
        <is>
          <t>Instalasi Pendingin Dan Ventilasi Udara</t>
        </is>
      </c>
      <c r="N203" t="inlineStr">
        <is>
          <t>Spesialis</t>
        </is>
      </c>
      <c r="O203" t="inlineStr">
        <is>
          <t>20230718</t>
        </is>
      </c>
      <c r="P203" t="inlineStr">
        <is>
          <t>DKI Jakarta</t>
        </is>
      </c>
      <c r="Q203" t="inlineStr"/>
    </row>
    <row r="204">
      <c r="A204" t="inlineStr">
        <is>
          <t>TRIO SIRA JAYA</t>
        </is>
      </c>
      <c r="B204" t="inlineStr">
        <is>
          <t>Kota Jayapura</t>
        </is>
      </c>
      <c r="C204" t="inlineStr">
        <is>
          <t>081344263434</t>
        </is>
      </c>
      <c r="D204" t="inlineStr">
        <is>
          <t>triosirajaya@gmail.com</t>
        </is>
      </c>
      <c r="E204" t="inlineStr">
        <is>
          <t>https://lpjk.pu.go.id/search-badan-usaha-detail/ME1SdXdWU09KVzJvQ3JOQTZqRFdpdz09</t>
        </is>
      </c>
      <c r="F204" t="n">
        <v>1</v>
      </c>
      <c r="G204" t="inlineStr">
        <is>
          <t>BG006</t>
        </is>
      </c>
      <c r="H204" t="inlineStr">
        <is>
          <t>19 November 2007</t>
        </is>
      </c>
      <c r="I204" s="2" t="n">
        <v>46234</v>
      </c>
      <c r="J204" t="inlineStr">
        <is>
          <t>Disetujui</t>
        </is>
      </c>
      <c r="K204" t="n">
        <v>30</v>
      </c>
      <c r="L204" t="inlineStr">
        <is>
          <t>31 Juli 2026</t>
        </is>
      </c>
      <c r="M204" t="inlineStr">
        <is>
          <t>Konstruksi Gedung Pendidikan</t>
        </is>
      </c>
      <c r="N204" t="inlineStr">
        <is>
          <t>K</t>
        </is>
      </c>
      <c r="O204" t="inlineStr">
        <is>
          <t>20230728</t>
        </is>
      </c>
      <c r="P204" t="inlineStr">
        <is>
          <t>Papua</t>
        </is>
      </c>
      <c r="Q204" t="inlineStr"/>
    </row>
    <row r="205">
      <c r="A205" t="inlineStr">
        <is>
          <t>TRITECH CONSULT INDONESIA</t>
        </is>
      </c>
      <c r="B205" t="inlineStr">
        <is>
          <t>Kota Bandung</t>
        </is>
      </c>
      <c r="C205" t="inlineStr">
        <is>
          <t>0224208388</t>
        </is>
      </c>
      <c r="D205" t="inlineStr">
        <is>
          <t>tritech@tritech.co.id</t>
        </is>
      </c>
      <c r="E205" t="inlineStr">
        <is>
          <t>https://lpjk.pu.go.id/search-badan-usaha-detail/WjczMFpJMjhNbFhlOE9mRnpSMzg0Zz09</t>
        </is>
      </c>
      <c r="F205" t="n">
        <v>1</v>
      </c>
      <c r="G205" t="inlineStr">
        <is>
          <t>RK001</t>
        </is>
      </c>
      <c r="H205" t="inlineStr">
        <is>
          <t>15 Juli 1985</t>
        </is>
      </c>
      <c r="I205" s="2" t="n">
        <v>46234</v>
      </c>
      <c r="J205" t="inlineStr">
        <is>
          <t>Disetujui</t>
        </is>
      </c>
      <c r="K205" t="n">
        <v>30</v>
      </c>
      <c r="L205" t="inlineStr">
        <is>
          <t>31 Juli 2026</t>
        </is>
      </c>
      <c r="M205" t="inlineStr">
        <is>
          <t>Jasa Rekayasa Konstruksi Bangunan Gedung Hunian dan Non Hunian</t>
        </is>
      </c>
      <c r="N205" t="inlineStr">
        <is>
          <t>K</t>
        </is>
      </c>
      <c r="O205" t="inlineStr">
        <is>
          <t>20230717</t>
        </is>
      </c>
      <c r="P205" t="inlineStr">
        <is>
          <t>Jawa Barat</t>
        </is>
      </c>
      <c r="Q205" t="inlineStr"/>
    </row>
    <row r="206">
      <c r="A206" t="inlineStr">
        <is>
          <t>TURANGGA JAYA SAKTI</t>
        </is>
      </c>
      <c r="B206" t="inlineStr">
        <is>
          <t>Kab. Tuban</t>
        </is>
      </c>
      <c r="C206" t="inlineStr">
        <is>
          <t>08125952914</t>
        </is>
      </c>
      <c r="D206" t="inlineStr">
        <is>
          <t>pt.tjs7@gmail.com</t>
        </is>
      </c>
      <c r="E206" t="inlineStr">
        <is>
          <t>https://lpjk.pu.go.id/search-badan-usaha-detail/RWtvUFFUWmp5OEhENEJSSS9JSnBjZz09</t>
        </is>
      </c>
      <c r="F206" t="n">
        <v>1</v>
      </c>
      <c r="G206" t="inlineStr">
        <is>
          <t>BG002</t>
        </is>
      </c>
      <c r="H206" t="inlineStr">
        <is>
          <t>30 September 2014</t>
        </is>
      </c>
      <c r="I206" s="2" t="n">
        <v>46234</v>
      </c>
      <c r="J206" t="inlineStr">
        <is>
          <t>Disetujui</t>
        </is>
      </c>
      <c r="K206" t="n">
        <v>30</v>
      </c>
      <c r="L206" t="inlineStr">
        <is>
          <t>31 Juli 2026</t>
        </is>
      </c>
      <c r="M206" t="inlineStr">
        <is>
          <t>Konstruksi Gedung Perkantoran</t>
        </is>
      </c>
      <c r="N206" t="inlineStr">
        <is>
          <t>K</t>
        </is>
      </c>
      <c r="O206" t="inlineStr">
        <is>
          <t>20230721</t>
        </is>
      </c>
      <c r="P206" t="inlineStr">
        <is>
          <t>Jawa Timur</t>
        </is>
      </c>
      <c r="Q206" t="inlineStr"/>
    </row>
    <row r="207">
      <c r="A207" t="inlineStr">
        <is>
          <t>UNGGUL ENERGY ENGINEERING</t>
        </is>
      </c>
      <c r="B207" t="inlineStr">
        <is>
          <t>Kab. Gresik</t>
        </is>
      </c>
      <c r="C207" t="inlineStr">
        <is>
          <t>082229144165</t>
        </is>
      </c>
      <c r="D207" t="inlineStr">
        <is>
          <t>unggulenergyengineering.uee@gmail.com</t>
        </is>
      </c>
      <c r="E207" t="inlineStr">
        <is>
          <t>https://lpjk.pu.go.id/search-badan-usaha-detail/Um5tY0FSV0R6dWUveldTYlZIT1FwQT09</t>
        </is>
      </c>
      <c r="F207" t="n">
        <v>1</v>
      </c>
      <c r="G207" t="inlineStr">
        <is>
          <t>BS007</t>
        </is>
      </c>
      <c r="H207" t="inlineStr">
        <is>
          <t>16 Oktober 2009</t>
        </is>
      </c>
      <c r="I207" s="2" t="n">
        <v>46234</v>
      </c>
      <c r="J207" t="inlineStr">
        <is>
          <t>Disetujui</t>
        </is>
      </c>
      <c r="K207" t="n">
        <v>30</v>
      </c>
      <c r="L207" t="inlineStr">
        <is>
          <t>31 Juli 2026</t>
        </is>
      </c>
      <c r="M207" t="inlineStr">
        <is>
          <t>Konstruksi Bangunan Sipil Elektrikal</t>
        </is>
      </c>
      <c r="N207" t="inlineStr">
        <is>
          <t>K</t>
        </is>
      </c>
      <c r="O207" t="inlineStr">
        <is>
          <t>20230529</t>
        </is>
      </c>
      <c r="P207" t="inlineStr">
        <is>
          <t>Jawa Timur</t>
        </is>
      </c>
      <c r="Q207" t="inlineStr"/>
    </row>
    <row r="208">
      <c r="A208" t="inlineStr">
        <is>
          <t>UNIVERSAL INTI KONSTRUKSI</t>
        </is>
      </c>
      <c r="B208" t="inlineStr">
        <is>
          <t>Kab. Bantul</t>
        </is>
      </c>
      <c r="C208" t="inlineStr">
        <is>
          <t>0817745423</t>
        </is>
      </c>
      <c r="D208" t="inlineStr">
        <is>
          <t>unikoncv@gmail.com</t>
        </is>
      </c>
      <c r="E208" t="inlineStr">
        <is>
          <t>https://lpjk.pu.go.id/search-badan-usaha-detail/R3RCZkkvTkZKV3djSTdXbzJ3QldmQT09</t>
        </is>
      </c>
      <c r="F208" t="n">
        <v>2</v>
      </c>
      <c r="G208" t="inlineStr">
        <is>
          <t>BG009</t>
        </is>
      </c>
      <c r="H208" t="inlineStr">
        <is>
          <t>6 Februari 2023</t>
        </is>
      </c>
      <c r="I208" s="2" t="n">
        <v>46234</v>
      </c>
      <c r="J208" t="inlineStr">
        <is>
          <t>Disetujui</t>
        </is>
      </c>
      <c r="K208" t="n">
        <v>30</v>
      </c>
      <c r="L208" t="inlineStr">
        <is>
          <t>31 Juli 2026</t>
        </is>
      </c>
      <c r="M208" t="inlineStr">
        <is>
          <t>Konstruksi Gedung Lainnya</t>
        </is>
      </c>
      <c r="N208" t="inlineStr">
        <is>
          <t>K</t>
        </is>
      </c>
      <c r="O208" t="inlineStr">
        <is>
          <t>20230727</t>
        </is>
      </c>
      <c r="P208" t="inlineStr">
        <is>
          <t>DI Yogyakarta</t>
        </is>
      </c>
      <c r="Q208" t="inlineStr"/>
    </row>
    <row r="209">
      <c r="A209" t="inlineStr">
        <is>
          <t>URTASE GLOBAL MANDIRI</t>
        </is>
      </c>
      <c r="B209" t="inlineStr">
        <is>
          <t>Kab. Tasikmalaya</t>
        </is>
      </c>
      <c r="C209" t="inlineStr">
        <is>
          <t>081320497126</t>
        </is>
      </c>
      <c r="D209" t="inlineStr">
        <is>
          <t>urtase18@gmail.com</t>
        </is>
      </c>
      <c r="E209" t="inlineStr">
        <is>
          <t>https://lpjk.pu.go.id/search-badan-usaha-detail/VU0rZGdjK1NOcTd5d2xSZVVsMG96QT09</t>
        </is>
      </c>
      <c r="F209" t="n">
        <v>3</v>
      </c>
      <c r="G209" t="inlineStr">
        <is>
          <t>RK001, RK002, RK003</t>
        </is>
      </c>
      <c r="H209" t="inlineStr">
        <is>
          <t>27 Februari 2018</t>
        </is>
      </c>
      <c r="I209" s="2" t="n">
        <v>46234</v>
      </c>
      <c r="J209" t="inlineStr">
        <is>
          <t>Pencabutan</t>
        </is>
      </c>
      <c r="K209" t="n">
        <v>30</v>
      </c>
      <c r="L209" t="inlineStr">
        <is>
          <t>31 Juli 2026</t>
        </is>
      </c>
      <c r="M209" t="inlineStr">
        <is>
          <t>Jasa Rekayasa Konstruksi Bangunan Gedung Hunian dan Non Hunian, Jasa Rekayasa Pekerjaan Teknik Sipil Sumber Daya Air, Jasa Rekayasa Pekerjaan Teknik Sipil Transportasi</t>
        </is>
      </c>
      <c r="N209" t="inlineStr">
        <is>
          <t>K</t>
        </is>
      </c>
      <c r="O209" t="inlineStr">
        <is>
          <t>20230719</t>
        </is>
      </c>
      <c r="P209" t="inlineStr">
        <is>
          <t>Jawa Barat</t>
        </is>
      </c>
      <c r="Q209" t="inlineStr"/>
    </row>
    <row r="210">
      <c r="A210" t="inlineStr">
        <is>
          <t>VIRA KARYA SAKTI</t>
        </is>
      </c>
      <c r="B210" t="inlineStr">
        <is>
          <t>Kab. Jember</t>
        </is>
      </c>
      <c r="C210" t="inlineStr">
        <is>
          <t>081233457351</t>
        </is>
      </c>
      <c r="D210" t="inlineStr">
        <is>
          <t>virakaryasakti@gmail.com</t>
        </is>
      </c>
      <c r="E210" t="inlineStr">
        <is>
          <t>https://lpjk.pu.go.id/search-badan-usaha-detail/c1BWaVRJK1o5bk9QZmF0dHlrMGx0UT09</t>
        </is>
      </c>
      <c r="F210" t="n">
        <v>1</v>
      </c>
      <c r="G210" t="inlineStr">
        <is>
          <t>BS004</t>
        </is>
      </c>
      <c r="H210" t="inlineStr">
        <is>
          <t>6 Januari 2012</t>
        </is>
      </c>
      <c r="I210" s="2" t="n">
        <v>46234</v>
      </c>
      <c r="J210" t="inlineStr">
        <is>
          <t>Disetujui</t>
        </is>
      </c>
      <c r="K210" t="n">
        <v>30</v>
      </c>
      <c r="L210" t="inlineStr">
        <is>
          <t>31 Juli 2026</t>
        </is>
      </c>
      <c r="M210" t="inlineStr">
        <is>
          <t>Konstruksi Jaringan Irigasi dan Drainase</t>
        </is>
      </c>
      <c r="N210" t="inlineStr">
        <is>
          <t>K</t>
        </is>
      </c>
      <c r="O210" t="inlineStr">
        <is>
          <t>20230726</t>
        </is>
      </c>
      <c r="P210" t="inlineStr">
        <is>
          <t>Jawa Timur</t>
        </is>
      </c>
      <c r="Q210" t="inlineStr"/>
    </row>
    <row r="211">
      <c r="A211" t="inlineStr">
        <is>
          <t>WAHANA SEJAHTERA MANDIRI</t>
        </is>
      </c>
      <c r="B211" t="inlineStr">
        <is>
          <t>Kota Pontianak</t>
        </is>
      </c>
      <c r="C211" t="inlineStr">
        <is>
          <t>081270473656</t>
        </is>
      </c>
      <c r="D211" t="inlineStr">
        <is>
          <t>ws_mandiri@rocketmail.com</t>
        </is>
      </c>
      <c r="E211" t="inlineStr">
        <is>
          <t>https://lpjk.pu.go.id/search-badan-usaha-detail/Q0ZVUVJtS3lBVzBEUmtnRU1ZKzdrZz09</t>
        </is>
      </c>
      <c r="F211" t="n">
        <v>1</v>
      </c>
      <c r="G211" t="inlineStr">
        <is>
          <t>RK003</t>
        </is>
      </c>
      <c r="H211" t="inlineStr">
        <is>
          <t>11 November 2011</t>
        </is>
      </c>
      <c r="I211" s="2" t="n">
        <v>46234</v>
      </c>
      <c r="J211" t="inlineStr">
        <is>
          <t>Disetujui</t>
        </is>
      </c>
      <c r="K211" t="n">
        <v>30</v>
      </c>
      <c r="L211" t="inlineStr">
        <is>
          <t>31 Juli 2026</t>
        </is>
      </c>
      <c r="M211" t="inlineStr">
        <is>
          <t>Jasa Rekayasa Pekerjaan Teknik Sipil Transportasi</t>
        </is>
      </c>
      <c r="N211" t="inlineStr">
        <is>
          <t>K</t>
        </is>
      </c>
      <c r="O211" t="inlineStr">
        <is>
          <t>20230720</t>
        </is>
      </c>
      <c r="P211" t="inlineStr">
        <is>
          <t>Kalimantan Barat</t>
        </is>
      </c>
      <c r="Q211" t="inlineStr"/>
    </row>
    <row r="212">
      <c r="A212" t="inlineStr">
        <is>
          <t>WALEI TEKNIK PRATAMA</t>
        </is>
      </c>
      <c r="B212" t="inlineStr">
        <is>
          <t>Kota Bandung</t>
        </is>
      </c>
      <c r="C212" t="inlineStr">
        <is>
          <t>08121465696</t>
        </is>
      </c>
      <c r="D212" t="inlineStr">
        <is>
          <t>wtp.waleiteknikpratama@gmail.com</t>
        </is>
      </c>
      <c r="E212" t="inlineStr">
        <is>
          <t>https://lpjk.pu.go.id/search-badan-usaha-detail/RnJOa3BTRCtmQ3RGZVJEZlFEUUNhdz09</t>
        </is>
      </c>
      <c r="F212" t="n">
        <v>1</v>
      </c>
      <c r="G212" t="inlineStr">
        <is>
          <t>IT003</t>
        </is>
      </c>
      <c r="H212" t="inlineStr">
        <is>
          <t>15 Mei 2018</t>
        </is>
      </c>
      <c r="I212" s="2" t="n">
        <v>46234</v>
      </c>
      <c r="J212" t="inlineStr">
        <is>
          <t>Disetujui</t>
        </is>
      </c>
      <c r="K212" t="n">
        <v>30</v>
      </c>
      <c r="L212" t="inlineStr">
        <is>
          <t>31 Juli 2026</t>
        </is>
      </c>
      <c r="M212" t="inlineStr">
        <is>
          <t>Jasa Konsultansi Ilmiah dan Teknis Permukaan Tanah dan Pembuatan Peta</t>
        </is>
      </c>
      <c r="N212" t="inlineStr">
        <is>
          <t>Spesialis</t>
        </is>
      </c>
      <c r="O212" t="inlineStr">
        <is>
          <t>20230710</t>
        </is>
      </c>
      <c r="P212" t="inlineStr">
        <is>
          <t>Jawa Barat</t>
        </is>
      </c>
      <c r="Q212" t="inlineStr"/>
    </row>
    <row r="213">
      <c r="A213" t="inlineStr">
        <is>
          <t>WINDI JAYA PUTRA</t>
        </is>
      </c>
      <c r="B213" t="inlineStr">
        <is>
          <t>Kab. Tulang Bawang Barat</t>
        </is>
      </c>
      <c r="C213" t="inlineStr">
        <is>
          <t>081219620441</t>
        </is>
      </c>
      <c r="D213" t="inlineStr">
        <is>
          <t>windijayaputra80@gmail.com</t>
        </is>
      </c>
      <c r="E213" t="inlineStr">
        <is>
          <t>https://lpjk.pu.go.id/search-badan-usaha-detail/czBvYTV6dlVNaGdIdXJua0VKM0hUZz09</t>
        </is>
      </c>
      <c r="F213" t="n">
        <v>1</v>
      </c>
      <c r="G213" t="inlineStr">
        <is>
          <t>BS001</t>
        </is>
      </c>
      <c r="H213" t="inlineStr">
        <is>
          <t>4 Maret 2010</t>
        </is>
      </c>
      <c r="I213" s="2" t="n">
        <v>46234</v>
      </c>
      <c r="J213" t="inlineStr">
        <is>
          <t>Disetujui</t>
        </is>
      </c>
      <c r="K213" t="n">
        <v>30</v>
      </c>
      <c r="L213" t="inlineStr">
        <is>
          <t>31 Juli 2026</t>
        </is>
      </c>
      <c r="M213" t="inlineStr">
        <is>
          <t>Konstruksi Bangunan Sipil Jalan</t>
        </is>
      </c>
      <c r="N213" t="inlineStr">
        <is>
          <t>K</t>
        </is>
      </c>
      <c r="O213" t="inlineStr">
        <is>
          <t>20230726</t>
        </is>
      </c>
      <c r="P213" t="inlineStr">
        <is>
          <t>Lampung</t>
        </is>
      </c>
      <c r="Q213" t="inlineStr"/>
    </row>
    <row r="214">
      <c r="A214" t="inlineStr">
        <is>
          <t>YANARI PUTRA UTAMA</t>
        </is>
      </c>
      <c r="B214" t="inlineStr">
        <is>
          <t>Kab. Serang</t>
        </is>
      </c>
      <c r="C214" t="inlineStr">
        <is>
          <t>087877333133</t>
        </is>
      </c>
      <c r="D214" t="inlineStr">
        <is>
          <t>yanariputrautama.pt@gmail.com</t>
        </is>
      </c>
      <c r="E214" t="inlineStr">
        <is>
          <t>https://lpjk.pu.go.id/search-badan-usaha-detail/YVQvRWk0d3Ztcnp2SjA3OXlLRTltdz09</t>
        </is>
      </c>
      <c r="F214" t="n">
        <v>1</v>
      </c>
      <c r="G214" t="inlineStr">
        <is>
          <t>BG009</t>
        </is>
      </c>
      <c r="H214" t="inlineStr">
        <is>
          <t>11 April 2013</t>
        </is>
      </c>
      <c r="I214" s="2" t="n">
        <v>46234</v>
      </c>
      <c r="J214" t="inlineStr">
        <is>
          <t>Disetujui</t>
        </is>
      </c>
      <c r="K214" t="n">
        <v>30</v>
      </c>
      <c r="L214" t="inlineStr">
        <is>
          <t>31 Juli 2026</t>
        </is>
      </c>
      <c r="M214" t="inlineStr">
        <is>
          <t>Konstruksi Gedung Lainnya</t>
        </is>
      </c>
      <c r="N214" t="inlineStr">
        <is>
          <t>K</t>
        </is>
      </c>
      <c r="O214" t="inlineStr">
        <is>
          <t>20230726</t>
        </is>
      </c>
      <c r="P214" t="inlineStr">
        <is>
          <t>Banten</t>
        </is>
      </c>
      <c r="Q214" t="inlineStr"/>
    </row>
    <row r="215">
      <c r="A215" t="inlineStr">
        <is>
          <t>ZAKI PUTRA</t>
        </is>
      </c>
      <c r="B215" t="inlineStr">
        <is>
          <t>Kab. Lombok Timur</t>
        </is>
      </c>
      <c r="C215" t="inlineStr">
        <is>
          <t>087856049161</t>
        </is>
      </c>
      <c r="D215" t="inlineStr">
        <is>
          <t>cvzakiputra7@gmail.com</t>
        </is>
      </c>
      <c r="E215" t="inlineStr">
        <is>
          <t>https://lpjk.pu.go.id/search-badan-usaha-detail/cFhxQS9lb0ZhdElOTGVKMWt3OEN5dz09</t>
        </is>
      </c>
      <c r="F215" t="n">
        <v>2</v>
      </c>
      <c r="G215" t="inlineStr">
        <is>
          <t>BS001, BS004</t>
        </is>
      </c>
      <c r="H215" t="inlineStr">
        <is>
          <t>16 Februari 2009</t>
        </is>
      </c>
      <c r="I215" s="2" t="n">
        <v>46234</v>
      </c>
      <c r="J215" t="inlineStr">
        <is>
          <t>Disetujui</t>
        </is>
      </c>
      <c r="K215" t="n">
        <v>30</v>
      </c>
      <c r="L215" t="inlineStr">
        <is>
          <t>31 Juli 2026</t>
        </is>
      </c>
      <c r="M215" t="inlineStr">
        <is>
          <t>Konstruksi Bangunan Sipil Jalan, Konstruksi Jaringan Irigasi dan Drainase</t>
        </is>
      </c>
      <c r="N215" t="inlineStr">
        <is>
          <t>K</t>
        </is>
      </c>
      <c r="O215" t="inlineStr">
        <is>
          <t>20230726</t>
        </is>
      </c>
      <c r="P215" t="inlineStr">
        <is>
          <t>Nusa Tenggara Barat</t>
        </is>
      </c>
      <c r="Q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2026-07-01T02:51:20Z</dcterms:created>
  <dcterms:modified xsi:type="dcterms:W3CDTF">2026-07-01T02:51:20Z</dcterms:modified>
</cp:coreProperties>
</file>