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7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5"/>
  <sheetViews>
    <sheetView workbookViewId="0">
      <selection activeCell="A1" sqref="A1"/>
    </sheetView>
  </sheetViews>
  <sheetFormatPr baseColWidth="8" defaultRowHeight="15"/>
  <cols>
    <col width="32" customWidth="1" min="1" max="1"/>
    <col width="27" customWidth="1" min="2" max="2"/>
    <col width="16" customWidth="1" min="3" max="3"/>
    <col width="40" customWidth="1" min="4" max="4"/>
    <col width="50" customWidth="1" min="5" max="5"/>
    <col width="18" customWidth="1" min="6" max="6"/>
    <col width="50" customWidth="1" min="7" max="7"/>
    <col width="20" customWidth="1" min="8" max="8"/>
    <col width="28" customWidth="1" min="9" max="9"/>
    <col width="12" customWidth="1" min="10" max="10"/>
    <col width="11" customWidth="1" min="11" max="11"/>
    <col width="18" customWidth="1" min="12" max="12"/>
    <col width="50" customWidth="1" min="13" max="13"/>
    <col width="13" customWidth="1" min="14" max="14"/>
    <col width="4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AMANAT MITRA SEJATI</t>
        </is>
      </c>
      <c r="B2" t="inlineStr">
        <is>
          <t>Kota Bekasi</t>
        </is>
      </c>
      <c r="C2" t="inlineStr">
        <is>
          <t>02182413412</t>
        </is>
      </c>
      <c r="D2" t="inlineStr">
        <is>
          <t>am.sejati@gmail.com</t>
        </is>
      </c>
      <c r="E2" t="inlineStr">
        <is>
          <t>https://lpjk.pu.go.id/search-badan-usaha-detail/RXJ6cERPUjg4TjNOOTVPby8wcDJtUT09</t>
        </is>
      </c>
      <c r="F2" t="n">
        <v>4</v>
      </c>
      <c r="G2" t="inlineStr">
        <is>
          <t>BS017</t>
        </is>
      </c>
      <c r="H2" t="inlineStr">
        <is>
          <t>4 Agustus 2009</t>
        </is>
      </c>
      <c r="I2" s="2" t="n">
        <v>46384</v>
      </c>
      <c r="J2" t="inlineStr">
        <is>
          <t>Disetujui</t>
        </is>
      </c>
      <c r="K2" t="n">
        <v>87</v>
      </c>
      <c r="L2" t="inlineStr">
        <is>
          <t>28 Desember 2026</t>
        </is>
      </c>
      <c r="M2" t="inlineStr">
        <is>
          <t>Konstruksi Bangunan Sipil Lainnya Ytdl</t>
        </is>
      </c>
      <c r="N2" t="inlineStr">
        <is>
          <t>K</t>
        </is>
      </c>
      <c r="O2" t="inlineStr">
        <is>
          <t>20231218</t>
        </is>
      </c>
      <c r="P2" t="inlineStr">
        <is>
          <t>Jawa Barat</t>
        </is>
      </c>
      <c r="Q2" t="inlineStr"/>
    </row>
    <row r="3">
      <c r="A3" t="inlineStr">
        <is>
          <t>BONASA JAYA</t>
        </is>
      </c>
      <c r="B3" t="inlineStr">
        <is>
          <t>Kota Adm. Jakarta Timur</t>
        </is>
      </c>
      <c r="C3" t="inlineStr">
        <is>
          <t>02187706350</t>
        </is>
      </c>
      <c r="D3" t="inlineStr">
        <is>
          <t>ptbonasajaya@gmail.com</t>
        </is>
      </c>
      <c r="E3" t="inlineStr">
        <is>
          <t>https://lpjk.pu.go.id/search-badan-usaha-detail/d3U5b2M5NnByblhBbEpuS3Z1aHdxdz09</t>
        </is>
      </c>
      <c r="F3" t="n">
        <v>8</v>
      </c>
      <c r="G3" t="inlineStr">
        <is>
          <t>BG009, BS001, BS002, BS010</t>
        </is>
      </c>
      <c r="H3" t="inlineStr">
        <is>
          <t>18 Juni 1997</t>
        </is>
      </c>
      <c r="I3" s="2" t="n">
        <v>46384</v>
      </c>
      <c r="J3" t="inlineStr">
        <is>
          <t>Disetujui</t>
        </is>
      </c>
      <c r="K3" t="n">
        <v>87</v>
      </c>
      <c r="L3" t="inlineStr">
        <is>
          <t>28 Desember 2026</t>
        </is>
      </c>
      <c r="M3" t="inlineStr">
        <is>
          <t>Bangunan Sipil Jembatan, Jalan Layang, Fly Over, dan Underpass, Konstruksi Bangunan Prasarana Sumber Daya Air, Konstruksi Bangunan Sipil Jalan, Konstruksi Gedung Lainnya</t>
        </is>
      </c>
      <c r="N3" t="inlineStr">
        <is>
          <t>K</t>
        </is>
      </c>
      <c r="O3" t="inlineStr">
        <is>
          <t>20230911, 20231123, 20231127, 20231221</t>
        </is>
      </c>
      <c r="P3" t="inlineStr">
        <is>
          <t>DKI Jakarta</t>
        </is>
      </c>
      <c r="Q3" t="inlineStr"/>
    </row>
    <row r="4">
      <c r="A4" t="inlineStr">
        <is>
          <t>BUMI SARANA MULYA</t>
        </is>
      </c>
      <c r="B4" t="inlineStr">
        <is>
          <t>Kota Adm. Jakarta Timur</t>
        </is>
      </c>
      <c r="C4" t="inlineStr">
        <is>
          <t>0218565083</t>
        </is>
      </c>
      <c r="D4" t="inlineStr">
        <is>
          <t>info.bumisaranamulya@gmail.com</t>
        </is>
      </c>
      <c r="E4" t="inlineStr">
        <is>
          <t>https://lpjk.pu.go.id/search-badan-usaha-detail/MVdvbEtVUDcvdFJuWXB2Rk82MmFxQT09</t>
        </is>
      </c>
      <c r="F4" t="n">
        <v>2</v>
      </c>
      <c r="G4" t="inlineStr">
        <is>
          <t>BS001, BS002</t>
        </is>
      </c>
      <c r="H4" t="inlineStr">
        <is>
          <t>26 Oktober 2020</t>
        </is>
      </c>
      <c r="I4" s="2" t="n">
        <v>46384</v>
      </c>
      <c r="J4" t="inlineStr">
        <is>
          <t>Disetujui</t>
        </is>
      </c>
      <c r="K4" t="n">
        <v>87</v>
      </c>
      <c r="L4" t="inlineStr">
        <is>
          <t>28 Desember 2026</t>
        </is>
      </c>
      <c r="M4" t="inlineStr">
        <is>
          <t>Bangunan Sipil Jembatan, Jalan Layang, Fly Over, dan Underpass, Konstruksi Bangunan Sipil Jalan</t>
        </is>
      </c>
      <c r="N4" t="inlineStr">
        <is>
          <t>K</t>
        </is>
      </c>
      <c r="O4" t="inlineStr">
        <is>
          <t>20230630, 20231227</t>
        </is>
      </c>
      <c r="P4" t="inlineStr">
        <is>
          <t>DKI Jakarta</t>
        </is>
      </c>
      <c r="Q4" t="inlineStr"/>
    </row>
    <row r="5">
      <c r="A5" t="inlineStr">
        <is>
          <t>CIPELANG HERANG KONTRUKSI</t>
        </is>
      </c>
      <c r="B5" t="inlineStr">
        <is>
          <t>Kab. Bogor</t>
        </is>
      </c>
      <c r="C5" t="inlineStr">
        <is>
          <t>085942061388</t>
        </is>
      </c>
      <c r="D5" t="inlineStr">
        <is>
          <t>cipelangkuntruksi@gmail.com</t>
        </is>
      </c>
      <c r="E5" t="inlineStr">
        <is>
          <t>https://lpjk.pu.go.id/search-badan-usaha-detail/Njkwa2J1bzhhV2dsM2syemRKZmVpZz09</t>
        </is>
      </c>
      <c r="F5" t="n">
        <v>3</v>
      </c>
      <c r="G5" t="inlineStr">
        <is>
          <t>BG002, BG006, BG009</t>
        </is>
      </c>
      <c r="H5" t="inlineStr">
        <is>
          <t>13 Juni 2023</t>
        </is>
      </c>
      <c r="I5" s="2" t="n">
        <v>46384</v>
      </c>
      <c r="J5" t="inlineStr">
        <is>
          <t>Disetujui</t>
        </is>
      </c>
      <c r="K5" t="n">
        <v>87</v>
      </c>
      <c r="L5" t="inlineStr">
        <is>
          <t>28 Desember 2026</t>
        </is>
      </c>
      <c r="M5" t="inlineStr">
        <is>
          <t>Konstruksi Gedung Lainnya, Konstruksi Gedung Pendidikan, Konstruksi Gedung Perkantoran</t>
        </is>
      </c>
      <c r="N5" t="inlineStr">
        <is>
          <t>K</t>
        </is>
      </c>
      <c r="O5" t="inlineStr">
        <is>
          <t>20231218, 20231219</t>
        </is>
      </c>
      <c r="P5" t="inlineStr">
        <is>
          <t>Jawa Barat</t>
        </is>
      </c>
      <c r="Q5" s="3">
        <f>HYPERLINK("https://wa.me/6285942061388?text=Selamat siang Bapak/Ibu pimpinan CIPELANG HERANG KONTRUKSI,%0A%0ASemoga Bapak/Ibu dalam keadaan baik.%0ABerdasarkan data LPJK, masa berlaku SBU perusahaan Bapak/Ibu akan berakhir sekitar 3 bulan lagi (pada 28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DANAKAR</t>
        </is>
      </c>
      <c r="B6" t="inlineStr">
        <is>
          <t>Kota Adm. Jakarta Timur</t>
        </is>
      </c>
      <c r="C6" t="inlineStr">
        <is>
          <t>081510278843</t>
        </is>
      </c>
      <c r="D6" t="inlineStr">
        <is>
          <t>admin@danakar.co.id</t>
        </is>
      </c>
      <c r="E6" t="inlineStr">
        <is>
          <t>https://lpjk.pu.go.id/search-badan-usaha-detail/WnI2Z0R5cjRYT3hQREJOTGFMWmdJODM2ckI2ZnkxL0NJZmVPTlZlZ09zbz0</t>
        </is>
      </c>
      <c r="F6" t="n">
        <v>1</v>
      </c>
      <c r="G6" t="inlineStr">
        <is>
          <t>PB004</t>
        </is>
      </c>
      <c r="H6" t="inlineStr">
        <is>
          <t>20 Januari 2025</t>
        </is>
      </c>
      <c r="I6" s="2" t="n">
        <v>46384</v>
      </c>
      <c r="J6" t="inlineStr">
        <is>
          <t>Disetujui</t>
        </is>
      </c>
      <c r="K6" t="n">
        <v>87</v>
      </c>
      <c r="L6" t="inlineStr">
        <is>
          <t>28 Desember 2026</t>
        </is>
      </c>
      <c r="M6" t="inlineStr">
        <is>
          <t>Dekorasi Interior</t>
        </is>
      </c>
      <c r="N6" t="inlineStr">
        <is>
          <t>Spesialis</t>
        </is>
      </c>
      <c r="O6" t="inlineStr">
        <is>
          <t>20231212</t>
        </is>
      </c>
      <c r="P6" t="inlineStr">
        <is>
          <t>DKI Jakarta</t>
        </is>
      </c>
      <c r="Q6" s="3">
        <f>HYPERLINK("https://wa.me/6281510278843?text=Selamat siang Bapak/Ibu pimpinan DANAKAR,%0A%0ASemoga Bapak/Ibu dalam keadaan baik.%0ABerdasarkan data LPJK, masa berlaku SBU perusahaan Bapak/Ibu akan berakhir sekitar 3 bulan lagi (pada 28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7">
      <c r="A7" t="inlineStr">
        <is>
          <t>DINAR JAYA PERSADA</t>
        </is>
      </c>
      <c r="B7" t="inlineStr">
        <is>
          <t>Kab. Bekasi</t>
        </is>
      </c>
      <c r="C7" t="inlineStr">
        <is>
          <t>081285918695</t>
        </is>
      </c>
      <c r="D7" t="inlineStr">
        <is>
          <t>ptdinarjayapersada@gmail.com</t>
        </is>
      </c>
      <c r="E7" t="inlineStr">
        <is>
          <t>https://lpjk.pu.go.id/search-badan-usaha-detail/bGVNMXJJTUdkSy9nZmlmKy9YY3pUUT09</t>
        </is>
      </c>
      <c r="F7" t="n">
        <v>3</v>
      </c>
      <c r="G7" t="inlineStr">
        <is>
          <t>BG009</t>
        </is>
      </c>
      <c r="H7" t="inlineStr">
        <is>
          <t>5 Desember 2023</t>
        </is>
      </c>
      <c r="I7" s="2" t="n">
        <v>46384</v>
      </c>
      <c r="J7" t="inlineStr">
        <is>
          <t>Disetujui</t>
        </is>
      </c>
      <c r="K7" t="n">
        <v>87</v>
      </c>
      <c r="L7" t="inlineStr">
        <is>
          <t>28 Desember 2026</t>
        </is>
      </c>
      <c r="M7" t="inlineStr">
        <is>
          <t>Konstruksi Gedung Lainnya</t>
        </is>
      </c>
      <c r="N7" t="inlineStr">
        <is>
          <t>K</t>
        </is>
      </c>
      <c r="O7" t="inlineStr">
        <is>
          <t>20231228</t>
        </is>
      </c>
      <c r="P7" t="inlineStr">
        <is>
          <t>Jawa Barat</t>
        </is>
      </c>
      <c r="Q7" s="3">
        <f>HYPERLINK("https://wa.me/6281285918695?text=Selamat siang Bapak/Ibu pimpinan DINAR JAYA PERSADA,%0A%0ASemoga Bapak/Ibu dalam keadaan baik.%0ABerdasarkan data LPJK, masa berlaku SBU perusahaan Bapak/Ibu akan berakhir sekitar 3 bulan lagi (pada 28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8">
      <c r="A8" t="inlineStr">
        <is>
          <t>INDOVICKERS FURNITAMA</t>
        </is>
      </c>
      <c r="B8" t="inlineStr">
        <is>
          <t>Kota Adm. Jakarta Timur</t>
        </is>
      </c>
      <c r="C8" t="inlineStr">
        <is>
          <t>087874780738</t>
        </is>
      </c>
      <c r="D8" t="inlineStr">
        <is>
          <t>didi.rudianto@indovickers.com</t>
        </is>
      </c>
      <c r="E8" t="inlineStr">
        <is>
          <t>https://lpjk.pu.go.id/search-badan-usaha-detail/emNFWnZyVmhjdXFLai9pNVc3cDdFQT09</t>
        </is>
      </c>
      <c r="F8" t="n">
        <v>2</v>
      </c>
      <c r="G8" t="inlineStr">
        <is>
          <t>BG001, BG002</t>
        </is>
      </c>
      <c r="H8" t="inlineStr">
        <is>
          <t>18 Desember 2023</t>
        </is>
      </c>
      <c r="I8" s="2" t="n">
        <v>46384</v>
      </c>
      <c r="J8" t="inlineStr">
        <is>
          <t>Disetujui</t>
        </is>
      </c>
      <c r="K8" t="n">
        <v>87</v>
      </c>
      <c r="L8" t="inlineStr">
        <is>
          <t>28 Desember 2026</t>
        </is>
      </c>
      <c r="M8" t="inlineStr">
        <is>
          <t>Konstruksi Gedung Hunian, Konstruksi Gedung Perkantoran</t>
        </is>
      </c>
      <c r="N8" t="inlineStr">
        <is>
          <t>K</t>
        </is>
      </c>
      <c r="O8" t="inlineStr">
        <is>
          <t>20231228, 20231229</t>
        </is>
      </c>
      <c r="P8" t="inlineStr">
        <is>
          <t>DKI Jakarta</t>
        </is>
      </c>
      <c r="Q8" s="3">
        <f>HYPERLINK("https://wa.me/6287874780738?text=Selamat siang Bapak/Ibu pimpinan INDOVICKERS FURNITAMA,%0A%0ASemoga Bapak/Ibu dalam keadaan baik.%0ABerdasarkan data LPJK, masa berlaku SBU perusahaan Bapak/Ibu akan berakhir sekitar 3 bulan lagi (pada 28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9">
      <c r="A9" t="inlineStr">
        <is>
          <t>KOTOBARU WIJAYA KREASI BERSAMA</t>
        </is>
      </c>
      <c r="B9" t="inlineStr">
        <is>
          <t>Kota Bekasi</t>
        </is>
      </c>
      <c r="C9" t="inlineStr">
        <is>
          <t>02182602901</t>
        </is>
      </c>
      <c r="D9" t="inlineStr">
        <is>
          <t>infokwkb@gmail.com</t>
        </is>
      </c>
      <c r="E9" t="inlineStr">
        <is>
          <t>https://lpjk.pu.go.id/search-badan-usaha-detail/WWlkUmdFdis3cFdzbm1UWTlTS1pNdz09</t>
        </is>
      </c>
      <c r="F9" t="n">
        <v>1</v>
      </c>
      <c r="G9" t="inlineStr">
        <is>
          <t>BS001</t>
        </is>
      </c>
      <c r="H9" t="inlineStr">
        <is>
          <t>30 April 2020</t>
        </is>
      </c>
      <c r="I9" s="2" t="n">
        <v>46384</v>
      </c>
      <c r="J9" t="inlineStr">
        <is>
          <t>Disetujui</t>
        </is>
      </c>
      <c r="K9" t="n">
        <v>87</v>
      </c>
      <c r="L9" t="inlineStr">
        <is>
          <t>28 Desember 2026</t>
        </is>
      </c>
      <c r="M9" t="inlineStr">
        <is>
          <t>Konstruksi Bangunan Sipil Jalan</t>
        </is>
      </c>
      <c r="N9" t="inlineStr">
        <is>
          <t>K</t>
        </is>
      </c>
      <c r="O9" t="inlineStr">
        <is>
          <t>20231228</t>
        </is>
      </c>
      <c r="P9" t="inlineStr">
        <is>
          <t>Jawa Barat</t>
        </is>
      </c>
      <c r="Q9" t="inlineStr"/>
    </row>
    <row r="10">
      <c r="A10" t="inlineStr">
        <is>
          <t>MANUNGGAL DAYA UTAMA</t>
        </is>
      </c>
      <c r="B10" t="inlineStr">
        <is>
          <t>Kota Bekasi</t>
        </is>
      </c>
      <c r="C10" t="inlineStr">
        <is>
          <t>085215598282</t>
        </is>
      </c>
      <c r="D10" t="inlineStr">
        <is>
          <t>abdulharisnugroho74@gmail.com</t>
        </is>
      </c>
      <c r="E10" t="inlineStr">
        <is>
          <t>https://lpjk.pu.go.id/search-badan-usaha-detail/dk9aWUVFaW5ucXkvN01WeVBhcm9Bdz09</t>
        </is>
      </c>
      <c r="F10" t="n">
        <v>2</v>
      </c>
      <c r="G10" t="inlineStr">
        <is>
          <t>IN008</t>
        </is>
      </c>
      <c r="H10" t="inlineStr">
        <is>
          <t>28 November 2023</t>
        </is>
      </c>
      <c r="I10" s="2" t="n">
        <v>46384</v>
      </c>
      <c r="J10" t="inlineStr">
        <is>
          <t>Disetujui</t>
        </is>
      </c>
      <c r="K10" t="n">
        <v>87</v>
      </c>
      <c r="L10" t="inlineStr">
        <is>
          <t>28 Desember 2026</t>
        </is>
      </c>
      <c r="M10" t="inlineStr">
        <is>
          <t>Instalasi Pendingin Dan Ventilasi Udara</t>
        </is>
      </c>
      <c r="N10" t="inlineStr">
        <is>
          <t>Spesialis</t>
        </is>
      </c>
      <c r="O10" t="inlineStr">
        <is>
          <t>20231226</t>
        </is>
      </c>
      <c r="P10" t="inlineStr">
        <is>
          <t>Jawa Barat</t>
        </is>
      </c>
      <c r="Q10" s="3">
        <f>HYPERLINK("https://wa.me/6285215598282?text=Selamat siang Bapak/Ibu pimpinan MANUNGGAL DAYA UTAMA,%0A%0ASemoga Bapak/Ibu dalam keadaan baik.%0ABerdasarkan data LPJK, masa berlaku SBU perusahaan Bapak/Ibu akan berakhir sekitar 3 bulan lagi (pada 28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1">
      <c r="A11" t="inlineStr">
        <is>
          <t>MELU BANGUN WIWEKA</t>
        </is>
      </c>
      <c r="B11" t="inlineStr">
        <is>
          <t>Kab. Bekasi</t>
        </is>
      </c>
      <c r="C11" t="inlineStr">
        <is>
          <t>0218830177</t>
        </is>
      </c>
      <c r="D11" t="inlineStr">
        <is>
          <t>marketing@mbwpt.com</t>
        </is>
      </c>
      <c r="E11" t="inlineStr">
        <is>
          <t>https://lpjk.pu.go.id/search-badan-usaha-detail/L2hKTGhhbVZxM0FBN0JNZXV1VDlXUT09</t>
        </is>
      </c>
      <c r="F11" t="n">
        <v>1</v>
      </c>
      <c r="G11" t="inlineStr">
        <is>
          <t>IN001</t>
        </is>
      </c>
      <c r="H11" t="inlineStr">
        <is>
          <t>20 April 1989</t>
        </is>
      </c>
      <c r="I11" s="2" t="n">
        <v>46384</v>
      </c>
      <c r="J11" t="inlineStr">
        <is>
          <t>Pembekuan</t>
        </is>
      </c>
      <c r="K11" t="n">
        <v>87</v>
      </c>
      <c r="L11" t="inlineStr">
        <is>
          <t>28 Desember 2026</t>
        </is>
      </c>
      <c r="M11" t="inlineStr">
        <is>
          <t>Instalasi Mekanikal</t>
        </is>
      </c>
      <c r="N11" t="inlineStr">
        <is>
          <t>Spesialis</t>
        </is>
      </c>
      <c r="O11" t="inlineStr">
        <is>
          <t>20231227</t>
        </is>
      </c>
      <c r="P11" t="inlineStr">
        <is>
          <t>Jawa Barat</t>
        </is>
      </c>
      <c r="Q11" t="inlineStr"/>
    </row>
    <row r="12">
      <c r="A12" t="inlineStr">
        <is>
          <t>MORIYAMA INDOKARYA</t>
        </is>
      </c>
      <c r="B12" t="inlineStr">
        <is>
          <t>Kota Adm. Jakarta Timur</t>
        </is>
      </c>
      <c r="C12" t="inlineStr">
        <is>
          <t>02129361198</t>
        </is>
      </c>
      <c r="D12" t="inlineStr">
        <is>
          <t>moriyama.indo@gmail.com</t>
        </is>
      </c>
      <c r="E12" t="inlineStr">
        <is>
          <t>https://lpjk.pu.go.id/search-badan-usaha-detail/ZE5RZWJrd093SUE5bnV1aWx0TzNyQT09</t>
        </is>
      </c>
      <c r="F12" t="n">
        <v>4</v>
      </c>
      <c r="G12" t="inlineStr">
        <is>
          <t>BG002, BG005, BG006, BG009</t>
        </is>
      </c>
      <c r="H12" t="inlineStr">
        <is>
          <t>4 April 2003</t>
        </is>
      </c>
      <c r="I12" s="2" t="n">
        <v>46384</v>
      </c>
      <c r="J12" t="inlineStr">
        <is>
          <t>Pencabutan</t>
        </is>
      </c>
      <c r="K12" t="n">
        <v>87</v>
      </c>
      <c r="L12" t="inlineStr">
        <is>
          <t>28 Desember 2026</t>
        </is>
      </c>
      <c r="M12" t="inlineStr">
        <is>
          <t>Konstruksi Gedung Kesehatan, Konstruksi Gedung Lainnya, Konstruksi Gedung Pendidikan, Konstruksi Gedung Perkantoran</t>
        </is>
      </c>
      <c r="N12" t="inlineStr">
        <is>
          <t>M</t>
        </is>
      </c>
      <c r="O12" t="inlineStr">
        <is>
          <t>20231227, 20231228</t>
        </is>
      </c>
      <c r="P12" t="inlineStr">
        <is>
          <t>DKI Jakarta</t>
        </is>
      </c>
      <c r="Q12" t="inlineStr"/>
    </row>
    <row r="13">
      <c r="A13" t="inlineStr">
        <is>
          <t>SAGAR PUTRA KREASI</t>
        </is>
      </c>
      <c r="B13" t="inlineStr">
        <is>
          <t>Kota Adm. Jakarta Timur</t>
        </is>
      </c>
      <c r="C13" t="inlineStr">
        <is>
          <t>02184599177</t>
        </is>
      </c>
      <c r="D13" t="inlineStr">
        <is>
          <t>ptsagarputrakreasi@gmail.com</t>
        </is>
      </c>
      <c r="E13" t="inlineStr">
        <is>
          <t>https://lpjk.pu.go.id/search-badan-usaha-detail/eUx5ODVOcXFwTnpOT3VxUmFkbG9HQT09</t>
        </is>
      </c>
      <c r="F13" t="n">
        <v>1</v>
      </c>
      <c r="G13" t="inlineStr">
        <is>
          <t>BG004</t>
        </is>
      </c>
      <c r="H13" t="inlineStr">
        <is>
          <t>2 November 2021</t>
        </is>
      </c>
      <c r="I13" s="2" t="n">
        <v>46384</v>
      </c>
      <c r="J13" t="inlineStr">
        <is>
          <t>Disetujui</t>
        </is>
      </c>
      <c r="K13" t="n">
        <v>87</v>
      </c>
      <c r="L13" t="inlineStr">
        <is>
          <t>28 Desember 2026</t>
        </is>
      </c>
      <c r="M13" t="inlineStr">
        <is>
          <t>Konstruksi Gedung Perbelanjaan</t>
        </is>
      </c>
      <c r="N13" t="inlineStr">
        <is>
          <t>K</t>
        </is>
      </c>
      <c r="O13" t="inlineStr">
        <is>
          <t>20231219</t>
        </is>
      </c>
      <c r="P13" t="inlineStr">
        <is>
          <t>DKI Jakarta</t>
        </is>
      </c>
      <c r="Q13" t="inlineStr"/>
    </row>
    <row r="14">
      <c r="A14" t="inlineStr">
        <is>
          <t>WASTU CIPTA NAGARA</t>
        </is>
      </c>
      <c r="B14" t="inlineStr">
        <is>
          <t>Kota Adm. Jakarta Timur</t>
        </is>
      </c>
      <c r="C14" t="inlineStr">
        <is>
          <t>02158905002</t>
        </is>
      </c>
      <c r="D14" t="inlineStr">
        <is>
          <t>wastuciptanagara@gmail.com</t>
        </is>
      </c>
      <c r="E14" t="inlineStr">
        <is>
          <t>https://lpjk.pu.go.id/search-badan-usaha-detail/ZkZRZzRSSXVrMTdnVVdHUXgvc3ZtUT09</t>
        </is>
      </c>
      <c r="F14" t="n">
        <v>3</v>
      </c>
      <c r="G14" t="inlineStr">
        <is>
          <t>AR001, AR002, AR003</t>
        </is>
      </c>
      <c r="H14" t="inlineStr">
        <is>
          <t>8 Maret 2021</t>
        </is>
      </c>
      <c r="I14" s="2" t="n">
        <v>46384</v>
      </c>
      <c r="J14" t="inlineStr">
        <is>
          <t>Disetujui</t>
        </is>
      </c>
      <c r="K14" t="n">
        <v>87</v>
      </c>
      <c r="L14" t="inlineStr">
        <is>
          <t>28 Desember 2026</t>
        </is>
      </c>
      <c r="M14" t="inlineStr">
        <is>
          <t>Jasa Arsitektural Bangunan Gedung Hunian dan Non Hunian, Jasa Arsitektural Lainnya, Jasa Desain Interior pada Bangunan Gedung dan Bangunan Sipil</t>
        </is>
      </c>
      <c r="N14" t="inlineStr">
        <is>
          <t>K</t>
        </is>
      </c>
      <c r="O14" t="inlineStr">
        <is>
          <t>20231220, 20231221</t>
        </is>
      </c>
      <c r="P14" t="inlineStr">
        <is>
          <t>DKI Jakarta</t>
        </is>
      </c>
      <c r="Q14" t="inlineStr"/>
    </row>
    <row r="15">
      <c r="A15" t="inlineStr">
        <is>
          <t>WIJAYA KARYA BETON</t>
        </is>
      </c>
      <c r="B15" t="inlineStr">
        <is>
          <t>Kota Adm. Jakarta Timur</t>
        </is>
      </c>
      <c r="C15" t="inlineStr">
        <is>
          <t>0218192802</t>
        </is>
      </c>
      <c r="D15" t="inlineStr">
        <is>
          <t>legalwikabeton@gmail.com</t>
        </is>
      </c>
      <c r="E15" t="inlineStr">
        <is>
          <t>https://lpjk.pu.go.id/search-badan-usaha-detail/b3FGaCtXbzF1dVBmWkdsVDRMRkdJUT09</t>
        </is>
      </c>
      <c r="F15" t="n">
        <v>2</v>
      </c>
      <c r="G15" t="inlineStr">
        <is>
          <t>KK001</t>
        </is>
      </c>
      <c r="H15" t="inlineStr">
        <is>
          <t>11 Maret 1997</t>
        </is>
      </c>
      <c r="I15" s="2" t="n">
        <v>46384</v>
      </c>
      <c r="J15" t="inlineStr">
        <is>
          <t>Disetujui</t>
        </is>
      </c>
      <c r="K15" t="n">
        <v>87</v>
      </c>
      <c r="L15" t="inlineStr">
        <is>
          <t>28 Desember 2026</t>
        </is>
      </c>
      <c r="M15" t="inlineStr">
        <is>
          <t>Pondasi Konstruksi</t>
        </is>
      </c>
      <c r="N15" t="inlineStr">
        <is>
          <t>Spesialis</t>
        </is>
      </c>
      <c r="O15" t="inlineStr">
        <is>
          <t>20231219</t>
        </is>
      </c>
      <c r="P15" t="inlineStr">
        <is>
          <t>DKI Jakarta</t>
        </is>
      </c>
      <c r="Q15" t="inlineStr"/>
    </row>
    <row r="16">
      <c r="A16" t="inlineStr">
        <is>
          <t>AGUNG PRIMA LESTARI</t>
        </is>
      </c>
      <c r="B16" t="inlineStr">
        <is>
          <t>Kab. Subang</t>
        </is>
      </c>
      <c r="C16" t="inlineStr">
        <is>
          <t>085320927909</t>
        </is>
      </c>
      <c r="D16" t="inlineStr">
        <is>
          <t>agungpl_subang@yahoo.co.id</t>
        </is>
      </c>
      <c r="E16" t="inlineStr">
        <is>
          <t>https://lpjk.pu.go.id/search-badan-usaha-detail/UHlxNXM5bng2NE9vQWsvM0p2b1kxUT09</t>
        </is>
      </c>
      <c r="F16" t="n">
        <v>4</v>
      </c>
      <c r="G16" t="inlineStr">
        <is>
          <t>BG006, BS001</t>
        </is>
      </c>
      <c r="H16" t="inlineStr">
        <is>
          <t>19 Mei 2005</t>
        </is>
      </c>
      <c r="I16" s="2" t="n">
        <v>46384</v>
      </c>
      <c r="J16" t="inlineStr">
        <is>
          <t>Disetujui</t>
        </is>
      </c>
      <c r="K16" t="n">
        <v>87</v>
      </c>
      <c r="L16" t="inlineStr">
        <is>
          <t>28 Desember 2026</t>
        </is>
      </c>
      <c r="M16" t="inlineStr">
        <is>
          <t>Konstruksi Bangunan Sipil Jalan, Konstruksi Gedung Pendidikan</t>
        </is>
      </c>
      <c r="N16" t="inlineStr">
        <is>
          <t>K</t>
        </is>
      </c>
      <c r="O16" t="inlineStr">
        <is>
          <t>20231221</t>
        </is>
      </c>
      <c r="P16" t="inlineStr">
        <is>
          <t>Jawa Barat</t>
        </is>
      </c>
      <c r="Q16" t="inlineStr"/>
    </row>
    <row r="17">
      <c r="A17" t="inlineStr">
        <is>
          <t>AIKO KARYA UTAMA</t>
        </is>
      </c>
      <c r="B17" t="inlineStr">
        <is>
          <t>Kota Adm. Jakarta Utara</t>
        </is>
      </c>
      <c r="C17" t="inlineStr">
        <is>
          <t>02126064950</t>
        </is>
      </c>
      <c r="D17" t="inlineStr">
        <is>
          <t>aikokaryautama@gmail.com</t>
        </is>
      </c>
      <c r="E17" t="inlineStr">
        <is>
          <t>https://lpjk.pu.go.id/search-badan-usaha-detail/Wmh1dXpwcmQxSGNvNUs2UkxDRTBodz09</t>
        </is>
      </c>
      <c r="F17" t="n">
        <v>1</v>
      </c>
      <c r="G17" t="inlineStr">
        <is>
          <t>IN004</t>
        </is>
      </c>
      <c r="H17" t="inlineStr">
        <is>
          <t>25 Oktober 2023</t>
        </is>
      </c>
      <c r="I17" s="2" t="n">
        <v>46384</v>
      </c>
      <c r="J17" t="inlineStr">
        <is>
          <t>Disetujui</t>
        </is>
      </c>
      <c r="K17" t="n">
        <v>87</v>
      </c>
      <c r="L17" t="inlineStr">
        <is>
          <t>28 Desember 2026</t>
        </is>
      </c>
      <c r="M17" t="inlineStr">
        <is>
          <t>Instalasi Minyak dan Gas</t>
        </is>
      </c>
      <c r="N17" t="inlineStr">
        <is>
          <t>Spesialis</t>
        </is>
      </c>
      <c r="O17" t="inlineStr">
        <is>
          <t>20231226</t>
        </is>
      </c>
      <c r="P17" t="inlineStr">
        <is>
          <t>DKI Jakarta</t>
        </is>
      </c>
      <c r="Q17" t="inlineStr"/>
    </row>
    <row r="18">
      <c r="A18" t="inlineStr">
        <is>
          <t>ANUGERAH MAS MANDIRI</t>
        </is>
      </c>
      <c r="B18" t="inlineStr">
        <is>
          <t>Kota Medan</t>
        </is>
      </c>
      <c r="C18" t="inlineStr">
        <is>
          <t>081375206317</t>
        </is>
      </c>
      <c r="D18" t="inlineStr">
        <is>
          <t>ANUGERAHMASMANDIRI@YAHOO.COM</t>
        </is>
      </c>
      <c r="E18" t="inlineStr">
        <is>
          <t>https://lpjk.pu.go.id/search-badan-usaha-detail/R0lSZHQwcFZJZGdGajdZTHZIWWw0dz09</t>
        </is>
      </c>
      <c r="F18" t="n">
        <v>2</v>
      </c>
      <c r="G18" t="inlineStr">
        <is>
          <t>BG001, BG009</t>
        </is>
      </c>
      <c r="H18" t="inlineStr">
        <is>
          <t>24 April 2018</t>
        </is>
      </c>
      <c r="I18" s="2" t="n">
        <v>46384</v>
      </c>
      <c r="J18" t="inlineStr">
        <is>
          <t>Disetujui</t>
        </is>
      </c>
      <c r="K18" t="n">
        <v>87</v>
      </c>
      <c r="L18" t="inlineStr">
        <is>
          <t>28 Desember 2026</t>
        </is>
      </c>
      <c r="M18" t="inlineStr">
        <is>
          <t>Konstruksi Gedung Hunian, Konstruksi Gedung Lainnya</t>
        </is>
      </c>
      <c r="N18" t="inlineStr">
        <is>
          <t>K</t>
        </is>
      </c>
      <c r="O18" t="inlineStr">
        <is>
          <t>20231228, 20231229</t>
        </is>
      </c>
      <c r="P18" t="inlineStr">
        <is>
          <t>Sumatera Utara</t>
        </is>
      </c>
      <c r="Q18" t="inlineStr"/>
    </row>
    <row r="19">
      <c r="A19" t="inlineStr">
        <is>
          <t>ANUGERAH SEJAHTERA ABADI</t>
        </is>
      </c>
      <c r="B19" t="inlineStr">
        <is>
          <t>Kab. Magelang</t>
        </is>
      </c>
      <c r="C19" t="inlineStr">
        <is>
          <t>085290011123</t>
        </is>
      </c>
      <c r="D19" t="inlineStr">
        <is>
          <t>arif_hidayat_st@yahoo.co.id</t>
        </is>
      </c>
      <c r="E19" t="inlineStr">
        <is>
          <t>https://lpjk.pu.go.id/search-badan-usaha-detail/Z3ZzUzhQdThMSFFseWpva2ZBOS9TZz09</t>
        </is>
      </c>
      <c r="F19" t="n">
        <v>2</v>
      </c>
      <c r="G19" t="inlineStr">
        <is>
          <t>BG004, BG006</t>
        </is>
      </c>
      <c r="H19" t="inlineStr">
        <is>
          <t>15 Maret 2018</t>
        </is>
      </c>
      <c r="I19" s="2" t="n">
        <v>46384</v>
      </c>
      <c r="J19" t="inlineStr">
        <is>
          <t>Disetujui</t>
        </is>
      </c>
      <c r="K19" t="n">
        <v>87</v>
      </c>
      <c r="L19" t="inlineStr">
        <is>
          <t>28 Desember 2026</t>
        </is>
      </c>
      <c r="M19" t="inlineStr">
        <is>
          <t>Konstruksi Gedung Pendidikan, Konstruksi Gedung Perbelanjaan</t>
        </is>
      </c>
      <c r="N19" t="inlineStr">
        <is>
          <t>K</t>
        </is>
      </c>
      <c r="O19" t="inlineStr">
        <is>
          <t>20231228</t>
        </is>
      </c>
      <c r="P19" t="inlineStr">
        <is>
          <t>Jawa Tengah</t>
        </is>
      </c>
      <c r="Q19" t="inlineStr"/>
    </row>
    <row r="20">
      <c r="A20" t="inlineStr">
        <is>
          <t>ANUGRAH KARYA RIZQI</t>
        </is>
      </c>
      <c r="B20" t="inlineStr">
        <is>
          <t>Kab. Lombok Tengah</t>
        </is>
      </c>
      <c r="C20" t="inlineStr">
        <is>
          <t>087893300366</t>
        </is>
      </c>
      <c r="D20" t="inlineStr">
        <is>
          <t>anugrahkaryarizqi1@gmail.com</t>
        </is>
      </c>
      <c r="E20" t="inlineStr">
        <is>
          <t>https://lpjk.pu.go.id/search-badan-usaha-detail/SEZ5RkdQdTlrMVVYMFVUQmxZYmgvUT09</t>
        </is>
      </c>
      <c r="F20" t="n">
        <v>2</v>
      </c>
      <c r="G20" t="inlineStr">
        <is>
          <t>BS004</t>
        </is>
      </c>
      <c r="H20" t="inlineStr">
        <is>
          <t>10 Desember 2007</t>
        </is>
      </c>
      <c r="I20" s="2" t="n">
        <v>46384</v>
      </c>
      <c r="J20" t="inlineStr">
        <is>
          <t>Disetujui</t>
        </is>
      </c>
      <c r="K20" t="n">
        <v>87</v>
      </c>
      <c r="L20" t="inlineStr">
        <is>
          <t>28 Desember 2026</t>
        </is>
      </c>
      <c r="M20" t="inlineStr">
        <is>
          <t>Konstruksi Jaringan Irigasi dan Drainase</t>
        </is>
      </c>
      <c r="N20" t="inlineStr">
        <is>
          <t>K</t>
        </is>
      </c>
      <c r="O20" t="inlineStr">
        <is>
          <t>20231219</t>
        </is>
      </c>
      <c r="P20" t="inlineStr">
        <is>
          <t>Nusa Tenggara Barat</t>
        </is>
      </c>
      <c r="Q20" t="inlineStr"/>
    </row>
    <row r="21">
      <c r="A21" t="inlineStr">
        <is>
          <t>AQSHA PRATAMA JAYA</t>
        </is>
      </c>
      <c r="B21" t="inlineStr">
        <is>
          <t>Kota Makassar</t>
        </is>
      </c>
      <c r="C21" t="inlineStr">
        <is>
          <t>081355392480</t>
        </is>
      </c>
      <c r="D21" t="inlineStr">
        <is>
          <t>aqshapratamapratams@gmail.com</t>
        </is>
      </c>
      <c r="E21" t="inlineStr">
        <is>
          <t>https://lpjk.pu.go.id/search-badan-usaha-detail/RFRBMVBFTlpIblE5L0xaeFhFWFg5QT09</t>
        </is>
      </c>
      <c r="F21" t="n">
        <v>3</v>
      </c>
      <c r="G21" t="inlineStr">
        <is>
          <t>BG001, BG002, BG006</t>
        </is>
      </c>
      <c r="H21" t="inlineStr">
        <is>
          <t>18 Februari 2011</t>
        </is>
      </c>
      <c r="I21" s="2" t="n">
        <v>46384</v>
      </c>
      <c r="J21" t="inlineStr">
        <is>
          <t>Disetujui</t>
        </is>
      </c>
      <c r="K21" t="n">
        <v>87</v>
      </c>
      <c r="L21" t="inlineStr">
        <is>
          <t>28 Desember 2026</t>
        </is>
      </c>
      <c r="M21" t="inlineStr">
        <is>
          <t>Konstruksi Gedung Hunian, Konstruksi Gedung Pendidikan, Konstruksi Gedung Perkantoran</t>
        </is>
      </c>
      <c r="N21" t="inlineStr">
        <is>
          <t>K</t>
        </is>
      </c>
      <c r="O21" t="inlineStr">
        <is>
          <t>20231227</t>
        </is>
      </c>
      <c r="P21" t="inlineStr">
        <is>
          <t>Sulawesi Selatan</t>
        </is>
      </c>
      <c r="Q21" t="inlineStr"/>
    </row>
    <row r="22">
      <c r="A22" t="inlineStr">
        <is>
          <t>ARDIAN KONSTRUKSI UTAMA</t>
        </is>
      </c>
      <c r="B22" t="inlineStr">
        <is>
          <t>Kab. Cianjur</t>
        </is>
      </c>
      <c r="C22" t="inlineStr">
        <is>
          <t>081287057996</t>
        </is>
      </c>
      <c r="D22" t="inlineStr">
        <is>
          <t>ardian.konstruksi.utama@gmail.com</t>
        </is>
      </c>
      <c r="E22" t="inlineStr">
        <is>
          <t>https://lpjk.pu.go.id/search-badan-usaha-detail/NFk0TkRkd2daNHZPM3NGTzlvUVVxQT09</t>
        </is>
      </c>
      <c r="F22" t="n">
        <v>4</v>
      </c>
      <c r="G22" t="inlineStr">
        <is>
          <t>BS004, BS005</t>
        </is>
      </c>
      <c r="H22" t="inlineStr">
        <is>
          <t>9 September 2019</t>
        </is>
      </c>
      <c r="I22" s="2" t="n">
        <v>46384</v>
      </c>
      <c r="J22" t="inlineStr">
        <is>
          <t>Disetujui</t>
        </is>
      </c>
      <c r="K22" t="n">
        <v>87</v>
      </c>
      <c r="L22" t="inlineStr">
        <is>
          <t>28 Desember 2026</t>
        </is>
      </c>
      <c r="M22" t="inlineStr">
        <is>
          <t>Konstruksi Bangunan Sipil Pengolahan Air Bersih, Konstruksi Jaringan Irigasi dan Drainase</t>
        </is>
      </c>
      <c r="N22" t="inlineStr">
        <is>
          <t>K</t>
        </is>
      </c>
      <c r="O22" t="inlineStr">
        <is>
          <t>20231219</t>
        </is>
      </c>
      <c r="P22" t="inlineStr">
        <is>
          <t>Jawa Barat</t>
        </is>
      </c>
      <c r="Q22" t="inlineStr"/>
    </row>
    <row r="23">
      <c r="A23" t="inlineStr">
        <is>
          <t>ARGOPURO</t>
        </is>
      </c>
      <c r="B23" t="inlineStr">
        <is>
          <t>Kab. Bondowoso</t>
        </is>
      </c>
      <c r="C23" t="inlineStr">
        <is>
          <t>82301027158</t>
        </is>
      </c>
      <c r="D23" t="inlineStr">
        <is>
          <t>argopuro.cvk@gmail.com</t>
        </is>
      </c>
      <c r="E23" t="inlineStr">
        <is>
          <t>https://lpjk.pu.go.id/search-badan-usaha-detail/VjhHQkZVOFRCb0hlNExHVUhEeW55dz09</t>
        </is>
      </c>
      <c r="F23" t="n">
        <v>4</v>
      </c>
      <c r="G23" t="inlineStr">
        <is>
          <t>BG001, BG002, BG006, BG009</t>
        </is>
      </c>
      <c r="H23" t="inlineStr">
        <is>
          <t>19 Juni 2009</t>
        </is>
      </c>
      <c r="I23" s="2" t="n">
        <v>46384</v>
      </c>
      <c r="J23" t="inlineStr">
        <is>
          <t>Disetujui</t>
        </is>
      </c>
      <c r="K23" t="n">
        <v>87</v>
      </c>
      <c r="L23" t="inlineStr">
        <is>
          <t>28 Desember 2026</t>
        </is>
      </c>
      <c r="M23" t="inlineStr">
        <is>
          <t>Konstruksi Gedung Hunian, Konstruksi Gedung Lainnya, Konstruksi Gedung Pendidikan, Konstruksi Gedung Perkantoran</t>
        </is>
      </c>
      <c r="N23" t="inlineStr">
        <is>
          <t>K</t>
        </is>
      </c>
      <c r="O23" t="inlineStr">
        <is>
          <t>20231218, 20231220</t>
        </is>
      </c>
      <c r="P23" t="inlineStr">
        <is>
          <t>Jawa Timur</t>
        </is>
      </c>
      <c r="Q23" t="inlineStr"/>
    </row>
    <row r="24">
      <c r="A24" t="inlineStr">
        <is>
          <t>ASTA MANDALA ABADI</t>
        </is>
      </c>
      <c r="B24" t="inlineStr">
        <is>
          <t>Kab. Badung</t>
        </is>
      </c>
      <c r="C24" t="inlineStr">
        <is>
          <t>0</t>
        </is>
      </c>
      <c r="D24" t="inlineStr">
        <is>
          <t>asmanda45@yahoo.com</t>
        </is>
      </c>
      <c r="E24" t="inlineStr">
        <is>
          <t>https://lpjk.pu.go.id/search-badan-usaha-detail/RjBTTlJmeXZtYzBXTVNidnF0ZjdPdz09</t>
        </is>
      </c>
      <c r="F24" t="n">
        <v>1</v>
      </c>
      <c r="G24" t="inlineStr">
        <is>
          <t>BS010</t>
        </is>
      </c>
      <c r="H24" t="inlineStr">
        <is>
          <t>15 Juni 2001</t>
        </is>
      </c>
      <c r="I24" s="2" t="n">
        <v>46384</v>
      </c>
      <c r="J24" t="inlineStr">
        <is>
          <t>Disetujui</t>
        </is>
      </c>
      <c r="K24" t="n">
        <v>87</v>
      </c>
      <c r="L24" t="inlineStr">
        <is>
          <t>28 Desember 2026</t>
        </is>
      </c>
      <c r="M24" t="inlineStr">
        <is>
          <t>Konstruksi Bangunan Prasarana Sumber Daya Air</t>
        </is>
      </c>
      <c r="N24" t="inlineStr">
        <is>
          <t>M</t>
        </is>
      </c>
      <c r="O24" t="inlineStr">
        <is>
          <t>20231213</t>
        </is>
      </c>
      <c r="P24" t="inlineStr">
        <is>
          <t>Bali</t>
        </is>
      </c>
      <c r="Q24" t="inlineStr"/>
    </row>
    <row r="25">
      <c r="A25" t="inlineStr">
        <is>
          <t>AZFAR PUTRA PERKASA</t>
        </is>
      </c>
      <c r="B25" t="inlineStr">
        <is>
          <t>Kota Surabaya</t>
        </is>
      </c>
      <c r="C25" t="inlineStr">
        <is>
          <t>082244442828</t>
        </is>
      </c>
      <c r="D25" t="inlineStr">
        <is>
          <t>azfarperkasa01@gmail.com</t>
        </is>
      </c>
      <c r="E25" t="inlineStr">
        <is>
          <t>https://lpjk.pu.go.id/search-badan-usaha-detail/cUlWaW5nSWN3em5YK0ZXYU51OUFHUT09</t>
        </is>
      </c>
      <c r="F25" t="n">
        <v>1</v>
      </c>
      <c r="G25" t="inlineStr">
        <is>
          <t>BG009</t>
        </is>
      </c>
      <c r="H25" t="inlineStr">
        <is>
          <t>31 Maret 2017</t>
        </is>
      </c>
      <c r="I25" s="2" t="n">
        <v>46384</v>
      </c>
      <c r="J25" t="inlineStr">
        <is>
          <t>Disetujui</t>
        </is>
      </c>
      <c r="K25" t="n">
        <v>87</v>
      </c>
      <c r="L25" t="inlineStr">
        <is>
          <t>28 Desember 2026</t>
        </is>
      </c>
      <c r="M25" t="inlineStr">
        <is>
          <t>Konstruksi Gedung Lainnya</t>
        </is>
      </c>
      <c r="N25" t="inlineStr">
        <is>
          <t>K</t>
        </is>
      </c>
      <c r="O25" t="inlineStr">
        <is>
          <t>20231228</t>
        </is>
      </c>
      <c r="P25" t="inlineStr">
        <is>
          <t>Jawa Timur</t>
        </is>
      </c>
      <c r="Q25" t="inlineStr"/>
    </row>
    <row r="26">
      <c r="A26" t="inlineStr">
        <is>
          <t>BAGUS UTAMA KARYA</t>
        </is>
      </c>
      <c r="B26" t="inlineStr">
        <is>
          <t>Kota Palembang</t>
        </is>
      </c>
      <c r="C26" t="inlineStr">
        <is>
          <t>07115610337</t>
        </is>
      </c>
      <c r="D26" t="inlineStr">
        <is>
          <t>utamakaryaptbagus@gmail.com</t>
        </is>
      </c>
      <c r="E26" t="inlineStr">
        <is>
          <t>https://lpjk.pu.go.id/search-badan-usaha-detail/d280SlVpWG4zczFaWGIyK0xWNUhlZz09</t>
        </is>
      </c>
      <c r="F26" t="n">
        <v>1</v>
      </c>
      <c r="G26" t="inlineStr">
        <is>
          <t>BG003</t>
        </is>
      </c>
      <c r="H26" t="inlineStr">
        <is>
          <t>2 Oktober 1979</t>
        </is>
      </c>
      <c r="I26" s="2" t="n">
        <v>46384</v>
      </c>
      <c r="J26" t="inlineStr">
        <is>
          <t>Disetujui</t>
        </is>
      </c>
      <c r="K26" t="n">
        <v>87</v>
      </c>
      <c r="L26" t="inlineStr">
        <is>
          <t>28 Desember 2026</t>
        </is>
      </c>
      <c r="M26" t="inlineStr">
        <is>
          <t>Konstruksi Gedung Industri</t>
        </is>
      </c>
      <c r="N26" t="inlineStr">
        <is>
          <t>K</t>
        </is>
      </c>
      <c r="O26" t="inlineStr">
        <is>
          <t>20231228</t>
        </is>
      </c>
      <c r="P26" t="inlineStr">
        <is>
          <t>Sumatera Selatan</t>
        </is>
      </c>
      <c r="Q26" t="inlineStr"/>
    </row>
    <row r="27">
      <c r="A27" t="inlineStr">
        <is>
          <t>BAKAT KONSTRUKSI TEHNIK</t>
        </is>
      </c>
      <c r="B27" t="inlineStr">
        <is>
          <t>Kota Adm. Jakarta Barat</t>
        </is>
      </c>
      <c r="C27" t="inlineStr">
        <is>
          <t>02158901300</t>
        </is>
      </c>
      <c r="D27" t="inlineStr">
        <is>
          <t>bakatkonstruksi@gmail.com</t>
        </is>
      </c>
      <c r="E27" t="inlineStr">
        <is>
          <t>https://lpjk.pu.go.id/search-badan-usaha-detail/cjFDRExVaWpuTlh0SFYyU1ZHdTg0QT09</t>
        </is>
      </c>
      <c r="F27" t="n">
        <v>4</v>
      </c>
      <c r="G27" t="inlineStr">
        <is>
          <t>BG002, BG009, BS001, BS003</t>
        </is>
      </c>
      <c r="H27" t="inlineStr">
        <is>
          <t>15 Desember 2016</t>
        </is>
      </c>
      <c r="I27" s="2" t="n">
        <v>46384</v>
      </c>
      <c r="J27" t="inlineStr">
        <is>
          <t>Disetujui</t>
        </is>
      </c>
      <c r="K27" t="n">
        <v>87</v>
      </c>
      <c r="L27" t="inlineStr">
        <is>
          <t>28 Desember 2026</t>
        </is>
      </c>
      <c r="M27" t="inlineStr">
        <is>
          <t>Konstruksi Bangunan Sipil Jalan, Konstruksi Gedung Lainnya, Konstruksi Gedung Perkantoran, Konstruksi Jalan Rel</t>
        </is>
      </c>
      <c r="N27" t="inlineStr">
        <is>
          <t>K</t>
        </is>
      </c>
      <c r="O27" t="inlineStr">
        <is>
          <t>20231227</t>
        </is>
      </c>
      <c r="P27" t="inlineStr">
        <is>
          <t>DKI Jakarta</t>
        </is>
      </c>
      <c r="Q27" t="inlineStr"/>
    </row>
    <row r="28">
      <c r="A28" t="inlineStr">
        <is>
          <t>BANGUN MULYA TAN ABADI</t>
        </is>
      </c>
      <c r="B28" t="inlineStr">
        <is>
          <t>Kab. Tulungagung</t>
        </is>
      </c>
      <c r="C28" t="inlineStr">
        <is>
          <t>0355325340</t>
        </is>
      </c>
      <c r="D28" t="inlineStr">
        <is>
          <t>pt_bmta@yahoo.com</t>
        </is>
      </c>
      <c r="E28" t="inlineStr">
        <is>
          <t>https://lpjk.pu.go.id/search-badan-usaha-detail/VVB3SlErTFFhZ2xLYmZPR2xyVVB6Zz09</t>
        </is>
      </c>
      <c r="F28" t="n">
        <v>1</v>
      </c>
      <c r="G28" t="inlineStr">
        <is>
          <t>BS002</t>
        </is>
      </c>
      <c r="H28" t="inlineStr">
        <is>
          <t>4 Maret 2005</t>
        </is>
      </c>
      <c r="I28" s="2" t="n">
        <v>46384</v>
      </c>
      <c r="J28" t="inlineStr">
        <is>
          <t>Disetujui</t>
        </is>
      </c>
      <c r="K28" t="n">
        <v>87</v>
      </c>
      <c r="L28" t="inlineStr">
        <is>
          <t>28 Desember 2026</t>
        </is>
      </c>
      <c r="M28" t="inlineStr">
        <is>
          <t>Bangunan Sipil Jembatan, Jalan Layang, Fly Over, dan Underpass</t>
        </is>
      </c>
      <c r="N28" t="inlineStr">
        <is>
          <t>M</t>
        </is>
      </c>
      <c r="O28" t="inlineStr">
        <is>
          <t>20231213</t>
        </is>
      </c>
      <c r="P28" t="inlineStr">
        <is>
          <t>Jawa Timur</t>
        </is>
      </c>
      <c r="Q28" t="inlineStr"/>
    </row>
    <row r="29">
      <c r="A29" t="inlineStr">
        <is>
          <t>BERKAH BUMI MANIS</t>
        </is>
      </c>
      <c r="B29" t="inlineStr">
        <is>
          <t>Kota Cilegon</t>
        </is>
      </c>
      <c r="C29" t="inlineStr">
        <is>
          <t>081806795086</t>
        </is>
      </c>
      <c r="D29" t="inlineStr">
        <is>
          <t>pt.bbmanis@gmail.com</t>
        </is>
      </c>
      <c r="E29" t="inlineStr">
        <is>
          <t>https://lpjk.pu.go.id/search-badan-usaha-detail/NFQyQzdMU3VxdC9QRHhjOVNkYWRzdz09</t>
        </is>
      </c>
      <c r="F29" t="n">
        <v>2</v>
      </c>
      <c r="G29" t="inlineStr">
        <is>
          <t>BS001</t>
        </is>
      </c>
      <c r="H29" t="inlineStr">
        <is>
          <t>8 Juni 2022</t>
        </is>
      </c>
      <c r="I29" s="2" t="n">
        <v>46384</v>
      </c>
      <c r="J29" t="inlineStr">
        <is>
          <t>Disetujui</t>
        </is>
      </c>
      <c r="K29" t="n">
        <v>87</v>
      </c>
      <c r="L29" t="inlineStr">
        <is>
          <t>28 Desember 2026</t>
        </is>
      </c>
      <c r="M29" t="inlineStr">
        <is>
          <t>Konstruksi Bangunan Sipil Jalan</t>
        </is>
      </c>
      <c r="N29" t="inlineStr">
        <is>
          <t>K</t>
        </is>
      </c>
      <c r="O29" t="inlineStr">
        <is>
          <t>20231217</t>
        </is>
      </c>
      <c r="P29" t="inlineStr">
        <is>
          <t>Banten</t>
        </is>
      </c>
      <c r="Q29" t="inlineStr"/>
    </row>
    <row r="30">
      <c r="A30" t="inlineStr">
        <is>
          <t>BINA MITRA BERSAMA</t>
        </is>
      </c>
      <c r="B30" t="inlineStr">
        <is>
          <t>Kab. Sekadau</t>
        </is>
      </c>
      <c r="C30" t="inlineStr">
        <is>
          <t>085392258008</t>
        </is>
      </c>
      <c r="D30" t="inlineStr">
        <is>
          <t>binamitrabersama.2020@gmail.com</t>
        </is>
      </c>
      <c r="E30" t="inlineStr">
        <is>
          <t>https://lpjk.pu.go.id/search-badan-usaha-detail/d3l2dDFQQlZkaUJ4OHM4enZuaXkxUT09</t>
        </is>
      </c>
      <c r="F30" t="n">
        <v>3</v>
      </c>
      <c r="G30" t="inlineStr">
        <is>
          <t>BG005, BG006, BG009</t>
        </is>
      </c>
      <c r="H30" t="inlineStr">
        <is>
          <t>14 November 2014</t>
        </is>
      </c>
      <c r="I30" s="2" t="n">
        <v>46384</v>
      </c>
      <c r="J30" t="inlineStr">
        <is>
          <t>Disetujui</t>
        </is>
      </c>
      <c r="K30" t="n">
        <v>87</v>
      </c>
      <c r="L30" t="inlineStr">
        <is>
          <t>28 Desember 2026</t>
        </is>
      </c>
      <c r="M30" t="inlineStr">
        <is>
          <t>Konstruksi Gedung Kesehatan, Konstruksi Gedung Lainnya, Konstruksi Gedung Pendidikan</t>
        </is>
      </c>
      <c r="N30" t="inlineStr">
        <is>
          <t>K</t>
        </is>
      </c>
      <c r="O30" t="inlineStr">
        <is>
          <t>20231220</t>
        </is>
      </c>
      <c r="P30" t="inlineStr">
        <is>
          <t>Kalimantan Barat</t>
        </is>
      </c>
      <c r="Q30" t="inlineStr"/>
    </row>
    <row r="31">
      <c r="A31" t="inlineStr">
        <is>
          <t>BINA TEKNIKA MANDIRI</t>
        </is>
      </c>
      <c r="B31" t="inlineStr">
        <is>
          <t>Kota Cimahi</t>
        </is>
      </c>
      <c r="C31" t="inlineStr">
        <is>
          <t>02288886914</t>
        </is>
      </c>
      <c r="D31" t="inlineStr">
        <is>
          <t>bina.teknika.mandiri@gmail.com</t>
        </is>
      </c>
      <c r="E31" t="inlineStr">
        <is>
          <t>https://lpjk.pu.go.id/search-badan-usaha-detail/Y2k5Nkdzdzh1b3VNdzM4dTJ0VGdOdz09</t>
        </is>
      </c>
      <c r="F31" t="n">
        <v>2</v>
      </c>
      <c r="G31" t="inlineStr">
        <is>
          <t>PL003, PL007</t>
        </is>
      </c>
      <c r="H31" t="inlineStr">
        <is>
          <t>21 Mei 2011</t>
        </is>
      </c>
      <c r="I31" s="2" t="n">
        <v>46384</v>
      </c>
      <c r="J31" t="inlineStr">
        <is>
          <t>Disetujui</t>
        </is>
      </c>
      <c r="K31" t="n">
        <v>87</v>
      </c>
      <c r="L31" t="inlineStr">
        <is>
          <t>28 Desember 2026</t>
        </is>
      </c>
      <c r="M31" t="inlineStr">
        <is>
          <t>Penyiapan Lahan Konstruksi, Survei Penyelidikan Lapangan</t>
        </is>
      </c>
      <c r="N31" t="inlineStr">
        <is>
          <t>Spesialis</t>
        </is>
      </c>
      <c r="O31" t="inlineStr">
        <is>
          <t>20231229</t>
        </is>
      </c>
      <c r="P31" t="inlineStr">
        <is>
          <t>Jawa Barat</t>
        </is>
      </c>
      <c r="Q31" t="inlineStr"/>
    </row>
    <row r="32">
      <c r="A32" t="inlineStr">
        <is>
          <t>BOEMI PESAGI CONSULTANT</t>
        </is>
      </c>
      <c r="B32" t="inlineStr">
        <is>
          <t>Kota Bandar Lampung</t>
        </is>
      </c>
      <c r="C32" t="inlineStr">
        <is>
          <t>081392006250</t>
        </is>
      </c>
      <c r="D32" t="inlineStr">
        <is>
          <t>boemipesagicons@gmail.com</t>
        </is>
      </c>
      <c r="E32" t="inlineStr">
        <is>
          <t>https://lpjk.pu.go.id/search-badan-usaha-detail/eDlRN3dQTU5Wcm0wSy9yVzJSUHp2UT09</t>
        </is>
      </c>
      <c r="F32" t="n">
        <v>1</v>
      </c>
      <c r="G32" t="inlineStr">
        <is>
          <t>RK001</t>
        </is>
      </c>
      <c r="H32" t="inlineStr">
        <is>
          <t>22 Juni 2012</t>
        </is>
      </c>
      <c r="I32" s="2" t="n">
        <v>46384</v>
      </c>
      <c r="J32" t="inlineStr">
        <is>
          <t>Disetujui</t>
        </is>
      </c>
      <c r="K32" t="n">
        <v>87</v>
      </c>
      <c r="L32" t="inlineStr">
        <is>
          <t>28 Desember 2026</t>
        </is>
      </c>
      <c r="M32" t="inlineStr">
        <is>
          <t>Jasa Rekayasa Konstruksi Bangunan Gedung Hunian dan Non Hunian</t>
        </is>
      </c>
      <c r="N32" t="inlineStr">
        <is>
          <t>K</t>
        </is>
      </c>
      <c r="O32" t="inlineStr">
        <is>
          <t>20231208</t>
        </is>
      </c>
      <c r="P32" t="inlineStr">
        <is>
          <t>Lampung</t>
        </is>
      </c>
      <c r="Q32" t="inlineStr"/>
    </row>
    <row r="33">
      <c r="A33" t="inlineStr">
        <is>
          <t>BUANA</t>
        </is>
      </c>
      <c r="B33" t="inlineStr">
        <is>
          <t>Kab. Jombang</t>
        </is>
      </c>
      <c r="C33" t="inlineStr">
        <is>
          <t>08563009777</t>
        </is>
      </c>
      <c r="D33" t="inlineStr">
        <is>
          <t>cvbuana2006@yahoo.com</t>
        </is>
      </c>
      <c r="E33" t="inlineStr">
        <is>
          <t>https://lpjk.pu.go.id/search-badan-usaha-detail/a1p1Q2lDbjdrMkRmU044Z25DSUVHQT09</t>
        </is>
      </c>
      <c r="F33" t="n">
        <v>1</v>
      </c>
      <c r="G33" t="inlineStr">
        <is>
          <t>BG009</t>
        </is>
      </c>
      <c r="H33" t="inlineStr">
        <is>
          <t>27 Januari 2006</t>
        </is>
      </c>
      <c r="I33" s="2" t="n">
        <v>46384</v>
      </c>
      <c r="J33" t="inlineStr">
        <is>
          <t>Disetujui</t>
        </is>
      </c>
      <c r="K33" t="n">
        <v>87</v>
      </c>
      <c r="L33" t="inlineStr">
        <is>
          <t>28 Desember 2026</t>
        </is>
      </c>
      <c r="M33" t="inlineStr">
        <is>
          <t>Konstruksi Gedung Lainnya</t>
        </is>
      </c>
      <c r="N33" t="inlineStr">
        <is>
          <t>K</t>
        </is>
      </c>
      <c r="O33" t="inlineStr">
        <is>
          <t>20231228</t>
        </is>
      </c>
      <c r="P33" t="inlineStr">
        <is>
          <t>Jawa Timur</t>
        </is>
      </c>
      <c r="Q33" t="inlineStr"/>
    </row>
    <row r="34">
      <c r="A34" t="inlineStr">
        <is>
          <t>BUMI MAS</t>
        </is>
      </c>
      <c r="B34" t="inlineStr">
        <is>
          <t>Kab. Tulungagung</t>
        </is>
      </c>
      <c r="C34" t="inlineStr">
        <is>
          <t>081359775907</t>
        </is>
      </c>
      <c r="D34" t="inlineStr">
        <is>
          <t>cv.bumimas24@gmail.com</t>
        </is>
      </c>
      <c r="E34" t="inlineStr">
        <is>
          <t>https://lpjk.pu.go.id/search-badan-usaha-detail/NWRwNnhJcExGSWNBQ3orcGE4RVpIZz09</t>
        </is>
      </c>
      <c r="F34" t="n">
        <v>1</v>
      </c>
      <c r="G34" t="inlineStr">
        <is>
          <t>BS001</t>
        </is>
      </c>
      <c r="H34" t="inlineStr">
        <is>
          <t>13 Oktober 2003</t>
        </is>
      </c>
      <c r="I34" s="2" t="n">
        <v>46384</v>
      </c>
      <c r="J34" t="inlineStr">
        <is>
          <t>Disetujui</t>
        </is>
      </c>
      <c r="K34" t="n">
        <v>87</v>
      </c>
      <c r="L34" t="inlineStr">
        <is>
          <t>28 Desember 2026</t>
        </is>
      </c>
      <c r="M34" t="inlineStr">
        <is>
          <t>Konstruksi Bangunan Sipil Jalan</t>
        </is>
      </c>
      <c r="N34" t="inlineStr">
        <is>
          <t>K</t>
        </is>
      </c>
      <c r="O34" t="inlineStr">
        <is>
          <t>20231220</t>
        </is>
      </c>
      <c r="P34" t="inlineStr">
        <is>
          <t>Jawa Timur</t>
        </is>
      </c>
      <c r="Q34" t="inlineStr"/>
    </row>
    <row r="35">
      <c r="A35" t="inlineStr">
        <is>
          <t>BUMI NUSANTARA INDAH</t>
        </is>
      </c>
      <c r="B35" t="inlineStr">
        <is>
          <t>Kota Mataram</t>
        </is>
      </c>
      <c r="C35" t="inlineStr">
        <is>
          <t>08175763429</t>
        </is>
      </c>
      <c r="D35" t="inlineStr">
        <is>
          <t>buminusantaraindah18@gmail.com</t>
        </is>
      </c>
      <c r="E35" t="inlineStr">
        <is>
          <t>https://lpjk.pu.go.id/search-badan-usaha-detail/cFFMNXRNT1NONXlNSkFkLzNUS285QT09</t>
        </is>
      </c>
      <c r="F35" t="n">
        <v>1</v>
      </c>
      <c r="G35" t="inlineStr">
        <is>
          <t>BS001</t>
        </is>
      </c>
      <c r="H35" t="inlineStr">
        <is>
          <t>23 September 2002</t>
        </is>
      </c>
      <c r="I35" s="2" t="n">
        <v>46384</v>
      </c>
      <c r="J35" t="inlineStr">
        <is>
          <t>Disetujui</t>
        </is>
      </c>
      <c r="K35" t="n">
        <v>87</v>
      </c>
      <c r="L35" t="inlineStr">
        <is>
          <t>28 Desember 2026</t>
        </is>
      </c>
      <c r="M35" t="inlineStr">
        <is>
          <t>Konstruksi Bangunan Sipil Jalan</t>
        </is>
      </c>
      <c r="N35" t="inlineStr">
        <is>
          <t>K</t>
        </is>
      </c>
      <c r="O35" t="inlineStr">
        <is>
          <t>20231227</t>
        </is>
      </c>
      <c r="P35" t="inlineStr">
        <is>
          <t>Nusa Tenggara Barat</t>
        </is>
      </c>
      <c r="Q35" t="inlineStr"/>
    </row>
    <row r="36">
      <c r="A36" t="inlineStr">
        <is>
          <t>CAHAYA FORTUNA SEJATI</t>
        </is>
      </c>
      <c r="B36" t="inlineStr">
        <is>
          <t>Kab. Sleman</t>
        </is>
      </c>
      <c r="C36" t="inlineStr">
        <is>
          <t>082124393470</t>
        </is>
      </c>
      <c r="D36" t="inlineStr">
        <is>
          <t>cfortunasejati@gmail.com</t>
        </is>
      </c>
      <c r="E36" t="inlineStr">
        <is>
          <t>https://lpjk.pu.go.id/search-badan-usaha-detail/SG9mT2tVMmF6NU1rdytybWh6eERTQT09</t>
        </is>
      </c>
      <c r="F36" t="n">
        <v>2</v>
      </c>
      <c r="G36" t="inlineStr">
        <is>
          <t>BG009, BS001</t>
        </is>
      </c>
      <c r="H36" t="inlineStr">
        <is>
          <t>6 Oktober 2009</t>
        </is>
      </c>
      <c r="I36" s="2" t="n">
        <v>46384</v>
      </c>
      <c r="J36" t="inlineStr">
        <is>
          <t>Disetujui</t>
        </is>
      </c>
      <c r="K36" t="n">
        <v>87</v>
      </c>
      <c r="L36" t="inlineStr">
        <is>
          <t>28 Desember 2026</t>
        </is>
      </c>
      <c r="M36" t="inlineStr">
        <is>
          <t>Konstruksi Bangunan Sipil Jalan, Konstruksi Gedung Lainnya</t>
        </is>
      </c>
      <c r="N36" t="inlineStr">
        <is>
          <t>K</t>
        </is>
      </c>
      <c r="O36" t="inlineStr">
        <is>
          <t>20231207</t>
        </is>
      </c>
      <c r="P36" t="inlineStr">
        <is>
          <t>DI Yogyakarta</t>
        </is>
      </c>
      <c r="Q36" t="inlineStr"/>
    </row>
    <row r="37">
      <c r="A37" t="inlineStr">
        <is>
          <t>CANDI BANGUN PERSADA</t>
        </is>
      </c>
      <c r="B37" t="inlineStr">
        <is>
          <t>Kota Surakarta</t>
        </is>
      </c>
      <c r="C37" t="inlineStr">
        <is>
          <t>081212909088</t>
        </is>
      </c>
      <c r="D37" t="inlineStr">
        <is>
          <t>CANDIBANGUNPERSADA@GMAIL.COM</t>
        </is>
      </c>
      <c r="E37" t="inlineStr">
        <is>
          <t>https://lpjk.pu.go.id/search-badan-usaha-detail/VGp0UHFIQW5uYldlK243eitqRURPQT09</t>
        </is>
      </c>
      <c r="F37" t="n">
        <v>1</v>
      </c>
      <c r="G37" t="inlineStr">
        <is>
          <t>IN008</t>
        </is>
      </c>
      <c r="H37" t="inlineStr">
        <is>
          <t>10 Januari 2023</t>
        </is>
      </c>
      <c r="I37" s="2" t="n">
        <v>46384</v>
      </c>
      <c r="J37" t="inlineStr">
        <is>
          <t>Disetujui</t>
        </is>
      </c>
      <c r="K37" t="n">
        <v>87</v>
      </c>
      <c r="L37" t="inlineStr">
        <is>
          <t>28 Desember 2026</t>
        </is>
      </c>
      <c r="M37" t="inlineStr">
        <is>
          <t>Instalasi Pendingin Dan Ventilasi Udara</t>
        </is>
      </c>
      <c r="N37" t="inlineStr">
        <is>
          <t>Spesialis</t>
        </is>
      </c>
      <c r="O37" t="inlineStr">
        <is>
          <t>20231220</t>
        </is>
      </c>
      <c r="P37" t="inlineStr">
        <is>
          <t>Jawa Tengah</t>
        </is>
      </c>
      <c r="Q37" t="inlineStr"/>
    </row>
    <row r="38">
      <c r="A38" t="inlineStr">
        <is>
          <t>CITRA NUSRA PERSADA</t>
        </is>
      </c>
      <c r="B38" t="inlineStr">
        <is>
          <t>Kota Mataram</t>
        </is>
      </c>
      <c r="C38" t="inlineStr">
        <is>
          <t>085282000069</t>
        </is>
      </c>
      <c r="D38" t="inlineStr">
        <is>
          <t>cnp.mataram@yahoo.com</t>
        </is>
      </c>
      <c r="E38" t="inlineStr">
        <is>
          <t>https://lpjk.pu.go.id/search-badan-usaha-detail/MXlqYmMxcmtBc3pxdUVacC95S0pMdz09</t>
        </is>
      </c>
      <c r="F38" t="n">
        <v>1</v>
      </c>
      <c r="G38" t="inlineStr">
        <is>
          <t>BS001</t>
        </is>
      </c>
      <c r="H38" t="inlineStr">
        <is>
          <t>21 November 2001</t>
        </is>
      </c>
      <c r="I38" s="2" t="n">
        <v>46384</v>
      </c>
      <c r="J38" t="inlineStr">
        <is>
          <t>Disetujui</t>
        </is>
      </c>
      <c r="K38" t="n">
        <v>87</v>
      </c>
      <c r="L38" t="inlineStr">
        <is>
          <t>28 Desember 2026</t>
        </is>
      </c>
      <c r="M38" t="inlineStr">
        <is>
          <t>Konstruksi Bangunan Sipil Jalan</t>
        </is>
      </c>
      <c r="N38" t="inlineStr">
        <is>
          <t>M</t>
        </is>
      </c>
      <c r="O38" t="inlineStr">
        <is>
          <t>20231027</t>
        </is>
      </c>
      <c r="P38" t="inlineStr">
        <is>
          <t>Nusa Tenggara Barat</t>
        </is>
      </c>
      <c r="Q38" t="inlineStr"/>
    </row>
    <row r="39">
      <c r="A39" t="inlineStr">
        <is>
          <t>CV. MAWAR</t>
        </is>
      </c>
      <c r="B39" t="inlineStr">
        <is>
          <t>Kab. Hulu Sungai Selatan</t>
        </is>
      </c>
      <c r="C39" t="inlineStr">
        <is>
          <t>051724616</t>
        </is>
      </c>
      <c r="D39" t="inlineStr">
        <is>
          <t>mawardian81@yahoo.com</t>
        </is>
      </c>
      <c r="E39" t="inlineStr">
        <is>
          <t>https://lpjk.pu.go.id/search-badan-usaha-detail/V3V4Q1lSd2NvSUlOa1lmeGJVMllVZz09</t>
        </is>
      </c>
      <c r="F39" t="n">
        <v>1</v>
      </c>
      <c r="G39" t="inlineStr">
        <is>
          <t>BS004</t>
        </is>
      </c>
      <c r="H39" t="inlineStr">
        <is>
          <t>2 Februari 2009</t>
        </is>
      </c>
      <c r="I39" s="2" t="n">
        <v>46384</v>
      </c>
      <c r="J39" t="inlineStr">
        <is>
          <t>Disetujui</t>
        </is>
      </c>
      <c r="K39" t="n">
        <v>87</v>
      </c>
      <c r="L39" t="inlineStr">
        <is>
          <t>28 Desember 2026</t>
        </is>
      </c>
      <c r="M39" t="inlineStr">
        <is>
          <t>Konstruksi Jaringan Irigasi dan Drainase</t>
        </is>
      </c>
      <c r="N39" t="inlineStr">
        <is>
          <t>K</t>
        </is>
      </c>
      <c r="O39" t="inlineStr">
        <is>
          <t>20231220</t>
        </is>
      </c>
      <c r="P39" t="inlineStr">
        <is>
          <t>Kalimantan Selatan</t>
        </is>
      </c>
      <c r="Q39" t="inlineStr"/>
    </row>
    <row r="40">
      <c r="A40" t="inlineStr">
        <is>
          <t>DUTA NIAGA MANDIRI</t>
        </is>
      </c>
      <c r="B40" t="inlineStr">
        <is>
          <t>Kab. Aceh Timur</t>
        </is>
      </c>
      <c r="C40" t="inlineStr">
        <is>
          <t>085277770071</t>
        </is>
      </c>
      <c r="D40" t="inlineStr">
        <is>
          <t>duta.niaga.mandiri@gmail.om</t>
        </is>
      </c>
      <c r="E40" t="inlineStr">
        <is>
          <t>https://lpjk.pu.go.id/search-badan-usaha-detail/SVhOOFRRU2pTWC9EUEZ0WW5hdnZ5UT09</t>
        </is>
      </c>
      <c r="F40" t="n">
        <v>5</v>
      </c>
      <c r="G40" t="inlineStr">
        <is>
          <t>BG001, BG002, BG003, BG008, BG009</t>
        </is>
      </c>
      <c r="H40" t="inlineStr">
        <is>
          <t>27 Juni 2016</t>
        </is>
      </c>
      <c r="I40" s="2" t="n">
        <v>46384</v>
      </c>
      <c r="J40" t="inlineStr">
        <is>
          <t>Disetujui</t>
        </is>
      </c>
      <c r="K40" t="n">
        <v>87</v>
      </c>
      <c r="L40" t="inlineStr">
        <is>
          <t>28 Desember 2026</t>
        </is>
      </c>
      <c r="M40" t="inlineStr">
        <is>
          <t>Konstruksi Gedung Hunian, Konstruksi Gedung Industri, Konstruksi Gedung Lainnya, Konstruksi Gedung Perkantoran, Konstruksi Gedung Tempat Hiburan dan Olahraga</t>
        </is>
      </c>
      <c r="N40" t="inlineStr">
        <is>
          <t>K</t>
        </is>
      </c>
      <c r="O40" t="inlineStr">
        <is>
          <t>20231212, 20231213</t>
        </is>
      </c>
      <c r="P40" t="inlineStr">
        <is>
          <t>Aceh</t>
        </is>
      </c>
      <c r="Q40" t="inlineStr"/>
    </row>
    <row r="41">
      <c r="A41" t="inlineStr">
        <is>
          <t>DUTANUSA KREASI PERMAI</t>
        </is>
      </c>
      <c r="B41" t="inlineStr">
        <is>
          <t>Kota Adm. Jakarta Barat</t>
        </is>
      </c>
      <c r="C41" t="inlineStr">
        <is>
          <t>081932242573</t>
        </is>
      </c>
      <c r="D41" t="inlineStr">
        <is>
          <t>ptdutanusakreasipermai@gmail.com</t>
        </is>
      </c>
      <c r="E41" t="inlineStr">
        <is>
          <t>https://lpjk.pu.go.id/search-badan-usaha-detail/LzExdFgxc29qVElqQk40VTdQUlBTUT09</t>
        </is>
      </c>
      <c r="F41" t="n">
        <v>1</v>
      </c>
      <c r="G41" t="inlineStr">
        <is>
          <t>BS010</t>
        </is>
      </c>
      <c r="H41" t="inlineStr">
        <is>
          <t>2 Desember 2022</t>
        </is>
      </c>
      <c r="I41" s="2" t="n">
        <v>46384</v>
      </c>
      <c r="J41" t="inlineStr">
        <is>
          <t>Pembekuan</t>
        </is>
      </c>
      <c r="K41" t="n">
        <v>87</v>
      </c>
      <c r="L41" t="inlineStr">
        <is>
          <t>28 Desember 2026</t>
        </is>
      </c>
      <c r="M41" t="inlineStr">
        <is>
          <t>Konstruksi Bangunan Prasarana Sumber Daya Air</t>
        </is>
      </c>
      <c r="N41" t="inlineStr">
        <is>
          <t>M</t>
        </is>
      </c>
      <c r="O41" t="inlineStr">
        <is>
          <t>20231213</t>
        </is>
      </c>
      <c r="P41" t="inlineStr">
        <is>
          <t>DKI Jakarta</t>
        </is>
      </c>
      <c r="Q41" t="inlineStr"/>
    </row>
    <row r="42">
      <c r="A42" t="inlineStr">
        <is>
          <t>EBONI KARYATAMA PROPERTINDO</t>
        </is>
      </c>
      <c r="B42" t="inlineStr">
        <is>
          <t>Kota Bandung</t>
        </is>
      </c>
      <c r="C42" t="inlineStr">
        <is>
          <t>081320633101</t>
        </is>
      </c>
      <c r="D42" t="inlineStr">
        <is>
          <t>ebonikaryatamapropertindo@gmail.com</t>
        </is>
      </c>
      <c r="E42" t="inlineStr">
        <is>
          <t>https://lpjk.pu.go.id/search-badan-usaha-detail/TWZOTVBRNERITm9vSUEyUlN2WDlmdz09</t>
        </is>
      </c>
      <c r="F42" t="n">
        <v>5</v>
      </c>
      <c r="G42" t="inlineStr">
        <is>
          <t>BG002, BG003, BG004, BG006, BG007</t>
        </is>
      </c>
      <c r="H42" t="inlineStr">
        <is>
          <t>12 Juni 2024</t>
        </is>
      </c>
      <c r="I42" s="2" t="n">
        <v>46384</v>
      </c>
      <c r="J42" t="inlineStr">
        <is>
          <t>Disetujui</t>
        </is>
      </c>
      <c r="K42" t="n">
        <v>87</v>
      </c>
      <c r="L42" t="inlineStr">
        <is>
          <t>28 Desember 2026</t>
        </is>
      </c>
      <c r="M42" t="inlineStr">
        <is>
          <t>Konstruksi Gedung Industri, Konstruksi Gedung Pendidikan, Konstruksi Gedung Penginapan, Konstruksi Gedung Perbelanjaan, Konstruksi Gedung Perkantoran</t>
        </is>
      </c>
      <c r="N42" t="inlineStr">
        <is>
          <t>K</t>
        </is>
      </c>
      <c r="O42" t="inlineStr">
        <is>
          <t>20220921, 20231227, 20231228</t>
        </is>
      </c>
      <c r="P42" t="inlineStr">
        <is>
          <t>Jawa Barat</t>
        </is>
      </c>
      <c r="Q42" t="inlineStr"/>
    </row>
    <row r="43">
      <c r="A43" t="inlineStr">
        <is>
          <t>EKA KARYA ARTMURTI</t>
        </is>
      </c>
      <c r="B43" t="inlineStr">
        <is>
          <t>Kab. Klaten</t>
        </is>
      </c>
      <c r="C43" t="inlineStr">
        <is>
          <t>0272324829</t>
        </is>
      </c>
      <c r="D43" t="inlineStr">
        <is>
          <t>ekakarya_klaten@yahoo.com</t>
        </is>
      </c>
      <c r="E43" t="inlineStr">
        <is>
          <t>https://lpjk.pu.go.id/search-badan-usaha-detail/N2Jsc2cycTh4YVFmSVM1UCtFUktWZz09</t>
        </is>
      </c>
      <c r="F43" t="n">
        <v>6</v>
      </c>
      <c r="G43" t="inlineStr">
        <is>
          <t>BG002, BG004, BG005, BG008, BG009, BS001</t>
        </is>
      </c>
      <c r="H43" t="inlineStr">
        <is>
          <t>22 September 1994</t>
        </is>
      </c>
      <c r="I43" s="2" t="n">
        <v>46384</v>
      </c>
      <c r="J43" t="inlineStr">
        <is>
          <t>Disetujui</t>
        </is>
      </c>
      <c r="K43" t="n">
        <v>87</v>
      </c>
      <c r="L43" t="inlineStr">
        <is>
          <t>28 Desember 2026</t>
        </is>
      </c>
      <c r="M43" t="inlineStr">
        <is>
          <t>Konstruksi Bangunan Sipil Jalan, Konstruksi Gedung Kesehatan, Konstruksi Gedung Lainnya, Konstruksi Gedung Perbelanjaan, Konstruksi Gedung Perkantoran, Konstruksi Gedung Tempat Hiburan dan Olahraga</t>
        </is>
      </c>
      <c r="N43" t="inlineStr">
        <is>
          <t>K</t>
        </is>
      </c>
      <c r="O43" t="inlineStr">
        <is>
          <t>20231218, 20231219</t>
        </is>
      </c>
      <c r="P43" t="inlineStr">
        <is>
          <t>Jawa Tengah</t>
        </is>
      </c>
      <c r="Q43" t="inlineStr"/>
    </row>
    <row r="44">
      <c r="A44" t="inlineStr">
        <is>
          <t>ERNANDA JAYA</t>
        </is>
      </c>
      <c r="B44" t="inlineStr">
        <is>
          <t>Kab. Boyolali</t>
        </is>
      </c>
      <c r="C44" t="inlineStr">
        <is>
          <t>08121584985</t>
        </is>
      </c>
      <c r="D44" t="inlineStr">
        <is>
          <t>ernandajaya12@gmail.com</t>
        </is>
      </c>
      <c r="E44" t="inlineStr">
        <is>
          <t>https://lpjk.pu.go.id/search-badan-usaha-detail/U2RtNi8rNEVraUt5L2RJTUZobVJ4UT09</t>
        </is>
      </c>
      <c r="F44" t="n">
        <v>3</v>
      </c>
      <c r="G44" t="inlineStr">
        <is>
          <t>BG001, BG004, BG009</t>
        </is>
      </c>
      <c r="H44" t="inlineStr">
        <is>
          <t>15 Februari 2019</t>
        </is>
      </c>
      <c r="I44" s="2" t="n">
        <v>46384</v>
      </c>
      <c r="J44" t="inlineStr">
        <is>
          <t>Disetujui</t>
        </is>
      </c>
      <c r="K44" t="n">
        <v>87</v>
      </c>
      <c r="L44" t="inlineStr">
        <is>
          <t>28 Desember 2026</t>
        </is>
      </c>
      <c r="M44" t="inlineStr">
        <is>
          <t>Konstruksi Gedung Hunian, Konstruksi Gedung Lainnya, Konstruksi Gedung Perbelanjaan</t>
        </is>
      </c>
      <c r="N44" t="inlineStr">
        <is>
          <t>K</t>
        </is>
      </c>
      <c r="O44" t="inlineStr">
        <is>
          <t>20231226, 20231227</t>
        </is>
      </c>
      <c r="P44" t="inlineStr">
        <is>
          <t>Jawa Tengah</t>
        </is>
      </c>
      <c r="Q44" t="inlineStr"/>
    </row>
    <row r="45">
      <c r="A45" t="inlineStr">
        <is>
          <t>FIRATEKNISINDO</t>
        </is>
      </c>
      <c r="B45" t="inlineStr">
        <is>
          <t>Kab. Kubu Raya</t>
        </is>
      </c>
      <c r="C45" t="inlineStr">
        <is>
          <t>081351502059</t>
        </is>
      </c>
      <c r="D45" t="inlineStr">
        <is>
          <t>firateknisindo@yahoo.co.id</t>
        </is>
      </c>
      <c r="E45" t="inlineStr">
        <is>
          <t>https://lpjk.pu.go.id/search-badan-usaha-detail/Q2gxcFlyMVpFWUlzRm5SWkdRQWZGdz09</t>
        </is>
      </c>
      <c r="F45" t="n">
        <v>1</v>
      </c>
      <c r="G45" t="inlineStr">
        <is>
          <t>BS004</t>
        </is>
      </c>
      <c r="H45" t="inlineStr">
        <is>
          <t>24 September 2008</t>
        </is>
      </c>
      <c r="I45" s="2" t="n">
        <v>46384</v>
      </c>
      <c r="J45" t="inlineStr">
        <is>
          <t>Disetujui</t>
        </is>
      </c>
      <c r="K45" t="n">
        <v>87</v>
      </c>
      <c r="L45" t="inlineStr">
        <is>
          <t>28 Desember 2026</t>
        </is>
      </c>
      <c r="M45" t="inlineStr">
        <is>
          <t>Konstruksi Jaringan Irigasi dan Drainase</t>
        </is>
      </c>
      <c r="N45" t="inlineStr">
        <is>
          <t>K</t>
        </is>
      </c>
      <c r="O45" t="inlineStr">
        <is>
          <t>20231222</t>
        </is>
      </c>
      <c r="P45" t="inlineStr">
        <is>
          <t>Kalimantan Barat</t>
        </is>
      </c>
      <c r="Q45" t="inlineStr"/>
    </row>
    <row r="46">
      <c r="A46" t="inlineStr">
        <is>
          <t>FIRDATAMA MITRA</t>
        </is>
      </c>
      <c r="B46" t="inlineStr">
        <is>
          <t>Kota Banda Aceh</t>
        </is>
      </c>
      <c r="C46" t="inlineStr">
        <is>
          <t>08116872289</t>
        </is>
      </c>
      <c r="D46" t="inlineStr">
        <is>
          <t>cv.firdatamamitra@gmail.com</t>
        </is>
      </c>
      <c r="E46" t="inlineStr">
        <is>
          <t>https://lpjk.pu.go.id/search-badan-usaha-detail/WmNuWGNEckVPTmJJcW5GSGUzWmdkZz09</t>
        </is>
      </c>
      <c r="F46" t="n">
        <v>5</v>
      </c>
      <c r="G46" t="inlineStr">
        <is>
          <t>BG001, BG002, BG005, BG006, BG009</t>
        </is>
      </c>
      <c r="H46" t="inlineStr">
        <is>
          <t>7 Januari 2003</t>
        </is>
      </c>
      <c r="I46" s="2" t="n">
        <v>46384</v>
      </c>
      <c r="J46" t="inlineStr">
        <is>
          <t>Pencabutan</t>
        </is>
      </c>
      <c r="K46" t="n">
        <v>87</v>
      </c>
      <c r="L46" t="inlineStr">
        <is>
          <t>28 Desember 2026</t>
        </is>
      </c>
      <c r="M46" t="inlineStr">
        <is>
          <t>Konstruksi Gedung Hunian, Konstruksi Gedung Kesehatan, Konstruksi Gedung Lainnya, Konstruksi Gedung Pendidikan, Konstruksi Gedung Perkantoran</t>
        </is>
      </c>
      <c r="N46" t="inlineStr">
        <is>
          <t>K</t>
        </is>
      </c>
      <c r="O46" t="inlineStr">
        <is>
          <t>20231228</t>
        </is>
      </c>
      <c r="P46" t="inlineStr">
        <is>
          <t>Aceh</t>
        </is>
      </c>
      <c r="Q46" t="inlineStr"/>
    </row>
    <row r="47">
      <c r="A47" t="inlineStr">
        <is>
          <t>GALIH PUTRA MALUK</t>
        </is>
      </c>
      <c r="B47" t="inlineStr">
        <is>
          <t>Kab. Sumbawa Barat</t>
        </is>
      </c>
      <c r="C47" t="inlineStr">
        <is>
          <t>082236377210</t>
        </is>
      </c>
      <c r="D47" t="inlineStr">
        <is>
          <t>danar.haryanto@galihputramaluk.com</t>
        </is>
      </c>
      <c r="E47" t="inlineStr">
        <is>
          <t>https://lpjk.pu.go.id/search-badan-usaha-detail/SmZoTUcvMVBrUlpBNVRSOVJraDNzUT09</t>
        </is>
      </c>
      <c r="F47" t="n">
        <v>6</v>
      </c>
      <c r="G47" t="inlineStr">
        <is>
          <t>BG001, BG002, BG003</t>
        </is>
      </c>
      <c r="H47" t="inlineStr">
        <is>
          <t>18 Juli 2023</t>
        </is>
      </c>
      <c r="I47" s="2" t="n">
        <v>46384</v>
      </c>
      <c r="J47" t="inlineStr">
        <is>
          <t>Disetujui</t>
        </is>
      </c>
      <c r="K47" t="n">
        <v>87</v>
      </c>
      <c r="L47" t="inlineStr">
        <is>
          <t>28 Desember 2026</t>
        </is>
      </c>
      <c r="M47" t="inlineStr">
        <is>
          <t>Konstruksi Gedung Hunian, Konstruksi Gedung Industri, Konstruksi Gedung Perkantoran</t>
        </is>
      </c>
      <c r="N47" t="inlineStr">
        <is>
          <t>K</t>
        </is>
      </c>
      <c r="O47" t="inlineStr">
        <is>
          <t>20231228</t>
        </is>
      </c>
      <c r="P47" t="inlineStr">
        <is>
          <t>Nusa Tenggara Barat</t>
        </is>
      </c>
      <c r="Q47" t="inlineStr"/>
    </row>
    <row r="48">
      <c r="A48" t="inlineStr">
        <is>
          <t>GAPURA BALI KONSTRUKSI</t>
        </is>
      </c>
      <c r="B48" t="inlineStr">
        <is>
          <t>Kab. Gianyar</t>
        </is>
      </c>
      <c r="C48" t="inlineStr">
        <is>
          <t>081353176769</t>
        </is>
      </c>
      <c r="D48" t="inlineStr">
        <is>
          <t>gapurabalikonstruksi@gmail.com</t>
        </is>
      </c>
      <c r="E48" t="inlineStr">
        <is>
          <t>https://lpjk.pu.go.id/search-badan-usaha-detail/RzdOd0tONXgzRFVJbDVBcDFiZ1k0UT09</t>
        </is>
      </c>
      <c r="F48" t="n">
        <v>1</v>
      </c>
      <c r="G48" t="inlineStr">
        <is>
          <t>BG001</t>
        </is>
      </c>
      <c r="H48" t="inlineStr">
        <is>
          <t>25 Maret 2019</t>
        </is>
      </c>
      <c r="I48" s="2" t="n">
        <v>46384</v>
      </c>
      <c r="J48" t="inlineStr">
        <is>
          <t>Disetujui</t>
        </is>
      </c>
      <c r="K48" t="n">
        <v>87</v>
      </c>
      <c r="L48" t="inlineStr">
        <is>
          <t>28 Desember 2026</t>
        </is>
      </c>
      <c r="M48" t="inlineStr">
        <is>
          <t>Konstruksi Gedung Hunian</t>
        </is>
      </c>
      <c r="N48" t="inlineStr">
        <is>
          <t>K</t>
        </is>
      </c>
      <c r="O48" t="inlineStr">
        <is>
          <t>20231223</t>
        </is>
      </c>
      <c r="P48" t="inlineStr">
        <is>
          <t>Bali</t>
        </is>
      </c>
      <c r="Q48" t="inlineStr"/>
    </row>
    <row r="49">
      <c r="A49" t="inlineStr">
        <is>
          <t>GITA JAYA AGUNG</t>
        </is>
      </c>
      <c r="B49" t="inlineStr">
        <is>
          <t>Kota Madiun</t>
        </is>
      </c>
      <c r="C49" t="inlineStr">
        <is>
          <t>0813 5988 9762</t>
        </is>
      </c>
      <c r="D49" t="inlineStr">
        <is>
          <t>cvgjamadiun01@gmail.com</t>
        </is>
      </c>
      <c r="E49" t="inlineStr">
        <is>
          <t>https://lpjk.pu.go.id/search-badan-usaha-detail/QmhVMG1rM29vbXdPcGNXTVRNRzBYdz09</t>
        </is>
      </c>
      <c r="F49" t="n">
        <v>5</v>
      </c>
      <c r="G49" t="inlineStr">
        <is>
          <t>BG002, BG004, BG005, BG006, BG009</t>
        </is>
      </c>
      <c r="H49" t="inlineStr">
        <is>
          <t>31 Januari 2008</t>
        </is>
      </c>
      <c r="I49" s="2" t="n">
        <v>46384</v>
      </c>
      <c r="J49" t="inlineStr">
        <is>
          <t>Disetujui</t>
        </is>
      </c>
      <c r="K49" t="n">
        <v>87</v>
      </c>
      <c r="L49" t="inlineStr">
        <is>
          <t>28 Desember 2026</t>
        </is>
      </c>
      <c r="M49" t="inlineStr">
        <is>
          <t>Konstruksi Gedung Kesehatan, Konstruksi Gedung Lainnya, Konstruksi Gedung Pendidikan, Konstruksi Gedung Perbelanjaan, Konstruksi Gedung Perkantoran</t>
        </is>
      </c>
      <c r="N49" t="inlineStr">
        <is>
          <t>K</t>
        </is>
      </c>
      <c r="O49" t="inlineStr">
        <is>
          <t>20231228</t>
        </is>
      </c>
      <c r="P49" t="inlineStr">
        <is>
          <t>Jawa Timur</t>
        </is>
      </c>
      <c r="Q49" t="inlineStr"/>
    </row>
    <row r="50">
      <c r="A50" t="inlineStr">
        <is>
          <t>GLOBAL LEMBATA</t>
        </is>
      </c>
      <c r="B50" t="inlineStr">
        <is>
          <t>Kab. Lembata</t>
        </is>
      </c>
      <c r="C50" t="inlineStr">
        <is>
          <t>081337088885</t>
        </is>
      </c>
      <c r="D50" t="inlineStr">
        <is>
          <t>pt.globallembata2022@gmail.com</t>
        </is>
      </c>
      <c r="E50" t="inlineStr">
        <is>
          <t>https://lpjk.pu.go.id/search-badan-usaha-detail/YU5mazFPUVh2QktOWkxxZXdNSm56Zz09</t>
        </is>
      </c>
      <c r="F50" t="n">
        <v>1</v>
      </c>
      <c r="G50" t="inlineStr">
        <is>
          <t>BS001</t>
        </is>
      </c>
      <c r="H50" t="inlineStr">
        <is>
          <t>14 Maret 2012</t>
        </is>
      </c>
      <c r="I50" s="2" t="n">
        <v>46384</v>
      </c>
      <c r="J50" t="inlineStr">
        <is>
          <t>Pembekuan</t>
        </is>
      </c>
      <c r="K50" t="n">
        <v>87</v>
      </c>
      <c r="L50" t="inlineStr">
        <is>
          <t>28 Desember 2026</t>
        </is>
      </c>
      <c r="M50" t="inlineStr">
        <is>
          <t>Konstruksi Bangunan Sipil Jalan</t>
        </is>
      </c>
      <c r="N50" t="inlineStr">
        <is>
          <t>M</t>
        </is>
      </c>
      <c r="O50" t="inlineStr">
        <is>
          <t>20231227</t>
        </is>
      </c>
      <c r="P50" t="inlineStr">
        <is>
          <t>Nusa Tenggara Timur</t>
        </is>
      </c>
      <c r="Q50" t="inlineStr"/>
    </row>
    <row r="51">
      <c r="A51" t="inlineStr">
        <is>
          <t>GRAHA PRATAMA</t>
        </is>
      </c>
      <c r="B51" t="inlineStr">
        <is>
          <t>Kab. Tulungagung</t>
        </is>
      </c>
      <c r="C51" t="inlineStr">
        <is>
          <t>082334566300</t>
        </is>
      </c>
      <c r="D51" t="inlineStr">
        <is>
          <t>cvgrahapratama88@gmail.com</t>
        </is>
      </c>
      <c r="E51" t="inlineStr">
        <is>
          <t>https://lpjk.pu.go.id/search-badan-usaha-detail/Nm9LaDV6Q0JjOTJwTWVwZHl5R2U2Zz09</t>
        </is>
      </c>
      <c r="F51" t="n">
        <v>1</v>
      </c>
      <c r="G51" t="inlineStr">
        <is>
          <t>BG006</t>
        </is>
      </c>
      <c r="H51" t="inlineStr">
        <is>
          <t>8 Desember 2016</t>
        </is>
      </c>
      <c r="I51" s="2" t="n">
        <v>46384</v>
      </c>
      <c r="J51" t="inlineStr">
        <is>
          <t>Disetujui</t>
        </is>
      </c>
      <c r="K51" t="n">
        <v>87</v>
      </c>
      <c r="L51" t="inlineStr">
        <is>
          <t>28 Desember 2026</t>
        </is>
      </c>
      <c r="M51" t="inlineStr">
        <is>
          <t>Konstruksi Gedung Pendidikan</t>
        </is>
      </c>
      <c r="N51" t="inlineStr">
        <is>
          <t>K</t>
        </is>
      </c>
      <c r="O51" t="inlineStr">
        <is>
          <t>20231227</t>
        </is>
      </c>
      <c r="P51" t="inlineStr">
        <is>
          <t>Jawa Timur</t>
        </is>
      </c>
      <c r="Q51" t="inlineStr"/>
    </row>
    <row r="52">
      <c r="A52" t="inlineStr">
        <is>
          <t>HIJAU LESTARI UTAMA</t>
        </is>
      </c>
      <c r="B52" t="inlineStr">
        <is>
          <t>Kab. Lombok Barat</t>
        </is>
      </c>
      <c r="C52" t="inlineStr">
        <is>
          <t>08175796578</t>
        </is>
      </c>
      <c r="D52" t="inlineStr">
        <is>
          <t>cv.hijaulestariutama@gmail.com</t>
        </is>
      </c>
      <c r="E52" t="inlineStr">
        <is>
          <t>https://lpjk.pu.go.id/search-badan-usaha-detail/SFZJZTYwWDhPaVk2Sm9xcmNiVEZlZz09</t>
        </is>
      </c>
      <c r="F52" t="n">
        <v>1</v>
      </c>
      <c r="G52" t="inlineStr">
        <is>
          <t>BS004</t>
        </is>
      </c>
      <c r="H52" t="inlineStr">
        <is>
          <t>8 Agustus 2022</t>
        </is>
      </c>
      <c r="I52" s="2" t="n">
        <v>46384</v>
      </c>
      <c r="J52" t="inlineStr">
        <is>
          <t>Disetujui</t>
        </is>
      </c>
      <c r="K52" t="n">
        <v>87</v>
      </c>
      <c r="L52" t="inlineStr">
        <is>
          <t>28 Desember 2026</t>
        </is>
      </c>
      <c r="M52" t="inlineStr">
        <is>
          <t>Konstruksi Jaringan Irigasi dan Drainase</t>
        </is>
      </c>
      <c r="N52" t="inlineStr">
        <is>
          <t>K</t>
        </is>
      </c>
      <c r="O52" t="inlineStr">
        <is>
          <t>20231229</t>
        </is>
      </c>
      <c r="P52" t="inlineStr">
        <is>
          <t>Nusa Tenggara Barat</t>
        </is>
      </c>
      <c r="Q52" t="inlineStr"/>
    </row>
    <row r="53">
      <c r="A53" t="inlineStr">
        <is>
          <t>INDO PETANG NUSANTARA</t>
        </is>
      </c>
      <c r="B53" t="inlineStr">
        <is>
          <t>Kota Tangerang</t>
        </is>
      </c>
      <c r="C53" t="inlineStr">
        <is>
          <t>081211260866</t>
        </is>
      </c>
      <c r="D53" t="inlineStr">
        <is>
          <t>indopetangnusantara@gmail.com</t>
        </is>
      </c>
      <c r="E53" t="inlineStr">
        <is>
          <t>https://lpjk.pu.go.id/search-badan-usaha-detail/YkM2d1FCaEV5WGhQQWJPZjFWRWZLZz09</t>
        </is>
      </c>
      <c r="F53" t="n">
        <v>1</v>
      </c>
      <c r="G53" t="inlineStr">
        <is>
          <t>BS006</t>
        </is>
      </c>
      <c r="H53" t="inlineStr">
        <is>
          <t>25 Oktober 2023</t>
        </is>
      </c>
      <c r="I53" s="2" t="n">
        <v>46384</v>
      </c>
      <c r="J53" t="inlineStr">
        <is>
          <t>Disetujui</t>
        </is>
      </c>
      <c r="K53" t="n">
        <v>87</v>
      </c>
      <c r="L53" t="inlineStr">
        <is>
          <t>28 Desember 2026</t>
        </is>
      </c>
      <c r="M53" t="inlineStr">
        <is>
          <t>Konstruksi Bangunan Sipil Prasarana dan Sarana Sistem Pengolahan Limbah Padat, Cair, dan Gas</t>
        </is>
      </c>
      <c r="N53" t="inlineStr">
        <is>
          <t>K</t>
        </is>
      </c>
      <c r="O53" t="inlineStr">
        <is>
          <t>20231224</t>
        </is>
      </c>
      <c r="P53" t="inlineStr">
        <is>
          <t>Banten</t>
        </is>
      </c>
      <c r="Q53" t="inlineStr"/>
    </row>
    <row r="54">
      <c r="A54" t="inlineStr">
        <is>
          <t>JAYA MAKMUR ABADI</t>
        </is>
      </c>
      <c r="B54" t="inlineStr">
        <is>
          <t>Kab. Karanganyar</t>
        </is>
      </c>
      <c r="C54" t="inlineStr">
        <is>
          <t>085102094007</t>
        </is>
      </c>
      <c r="D54" t="inlineStr">
        <is>
          <t>jaya_makmurabadi@ymail.com</t>
        </is>
      </c>
      <c r="E54" t="inlineStr">
        <is>
          <t>https://lpjk.pu.go.id/search-badan-usaha-detail/SUJJTEpPYWZvSVozWmVSZHE1U2xIUT09</t>
        </is>
      </c>
      <c r="F54" t="n">
        <v>2</v>
      </c>
      <c r="G54" t="inlineStr">
        <is>
          <t>BG002, BG006</t>
        </is>
      </c>
      <c r="H54" t="inlineStr">
        <is>
          <t>8 Juni 2000</t>
        </is>
      </c>
      <c r="I54" s="2" t="n">
        <v>46384</v>
      </c>
      <c r="J54" t="inlineStr">
        <is>
          <t>Disetujui</t>
        </is>
      </c>
      <c r="K54" t="n">
        <v>87</v>
      </c>
      <c r="L54" t="inlineStr">
        <is>
          <t>28 Desember 2026</t>
        </is>
      </c>
      <c r="M54" t="inlineStr">
        <is>
          <t>Konstruksi Gedung Pendidikan, Konstruksi Gedung Perkantoran</t>
        </is>
      </c>
      <c r="N54" t="inlineStr">
        <is>
          <t>K</t>
        </is>
      </c>
      <c r="O54" t="inlineStr">
        <is>
          <t>20231228</t>
        </is>
      </c>
      <c r="P54" t="inlineStr">
        <is>
          <t>Jawa Tengah</t>
        </is>
      </c>
      <c r="Q54" t="inlineStr"/>
    </row>
    <row r="55">
      <c r="A55" t="inlineStr">
        <is>
          <t>JAYA PERKASA CONSTRUCTION</t>
        </is>
      </c>
      <c r="B55" t="inlineStr">
        <is>
          <t>Kab. Tabanan</t>
        </is>
      </c>
      <c r="C55" t="inlineStr">
        <is>
          <t>085366301806</t>
        </is>
      </c>
      <c r="D55" t="inlineStr">
        <is>
          <t>jayaperkasa.construction@gmail.com</t>
        </is>
      </c>
      <c r="E55" t="inlineStr">
        <is>
          <t>https://lpjk.pu.go.id/search-badan-usaha-detail/UnB3OGd5bUNKYWdsalB5ZlBjVzZJdz09</t>
        </is>
      </c>
      <c r="F55" t="n">
        <v>10</v>
      </c>
      <c r="G55" t="inlineStr">
        <is>
          <t>BG001, BG002, BG003, BG004, BG005, BG006, BG007, BG008, BG009, BS002</t>
        </is>
      </c>
      <c r="H55" t="inlineStr">
        <is>
          <t>16 Desember 2023</t>
        </is>
      </c>
      <c r="I55" s="2" t="n">
        <v>46384</v>
      </c>
      <c r="J55" t="inlineStr">
        <is>
          <t>Disetujui</t>
        </is>
      </c>
      <c r="K55" t="n">
        <v>87</v>
      </c>
      <c r="L55" t="inlineStr">
        <is>
          <t>28 Desember 2026</t>
        </is>
      </c>
      <c r="M55" t="inlineStr">
        <is>
          <t>Bangunan Sipil Jembatan, Jalan Layang, Fly Over, dan Underpass, Konstruksi Gedung Hunian, Konstruksi Gedung Industri, Konstruksi Gedung Kesehatan, Konstruksi Gedung Lainnya, Konstruksi Gedung Pendidikan, Konstruksi Gedung Penginapan, Konstruksi Gedung Perbelanjaan, Konstruksi Gedung Perkantoran, Konstruksi Gedung Tempat Hiburan dan Olahraga</t>
        </is>
      </c>
      <c r="N55" t="inlineStr">
        <is>
          <t>K</t>
        </is>
      </c>
      <c r="O55" t="inlineStr">
        <is>
          <t>20231228, 20231229</t>
        </is>
      </c>
      <c r="P55" t="inlineStr">
        <is>
          <t>Bali</t>
        </is>
      </c>
      <c r="Q55" t="inlineStr"/>
    </row>
    <row r="56">
      <c r="A56" t="inlineStr">
        <is>
          <t>JENDELA MASA INDONESIA</t>
        </is>
      </c>
      <c r="B56" t="inlineStr">
        <is>
          <t>Kab. Pangandaran</t>
        </is>
      </c>
      <c r="C56" t="inlineStr">
        <is>
          <t>082116299595</t>
        </is>
      </c>
      <c r="D56" t="inlineStr">
        <is>
          <t>ptjendelamasa@gmail.com</t>
        </is>
      </c>
      <c r="E56" t="inlineStr">
        <is>
          <t>https://lpjk.pu.go.id/search-badan-usaha-detail/RHRyVHBDQzZtTjlGTVp6VXkrTlFZZz09</t>
        </is>
      </c>
      <c r="F56" t="n">
        <v>1</v>
      </c>
      <c r="G56" t="inlineStr">
        <is>
          <t>BG001</t>
        </is>
      </c>
      <c r="H56" t="inlineStr">
        <is>
          <t>18 Mei 2022</t>
        </is>
      </c>
      <c r="I56" s="2" t="n">
        <v>46384</v>
      </c>
      <c r="J56" t="inlineStr">
        <is>
          <t>Disetujui</t>
        </is>
      </c>
      <c r="K56" t="n">
        <v>87</v>
      </c>
      <c r="L56" t="inlineStr">
        <is>
          <t>28 Desember 2026</t>
        </is>
      </c>
      <c r="M56" t="inlineStr">
        <is>
          <t>Konstruksi Gedung Hunian</t>
        </is>
      </c>
      <c r="N56" t="inlineStr">
        <is>
          <t>K</t>
        </is>
      </c>
      <c r="O56" t="inlineStr">
        <is>
          <t>20231228</t>
        </is>
      </c>
      <c r="P56" t="inlineStr">
        <is>
          <t>Jawa Barat</t>
        </is>
      </c>
      <c r="Q56" t="inlineStr"/>
    </row>
    <row r="57">
      <c r="A57" t="inlineStr">
        <is>
          <t>KARSA LUHUR MAKMUR</t>
        </is>
      </c>
      <c r="B57" t="inlineStr">
        <is>
          <t>Kota Semarang</t>
        </is>
      </c>
      <c r="C57" t="inlineStr">
        <is>
          <t>08122881717</t>
        </is>
      </c>
      <c r="D57" t="inlineStr">
        <is>
          <t>karsaluhurmakmur@gmail.com</t>
        </is>
      </c>
      <c r="E57" t="inlineStr">
        <is>
          <t>https://lpjk.pu.go.id/search-badan-usaha-detail/bkRBMS9Xb1VHcWtQUzJ1ZVBnNkV4Zz09</t>
        </is>
      </c>
      <c r="F57" t="n">
        <v>1</v>
      </c>
      <c r="G57" t="inlineStr">
        <is>
          <t>RK001</t>
        </is>
      </c>
      <c r="H57" t="inlineStr">
        <is>
          <t>10 Mei 2023</t>
        </is>
      </c>
      <c r="I57" s="2" t="n">
        <v>46384</v>
      </c>
      <c r="J57" t="inlineStr">
        <is>
          <t>Disetujui</t>
        </is>
      </c>
      <c r="K57" t="n">
        <v>87</v>
      </c>
      <c r="L57" t="inlineStr">
        <is>
          <t>28 Desember 2026</t>
        </is>
      </c>
      <c r="M57" t="inlineStr">
        <is>
          <t>Jasa Rekayasa Konstruksi Bangunan Gedung Hunian dan Non Hunian</t>
        </is>
      </c>
      <c r="N57" t="inlineStr">
        <is>
          <t>K</t>
        </is>
      </c>
      <c r="O57" t="inlineStr">
        <is>
          <t>20231220</t>
        </is>
      </c>
      <c r="P57" t="inlineStr">
        <is>
          <t>Jawa Tengah</t>
        </is>
      </c>
      <c r="Q57" t="inlineStr"/>
    </row>
    <row r="58">
      <c r="A58" t="inlineStr">
        <is>
          <t>KARYA MEGAH KONSTRUKSI</t>
        </is>
      </c>
      <c r="B58" t="inlineStr">
        <is>
          <t>Kab. Bandung Barat</t>
        </is>
      </c>
      <c r="C58" t="inlineStr">
        <is>
          <t>08122000844</t>
        </is>
      </c>
      <c r="D58" t="inlineStr">
        <is>
          <t>pt.karya.megah.konstruksi@gmail.com</t>
        </is>
      </c>
      <c r="E58" t="inlineStr">
        <is>
          <t>https://lpjk.pu.go.id/search-badan-usaha-detail/Q2VrenVCQlI4VnVwODllUFpkZ1ZWQT09</t>
        </is>
      </c>
      <c r="F58" t="n">
        <v>1</v>
      </c>
      <c r="G58" t="inlineStr">
        <is>
          <t>BG003</t>
        </is>
      </c>
      <c r="H58" t="inlineStr">
        <is>
          <t>5 Agustus 2022</t>
        </is>
      </c>
      <c r="I58" s="2" t="n">
        <v>46384</v>
      </c>
      <c r="J58" t="inlineStr">
        <is>
          <t>Disetujui</t>
        </is>
      </c>
      <c r="K58" t="n">
        <v>87</v>
      </c>
      <c r="L58" t="inlineStr">
        <is>
          <t>28 Desember 2026</t>
        </is>
      </c>
      <c r="M58" t="inlineStr">
        <is>
          <t>Konstruksi Gedung Industri</t>
        </is>
      </c>
      <c r="N58" t="inlineStr">
        <is>
          <t>K</t>
        </is>
      </c>
      <c r="O58" t="inlineStr">
        <is>
          <t>20231228</t>
        </is>
      </c>
      <c r="P58" t="inlineStr">
        <is>
          <t>Jawa Barat</t>
        </is>
      </c>
      <c r="Q58" t="inlineStr"/>
    </row>
    <row r="59">
      <c r="A59" t="inlineStr">
        <is>
          <t>KARYA PRADANA MANDIRI</t>
        </is>
      </c>
      <c r="B59" t="inlineStr">
        <is>
          <t>Kab. Bandung</t>
        </is>
      </c>
      <c r="C59" t="inlineStr">
        <is>
          <t>081278653630</t>
        </is>
      </c>
      <c r="D59" t="inlineStr">
        <is>
          <t>karyapradanamandiri@gmail.com</t>
        </is>
      </c>
      <c r="E59" t="inlineStr">
        <is>
          <t>https://lpjk.pu.go.id/search-badan-usaha-detail/UHN6cHJUQy9JcFJHRGNFMlhkQi9HUT09</t>
        </is>
      </c>
      <c r="F59" t="n">
        <v>1</v>
      </c>
      <c r="G59" t="inlineStr">
        <is>
          <t>BS004</t>
        </is>
      </c>
      <c r="H59" t="inlineStr">
        <is>
          <t>18 November 2016</t>
        </is>
      </c>
      <c r="I59" s="2" t="n">
        <v>46384</v>
      </c>
      <c r="J59" t="inlineStr">
        <is>
          <t>Disetujui</t>
        </is>
      </c>
      <c r="K59" t="n">
        <v>87</v>
      </c>
      <c r="L59" t="inlineStr">
        <is>
          <t>28 Desember 2026</t>
        </is>
      </c>
      <c r="M59" t="inlineStr">
        <is>
          <t>Konstruksi Jaringan Irigasi dan Drainase</t>
        </is>
      </c>
      <c r="N59" t="inlineStr">
        <is>
          <t>K</t>
        </is>
      </c>
      <c r="O59" t="inlineStr">
        <is>
          <t>20231222</t>
        </is>
      </c>
      <c r="P59" t="inlineStr">
        <is>
          <t>Jawa Barat</t>
        </is>
      </c>
      <c r="Q59" t="inlineStr"/>
    </row>
    <row r="60">
      <c r="A60" t="inlineStr">
        <is>
          <t>KARYA SEJAHTERA ABADI</t>
        </is>
      </c>
      <c r="B60" t="inlineStr">
        <is>
          <t>Kab. Karimun</t>
        </is>
      </c>
      <c r="C60" t="inlineStr">
        <is>
          <t>07777350226</t>
        </is>
      </c>
      <c r="D60" t="inlineStr">
        <is>
          <t>ksaprayun@gmail.com</t>
        </is>
      </c>
      <c r="E60" t="inlineStr">
        <is>
          <t>https://lpjk.pu.go.id/search-badan-usaha-detail/SnlCK2VjUVc3VmtGTG82VC83MjRxdz09</t>
        </is>
      </c>
      <c r="F60" t="n">
        <v>5</v>
      </c>
      <c r="G60" t="inlineStr">
        <is>
          <t>BG001, BG003, BG006, BG009, BS004</t>
        </is>
      </c>
      <c r="H60" t="inlineStr">
        <is>
          <t>11 April 2002</t>
        </is>
      </c>
      <c r="I60" s="2" t="n">
        <v>46384</v>
      </c>
      <c r="J60" t="inlineStr">
        <is>
          <t>Disetujui</t>
        </is>
      </c>
      <c r="K60" t="n">
        <v>87</v>
      </c>
      <c r="L60" t="inlineStr">
        <is>
          <t>28 Desember 2026</t>
        </is>
      </c>
      <c r="M60" t="inlineStr">
        <is>
          <t>Konstruksi Gedung Hunian, Konstruksi Gedung Industri, Konstruksi Gedung Lainnya, Konstruksi Gedung Pendidikan, Konstruksi Jaringan Irigasi dan Drainase</t>
        </is>
      </c>
      <c r="N60" t="inlineStr">
        <is>
          <t>K</t>
        </is>
      </c>
      <c r="O60" t="inlineStr">
        <is>
          <t>20231222, 20231227</t>
        </is>
      </c>
      <c r="P60" t="inlineStr">
        <is>
          <t>Kepulauan Riau</t>
        </is>
      </c>
      <c r="Q60" t="inlineStr"/>
    </row>
    <row r="61">
      <c r="A61" t="inlineStr">
        <is>
          <t>KARYA TIGA MAJU SUKSES</t>
        </is>
      </c>
      <c r="B61" t="inlineStr">
        <is>
          <t>Kab. Kendal</t>
        </is>
      </c>
      <c r="C61" t="inlineStr">
        <is>
          <t>02942932579</t>
        </is>
      </c>
      <c r="D61" t="inlineStr">
        <is>
          <t>pt.karya3majusukses@gmail.com</t>
        </is>
      </c>
      <c r="E61" t="inlineStr">
        <is>
          <t>https://lpjk.pu.go.id/search-badan-usaha-detail/MS9hL3FoQXlWbzQ3dFFWRXpwZkZidz09</t>
        </is>
      </c>
      <c r="F61" t="n">
        <v>1</v>
      </c>
      <c r="G61" t="inlineStr">
        <is>
          <t>PL004</t>
        </is>
      </c>
      <c r="H61" t="inlineStr">
        <is>
          <t>12 September 2023</t>
        </is>
      </c>
      <c r="I61" s="2" t="n">
        <v>46384</v>
      </c>
      <c r="J61" t="inlineStr">
        <is>
          <t>Pencabutan</t>
        </is>
      </c>
      <c r="K61" t="n">
        <v>87</v>
      </c>
      <c r="L61" t="inlineStr">
        <is>
          <t>28 Desember 2026</t>
        </is>
      </c>
      <c r="M61" t="inlineStr">
        <is>
          <t>Pekerjaan Tanah</t>
        </is>
      </c>
      <c r="N61" t="inlineStr">
        <is>
          <t>Spesialis</t>
        </is>
      </c>
      <c r="O61" t="inlineStr">
        <is>
          <t>20231227</t>
        </is>
      </c>
      <c r="P61" t="inlineStr">
        <is>
          <t>Jawa Tengah</t>
        </is>
      </c>
      <c r="Q61" t="inlineStr"/>
    </row>
    <row r="62">
      <c r="A62" t="inlineStr">
        <is>
          <t>KEMBAR DUA</t>
        </is>
      </c>
      <c r="B62" t="inlineStr">
        <is>
          <t>Kab. Blora</t>
        </is>
      </c>
      <c r="C62" t="inlineStr">
        <is>
          <t>081328868594</t>
        </is>
      </c>
      <c r="D62" t="inlineStr">
        <is>
          <t>cvkembardua@gmail.com</t>
        </is>
      </c>
      <c r="E62" t="inlineStr">
        <is>
          <t>https://lpjk.pu.go.id/search-badan-usaha-detail/U3Mra2RncldEVTNuaG8xeTExREk3dz09</t>
        </is>
      </c>
      <c r="F62" t="n">
        <v>1</v>
      </c>
      <c r="G62" t="inlineStr">
        <is>
          <t>BS004</t>
        </is>
      </c>
      <c r="H62" t="inlineStr">
        <is>
          <t>15 September 2000</t>
        </is>
      </c>
      <c r="I62" s="2" t="n">
        <v>46384</v>
      </c>
      <c r="J62" t="inlineStr">
        <is>
          <t>Disetujui</t>
        </is>
      </c>
      <c r="K62" t="n">
        <v>87</v>
      </c>
      <c r="L62" t="inlineStr">
        <is>
          <t>28 Desember 2026</t>
        </is>
      </c>
      <c r="M62" t="inlineStr">
        <is>
          <t>Konstruksi Jaringan Irigasi dan Drainase</t>
        </is>
      </c>
      <c r="N62" t="inlineStr">
        <is>
          <t>K</t>
        </is>
      </c>
      <c r="O62" t="inlineStr">
        <is>
          <t>20231229</t>
        </is>
      </c>
      <c r="P62" t="inlineStr">
        <is>
          <t>Jawa Tengah</t>
        </is>
      </c>
      <c r="Q62" t="inlineStr"/>
    </row>
    <row r="63">
      <c r="A63" t="inlineStr">
        <is>
          <t>KUDA SAKTI PERKASA</t>
        </is>
      </c>
      <c r="B63" t="inlineStr">
        <is>
          <t>Kota Semarang</t>
        </is>
      </c>
      <c r="C63" t="inlineStr">
        <is>
          <t>0243540442</t>
        </is>
      </c>
      <c r="D63" t="inlineStr">
        <is>
          <t>kudasaktiperkasa@gmail.com</t>
        </is>
      </c>
      <c r="E63" t="inlineStr">
        <is>
          <t>https://lpjk.pu.go.id/search-badan-usaha-detail/R2x0aktEekNBdFlraTRCOHZkTzBnQT09</t>
        </is>
      </c>
      <c r="F63" t="n">
        <v>1</v>
      </c>
      <c r="G63" t="inlineStr">
        <is>
          <t>BS002</t>
        </is>
      </c>
      <c r="H63" t="inlineStr">
        <is>
          <t>14 Februari 2018</t>
        </is>
      </c>
      <c r="I63" s="2" t="n">
        <v>46384</v>
      </c>
      <c r="J63" t="inlineStr">
        <is>
          <t>Disetujui</t>
        </is>
      </c>
      <c r="K63" t="n">
        <v>87</v>
      </c>
      <c r="L63" t="inlineStr">
        <is>
          <t>28 Desember 2026</t>
        </is>
      </c>
      <c r="M63" t="inlineStr">
        <is>
          <t>Bangunan Sipil Jembatan, Jalan Layang, Fly Over, dan Underpass</t>
        </is>
      </c>
      <c r="N63" t="inlineStr">
        <is>
          <t>K</t>
        </is>
      </c>
      <c r="O63" t="inlineStr">
        <is>
          <t>20231212</t>
        </is>
      </c>
      <c r="P63" t="inlineStr">
        <is>
          <t>Jawa Tengah</t>
        </is>
      </c>
      <c r="Q63" t="inlineStr"/>
    </row>
    <row r="64">
      <c r="A64" t="inlineStr">
        <is>
          <t>LAMI JAYA POETRA</t>
        </is>
      </c>
      <c r="B64" t="inlineStr">
        <is>
          <t>Kab. Cirebon</t>
        </is>
      </c>
      <c r="C64" t="inlineStr">
        <is>
          <t>081315906456</t>
        </is>
      </c>
      <c r="D64" t="inlineStr">
        <is>
          <t>lamijayapoetra@gmail.com</t>
        </is>
      </c>
      <c r="E64" t="inlineStr">
        <is>
          <t>https://lpjk.pu.go.id/search-badan-usaha-detail/d2FpSDdtQzE5Y1lqNG53eGNmdGxjdz09</t>
        </is>
      </c>
      <c r="F64" t="n">
        <v>1</v>
      </c>
      <c r="G64" t="inlineStr">
        <is>
          <t>BS001</t>
        </is>
      </c>
      <c r="H64" t="inlineStr">
        <is>
          <t>25 September 2020</t>
        </is>
      </c>
      <c r="I64" s="2" t="n">
        <v>46384</v>
      </c>
      <c r="J64" t="inlineStr">
        <is>
          <t>Disetujui</t>
        </is>
      </c>
      <c r="K64" t="n">
        <v>87</v>
      </c>
      <c r="L64" t="inlineStr">
        <is>
          <t>28 Desember 2026</t>
        </is>
      </c>
      <c r="M64" t="inlineStr">
        <is>
          <t>Konstruksi Bangunan Sipil Jalan</t>
        </is>
      </c>
      <c r="N64" t="inlineStr">
        <is>
          <t>K</t>
        </is>
      </c>
      <c r="O64" t="inlineStr">
        <is>
          <t>20231215</t>
        </is>
      </c>
      <c r="P64" t="inlineStr">
        <is>
          <t>Jawa Barat</t>
        </is>
      </c>
      <c r="Q64" t="inlineStr"/>
    </row>
    <row r="65">
      <c r="A65" t="inlineStr">
        <is>
          <t>LAMPUI JAYA</t>
        </is>
      </c>
      <c r="B65" t="inlineStr">
        <is>
          <t>Kab. Sumbawa</t>
        </is>
      </c>
      <c r="C65" t="inlineStr">
        <is>
          <t>085257777466</t>
        </is>
      </c>
      <c r="D65" t="inlineStr">
        <is>
          <t>cvlampuijaya@yahoo.co.id</t>
        </is>
      </c>
      <c r="E65" t="inlineStr">
        <is>
          <t>https://lpjk.pu.go.id/search-badan-usaha-detail/TWJJSi9qRXFsaXA1RDlLSjE3TTJqQT09</t>
        </is>
      </c>
      <c r="F65" t="n">
        <v>1</v>
      </c>
      <c r="G65" t="inlineStr">
        <is>
          <t>BS010</t>
        </is>
      </c>
      <c r="H65" t="inlineStr">
        <is>
          <t>19 Januari 2006</t>
        </is>
      </c>
      <c r="I65" s="2" t="n">
        <v>46384</v>
      </c>
      <c r="J65" t="inlineStr">
        <is>
          <t>Disetujui</t>
        </is>
      </c>
      <c r="K65" t="n">
        <v>87</v>
      </c>
      <c r="L65" t="inlineStr">
        <is>
          <t>28 Desember 2026</t>
        </is>
      </c>
      <c r="M65" t="inlineStr">
        <is>
          <t>Konstruksi Bangunan Prasarana Sumber Daya Air</t>
        </is>
      </c>
      <c r="N65" t="inlineStr">
        <is>
          <t>K</t>
        </is>
      </c>
      <c r="O65" t="inlineStr">
        <is>
          <t>20231227</t>
        </is>
      </c>
      <c r="P65" t="inlineStr">
        <is>
          <t>Nusa Tenggara Barat</t>
        </is>
      </c>
      <c r="Q65" t="inlineStr"/>
    </row>
    <row r="66">
      <c r="A66" t="inlineStr">
        <is>
          <t>LEMBAH SERAYU</t>
        </is>
      </c>
      <c r="B66" t="inlineStr">
        <is>
          <t>Kota Adm. Jakarta Pusat</t>
        </is>
      </c>
      <c r="C66" t="inlineStr">
        <is>
          <t>02163866209</t>
        </is>
      </c>
      <c r="D66" t="inlineStr">
        <is>
          <t>lembahserayuizin@gmail.com</t>
        </is>
      </c>
      <c r="E66" t="inlineStr">
        <is>
          <t>https://lpjk.pu.go.id/search-badan-usaha-detail/ZUhva1htQXB2dmkvQTFzZlRmS0JpUT09</t>
        </is>
      </c>
      <c r="F66" t="n">
        <v>1</v>
      </c>
      <c r="G66" t="inlineStr">
        <is>
          <t>BS009</t>
        </is>
      </c>
      <c r="H66" t="inlineStr">
        <is>
          <t>19 Juni 2020</t>
        </is>
      </c>
      <c r="I66" s="2" t="n">
        <v>46384</v>
      </c>
      <c r="J66" t="inlineStr">
        <is>
          <t>Disetujui</t>
        </is>
      </c>
      <c r="K66" t="n">
        <v>87</v>
      </c>
      <c r="L66" t="inlineStr">
        <is>
          <t>28 Desember 2026</t>
        </is>
      </c>
      <c r="M66" t="inlineStr">
        <is>
          <t>Konstruksi Sentral Telekomunikasi</t>
        </is>
      </c>
      <c r="N66" t="inlineStr">
        <is>
          <t>K</t>
        </is>
      </c>
      <c r="O66" t="inlineStr">
        <is>
          <t>20231226</t>
        </is>
      </c>
      <c r="P66" t="inlineStr">
        <is>
          <t>DKI Jakarta</t>
        </is>
      </c>
      <c r="Q66" t="inlineStr"/>
    </row>
    <row r="67">
      <c r="A67" t="inlineStr">
        <is>
          <t>LUAS SEMESTA ABADI</t>
        </is>
      </c>
      <c r="B67" t="inlineStr">
        <is>
          <t>Kota Adm. Jakarta Barat</t>
        </is>
      </c>
      <c r="C67" t="inlineStr">
        <is>
          <t>081213788383</t>
        </is>
      </c>
      <c r="D67" t="inlineStr">
        <is>
          <t>building@pt-lsa.com</t>
        </is>
      </c>
      <c r="E67" t="inlineStr">
        <is>
          <t>https://lpjk.pu.go.id/search-badan-usaha-detail/WDZ1UTAwNHFyTkZFVmVqdE5uMlFWdz09</t>
        </is>
      </c>
      <c r="F67" t="n">
        <v>1</v>
      </c>
      <c r="G67" t="inlineStr">
        <is>
          <t>BG003</t>
        </is>
      </c>
      <c r="H67" t="inlineStr">
        <is>
          <t>31 Oktober 2019</t>
        </is>
      </c>
      <c r="I67" s="2" t="n">
        <v>46384</v>
      </c>
      <c r="J67" t="inlineStr">
        <is>
          <t>Disetujui</t>
        </is>
      </c>
      <c r="K67" t="n">
        <v>87</v>
      </c>
      <c r="L67" t="inlineStr">
        <is>
          <t>28 Desember 2026</t>
        </is>
      </c>
      <c r="M67" t="inlineStr">
        <is>
          <t>Konstruksi Gedung Industri</t>
        </is>
      </c>
      <c r="N67" t="inlineStr">
        <is>
          <t>B</t>
        </is>
      </c>
      <c r="O67" t="inlineStr">
        <is>
          <t>20231228</t>
        </is>
      </c>
      <c r="P67" t="inlineStr">
        <is>
          <t>DKI Jakarta</t>
        </is>
      </c>
      <c r="Q67" t="inlineStr"/>
    </row>
    <row r="68">
      <c r="A68" t="inlineStr">
        <is>
          <t>MAHAKARYA CITRA</t>
        </is>
      </c>
      <c r="B68" t="inlineStr">
        <is>
          <t>Kab. Bandung</t>
        </is>
      </c>
      <c r="C68" t="inlineStr">
        <is>
          <t>081320117662</t>
        </is>
      </c>
      <c r="D68" t="inlineStr">
        <is>
          <t>mahakaryacitra.cv@gmail.com</t>
        </is>
      </c>
      <c r="E68" t="inlineStr">
        <is>
          <t>https://lpjk.pu.go.id/search-badan-usaha-detail/a3ZYZ0hUalZCVWpncWozR0FiKzhvZz09</t>
        </is>
      </c>
      <c r="F68" t="n">
        <v>3</v>
      </c>
      <c r="G68" t="inlineStr">
        <is>
          <t>BG009</t>
        </is>
      </c>
      <c r="H68" t="inlineStr">
        <is>
          <t>25 Juli 1991</t>
        </is>
      </c>
      <c r="I68" s="2" t="n">
        <v>46384</v>
      </c>
      <c r="J68" t="inlineStr">
        <is>
          <t>Disetujui</t>
        </is>
      </c>
      <c r="K68" t="n">
        <v>87</v>
      </c>
      <c r="L68" t="inlineStr">
        <is>
          <t>28 Desember 2026</t>
        </is>
      </c>
      <c r="M68" t="inlineStr">
        <is>
          <t>Konstruksi Gedung Lainnya</t>
        </is>
      </c>
      <c r="N68" t="inlineStr">
        <is>
          <t>K</t>
        </is>
      </c>
      <c r="O68" t="inlineStr">
        <is>
          <t>20231214</t>
        </is>
      </c>
      <c r="P68" t="inlineStr">
        <is>
          <t>Jawa Barat</t>
        </is>
      </c>
      <c r="Q68" t="inlineStr"/>
    </row>
    <row r="69">
      <c r="A69" t="inlineStr">
        <is>
          <t>MATAHARI KEMBAR</t>
        </is>
      </c>
      <c r="B69" t="inlineStr">
        <is>
          <t>Kab. Pandeglang</t>
        </is>
      </c>
      <c r="C69" t="inlineStr">
        <is>
          <t>087874363318</t>
        </is>
      </c>
      <c r="D69" t="inlineStr">
        <is>
          <t>lsbubanten@gmail.com</t>
        </is>
      </c>
      <c r="E69" t="inlineStr">
        <is>
          <t>https://lpjk.pu.go.id/search-badan-usaha-detail/U05nRHd2cm16d1lKaHRvdC8zSmk0QT09</t>
        </is>
      </c>
      <c r="F69" t="n">
        <v>2</v>
      </c>
      <c r="G69" t="inlineStr">
        <is>
          <t>BS005</t>
        </is>
      </c>
      <c r="H69" t="inlineStr">
        <is>
          <t>2 Mei 2016</t>
        </is>
      </c>
      <c r="I69" s="2" t="n">
        <v>46384</v>
      </c>
      <c r="J69" t="inlineStr">
        <is>
          <t>Pencabutan</t>
        </is>
      </c>
      <c r="K69" t="n">
        <v>87</v>
      </c>
      <c r="L69" t="inlineStr">
        <is>
          <t>28 Desember 2026</t>
        </is>
      </c>
      <c r="M69" t="inlineStr">
        <is>
          <t>Konstruksi Bangunan Sipil Pengolahan Air Bersih</t>
        </is>
      </c>
      <c r="N69" t="inlineStr">
        <is>
          <t>K</t>
        </is>
      </c>
      <c r="O69" t="inlineStr">
        <is>
          <t>20231119</t>
        </is>
      </c>
      <c r="P69" t="inlineStr">
        <is>
          <t>Banten</t>
        </is>
      </c>
      <c r="Q69" t="inlineStr"/>
    </row>
    <row r="70">
      <c r="A70" t="inlineStr">
        <is>
          <t>MAULANA CREASINDOTAMA</t>
        </is>
      </c>
      <c r="B70" t="inlineStr">
        <is>
          <t>Kota Pekanbaru</t>
        </is>
      </c>
      <c r="C70" t="inlineStr">
        <is>
          <t>087893300366</t>
        </is>
      </c>
      <c r="D70" t="inlineStr">
        <is>
          <t>maulanaheri92@yahoo.com</t>
        </is>
      </c>
      <c r="E70" t="inlineStr">
        <is>
          <t>https://lpjk.pu.go.id/search-badan-usaha-detail/bjNWdWhTVWo2RGxyNnR5enRtTE5adz09</t>
        </is>
      </c>
      <c r="F70" t="n">
        <v>1</v>
      </c>
      <c r="G70" t="inlineStr">
        <is>
          <t>BS010</t>
        </is>
      </c>
      <c r="H70" t="inlineStr">
        <is>
          <t>1 Januari 2018</t>
        </is>
      </c>
      <c r="I70" s="2" t="n">
        <v>46384</v>
      </c>
      <c r="J70" t="inlineStr">
        <is>
          <t>Disetujui</t>
        </is>
      </c>
      <c r="K70" t="n">
        <v>87</v>
      </c>
      <c r="L70" t="inlineStr">
        <is>
          <t>28 Desember 2026</t>
        </is>
      </c>
      <c r="M70" t="inlineStr">
        <is>
          <t>Konstruksi Bangunan Prasarana Sumber Daya Air</t>
        </is>
      </c>
      <c r="N70" t="inlineStr">
        <is>
          <t>K</t>
        </is>
      </c>
      <c r="O70" t="inlineStr">
        <is>
          <t>20231225</t>
        </is>
      </c>
      <c r="P70" t="inlineStr">
        <is>
          <t>Riau</t>
        </is>
      </c>
      <c r="Q70" t="inlineStr"/>
    </row>
    <row r="71">
      <c r="A71" t="inlineStr">
        <is>
          <t>MEGA BUGAR SEJAHTERA</t>
        </is>
      </c>
      <c r="B71" t="inlineStr">
        <is>
          <t>Kota Adm. Jakarta Barat</t>
        </is>
      </c>
      <c r="C71" t="inlineStr">
        <is>
          <t>02155957924</t>
        </is>
      </c>
      <c r="D71" t="inlineStr">
        <is>
          <t>pt.megabugar@gmail.com</t>
        </is>
      </c>
      <c r="E71" t="inlineStr">
        <is>
          <t>https://lpjk.pu.go.id/search-badan-usaha-detail/WkNYOEpBOTJJZzdieWVma0FjdmlSZz09</t>
        </is>
      </c>
      <c r="F71" t="n">
        <v>1</v>
      </c>
      <c r="G71" t="inlineStr">
        <is>
          <t>IN008</t>
        </is>
      </c>
      <c r="H71" t="inlineStr">
        <is>
          <t>18 Desember 2017</t>
        </is>
      </c>
      <c r="I71" s="2" t="n">
        <v>46384</v>
      </c>
      <c r="J71" t="inlineStr">
        <is>
          <t>Pembekuan</t>
        </is>
      </c>
      <c r="K71" t="n">
        <v>87</v>
      </c>
      <c r="L71" t="inlineStr">
        <is>
          <t>28 Desember 2026</t>
        </is>
      </c>
      <c r="M71" t="inlineStr">
        <is>
          <t>Instalasi Pendingin Dan Ventilasi Udara</t>
        </is>
      </c>
      <c r="N71" t="inlineStr">
        <is>
          <t>Spesialis</t>
        </is>
      </c>
      <c r="O71" t="inlineStr">
        <is>
          <t>20231212</t>
        </is>
      </c>
      <c r="P71" t="inlineStr">
        <is>
          <t>DKI Jakarta</t>
        </is>
      </c>
      <c r="Q71" t="inlineStr"/>
    </row>
    <row r="72">
      <c r="A72" t="inlineStr">
        <is>
          <t>MITRA BANGUN USAHA</t>
        </is>
      </c>
      <c r="B72" t="inlineStr">
        <is>
          <t>Kota Balikpapan</t>
        </is>
      </c>
      <c r="C72" t="inlineStr">
        <is>
          <t>081251425225</t>
        </is>
      </c>
      <c r="D72" t="inlineStr">
        <is>
          <t>mitrabangunusaha1677@gmail.com</t>
        </is>
      </c>
      <c r="E72" t="inlineStr">
        <is>
          <t>https://lpjk.pu.go.id/search-badan-usaha-detail/UXhyWStvUG8yVjdiTUVpYlhYNDViZz09</t>
        </is>
      </c>
      <c r="F72" t="n">
        <v>1</v>
      </c>
      <c r="G72" t="inlineStr">
        <is>
          <t>BS005</t>
        </is>
      </c>
      <c r="H72" t="inlineStr">
        <is>
          <t>14 April 2022</t>
        </is>
      </c>
      <c r="I72" s="2" t="n">
        <v>46384</v>
      </c>
      <c r="J72" t="inlineStr">
        <is>
          <t>Disetujui</t>
        </is>
      </c>
      <c r="K72" t="n">
        <v>87</v>
      </c>
      <c r="L72" t="inlineStr">
        <is>
          <t>28 Desember 2026</t>
        </is>
      </c>
      <c r="M72" t="inlineStr">
        <is>
          <t>Konstruksi Bangunan Sipil Pengolahan Air Bersih</t>
        </is>
      </c>
      <c r="N72" t="inlineStr">
        <is>
          <t>K</t>
        </is>
      </c>
      <c r="O72" t="inlineStr">
        <is>
          <t>20220824</t>
        </is>
      </c>
      <c r="P72" t="inlineStr">
        <is>
          <t>Kalimantan Timur</t>
        </is>
      </c>
      <c r="Q72" t="inlineStr"/>
    </row>
    <row r="73">
      <c r="A73" t="inlineStr">
        <is>
          <t>MITRA JAYA AGUNG MAKMUR</t>
        </is>
      </c>
      <c r="B73" t="inlineStr">
        <is>
          <t>Kota Medan</t>
        </is>
      </c>
      <c r="C73" t="inlineStr">
        <is>
          <t>08126016517</t>
        </is>
      </c>
      <c r="D73" t="inlineStr">
        <is>
          <t>mitrajayaagungmakmur@yahoo.com</t>
        </is>
      </c>
      <c r="E73" t="inlineStr">
        <is>
          <t>https://lpjk.pu.go.id/search-badan-usaha-detail/UDhEOWtQVFkzZGJpRW5IbFVsdi9hdz09</t>
        </is>
      </c>
      <c r="F73" t="n">
        <v>1</v>
      </c>
      <c r="G73" t="inlineStr">
        <is>
          <t>BS004</t>
        </is>
      </c>
      <c r="H73" t="inlineStr">
        <is>
          <t>4 Desember 2015</t>
        </is>
      </c>
      <c r="I73" s="2" t="n">
        <v>46384</v>
      </c>
      <c r="J73" t="inlineStr">
        <is>
          <t>Disetujui</t>
        </is>
      </c>
      <c r="K73" t="n">
        <v>87</v>
      </c>
      <c r="L73" t="inlineStr">
        <is>
          <t>28 Desember 2026</t>
        </is>
      </c>
      <c r="M73" t="inlineStr">
        <is>
          <t>Konstruksi Jaringan Irigasi dan Drainase</t>
        </is>
      </c>
      <c r="N73" t="inlineStr">
        <is>
          <t>K</t>
        </is>
      </c>
      <c r="O73" t="inlineStr">
        <is>
          <t>20231221</t>
        </is>
      </c>
      <c r="P73" t="inlineStr">
        <is>
          <t>Sumatera Utara</t>
        </is>
      </c>
      <c r="Q73" t="inlineStr"/>
    </row>
    <row r="74">
      <c r="A74" t="inlineStr">
        <is>
          <t>MITRA MANDIRI</t>
        </is>
      </c>
      <c r="B74" t="inlineStr">
        <is>
          <t>Kota Balikpapan</t>
        </is>
      </c>
      <c r="C74" t="inlineStr">
        <is>
          <t>081253893449</t>
        </is>
      </c>
      <c r="D74" t="inlineStr">
        <is>
          <t>mitr.mandiri@gmail.com</t>
        </is>
      </c>
      <c r="E74" t="inlineStr">
        <is>
          <t>https://lpjk.pu.go.id/search-badan-usaha-detail/eUZOaTlzY2llbC9YNFk5WFdoN1pMUT09</t>
        </is>
      </c>
      <c r="F74" t="n">
        <v>7</v>
      </c>
      <c r="G74" t="inlineStr">
        <is>
          <t>BG001, BG002, BG005, BG006, BG009, BS001, BS004</t>
        </is>
      </c>
      <c r="H74" t="inlineStr">
        <is>
          <t>8 Juli 2010</t>
        </is>
      </c>
      <c r="I74" s="2" t="n">
        <v>46384</v>
      </c>
      <c r="J74" t="inlineStr">
        <is>
          <t>Disetujui</t>
        </is>
      </c>
      <c r="K74" t="n">
        <v>87</v>
      </c>
      <c r="L74" t="inlineStr">
        <is>
          <t>28 Desember 2026</t>
        </is>
      </c>
      <c r="M74" t="inlineStr">
        <is>
          <t>Konstruksi Bangunan Sipil Jalan, Konstruksi Gedung Hunian, Konstruksi Gedung Kesehatan, Konstruksi Gedung Lainnya, Konstruksi Gedung Pendidikan, Konstruksi Gedung Perkantoran, Konstruksi Jaringan Irigasi dan Drainase</t>
        </is>
      </c>
      <c r="N74" t="inlineStr">
        <is>
          <t>K</t>
        </is>
      </c>
      <c r="O74" t="inlineStr">
        <is>
          <t>20231227</t>
        </is>
      </c>
      <c r="P74" t="inlineStr">
        <is>
          <t>Kalimantan Timur</t>
        </is>
      </c>
      <c r="Q74" t="inlineStr"/>
    </row>
    <row r="75">
      <c r="A75" t="inlineStr">
        <is>
          <t>MITRA UTAMA ABADI</t>
        </is>
      </c>
      <c r="B75" t="inlineStr">
        <is>
          <t>Kota Surabaya</t>
        </is>
      </c>
      <c r="C75" t="inlineStr">
        <is>
          <t>085851118581</t>
        </is>
      </c>
      <c r="D75" t="inlineStr">
        <is>
          <t>miuta.bozz@gmail.com</t>
        </is>
      </c>
      <c r="E75" t="inlineStr">
        <is>
          <t>https://lpjk.pu.go.id/search-badan-usaha-detail/V05yK09kSlNJT0N3cWk0SmdZZE9mUT09</t>
        </is>
      </c>
      <c r="F75" t="n">
        <v>1</v>
      </c>
      <c r="G75" t="inlineStr">
        <is>
          <t>BS017</t>
        </is>
      </c>
      <c r="H75" t="inlineStr">
        <is>
          <t>25 Mei 2017</t>
        </is>
      </c>
      <c r="I75" s="2" t="n">
        <v>46384</v>
      </c>
      <c r="J75" t="inlineStr">
        <is>
          <t>Disetujui</t>
        </is>
      </c>
      <c r="K75" t="n">
        <v>87</v>
      </c>
      <c r="L75" t="inlineStr">
        <is>
          <t>28 Desember 2026</t>
        </is>
      </c>
      <c r="M75" t="inlineStr">
        <is>
          <t>Konstruksi Bangunan Sipil Lainnya Ytdl</t>
        </is>
      </c>
      <c r="N75" t="inlineStr">
        <is>
          <t>K</t>
        </is>
      </c>
      <c r="O75" t="inlineStr">
        <is>
          <t>20231228</t>
        </is>
      </c>
      <c r="P75" t="inlineStr">
        <is>
          <t>Jawa Timur</t>
        </is>
      </c>
      <c r="Q75" t="inlineStr"/>
    </row>
    <row r="76">
      <c r="A76" t="inlineStr">
        <is>
          <t>MIZINDO MITRA KARYA</t>
        </is>
      </c>
      <c r="B76" t="inlineStr">
        <is>
          <t>Kab. Karawang</t>
        </is>
      </c>
      <c r="C76" t="inlineStr">
        <is>
          <t>08111226722</t>
        </is>
      </c>
      <c r="D76" t="inlineStr">
        <is>
          <t>pt_mizindo2@yahoo.com</t>
        </is>
      </c>
      <c r="E76" t="inlineStr">
        <is>
          <t>https://lpjk.pu.go.id/search-badan-usaha-detail/T3pMeEtpaThEc0lLNi9HdWQ4RndaZz09</t>
        </is>
      </c>
      <c r="F76" t="n">
        <v>1</v>
      </c>
      <c r="G76" t="inlineStr">
        <is>
          <t>BS010</t>
        </is>
      </c>
      <c r="H76" t="inlineStr">
        <is>
          <t>7 Agustus 1997</t>
        </is>
      </c>
      <c r="I76" s="2" t="n">
        <v>46384</v>
      </c>
      <c r="J76" t="inlineStr">
        <is>
          <t>Disetujui</t>
        </is>
      </c>
      <c r="K76" t="n">
        <v>87</v>
      </c>
      <c r="L76" t="inlineStr">
        <is>
          <t>28 Desember 2026</t>
        </is>
      </c>
      <c r="M76" t="inlineStr">
        <is>
          <t>Konstruksi Bangunan Prasarana Sumber Daya Air</t>
        </is>
      </c>
      <c r="N76" t="inlineStr">
        <is>
          <t>M</t>
        </is>
      </c>
      <c r="O76" t="inlineStr">
        <is>
          <t>20231113</t>
        </is>
      </c>
      <c r="P76" t="inlineStr">
        <is>
          <t>Jawa Barat</t>
        </is>
      </c>
      <c r="Q76" t="inlineStr"/>
    </row>
    <row r="77">
      <c r="A77" t="inlineStr">
        <is>
          <t>MUKTI INDO ELEKTRIK</t>
        </is>
      </c>
      <c r="B77" t="inlineStr">
        <is>
          <t>Kota Adm. Jakarta Utara</t>
        </is>
      </c>
      <c r="C77" t="inlineStr">
        <is>
          <t>02122123857</t>
        </is>
      </c>
      <c r="D77" t="inlineStr">
        <is>
          <t>ehimeindo.pt@gmail.com</t>
        </is>
      </c>
      <c r="E77" t="inlineStr">
        <is>
          <t>https://lpjk.pu.go.id/search-badan-usaha-detail/c3l4YjIvZnljbHczaEJ1Z0N4bHNVUT09</t>
        </is>
      </c>
      <c r="F77" t="n">
        <v>1</v>
      </c>
      <c r="G77" t="inlineStr">
        <is>
          <t>BG004</t>
        </is>
      </c>
      <c r="H77" t="inlineStr">
        <is>
          <t>24 November 2023</t>
        </is>
      </c>
      <c r="I77" s="2" t="n">
        <v>46384</v>
      </c>
      <c r="J77" t="inlineStr">
        <is>
          <t>Disetujui</t>
        </is>
      </c>
      <c r="K77" t="n">
        <v>87</v>
      </c>
      <c r="L77" t="inlineStr">
        <is>
          <t>28 Desember 2026</t>
        </is>
      </c>
      <c r="M77" t="inlineStr">
        <is>
          <t>Konstruksi Gedung Perbelanjaan</t>
        </is>
      </c>
      <c r="N77" t="inlineStr">
        <is>
          <t>K</t>
        </is>
      </c>
      <c r="O77" t="inlineStr">
        <is>
          <t>20231227</t>
        </is>
      </c>
      <c r="P77" t="inlineStr">
        <is>
          <t>DKI Jakarta</t>
        </is>
      </c>
      <c r="Q77" t="inlineStr"/>
    </row>
    <row r="78">
      <c r="A78" t="inlineStr">
        <is>
          <t>MULIA DELAPAN PERDANA</t>
        </is>
      </c>
      <c r="B78" t="inlineStr">
        <is>
          <t>Kota Adm. Jakarta Barat</t>
        </is>
      </c>
      <c r="C78" t="inlineStr">
        <is>
          <t>082211181888</t>
        </is>
      </c>
      <c r="D78" t="inlineStr">
        <is>
          <t>8uild.id@gmail.com</t>
        </is>
      </c>
      <c r="E78" t="inlineStr">
        <is>
          <t>https://lpjk.pu.go.id/search-badan-usaha-detail/YzdhNUxEY1JFeWZBS3Y4bEhzTjh6UT09</t>
        </is>
      </c>
      <c r="F78" t="n">
        <v>2</v>
      </c>
      <c r="G78" t="inlineStr">
        <is>
          <t>BG001, BG003</t>
        </is>
      </c>
      <c r="H78" t="inlineStr">
        <is>
          <t>9 September 2022</t>
        </is>
      </c>
      <c r="I78" s="2" t="n">
        <v>46384</v>
      </c>
      <c r="J78" t="inlineStr">
        <is>
          <t>Disetujui</t>
        </is>
      </c>
      <c r="K78" t="n">
        <v>87</v>
      </c>
      <c r="L78" t="inlineStr">
        <is>
          <t>28 Desember 2026</t>
        </is>
      </c>
      <c r="M78" t="inlineStr">
        <is>
          <t>Konstruksi Gedung Hunian, Konstruksi Gedung Industri</t>
        </is>
      </c>
      <c r="N78" t="inlineStr">
        <is>
          <t>K</t>
        </is>
      </c>
      <c r="O78" t="inlineStr">
        <is>
          <t>20230530, 20231228</t>
        </is>
      </c>
      <c r="P78" t="inlineStr">
        <is>
          <t>DKI Jakarta</t>
        </is>
      </c>
      <c r="Q78" t="inlineStr"/>
    </row>
    <row r="79">
      <c r="A79" t="inlineStr">
        <is>
          <t>MULYA INDAH</t>
        </is>
      </c>
      <c r="B79" t="inlineStr">
        <is>
          <t>Kab. Lampung Timur</t>
        </is>
      </c>
      <c r="C79" t="inlineStr">
        <is>
          <t>085279758675</t>
        </is>
      </c>
      <c r="D79" t="inlineStr">
        <is>
          <t>mulyaindahmetro@gmail.com</t>
        </is>
      </c>
      <c r="E79" t="inlineStr">
        <is>
          <t>https://lpjk.pu.go.id/search-badan-usaha-detail/dU1lTG9mNzBHZm9QWnB0c2psbEtFUT09</t>
        </is>
      </c>
      <c r="F79" t="n">
        <v>1</v>
      </c>
      <c r="G79" t="inlineStr">
        <is>
          <t>BG005</t>
        </is>
      </c>
      <c r="H79" t="inlineStr">
        <is>
          <t>1 Agustus 1997</t>
        </is>
      </c>
      <c r="I79" s="2" t="n">
        <v>46384</v>
      </c>
      <c r="J79" t="inlineStr">
        <is>
          <t>Disetujui</t>
        </is>
      </c>
      <c r="K79" t="n">
        <v>87</v>
      </c>
      <c r="L79" t="inlineStr">
        <is>
          <t>28 Desember 2026</t>
        </is>
      </c>
      <c r="M79" t="inlineStr">
        <is>
          <t>Konstruksi Gedung Kesehatan</t>
        </is>
      </c>
      <c r="N79" t="inlineStr">
        <is>
          <t>K</t>
        </is>
      </c>
      <c r="O79" t="inlineStr">
        <is>
          <t>20231229</t>
        </is>
      </c>
      <c r="P79" t="inlineStr">
        <is>
          <t>Lampung</t>
        </is>
      </c>
      <c r="Q79" t="inlineStr"/>
    </row>
    <row r="80">
      <c r="A80" t="inlineStr">
        <is>
          <t>NIAGA GRUP KONSTRUKSI</t>
        </is>
      </c>
      <c r="B80" t="inlineStr">
        <is>
          <t>Kota Pekanbaru</t>
        </is>
      </c>
      <c r="C80" t="inlineStr">
        <is>
          <t>081268349933</t>
        </is>
      </c>
      <c r="D80" t="inlineStr">
        <is>
          <t>ngkkonst@gmail.com</t>
        </is>
      </c>
      <c r="E80" t="inlineStr">
        <is>
          <t>https://lpjk.pu.go.id/search-badan-usaha-detail/a3RjMGhwRWtkbFZYQWlXNXZVTmV6QT09</t>
        </is>
      </c>
      <c r="F80" t="n">
        <v>2</v>
      </c>
      <c r="G80" t="inlineStr">
        <is>
          <t>BG005, BG006</t>
        </is>
      </c>
      <c r="H80" t="inlineStr">
        <is>
          <t>30 November 1999</t>
        </is>
      </c>
      <c r="I80" s="2" t="n">
        <v>46384</v>
      </c>
      <c r="J80" t="inlineStr">
        <is>
          <t>Disetujui</t>
        </is>
      </c>
      <c r="K80" t="n">
        <v>87</v>
      </c>
      <c r="L80" t="inlineStr">
        <is>
          <t>28 Desember 2026</t>
        </is>
      </c>
      <c r="M80" t="inlineStr">
        <is>
          <t>Konstruksi Gedung Kesehatan, Konstruksi Gedung Pendidikan</t>
        </is>
      </c>
      <c r="N80" t="inlineStr">
        <is>
          <t>K</t>
        </is>
      </c>
      <c r="O80" t="inlineStr">
        <is>
          <t>20231222</t>
        </is>
      </c>
      <c r="P80" t="inlineStr">
        <is>
          <t>Riau</t>
        </is>
      </c>
      <c r="Q80" t="inlineStr"/>
    </row>
    <row r="81">
      <c r="A81" t="inlineStr">
        <is>
          <t>PAGODA RADIANT CARPENTRY</t>
        </is>
      </c>
      <c r="B81" t="inlineStr">
        <is>
          <t>Kota Batam</t>
        </is>
      </c>
      <c r="C81" t="inlineStr">
        <is>
          <t>085767929111</t>
        </is>
      </c>
      <c r="D81" t="inlineStr">
        <is>
          <t>prc.btm@gmail.com</t>
        </is>
      </c>
      <c r="E81" t="inlineStr">
        <is>
          <t>https://lpjk.pu.go.id/search-badan-usaha-detail/UkV2L0lvNkE3SUh1M2dYUjNCd3VYUT09</t>
        </is>
      </c>
      <c r="F81" t="n">
        <v>6</v>
      </c>
      <c r="G81" t="inlineStr">
        <is>
          <t>BG001, BG003, BG004</t>
        </is>
      </c>
      <c r="H81" t="inlineStr">
        <is>
          <t>5 Juli 2006</t>
        </is>
      </c>
      <c r="I81" s="2" t="n">
        <v>46384</v>
      </c>
      <c r="J81" t="inlineStr">
        <is>
          <t>Disetujui</t>
        </is>
      </c>
      <c r="K81" t="n">
        <v>87</v>
      </c>
      <c r="L81" t="inlineStr">
        <is>
          <t>28 Desember 2026</t>
        </is>
      </c>
      <c r="M81" t="inlineStr">
        <is>
          <t>Konstruksi Gedung Hunian, Konstruksi Gedung Industri, Konstruksi Gedung Perbelanjaan</t>
        </is>
      </c>
      <c r="N81" t="inlineStr">
        <is>
          <t>K</t>
        </is>
      </c>
      <c r="O81" t="inlineStr">
        <is>
          <t>20231228</t>
        </is>
      </c>
      <c r="P81" t="inlineStr">
        <is>
          <t>Kepulauan Riau</t>
        </is>
      </c>
      <c r="Q81" t="inlineStr"/>
    </row>
    <row r="82">
      <c r="A82" t="inlineStr">
        <is>
          <t>PALUMBONSARI EKA PRATAMA</t>
        </is>
      </c>
      <c r="B82" t="inlineStr">
        <is>
          <t>Kota Bandung</t>
        </is>
      </c>
      <c r="C82" t="inlineStr">
        <is>
          <t>0222534297</t>
        </is>
      </c>
      <c r="D82" t="inlineStr">
        <is>
          <t>palumbonsariekapratama@gmail.com</t>
        </is>
      </c>
      <c r="E82" t="inlineStr">
        <is>
          <t>https://lpjk.pu.go.id/search-badan-usaha-detail/RWVVdGcwQW8vSklCMDdibGhwekpEdz09</t>
        </is>
      </c>
      <c r="F82" t="n">
        <v>2</v>
      </c>
      <c r="G82" t="inlineStr">
        <is>
          <t>IN006</t>
        </is>
      </c>
      <c r="H82" t="inlineStr">
        <is>
          <t>12 Maret 2007</t>
        </is>
      </c>
      <c r="I82" s="2" t="n">
        <v>46384</v>
      </c>
      <c r="J82" t="inlineStr">
        <is>
          <t>Pembekuan</t>
        </is>
      </c>
      <c r="K82" t="n">
        <v>87</v>
      </c>
      <c r="L82" t="inlineStr">
        <is>
          <t>28 Desember 2026</t>
        </is>
      </c>
      <c r="M82" t="inlineStr">
        <is>
          <t>Instalasi Elektronika</t>
        </is>
      </c>
      <c r="N82" t="inlineStr">
        <is>
          <t>Spesialis</t>
        </is>
      </c>
      <c r="O82" t="inlineStr">
        <is>
          <t>20231229</t>
        </is>
      </c>
      <c r="P82" t="inlineStr">
        <is>
          <t>Jawa Barat</t>
        </is>
      </c>
      <c r="Q82" t="inlineStr"/>
    </row>
    <row r="83">
      <c r="A83" t="inlineStr">
        <is>
          <t>PANCARAN TEKNIK UTAMA</t>
        </is>
      </c>
      <c r="B83" t="inlineStr">
        <is>
          <t>Kab. Sidoarjo</t>
        </is>
      </c>
      <c r="C83" t="inlineStr">
        <is>
          <t>085728403090</t>
        </is>
      </c>
      <c r="D83" t="inlineStr">
        <is>
          <t>pancarantu@gmail.com</t>
        </is>
      </c>
      <c r="E83" t="inlineStr">
        <is>
          <t>https://lpjk.pu.go.id/search-badan-usaha-detail/WGxmREUrMmwrR0NncU5LcG1YL1g4QT09</t>
        </is>
      </c>
      <c r="F83" t="n">
        <v>3</v>
      </c>
      <c r="G83" t="inlineStr">
        <is>
          <t>BG009</t>
        </is>
      </c>
      <c r="H83" t="inlineStr">
        <is>
          <t>15 Maret 2021</t>
        </is>
      </c>
      <c r="I83" s="2" t="n">
        <v>46384</v>
      </c>
      <c r="J83" t="inlineStr">
        <is>
          <t>Disetujui</t>
        </is>
      </c>
      <c r="K83" t="n">
        <v>87</v>
      </c>
      <c r="L83" t="inlineStr">
        <is>
          <t>28 Desember 2026</t>
        </is>
      </c>
      <c r="M83" t="inlineStr">
        <is>
          <t>Konstruksi Gedung Lainnya</t>
        </is>
      </c>
      <c r="N83" t="inlineStr">
        <is>
          <t>K</t>
        </is>
      </c>
      <c r="O83" t="inlineStr">
        <is>
          <t>20231228</t>
        </is>
      </c>
      <c r="P83" t="inlineStr">
        <is>
          <t>Jawa Timur</t>
        </is>
      </c>
      <c r="Q83" t="inlineStr"/>
    </row>
    <row r="84">
      <c r="A84" t="inlineStr">
        <is>
          <t>PERDANA JAYA</t>
        </is>
      </c>
      <c r="B84" t="inlineStr">
        <is>
          <t>Kab. Cilacap</t>
        </is>
      </c>
      <c r="C84" t="inlineStr">
        <is>
          <t>081542926909</t>
        </is>
      </c>
      <c r="D84" t="inlineStr">
        <is>
          <t>cvperdanajaya123@gmail.com</t>
        </is>
      </c>
      <c r="E84" t="inlineStr">
        <is>
          <t>https://lpjk.pu.go.id/search-badan-usaha-detail/OG5Zb1ZRbGZGRFZBREdVeGNZSzBwdz09</t>
        </is>
      </c>
      <c r="F84" t="n">
        <v>1</v>
      </c>
      <c r="G84" t="inlineStr">
        <is>
          <t>BS002</t>
        </is>
      </c>
      <c r="H84" t="inlineStr">
        <is>
          <t>13 Desember 1989</t>
        </is>
      </c>
      <c r="I84" s="2" t="n">
        <v>46384</v>
      </c>
      <c r="J84" t="inlineStr">
        <is>
          <t>Disetujui</t>
        </is>
      </c>
      <c r="K84" t="n">
        <v>87</v>
      </c>
      <c r="L84" t="inlineStr">
        <is>
          <t>28 Desember 2026</t>
        </is>
      </c>
      <c r="M84" t="inlineStr">
        <is>
          <t>Bangunan Sipil Jembatan, Jalan Layang, Fly Over, dan Underpass</t>
        </is>
      </c>
      <c r="N84" t="inlineStr">
        <is>
          <t>K</t>
        </is>
      </c>
      <c r="O84" t="inlineStr">
        <is>
          <t>20231221</t>
        </is>
      </c>
      <c r="P84" t="inlineStr">
        <is>
          <t>Jawa Tengah</t>
        </is>
      </c>
      <c r="Q84" t="inlineStr"/>
    </row>
    <row r="85">
      <c r="A85" t="inlineStr">
        <is>
          <t>PRIMA KARYA MANDIRI</t>
        </is>
      </c>
      <c r="B85" t="inlineStr">
        <is>
          <t>Kota Bontang</t>
        </is>
      </c>
      <c r="C85" t="inlineStr">
        <is>
          <t>085246602240</t>
        </is>
      </c>
      <c r="D85" t="inlineStr">
        <is>
          <t>cv.pkmbontang@yahoo.com</t>
        </is>
      </c>
      <c r="E85" t="inlineStr">
        <is>
          <t>https://lpjk.pu.go.id/search-badan-usaha-detail/SFN1RTE1TjFLNEh0RmRPVEVIRFh0Zz09</t>
        </is>
      </c>
      <c r="F85" t="n">
        <v>1</v>
      </c>
      <c r="G85" t="inlineStr">
        <is>
          <t>BG009</t>
        </is>
      </c>
      <c r="H85" t="inlineStr">
        <is>
          <t>3 Agustus 2012</t>
        </is>
      </c>
      <c r="I85" s="2" t="n">
        <v>46384</v>
      </c>
      <c r="J85" t="inlineStr">
        <is>
          <t>Disetujui</t>
        </is>
      </c>
      <c r="K85" t="n">
        <v>87</v>
      </c>
      <c r="L85" t="inlineStr">
        <is>
          <t>28 Desember 2026</t>
        </is>
      </c>
      <c r="M85" t="inlineStr">
        <is>
          <t>Konstruksi Gedung Lainnya</t>
        </is>
      </c>
      <c r="N85" t="inlineStr">
        <is>
          <t>K</t>
        </is>
      </c>
      <c r="O85" t="inlineStr">
        <is>
          <t>20231229</t>
        </is>
      </c>
      <c r="P85" t="inlineStr">
        <is>
          <t>Kalimantan Timur</t>
        </is>
      </c>
      <c r="Q85" t="inlineStr"/>
    </row>
    <row r="86">
      <c r="A86" t="inlineStr">
        <is>
          <t>PURWANDARU</t>
        </is>
      </c>
      <c r="B86" t="inlineStr">
        <is>
          <t>Kab. Pekalongan</t>
        </is>
      </c>
      <c r="C86" t="inlineStr">
        <is>
          <t>081329977738</t>
        </is>
      </c>
      <c r="D86" t="inlineStr">
        <is>
          <t>cvpurwandaru@gmail.com</t>
        </is>
      </c>
      <c r="E86" t="inlineStr">
        <is>
          <t>https://lpjk.pu.go.id/search-badan-usaha-detail/T3R2V2xUSmpsQU5wdU5jc3ZiOXF2QT09</t>
        </is>
      </c>
      <c r="F86" t="n">
        <v>1</v>
      </c>
      <c r="G86" t="inlineStr">
        <is>
          <t>BS001</t>
        </is>
      </c>
      <c r="H86" t="inlineStr">
        <is>
          <t>19 Juni 2023</t>
        </is>
      </c>
      <c r="I86" s="2" t="n">
        <v>46384</v>
      </c>
      <c r="J86" t="inlineStr">
        <is>
          <t>Disetujui</t>
        </is>
      </c>
      <c r="K86" t="n">
        <v>87</v>
      </c>
      <c r="L86" t="inlineStr">
        <is>
          <t>28 Desember 2026</t>
        </is>
      </c>
      <c r="M86" t="inlineStr">
        <is>
          <t>Konstruksi Bangunan Sipil Jalan</t>
        </is>
      </c>
      <c r="N86" t="inlineStr">
        <is>
          <t>K</t>
        </is>
      </c>
      <c r="O86" t="inlineStr">
        <is>
          <t>20231212</t>
        </is>
      </c>
      <c r="P86" t="inlineStr">
        <is>
          <t>Jawa Tengah</t>
        </is>
      </c>
      <c r="Q86" t="inlineStr"/>
    </row>
    <row r="87">
      <c r="A87" t="inlineStr">
        <is>
          <t>PUTRI BUNGA ASSAMAWI</t>
        </is>
      </c>
      <c r="B87" t="inlineStr">
        <is>
          <t>Kab. Penajam Paser Utara</t>
        </is>
      </c>
      <c r="C87" t="inlineStr">
        <is>
          <t>0811549869</t>
        </is>
      </c>
      <c r="D87" t="inlineStr">
        <is>
          <t>cv.putribungaassamawi@gmail.com</t>
        </is>
      </c>
      <c r="E87" t="inlineStr">
        <is>
          <t>https://lpjk.pu.go.id/search-badan-usaha-detail/eHRUVzcwME1uVXY5SURIQWd3NS9OZz09</t>
        </is>
      </c>
      <c r="F87" t="n">
        <v>2</v>
      </c>
      <c r="G87" t="inlineStr">
        <is>
          <t>BS001, BS004</t>
        </is>
      </c>
      <c r="H87" t="inlineStr">
        <is>
          <t>20 Oktober 2020</t>
        </is>
      </c>
      <c r="I87" s="2" t="n">
        <v>46384</v>
      </c>
      <c r="J87" t="inlineStr">
        <is>
          <t>Disetujui</t>
        </is>
      </c>
      <c r="K87" t="n">
        <v>87</v>
      </c>
      <c r="L87" t="inlineStr">
        <is>
          <t>28 Desember 2026</t>
        </is>
      </c>
      <c r="M87" t="inlineStr">
        <is>
          <t>Konstruksi Bangunan Sipil Jalan, Konstruksi Jaringan Irigasi dan Drainase</t>
        </is>
      </c>
      <c r="N87" t="inlineStr">
        <is>
          <t>K</t>
        </is>
      </c>
      <c r="O87" t="inlineStr">
        <is>
          <t>20231223</t>
        </is>
      </c>
      <c r="P87" t="inlineStr">
        <is>
          <t>Kalimantan Timur</t>
        </is>
      </c>
      <c r="Q87" t="inlineStr"/>
    </row>
    <row r="88">
      <c r="A88" t="inlineStr">
        <is>
          <t>RAIHAN SUKSES SEJAHTERA</t>
        </is>
      </c>
      <c r="B88" t="inlineStr">
        <is>
          <t>Kota Bandung</t>
        </is>
      </c>
      <c r="C88" t="inlineStr">
        <is>
          <t>081802202001</t>
        </is>
      </c>
      <c r="D88" t="inlineStr">
        <is>
          <t>cv.raihansuksessejahtera@gmail.com</t>
        </is>
      </c>
      <c r="E88" t="inlineStr">
        <is>
          <t>https://lpjk.pu.go.id/search-badan-usaha-detail/ak82Mk5qTHhnSWd4WjNRZ2ZnQk5TalNoeWhObTRsVGdIUWcwUFBpWUVsTT0</t>
        </is>
      </c>
      <c r="F88" t="n">
        <v>2</v>
      </c>
      <c r="G88" t="inlineStr">
        <is>
          <t>BG001</t>
        </is>
      </c>
      <c r="H88" t="inlineStr">
        <is>
          <t>17 Oktober 2025</t>
        </is>
      </c>
      <c r="I88" s="2" t="n">
        <v>46384</v>
      </c>
      <c r="J88" t="inlineStr">
        <is>
          <t>Disetujui</t>
        </is>
      </c>
      <c r="K88" t="n">
        <v>87</v>
      </c>
      <c r="L88" t="inlineStr">
        <is>
          <t>28 Desember 2026</t>
        </is>
      </c>
      <c r="M88" t="inlineStr">
        <is>
          <t>Konstruksi Gedung Hunian</t>
        </is>
      </c>
      <c r="N88" t="inlineStr">
        <is>
          <t>K</t>
        </is>
      </c>
      <c r="O88" t="inlineStr">
        <is>
          <t>20231229</t>
        </is>
      </c>
      <c r="P88" t="inlineStr">
        <is>
          <t>Jawa Barat</t>
        </is>
      </c>
      <c r="Q88" t="inlineStr"/>
    </row>
    <row r="89">
      <c r="A89" t="inlineStr">
        <is>
          <t>RAJA MUSI PERKASA</t>
        </is>
      </c>
      <c r="B89" t="inlineStr">
        <is>
          <t>Kota Palembang</t>
        </is>
      </c>
      <c r="C89" t="inlineStr">
        <is>
          <t>081278119394</t>
        </is>
      </c>
      <c r="D89" t="inlineStr">
        <is>
          <t>pt.rajamusiperkasa@gmail.com</t>
        </is>
      </c>
      <c r="E89" t="inlineStr">
        <is>
          <t>https://lpjk.pu.go.id/search-badan-usaha-detail/QWE2SmZDRHZ1UHNITkdkSDVIY3NUZz09</t>
        </is>
      </c>
      <c r="F89" t="n">
        <v>1</v>
      </c>
      <c r="G89" t="inlineStr">
        <is>
          <t>IN001</t>
        </is>
      </c>
      <c r="H89" t="inlineStr">
        <is>
          <t>20 Januari 2022</t>
        </is>
      </c>
      <c r="I89" s="2" t="n">
        <v>46384</v>
      </c>
      <c r="J89" t="inlineStr">
        <is>
          <t>Pembekuan</t>
        </is>
      </c>
      <c r="K89" t="n">
        <v>87</v>
      </c>
      <c r="L89" t="inlineStr">
        <is>
          <t>28 Desember 2026</t>
        </is>
      </c>
      <c r="M89" t="inlineStr">
        <is>
          <t>Instalasi Mekanikal</t>
        </is>
      </c>
      <c r="N89" t="inlineStr">
        <is>
          <t>Spesialis</t>
        </is>
      </c>
      <c r="O89" t="inlineStr">
        <is>
          <t>20231127</t>
        </is>
      </c>
      <c r="P89" t="inlineStr">
        <is>
          <t>Sumatera Selatan</t>
        </is>
      </c>
      <c r="Q89" t="inlineStr"/>
    </row>
    <row r="90">
      <c r="A90" t="inlineStr">
        <is>
          <t>REKA ALAMINDO UTAMA</t>
        </is>
      </c>
      <c r="B90" t="inlineStr">
        <is>
          <t>Kota Cilegon</t>
        </is>
      </c>
      <c r="C90" t="inlineStr">
        <is>
          <t>083138803213</t>
        </is>
      </c>
      <c r="D90" t="inlineStr">
        <is>
          <t>lsbuid8@gmail.com</t>
        </is>
      </c>
      <c r="E90" t="inlineStr">
        <is>
          <t>https://lpjk.pu.go.id/search-badan-usaha-detail/MzJmWGpKRUM0KzFFajFZWDhqS2V4UT09</t>
        </is>
      </c>
      <c r="F90" t="n">
        <v>1</v>
      </c>
      <c r="G90" t="inlineStr">
        <is>
          <t>BS001</t>
        </is>
      </c>
      <c r="H90" t="inlineStr">
        <is>
          <t>24 April 2013</t>
        </is>
      </c>
      <c r="I90" s="2" t="n">
        <v>46384</v>
      </c>
      <c r="J90" t="inlineStr">
        <is>
          <t>Pencabutan</t>
        </is>
      </c>
      <c r="K90" t="n">
        <v>87</v>
      </c>
      <c r="L90" t="inlineStr">
        <is>
          <t>28 Desember 2026</t>
        </is>
      </c>
      <c r="M90" t="inlineStr">
        <is>
          <t>Konstruksi Bangunan Sipil Jalan</t>
        </is>
      </c>
      <c r="N90" t="inlineStr">
        <is>
          <t>K</t>
        </is>
      </c>
      <c r="O90" t="inlineStr">
        <is>
          <t>20231214</t>
        </is>
      </c>
      <c r="P90" t="inlineStr">
        <is>
          <t>Banten</t>
        </is>
      </c>
      <c r="Q90" t="inlineStr"/>
    </row>
    <row r="91">
      <c r="A91" t="inlineStr">
        <is>
          <t>REKAYASA GEOTEKNIK INDONESIA</t>
        </is>
      </c>
      <c r="B91" t="inlineStr">
        <is>
          <t>Kota Adm. Jakarta Utara</t>
        </is>
      </c>
      <c r="C91" t="inlineStr">
        <is>
          <t>0216402212</t>
        </is>
      </c>
      <c r="D91" t="inlineStr">
        <is>
          <t>rekayasa.geoteknik.indonesia@gmail.com</t>
        </is>
      </c>
      <c r="E91" t="inlineStr">
        <is>
          <t>https://lpjk.pu.go.id/search-badan-usaha-detail/TDZnOGxYaURvelNlSG0rRFUwSWpuZz09</t>
        </is>
      </c>
      <c r="F91" t="n">
        <v>2</v>
      </c>
      <c r="G91" t="inlineStr">
        <is>
          <t>AT001</t>
        </is>
      </c>
      <c r="H91" t="inlineStr">
        <is>
          <t>6 Maret 2014</t>
        </is>
      </c>
      <c r="I91" s="2" t="n">
        <v>46384</v>
      </c>
      <c r="J91" t="inlineStr">
        <is>
          <t>Disetujui</t>
        </is>
      </c>
      <c r="K91" t="n">
        <v>87</v>
      </c>
      <c r="L91" t="inlineStr">
        <is>
          <t>28 Desember 2026</t>
        </is>
      </c>
      <c r="M91" t="inlineStr">
        <is>
          <t>Jasa Pengujian dan Analisis Teknis Geologi, Geofisika dan Geokimia</t>
        </is>
      </c>
      <c r="N91" t="inlineStr">
        <is>
          <t>Spesialis</t>
        </is>
      </c>
      <c r="O91" t="inlineStr">
        <is>
          <t>20231215</t>
        </is>
      </c>
      <c r="P91" t="inlineStr">
        <is>
          <t>DKI Jakarta</t>
        </is>
      </c>
      <c r="Q91" t="inlineStr"/>
    </row>
    <row r="92">
      <c r="A92" t="inlineStr">
        <is>
          <t>REKAYASA UTAMA</t>
        </is>
      </c>
      <c r="B92" t="inlineStr">
        <is>
          <t>Kab. Tabanan</t>
        </is>
      </c>
      <c r="C92" t="inlineStr">
        <is>
          <t>0361814164</t>
        </is>
      </c>
      <c r="D92" t="inlineStr">
        <is>
          <t>rekayasautamautama@yahoo.co.id</t>
        </is>
      </c>
      <c r="E92" t="inlineStr">
        <is>
          <t>https://lpjk.pu.go.id/search-badan-usaha-detail/ci9sQWlnTjBHUGo1aGI0bFN5Z0VOZz09</t>
        </is>
      </c>
      <c r="F92" t="n">
        <v>2</v>
      </c>
      <c r="G92" t="inlineStr">
        <is>
          <t>BG004</t>
        </is>
      </c>
      <c r="H92" t="inlineStr">
        <is>
          <t>23 Juni 1994</t>
        </is>
      </c>
      <c r="I92" s="2" t="n">
        <v>46384</v>
      </c>
      <c r="J92" t="inlineStr">
        <is>
          <t>Disetujui</t>
        </is>
      </c>
      <c r="K92" t="n">
        <v>87</v>
      </c>
      <c r="L92" t="inlineStr">
        <is>
          <t>28 Desember 2026</t>
        </is>
      </c>
      <c r="M92" t="inlineStr">
        <is>
          <t>Konstruksi Gedung Perbelanjaan</t>
        </is>
      </c>
      <c r="N92" t="inlineStr">
        <is>
          <t>K</t>
        </is>
      </c>
      <c r="O92" t="inlineStr">
        <is>
          <t>20231226</t>
        </is>
      </c>
      <c r="P92" t="inlineStr">
        <is>
          <t>Bali</t>
        </is>
      </c>
      <c r="Q92" t="inlineStr"/>
    </row>
    <row r="93">
      <c r="A93" t="inlineStr">
        <is>
          <t>RESWARA PRAPTAMA</t>
        </is>
      </c>
      <c r="B93" t="inlineStr">
        <is>
          <t>Kota Semarang</t>
        </is>
      </c>
      <c r="C93" t="inlineStr">
        <is>
          <t>085225704613</t>
        </is>
      </c>
      <c r="D93" t="inlineStr">
        <is>
          <t>reswarapraptama2019@gmail.com</t>
        </is>
      </c>
      <c r="E93" t="inlineStr">
        <is>
          <t>https://lpjk.pu.go.id/search-badan-usaha-detail/OWZiUkduY0FuZkpxRWJtNGQwOUQxUT09</t>
        </is>
      </c>
      <c r="F93" t="n">
        <v>1</v>
      </c>
      <c r="G93" t="inlineStr">
        <is>
          <t>RK001</t>
        </is>
      </c>
      <c r="H93" t="inlineStr">
        <is>
          <t>20 Februari 2019</t>
        </is>
      </c>
      <c r="I93" s="2" t="n">
        <v>46384</v>
      </c>
      <c r="J93" t="inlineStr">
        <is>
          <t>Pencabutan</t>
        </is>
      </c>
      <c r="K93" t="n">
        <v>87</v>
      </c>
      <c r="L93" t="inlineStr">
        <is>
          <t>28 Desember 2026</t>
        </is>
      </c>
      <c r="M93" t="inlineStr">
        <is>
          <t>Jasa Rekayasa Konstruksi Bangunan Gedung Hunian dan Non Hunian</t>
        </is>
      </c>
      <c r="N93" t="inlineStr">
        <is>
          <t>K</t>
        </is>
      </c>
      <c r="O93" t="inlineStr">
        <is>
          <t>20231219</t>
        </is>
      </c>
      <c r="P93" t="inlineStr">
        <is>
          <t>Jawa Tengah</t>
        </is>
      </c>
      <c r="Q93" t="inlineStr"/>
    </row>
    <row r="94">
      <c r="A94" t="inlineStr">
        <is>
          <t>RIAN PRATAMA</t>
        </is>
      </c>
      <c r="B94" t="inlineStr">
        <is>
          <t>Kota Solok</t>
        </is>
      </c>
      <c r="C94" t="inlineStr">
        <is>
          <t>081374804921</t>
        </is>
      </c>
      <c r="D94" t="inlineStr">
        <is>
          <t>rianpratamasolok@gmail.com</t>
        </is>
      </c>
      <c r="E94" t="inlineStr">
        <is>
          <t>https://lpjk.pu.go.id/search-badan-usaha-detail/ei9DZ3lPbTB4YVpyK2ZucnRKQWR4Zz09</t>
        </is>
      </c>
      <c r="F94" t="n">
        <v>2</v>
      </c>
      <c r="G94" t="inlineStr">
        <is>
          <t>BG006, BG009</t>
        </is>
      </c>
      <c r="H94" t="inlineStr">
        <is>
          <t>29 Januari 2007</t>
        </is>
      </c>
      <c r="I94" s="2" t="n">
        <v>46384</v>
      </c>
      <c r="J94" t="inlineStr">
        <is>
          <t>Disetujui</t>
        </is>
      </c>
      <c r="K94" t="n">
        <v>87</v>
      </c>
      <c r="L94" t="inlineStr">
        <is>
          <t>28 Desember 2026</t>
        </is>
      </c>
      <c r="M94" t="inlineStr">
        <is>
          <t>Konstruksi Gedung Lainnya, Konstruksi Gedung Pendidikan</t>
        </is>
      </c>
      <c r="N94" t="inlineStr">
        <is>
          <t>K</t>
        </is>
      </c>
      <c r="O94" t="inlineStr">
        <is>
          <t>20231226, 20231227</t>
        </is>
      </c>
      <c r="P94" t="inlineStr">
        <is>
          <t>Sumatera Barat</t>
        </is>
      </c>
      <c r="Q94" t="inlineStr"/>
    </row>
    <row r="95">
      <c r="A95" t="inlineStr">
        <is>
          <t>RISMAWAN ABADI TEKNIK</t>
        </is>
      </c>
      <c r="B95" t="inlineStr">
        <is>
          <t>Kota Sukabumi</t>
        </is>
      </c>
      <c r="C95" t="inlineStr">
        <is>
          <t>082118562552</t>
        </is>
      </c>
      <c r="D95" t="inlineStr">
        <is>
          <t>riswandi78.rr@gmail.com</t>
        </is>
      </c>
      <c r="E95" t="inlineStr">
        <is>
          <t>https://lpjk.pu.go.id/search-badan-usaha-detail/MTdtYi9Tb0tzeFNiS2p5VDdUVUQyZz09</t>
        </is>
      </c>
      <c r="F95" t="n">
        <v>4</v>
      </c>
      <c r="G95" t="inlineStr">
        <is>
          <t>BG009, BS010</t>
        </is>
      </c>
      <c r="H95" t="inlineStr">
        <is>
          <t>3 Maret 2023</t>
        </is>
      </c>
      <c r="I95" s="2" t="n">
        <v>46384</v>
      </c>
      <c r="J95" t="inlineStr">
        <is>
          <t>Disetujui</t>
        </is>
      </c>
      <c r="K95" t="n">
        <v>87</v>
      </c>
      <c r="L95" t="inlineStr">
        <is>
          <t>28 Desember 2026</t>
        </is>
      </c>
      <c r="M95" t="inlineStr">
        <is>
          <t>Konstruksi Bangunan Prasarana Sumber Daya Air, Konstruksi Gedung Lainnya</t>
        </is>
      </c>
      <c r="N95" t="inlineStr">
        <is>
          <t>K</t>
        </is>
      </c>
      <c r="O95" t="inlineStr">
        <is>
          <t>20231205, 20231229</t>
        </is>
      </c>
      <c r="P95" t="inlineStr">
        <is>
          <t>Jawa Barat</t>
        </is>
      </c>
      <c r="Q95" t="inlineStr"/>
    </row>
    <row r="96">
      <c r="A96" t="inlineStr">
        <is>
          <t>RUMAH BAHAGIA BERSAMA</t>
        </is>
      </c>
      <c r="B96" t="inlineStr">
        <is>
          <t>Kab. Kubu Raya</t>
        </is>
      </c>
      <c r="C96" t="inlineStr">
        <is>
          <t>0811870338</t>
        </is>
      </c>
      <c r="D96" t="inlineStr">
        <is>
          <t>rumahbahagiabersama338@gmail.com</t>
        </is>
      </c>
      <c r="E96" t="inlineStr">
        <is>
          <t>https://lpjk.pu.go.id/search-badan-usaha-detail/ei81bmhHVzNDbGJXYlR5V1hRMUlvQT09</t>
        </is>
      </c>
      <c r="F96" t="n">
        <v>1</v>
      </c>
      <c r="G96" t="inlineStr">
        <is>
          <t>BG001</t>
        </is>
      </c>
      <c r="H96" t="inlineStr">
        <is>
          <t>7 Mei 2019</t>
        </is>
      </c>
      <c r="I96" s="2" t="n">
        <v>46384</v>
      </c>
      <c r="J96" t="inlineStr">
        <is>
          <t>Disetujui</t>
        </is>
      </c>
      <c r="K96" t="n">
        <v>87</v>
      </c>
      <c r="L96" t="inlineStr">
        <is>
          <t>28 Desember 2026</t>
        </is>
      </c>
      <c r="M96" t="inlineStr">
        <is>
          <t>Konstruksi Gedung Hunian</t>
        </is>
      </c>
      <c r="N96" t="inlineStr">
        <is>
          <t>K</t>
        </is>
      </c>
      <c r="O96" t="inlineStr">
        <is>
          <t>20231206</t>
        </is>
      </c>
      <c r="P96" t="inlineStr">
        <is>
          <t>Kalimantan Barat</t>
        </is>
      </c>
      <c r="Q96" t="inlineStr"/>
    </row>
    <row r="97">
      <c r="A97" t="inlineStr">
        <is>
          <t>SANG WIDODARI</t>
        </is>
      </c>
      <c r="B97" t="inlineStr">
        <is>
          <t>Kab. Banyuwangi</t>
        </is>
      </c>
      <c r="C97" t="inlineStr">
        <is>
          <t>082237357648</t>
        </is>
      </c>
      <c r="D97" t="inlineStr">
        <is>
          <t>cvsangwidodari@gmail.com</t>
        </is>
      </c>
      <c r="E97" t="inlineStr">
        <is>
          <t>https://lpjk.pu.go.id/search-badan-usaha-detail/bU83TTZEMDE4TlRwR2NqK2ZPQXVBdz09</t>
        </is>
      </c>
      <c r="F97" t="n">
        <v>1</v>
      </c>
      <c r="G97" t="inlineStr">
        <is>
          <t>BS001</t>
        </is>
      </c>
      <c r="H97" t="inlineStr">
        <is>
          <t>22 November 2023</t>
        </is>
      </c>
      <c r="I97" s="2" t="n">
        <v>46384</v>
      </c>
      <c r="J97" t="inlineStr">
        <is>
          <t>Disetujui</t>
        </is>
      </c>
      <c r="K97" t="n">
        <v>87</v>
      </c>
      <c r="L97" t="inlineStr">
        <is>
          <t>28 Desember 2026</t>
        </is>
      </c>
      <c r="M97" t="inlineStr">
        <is>
          <t>Konstruksi Bangunan Sipil Jalan</t>
        </is>
      </c>
      <c r="N97" t="inlineStr">
        <is>
          <t>K</t>
        </is>
      </c>
      <c r="O97" t="inlineStr">
        <is>
          <t>20231220</t>
        </is>
      </c>
      <c r="P97" t="inlineStr">
        <is>
          <t>Jawa Timur</t>
        </is>
      </c>
      <c r="Q97" t="inlineStr"/>
    </row>
    <row r="98">
      <c r="A98" t="inlineStr">
        <is>
          <t>SANTOSA CIPTA NUSA</t>
        </is>
      </c>
      <c r="B98" t="inlineStr">
        <is>
          <t>Kota Adm. Jakarta Selatan</t>
        </is>
      </c>
      <c r="C98" t="inlineStr">
        <is>
          <t>02127653264</t>
        </is>
      </c>
      <c r="D98" t="inlineStr">
        <is>
          <t>santosaciptanusa@gmail.com</t>
        </is>
      </c>
      <c r="E98" t="inlineStr">
        <is>
          <t>https://lpjk.pu.go.id/search-badan-usaha-detail/VWZLcHFlakdwTzlUY0o3MlIxVmd3UT09</t>
        </is>
      </c>
      <c r="F98" t="n">
        <v>1</v>
      </c>
      <c r="G98" t="inlineStr">
        <is>
          <t>BS001</t>
        </is>
      </c>
      <c r="H98" t="inlineStr">
        <is>
          <t>8 September 2023</t>
        </is>
      </c>
      <c r="I98" s="2" t="n">
        <v>46384</v>
      </c>
      <c r="J98" t="inlineStr">
        <is>
          <t>Pencabutan</t>
        </is>
      </c>
      <c r="K98" t="n">
        <v>87</v>
      </c>
      <c r="L98" t="inlineStr">
        <is>
          <t>28 Desember 2026</t>
        </is>
      </c>
      <c r="M98" t="inlineStr">
        <is>
          <t>Konstruksi Bangunan Sipil Jalan</t>
        </is>
      </c>
      <c r="N98" t="inlineStr">
        <is>
          <t>K</t>
        </is>
      </c>
      <c r="O98" t="inlineStr">
        <is>
          <t>20231227</t>
        </is>
      </c>
      <c r="P98" t="inlineStr">
        <is>
          <t>DKI Jakarta</t>
        </is>
      </c>
      <c r="Q98" t="inlineStr"/>
    </row>
    <row r="99">
      <c r="A99" t="inlineStr">
        <is>
          <t>SARTIKA GROUP</t>
        </is>
      </c>
      <c r="B99" t="inlineStr">
        <is>
          <t>Kab. Jayawijaya</t>
        </is>
      </c>
      <c r="C99" t="inlineStr">
        <is>
          <t>082311898581</t>
        </is>
      </c>
      <c r="D99" t="inlineStr">
        <is>
          <t>cv.sartikagroup22@gmail.com</t>
        </is>
      </c>
      <c r="E99" t="inlineStr">
        <is>
          <t>https://lpjk.pu.go.id/search-badan-usaha-detail/U0Fib1J6bVFPWTUrQjRVTDRBMWtFUT09</t>
        </is>
      </c>
      <c r="F99" t="n">
        <v>2</v>
      </c>
      <c r="G99" t="inlineStr">
        <is>
          <t>BG005, BG006</t>
        </is>
      </c>
      <c r="H99" t="inlineStr">
        <is>
          <t>6 Juli 2022</t>
        </is>
      </c>
      <c r="I99" s="2" t="n">
        <v>46384</v>
      </c>
      <c r="J99" t="inlineStr">
        <is>
          <t>Disetujui</t>
        </is>
      </c>
      <c r="K99" t="n">
        <v>87</v>
      </c>
      <c r="L99" t="inlineStr">
        <is>
          <t>28 Desember 2026</t>
        </is>
      </c>
      <c r="M99" t="inlineStr">
        <is>
          <t>Konstruksi Gedung Kesehatan, Konstruksi Gedung Pendidikan</t>
        </is>
      </c>
      <c r="N99" t="inlineStr">
        <is>
          <t>K</t>
        </is>
      </c>
      <c r="O99" t="inlineStr">
        <is>
          <t>20231227, 20231228</t>
        </is>
      </c>
      <c r="P99" t="inlineStr">
        <is>
          <t>Papua</t>
        </is>
      </c>
      <c r="Q99" t="inlineStr"/>
    </row>
    <row r="100">
      <c r="A100" t="inlineStr">
        <is>
          <t>SETIAWAN</t>
        </is>
      </c>
      <c r="B100" t="inlineStr">
        <is>
          <t>Kab. Kudus</t>
        </is>
      </c>
      <c r="C100" t="inlineStr">
        <is>
          <t>082232288363</t>
        </is>
      </c>
      <c r="D100" t="inlineStr">
        <is>
          <t>cvsetiawan@yahoo.com</t>
        </is>
      </c>
      <c r="E100" t="inlineStr">
        <is>
          <t>https://lpjk.pu.go.id/search-badan-usaha-detail/UjRzMXA1eEpBNXhmMjdmVG9RUEF5QT09</t>
        </is>
      </c>
      <c r="F100" t="n">
        <v>5</v>
      </c>
      <c r="G100" t="inlineStr">
        <is>
          <t>BG005, BG006, BG009, BS001, BS004</t>
        </is>
      </c>
      <c r="H100" t="inlineStr">
        <is>
          <t>4 Juni 2002</t>
        </is>
      </c>
      <c r="I100" s="2" t="n">
        <v>46384</v>
      </c>
      <c r="J100" t="inlineStr">
        <is>
          <t>Disetujui</t>
        </is>
      </c>
      <c r="K100" t="n">
        <v>87</v>
      </c>
      <c r="L100" t="inlineStr">
        <is>
          <t>28 Desember 2026</t>
        </is>
      </c>
      <c r="M100" t="inlineStr">
        <is>
          <t>Konstruksi Bangunan Sipil Jalan, Konstruksi Gedung Kesehatan, Konstruksi Gedung Lainnya, Konstruksi Gedung Pendidikan, Konstruksi Jaringan Irigasi dan Drainase</t>
        </is>
      </c>
      <c r="N100" t="inlineStr">
        <is>
          <t>K</t>
        </is>
      </c>
      <c r="O100" t="inlineStr">
        <is>
          <t>20230803, 20231228</t>
        </is>
      </c>
      <c r="P100" t="inlineStr">
        <is>
          <t>Jawa Tengah</t>
        </is>
      </c>
      <c r="Q100" t="inlineStr"/>
    </row>
    <row r="101">
      <c r="A101" t="inlineStr">
        <is>
          <t>SURYA ALAM SEMESTA</t>
        </is>
      </c>
      <c r="B101" t="inlineStr">
        <is>
          <t>Kab. Banyuwangi</t>
        </is>
      </c>
      <c r="C101" t="inlineStr">
        <is>
          <t>081249682626</t>
        </is>
      </c>
      <c r="D101" t="inlineStr">
        <is>
          <t>agung.rohmatulloh@gmail.com</t>
        </is>
      </c>
      <c r="E101" t="inlineStr">
        <is>
          <t>https://lpjk.pu.go.id/search-badan-usaha-detail/bTUyTXVDeTlkeS9BMEpQTWQ5RDRsZz09</t>
        </is>
      </c>
      <c r="F101" t="n">
        <v>3</v>
      </c>
      <c r="G101" t="inlineStr">
        <is>
          <t>RK001, RK002, RK003</t>
        </is>
      </c>
      <c r="H101" t="inlineStr">
        <is>
          <t>3 Februari 2017</t>
        </is>
      </c>
      <c r="I101" s="2" t="n">
        <v>46384</v>
      </c>
      <c r="J101" t="inlineStr">
        <is>
          <t>Disetujui</t>
        </is>
      </c>
      <c r="K101" t="n">
        <v>87</v>
      </c>
      <c r="L101" t="inlineStr">
        <is>
          <t>28 Desember 2026</t>
        </is>
      </c>
      <c r="M101" t="inlineStr">
        <is>
          <t>Jasa Rekayasa Konstruksi Bangunan Gedung Hunian dan Non Hunian, Jasa Rekayasa Pekerjaan Teknik Sipil Sumber Daya Air, Jasa Rekayasa Pekerjaan Teknik Sipil Transportasi</t>
        </is>
      </c>
      <c r="N101" t="inlineStr">
        <is>
          <t>K</t>
        </is>
      </c>
      <c r="O101" t="inlineStr">
        <is>
          <t>20231219</t>
        </is>
      </c>
      <c r="P101" t="inlineStr">
        <is>
          <t>Jawa Timur</t>
        </is>
      </c>
      <c r="Q101" t="inlineStr"/>
    </row>
    <row r="102">
      <c r="A102" t="inlineStr">
        <is>
          <t>SURYA KARYA MANDIRI</t>
        </is>
      </c>
      <c r="B102" t="inlineStr">
        <is>
          <t>Kota Surabaya</t>
        </is>
      </c>
      <c r="C102" t="inlineStr">
        <is>
          <t>081703902474</t>
        </is>
      </c>
      <c r="D102" t="inlineStr">
        <is>
          <t>suryakaryamandiri4@gmail.com</t>
        </is>
      </c>
      <c r="E102" t="inlineStr">
        <is>
          <t>https://lpjk.pu.go.id/search-badan-usaha-detail/dHdCUnhUVmI4WE5tQ01lSXM0dnc3Zz09</t>
        </is>
      </c>
      <c r="F102" t="n">
        <v>1</v>
      </c>
      <c r="G102" t="inlineStr">
        <is>
          <t>BG003</t>
        </is>
      </c>
      <c r="H102" t="inlineStr">
        <is>
          <t>22 Juni 2012</t>
        </is>
      </c>
      <c r="I102" s="2" t="n">
        <v>46384</v>
      </c>
      <c r="J102" t="inlineStr">
        <is>
          <t>Disetujui</t>
        </is>
      </c>
      <c r="K102" t="n">
        <v>87</v>
      </c>
      <c r="L102" t="inlineStr">
        <is>
          <t>28 Desember 2026</t>
        </is>
      </c>
      <c r="M102" t="inlineStr">
        <is>
          <t>Konstruksi Gedung Industri</t>
        </is>
      </c>
      <c r="N102" t="inlineStr">
        <is>
          <t>K</t>
        </is>
      </c>
      <c r="O102" t="inlineStr">
        <is>
          <t>20231227</t>
        </is>
      </c>
      <c r="P102" t="inlineStr">
        <is>
          <t>Jawa Timur</t>
        </is>
      </c>
      <c r="Q102" t="inlineStr"/>
    </row>
    <row r="103">
      <c r="A103" t="inlineStr">
        <is>
          <t>SURYA LANGIT BUMI</t>
        </is>
      </c>
      <c r="B103" t="inlineStr">
        <is>
          <t>Kota Surabaya</t>
        </is>
      </c>
      <c r="C103" t="inlineStr">
        <is>
          <t>0315672733</t>
        </is>
      </c>
      <c r="D103" t="inlineStr">
        <is>
          <t>suryalangitbumi@gmail.com</t>
        </is>
      </c>
      <c r="E103" t="inlineStr">
        <is>
          <t>https://lpjk.pu.go.id/search-badan-usaha-detail/eDhEcFNDbDllZU43TXhDRGFrUnpqUT09</t>
        </is>
      </c>
      <c r="F103" t="n">
        <v>1</v>
      </c>
      <c r="G103" t="inlineStr">
        <is>
          <t>BG009</t>
        </is>
      </c>
      <c r="H103" t="inlineStr">
        <is>
          <t>30 November 2016</t>
        </is>
      </c>
      <c r="I103" s="2" t="n">
        <v>46384</v>
      </c>
      <c r="J103" t="inlineStr">
        <is>
          <t>Disetujui</t>
        </is>
      </c>
      <c r="K103" t="n">
        <v>87</v>
      </c>
      <c r="L103" t="inlineStr">
        <is>
          <t>28 Desember 2026</t>
        </is>
      </c>
      <c r="M103" t="inlineStr">
        <is>
          <t>Konstruksi Gedung Lainnya</t>
        </is>
      </c>
      <c r="N103" t="inlineStr">
        <is>
          <t>K</t>
        </is>
      </c>
      <c r="O103" t="inlineStr">
        <is>
          <t>20230628</t>
        </is>
      </c>
      <c r="P103" t="inlineStr">
        <is>
          <t>Jawa Timur</t>
        </is>
      </c>
      <c r="Q103" t="inlineStr"/>
    </row>
    <row r="104">
      <c r="A104" t="inlineStr">
        <is>
          <t>SURYA LESTARI</t>
        </is>
      </c>
      <c r="B104" t="inlineStr">
        <is>
          <t>Kota Pekanbaru</t>
        </is>
      </c>
      <c r="C104" t="inlineStr">
        <is>
          <t>082169837359</t>
        </is>
      </c>
      <c r="D104" t="inlineStr">
        <is>
          <t>sally_fatma70@yahoo.com</t>
        </is>
      </c>
      <c r="E104" t="inlineStr">
        <is>
          <t>https://lpjk.pu.go.id/search-badan-usaha-detail/MXNRd1ZIR0JTZ3hnYTRCVDF6STh4dz09</t>
        </is>
      </c>
      <c r="F104" t="n">
        <v>1</v>
      </c>
      <c r="G104" t="inlineStr">
        <is>
          <t>BS001</t>
        </is>
      </c>
      <c r="H104" t="inlineStr">
        <is>
          <t>18 Februari 1999</t>
        </is>
      </c>
      <c r="I104" s="2" t="n">
        <v>46384</v>
      </c>
      <c r="J104" t="inlineStr">
        <is>
          <t>Disetujui</t>
        </is>
      </c>
      <c r="K104" t="n">
        <v>87</v>
      </c>
      <c r="L104" t="inlineStr">
        <is>
          <t>28 Desember 2026</t>
        </is>
      </c>
      <c r="M104" t="inlineStr">
        <is>
          <t>Konstruksi Bangunan Sipil Jalan</t>
        </is>
      </c>
      <c r="N104" t="inlineStr">
        <is>
          <t>K</t>
        </is>
      </c>
      <c r="O104" t="inlineStr">
        <is>
          <t>20231222</t>
        </is>
      </c>
      <c r="P104" t="inlineStr">
        <is>
          <t>Riau</t>
        </is>
      </c>
      <c r="Q104" t="inlineStr"/>
    </row>
    <row r="105">
      <c r="A105" t="inlineStr">
        <is>
          <t>TATA BAJA LESTARI</t>
        </is>
      </c>
      <c r="B105" t="inlineStr">
        <is>
          <t>Kota Adm. Jakarta Barat</t>
        </is>
      </c>
      <c r="C105" t="inlineStr">
        <is>
          <t>0215688284</t>
        </is>
      </c>
      <c r="D105" t="inlineStr">
        <is>
          <t>legal@tatabajalestari.com</t>
        </is>
      </c>
      <c r="E105" t="inlineStr">
        <is>
          <t>https://lpjk.pu.go.id/search-badan-usaha-detail/ejI4YXFvSnFmaEF1d3U5ck9TSjkyQT09</t>
        </is>
      </c>
      <c r="F105" t="n">
        <v>1</v>
      </c>
      <c r="G105" t="inlineStr">
        <is>
          <t>BG002</t>
        </is>
      </c>
      <c r="H105" t="inlineStr">
        <is>
          <t>7 Agustus 2019</t>
        </is>
      </c>
      <c r="I105" s="2" t="n">
        <v>46384</v>
      </c>
      <c r="J105" t="inlineStr">
        <is>
          <t>Disetujui</t>
        </is>
      </c>
      <c r="K105" t="n">
        <v>87</v>
      </c>
      <c r="L105" t="inlineStr">
        <is>
          <t>28 Desember 2026</t>
        </is>
      </c>
      <c r="M105" t="inlineStr">
        <is>
          <t>Konstruksi Gedung Perkantoran</t>
        </is>
      </c>
      <c r="N105" t="inlineStr">
        <is>
          <t>K</t>
        </is>
      </c>
      <c r="O105" t="inlineStr">
        <is>
          <t>20231208</t>
        </is>
      </c>
      <c r="P105" t="inlineStr">
        <is>
          <t>DKI Jakarta</t>
        </is>
      </c>
      <c r="Q105" t="inlineStr"/>
    </row>
    <row r="106">
      <c r="A106" t="inlineStr">
        <is>
          <t>TIGA PUTRI MINYAM</t>
        </is>
      </c>
      <c r="B106" t="inlineStr">
        <is>
          <t>Kab. Pegunungan Arfak</t>
        </is>
      </c>
      <c r="C106" t="inlineStr">
        <is>
          <t>085243250676</t>
        </is>
      </c>
      <c r="D106" t="inlineStr">
        <is>
          <t>cvtigaputriminyam@gmail.com</t>
        </is>
      </c>
      <c r="E106" t="inlineStr">
        <is>
          <t>https://lpjk.pu.go.id/search-badan-usaha-detail/S1FYVk0rYjFQbFl3U2FkZHR0V2k3Zz09</t>
        </is>
      </c>
      <c r="F106" t="n">
        <v>1</v>
      </c>
      <c r="G106" t="inlineStr">
        <is>
          <t>BG006</t>
        </is>
      </c>
      <c r="H106" t="inlineStr">
        <is>
          <t>19 Desember 2023</t>
        </is>
      </c>
      <c r="I106" s="2" t="n">
        <v>46384</v>
      </c>
      <c r="J106" t="inlineStr">
        <is>
          <t>Pencabutan</t>
        </is>
      </c>
      <c r="K106" t="n">
        <v>87</v>
      </c>
      <c r="L106" t="inlineStr">
        <is>
          <t>28 Desember 2026</t>
        </is>
      </c>
      <c r="M106" t="inlineStr">
        <is>
          <t>Konstruksi Gedung Pendidikan</t>
        </is>
      </c>
      <c r="N106" t="inlineStr">
        <is>
          <t>K</t>
        </is>
      </c>
      <c r="O106" t="inlineStr">
        <is>
          <t>20231224</t>
        </is>
      </c>
      <c r="P106" t="inlineStr">
        <is>
          <t>Papua Barat</t>
        </is>
      </c>
      <c r="Q106" t="inlineStr"/>
    </row>
    <row r="107">
      <c r="A107" t="inlineStr">
        <is>
          <t>TOROMATA KARYA RAMDHANI</t>
        </is>
      </c>
      <c r="B107" t="inlineStr">
        <is>
          <t>Kota Makassar</t>
        </is>
      </c>
      <c r="C107" t="inlineStr">
        <is>
          <t>081317714419</t>
        </is>
      </c>
      <c r="D107" t="inlineStr">
        <is>
          <t>cv.toromatamks@gmail.com</t>
        </is>
      </c>
      <c r="E107" t="inlineStr">
        <is>
          <t>https://lpjk.pu.go.id/search-badan-usaha-detail/OUVXdi9iSGxzU1N1NURKOUJkZENadz09</t>
        </is>
      </c>
      <c r="F107" t="n">
        <v>1</v>
      </c>
      <c r="G107" t="inlineStr">
        <is>
          <t>BS001</t>
        </is>
      </c>
      <c r="H107" t="inlineStr">
        <is>
          <t>6 Desember 2017</t>
        </is>
      </c>
      <c r="I107" s="2" t="n">
        <v>46384</v>
      </c>
      <c r="J107" t="inlineStr">
        <is>
          <t>Disetujui</t>
        </is>
      </c>
      <c r="K107" t="n">
        <v>87</v>
      </c>
      <c r="L107" t="inlineStr">
        <is>
          <t>28 Desember 2026</t>
        </is>
      </c>
      <c r="M107" t="inlineStr">
        <is>
          <t>Konstruksi Bangunan Sipil Jalan</t>
        </is>
      </c>
      <c r="N107" t="inlineStr">
        <is>
          <t>K</t>
        </is>
      </c>
      <c r="O107" t="inlineStr">
        <is>
          <t>20231227</t>
        </is>
      </c>
      <c r="P107" t="inlineStr">
        <is>
          <t>Sulawesi Selatan</t>
        </is>
      </c>
      <c r="Q107" t="inlineStr"/>
    </row>
    <row r="108">
      <c r="A108" t="inlineStr">
        <is>
          <t>TRI MANUNGGAL SAKTI</t>
        </is>
      </c>
      <c r="B108" t="inlineStr">
        <is>
          <t>Kota Denpasar</t>
        </is>
      </c>
      <c r="C108" t="inlineStr">
        <is>
          <t>0361226517</t>
        </is>
      </c>
      <c r="D108" t="inlineStr">
        <is>
          <t>trimanunggal.marketing@gmail.com</t>
        </is>
      </c>
      <c r="E108" t="inlineStr">
        <is>
          <t>https://lpjk.pu.go.id/search-badan-usaha-detail/NytkSUUrd04rSGFDL2JSUXRUK0xRQT09</t>
        </is>
      </c>
      <c r="F108" t="n">
        <v>1</v>
      </c>
      <c r="G108" t="inlineStr">
        <is>
          <t>BS004</t>
        </is>
      </c>
      <c r="H108" t="inlineStr">
        <is>
          <t>4 Februari 2002</t>
        </is>
      </c>
      <c r="I108" s="2" t="n">
        <v>46384</v>
      </c>
      <c r="J108" t="inlineStr">
        <is>
          <t>Pembekuan</t>
        </is>
      </c>
      <c r="K108" t="n">
        <v>87</v>
      </c>
      <c r="L108" t="inlineStr">
        <is>
          <t>28 Desember 2026</t>
        </is>
      </c>
      <c r="M108" t="inlineStr">
        <is>
          <t>Konstruksi Jaringan Irigasi dan Drainase</t>
        </is>
      </c>
      <c r="N108" t="inlineStr">
        <is>
          <t>M</t>
        </is>
      </c>
      <c r="O108" t="inlineStr">
        <is>
          <t>20231011</t>
        </is>
      </c>
      <c r="P108" t="inlineStr">
        <is>
          <t>Bali</t>
        </is>
      </c>
      <c r="Q108" t="inlineStr"/>
    </row>
    <row r="109">
      <c r="A109" t="inlineStr">
        <is>
          <t>TRIO VALENTIN</t>
        </is>
      </c>
      <c r="B109" t="inlineStr">
        <is>
          <t>Kab. Bintan</t>
        </is>
      </c>
      <c r="C109" t="inlineStr">
        <is>
          <t>085356890222</t>
        </is>
      </c>
      <c r="D109" t="inlineStr">
        <is>
          <t>triovalentin@yahoo.co.id</t>
        </is>
      </c>
      <c r="E109" t="inlineStr">
        <is>
          <t>https://lpjk.pu.go.id/search-badan-usaha-detail/eWp1cEpHbHQxTXFVbFBMWFZiVUdrQT09</t>
        </is>
      </c>
      <c r="F109" t="n">
        <v>3</v>
      </c>
      <c r="G109" t="inlineStr">
        <is>
          <t>BG002, BG009, BS001</t>
        </is>
      </c>
      <c r="H109" t="inlineStr">
        <is>
          <t>20 Januari 2000</t>
        </is>
      </c>
      <c r="I109" s="2" t="n">
        <v>46384</v>
      </c>
      <c r="J109" t="inlineStr">
        <is>
          <t>Disetujui</t>
        </is>
      </c>
      <c r="K109" t="n">
        <v>87</v>
      </c>
      <c r="L109" t="inlineStr">
        <is>
          <t>28 Desember 2026</t>
        </is>
      </c>
      <c r="M109" t="inlineStr">
        <is>
          <t>Konstruksi Bangunan Sipil Jalan, Konstruksi Gedung Lainnya, Konstruksi Gedung Perkantoran</t>
        </is>
      </c>
      <c r="N109" t="inlineStr">
        <is>
          <t>K</t>
        </is>
      </c>
      <c r="O109" t="inlineStr">
        <is>
          <t>20231228</t>
        </is>
      </c>
      <c r="P109" t="inlineStr">
        <is>
          <t>Kepulauan Riau</t>
        </is>
      </c>
      <c r="Q109" t="inlineStr"/>
    </row>
    <row r="110">
      <c r="A110" t="inlineStr">
        <is>
          <t>TRIPALINDO PERKASA</t>
        </is>
      </c>
      <c r="B110" t="inlineStr">
        <is>
          <t>Kab. Tangerang</t>
        </is>
      </c>
      <c r="C110" t="inlineStr">
        <is>
          <t>0215462561</t>
        </is>
      </c>
      <c r="D110" t="inlineStr">
        <is>
          <t>tripalindoperkasa331@gmail.com</t>
        </is>
      </c>
      <c r="E110" t="inlineStr">
        <is>
          <t>https://lpjk.pu.go.id/search-badan-usaha-detail/dDg0SXlUSXdNMWc2Mm9OeWZYT2x5dz09</t>
        </is>
      </c>
      <c r="F110" t="n">
        <v>1</v>
      </c>
      <c r="G110" t="inlineStr">
        <is>
          <t>KK001</t>
        </is>
      </c>
      <c r="H110" t="inlineStr">
        <is>
          <t>16 Maret 2009</t>
        </is>
      </c>
      <c r="I110" s="2" t="n">
        <v>46384</v>
      </c>
      <c r="J110" t="inlineStr">
        <is>
          <t>Pencabutan</t>
        </is>
      </c>
      <c r="K110" t="n">
        <v>87</v>
      </c>
      <c r="L110" t="inlineStr">
        <is>
          <t>28 Desember 2026</t>
        </is>
      </c>
      <c r="M110" t="inlineStr">
        <is>
          <t>Pondasi Konstruksi</t>
        </is>
      </c>
      <c r="N110" t="inlineStr">
        <is>
          <t>Spesialis</t>
        </is>
      </c>
      <c r="O110" t="inlineStr">
        <is>
          <t>20231228</t>
        </is>
      </c>
      <c r="P110" t="inlineStr">
        <is>
          <t>Banten</t>
        </is>
      </c>
      <c r="Q110" t="inlineStr"/>
    </row>
    <row r="111">
      <c r="A111" t="inlineStr">
        <is>
          <t>TUAH NAGA SAKTI</t>
        </is>
      </c>
      <c r="B111" t="inlineStr">
        <is>
          <t>Kota Bandung</t>
        </is>
      </c>
      <c r="C111" t="inlineStr">
        <is>
          <t>08122038888</t>
        </is>
      </c>
      <c r="D111" t="inlineStr">
        <is>
          <t>tuahnagasakti@gmail.com</t>
        </is>
      </c>
      <c r="E111" t="inlineStr">
        <is>
          <t>https://lpjk.pu.go.id/search-badan-usaha-detail/ZHZ1K3ZZdzhBT0VYTHYvRkNZZnNHQT09</t>
        </is>
      </c>
      <c r="F111" t="n">
        <v>1</v>
      </c>
      <c r="G111" t="inlineStr">
        <is>
          <t>BG006</t>
        </is>
      </c>
      <c r="H111" t="inlineStr">
        <is>
          <t>24 Februari 2004</t>
        </is>
      </c>
      <c r="I111" s="2" t="n">
        <v>46384</v>
      </c>
      <c r="J111" t="inlineStr">
        <is>
          <t>Pencabutan</t>
        </is>
      </c>
      <c r="K111" t="n">
        <v>87</v>
      </c>
      <c r="L111" t="inlineStr">
        <is>
          <t>28 Desember 2026</t>
        </is>
      </c>
      <c r="M111" t="inlineStr">
        <is>
          <t>Konstruksi Gedung Pendidikan</t>
        </is>
      </c>
      <c r="N111" t="inlineStr">
        <is>
          <t>B</t>
        </is>
      </c>
      <c r="O111" t="inlineStr">
        <is>
          <t>20231212</t>
        </is>
      </c>
      <c r="P111" t="inlineStr">
        <is>
          <t>Jawa Barat</t>
        </is>
      </c>
      <c r="Q111" t="inlineStr"/>
    </row>
    <row r="112">
      <c r="A112" t="inlineStr">
        <is>
          <t>UNGGUL</t>
        </is>
      </c>
      <c r="B112" t="inlineStr">
        <is>
          <t>Kota Tebing Tinggi</t>
        </is>
      </c>
      <c r="C112" t="inlineStr">
        <is>
          <t>081396473777</t>
        </is>
      </c>
      <c r="D112" t="inlineStr">
        <is>
          <t>cvunggul0707@gmail.com</t>
        </is>
      </c>
      <c r="E112" t="inlineStr">
        <is>
          <t>https://lpjk.pu.go.id/search-badan-usaha-detail/Mjk3YzNDT3JXSGQvRnV0OXVYc21MQT09</t>
        </is>
      </c>
      <c r="F112" t="n">
        <v>1</v>
      </c>
      <c r="G112" t="inlineStr">
        <is>
          <t>IN004</t>
        </is>
      </c>
      <c r="H112" t="inlineStr">
        <is>
          <t>7 Desember 2017</t>
        </is>
      </c>
      <c r="I112" s="2" t="n">
        <v>46384</v>
      </c>
      <c r="J112" t="inlineStr">
        <is>
          <t>Pencabutan</t>
        </is>
      </c>
      <c r="K112" t="n">
        <v>87</v>
      </c>
      <c r="L112" t="inlineStr">
        <is>
          <t>28 Desember 2026</t>
        </is>
      </c>
      <c r="M112" t="inlineStr">
        <is>
          <t>Instalasi Minyak dan Gas</t>
        </is>
      </c>
      <c r="N112" t="inlineStr">
        <is>
          <t>Spesialis</t>
        </is>
      </c>
      <c r="O112" t="inlineStr">
        <is>
          <t>20230330</t>
        </is>
      </c>
      <c r="P112" t="inlineStr">
        <is>
          <t>Sumatera Utara</t>
        </is>
      </c>
      <c r="Q112" t="inlineStr"/>
    </row>
    <row r="113">
      <c r="A113" t="inlineStr">
        <is>
          <t>WAHANA GREEN ENERGY</t>
        </is>
      </c>
      <c r="B113" t="inlineStr">
        <is>
          <t>Kota Adm. Jakarta Selatan</t>
        </is>
      </c>
      <c r="C113" t="inlineStr">
        <is>
          <t>02172780214</t>
        </is>
      </c>
      <c r="D113" t="inlineStr">
        <is>
          <t>wahanagreenenergy.wge@gmail.com</t>
        </is>
      </c>
      <c r="E113" t="inlineStr">
        <is>
          <t>https://lpjk.pu.go.id/search-badan-usaha-detail/MXRkOWZlb09FUjduK1ZidUZFdW0zUT09</t>
        </is>
      </c>
      <c r="F113" t="n">
        <v>1</v>
      </c>
      <c r="G113" t="inlineStr">
        <is>
          <t>BS011</t>
        </is>
      </c>
      <c r="H113" t="inlineStr">
        <is>
          <t>13 Oktober 2019</t>
        </is>
      </c>
      <c r="I113" s="2" t="n">
        <v>46384</v>
      </c>
      <c r="J113" t="inlineStr">
        <is>
          <t>Disetujui</t>
        </is>
      </c>
      <c r="K113" t="n">
        <v>87</v>
      </c>
      <c r="L113" t="inlineStr">
        <is>
          <t>28 Desember 2026</t>
        </is>
      </c>
      <c r="M113" t="inlineStr">
        <is>
          <t>Konstruksi Bangunan Pelabuhan Bukan Perikanan</t>
        </is>
      </c>
      <c r="N113" t="inlineStr">
        <is>
          <t>M</t>
        </is>
      </c>
      <c r="O113" t="inlineStr">
        <is>
          <t>20231227</t>
        </is>
      </c>
      <c r="P113" t="inlineStr">
        <is>
          <t>DKI Jakarta</t>
        </is>
      </c>
      <c r="Q113" t="inlineStr"/>
    </row>
    <row r="114">
      <c r="A114" t="inlineStr">
        <is>
          <t>WIDYAKARYA</t>
        </is>
      </c>
      <c r="B114" t="inlineStr">
        <is>
          <t>Kab. Gunungkidul</t>
        </is>
      </c>
      <c r="C114" t="inlineStr">
        <is>
          <t>081328486466</t>
        </is>
      </c>
      <c r="D114" t="inlineStr">
        <is>
          <t>cv.wk99@yahoo.com</t>
        </is>
      </c>
      <c r="E114" t="inlineStr">
        <is>
          <t>https://lpjk.pu.go.id/search-badan-usaha-detail/Z0VVbGRFZkJ3aVJqWEpUZFFsZ28rZz09</t>
        </is>
      </c>
      <c r="F114" t="n">
        <v>6</v>
      </c>
      <c r="G114" t="inlineStr">
        <is>
          <t>BG002, BG005, BG006, BG009, BS001, BS006</t>
        </is>
      </c>
      <c r="H114" t="inlineStr">
        <is>
          <t>24 Juli 2017</t>
        </is>
      </c>
      <c r="I114" s="2" t="n">
        <v>46384</v>
      </c>
      <c r="J114" t="inlineStr">
        <is>
          <t>Disetujui</t>
        </is>
      </c>
      <c r="K114" t="n">
        <v>87</v>
      </c>
      <c r="L114" t="inlineStr">
        <is>
          <t>28 Desember 2026</t>
        </is>
      </c>
      <c r="M114" t="inlineStr">
        <is>
          <t>Konstruksi Bangunan Sipil Jalan, Konstruksi Bangunan Sipil Prasarana dan Sarana Sistem Pengolahan Limbah Padat, Cair, dan Gas, Konstruksi Gedung Kesehatan, Konstruksi Gedung Lainnya, Konstruksi Gedung Pendidikan, Konstruksi Gedung Perkantoran</t>
        </is>
      </c>
      <c r="N114" t="inlineStr">
        <is>
          <t>K</t>
        </is>
      </c>
      <c r="O114" t="inlineStr">
        <is>
          <t>20231227, 20231229</t>
        </is>
      </c>
      <c r="P114" t="inlineStr">
        <is>
          <t>DI Yogyakarta</t>
        </is>
      </c>
      <c r="Q114" t="inlineStr"/>
    </row>
    <row r="115">
      <c r="A115" t="inlineStr">
        <is>
          <t>WIRA TEKNIK CONSULTANT</t>
        </is>
      </c>
      <c r="B115" t="inlineStr">
        <is>
          <t>Kota Bandar Lampung</t>
        </is>
      </c>
      <c r="C115" t="inlineStr">
        <is>
          <t>082280256139</t>
        </is>
      </c>
      <c r="D115" t="inlineStr">
        <is>
          <t>wirateknikcons@yahoo.com</t>
        </is>
      </c>
      <c r="E115" t="inlineStr">
        <is>
          <t>https://lpjk.pu.go.id/search-badan-usaha-detail/SEVMSmg4dnpBOTFvanpITTdXb2Fhdz09</t>
        </is>
      </c>
      <c r="F115" t="n">
        <v>1</v>
      </c>
      <c r="G115" t="inlineStr">
        <is>
          <t>RK001</t>
        </is>
      </c>
      <c r="H115" t="inlineStr">
        <is>
          <t>25 Juni 2019</t>
        </is>
      </c>
      <c r="I115" s="2" t="n">
        <v>46384</v>
      </c>
      <c r="J115" t="inlineStr">
        <is>
          <t>Disetujui</t>
        </is>
      </c>
      <c r="K115" t="n">
        <v>87</v>
      </c>
      <c r="L115" t="inlineStr">
        <is>
          <t>28 Desember 2026</t>
        </is>
      </c>
      <c r="M115" t="inlineStr">
        <is>
          <t>Jasa Rekayasa Konstruksi Bangunan Gedung Hunian dan Non Hunian</t>
        </is>
      </c>
      <c r="N115" t="inlineStr">
        <is>
          <t>K</t>
        </is>
      </c>
      <c r="O115" t="inlineStr">
        <is>
          <t>20231215</t>
        </is>
      </c>
      <c r="P115" t="inlineStr">
        <is>
          <t>Lampung</t>
        </is>
      </c>
      <c r="Q1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4"/>
  <sheetViews>
    <sheetView workbookViewId="0">
      <selection activeCell="A1" sqref="A1"/>
    </sheetView>
  </sheetViews>
  <sheetFormatPr baseColWidth="8" defaultRowHeight="15"/>
  <cols>
    <col width="27" customWidth="1" min="1" max="1"/>
    <col width="19" customWidth="1" min="2" max="2"/>
    <col width="14" customWidth="1" min="3" max="3"/>
    <col width="40" customWidth="1" min="4" max="4"/>
    <col width="50" customWidth="1" min="5" max="5"/>
    <col width="18" customWidth="1" min="6" max="6"/>
    <col width="35" customWidth="1" min="7" max="7"/>
    <col width="20" customWidth="1" min="8" max="8"/>
    <col width="28" customWidth="1" min="9" max="9"/>
    <col width="22" customWidth="1" min="10" max="10"/>
    <col width="11" customWidth="1" min="11" max="11"/>
    <col width="17" customWidth="1" min="12" max="12"/>
    <col width="50" customWidth="1" min="13" max="13"/>
    <col width="14" customWidth="1" min="14" max="14"/>
    <col width="20" customWidth="1" min="15" max="15"/>
    <col width="19" customWidth="1" min="16" max="16"/>
    <col width="15"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ERA CAKRAWALA INDONESIA</t>
        </is>
      </c>
      <c r="B2" t="inlineStr">
        <is>
          <t>Kab. Bogor</t>
        </is>
      </c>
      <c r="C2" t="inlineStr">
        <is>
          <t>02122757300</t>
        </is>
      </c>
      <c r="D2" t="inlineStr">
        <is>
          <t>sales@eracakrawalaindonesia.co.id</t>
        </is>
      </c>
      <c r="E2" t="inlineStr">
        <is>
          <t>https://lpjk.pu.go.id/search-badan-usaha-detail/dkVzbDJvSGU2VWVXcmdXRFJHT3hUdz09</t>
        </is>
      </c>
      <c r="F2" t="n">
        <v>3</v>
      </c>
      <c r="G2" t="inlineStr">
        <is>
          <t>BG002, IN001, IN003</t>
        </is>
      </c>
      <c r="H2" t="inlineStr">
        <is>
          <t>14 Oktober 2014</t>
        </is>
      </c>
      <c r="I2" s="2" t="n">
        <v>46357</v>
      </c>
      <c r="J2" t="inlineStr">
        <is>
          <t>Pembekuan</t>
        </is>
      </c>
      <c r="K2" t="n">
        <v>60</v>
      </c>
      <c r="L2" t="inlineStr">
        <is>
          <t>1 Desember 2026</t>
        </is>
      </c>
      <c r="M2" t="inlineStr">
        <is>
          <t>Instalasi Mekanikal, Instalasi Peralatan Infrastruktur Pertambangan dan Manufaktur, Konstruksi Gedung Perkantoran</t>
        </is>
      </c>
      <c r="N2" t="inlineStr">
        <is>
          <t>M, Spesialis</t>
        </is>
      </c>
      <c r="O2" t="inlineStr">
        <is>
          <t>20231124, 20231201</t>
        </is>
      </c>
      <c r="P2" t="inlineStr">
        <is>
          <t>Jawa Barat</t>
        </is>
      </c>
      <c r="Q2" t="inlineStr"/>
    </row>
    <row r="3">
      <c r="A3" t="inlineStr">
        <is>
          <t>ANTARA KONSTRUKSI</t>
        </is>
      </c>
      <c r="B3" t="inlineStr">
        <is>
          <t>Kota Jambi</t>
        </is>
      </c>
      <c r="C3" t="inlineStr">
        <is>
          <t>082372994770</t>
        </is>
      </c>
      <c r="D3" t="inlineStr">
        <is>
          <t>kpt.antara@yahoo.com</t>
        </is>
      </c>
      <c r="E3" t="inlineStr">
        <is>
          <t>https://lpjk.pu.go.id/search-badan-usaha-detail/MlAyZW91OXFDNlhGWWlwbHBUa1l6Zz09</t>
        </is>
      </c>
      <c r="F3" t="n">
        <v>4</v>
      </c>
      <c r="G3" t="inlineStr">
        <is>
          <t>BS001, BS005</t>
        </is>
      </c>
      <c r="H3" t="inlineStr">
        <is>
          <t>26 Maret 2010</t>
        </is>
      </c>
      <c r="I3" s="2" t="n">
        <v>46357</v>
      </c>
      <c r="J3" t="inlineStr">
        <is>
          <t>Disetujui</t>
        </is>
      </c>
      <c r="K3" t="n">
        <v>60</v>
      </c>
      <c r="L3" t="inlineStr">
        <is>
          <t>1 Desember 2026</t>
        </is>
      </c>
      <c r="M3" t="inlineStr">
        <is>
          <t>Konstruksi Bangunan Sipil Jalan, Konstruksi Bangunan Sipil Pengolahan Air Bersih</t>
        </is>
      </c>
      <c r="N3" t="inlineStr">
        <is>
          <t>B, M</t>
        </is>
      </c>
      <c r="O3" t="inlineStr">
        <is>
          <t>20231130</t>
        </is>
      </c>
      <c r="P3" t="inlineStr">
        <is>
          <t>Jambi</t>
        </is>
      </c>
      <c r="Q3" t="inlineStr"/>
    </row>
    <row r="4">
      <c r="A4" t="inlineStr">
        <is>
          <t>AQILLA</t>
        </is>
      </c>
      <c r="B4" t="inlineStr">
        <is>
          <t>Kab. Sumedang</t>
        </is>
      </c>
      <c r="C4" t="inlineStr">
        <is>
          <t>085353953336</t>
        </is>
      </c>
      <c r="D4" t="inlineStr">
        <is>
          <t>aqillacv@yahoo.com</t>
        </is>
      </c>
      <c r="E4" t="inlineStr">
        <is>
          <t>https://lpjk.pu.go.id/search-badan-usaha-detail/MHhsYmZ2VndTY05vRVRCMW1KeGVMQT09</t>
        </is>
      </c>
      <c r="F4" t="n">
        <v>2</v>
      </c>
      <c r="G4" t="inlineStr">
        <is>
          <t>BG005, BG009</t>
        </is>
      </c>
      <c r="H4" t="inlineStr">
        <is>
          <t>29 Januari 2016</t>
        </is>
      </c>
      <c r="I4" s="2" t="n">
        <v>46357</v>
      </c>
      <c r="J4" t="inlineStr">
        <is>
          <t>Disetujui</t>
        </is>
      </c>
      <c r="K4" t="n">
        <v>60</v>
      </c>
      <c r="L4" t="inlineStr">
        <is>
          <t>1 Desember 2026</t>
        </is>
      </c>
      <c r="M4" t="inlineStr">
        <is>
          <t>Konstruksi Gedung Kesehatan, Konstruksi Gedung Lainnya</t>
        </is>
      </c>
      <c r="N4" t="inlineStr">
        <is>
          <t>K</t>
        </is>
      </c>
      <c r="O4" t="inlineStr">
        <is>
          <t>20231125</t>
        </is>
      </c>
      <c r="P4" t="inlineStr">
        <is>
          <t>Jawa Barat</t>
        </is>
      </c>
      <c r="Q4" t="inlineStr"/>
    </row>
    <row r="5">
      <c r="A5" t="inlineStr">
        <is>
          <t>BANGUN PERSADA PAPUA RAYA</t>
        </is>
      </c>
      <c r="B5" t="inlineStr">
        <is>
          <t>Kab. Merauke</t>
        </is>
      </c>
      <c r="C5" t="inlineStr">
        <is>
          <t>082248018687</t>
        </is>
      </c>
      <c r="D5" t="inlineStr">
        <is>
          <t>ptbangunpersadapapuarayaaa@gmail.com</t>
        </is>
      </c>
      <c r="E5" t="inlineStr">
        <is>
          <t>https://lpjk.pu.go.id/search-badan-usaha-detail/VkZnN1Ixdm1MTlBsUFJ6a250eVBtUT09</t>
        </is>
      </c>
      <c r="F5" t="n">
        <v>2</v>
      </c>
      <c r="G5" t="inlineStr">
        <is>
          <t>BG002, BG009</t>
        </is>
      </c>
      <c r="H5" t="inlineStr">
        <is>
          <t>3 Mei 2005</t>
        </is>
      </c>
      <c r="I5" s="2" t="n">
        <v>46357</v>
      </c>
      <c r="J5" t="inlineStr">
        <is>
          <t>Pembekuan</t>
        </is>
      </c>
      <c r="K5" t="n">
        <v>60</v>
      </c>
      <c r="L5" t="inlineStr">
        <is>
          <t>1 Desember 2026</t>
        </is>
      </c>
      <c r="M5" t="inlineStr">
        <is>
          <t>Konstruksi Gedung Lainnya, Konstruksi Gedung Perkantoran</t>
        </is>
      </c>
      <c r="N5" t="inlineStr">
        <is>
          <t>M</t>
        </is>
      </c>
      <c r="O5" t="inlineStr">
        <is>
          <t>20231201</t>
        </is>
      </c>
      <c r="P5" t="inlineStr">
        <is>
          <t>Papua Selatan</t>
        </is>
      </c>
      <c r="Q5" t="inlineStr"/>
    </row>
    <row r="6">
      <c r="A6" t="inlineStr">
        <is>
          <t>BAWAN PERMAI GROUP</t>
        </is>
      </c>
      <c r="B6" t="inlineStr">
        <is>
          <t>Kota Palangkaraya</t>
        </is>
      </c>
      <c r="C6" t="inlineStr">
        <is>
          <t>081254448872</t>
        </is>
      </c>
      <c r="D6" t="inlineStr">
        <is>
          <t>bawanpermaigroup@gmail.com</t>
        </is>
      </c>
      <c r="E6" t="inlineStr">
        <is>
          <t>https://lpjk.pu.go.id/search-badan-usaha-detail/VkFSa094aWFCWnRrR3dESk5sakZyZz09</t>
        </is>
      </c>
      <c r="F6" t="n">
        <v>1</v>
      </c>
      <c r="G6" t="inlineStr">
        <is>
          <t>BS002</t>
        </is>
      </c>
      <c r="H6" t="inlineStr">
        <is>
          <t>2 Juni 2006</t>
        </is>
      </c>
      <c r="I6" s="2" t="n">
        <v>46357</v>
      </c>
      <c r="J6" t="inlineStr">
        <is>
          <t>Disetujui</t>
        </is>
      </c>
      <c r="K6" t="n">
        <v>60</v>
      </c>
      <c r="L6" t="inlineStr">
        <is>
          <t>1 Desember 2026</t>
        </is>
      </c>
      <c r="M6" t="inlineStr">
        <is>
          <t>Bangunan Sipil Jembatan, Jalan Layang, Fly Over, dan Underpass</t>
        </is>
      </c>
      <c r="N6" t="inlineStr">
        <is>
          <t>M</t>
        </is>
      </c>
      <c r="O6" t="inlineStr">
        <is>
          <t>20231202</t>
        </is>
      </c>
      <c r="P6" t="inlineStr">
        <is>
          <t>Kalimantan Tengah</t>
        </is>
      </c>
      <c r="Q6" t="inlineStr"/>
    </row>
    <row r="7">
      <c r="A7" t="inlineStr">
        <is>
          <t>BINA WARGA SEJAHTERA</t>
        </is>
      </c>
      <c r="B7" t="inlineStr">
        <is>
          <t>Kota Magelang</t>
        </is>
      </c>
      <c r="C7" t="inlineStr">
        <is>
          <t>081326718727</t>
        </is>
      </c>
      <c r="D7" t="inlineStr">
        <is>
          <t>binawargasejahtera.pt@gmail.com</t>
        </is>
      </c>
      <c r="E7" t="inlineStr">
        <is>
          <t>https://lpjk.pu.go.id/search-badan-usaha-detail/UFlMT0dXM1QydHFoNCs0eXpHU3pJZz09</t>
        </is>
      </c>
      <c r="F7" t="n">
        <v>5</v>
      </c>
      <c r="G7" t="inlineStr">
        <is>
          <t>BG001, BG002, BG005, BG006, BG009</t>
        </is>
      </c>
      <c r="H7" t="inlineStr">
        <is>
          <t>16 Juni 2008</t>
        </is>
      </c>
      <c r="I7" s="2" t="n">
        <v>46357</v>
      </c>
      <c r="J7" t="inlineStr">
        <is>
          <t>Disetujui, Pembekuan</t>
        </is>
      </c>
      <c r="K7" t="n">
        <v>60</v>
      </c>
      <c r="L7" t="inlineStr">
        <is>
          <t>1 Desember 2026</t>
        </is>
      </c>
      <c r="M7" t="inlineStr">
        <is>
          <t>Konstruksi Gedung Hunian, Konstruksi Gedung Kesehatan, Konstruksi Gedung Lainnya, Konstruksi Gedung Pendidikan, Konstruksi Gedung Perkantoran</t>
        </is>
      </c>
      <c r="N7" t="inlineStr">
        <is>
          <t>K, M</t>
        </is>
      </c>
      <c r="O7" t="inlineStr">
        <is>
          <t>20231201, 20231204</t>
        </is>
      </c>
      <c r="P7" t="inlineStr">
        <is>
          <t>Jawa Tengah</t>
        </is>
      </c>
      <c r="Q7" t="inlineStr"/>
    </row>
    <row r="8">
      <c r="A8" t="inlineStr">
        <is>
          <t>BUDI INDAH</t>
        </is>
      </c>
      <c r="B8" t="inlineStr">
        <is>
          <t>Kab. Siak</t>
        </is>
      </c>
      <c r="C8" t="inlineStr">
        <is>
          <t>0812619234</t>
        </is>
      </c>
      <c r="D8" t="inlineStr">
        <is>
          <t>budiindahcv@yahoo.com</t>
        </is>
      </c>
      <c r="E8" t="inlineStr">
        <is>
          <t>https://lpjk.pu.go.id/search-badan-usaha-detail/RS9zQjlHU3hIeVZyUzdRTFl5VGtJZz09</t>
        </is>
      </c>
      <c r="F8" t="n">
        <v>1</v>
      </c>
      <c r="G8" t="inlineStr">
        <is>
          <t>BG009</t>
        </is>
      </c>
      <c r="H8" t="inlineStr">
        <is>
          <t>18 Desember 2000</t>
        </is>
      </c>
      <c r="I8" s="2" t="n">
        <v>46357</v>
      </c>
      <c r="J8" t="inlineStr">
        <is>
          <t>Disetujui</t>
        </is>
      </c>
      <c r="K8" t="n">
        <v>60</v>
      </c>
      <c r="L8" t="inlineStr">
        <is>
          <t>1 Desember 2026</t>
        </is>
      </c>
      <c r="M8" t="inlineStr">
        <is>
          <t>Konstruksi Gedung Lainnya</t>
        </is>
      </c>
      <c r="N8" t="inlineStr">
        <is>
          <t>K</t>
        </is>
      </c>
      <c r="O8" t="inlineStr">
        <is>
          <t>20231201</t>
        </is>
      </c>
      <c r="P8" t="inlineStr">
        <is>
          <t>Riau</t>
        </is>
      </c>
      <c r="Q8" t="inlineStr"/>
    </row>
    <row r="9">
      <c r="A9" t="inlineStr">
        <is>
          <t>CAHAYA SRIWIJAYA ABADI</t>
        </is>
      </c>
      <c r="B9" t="inlineStr">
        <is>
          <t>Kota Palembang</t>
        </is>
      </c>
      <c r="C9" t="inlineStr">
        <is>
          <t>085381907222</t>
        </is>
      </c>
      <c r="D9" t="inlineStr">
        <is>
          <t>cahayasriwijayaabadi@gmail.com</t>
        </is>
      </c>
      <c r="E9" t="inlineStr">
        <is>
          <t>https://lpjk.pu.go.id/search-badan-usaha-detail/WU9VSUp3UVVVeUxLQjJkbkIrV0RTY1ZYUDZzOEFQcWszSTFDZW1IZHlTdz0</t>
        </is>
      </c>
      <c r="F9" t="n">
        <v>1</v>
      </c>
      <c r="G9" t="inlineStr">
        <is>
          <t>BG007</t>
        </is>
      </c>
      <c r="H9" t="inlineStr">
        <is>
          <t>26 Agustus 2025</t>
        </is>
      </c>
      <c r="I9" s="2" t="n">
        <v>46357</v>
      </c>
      <c r="J9" t="inlineStr">
        <is>
          <t>Disetujui</t>
        </is>
      </c>
      <c r="K9" t="n">
        <v>60</v>
      </c>
      <c r="L9" t="inlineStr">
        <is>
          <t>1 Desember 2026</t>
        </is>
      </c>
      <c r="M9" t="inlineStr">
        <is>
          <t>Konstruksi Gedung Penginapan</t>
        </is>
      </c>
      <c r="N9" t="inlineStr">
        <is>
          <t>B</t>
        </is>
      </c>
      <c r="O9" t="inlineStr">
        <is>
          <t>20231130</t>
        </is>
      </c>
      <c r="P9" t="inlineStr">
        <is>
          <t>Sumatera Selatan</t>
        </is>
      </c>
      <c r="Q9" t="inlineStr"/>
    </row>
    <row r="10">
      <c r="A10" t="inlineStr">
        <is>
          <t>CIPTA KARYA ABADI JAYA</t>
        </is>
      </c>
      <c r="B10" t="inlineStr">
        <is>
          <t>Kota Makassar</t>
        </is>
      </c>
      <c r="C10" t="inlineStr">
        <is>
          <t>081355799990</t>
        </is>
      </c>
      <c r="D10" t="inlineStr">
        <is>
          <t>bka_makassar@yahoo.co.id</t>
        </is>
      </c>
      <c r="E10" t="inlineStr">
        <is>
          <t>https://lpjk.pu.go.id/search-badan-usaha-detail/SkFRNnlJc05yTnl4R3BlT2dUYkNBZz09</t>
        </is>
      </c>
      <c r="F10" t="n">
        <v>4</v>
      </c>
      <c r="G10" t="inlineStr">
        <is>
          <t>BG002, BG009</t>
        </is>
      </c>
      <c r="H10" t="inlineStr">
        <is>
          <t>9 Maret 2015</t>
        </is>
      </c>
      <c r="I10" s="2" t="n">
        <v>46357</v>
      </c>
      <c r="J10" t="inlineStr">
        <is>
          <t>Disetujui</t>
        </is>
      </c>
      <c r="K10" t="n">
        <v>60</v>
      </c>
      <c r="L10" t="inlineStr">
        <is>
          <t>1 Desember 2026</t>
        </is>
      </c>
      <c r="M10" t="inlineStr">
        <is>
          <t>Konstruksi Gedung Lainnya, Konstruksi Gedung Perkantoran</t>
        </is>
      </c>
      <c r="N10" t="inlineStr">
        <is>
          <t>K</t>
        </is>
      </c>
      <c r="O10" t="inlineStr">
        <is>
          <t>20231201</t>
        </is>
      </c>
      <c r="P10" t="inlineStr">
        <is>
          <t>Sulawesi Selatan</t>
        </is>
      </c>
      <c r="Q10" t="inlineStr"/>
    </row>
    <row r="11">
      <c r="A11" t="inlineStr">
        <is>
          <t>DEWI FAEYZA ABADI</t>
        </is>
      </c>
      <c r="B11" t="inlineStr">
        <is>
          <t>Kota Palu</t>
        </is>
      </c>
      <c r="C11" t="inlineStr">
        <is>
          <t>081527700872</t>
        </is>
      </c>
      <c r="D11" t="inlineStr">
        <is>
          <t>cvdewifaeyzaabadi@gmail.com</t>
        </is>
      </c>
      <c r="E11" t="inlineStr">
        <is>
          <t>https://lpjk.pu.go.id/search-badan-usaha-detail/LzlPUWhoS2YrMDZScmlsamw5NlAxZz09</t>
        </is>
      </c>
      <c r="F11" t="n">
        <v>1</v>
      </c>
      <c r="G11" t="inlineStr">
        <is>
          <t>BS010</t>
        </is>
      </c>
      <c r="H11" t="inlineStr">
        <is>
          <t>8 Agustus 2023</t>
        </is>
      </c>
      <c r="I11" s="2" t="n">
        <v>46357</v>
      </c>
      <c r="J11" t="inlineStr">
        <is>
          <t>Disetujui</t>
        </is>
      </c>
      <c r="K11" t="n">
        <v>60</v>
      </c>
      <c r="L11" t="inlineStr">
        <is>
          <t>1 Desember 2026</t>
        </is>
      </c>
      <c r="M11" t="inlineStr">
        <is>
          <t>Konstruksi Bangunan Prasarana Sumber Daya Air</t>
        </is>
      </c>
      <c r="N11" t="inlineStr">
        <is>
          <t>K</t>
        </is>
      </c>
      <c r="O11" t="inlineStr">
        <is>
          <t>20231201</t>
        </is>
      </c>
      <c r="P11" t="inlineStr">
        <is>
          <t>Sulawesi Tengah</t>
        </is>
      </c>
      <c r="Q11" t="inlineStr"/>
    </row>
    <row r="12">
      <c r="A12" t="inlineStr">
        <is>
          <t>GELORA TUJUH UTAMA</t>
        </is>
      </c>
      <c r="B12" t="inlineStr">
        <is>
          <t>Kab. Sijunjung</t>
        </is>
      </c>
      <c r="C12" t="inlineStr">
        <is>
          <t>081334481895</t>
        </is>
      </c>
      <c r="D12" t="inlineStr">
        <is>
          <t>gelora7utama@gmail.com</t>
        </is>
      </c>
      <c r="E12" t="inlineStr">
        <is>
          <t>https://lpjk.pu.go.id/search-badan-usaha-detail/dUlBSzdoWnU1T2NtL29vTG4xc3lJUT09</t>
        </is>
      </c>
      <c r="F12" t="n">
        <v>3</v>
      </c>
      <c r="G12" t="inlineStr">
        <is>
          <t>BG002, BG006, BG009</t>
        </is>
      </c>
      <c r="H12" t="inlineStr">
        <is>
          <t>9 Oktober 2023</t>
        </is>
      </c>
      <c r="I12" s="2" t="n">
        <v>46357</v>
      </c>
      <c r="J12" t="inlineStr">
        <is>
          <t>Disetujui</t>
        </is>
      </c>
      <c r="K12" t="n">
        <v>60</v>
      </c>
      <c r="L12" t="inlineStr">
        <is>
          <t>1 Desember 2026</t>
        </is>
      </c>
      <c r="M12" t="inlineStr">
        <is>
          <t>Konstruksi Gedung Lainnya, Konstruksi Gedung Pendidikan, Konstruksi Gedung Perkantoran</t>
        </is>
      </c>
      <c r="N12" t="inlineStr">
        <is>
          <t>K</t>
        </is>
      </c>
      <c r="O12" t="inlineStr">
        <is>
          <t>20231130, 20231201</t>
        </is>
      </c>
      <c r="P12" t="inlineStr">
        <is>
          <t>Sumatera Barat</t>
        </is>
      </c>
      <c r="Q12" t="inlineStr"/>
    </row>
    <row r="13">
      <c r="A13" t="inlineStr">
        <is>
          <t>HUMAERAH FAHIRAH ASRI</t>
        </is>
      </c>
      <c r="B13" t="inlineStr">
        <is>
          <t>Kab. Maros</t>
        </is>
      </c>
      <c r="C13" t="inlineStr">
        <is>
          <t>081270012534</t>
        </is>
      </c>
      <c r="D13" t="inlineStr">
        <is>
          <t>humaerah.fahirah@gmail.com</t>
        </is>
      </c>
      <c r="E13" t="inlineStr">
        <is>
          <t>https://lpjk.pu.go.id/search-badan-usaha-detail/YUhjOXlSY0NTTGhndEIvWmZ1UU90QT09</t>
        </is>
      </c>
      <c r="F13" t="n">
        <v>1</v>
      </c>
      <c r="G13" t="inlineStr">
        <is>
          <t>BG001</t>
        </is>
      </c>
      <c r="H13" t="inlineStr">
        <is>
          <t>24 Oktober 2022</t>
        </is>
      </c>
      <c r="I13" s="2" t="n">
        <v>46357</v>
      </c>
      <c r="J13" t="inlineStr">
        <is>
          <t>Disetujui</t>
        </is>
      </c>
      <c r="K13" t="n">
        <v>60</v>
      </c>
      <c r="L13" t="inlineStr">
        <is>
          <t>1 Desember 2026</t>
        </is>
      </c>
      <c r="M13" t="inlineStr">
        <is>
          <t>Konstruksi Gedung Hunian</t>
        </is>
      </c>
      <c r="N13" t="inlineStr">
        <is>
          <t>K</t>
        </is>
      </c>
      <c r="O13" t="inlineStr">
        <is>
          <t>20230929</t>
        </is>
      </c>
      <c r="P13" t="inlineStr">
        <is>
          <t>Sulawesi Selatan</t>
        </is>
      </c>
      <c r="Q13" t="inlineStr"/>
    </row>
    <row r="14">
      <c r="A14" t="inlineStr">
        <is>
          <t>KARYA MUTIARA</t>
        </is>
      </c>
      <c r="B14" t="inlineStr">
        <is>
          <t>Kota Pariaman</t>
        </is>
      </c>
      <c r="C14" t="inlineStr">
        <is>
          <t>081363376339</t>
        </is>
      </c>
      <c r="D14" t="inlineStr">
        <is>
          <t>karya.mutiara83@gmail.com</t>
        </is>
      </c>
      <c r="E14" t="inlineStr">
        <is>
          <t>https://lpjk.pu.go.id/search-badan-usaha-detail/K3NRZkF5aEMwLy8xTDh6blkybHZqdz09</t>
        </is>
      </c>
      <c r="F14" t="n">
        <v>1</v>
      </c>
      <c r="G14" t="inlineStr">
        <is>
          <t>BS004</t>
        </is>
      </c>
      <c r="H14" t="inlineStr">
        <is>
          <t>23 Maret 2010</t>
        </is>
      </c>
      <c r="I14" s="2" t="n">
        <v>46357</v>
      </c>
      <c r="J14" t="inlineStr">
        <is>
          <t>Disetujui</t>
        </is>
      </c>
      <c r="K14" t="n">
        <v>60</v>
      </c>
      <c r="L14" t="inlineStr">
        <is>
          <t>1 Desember 2026</t>
        </is>
      </c>
      <c r="M14" t="inlineStr">
        <is>
          <t>Konstruksi Jaringan Irigasi dan Drainase</t>
        </is>
      </c>
      <c r="N14" t="inlineStr">
        <is>
          <t>K</t>
        </is>
      </c>
      <c r="O14" t="inlineStr">
        <is>
          <t>20231201</t>
        </is>
      </c>
      <c r="P14" t="inlineStr">
        <is>
          <t>Sumatera Barat</t>
        </is>
      </c>
      <c r="Q14" t="inlineStr"/>
    </row>
    <row r="15">
      <c r="A15" t="inlineStr">
        <is>
          <t>MUKTI INDAH</t>
        </is>
      </c>
      <c r="B15" t="inlineStr">
        <is>
          <t>Kab. Ciamis</t>
        </is>
      </c>
      <c r="C15" t="inlineStr">
        <is>
          <t>085221346739</t>
        </is>
      </c>
      <c r="D15" t="inlineStr">
        <is>
          <t>cvmuktiindah@gmail.com</t>
        </is>
      </c>
      <c r="E15" t="inlineStr">
        <is>
          <t>https://lpjk.pu.go.id/search-badan-usaha-detail/WW1WcG4xUVUvaWRCY0ZEMnpQQWpPQT09</t>
        </is>
      </c>
      <c r="F15" t="n">
        <v>1</v>
      </c>
      <c r="G15" t="inlineStr">
        <is>
          <t>BS010</t>
        </is>
      </c>
      <c r="H15" t="inlineStr">
        <is>
          <t>10 Agustus 2016</t>
        </is>
      </c>
      <c r="I15" s="2" t="n">
        <v>46357</v>
      </c>
      <c r="J15" t="inlineStr">
        <is>
          <t>Disetujui</t>
        </is>
      </c>
      <c r="K15" t="n">
        <v>60</v>
      </c>
      <c r="L15" t="inlineStr">
        <is>
          <t>1 Desember 2026</t>
        </is>
      </c>
      <c r="M15" t="inlineStr">
        <is>
          <t>Konstruksi Bangunan Prasarana Sumber Daya Air</t>
        </is>
      </c>
      <c r="N15" t="inlineStr">
        <is>
          <t>K</t>
        </is>
      </c>
      <c r="O15" t="inlineStr">
        <is>
          <t>20231201</t>
        </is>
      </c>
      <c r="P15" t="inlineStr">
        <is>
          <t>Jawa Barat</t>
        </is>
      </c>
      <c r="Q15" t="inlineStr"/>
    </row>
    <row r="16">
      <c r="A16" t="inlineStr">
        <is>
          <t>NUR WAHYU RESKY</t>
        </is>
      </c>
      <c r="B16" t="inlineStr">
        <is>
          <t>Kota Pontianak</t>
        </is>
      </c>
      <c r="C16" t="inlineStr">
        <is>
          <t>081256123455</t>
        </is>
      </c>
      <c r="D16" t="inlineStr">
        <is>
          <t>osswahyudi@gmail.com</t>
        </is>
      </c>
      <c r="E16" t="inlineStr">
        <is>
          <t>https://lpjk.pu.go.id/search-badan-usaha-detail/Um5CUHlIYy92UFJRMnpZUXJrMWhSUT09</t>
        </is>
      </c>
      <c r="F16" t="n">
        <v>2</v>
      </c>
      <c r="G16" t="inlineStr">
        <is>
          <t>BG009, BS001</t>
        </is>
      </c>
      <c r="H16" t="inlineStr">
        <is>
          <t>11 Juni 2009</t>
        </is>
      </c>
      <c r="I16" s="2" t="n">
        <v>46357</v>
      </c>
      <c r="J16" t="inlineStr">
        <is>
          <t>Disetujui</t>
        </is>
      </c>
      <c r="K16" t="n">
        <v>60</v>
      </c>
      <c r="L16" t="inlineStr">
        <is>
          <t>1 Desember 2026</t>
        </is>
      </c>
      <c r="M16" t="inlineStr">
        <is>
          <t>Konstruksi Bangunan Sipil Jalan, Konstruksi Gedung Lainnya</t>
        </is>
      </c>
      <c r="N16" t="inlineStr">
        <is>
          <t>K</t>
        </is>
      </c>
      <c r="O16" t="inlineStr">
        <is>
          <t>20231129</t>
        </is>
      </c>
      <c r="P16" t="inlineStr">
        <is>
          <t>Kalimantan Barat</t>
        </is>
      </c>
      <c r="Q16" t="inlineStr"/>
    </row>
    <row r="17">
      <c r="A17" t="inlineStr">
        <is>
          <t>PUTRA META</t>
        </is>
      </c>
      <c r="B17" t="inlineStr">
        <is>
          <t>Kab. Melawi</t>
        </is>
      </c>
      <c r="C17" t="inlineStr">
        <is>
          <t>-</t>
        </is>
      </c>
      <c r="D17" t="inlineStr">
        <is>
          <t>putrametamlw@gmail.com</t>
        </is>
      </c>
      <c r="E17" t="inlineStr">
        <is>
          <t>https://lpjk.pu.go.id/search-badan-usaha-detail/bTVaMXQ3OWVNd0F6UU1hMENjc1l3dz09</t>
        </is>
      </c>
      <c r="F17" t="n">
        <v>2</v>
      </c>
      <c r="G17" t="inlineStr">
        <is>
          <t>BS004, BS005</t>
        </is>
      </c>
      <c r="H17" t="inlineStr">
        <is>
          <t>8 Februari 2021</t>
        </is>
      </c>
      <c r="I17" s="2" t="n">
        <v>46357</v>
      </c>
      <c r="J17" t="inlineStr">
        <is>
          <t>Disetujui</t>
        </is>
      </c>
      <c r="K17" t="n">
        <v>60</v>
      </c>
      <c r="L17" t="inlineStr">
        <is>
          <t>1 Desember 2026</t>
        </is>
      </c>
      <c r="M17" t="inlineStr">
        <is>
          <t>Konstruksi Bangunan Sipil Pengolahan Air Bersih, Konstruksi Jaringan Irigasi dan Drainase</t>
        </is>
      </c>
      <c r="N17" t="inlineStr">
        <is>
          <t>K</t>
        </is>
      </c>
      <c r="O17" t="inlineStr">
        <is>
          <t>20231202</t>
        </is>
      </c>
      <c r="P17" t="inlineStr">
        <is>
          <t>Kalimantan Barat</t>
        </is>
      </c>
      <c r="Q17" t="inlineStr"/>
    </row>
    <row r="18">
      <c r="A18" t="inlineStr">
        <is>
          <t>PUTRA PERAWANG MANDIRI</t>
        </is>
      </c>
      <c r="B18" t="inlineStr">
        <is>
          <t>Kab. Siak</t>
        </is>
      </c>
      <c r="C18" t="inlineStr">
        <is>
          <t>085271033636</t>
        </is>
      </c>
      <c r="D18" t="inlineStr">
        <is>
          <t>putraperawangmandiricv@yahoo.com</t>
        </is>
      </c>
      <c r="E18" t="inlineStr">
        <is>
          <t>https://lpjk.pu.go.id/search-badan-usaha-detail/REJKY0dQbVdPQTBOYlJIR2JveGVBUT09</t>
        </is>
      </c>
      <c r="F18" t="n">
        <v>1</v>
      </c>
      <c r="G18" t="inlineStr">
        <is>
          <t>BG009</t>
        </is>
      </c>
      <c r="H18" t="inlineStr">
        <is>
          <t>21 September 2023</t>
        </is>
      </c>
      <c r="I18" s="2" t="n">
        <v>46357</v>
      </c>
      <c r="J18" t="inlineStr">
        <is>
          <t>Disetujui</t>
        </is>
      </c>
      <c r="K18" t="n">
        <v>60</v>
      </c>
      <c r="L18" t="inlineStr">
        <is>
          <t>1 Desember 2026</t>
        </is>
      </c>
      <c r="M18" t="inlineStr">
        <is>
          <t>Konstruksi Gedung Lainnya</t>
        </is>
      </c>
      <c r="N18" t="inlineStr">
        <is>
          <t>K</t>
        </is>
      </c>
      <c r="O18" t="inlineStr">
        <is>
          <t>20231201</t>
        </is>
      </c>
      <c r="P18" t="inlineStr">
        <is>
          <t>Riau</t>
        </is>
      </c>
      <c r="Q18" t="inlineStr"/>
    </row>
    <row r="19">
      <c r="A19" t="inlineStr">
        <is>
          <t>ROYAL JAYA PAPUA</t>
        </is>
      </c>
      <c r="B19" t="inlineStr">
        <is>
          <t>Kota Jayapura</t>
        </is>
      </c>
      <c r="C19" t="inlineStr">
        <is>
          <t>081243741474</t>
        </is>
      </c>
      <c r="D19" t="inlineStr">
        <is>
          <t>royaljayapapua@gmail.com</t>
        </is>
      </c>
      <c r="E19" t="inlineStr">
        <is>
          <t>https://lpjk.pu.go.id/search-badan-usaha-detail/b0EwTlk1akozRlV4eDZwVVRmaDhkZz09</t>
        </is>
      </c>
      <c r="F19" t="n">
        <v>1</v>
      </c>
      <c r="G19" t="inlineStr">
        <is>
          <t>BS001</t>
        </is>
      </c>
      <c r="H19" t="inlineStr">
        <is>
          <t>15 Agustus 2022</t>
        </is>
      </c>
      <c r="I19" s="2" t="n">
        <v>46357</v>
      </c>
      <c r="J19" t="inlineStr">
        <is>
          <t>Disetujui</t>
        </is>
      </c>
      <c r="K19" t="n">
        <v>60</v>
      </c>
      <c r="L19" t="inlineStr">
        <is>
          <t>1 Desember 2026</t>
        </is>
      </c>
      <c r="M19" t="inlineStr">
        <is>
          <t>Konstruksi Bangunan Sipil Jalan</t>
        </is>
      </c>
      <c r="N19" t="inlineStr">
        <is>
          <t>K</t>
        </is>
      </c>
      <c r="O19" t="inlineStr">
        <is>
          <t>20231201</t>
        </is>
      </c>
      <c r="P19" t="inlineStr">
        <is>
          <t>Papua</t>
        </is>
      </c>
      <c r="Q19" t="inlineStr"/>
    </row>
    <row r="20">
      <c r="A20" t="inlineStr">
        <is>
          <t>SYIFAH JAYA KALTIM</t>
        </is>
      </c>
      <c r="B20" t="inlineStr">
        <is>
          <t>Kota Samarinda</t>
        </is>
      </c>
      <c r="C20" t="inlineStr">
        <is>
          <t>081335372138</t>
        </is>
      </c>
      <c r="D20" t="inlineStr">
        <is>
          <t>syifahjayakaltim@gmail.com</t>
        </is>
      </c>
      <c r="E20" t="inlineStr">
        <is>
          <t>https://lpjk.pu.go.id/search-badan-usaha-detail/QjVKRzg1R0IvaWJPVHhoSWVXcm02QT09</t>
        </is>
      </c>
      <c r="F20" t="n">
        <v>2</v>
      </c>
      <c r="G20" t="inlineStr">
        <is>
          <t>BS001, BS004</t>
        </is>
      </c>
      <c r="H20" t="inlineStr">
        <is>
          <t>4 Mei 2020</t>
        </is>
      </c>
      <c r="I20" s="2" t="n">
        <v>46357</v>
      </c>
      <c r="J20" t="inlineStr">
        <is>
          <t>Disetujui</t>
        </is>
      </c>
      <c r="K20" t="n">
        <v>60</v>
      </c>
      <c r="L20" t="inlineStr">
        <is>
          <t>1 Desember 2026</t>
        </is>
      </c>
      <c r="M20" t="inlineStr">
        <is>
          <t>Konstruksi Bangunan Sipil Jalan, Konstruksi Jaringan Irigasi dan Drainase</t>
        </is>
      </c>
      <c r="N20" t="inlineStr">
        <is>
          <t>K</t>
        </is>
      </c>
      <c r="O20" t="inlineStr">
        <is>
          <t>20231129</t>
        </is>
      </c>
      <c r="P20" t="inlineStr">
        <is>
          <t>Kalimantan Timur</t>
        </is>
      </c>
      <c r="Q20" t="inlineStr"/>
    </row>
    <row r="21">
      <c r="A21" t="inlineStr">
        <is>
          <t>TAMADO KARYA MANDIRI</t>
        </is>
      </c>
      <c r="B21" t="inlineStr">
        <is>
          <t>Kota Medan</t>
        </is>
      </c>
      <c r="C21" t="inlineStr">
        <is>
          <t>081375926448</t>
        </is>
      </c>
      <c r="D21" t="inlineStr">
        <is>
          <t>Selamat_tamadokaryamandiri@yahoo.co.id</t>
        </is>
      </c>
      <c r="E21" t="inlineStr">
        <is>
          <t>https://lpjk.pu.go.id/search-badan-usaha-detail/TlFYZlhqNEpDY2J3RUQ0bjNPSGNaQT09</t>
        </is>
      </c>
      <c r="F21" t="n">
        <v>2</v>
      </c>
      <c r="G21" t="inlineStr">
        <is>
          <t>BG002, BG009</t>
        </is>
      </c>
      <c r="H21" t="inlineStr">
        <is>
          <t>31 Maret 2015</t>
        </is>
      </c>
      <c r="I21" s="2" t="n">
        <v>46357</v>
      </c>
      <c r="J21" t="inlineStr">
        <is>
          <t>Disetujui</t>
        </is>
      </c>
      <c r="K21" t="n">
        <v>60</v>
      </c>
      <c r="L21" t="inlineStr">
        <is>
          <t>1 Desember 2026</t>
        </is>
      </c>
      <c r="M21" t="inlineStr">
        <is>
          <t>Konstruksi Gedung Lainnya, Konstruksi Gedung Perkantoran</t>
        </is>
      </c>
      <c r="N21" t="inlineStr">
        <is>
          <t>K</t>
        </is>
      </c>
      <c r="O21" t="inlineStr">
        <is>
          <t>20231120</t>
        </is>
      </c>
      <c r="P21" t="inlineStr">
        <is>
          <t>Sumatera Utara</t>
        </is>
      </c>
      <c r="Q21" t="inlineStr"/>
    </row>
    <row r="22">
      <c r="A22" t="inlineStr">
        <is>
          <t>THREETE PERSADA</t>
        </is>
      </c>
      <c r="B22" t="inlineStr">
        <is>
          <t>Kab. Buru Selatan</t>
        </is>
      </c>
      <c r="C22" t="inlineStr">
        <is>
          <t>082267763667</t>
        </is>
      </c>
      <c r="D22" t="inlineStr">
        <is>
          <t>cvthreetepersada@gmail.com</t>
        </is>
      </c>
      <c r="E22" t="inlineStr">
        <is>
          <t>https://lpjk.pu.go.id/search-badan-usaha-detail/aXRVR0hBWFVOTVFZNXM1MitqVFp5QT09</t>
        </is>
      </c>
      <c r="F22" t="n">
        <v>1</v>
      </c>
      <c r="G22" t="inlineStr">
        <is>
          <t>BS010</t>
        </is>
      </c>
      <c r="H22" t="inlineStr">
        <is>
          <t>2 Februari 2023</t>
        </is>
      </c>
      <c r="I22" s="2" t="n">
        <v>46357</v>
      </c>
      <c r="J22" t="inlineStr">
        <is>
          <t>Disetujui</t>
        </is>
      </c>
      <c r="K22" t="n">
        <v>60</v>
      </c>
      <c r="L22" t="inlineStr">
        <is>
          <t>1 Desember 2026</t>
        </is>
      </c>
      <c r="M22" t="inlineStr">
        <is>
          <t>Konstruksi Bangunan Prasarana Sumber Daya Air</t>
        </is>
      </c>
      <c r="N22" t="inlineStr">
        <is>
          <t>K</t>
        </is>
      </c>
      <c r="O22" t="inlineStr">
        <is>
          <t>20231201</t>
        </is>
      </c>
      <c r="P22" t="inlineStr">
        <is>
          <t>Maluku</t>
        </is>
      </c>
      <c r="Q22" t="inlineStr"/>
    </row>
    <row r="23">
      <c r="A23" t="inlineStr">
        <is>
          <t>TIGA PILAR ENTALISPRO</t>
        </is>
      </c>
      <c r="B23" t="inlineStr">
        <is>
          <t>Kab. Malang</t>
        </is>
      </c>
      <c r="C23" t="inlineStr">
        <is>
          <t>081236731444</t>
        </is>
      </c>
      <c r="D23" t="inlineStr">
        <is>
          <t>tigapilarentalispro@gmail.com</t>
        </is>
      </c>
      <c r="E23" t="inlineStr">
        <is>
          <t>https://lpjk.pu.go.id/search-badan-usaha-detail/NkRzK1VtaWNDVDBMU0ZEbnNVYnFxQT09</t>
        </is>
      </c>
      <c r="F23" t="n">
        <v>1</v>
      </c>
      <c r="G23" t="inlineStr">
        <is>
          <t>BG003</t>
        </is>
      </c>
      <c r="H23" t="inlineStr">
        <is>
          <t>7 Maret 2012</t>
        </is>
      </c>
      <c r="I23" s="2" t="n">
        <v>46357</v>
      </c>
      <c r="J23" t="inlineStr">
        <is>
          <t>Disetujui</t>
        </is>
      </c>
      <c r="K23" t="n">
        <v>60</v>
      </c>
      <c r="L23" t="inlineStr">
        <is>
          <t>1 Desember 2026</t>
        </is>
      </c>
      <c r="M23" t="inlineStr">
        <is>
          <t>Konstruksi Gedung Industri</t>
        </is>
      </c>
      <c r="N23" t="inlineStr">
        <is>
          <t>M</t>
        </is>
      </c>
      <c r="O23" t="inlineStr">
        <is>
          <t>20231130</t>
        </is>
      </c>
      <c r="P23" t="inlineStr">
        <is>
          <t>Jawa Timur</t>
        </is>
      </c>
      <c r="Q23" t="inlineStr"/>
    </row>
    <row r="24">
      <c r="A24" t="inlineStr">
        <is>
          <t>TRIYAGAN HARMET PERKASA</t>
        </is>
      </c>
      <c r="B24" t="inlineStr">
        <is>
          <t>Kab. Sukoharjo</t>
        </is>
      </c>
      <c r="C24" t="inlineStr">
        <is>
          <t>081215676828</t>
        </is>
      </c>
      <c r="D24" t="inlineStr">
        <is>
          <t>pttriyaganharmet@gmail.com</t>
        </is>
      </c>
      <c r="E24" t="inlineStr">
        <is>
          <t>https://lpjk.pu.go.id/search-badan-usaha-detail/TFZQc2YyRXNKQTJvUHFXd0xCZ0lhUT09</t>
        </is>
      </c>
      <c r="F24" t="n">
        <v>2</v>
      </c>
      <c r="G24" t="inlineStr">
        <is>
          <t>BS001, BS002</t>
        </is>
      </c>
      <c r="H24" t="inlineStr">
        <is>
          <t>20 Februari 2017</t>
        </is>
      </c>
      <c r="I24" s="2" t="n">
        <v>46357</v>
      </c>
      <c r="J24" t="inlineStr">
        <is>
          <t>Disetujui</t>
        </is>
      </c>
      <c r="K24" t="n">
        <v>60</v>
      </c>
      <c r="L24" t="inlineStr">
        <is>
          <t>1 Desember 2026</t>
        </is>
      </c>
      <c r="M24" t="inlineStr">
        <is>
          <t>Bangunan Sipil Jembatan, Jalan Layang, Fly Over, dan Underpass, Konstruksi Bangunan Sipil Jalan</t>
        </is>
      </c>
      <c r="N24" t="inlineStr">
        <is>
          <t>M</t>
        </is>
      </c>
      <c r="O24" t="inlineStr">
        <is>
          <t>20231122</t>
        </is>
      </c>
      <c r="P24" t="inlineStr">
        <is>
          <t>Jawa Tengah</t>
        </is>
      </c>
      <c r="Q2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24"/>
  <sheetViews>
    <sheetView workbookViewId="0">
      <selection activeCell="A1" sqref="A1"/>
    </sheetView>
  </sheetViews>
  <sheetFormatPr baseColWidth="8" defaultRowHeight="15"/>
  <cols>
    <col width="32" customWidth="1" min="1" max="1"/>
    <col width="30" customWidth="1" min="2" max="2"/>
    <col width="18" customWidth="1" min="3" max="3"/>
    <col width="37"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ARMACO</t>
        </is>
      </c>
      <c r="B2" t="inlineStr">
        <is>
          <t>Kota Adm. Jakarta Timur</t>
        </is>
      </c>
      <c r="C2" t="inlineStr">
        <is>
          <t>02185915513</t>
        </is>
      </c>
      <c r="D2" t="inlineStr">
        <is>
          <t>armaco1977@gmail.com</t>
        </is>
      </c>
      <c r="E2" t="inlineStr">
        <is>
          <t>https://lpjk.pu.go.id/search-badan-usaha-detail/Z2l5cTdncnFFSThuZ1Jjb3RqQmhsUT09</t>
        </is>
      </c>
      <c r="F2" t="n">
        <v>2</v>
      </c>
      <c r="G2" t="inlineStr">
        <is>
          <t>BG002, BG009</t>
        </is>
      </c>
      <c r="H2" t="inlineStr">
        <is>
          <t>10 Juli 2017</t>
        </is>
      </c>
      <c r="I2" s="2" t="n">
        <v>46327</v>
      </c>
      <c r="J2" t="inlineStr">
        <is>
          <t>Disetujui</t>
        </is>
      </c>
      <c r="K2" t="n">
        <v>30</v>
      </c>
      <c r="L2" t="inlineStr">
        <is>
          <t>1 November 2026</t>
        </is>
      </c>
      <c r="M2" t="inlineStr">
        <is>
          <t>Konstruksi Gedung Lainnya, Konstruksi Gedung Perkantoran</t>
        </is>
      </c>
      <c r="N2" t="inlineStr">
        <is>
          <t>K</t>
        </is>
      </c>
      <c r="O2" t="inlineStr">
        <is>
          <t>20231027, 20231031</t>
        </is>
      </c>
      <c r="P2" t="inlineStr">
        <is>
          <t>DKI Jakarta</t>
        </is>
      </c>
      <c r="Q2" t="inlineStr"/>
    </row>
    <row r="3">
      <c r="A3" t="inlineStr">
        <is>
          <t>DIMAS AQNI PUTRA</t>
        </is>
      </c>
      <c r="B3" t="inlineStr">
        <is>
          <t>Kota Bekasi</t>
        </is>
      </c>
      <c r="C3" t="inlineStr">
        <is>
          <t>081283780827</t>
        </is>
      </c>
      <c r="D3" t="inlineStr">
        <is>
          <t>dimasaqniputra@gmail.com</t>
        </is>
      </c>
      <c r="E3" t="inlineStr">
        <is>
          <t>https://lpjk.pu.go.id/search-badan-usaha-detail/aWMwQjdOOFZaZ3FpRWEyVlRLVU1KUT09</t>
        </is>
      </c>
      <c r="F3" t="n">
        <v>2</v>
      </c>
      <c r="G3" t="inlineStr">
        <is>
          <t>BG009, BS002</t>
        </is>
      </c>
      <c r="H3" t="inlineStr">
        <is>
          <t>29 Oktober 2015</t>
        </is>
      </c>
      <c r="I3" s="2" t="n">
        <v>46327</v>
      </c>
      <c r="J3" t="inlineStr">
        <is>
          <t>Disetujui, Pencabutan</t>
        </is>
      </c>
      <c r="K3" t="n">
        <v>30</v>
      </c>
      <c r="L3" t="inlineStr">
        <is>
          <t>1 November 2026</t>
        </is>
      </c>
      <c r="M3" t="inlineStr">
        <is>
          <t>Bangunan Sipil Jembatan, Jalan Layang, Fly Over, dan Underpass, Konstruksi Gedung Lainnya</t>
        </is>
      </c>
      <c r="N3" t="inlineStr">
        <is>
          <t>K</t>
        </is>
      </c>
      <c r="O3" t="inlineStr">
        <is>
          <t>20231019</t>
        </is>
      </c>
      <c r="P3" t="inlineStr">
        <is>
          <t>Jawa Barat</t>
        </is>
      </c>
      <c r="Q3" s="3">
        <f>HYPERLINK("https://wa.me/6281283780827?text=*[Pengingat Masa Berlaku SBU DIMAS AQNI PUTRA]*%0A%0AYth. Pimpinan DIMAS AQNI PUTRA,%0AMohon izin menginformasikan status SBU Anda:%0A%0A📄 SBU: BG009, BS002%0A📅 Expired: 1 November 2026 (30 Hari Lagi)%0A%0AKami tim PT. ESDEA Assistance Management siap men-support proses perpanjangan segera agar administrasi proyek tidak terhambat%0A%0AApakah boleh saya bantu siapkan estimasi biaya dan waktu pengerjaannya?.", "Hubungi")</f>
        <v/>
      </c>
    </row>
    <row r="4">
      <c r="A4" t="inlineStr">
        <is>
          <t>DZAKY KUSUMA</t>
        </is>
      </c>
      <c r="B4" t="inlineStr">
        <is>
          <t>Kab. Bekasi</t>
        </is>
      </c>
      <c r="C4" t="inlineStr">
        <is>
          <t>081399055222</t>
        </is>
      </c>
      <c r="D4" t="inlineStr">
        <is>
          <t>dzakykusuma2019@gmail.com</t>
        </is>
      </c>
      <c r="E4" t="inlineStr">
        <is>
          <t>https://lpjk.pu.go.id/search-badan-usaha-detail/QWloVEYwL29nZmhGV2NQaEt6RGJBUT09</t>
        </is>
      </c>
      <c r="F4" t="n">
        <v>2</v>
      </c>
      <c r="G4" t="inlineStr">
        <is>
          <t>BG009, BS001</t>
        </is>
      </c>
      <c r="H4" t="inlineStr">
        <is>
          <t>8 Januari 2016</t>
        </is>
      </c>
      <c r="I4" s="2" t="n">
        <v>46327</v>
      </c>
      <c r="J4" t="inlineStr">
        <is>
          <t>Disetujui</t>
        </is>
      </c>
      <c r="K4" t="n">
        <v>30</v>
      </c>
      <c r="L4" t="inlineStr">
        <is>
          <t>1 November 2026</t>
        </is>
      </c>
      <c r="M4" t="inlineStr">
        <is>
          <t>Konstruksi Bangunan Sipil Jalan, Konstruksi Gedung Lainnya</t>
        </is>
      </c>
      <c r="N4" t="inlineStr">
        <is>
          <t>K</t>
        </is>
      </c>
      <c r="O4" t="inlineStr">
        <is>
          <t>20231020, 20231021</t>
        </is>
      </c>
      <c r="P4" t="inlineStr">
        <is>
          <t>Jawa Barat</t>
        </is>
      </c>
      <c r="Q4" s="3">
        <f>HYPERLINK("https://wa.me/6281399055222?text=*[Pengingat Masa Berlaku SBU DZAKY KUSUMA]*%0A%0AYth. Pimpinan DZAKY KUSUMA,%0AMohon izin menginformasikan status SBU Anda:%0A%0A📄 SBU: BG009, BS001%0A📅 Expired: 1 November 2026 (30 Hari Lagi)%0A%0AKami tim PT. ESDEA Assistance Management siap men-support proses perpanjangan segera agar administrasi proyek tidak terhambat%0A%0AApakah boleh saya bantu siapkan estimasi biaya dan waktu pengerjaannya?.", "Hubungi")</f>
        <v/>
      </c>
    </row>
    <row r="5">
      <c r="A5" t="inlineStr">
        <is>
          <t>HOBASHITA MEGA IMPOLA</t>
        </is>
      </c>
      <c r="B5" t="inlineStr">
        <is>
          <t>Kota Bekasi</t>
        </is>
      </c>
      <c r="C5" t="inlineStr">
        <is>
          <t>02138711021</t>
        </is>
      </c>
      <c r="D5" t="inlineStr">
        <is>
          <t>pt.megaimpola@yahoo.com</t>
        </is>
      </c>
      <c r="E5" t="inlineStr">
        <is>
          <t>https://lpjk.pu.go.id/search-badan-usaha-detail/MG5PWFVtZGFVSWk0bElQYmZTYkFJUT09</t>
        </is>
      </c>
      <c r="F5" t="n">
        <v>1</v>
      </c>
      <c r="G5" t="inlineStr">
        <is>
          <t>IN004</t>
        </is>
      </c>
      <c r="H5" t="inlineStr">
        <is>
          <t>15 April 2014</t>
        </is>
      </c>
      <c r="I5" s="2" t="n">
        <v>46327</v>
      </c>
      <c r="J5" t="inlineStr">
        <is>
          <t>Pencabutan</t>
        </is>
      </c>
      <c r="K5" t="n">
        <v>30</v>
      </c>
      <c r="L5" t="inlineStr">
        <is>
          <t>1 November 2026</t>
        </is>
      </c>
      <c r="M5" t="inlineStr">
        <is>
          <t>Instalasi Minyak dan Gas</t>
        </is>
      </c>
      <c r="N5" t="inlineStr">
        <is>
          <t>Spesialis</t>
        </is>
      </c>
      <c r="O5" t="inlineStr">
        <is>
          <t>20231101</t>
        </is>
      </c>
      <c r="P5" t="inlineStr">
        <is>
          <t>Jawa Barat</t>
        </is>
      </c>
      <c r="Q5" t="inlineStr"/>
    </row>
    <row r="6">
      <c r="A6" t="inlineStr">
        <is>
          <t>MADYATHIKA</t>
        </is>
      </c>
      <c r="B6" t="inlineStr">
        <is>
          <t>Kab. Bogor</t>
        </is>
      </c>
      <c r="C6" t="inlineStr">
        <is>
          <t>085371328454</t>
        </is>
      </c>
      <c r="D6" t="inlineStr">
        <is>
          <t>madyathika@yahoo.com</t>
        </is>
      </c>
      <c r="E6" t="inlineStr">
        <is>
          <t>https://lpjk.pu.go.id/search-badan-usaha-detail/OUl6c29mRzYxN2N2NndnSUhsV1B1aTZoSjQ2ZXdNVnU0YklQTnAxcDhzMD0</t>
        </is>
      </c>
      <c r="F6" t="n">
        <v>3</v>
      </c>
      <c r="G6" t="inlineStr">
        <is>
          <t>BG002, BG009, BS001</t>
        </is>
      </c>
      <c r="H6" t="inlineStr">
        <is>
          <t>9 Januari 2026</t>
        </is>
      </c>
      <c r="I6" s="2" t="n">
        <v>46327</v>
      </c>
      <c r="J6" t="inlineStr">
        <is>
          <t>Disetujui</t>
        </is>
      </c>
      <c r="K6" t="n">
        <v>30</v>
      </c>
      <c r="L6" t="inlineStr">
        <is>
          <t>1 November 2026</t>
        </is>
      </c>
      <c r="M6" t="inlineStr">
        <is>
          <t>Konstruksi Bangunan Sipil Jalan, Konstruksi Gedung Lainnya, Konstruksi Gedung Perkantoran</t>
        </is>
      </c>
      <c r="N6" t="inlineStr">
        <is>
          <t>M</t>
        </is>
      </c>
      <c r="O6" t="inlineStr">
        <is>
          <t>20231029, 20231030, 20231101</t>
        </is>
      </c>
      <c r="P6" t="inlineStr">
        <is>
          <t>Jawa Barat</t>
        </is>
      </c>
      <c r="Q6" s="3">
        <f>HYPERLINK("https://wa.me/6285371328454?text=*[Pengingat Masa Berlaku SBU MADYATHIKA]*%0A%0AYth. Pimpinan MADYATHIKA,%0AMohon izin menginformasikan status SBU Anda:%0A%0A📄 SBU: BG002, BG009, BS001%0A📅 Expired: 1 November 2026 (30 Hari Lagi)%0A%0AKami tim PT. ESDEA Assistance Management siap men-support proses perpanjangan segera agar administrasi proyek tidak terhambat%0A%0AApakah boleh saya bantu siapkan estimasi biaya dan waktu pengerjaannya?.", "Hubungi")</f>
        <v/>
      </c>
    </row>
    <row r="7">
      <c r="A7" t="inlineStr">
        <is>
          <t>MANUNGGAL JASA KONTRUKSI</t>
        </is>
      </c>
      <c r="B7" t="inlineStr">
        <is>
          <t>Kota Bekasi</t>
        </is>
      </c>
      <c r="C7" t="inlineStr">
        <is>
          <t>081287259186</t>
        </is>
      </c>
      <c r="D7" t="inlineStr">
        <is>
          <t>manunggaljasa@yahoo.com</t>
        </is>
      </c>
      <c r="E7" t="inlineStr">
        <is>
          <t>https://lpjk.pu.go.id/search-badan-usaha-detail/SFFWdFlSYnpaalVSbnhEREduSDhHZz09</t>
        </is>
      </c>
      <c r="F7" t="n">
        <v>2</v>
      </c>
      <c r="G7" t="inlineStr">
        <is>
          <t>BS001</t>
        </is>
      </c>
      <c r="H7" t="inlineStr">
        <is>
          <t>8 Januari 2007</t>
        </is>
      </c>
      <c r="I7" s="2" t="n">
        <v>46327</v>
      </c>
      <c r="J7" t="inlineStr">
        <is>
          <t>Disetujui</t>
        </is>
      </c>
      <c r="K7" t="n">
        <v>30</v>
      </c>
      <c r="L7" t="inlineStr">
        <is>
          <t>1 November 2026</t>
        </is>
      </c>
      <c r="M7" t="inlineStr">
        <is>
          <t>Konstruksi Bangunan Sipil Jalan</t>
        </is>
      </c>
      <c r="N7" t="inlineStr">
        <is>
          <t>M</t>
        </is>
      </c>
      <c r="O7" t="inlineStr">
        <is>
          <t>20231010</t>
        </is>
      </c>
      <c r="P7" t="inlineStr">
        <is>
          <t>Jawa Barat</t>
        </is>
      </c>
      <c r="Q7" s="3">
        <f>HYPERLINK("https://wa.me/6281287259186?text=*[Pengingat Masa Berlaku SBU MANUNGGAL JASA KONTRUKSI]*%0A%0AYth. Pimpinan MANUNGGAL JASA KONTRUKSI,%0AMohon izin menginformasikan status SBU Anda:%0A%0A📄 SBU: BS001%0A📅 Expired: 1 November 2026 (30 Hari Lagi)%0A%0AKami tim PT. ESDEA Assistance Management siap men-support proses perpanjangan segera agar administrasi proyek tidak terhambat%0A%0AApakah boleh saya bantu siapkan estimasi biaya dan waktu pengerjaannya?.", "Hubungi")</f>
        <v/>
      </c>
    </row>
    <row r="8">
      <c r="A8" t="inlineStr">
        <is>
          <t>MUKTI WIJAYA FIBRETECH</t>
        </is>
      </c>
      <c r="B8" t="inlineStr">
        <is>
          <t>Kota Bekasi</t>
        </is>
      </c>
      <c r="C8" t="inlineStr">
        <is>
          <t>081381252715</t>
        </is>
      </c>
      <c r="D8" t="inlineStr">
        <is>
          <t>muktiwijayafibretech@gmail.com</t>
        </is>
      </c>
      <c r="E8" t="inlineStr">
        <is>
          <t>https://lpjk.pu.go.id/search-badan-usaha-detail/S1ZJNmVpZHQ0K1FrQzVXWHNNaDdpQT09</t>
        </is>
      </c>
      <c r="F8" t="n">
        <v>2</v>
      </c>
      <c r="G8" t="inlineStr">
        <is>
          <t>BG009, BS005</t>
        </is>
      </c>
      <c r="H8" t="inlineStr">
        <is>
          <t>26 Januari 2019</t>
        </is>
      </c>
      <c r="I8" s="2" t="n">
        <v>46327</v>
      </c>
      <c r="J8" t="inlineStr">
        <is>
          <t>Disetujui</t>
        </is>
      </c>
      <c r="K8" t="n">
        <v>30</v>
      </c>
      <c r="L8" t="inlineStr">
        <is>
          <t>1 November 2026</t>
        </is>
      </c>
      <c r="M8" t="inlineStr">
        <is>
          <t>Konstruksi Bangunan Sipil Pengolahan Air Bersih, Konstruksi Gedung Lainnya</t>
        </is>
      </c>
      <c r="N8" t="inlineStr">
        <is>
          <t>K</t>
        </is>
      </c>
      <c r="O8" t="inlineStr">
        <is>
          <t>20231102</t>
        </is>
      </c>
      <c r="P8" t="inlineStr">
        <is>
          <t>Jawa Barat</t>
        </is>
      </c>
      <c r="Q8" s="3">
        <f>HYPERLINK("https://wa.me/6281381252715?text=*[Pengingat Masa Berlaku SBU MUKTI WIJAYA FIBRETECH]*%0A%0AYth. Pimpinan MUKTI WIJAYA FIBRETECH,%0AMohon izin menginformasikan status SBU Anda:%0A%0A📄 SBU: BG009, BS005%0A📅 Expired: 1 November 2026 (30 Hari Lagi)%0A%0AKami tim PT. ESDEA Assistance Management siap men-support proses perpanjangan segera agar administrasi proyek tidak terhambat%0A%0AApakah boleh saya bantu siapkan estimasi biaya dan waktu pengerjaannya?.", "Hubungi")</f>
        <v/>
      </c>
    </row>
    <row r="9">
      <c r="A9" t="inlineStr">
        <is>
          <t>PESONA GLOBAL TEKNOLOGI</t>
        </is>
      </c>
      <c r="B9" t="inlineStr">
        <is>
          <t>Kota Bekasi</t>
        </is>
      </c>
      <c r="C9" t="inlineStr">
        <is>
          <t>082123244255</t>
        </is>
      </c>
      <c r="D9" t="inlineStr">
        <is>
          <t>pesonaglobalteknologi@gmail.com</t>
        </is>
      </c>
      <c r="E9" t="inlineStr">
        <is>
          <t>https://lpjk.pu.go.id/search-badan-usaha-detail/ZGRyZFZhbXZoUDh6SGV5OXl5UnZGZz09</t>
        </is>
      </c>
      <c r="F9" t="n">
        <v>1</v>
      </c>
      <c r="G9" t="inlineStr">
        <is>
          <t>BS008</t>
        </is>
      </c>
      <c r="H9" t="inlineStr">
        <is>
          <t>15 Juli 2014</t>
        </is>
      </c>
      <c r="I9" s="2" t="n">
        <v>46327</v>
      </c>
      <c r="J9" t="inlineStr">
        <is>
          <t>Disetujui</t>
        </is>
      </c>
      <c r="K9" t="n">
        <v>30</v>
      </c>
      <c r="L9" t="inlineStr">
        <is>
          <t>1 November 2026</t>
        </is>
      </c>
      <c r="M9" t="inlineStr">
        <is>
          <t>Konstruksi Bangunan Sipil Telekomunikasi untuk Prasarana Transportasi</t>
        </is>
      </c>
      <c r="N9" t="inlineStr">
        <is>
          <t>M</t>
        </is>
      </c>
      <c r="O9" t="inlineStr">
        <is>
          <t>20231026</t>
        </is>
      </c>
      <c r="P9" t="inlineStr">
        <is>
          <t>Jawa Barat</t>
        </is>
      </c>
      <c r="Q9" s="3">
        <f>HYPERLINK("https://wa.me/6282123244255?text=*[Pengingat Masa Berlaku SBU PESONA GLOBAL TEKNOLOGI]*%0A%0AYth. Pimpinan PESONA GLOBAL TEKNOLOGI,%0AMohon izin menginformasikan status SBU Anda:%0A%0A📄 SBU: BS008%0A📅 Expired: 1 November 2026 (30 Hari Lagi)%0A%0AKami tim PT. ESDEA Assistance Management siap men-support proses perpanjangan segera agar administrasi proyek tidak terhambat%0A%0AApakah boleh saya bantu siapkan estimasi biaya dan waktu pengerjaannya?.", "Hubungi")</f>
        <v/>
      </c>
    </row>
    <row r="10">
      <c r="A10" t="inlineStr">
        <is>
          <t>REKA YASA DINAMIKA</t>
        </is>
      </c>
      <c r="B10" t="inlineStr">
        <is>
          <t>Kota Bekasi</t>
        </is>
      </c>
      <c r="C10" t="inlineStr">
        <is>
          <t>0218457836</t>
        </is>
      </c>
      <c r="D10" t="inlineStr">
        <is>
          <t>pt_rekayasa_dinamika@yahoo.com</t>
        </is>
      </c>
      <c r="E10" t="inlineStr">
        <is>
          <t>https://lpjk.pu.go.id/search-badan-usaha-detail/WWNCZkNVQkd5UEdGa0h3dmZQMXg2dz09</t>
        </is>
      </c>
      <c r="F10" t="n">
        <v>2</v>
      </c>
      <c r="G10" t="inlineStr">
        <is>
          <t>AR001, AR002</t>
        </is>
      </c>
      <c r="H10" t="inlineStr">
        <is>
          <t>2 Juni 2021</t>
        </is>
      </c>
      <c r="I10" s="2" t="n">
        <v>46327</v>
      </c>
      <c r="J10" t="inlineStr">
        <is>
          <t>Disetujui</t>
        </is>
      </c>
      <c r="K10" t="n">
        <v>30</v>
      </c>
      <c r="L10" t="inlineStr">
        <is>
          <t>1 November 2026</t>
        </is>
      </c>
      <c r="M10" t="inlineStr">
        <is>
          <t>Jasa Arsitektural Bangunan Gedung Hunian dan Non Hunian, Jasa Arsitektural Lainnya</t>
        </is>
      </c>
      <c r="N10" t="inlineStr">
        <is>
          <t>K</t>
        </is>
      </c>
      <c r="O10" t="inlineStr">
        <is>
          <t>20231006, 20231028</t>
        </is>
      </c>
      <c r="P10" t="inlineStr">
        <is>
          <t>Jawa Barat</t>
        </is>
      </c>
      <c r="Q10" t="inlineStr"/>
    </row>
    <row r="11">
      <c r="A11" t="inlineStr">
        <is>
          <t>ABHISAR NAWASENA</t>
        </is>
      </c>
      <c r="B11" t="inlineStr">
        <is>
          <t>Kab. Kediri</t>
        </is>
      </c>
      <c r="C11" t="inlineStr">
        <is>
          <t>081325887877</t>
        </is>
      </c>
      <c r="D11" t="inlineStr">
        <is>
          <t>cv.abhisarnawasena@gmail.com</t>
        </is>
      </c>
      <c r="E11" t="inlineStr">
        <is>
          <t>https://lpjk.pu.go.id/search-badan-usaha-detail/ZUFZalV6MHZlaGt5OUZlcUN1aDlwZz09</t>
        </is>
      </c>
      <c r="F11" t="n">
        <v>1</v>
      </c>
      <c r="G11" t="inlineStr">
        <is>
          <t>RK001</t>
        </is>
      </c>
      <c r="H11" t="inlineStr">
        <is>
          <t>23 Mei 2023</t>
        </is>
      </c>
      <c r="I11" s="2" t="n">
        <v>46327</v>
      </c>
      <c r="J11" t="inlineStr">
        <is>
          <t>Disetujui</t>
        </is>
      </c>
      <c r="K11" t="n">
        <v>30</v>
      </c>
      <c r="L11" t="inlineStr">
        <is>
          <t>1 November 2026</t>
        </is>
      </c>
      <c r="M11" t="inlineStr">
        <is>
          <t>Jasa Rekayasa Konstruksi Bangunan Gedung Hunian dan Non Hunian</t>
        </is>
      </c>
      <c r="N11" t="inlineStr">
        <is>
          <t>K</t>
        </is>
      </c>
      <c r="O11" t="inlineStr">
        <is>
          <t>20231030</t>
        </is>
      </c>
      <c r="P11" t="inlineStr">
        <is>
          <t>Jawa Timur</t>
        </is>
      </c>
      <c r="Q11" t="inlineStr"/>
    </row>
    <row r="12">
      <c r="A12" t="inlineStr">
        <is>
          <t>ADHIPATI</t>
        </is>
      </c>
      <c r="B12" t="inlineStr">
        <is>
          <t>Kab. Kuningan</t>
        </is>
      </c>
      <c r="C12" t="inlineStr">
        <is>
          <t>08112341238</t>
        </is>
      </c>
      <c r="D12" t="inlineStr">
        <is>
          <t>adhipaticv@gmail.com95</t>
        </is>
      </c>
      <c r="E12" t="inlineStr">
        <is>
          <t>https://lpjk.pu.go.id/search-badan-usaha-detail/Uzd4YW5mbWtrU005VTFTVi9Nd2pFZz09</t>
        </is>
      </c>
      <c r="F12" t="n">
        <v>2</v>
      </c>
      <c r="G12" t="inlineStr">
        <is>
          <t>BS005</t>
        </is>
      </c>
      <c r="H12" t="inlineStr">
        <is>
          <t>10 Agustus 2020</t>
        </is>
      </c>
      <c r="I12" s="2" t="n">
        <v>46327</v>
      </c>
      <c r="J12" t="inlineStr">
        <is>
          <t>Disetujui</t>
        </is>
      </c>
      <c r="K12" t="n">
        <v>30</v>
      </c>
      <c r="L12" t="inlineStr">
        <is>
          <t>1 November 2026</t>
        </is>
      </c>
      <c r="M12" t="inlineStr">
        <is>
          <t>Konstruksi Bangunan Sipil Pengolahan Air Bersih</t>
        </is>
      </c>
      <c r="N12" t="inlineStr">
        <is>
          <t>K</t>
        </is>
      </c>
      <c r="O12" t="inlineStr">
        <is>
          <t>20231101</t>
        </is>
      </c>
      <c r="P12" t="inlineStr">
        <is>
          <t>Jawa Barat</t>
        </is>
      </c>
      <c r="Q12" t="inlineStr"/>
    </row>
    <row r="13">
      <c r="A13" t="inlineStr">
        <is>
          <t>ADIDAYA GLOBAL ABADI</t>
        </is>
      </c>
      <c r="B13" t="inlineStr">
        <is>
          <t>Kab. Majalengka</t>
        </is>
      </c>
      <c r="C13" t="inlineStr">
        <is>
          <t>085523553526</t>
        </is>
      </c>
      <c r="D13" t="inlineStr">
        <is>
          <t>adidayaglobalabadi@gmail.com</t>
        </is>
      </c>
      <c r="E13" t="inlineStr">
        <is>
          <t>https://lpjk.pu.go.id/search-badan-usaha-detail/d0RWOGVNVDFGY2lERzZ4VnhKcVpDQT09</t>
        </is>
      </c>
      <c r="F13" t="n">
        <v>1</v>
      </c>
      <c r="G13" t="inlineStr">
        <is>
          <t>BG009</t>
        </is>
      </c>
      <c r="H13" t="inlineStr">
        <is>
          <t>3 Oktober 2019</t>
        </is>
      </c>
      <c r="I13" s="2" t="n">
        <v>46327</v>
      </c>
      <c r="J13" t="inlineStr">
        <is>
          <t>Disetujui</t>
        </is>
      </c>
      <c r="K13" t="n">
        <v>30</v>
      </c>
      <c r="L13" t="inlineStr">
        <is>
          <t>1 November 2026</t>
        </is>
      </c>
      <c r="M13" t="inlineStr">
        <is>
          <t>Konstruksi Gedung Lainnya</t>
        </is>
      </c>
      <c r="N13" t="inlineStr">
        <is>
          <t>K</t>
        </is>
      </c>
      <c r="O13" t="inlineStr">
        <is>
          <t>20231101</t>
        </is>
      </c>
      <c r="P13" t="inlineStr">
        <is>
          <t>Jawa Barat</t>
        </is>
      </c>
      <c r="Q13" t="inlineStr"/>
    </row>
    <row r="14">
      <c r="A14" t="inlineStr">
        <is>
          <t>AGAM ANAK NEGERI</t>
        </is>
      </c>
      <c r="B14" t="inlineStr">
        <is>
          <t>Kab. Trenggalek</t>
        </is>
      </c>
      <c r="C14" t="inlineStr">
        <is>
          <t>082137624395</t>
        </is>
      </c>
      <c r="D14" t="inlineStr">
        <is>
          <t>cvagamanaknegeri@gmail.com</t>
        </is>
      </c>
      <c r="E14" t="inlineStr">
        <is>
          <t>https://lpjk.pu.go.id/search-badan-usaha-detail/MmxXTDVsMy9ab3dkVnhBRXpnNTlrQT09</t>
        </is>
      </c>
      <c r="F14" t="n">
        <v>3</v>
      </c>
      <c r="G14" t="inlineStr">
        <is>
          <t>BG006, BG009, BS001</t>
        </is>
      </c>
      <c r="H14" t="inlineStr">
        <is>
          <t>13 Oktober 2023</t>
        </is>
      </c>
      <c r="I14" s="2" t="n">
        <v>46327</v>
      </c>
      <c r="J14" t="inlineStr">
        <is>
          <t>Disetujui</t>
        </is>
      </c>
      <c r="K14" t="n">
        <v>30</v>
      </c>
      <c r="L14" t="inlineStr">
        <is>
          <t>1 November 2026</t>
        </is>
      </c>
      <c r="M14" t="inlineStr">
        <is>
          <t>Konstruksi Bangunan Sipil Jalan, Konstruksi Gedung Lainnya, Konstruksi Gedung Pendidikan</t>
        </is>
      </c>
      <c r="N14" t="inlineStr">
        <is>
          <t>K</t>
        </is>
      </c>
      <c r="O14" t="inlineStr">
        <is>
          <t>20231102</t>
        </is>
      </c>
      <c r="P14" t="inlineStr">
        <is>
          <t>Jawa Timur</t>
        </is>
      </c>
      <c r="Q14" t="inlineStr"/>
    </row>
    <row r="15">
      <c r="A15" t="inlineStr">
        <is>
          <t>AJI PILAR PERKASA</t>
        </is>
      </c>
      <c r="B15" t="inlineStr">
        <is>
          <t>Kota Semarang</t>
        </is>
      </c>
      <c r="C15" t="inlineStr">
        <is>
          <t>085747284799</t>
        </is>
      </c>
      <c r="D15" t="inlineStr">
        <is>
          <t>ajipilar_perkasa@yahoo.com</t>
        </is>
      </c>
      <c r="E15" t="inlineStr">
        <is>
          <t>https://lpjk.pu.go.id/search-badan-usaha-detail/L2xjRXJXUHBHbXBxd2pOc3pBSkNuUT09</t>
        </is>
      </c>
      <c r="F15" t="n">
        <v>2</v>
      </c>
      <c r="G15" t="inlineStr">
        <is>
          <t>BS001, BS004</t>
        </is>
      </c>
      <c r="H15" t="inlineStr">
        <is>
          <t>18 November 2016</t>
        </is>
      </c>
      <c r="I15" s="2" t="n">
        <v>46327</v>
      </c>
      <c r="J15" t="inlineStr">
        <is>
          <t>Disetujui</t>
        </is>
      </c>
      <c r="K15" t="n">
        <v>30</v>
      </c>
      <c r="L15" t="inlineStr">
        <is>
          <t>1 November 2026</t>
        </is>
      </c>
      <c r="M15" t="inlineStr">
        <is>
          <t>Konstruksi Bangunan Sipil Jalan, Konstruksi Jaringan Irigasi dan Drainase</t>
        </is>
      </c>
      <c r="N15" t="inlineStr">
        <is>
          <t>K</t>
        </is>
      </c>
      <c r="O15" t="inlineStr">
        <is>
          <t>20231024, 20231031</t>
        </is>
      </c>
      <c r="P15" t="inlineStr">
        <is>
          <t>Jawa Tengah</t>
        </is>
      </c>
      <c r="Q15" t="inlineStr"/>
    </row>
    <row r="16">
      <c r="A16" t="inlineStr">
        <is>
          <t>AKUSARA KARYA BESTARI BAROKAH</t>
        </is>
      </c>
      <c r="B16" t="inlineStr">
        <is>
          <t>Kab. Kutai Kartanegara</t>
        </is>
      </c>
      <c r="C16" t="inlineStr">
        <is>
          <t>083127361170</t>
        </is>
      </c>
      <c r="D16" t="inlineStr">
        <is>
          <t>akusarabestari@gmail.com</t>
        </is>
      </c>
      <c r="E16" t="inlineStr">
        <is>
          <t>https://lpjk.pu.go.id/search-badan-usaha-detail/czRtQUhaM1UvdTBveGJUK1lYUHQ0Zz09</t>
        </is>
      </c>
      <c r="F16" t="n">
        <v>1</v>
      </c>
      <c r="G16" t="inlineStr">
        <is>
          <t>BS001</t>
        </is>
      </c>
      <c r="H16" t="inlineStr">
        <is>
          <t>26 September 2022</t>
        </is>
      </c>
      <c r="I16" s="2" t="n">
        <v>46327</v>
      </c>
      <c r="J16" t="inlineStr">
        <is>
          <t>Pencabutan</t>
        </is>
      </c>
      <c r="K16" t="n">
        <v>30</v>
      </c>
      <c r="L16" t="inlineStr">
        <is>
          <t>1 November 2026</t>
        </is>
      </c>
      <c r="M16" t="inlineStr">
        <is>
          <t>Konstruksi Bangunan Sipil Jalan</t>
        </is>
      </c>
      <c r="N16" t="inlineStr">
        <is>
          <t>K</t>
        </is>
      </c>
      <c r="O16" t="inlineStr">
        <is>
          <t>20231026</t>
        </is>
      </c>
      <c r="P16" t="inlineStr">
        <is>
          <t>Kalimantan Timur</t>
        </is>
      </c>
      <c r="Q16" t="inlineStr"/>
    </row>
    <row r="17">
      <c r="A17" t="inlineStr">
        <is>
          <t>ALSHADIK KARYA</t>
        </is>
      </c>
      <c r="B17" t="inlineStr">
        <is>
          <t>Kab. Solok</t>
        </is>
      </c>
      <c r="C17" t="inlineStr">
        <is>
          <t>082343819591</t>
        </is>
      </c>
      <c r="D17" t="inlineStr">
        <is>
          <t>alshadik.karya@gmail.com</t>
        </is>
      </c>
      <c r="E17" t="inlineStr">
        <is>
          <t>https://lpjk.pu.go.id/search-badan-usaha-detail/M3pGL2htTElKOEhTWkhta3Fwa2pXZz09</t>
        </is>
      </c>
      <c r="F17" t="n">
        <v>1</v>
      </c>
      <c r="G17" t="inlineStr">
        <is>
          <t>BG004</t>
        </is>
      </c>
      <c r="H17" t="inlineStr">
        <is>
          <t>4 September 2020</t>
        </is>
      </c>
      <c r="I17" s="2" t="n">
        <v>46327</v>
      </c>
      <c r="J17" t="inlineStr">
        <is>
          <t>Pencabutan</t>
        </is>
      </c>
      <c r="K17" t="n">
        <v>30</v>
      </c>
      <c r="L17" t="inlineStr">
        <is>
          <t>1 November 2026</t>
        </is>
      </c>
      <c r="M17" t="inlineStr">
        <is>
          <t>Konstruksi Gedung Perbelanjaan</t>
        </is>
      </c>
      <c r="N17" t="inlineStr">
        <is>
          <t>K</t>
        </is>
      </c>
      <c r="O17" t="inlineStr">
        <is>
          <t>20231026</t>
        </is>
      </c>
      <c r="P17" t="inlineStr">
        <is>
          <t>Sumatera Barat</t>
        </is>
      </c>
      <c r="Q17" t="inlineStr"/>
    </row>
    <row r="18">
      <c r="A18" t="inlineStr">
        <is>
          <t>AMANDA NUSANTARA</t>
        </is>
      </c>
      <c r="B18" t="inlineStr">
        <is>
          <t>Kota Banjarmasin</t>
        </is>
      </c>
      <c r="C18" t="inlineStr">
        <is>
          <t>082149912511</t>
        </is>
      </c>
      <c r="D18" t="inlineStr">
        <is>
          <t>cv.amandanusantara76@gmail.com</t>
        </is>
      </c>
      <c r="E18" t="inlineStr">
        <is>
          <t>https://lpjk.pu.go.id/search-badan-usaha-detail/SG1ET29jU2xBSTBNY3VIR3dFbFRiUT09</t>
        </is>
      </c>
      <c r="F18" t="n">
        <v>4</v>
      </c>
      <c r="G18" t="inlineStr">
        <is>
          <t>RK001, RK003</t>
        </is>
      </c>
      <c r="H18" t="inlineStr">
        <is>
          <t>23 November 1999</t>
        </is>
      </c>
      <c r="I18" s="2" t="n">
        <v>46327</v>
      </c>
      <c r="J18" t="inlineStr">
        <is>
          <t>Disetujui</t>
        </is>
      </c>
      <c r="K18" t="n">
        <v>30</v>
      </c>
      <c r="L18" t="inlineStr">
        <is>
          <t>1 November 2026</t>
        </is>
      </c>
      <c r="M18" t="inlineStr">
        <is>
          <t>Jasa Rekayasa Konstruksi Bangunan Gedung Hunian dan Non Hunian, Jasa Rekayasa Pekerjaan Teknik Sipil Transportasi</t>
        </is>
      </c>
      <c r="N18" t="inlineStr">
        <is>
          <t>K</t>
        </is>
      </c>
      <c r="O18" t="inlineStr">
        <is>
          <t>20231027</t>
        </is>
      </c>
      <c r="P18" t="inlineStr">
        <is>
          <t>Kalimantan Selatan</t>
        </is>
      </c>
      <c r="Q18" t="inlineStr"/>
    </row>
    <row r="19">
      <c r="A19" t="inlineStr">
        <is>
          <t>AMIRA</t>
        </is>
      </c>
      <c r="B19" t="inlineStr">
        <is>
          <t>Kab. Bolaang Mongondow Utara</t>
        </is>
      </c>
      <c r="C19" t="inlineStr">
        <is>
          <t>085399503780</t>
        </is>
      </c>
      <c r="D19" t="inlineStr">
        <is>
          <t>cv.amira69@gmail.com</t>
        </is>
      </c>
      <c r="E19" t="inlineStr">
        <is>
          <t>https://lpjk.pu.go.id/search-badan-usaha-detail/bWdkQmVaQklBRlQxSTA5NzlKY0kwUT09</t>
        </is>
      </c>
      <c r="F19" t="n">
        <v>1</v>
      </c>
      <c r="G19" t="inlineStr">
        <is>
          <t>BS001</t>
        </is>
      </c>
      <c r="H19" t="inlineStr">
        <is>
          <t>27 Januari 2010</t>
        </is>
      </c>
      <c r="I19" s="2" t="n">
        <v>46327</v>
      </c>
      <c r="J19" t="inlineStr">
        <is>
          <t>Pencabutan</t>
        </is>
      </c>
      <c r="K19" t="n">
        <v>30</v>
      </c>
      <c r="L19" t="inlineStr">
        <is>
          <t>1 November 2026</t>
        </is>
      </c>
      <c r="M19" t="inlineStr">
        <is>
          <t>Konstruksi Bangunan Sipil Jalan</t>
        </is>
      </c>
      <c r="N19" t="inlineStr">
        <is>
          <t>K</t>
        </is>
      </c>
      <c r="O19" t="inlineStr">
        <is>
          <t>20230629</t>
        </is>
      </c>
      <c r="P19" t="inlineStr">
        <is>
          <t>Sulawesi Utara</t>
        </is>
      </c>
      <c r="Q19" t="inlineStr"/>
    </row>
    <row r="20">
      <c r="A20" t="inlineStr">
        <is>
          <t>ARAFAH ALAM SEJAHTERA</t>
        </is>
      </c>
      <c r="B20" t="inlineStr">
        <is>
          <t>Kota Padang</t>
        </is>
      </c>
      <c r="C20" t="inlineStr">
        <is>
          <t>085265477717</t>
        </is>
      </c>
      <c r="D20" t="inlineStr">
        <is>
          <t>tarinaldihidrat@yahoo.co.id</t>
        </is>
      </c>
      <c r="E20" t="inlineStr">
        <is>
          <t>https://lpjk.pu.go.id/search-badan-usaha-detail/L3FMUjZ1MGRUcDBEV2VoTlplZzEydz09</t>
        </is>
      </c>
      <c r="F20" t="n">
        <v>2</v>
      </c>
      <c r="G20" t="inlineStr">
        <is>
          <t>BG005</t>
        </is>
      </c>
      <c r="H20" t="inlineStr">
        <is>
          <t>16 April 2003</t>
        </is>
      </c>
      <c r="I20" s="2" t="n">
        <v>46327</v>
      </c>
      <c r="J20" t="inlineStr">
        <is>
          <t>Pembekuan</t>
        </is>
      </c>
      <c r="K20" t="n">
        <v>30</v>
      </c>
      <c r="L20" t="inlineStr">
        <is>
          <t>1 November 2026</t>
        </is>
      </c>
      <c r="M20" t="inlineStr">
        <is>
          <t>Konstruksi Gedung Kesehatan</t>
        </is>
      </c>
      <c r="N20" t="inlineStr">
        <is>
          <t>B</t>
        </is>
      </c>
      <c r="O20" t="inlineStr">
        <is>
          <t>20231030</t>
        </is>
      </c>
      <c r="P20" t="inlineStr">
        <is>
          <t>Sumatera Barat</t>
        </is>
      </c>
      <c r="Q20" t="inlineStr"/>
    </row>
    <row r="21">
      <c r="A21" t="inlineStr">
        <is>
          <t>ARKON GLOBAL INDONESIA</t>
        </is>
      </c>
      <c r="B21" t="inlineStr">
        <is>
          <t>Kota Adm. Jakarta Selatan</t>
        </is>
      </c>
      <c r="C21" t="inlineStr">
        <is>
          <t>08129938726</t>
        </is>
      </c>
      <c r="D21" t="inlineStr">
        <is>
          <t>ptarkonglobalindonesia1@gmail.com</t>
        </is>
      </c>
      <c r="E21" t="inlineStr">
        <is>
          <t>https://lpjk.pu.go.id/search-badan-usaha-detail/L294eHJkK0Z1NWxCejF4MVFvMGIrQT09</t>
        </is>
      </c>
      <c r="F21" t="n">
        <v>1</v>
      </c>
      <c r="G21" t="inlineStr">
        <is>
          <t>BS009</t>
        </is>
      </c>
      <c r="H21" t="inlineStr">
        <is>
          <t>7 Februari 2013</t>
        </is>
      </c>
      <c r="I21" s="2" t="n">
        <v>46327</v>
      </c>
      <c r="J21" t="inlineStr">
        <is>
          <t>Disetujui</t>
        </is>
      </c>
      <c r="K21" t="n">
        <v>30</v>
      </c>
      <c r="L21" t="inlineStr">
        <is>
          <t>1 November 2026</t>
        </is>
      </c>
      <c r="M21" t="inlineStr">
        <is>
          <t>Konstruksi Sentral Telekomunikasi</t>
        </is>
      </c>
      <c r="N21" t="inlineStr">
        <is>
          <t>K</t>
        </is>
      </c>
      <c r="O21" t="inlineStr">
        <is>
          <t>20231101</t>
        </is>
      </c>
      <c r="P21" t="inlineStr">
        <is>
          <t>DKI Jakarta</t>
        </is>
      </c>
      <c r="Q21" t="inlineStr"/>
    </row>
    <row r="22">
      <c r="A22" t="inlineStr">
        <is>
          <t>ARMA</t>
        </is>
      </c>
      <c r="B22" t="inlineStr">
        <is>
          <t>Kab. Indragiri Hulu</t>
        </is>
      </c>
      <c r="C22" t="inlineStr">
        <is>
          <t>081381070274</t>
        </is>
      </c>
      <c r="D22" t="inlineStr">
        <is>
          <t>lily.vinci12@gmail.com</t>
        </is>
      </c>
      <c r="E22" t="inlineStr">
        <is>
          <t>https://lpjk.pu.go.id/search-badan-usaha-detail/TFJyQ2k3WEpmbmlvWjBWclcxZFd2Zz09</t>
        </is>
      </c>
      <c r="F22" t="n">
        <v>1</v>
      </c>
      <c r="G22" t="inlineStr">
        <is>
          <t>BS001</t>
        </is>
      </c>
      <c r="H22" t="inlineStr">
        <is>
          <t>27 Oktober 1992</t>
        </is>
      </c>
      <c r="I22" s="2" t="n">
        <v>46327</v>
      </c>
      <c r="J22" t="inlineStr">
        <is>
          <t>Disetujui</t>
        </is>
      </c>
      <c r="K22" t="n">
        <v>30</v>
      </c>
      <c r="L22" t="inlineStr">
        <is>
          <t>1 November 2026</t>
        </is>
      </c>
      <c r="M22" t="inlineStr">
        <is>
          <t>Konstruksi Bangunan Sipil Jalan</t>
        </is>
      </c>
      <c r="N22" t="inlineStr">
        <is>
          <t>K</t>
        </is>
      </c>
      <c r="O22" t="inlineStr">
        <is>
          <t>20231101</t>
        </is>
      </c>
      <c r="P22" t="inlineStr">
        <is>
          <t>Riau</t>
        </is>
      </c>
      <c r="Q22" t="inlineStr"/>
    </row>
    <row r="23">
      <c r="A23" t="inlineStr">
        <is>
          <t>ARMAK SUMBER BAHAGIA</t>
        </is>
      </c>
      <c r="B23" t="inlineStr">
        <is>
          <t>Kota Bandar Lampung</t>
        </is>
      </c>
      <c r="C23" t="inlineStr">
        <is>
          <t>0721240379</t>
        </is>
      </c>
      <c r="D23" t="inlineStr">
        <is>
          <t>armakgroup_asb@yahoo.com</t>
        </is>
      </c>
      <c r="E23" t="inlineStr">
        <is>
          <t>https://lpjk.pu.go.id/search-badan-usaha-detail/V0RVVXNEWjFYZjVhTG1QdUdaRDZ5dz09</t>
        </is>
      </c>
      <c r="F23" t="n">
        <v>1</v>
      </c>
      <c r="G23" t="inlineStr">
        <is>
          <t>BS002</t>
        </is>
      </c>
      <c r="H23" t="inlineStr">
        <is>
          <t>15 Januari 2003</t>
        </is>
      </c>
      <c r="I23" s="2" t="n">
        <v>46327</v>
      </c>
      <c r="J23" t="inlineStr">
        <is>
          <t>Disetujui</t>
        </is>
      </c>
      <c r="K23" t="n">
        <v>30</v>
      </c>
      <c r="L23" t="inlineStr">
        <is>
          <t>1 November 2026</t>
        </is>
      </c>
      <c r="M23" t="inlineStr">
        <is>
          <t>Bangunan Sipil Jembatan, Jalan Layang, Fly Over, dan Underpass</t>
        </is>
      </c>
      <c r="N23" t="inlineStr">
        <is>
          <t>M</t>
        </is>
      </c>
      <c r="O23" t="inlineStr">
        <is>
          <t>20230901</t>
        </is>
      </c>
      <c r="P23" t="inlineStr">
        <is>
          <t>Lampung</t>
        </is>
      </c>
      <c r="Q23" t="inlineStr"/>
    </row>
    <row r="24">
      <c r="A24" t="inlineStr">
        <is>
          <t>ARTHA GEO INTEGRITAS</t>
        </is>
      </c>
      <c r="B24" t="inlineStr">
        <is>
          <t>Kota Adm. Jakarta Utara</t>
        </is>
      </c>
      <c r="C24" t="inlineStr">
        <is>
          <t>081212992168</t>
        </is>
      </c>
      <c r="D24" t="inlineStr">
        <is>
          <t>arthageo.id@gmail.com</t>
        </is>
      </c>
      <c r="E24" t="inlineStr">
        <is>
          <t>https://lpjk.pu.go.id/search-badan-usaha-detail/WVR4U056WkZId1FLc1NxaXRKMXcyUT09</t>
        </is>
      </c>
      <c r="F24" t="n">
        <v>3</v>
      </c>
      <c r="G24" t="inlineStr">
        <is>
          <t>KK001, PL003, PL004</t>
        </is>
      </c>
      <c r="H24" t="inlineStr">
        <is>
          <t>4 Agustus 2020</t>
        </is>
      </c>
      <c r="I24" s="2" t="n">
        <v>46327</v>
      </c>
      <c r="J24" t="inlineStr">
        <is>
          <t>Pembekuan</t>
        </is>
      </c>
      <c r="K24" t="n">
        <v>30</v>
      </c>
      <c r="L24" t="inlineStr">
        <is>
          <t>1 November 2026</t>
        </is>
      </c>
      <c r="M24" t="inlineStr">
        <is>
          <t>Pekerjaan Tanah, Penyiapan Lahan Konstruksi, Pondasi Konstruksi</t>
        </is>
      </c>
      <c r="N24" t="inlineStr">
        <is>
          <t>Spesialis</t>
        </is>
      </c>
      <c r="O24" t="inlineStr">
        <is>
          <t>20231026, 20231030</t>
        </is>
      </c>
      <c r="P24" t="inlineStr">
        <is>
          <t>DKI Jakarta</t>
        </is>
      </c>
      <c r="Q24" t="inlineStr"/>
    </row>
    <row r="25">
      <c r="A25" t="inlineStr">
        <is>
          <t>AZRAM MAJU BERSAMA</t>
        </is>
      </c>
      <c r="B25" t="inlineStr">
        <is>
          <t>Kota Gorontalo</t>
        </is>
      </c>
      <c r="C25" t="inlineStr">
        <is>
          <t>08114310043</t>
        </is>
      </c>
      <c r="D25" t="inlineStr">
        <is>
          <t>cvazram2023@gmail.com</t>
        </is>
      </c>
      <c r="E25" t="inlineStr">
        <is>
          <t>https://lpjk.pu.go.id/search-badan-usaha-detail/SlpwVzFJeEE4YWZ0dEUvb3pxeVREZz09</t>
        </is>
      </c>
      <c r="F25" t="n">
        <v>1</v>
      </c>
      <c r="G25" t="inlineStr">
        <is>
          <t>BS001</t>
        </is>
      </c>
      <c r="H25" t="inlineStr">
        <is>
          <t>8 September 2023</t>
        </is>
      </c>
      <c r="I25" s="2" t="n">
        <v>46327</v>
      </c>
      <c r="J25" t="inlineStr">
        <is>
          <t>Disetujui</t>
        </is>
      </c>
      <c r="K25" t="n">
        <v>30</v>
      </c>
      <c r="L25" t="inlineStr">
        <is>
          <t>1 November 2026</t>
        </is>
      </c>
      <c r="M25" t="inlineStr">
        <is>
          <t>Konstruksi Bangunan Sipil Jalan</t>
        </is>
      </c>
      <c r="N25" t="inlineStr">
        <is>
          <t>K</t>
        </is>
      </c>
      <c r="O25" t="inlineStr">
        <is>
          <t>20231101</t>
        </is>
      </c>
      <c r="P25" t="inlineStr">
        <is>
          <t>Gorontalo</t>
        </is>
      </c>
      <c r="Q25" t="inlineStr"/>
    </row>
    <row r="26">
      <c r="A26" t="inlineStr">
        <is>
          <t>BANGUN KONTRUKSI INDONESIA</t>
        </is>
      </c>
      <c r="B26" t="inlineStr">
        <is>
          <t>Kota Cilegon</t>
        </is>
      </c>
      <c r="C26" t="inlineStr">
        <is>
          <t>0811870252</t>
        </is>
      </c>
      <c r="D26" t="inlineStr">
        <is>
          <t>bangunkonstruksiindonesia@gmail.com</t>
        </is>
      </c>
      <c r="E26" t="inlineStr">
        <is>
          <t>https://lpjk.pu.go.id/search-badan-usaha-detail/VE1KZGE1ZnJHTm10REFOMktaNVJIQT09</t>
        </is>
      </c>
      <c r="F26" t="n">
        <v>1</v>
      </c>
      <c r="G26" t="inlineStr">
        <is>
          <t>BS001</t>
        </is>
      </c>
      <c r="H26" t="inlineStr">
        <is>
          <t>6 Desember 2017</t>
        </is>
      </c>
      <c r="I26" s="2" t="n">
        <v>46327</v>
      </c>
      <c r="J26" t="inlineStr">
        <is>
          <t>Disetujui</t>
        </is>
      </c>
      <c r="K26" t="n">
        <v>30</v>
      </c>
      <c r="L26" t="inlineStr">
        <is>
          <t>1 November 2026</t>
        </is>
      </c>
      <c r="M26" t="inlineStr">
        <is>
          <t>Konstruksi Bangunan Sipil Jalan</t>
        </is>
      </c>
      <c r="N26" t="inlineStr">
        <is>
          <t>K</t>
        </is>
      </c>
      <c r="O26" t="inlineStr">
        <is>
          <t>20231102</t>
        </is>
      </c>
      <c r="P26" t="inlineStr">
        <is>
          <t>Banten</t>
        </is>
      </c>
      <c r="Q26" t="inlineStr"/>
    </row>
    <row r="27">
      <c r="A27" t="inlineStr">
        <is>
          <t>BERJAYA</t>
        </is>
      </c>
      <c r="B27" t="inlineStr">
        <is>
          <t>Kab. Tebo</t>
        </is>
      </c>
      <c r="C27" t="inlineStr">
        <is>
          <t>081274710100</t>
        </is>
      </c>
      <c r="D27" t="inlineStr">
        <is>
          <t>wahanaberjaya21@gmail.com</t>
        </is>
      </c>
      <c r="E27" t="inlineStr">
        <is>
          <t>https://lpjk.pu.go.id/search-badan-usaha-detail/b21PN2I2NWM4UzE5UUptYnBxdkpNZz09</t>
        </is>
      </c>
      <c r="F27" t="n">
        <v>6</v>
      </c>
      <c r="G27" t="inlineStr">
        <is>
          <t>BG001, BG002, BG004, BG005, BG006, BS004</t>
        </is>
      </c>
      <c r="H27" t="inlineStr">
        <is>
          <t>22 Juni 2011</t>
        </is>
      </c>
      <c r="I27" s="2" t="n">
        <v>46327</v>
      </c>
      <c r="J27" t="inlineStr">
        <is>
          <t>Disetujui</t>
        </is>
      </c>
      <c r="K27" t="n">
        <v>30</v>
      </c>
      <c r="L27" t="inlineStr">
        <is>
          <t>1 November 2026</t>
        </is>
      </c>
      <c r="M27" t="inlineStr">
        <is>
          <t>Konstruksi Gedung Hunian, Konstruksi Gedung Kesehatan, Konstruksi Gedung Pendidikan, Konstruksi Gedung Perbelanjaan, Konstruksi Gedung Perkantoran, Konstruksi Jaringan Irigasi dan Drainase</t>
        </is>
      </c>
      <c r="N27" t="inlineStr">
        <is>
          <t>K</t>
        </is>
      </c>
      <c r="O27" t="inlineStr">
        <is>
          <t>20231030</t>
        </is>
      </c>
      <c r="P27" t="inlineStr">
        <is>
          <t>Jambi</t>
        </is>
      </c>
      <c r="Q27" t="inlineStr"/>
    </row>
    <row r="28">
      <c r="A28" t="inlineStr">
        <is>
          <t>BERKAH PETUAH NEGERI</t>
        </is>
      </c>
      <c r="B28" t="inlineStr">
        <is>
          <t>Kab. Pelalawan</t>
        </is>
      </c>
      <c r="C28" t="inlineStr">
        <is>
          <t>081277748882</t>
        </is>
      </c>
      <c r="D28" t="inlineStr">
        <is>
          <t>berkahpetuahnegeri@gmail.com</t>
        </is>
      </c>
      <c r="E28" t="inlineStr">
        <is>
          <t>https://lpjk.pu.go.id/search-badan-usaha-detail/NS9DYms2TGRwVE5GNnV6V3c4RWtRZz09</t>
        </is>
      </c>
      <c r="F28" t="n">
        <v>4</v>
      </c>
      <c r="G28" t="inlineStr">
        <is>
          <t>BG006, BG009</t>
        </is>
      </c>
      <c r="H28" t="inlineStr">
        <is>
          <t>15 Mei 2020</t>
        </is>
      </c>
      <c r="I28" s="2" t="n">
        <v>46327</v>
      </c>
      <c r="J28" t="inlineStr">
        <is>
          <t>Pencabutan</t>
        </is>
      </c>
      <c r="K28" t="n">
        <v>30</v>
      </c>
      <c r="L28" t="inlineStr">
        <is>
          <t>1 November 2026</t>
        </is>
      </c>
      <c r="M28" t="inlineStr">
        <is>
          <t>Konstruksi Gedung Lainnya, Konstruksi Gedung Pendidikan</t>
        </is>
      </c>
      <c r="N28" t="inlineStr">
        <is>
          <t>K</t>
        </is>
      </c>
      <c r="O28" t="inlineStr">
        <is>
          <t>20231030</t>
        </is>
      </c>
      <c r="P28" t="inlineStr">
        <is>
          <t>Riau</t>
        </is>
      </c>
      <c r="Q28" t="inlineStr"/>
    </row>
    <row r="29">
      <c r="A29" t="inlineStr">
        <is>
          <t>BERLIAN</t>
        </is>
      </c>
      <c r="B29" t="inlineStr">
        <is>
          <t>Kab. Dharmasraya</t>
        </is>
      </c>
      <c r="C29" t="inlineStr">
        <is>
          <t>082386480080</t>
        </is>
      </c>
      <c r="D29" t="inlineStr">
        <is>
          <t>cv.berlianpajak@gmail.com</t>
        </is>
      </c>
      <c r="E29" t="inlineStr">
        <is>
          <t>https://lpjk.pu.go.id/search-badan-usaha-detail/MEdUNVM5blF3VGtDekJTYWsxdi95QT09</t>
        </is>
      </c>
      <c r="F29" t="n">
        <v>2</v>
      </c>
      <c r="G29" t="inlineStr">
        <is>
          <t>BG006, BG009</t>
        </is>
      </c>
      <c r="H29" t="inlineStr">
        <is>
          <t>21 Juni 2012</t>
        </is>
      </c>
      <c r="I29" s="2" t="n">
        <v>46327</v>
      </c>
      <c r="J29" t="inlineStr">
        <is>
          <t>Disetujui</t>
        </is>
      </c>
      <c r="K29" t="n">
        <v>30</v>
      </c>
      <c r="L29" t="inlineStr">
        <is>
          <t>1 November 2026</t>
        </is>
      </c>
      <c r="M29" t="inlineStr">
        <is>
          <t>Konstruksi Gedung Lainnya, Konstruksi Gedung Pendidikan</t>
        </is>
      </c>
      <c r="N29" t="inlineStr">
        <is>
          <t>K</t>
        </is>
      </c>
      <c r="O29" t="inlineStr">
        <is>
          <t>20231101</t>
        </is>
      </c>
      <c r="P29" t="inlineStr">
        <is>
          <t>Sumatera Barat</t>
        </is>
      </c>
      <c r="Q29" t="inlineStr"/>
    </row>
    <row r="30">
      <c r="A30" t="inlineStr">
        <is>
          <t>BERLIAN SAMUDERA</t>
        </is>
      </c>
      <c r="B30" t="inlineStr">
        <is>
          <t>Kab. Lamongan</t>
        </is>
      </c>
      <c r="C30" t="inlineStr">
        <is>
          <t>085730693069</t>
        </is>
      </c>
      <c r="D30" t="inlineStr">
        <is>
          <t>berliansamudra.lmg@gmail.com</t>
        </is>
      </c>
      <c r="E30" t="inlineStr">
        <is>
          <t>https://lpjk.pu.go.id/search-badan-usaha-detail/b2duNXVQWHRBWlMvMEF2L1d5bU9OQT09</t>
        </is>
      </c>
      <c r="F30" t="n">
        <v>2</v>
      </c>
      <c r="G30" t="inlineStr">
        <is>
          <t>BS001, BS004</t>
        </is>
      </c>
      <c r="H30" t="inlineStr">
        <is>
          <t>27 September 2023</t>
        </is>
      </c>
      <c r="I30" s="2" t="n">
        <v>46327</v>
      </c>
      <c r="J30" t="inlineStr">
        <is>
          <t>Pencabutan</t>
        </is>
      </c>
      <c r="K30" t="n">
        <v>30</v>
      </c>
      <c r="L30" t="inlineStr">
        <is>
          <t>1 November 2026</t>
        </is>
      </c>
      <c r="M30" t="inlineStr">
        <is>
          <t>Konstruksi Bangunan Sipil Jalan, Konstruksi Jaringan Irigasi dan Drainase</t>
        </is>
      </c>
      <c r="N30" t="inlineStr">
        <is>
          <t>K</t>
        </is>
      </c>
      <c r="O30" t="inlineStr">
        <is>
          <t>20231019, 20231102</t>
        </is>
      </c>
      <c r="P30" t="inlineStr">
        <is>
          <t>Jawa Timur</t>
        </is>
      </c>
      <c r="Q30" t="inlineStr"/>
    </row>
    <row r="31">
      <c r="A31" t="inlineStr">
        <is>
          <t>BINTANG ALUMINIUM SEJAHTERA</t>
        </is>
      </c>
      <c r="B31" t="inlineStr">
        <is>
          <t>Kota Adm. Jakarta Utara</t>
        </is>
      </c>
      <c r="C31" t="inlineStr">
        <is>
          <t>02164715133</t>
        </is>
      </c>
      <c r="D31" t="inlineStr">
        <is>
          <t>silviasunter@protonmail.com</t>
        </is>
      </c>
      <c r="E31" t="inlineStr">
        <is>
          <t>https://lpjk.pu.go.id/search-badan-usaha-detail/dFBhN1liUVhVYktnYlhwNGJiSGV5QT09</t>
        </is>
      </c>
      <c r="F31" t="n">
        <v>2</v>
      </c>
      <c r="G31" t="inlineStr">
        <is>
          <t>BG002</t>
        </is>
      </c>
      <c r="H31" t="inlineStr">
        <is>
          <t>28 Oktober 2019</t>
        </is>
      </c>
      <c r="I31" s="2" t="n">
        <v>46327</v>
      </c>
      <c r="J31" t="inlineStr">
        <is>
          <t>Disetujui</t>
        </is>
      </c>
      <c r="K31" t="n">
        <v>30</v>
      </c>
      <c r="L31" t="inlineStr">
        <is>
          <t>1 November 2026</t>
        </is>
      </c>
      <c r="M31" t="inlineStr">
        <is>
          <t>Konstruksi Gedung Perkantoran</t>
        </is>
      </c>
      <c r="N31" t="inlineStr">
        <is>
          <t>K</t>
        </is>
      </c>
      <c r="O31" t="inlineStr">
        <is>
          <t>20231029</t>
        </is>
      </c>
      <c r="P31" t="inlineStr">
        <is>
          <t>DKI Jakarta</t>
        </is>
      </c>
      <c r="Q31" t="inlineStr"/>
    </row>
    <row r="32">
      <c r="A32" t="inlineStr">
        <is>
          <t>BINTANG CIPTA PESONA</t>
        </is>
      </c>
      <c r="B32" t="inlineStr">
        <is>
          <t>Kab. Karanganyar</t>
        </is>
      </c>
      <c r="C32" t="inlineStr">
        <is>
          <t>085649863938</t>
        </is>
      </c>
      <c r="D32" t="inlineStr">
        <is>
          <t>cvbcp2020@gmail.com</t>
        </is>
      </c>
      <c r="E32" t="inlineStr">
        <is>
          <t>https://lpjk.pu.go.id/search-badan-usaha-detail/NkNjTDZmYlZqMGtFbnd3dGxZdmhFdz09</t>
        </is>
      </c>
      <c r="F32" t="n">
        <v>6</v>
      </c>
      <c r="G32" t="inlineStr">
        <is>
          <t>RK001, RK002, RK003</t>
        </is>
      </c>
      <c r="H32" t="inlineStr">
        <is>
          <t>27 Januari 2020</t>
        </is>
      </c>
      <c r="I32" s="2" t="n">
        <v>46327</v>
      </c>
      <c r="J32" t="inlineStr">
        <is>
          <t>Disetujui</t>
        </is>
      </c>
      <c r="K32" t="n">
        <v>30</v>
      </c>
      <c r="L32" t="inlineStr">
        <is>
          <t>1 November 2026</t>
        </is>
      </c>
      <c r="M32" t="inlineStr">
        <is>
          <t>Jasa Rekayasa Konstruksi Bangunan Gedung Hunian dan Non Hunian, Jasa Rekayasa Pekerjaan Teknik Sipil Sumber Daya Air, Jasa Rekayasa Pekerjaan Teknik Sipil Transportasi</t>
        </is>
      </c>
      <c r="N32" t="inlineStr">
        <is>
          <t>K</t>
        </is>
      </c>
      <c r="O32" t="inlineStr">
        <is>
          <t>20231023</t>
        </is>
      </c>
      <c r="P32" t="inlineStr">
        <is>
          <t>Jawa Tengah</t>
        </is>
      </c>
      <c r="Q32" t="inlineStr"/>
    </row>
    <row r="33">
      <c r="A33" t="inlineStr">
        <is>
          <t>BINTANG DI SURGA</t>
        </is>
      </c>
      <c r="B33" t="inlineStr">
        <is>
          <t>Kab. Batang</t>
        </is>
      </c>
      <c r="C33" t="inlineStr">
        <is>
          <t>089652660309</t>
        </is>
      </c>
      <c r="D33" t="inlineStr">
        <is>
          <t>bidisu001@gmail.com</t>
        </is>
      </c>
      <c r="E33" t="inlineStr">
        <is>
          <t>https://lpjk.pu.go.id/search-badan-usaha-detail/RUVGdThiSGVTS21IYmZuTFZ6ZTh4QT09</t>
        </is>
      </c>
      <c r="F33" t="n">
        <v>2</v>
      </c>
      <c r="G33" t="inlineStr">
        <is>
          <t>BG009</t>
        </is>
      </c>
      <c r="H33" t="inlineStr">
        <is>
          <t>25 Oktober 2023</t>
        </is>
      </c>
      <c r="I33" s="2" t="n">
        <v>46327</v>
      </c>
      <c r="J33" t="inlineStr">
        <is>
          <t>Disetujui</t>
        </is>
      </c>
      <c r="K33" t="n">
        <v>30</v>
      </c>
      <c r="L33" t="inlineStr">
        <is>
          <t>1 November 2026</t>
        </is>
      </c>
      <c r="M33" t="inlineStr">
        <is>
          <t>Konstruksi Gedung Lainnya</t>
        </is>
      </c>
      <c r="N33" t="inlineStr">
        <is>
          <t>K</t>
        </is>
      </c>
      <c r="O33" t="inlineStr">
        <is>
          <t>20231102</t>
        </is>
      </c>
      <c r="P33" t="inlineStr">
        <is>
          <t>Jawa Tengah</t>
        </is>
      </c>
      <c r="Q33" t="inlineStr"/>
    </row>
    <row r="34">
      <c r="A34" t="inlineStr">
        <is>
          <t>BINTANG KEJAYAAN</t>
        </is>
      </c>
      <c r="B34" t="inlineStr">
        <is>
          <t>Kab. Muara Enim</t>
        </is>
      </c>
      <c r="C34" t="inlineStr">
        <is>
          <t>085208175787</t>
        </is>
      </c>
      <c r="D34" t="inlineStr">
        <is>
          <t>azhariktm745@gmail.com</t>
        </is>
      </c>
      <c r="E34" t="inlineStr">
        <is>
          <t>https://lpjk.pu.go.id/search-badan-usaha-detail/N3FRMS9SSytNRWs1QUJUVWhWdnRsZz09</t>
        </is>
      </c>
      <c r="F34" t="n">
        <v>6</v>
      </c>
      <c r="G34" t="inlineStr">
        <is>
          <t>BS001, BS002, BS004</t>
        </is>
      </c>
      <c r="H34" t="inlineStr">
        <is>
          <t>14 Januari 2020</t>
        </is>
      </c>
      <c r="I34" s="2" t="n">
        <v>46327</v>
      </c>
      <c r="J34" t="inlineStr">
        <is>
          <t>Disetujui</t>
        </is>
      </c>
      <c r="K34" t="n">
        <v>30</v>
      </c>
      <c r="L34" t="inlineStr">
        <is>
          <t>1 November 2026</t>
        </is>
      </c>
      <c r="M34" t="inlineStr">
        <is>
          <t>Bangunan Sipil Jembatan, Jalan Layang, Fly Over, dan Underpass, Konstruksi Bangunan Sipil Jalan, Konstruksi Jaringan Irigasi dan Drainase</t>
        </is>
      </c>
      <c r="N34" t="inlineStr">
        <is>
          <t>K</t>
        </is>
      </c>
      <c r="O34" t="inlineStr">
        <is>
          <t>20231031</t>
        </is>
      </c>
      <c r="P34" t="inlineStr">
        <is>
          <t>Sumatera Selatan</t>
        </is>
      </c>
      <c r="Q34" t="inlineStr"/>
    </row>
    <row r="35">
      <c r="A35" t="inlineStr">
        <is>
          <t>BINTANG RAYA MANDIRI</t>
        </is>
      </c>
      <c r="B35" t="inlineStr">
        <is>
          <t>Kab. Aceh Tamiang</t>
        </is>
      </c>
      <c r="C35" t="inlineStr">
        <is>
          <t>085276194987</t>
        </is>
      </c>
      <c r="D35" t="inlineStr">
        <is>
          <t>bintangrayamandiri@yahoo.co.id</t>
        </is>
      </c>
      <c r="E35" t="inlineStr">
        <is>
          <t>https://lpjk.pu.go.id/search-badan-usaha-detail/dDR3YjFCcVlkaFR1VGRtSVRYaVRuQT09</t>
        </is>
      </c>
      <c r="F35" t="n">
        <v>2</v>
      </c>
      <c r="G35" t="inlineStr">
        <is>
          <t>BG009</t>
        </is>
      </c>
      <c r="H35" t="inlineStr">
        <is>
          <t>6 April 1982</t>
        </is>
      </c>
      <c r="I35" s="2" t="n">
        <v>46327</v>
      </c>
      <c r="J35" t="inlineStr">
        <is>
          <t>Disetujui</t>
        </is>
      </c>
      <c r="K35" t="n">
        <v>30</v>
      </c>
      <c r="L35" t="inlineStr">
        <is>
          <t>1 November 2026</t>
        </is>
      </c>
      <c r="M35" t="inlineStr">
        <is>
          <t>Konstruksi Gedung Lainnya</t>
        </is>
      </c>
      <c r="N35" t="inlineStr">
        <is>
          <t>K</t>
        </is>
      </c>
      <c r="O35" t="inlineStr">
        <is>
          <t>20231027</t>
        </is>
      </c>
      <c r="P35" t="inlineStr">
        <is>
          <t>Aceh</t>
        </is>
      </c>
      <c r="Q35" t="inlineStr"/>
    </row>
    <row r="36">
      <c r="A36" t="inlineStr">
        <is>
          <t>BONANZA SUKSES BERSAMA</t>
        </is>
      </c>
      <c r="B36" t="inlineStr">
        <is>
          <t>Kota Cilegon</t>
        </is>
      </c>
      <c r="C36" t="inlineStr">
        <is>
          <t>083192333904</t>
        </is>
      </c>
      <c r="D36" t="inlineStr">
        <is>
          <t>bonanzasukses.pt@gmail.com</t>
        </is>
      </c>
      <c r="E36" t="inlineStr">
        <is>
          <t>https://lpjk.pu.go.id/search-badan-usaha-detail/VXR4OWVoU1RoV1pxS3QzbFNURUpZUT09</t>
        </is>
      </c>
      <c r="F36" t="n">
        <v>4</v>
      </c>
      <c r="G36" t="inlineStr">
        <is>
          <t>BG002, BG009</t>
        </is>
      </c>
      <c r="H36" t="inlineStr">
        <is>
          <t>17 Juli 2018</t>
        </is>
      </c>
      <c r="I36" s="2" t="n">
        <v>46327</v>
      </c>
      <c r="J36" t="inlineStr">
        <is>
          <t>Pencabutan</t>
        </is>
      </c>
      <c r="K36" t="n">
        <v>30</v>
      </c>
      <c r="L36" t="inlineStr">
        <is>
          <t>1 November 2026</t>
        </is>
      </c>
      <c r="M36" t="inlineStr">
        <is>
          <t>Konstruksi Gedung Lainnya, Konstruksi Gedung Perkantoran</t>
        </is>
      </c>
      <c r="N36" t="inlineStr">
        <is>
          <t>K</t>
        </is>
      </c>
      <c r="O36" t="inlineStr">
        <is>
          <t>20231015</t>
        </is>
      </c>
      <c r="P36" t="inlineStr">
        <is>
          <t>Banten</t>
        </is>
      </c>
      <c r="Q36" t="inlineStr"/>
    </row>
    <row r="37">
      <c r="A37" t="inlineStr">
        <is>
          <t>BUDI SARI</t>
        </is>
      </c>
      <c r="B37" t="inlineStr">
        <is>
          <t>Kota Yogyakarta</t>
        </is>
      </c>
      <c r="C37" t="inlineStr">
        <is>
          <t>087838265664</t>
        </is>
      </c>
      <c r="D37" t="inlineStr">
        <is>
          <t>budisaricv@gmail.com</t>
        </is>
      </c>
      <c r="E37" t="inlineStr">
        <is>
          <t>https://lpjk.pu.go.id/search-badan-usaha-detail/bU54R3BBV2M4cFp0WDVsbkpleTVIZz09</t>
        </is>
      </c>
      <c r="F37" t="n">
        <v>2</v>
      </c>
      <c r="G37" t="inlineStr">
        <is>
          <t>BG005, BG009</t>
        </is>
      </c>
      <c r="H37" t="inlineStr">
        <is>
          <t>19 Desember 1988</t>
        </is>
      </c>
      <c r="I37" s="2" t="n">
        <v>46327</v>
      </c>
      <c r="J37" t="inlineStr">
        <is>
          <t>Disetujui</t>
        </is>
      </c>
      <c r="K37" t="n">
        <v>30</v>
      </c>
      <c r="L37" t="inlineStr">
        <is>
          <t>1 November 2026</t>
        </is>
      </c>
      <c r="M37" t="inlineStr">
        <is>
          <t>Konstruksi Gedung Kesehatan, Konstruksi Gedung Lainnya</t>
        </is>
      </c>
      <c r="N37" t="inlineStr">
        <is>
          <t>K</t>
        </is>
      </c>
      <c r="O37" t="inlineStr">
        <is>
          <t>20230918, 20231028</t>
        </is>
      </c>
      <c r="P37" t="inlineStr">
        <is>
          <t>DI Yogyakarta</t>
        </is>
      </c>
      <c r="Q37" t="inlineStr"/>
    </row>
    <row r="38">
      <c r="A38" t="inlineStr">
        <is>
          <t>BUMI SRI KARMA</t>
        </is>
      </c>
      <c r="B38" t="inlineStr">
        <is>
          <t>Kota Mataram</t>
        </is>
      </c>
      <c r="C38" t="inlineStr">
        <is>
          <t>087865101945</t>
        </is>
      </c>
      <c r="D38" t="inlineStr">
        <is>
          <t>ptbumisrikarma0711@gmail.com</t>
        </is>
      </c>
      <c r="E38" t="inlineStr">
        <is>
          <t>https://lpjk.pu.go.id/search-badan-usaha-detail/ZjlRUTVpSmlsY1h0cHJZa2ZkN0VWQT09</t>
        </is>
      </c>
      <c r="F38" t="n">
        <v>1</v>
      </c>
      <c r="G38" t="inlineStr">
        <is>
          <t>BS001</t>
        </is>
      </c>
      <c r="H38" t="inlineStr">
        <is>
          <t>26 November 2021</t>
        </is>
      </c>
      <c r="I38" s="2" t="n">
        <v>46327</v>
      </c>
      <c r="J38" t="inlineStr">
        <is>
          <t>Disetujui</t>
        </is>
      </c>
      <c r="K38" t="n">
        <v>30</v>
      </c>
      <c r="L38" t="inlineStr">
        <is>
          <t>1 November 2026</t>
        </is>
      </c>
      <c r="M38" t="inlineStr">
        <is>
          <t>Konstruksi Bangunan Sipil Jalan</t>
        </is>
      </c>
      <c r="N38" t="inlineStr">
        <is>
          <t>K</t>
        </is>
      </c>
      <c r="O38" t="inlineStr">
        <is>
          <t>20231018</t>
        </is>
      </c>
      <c r="P38" t="inlineStr">
        <is>
          <t>Nusa Tenggara Barat</t>
        </is>
      </c>
      <c r="Q38" t="inlineStr"/>
    </row>
    <row r="39">
      <c r="A39" t="inlineStr">
        <is>
          <t>BUMI TERANG FORTUNA</t>
        </is>
      </c>
      <c r="B39" t="inlineStr">
        <is>
          <t>Kota Adm. Jakarta Barat</t>
        </is>
      </c>
      <c r="C39" t="inlineStr">
        <is>
          <t>085373333893</t>
        </is>
      </c>
      <c r="D39" t="inlineStr">
        <is>
          <t>btfortuna@yahoo.com</t>
        </is>
      </c>
      <c r="E39" t="inlineStr">
        <is>
          <t>https://lpjk.pu.go.id/search-badan-usaha-detail/OVAyVDNucndaNjJlcHRFbGxKTkEyZz09</t>
        </is>
      </c>
      <c r="F39" t="n">
        <v>1</v>
      </c>
      <c r="G39" t="inlineStr">
        <is>
          <t>BS004</t>
        </is>
      </c>
      <c r="H39" t="inlineStr">
        <is>
          <t>30 Mei 2023</t>
        </is>
      </c>
      <c r="I39" s="2" t="n">
        <v>46327</v>
      </c>
      <c r="J39" t="inlineStr">
        <is>
          <t>Disetujui</t>
        </is>
      </c>
      <c r="K39" t="n">
        <v>30</v>
      </c>
      <c r="L39" t="inlineStr">
        <is>
          <t>1 November 2026</t>
        </is>
      </c>
      <c r="M39" t="inlineStr">
        <is>
          <t>Konstruksi Jaringan Irigasi dan Drainase</t>
        </is>
      </c>
      <c r="N39" t="inlineStr">
        <is>
          <t>K</t>
        </is>
      </c>
      <c r="O39" t="inlineStr">
        <is>
          <t>20231101</t>
        </is>
      </c>
      <c r="P39" t="inlineStr">
        <is>
          <t>DKI Jakarta</t>
        </is>
      </c>
      <c r="Q39" t="inlineStr"/>
    </row>
    <row r="40">
      <c r="A40" t="inlineStr">
        <is>
          <t>CAHAYA</t>
        </is>
      </c>
      <c r="B40" t="inlineStr">
        <is>
          <t>Kab. Trenggalek</t>
        </is>
      </c>
      <c r="C40" t="inlineStr">
        <is>
          <t>085330230662</t>
        </is>
      </c>
      <c r="D40" t="inlineStr">
        <is>
          <t>cvcahaya.trenggalek@gmail.com</t>
        </is>
      </c>
      <c r="E40" t="inlineStr">
        <is>
          <t>https://lpjk.pu.go.id/search-badan-usaha-detail/ZXN1Sy9GWkUyNE9zUGZZVzdFYWZ2QT09</t>
        </is>
      </c>
      <c r="F40" t="n">
        <v>2</v>
      </c>
      <c r="G40" t="inlineStr">
        <is>
          <t>BS005, BS006</t>
        </is>
      </c>
      <c r="H40" t="inlineStr">
        <is>
          <t>9 Agustus 2001</t>
        </is>
      </c>
      <c r="I40" s="2" t="n">
        <v>46327</v>
      </c>
      <c r="J40" t="inlineStr">
        <is>
          <t>Disetujui</t>
        </is>
      </c>
      <c r="K40" t="n">
        <v>30</v>
      </c>
      <c r="L40" t="inlineStr">
        <is>
          <t>1 November 2026</t>
        </is>
      </c>
      <c r="M40" t="inlineStr">
        <is>
          <t>Konstruksi Bangunan Sipil Pengolahan Air Bersih, Konstruksi Bangunan Sipil Prasarana dan Sarana Sistem Pengolahan Limbah Padat, Cair, dan Gas</t>
        </is>
      </c>
      <c r="N40" t="inlineStr">
        <is>
          <t>K</t>
        </is>
      </c>
      <c r="O40" t="inlineStr">
        <is>
          <t>20231026, 20231027</t>
        </is>
      </c>
      <c r="P40" t="inlineStr">
        <is>
          <t>Jawa Timur</t>
        </is>
      </c>
      <c r="Q40" t="inlineStr"/>
    </row>
    <row r="41">
      <c r="A41" t="inlineStr">
        <is>
          <t>CAHAYA ERVIN GEMILANG</t>
        </is>
      </c>
      <c r="B41" t="inlineStr">
        <is>
          <t>Kota Jambi</t>
        </is>
      </c>
      <c r="C41" t="inlineStr">
        <is>
          <t>081274873873</t>
        </is>
      </c>
      <c r="D41" t="inlineStr">
        <is>
          <t>herryrachmayanto@gmail.com</t>
        </is>
      </c>
      <c r="E41" t="inlineStr">
        <is>
          <t>https://lpjk.pu.go.id/search-badan-usaha-detail/cUdBc1N0YmdwZTNNQ2NaZDdEY21odz09</t>
        </is>
      </c>
      <c r="F41" t="n">
        <v>4</v>
      </c>
      <c r="G41" t="inlineStr">
        <is>
          <t>BG002, BG005, BG006, BG009</t>
        </is>
      </c>
      <c r="H41" t="inlineStr">
        <is>
          <t>19 Januari 2008</t>
        </is>
      </c>
      <c r="I41" s="2" t="n">
        <v>46327</v>
      </c>
      <c r="J41" t="inlineStr">
        <is>
          <t>Disetujui</t>
        </is>
      </c>
      <c r="K41" t="n">
        <v>30</v>
      </c>
      <c r="L41" t="inlineStr">
        <is>
          <t>1 November 2026</t>
        </is>
      </c>
      <c r="M41" t="inlineStr">
        <is>
          <t>Konstruksi Gedung Kesehatan, Konstruksi Gedung Lainnya, Konstruksi Gedung Pendidikan, Konstruksi Gedung Perkantoran</t>
        </is>
      </c>
      <c r="N41" t="inlineStr">
        <is>
          <t>K</t>
        </is>
      </c>
      <c r="O41" t="inlineStr">
        <is>
          <t>20231030, 20231101</t>
        </is>
      </c>
      <c r="P41" t="inlineStr">
        <is>
          <t>Jambi</t>
        </is>
      </c>
      <c r="Q41" t="inlineStr"/>
    </row>
    <row r="42">
      <c r="A42" t="inlineStr">
        <is>
          <t>CIPTA ANEKA</t>
        </is>
      </c>
      <c r="B42" t="inlineStr">
        <is>
          <t>Kab. Bondowoso</t>
        </is>
      </c>
      <c r="C42" t="inlineStr">
        <is>
          <t>082334809991</t>
        </is>
      </c>
      <c r="D42" t="inlineStr">
        <is>
          <t>cipta.anekacv@gmail.com</t>
        </is>
      </c>
      <c r="E42" t="inlineStr">
        <is>
          <t>https://lpjk.pu.go.id/search-badan-usaha-detail/bTFjSFpuMDhRRTBpeVdyQ2dTRVRsUT09</t>
        </is>
      </c>
      <c r="F42" t="n">
        <v>6</v>
      </c>
      <c r="G42" t="inlineStr">
        <is>
          <t>BG005, BG006, BS001</t>
        </is>
      </c>
      <c r="H42" t="inlineStr">
        <is>
          <t>14 November 2013</t>
        </is>
      </c>
      <c r="I42" s="2" t="n">
        <v>46327</v>
      </c>
      <c r="J42" t="inlineStr">
        <is>
          <t>Disetujui, Pencabutan</t>
        </is>
      </c>
      <c r="K42" t="n">
        <v>30</v>
      </c>
      <c r="L42" t="inlineStr">
        <is>
          <t>1 November 2026</t>
        </is>
      </c>
      <c r="M42" t="inlineStr">
        <is>
          <t>Konstruksi Bangunan Sipil Jalan, Konstruksi Gedung Kesehatan, Konstruksi Gedung Pendidikan</t>
        </is>
      </c>
      <c r="N42" t="inlineStr">
        <is>
          <t>K</t>
        </is>
      </c>
      <c r="O42" t="inlineStr">
        <is>
          <t>20231031</t>
        </is>
      </c>
      <c r="P42" t="inlineStr">
        <is>
          <t>Jawa Timur</t>
        </is>
      </c>
      <c r="Q42" t="inlineStr"/>
    </row>
    <row r="43">
      <c r="A43" t="inlineStr">
        <is>
          <t>CIPTA DYTAMA</t>
        </is>
      </c>
      <c r="B43" t="inlineStr">
        <is>
          <t>Kota Surabaya</t>
        </is>
      </c>
      <c r="C43" t="inlineStr">
        <is>
          <t>08133639417</t>
        </is>
      </c>
      <c r="D43" t="inlineStr">
        <is>
          <t>cvciptadytama2@outlook.com</t>
        </is>
      </c>
      <c r="E43" t="inlineStr">
        <is>
          <t>https://lpjk.pu.go.id/search-badan-usaha-detail/R2J2ckFGS0FodjJPQ3RVU3QrcVRyZz09</t>
        </is>
      </c>
      <c r="F43" t="n">
        <v>2</v>
      </c>
      <c r="G43" t="inlineStr">
        <is>
          <t>BG002</t>
        </is>
      </c>
      <c r="H43" t="inlineStr">
        <is>
          <t>28 September 1995</t>
        </is>
      </c>
      <c r="I43" s="2" t="n">
        <v>46327</v>
      </c>
      <c r="J43" t="inlineStr">
        <is>
          <t>Disetujui</t>
        </is>
      </c>
      <c r="K43" t="n">
        <v>30</v>
      </c>
      <c r="L43" t="inlineStr">
        <is>
          <t>1 November 2026</t>
        </is>
      </c>
      <c r="M43" t="inlineStr">
        <is>
          <t>Konstruksi Gedung Perkantoran</t>
        </is>
      </c>
      <c r="N43" t="inlineStr">
        <is>
          <t>K</t>
        </is>
      </c>
      <c r="O43" t="inlineStr">
        <is>
          <t>20231025</t>
        </is>
      </c>
      <c r="P43" t="inlineStr">
        <is>
          <t>Jawa Timur</t>
        </is>
      </c>
      <c r="Q43" t="inlineStr"/>
    </row>
    <row r="44">
      <c r="A44" t="inlineStr">
        <is>
          <t>CIPTA JAYA PIRANTI</t>
        </is>
      </c>
      <c r="B44" t="inlineStr">
        <is>
          <t>Kota Adm. Jakarta Pusat</t>
        </is>
      </c>
      <c r="C44" t="inlineStr">
        <is>
          <t>08112334567</t>
        </is>
      </c>
      <c r="D44" t="inlineStr">
        <is>
          <t>pt.cijati@gmail.com</t>
        </is>
      </c>
      <c r="E44" t="inlineStr">
        <is>
          <t>https://lpjk.pu.go.id/search-badan-usaha-detail/WHBzMUZIVEFjMW5SbTFxNUozaUliUT09</t>
        </is>
      </c>
      <c r="F44" t="n">
        <v>12</v>
      </c>
      <c r="G44" t="inlineStr">
        <is>
          <t>BG001, BG002, BG005, BG006, BG009, BS001</t>
        </is>
      </c>
      <c r="H44" t="inlineStr">
        <is>
          <t>5 Juni 2023</t>
        </is>
      </c>
      <c r="I44" s="2" t="n">
        <v>46327</v>
      </c>
      <c r="J44" t="inlineStr">
        <is>
          <t>Disetujui</t>
        </is>
      </c>
      <c r="K44" t="n">
        <v>30</v>
      </c>
      <c r="L44" t="inlineStr">
        <is>
          <t>1 November 2026</t>
        </is>
      </c>
      <c r="M44" t="inlineStr">
        <is>
          <t>Konstruksi Bangunan Sipil Jalan, Konstruksi Gedung Hunian, Konstruksi Gedung Kesehatan, Konstruksi Gedung Lainnya, Konstruksi Gedung Pendidikan, Konstruksi Gedung Perkantoran</t>
        </is>
      </c>
      <c r="N44" t="inlineStr">
        <is>
          <t>K</t>
        </is>
      </c>
      <c r="O44" t="inlineStr">
        <is>
          <t>20231101, 20231102</t>
        </is>
      </c>
      <c r="P44" t="inlineStr">
        <is>
          <t>DKI Jakarta</t>
        </is>
      </c>
      <c r="Q44" t="inlineStr"/>
    </row>
    <row r="45">
      <c r="A45" t="inlineStr">
        <is>
          <t>CITRA ABADI</t>
        </is>
      </c>
      <c r="B45" t="inlineStr">
        <is>
          <t>Kab. Sumenep</t>
        </is>
      </c>
      <c r="C45" t="inlineStr">
        <is>
          <t>081919673289</t>
        </is>
      </c>
      <c r="D45" t="inlineStr">
        <is>
          <t>cvcitraabadi81@gmail.com</t>
        </is>
      </c>
      <c r="E45" t="inlineStr">
        <is>
          <t>https://lpjk.pu.go.id/search-badan-usaha-detail/OE82RmUrWFF5bVNkQnJOSTRRZGFOZz09</t>
        </is>
      </c>
      <c r="F45" t="n">
        <v>1</v>
      </c>
      <c r="G45" t="inlineStr">
        <is>
          <t>BS005</t>
        </is>
      </c>
      <c r="H45" t="inlineStr">
        <is>
          <t>21 Februari 2003</t>
        </is>
      </c>
      <c r="I45" s="2" t="n">
        <v>46327</v>
      </c>
      <c r="J45" t="inlineStr">
        <is>
          <t>Disetujui</t>
        </is>
      </c>
      <c r="K45" t="n">
        <v>30</v>
      </c>
      <c r="L45" t="inlineStr">
        <is>
          <t>1 November 2026</t>
        </is>
      </c>
      <c r="M45" t="inlineStr">
        <is>
          <t>Konstruksi Bangunan Sipil Pengolahan Air Bersih</t>
        </is>
      </c>
      <c r="N45" t="inlineStr">
        <is>
          <t>K</t>
        </is>
      </c>
      <c r="O45" t="inlineStr">
        <is>
          <t>20231031</t>
        </is>
      </c>
      <c r="P45" t="inlineStr">
        <is>
          <t>Jawa Timur</t>
        </is>
      </c>
      <c r="Q45" t="inlineStr"/>
    </row>
    <row r="46">
      <c r="A46" t="inlineStr">
        <is>
          <t>DEVARA TEKHNIKA PERSADA</t>
        </is>
      </c>
      <c r="B46" t="inlineStr">
        <is>
          <t>Kab. Banyuwangi</t>
        </is>
      </c>
      <c r="C46" t="inlineStr">
        <is>
          <t>081259123505</t>
        </is>
      </c>
      <c r="D46" t="inlineStr">
        <is>
          <t>devaratekhnika@gmail.com</t>
        </is>
      </c>
      <c r="E46" t="inlineStr">
        <is>
          <t>https://lpjk.pu.go.id/search-badan-usaha-detail/RzA0d20ybmMyMU80YVlQdk1xVEZlQT09</t>
        </is>
      </c>
      <c r="F46" t="n">
        <v>2</v>
      </c>
      <c r="G46" t="inlineStr">
        <is>
          <t>BG006, BS001</t>
        </is>
      </c>
      <c r="H46" t="inlineStr">
        <is>
          <t>12 Juni 2023</t>
        </is>
      </c>
      <c r="I46" s="2" t="n">
        <v>46327</v>
      </c>
      <c r="J46" t="inlineStr">
        <is>
          <t>Disetujui</t>
        </is>
      </c>
      <c r="K46" t="n">
        <v>30</v>
      </c>
      <c r="L46" t="inlineStr">
        <is>
          <t>1 November 2026</t>
        </is>
      </c>
      <c r="M46" t="inlineStr">
        <is>
          <t>Konstruksi Bangunan Sipil Jalan, Konstruksi Gedung Pendidikan</t>
        </is>
      </c>
      <c r="N46" t="inlineStr">
        <is>
          <t>K</t>
        </is>
      </c>
      <c r="O46" t="inlineStr">
        <is>
          <t>20231030</t>
        </is>
      </c>
      <c r="P46" t="inlineStr">
        <is>
          <t>Jawa Timur</t>
        </is>
      </c>
      <c r="Q46" t="inlineStr"/>
    </row>
    <row r="47">
      <c r="A47" t="inlineStr">
        <is>
          <t>DHARMA PUTRA UTAMA</t>
        </is>
      </c>
      <c r="B47" t="inlineStr">
        <is>
          <t>Kab. Jombang</t>
        </is>
      </c>
      <c r="C47" t="inlineStr">
        <is>
          <t>0321866479</t>
        </is>
      </c>
      <c r="D47" t="inlineStr">
        <is>
          <t>dharmaputrautama8@gmail.com</t>
        </is>
      </c>
      <c r="E47" t="inlineStr">
        <is>
          <t>https://lpjk.pu.go.id/search-badan-usaha-detail/UWN2dk9xSDltOHc0MFRHa3hzanVoZz09</t>
        </is>
      </c>
      <c r="F47" t="n">
        <v>2</v>
      </c>
      <c r="G47" t="inlineStr">
        <is>
          <t>BG001, BG004</t>
        </is>
      </c>
      <c r="H47" t="inlineStr">
        <is>
          <t>24 Oktober 2002</t>
        </is>
      </c>
      <c r="I47" s="2" t="n">
        <v>46327</v>
      </c>
      <c r="J47" t="inlineStr">
        <is>
          <t>Disetujui</t>
        </is>
      </c>
      <c r="K47" t="n">
        <v>30</v>
      </c>
      <c r="L47" t="inlineStr">
        <is>
          <t>1 November 2026</t>
        </is>
      </c>
      <c r="M47" t="inlineStr">
        <is>
          <t>Konstruksi Gedung Hunian, Konstruksi Gedung Perbelanjaan</t>
        </is>
      </c>
      <c r="N47" t="inlineStr">
        <is>
          <t>K</t>
        </is>
      </c>
      <c r="O47" t="inlineStr">
        <is>
          <t>20231027, 20231031</t>
        </is>
      </c>
      <c r="P47" t="inlineStr">
        <is>
          <t>Jawa Timur</t>
        </is>
      </c>
      <c r="Q47" t="inlineStr"/>
    </row>
    <row r="48">
      <c r="A48" t="inlineStr">
        <is>
          <t>DRAJAT SAUDARA UTAMA</t>
        </is>
      </c>
      <c r="B48" t="inlineStr">
        <is>
          <t>Kab. Karawang</t>
        </is>
      </c>
      <c r="C48" t="inlineStr">
        <is>
          <t>081220005861</t>
        </is>
      </c>
      <c r="D48" t="inlineStr">
        <is>
          <t>manage@drajatsaudarautama.com</t>
        </is>
      </c>
      <c r="E48" t="inlineStr">
        <is>
          <t>https://lpjk.pu.go.id/search-badan-usaha-detail/NHBZa21ZcEN1aStvTHJpVDZwVHBWdz09</t>
        </is>
      </c>
      <c r="F48" t="n">
        <v>1</v>
      </c>
      <c r="G48" t="inlineStr">
        <is>
          <t>BG009</t>
        </is>
      </c>
      <c r="H48" t="inlineStr">
        <is>
          <t>4 September 2023</t>
        </is>
      </c>
      <c r="I48" s="2" t="n">
        <v>46327</v>
      </c>
      <c r="J48" t="inlineStr">
        <is>
          <t>Disetujui</t>
        </is>
      </c>
      <c r="K48" t="n">
        <v>30</v>
      </c>
      <c r="L48" t="inlineStr">
        <is>
          <t>1 November 2026</t>
        </is>
      </c>
      <c r="M48" t="inlineStr">
        <is>
          <t>Konstruksi Gedung Lainnya</t>
        </is>
      </c>
      <c r="N48" t="inlineStr">
        <is>
          <t>K</t>
        </is>
      </c>
      <c r="O48" t="inlineStr">
        <is>
          <t>20231101</t>
        </is>
      </c>
      <c r="P48" t="inlineStr">
        <is>
          <t>Jawa Barat</t>
        </is>
      </c>
      <c r="Q48" t="inlineStr"/>
    </row>
    <row r="49">
      <c r="A49" t="inlineStr">
        <is>
          <t>DUTA NANGGROE</t>
        </is>
      </c>
      <c r="B49" t="inlineStr">
        <is>
          <t>Kab. Aceh Besar</t>
        </is>
      </c>
      <c r="C49" t="inlineStr">
        <is>
          <t>082237834301</t>
        </is>
      </c>
      <c r="D49" t="inlineStr">
        <is>
          <t>dutananggroe2020@gmail.com</t>
        </is>
      </c>
      <c r="E49" t="inlineStr">
        <is>
          <t>https://lpjk.pu.go.id/search-badan-usaha-detail/SEJWeEpSZWNiRXlJYVZQODVsYzBvQT09</t>
        </is>
      </c>
      <c r="F49" t="n">
        <v>3</v>
      </c>
      <c r="G49" t="inlineStr">
        <is>
          <t>RK001, RK003, RK005</t>
        </is>
      </c>
      <c r="H49" t="inlineStr">
        <is>
          <t>17 Maret 2010</t>
        </is>
      </c>
      <c r="I49" s="2" t="n">
        <v>46327</v>
      </c>
      <c r="J49" t="inlineStr">
        <is>
          <t>Disetujui</t>
        </is>
      </c>
      <c r="K49" t="n">
        <v>30</v>
      </c>
      <c r="L49" t="inlineStr">
        <is>
          <t>1 November 2026</t>
        </is>
      </c>
      <c r="M49" t="inlineStr">
        <is>
          <t>Jasa Rekayasa Konstruksi Bangunan Gedung Hunian dan Non Hunian, Jasa Rekayasa Lainnya, Jasa Rekayasa Pekerjaan Teknik Sipil Transportasi</t>
        </is>
      </c>
      <c r="N49" t="inlineStr">
        <is>
          <t>K</t>
        </is>
      </c>
      <c r="O49" t="inlineStr">
        <is>
          <t>20231020</t>
        </is>
      </c>
      <c r="P49" t="inlineStr">
        <is>
          <t>Aceh</t>
        </is>
      </c>
      <c r="Q49" t="inlineStr"/>
    </row>
    <row r="50">
      <c r="A50" t="inlineStr">
        <is>
          <t>ENAM PUTRA LOUW</t>
        </is>
      </c>
      <c r="B50" t="inlineStr">
        <is>
          <t>Kab. Maluku Tengah</t>
        </is>
      </c>
      <c r="C50" t="inlineStr">
        <is>
          <t>082198660965</t>
        </is>
      </c>
      <c r="D50" t="inlineStr">
        <is>
          <t>ohorellakuraisin@gmail.com</t>
        </is>
      </c>
      <c r="E50" t="inlineStr">
        <is>
          <t>https://lpjk.pu.go.id/search-badan-usaha-detail/a3h6am5oVmgzalRvOXBNY1VQV1kzZz09</t>
        </is>
      </c>
      <c r="F50" t="n">
        <v>2</v>
      </c>
      <c r="G50" t="inlineStr">
        <is>
          <t>BG009, BS010</t>
        </is>
      </c>
      <c r="H50" t="inlineStr">
        <is>
          <t>9 Februari 2023</t>
        </is>
      </c>
      <c r="I50" s="2" t="n">
        <v>46327</v>
      </c>
      <c r="J50" t="inlineStr">
        <is>
          <t>Disetujui</t>
        </is>
      </c>
      <c r="K50" t="n">
        <v>30</v>
      </c>
      <c r="L50" t="inlineStr">
        <is>
          <t>1 November 2026</t>
        </is>
      </c>
      <c r="M50" t="inlineStr">
        <is>
          <t>Konstruksi Bangunan Prasarana Sumber Daya Air, Konstruksi Gedung Lainnya</t>
        </is>
      </c>
      <c r="N50" t="inlineStr">
        <is>
          <t>K</t>
        </is>
      </c>
      <c r="O50" t="inlineStr">
        <is>
          <t>20231024, 20231026</t>
        </is>
      </c>
      <c r="P50" t="inlineStr">
        <is>
          <t>Maluku</t>
        </is>
      </c>
      <c r="Q50" t="inlineStr"/>
    </row>
    <row r="51">
      <c r="A51" t="inlineStr">
        <is>
          <t>FARSYAH CIPTA BERSAMA</t>
        </is>
      </c>
      <c r="B51" t="inlineStr">
        <is>
          <t>Kota Bitung</t>
        </is>
      </c>
      <c r="C51" t="inlineStr">
        <is>
          <t>0</t>
        </is>
      </c>
      <c r="D51" t="inlineStr">
        <is>
          <t>cv.farsyahciptabersama@gmail.com</t>
        </is>
      </c>
      <c r="E51" t="inlineStr">
        <is>
          <t>https://lpjk.pu.go.id/search-badan-usaha-detail/bDY4VVl1MkwxMnZGNXRjaVp3Yzk5Zz09</t>
        </is>
      </c>
      <c r="F51" t="n">
        <v>1</v>
      </c>
      <c r="G51" t="inlineStr">
        <is>
          <t>BG001</t>
        </is>
      </c>
      <c r="H51" t="inlineStr">
        <is>
          <t>14 Januari 2020</t>
        </is>
      </c>
      <c r="I51" s="2" t="n">
        <v>46327</v>
      </c>
      <c r="J51" t="inlineStr">
        <is>
          <t>Disetujui</t>
        </is>
      </c>
      <c r="K51" t="n">
        <v>30</v>
      </c>
      <c r="L51" t="inlineStr">
        <is>
          <t>1 November 2026</t>
        </is>
      </c>
      <c r="M51" t="inlineStr">
        <is>
          <t>Konstruksi Gedung Hunian</t>
        </is>
      </c>
      <c r="N51" t="inlineStr">
        <is>
          <t>K</t>
        </is>
      </c>
      <c r="O51" t="inlineStr">
        <is>
          <t>20231030</t>
        </is>
      </c>
      <c r="P51" t="inlineStr">
        <is>
          <t>Sulawesi Utara</t>
        </is>
      </c>
      <c r="Q51" t="inlineStr"/>
    </row>
    <row r="52">
      <c r="A52" t="inlineStr">
        <is>
          <t>GADING MAS</t>
        </is>
      </c>
      <c r="B52" t="inlineStr">
        <is>
          <t>Kota Medan</t>
        </is>
      </c>
      <c r="C52" t="inlineStr">
        <is>
          <t>085324042404</t>
        </is>
      </c>
      <c r="D52" t="inlineStr">
        <is>
          <t>gadingmas2016@gmail.com</t>
        </is>
      </c>
      <c r="E52" t="inlineStr">
        <is>
          <t>https://lpjk.pu.go.id/search-badan-usaha-detail/SFpOaXdkcy9oRHBONUZxaCtGUE9Ndz09</t>
        </is>
      </c>
      <c r="F52" t="n">
        <v>1</v>
      </c>
      <c r="G52" t="inlineStr">
        <is>
          <t>BS002</t>
        </is>
      </c>
      <c r="H52" t="inlineStr">
        <is>
          <t>9 Juni 2016</t>
        </is>
      </c>
      <c r="I52" s="2" t="n">
        <v>46327</v>
      </c>
      <c r="J52" t="inlineStr">
        <is>
          <t>Disetujui</t>
        </is>
      </c>
      <c r="K52" t="n">
        <v>30</v>
      </c>
      <c r="L52" t="inlineStr">
        <is>
          <t>1 November 2026</t>
        </is>
      </c>
      <c r="M52" t="inlineStr">
        <is>
          <t>Bangunan Sipil Jembatan, Jalan Layang, Fly Over, dan Underpass</t>
        </is>
      </c>
      <c r="N52" t="inlineStr">
        <is>
          <t>K</t>
        </is>
      </c>
      <c r="O52" t="inlineStr">
        <is>
          <t>20231101</t>
        </is>
      </c>
      <c r="P52" t="inlineStr">
        <is>
          <t>Sumatera Utara</t>
        </is>
      </c>
      <c r="Q52" t="inlineStr"/>
    </row>
    <row r="53">
      <c r="A53" t="inlineStr">
        <is>
          <t>GALUH MOTEKAR</t>
        </is>
      </c>
      <c r="B53" t="inlineStr">
        <is>
          <t>Kab. Ciamis</t>
        </is>
      </c>
      <c r="C53" t="inlineStr">
        <is>
          <t>082219008147</t>
        </is>
      </c>
      <c r="D53" t="inlineStr">
        <is>
          <t>galuhmotekarcv07@gmail.com</t>
        </is>
      </c>
      <c r="E53" t="inlineStr">
        <is>
          <t>https://lpjk.pu.go.id/search-badan-usaha-detail/bkRtSkZCck4vVzhBMituSU5iV3pmUT09</t>
        </is>
      </c>
      <c r="F53" t="n">
        <v>1</v>
      </c>
      <c r="G53" t="inlineStr">
        <is>
          <t>BS001</t>
        </is>
      </c>
      <c r="H53" t="inlineStr">
        <is>
          <t>19 Januari 2017</t>
        </is>
      </c>
      <c r="I53" s="2" t="n">
        <v>46327</v>
      </c>
      <c r="J53" t="inlineStr">
        <is>
          <t>Disetujui</t>
        </is>
      </c>
      <c r="K53" t="n">
        <v>30</v>
      </c>
      <c r="L53" t="inlineStr">
        <is>
          <t>1 November 2026</t>
        </is>
      </c>
      <c r="M53" t="inlineStr">
        <is>
          <t>Konstruksi Bangunan Sipil Jalan</t>
        </is>
      </c>
      <c r="N53" t="inlineStr">
        <is>
          <t>K</t>
        </is>
      </c>
      <c r="O53" t="inlineStr">
        <is>
          <t>20231101</t>
        </is>
      </c>
      <c r="P53" t="inlineStr">
        <is>
          <t>Jawa Barat</t>
        </is>
      </c>
      <c r="Q53" t="inlineStr"/>
    </row>
    <row r="54">
      <c r="A54" t="inlineStr">
        <is>
          <t>GAZALA SEJAHTERA MADANI</t>
        </is>
      </c>
      <c r="B54" t="inlineStr">
        <is>
          <t>Kab. Langkat</t>
        </is>
      </c>
      <c r="C54" t="inlineStr">
        <is>
          <t>085757774014</t>
        </is>
      </c>
      <c r="D54" t="inlineStr">
        <is>
          <t>gazalasejahteramadani@yahoo.com</t>
        </is>
      </c>
      <c r="E54" t="inlineStr">
        <is>
          <t>https://lpjk.pu.go.id/search-badan-usaha-detail/V2ZCQmpycUtRVVVVM0g1MWQzRDBQZz09</t>
        </is>
      </c>
      <c r="F54" t="n">
        <v>5</v>
      </c>
      <c r="G54" t="inlineStr">
        <is>
          <t>BG001, BG003, BG004, BG006, BG009</t>
        </is>
      </c>
      <c r="H54" t="inlineStr">
        <is>
          <t>22 Juni 2021</t>
        </is>
      </c>
      <c r="I54" s="2" t="n">
        <v>46327</v>
      </c>
      <c r="J54" t="inlineStr">
        <is>
          <t>Disetujui</t>
        </is>
      </c>
      <c r="K54" t="n">
        <v>30</v>
      </c>
      <c r="L54" t="inlineStr">
        <is>
          <t>1 November 2026</t>
        </is>
      </c>
      <c r="M54" t="inlineStr">
        <is>
          <t>Konstruksi Gedung Hunian, Konstruksi Gedung Industri, Konstruksi Gedung Lainnya, Konstruksi Gedung Pendidikan, Konstruksi Gedung Perbelanjaan</t>
        </is>
      </c>
      <c r="N54" t="inlineStr">
        <is>
          <t>K</t>
        </is>
      </c>
      <c r="O54" t="inlineStr">
        <is>
          <t>20231101</t>
        </is>
      </c>
      <c r="P54" t="inlineStr">
        <is>
          <t>Sumatera Utara</t>
        </is>
      </c>
      <c r="Q54" t="inlineStr"/>
    </row>
    <row r="55">
      <c r="A55" t="inlineStr">
        <is>
          <t>GEO ART SCIENCE</t>
        </is>
      </c>
      <c r="B55" t="inlineStr">
        <is>
          <t>Kab. Sleman</t>
        </is>
      </c>
      <c r="C55" t="inlineStr">
        <is>
          <t>085231596174</t>
        </is>
      </c>
      <c r="D55" t="inlineStr">
        <is>
          <t>geoartscience@gmail.com</t>
        </is>
      </c>
      <c r="E55" t="inlineStr">
        <is>
          <t>https://lpjk.pu.go.id/search-badan-usaha-detail/clpvelhFV2g3aWhBbWhqbytlQ3o3UT09</t>
        </is>
      </c>
      <c r="F55" t="n">
        <v>1</v>
      </c>
      <c r="G55" t="inlineStr">
        <is>
          <t>AL001</t>
        </is>
      </c>
      <c r="H55" t="inlineStr">
        <is>
          <t>8 September 2015</t>
        </is>
      </c>
      <c r="I55" s="2" t="n">
        <v>46327</v>
      </c>
      <c r="J55" t="inlineStr">
        <is>
          <t>Disetujui</t>
        </is>
      </c>
      <c r="K55" t="n">
        <v>30</v>
      </c>
      <c r="L55" t="inlineStr">
        <is>
          <t>1 November 2026</t>
        </is>
      </c>
      <c r="M55" t="inlineStr">
        <is>
          <t>Jasa Pengembangan Pemanfaatan Ruang</t>
        </is>
      </c>
      <c r="N55" t="inlineStr">
        <is>
          <t>K</t>
        </is>
      </c>
      <c r="O55" t="inlineStr">
        <is>
          <t>20231024</t>
        </is>
      </c>
      <c r="P55" t="inlineStr">
        <is>
          <t>DI Yogyakarta</t>
        </is>
      </c>
      <c r="Q55" t="inlineStr"/>
    </row>
    <row r="56">
      <c r="A56" t="inlineStr">
        <is>
          <t>GUNUNG TERANG ABADI</t>
        </is>
      </c>
      <c r="B56" t="inlineStr">
        <is>
          <t>Kab. Barito Selatan</t>
        </is>
      </c>
      <c r="C56" t="inlineStr">
        <is>
          <t>081248561088</t>
        </is>
      </c>
      <c r="D56" t="inlineStr">
        <is>
          <t>cv.gunungterangabadi@gmail.com</t>
        </is>
      </c>
      <c r="E56" t="inlineStr">
        <is>
          <t>https://lpjk.pu.go.id/search-badan-usaha-detail/MHg1dFFGRUErQUV5UHBLMytySDFiUT09</t>
        </is>
      </c>
      <c r="F56" t="n">
        <v>3</v>
      </c>
      <c r="G56" t="inlineStr">
        <is>
          <t>BG002, BG006, BG009</t>
        </is>
      </c>
      <c r="H56" t="inlineStr">
        <is>
          <t>29 September 2023</t>
        </is>
      </c>
      <c r="I56" s="2" t="n">
        <v>46327</v>
      </c>
      <c r="J56" t="inlineStr">
        <is>
          <t>Disetujui</t>
        </is>
      </c>
      <c r="K56" t="n">
        <v>30</v>
      </c>
      <c r="L56" t="inlineStr">
        <is>
          <t>1 November 2026</t>
        </is>
      </c>
      <c r="M56" t="inlineStr">
        <is>
          <t>Konstruksi Gedung Lainnya, Konstruksi Gedung Pendidikan, Konstruksi Gedung Perkantoran</t>
        </is>
      </c>
      <c r="N56" t="inlineStr">
        <is>
          <t>K</t>
        </is>
      </c>
      <c r="O56" t="inlineStr">
        <is>
          <t>20231101</t>
        </is>
      </c>
      <c r="P56" t="inlineStr">
        <is>
          <t>Kalimantan Tengah</t>
        </is>
      </c>
      <c r="Q56" t="inlineStr"/>
    </row>
    <row r="57">
      <c r="A57" t="inlineStr">
        <is>
          <t>HADI KARYA WISESA</t>
        </is>
      </c>
      <c r="B57" t="inlineStr">
        <is>
          <t>Kab. Karawang</t>
        </is>
      </c>
      <c r="C57" t="inlineStr">
        <is>
          <t>081584484778</t>
        </is>
      </c>
      <c r="D57" t="inlineStr">
        <is>
          <t>cv.hadikarya123@gmail.com</t>
        </is>
      </c>
      <c r="E57" t="inlineStr">
        <is>
          <t>https://lpjk.pu.go.id/search-badan-usaha-detail/TlJ3SW9QdVAvejl3Q2RRdUxkZzlZdz09</t>
        </is>
      </c>
      <c r="F57" t="n">
        <v>1</v>
      </c>
      <c r="G57" t="inlineStr">
        <is>
          <t>BG001</t>
        </is>
      </c>
      <c r="H57" t="inlineStr">
        <is>
          <t>25 Januari 2016</t>
        </is>
      </c>
      <c r="I57" s="2" t="n">
        <v>46327</v>
      </c>
      <c r="J57" t="inlineStr">
        <is>
          <t>Disetujui</t>
        </is>
      </c>
      <c r="K57" t="n">
        <v>30</v>
      </c>
      <c r="L57" t="inlineStr">
        <is>
          <t>1 November 2026</t>
        </is>
      </c>
      <c r="M57" t="inlineStr">
        <is>
          <t>Konstruksi Gedung Hunian</t>
        </is>
      </c>
      <c r="N57" t="inlineStr">
        <is>
          <t>K</t>
        </is>
      </c>
      <c r="O57" t="inlineStr">
        <is>
          <t>20231101</t>
        </is>
      </c>
      <c r="P57" t="inlineStr">
        <is>
          <t>Jawa Barat</t>
        </is>
      </c>
      <c r="Q57" t="inlineStr"/>
    </row>
    <row r="58">
      <c r="A58" t="inlineStr">
        <is>
          <t>HASANA MITRA UTAMA</t>
        </is>
      </c>
      <c r="B58" t="inlineStr">
        <is>
          <t>Kota Adm. Jakarta Utara</t>
        </is>
      </c>
      <c r="C58" t="inlineStr">
        <is>
          <t>02193376336</t>
        </is>
      </c>
      <c r="D58" t="inlineStr">
        <is>
          <t>hamu2017@yahoo.com</t>
        </is>
      </c>
      <c r="E58" t="inlineStr">
        <is>
          <t>https://lpjk.pu.go.id/search-badan-usaha-detail/NFg2dEpxYTNQTURwYXltWE94QzliQT09</t>
        </is>
      </c>
      <c r="F58" t="n">
        <v>2</v>
      </c>
      <c r="G58" t="inlineStr">
        <is>
          <t>BG001, BG002</t>
        </is>
      </c>
      <c r="H58" t="inlineStr">
        <is>
          <t>23 Mei 2014</t>
        </is>
      </c>
      <c r="I58" s="2" t="n">
        <v>46327</v>
      </c>
      <c r="J58" t="inlineStr">
        <is>
          <t>Disetujui</t>
        </is>
      </c>
      <c r="K58" t="n">
        <v>30</v>
      </c>
      <c r="L58" t="inlineStr">
        <is>
          <t>1 November 2026</t>
        </is>
      </c>
      <c r="M58" t="inlineStr">
        <is>
          <t>Konstruksi Gedung Hunian, Konstruksi Gedung Perkantoran</t>
        </is>
      </c>
      <c r="N58" t="inlineStr">
        <is>
          <t>K</t>
        </is>
      </c>
      <c r="O58" t="inlineStr">
        <is>
          <t>20231030</t>
        </is>
      </c>
      <c r="P58" t="inlineStr">
        <is>
          <t>DKI Jakarta</t>
        </is>
      </c>
      <c r="Q58" t="inlineStr"/>
    </row>
    <row r="59">
      <c r="A59" t="inlineStr">
        <is>
          <t>HERA JAYA CONSULTANT</t>
        </is>
      </c>
      <c r="B59" t="inlineStr">
        <is>
          <t>Kota Pontianak</t>
        </is>
      </c>
      <c r="C59" t="inlineStr">
        <is>
          <t>082154314952</t>
        </is>
      </c>
      <c r="D59" t="inlineStr">
        <is>
          <t>eendra_17@yahoo.com</t>
        </is>
      </c>
      <c r="E59" t="inlineStr">
        <is>
          <t>https://lpjk.pu.go.id/search-badan-usaha-detail/YzEvaElzd1d0N1EvM2NIcVFiM3FZdUJIQ0Q5QUQwTWx1dDNpajhCa1I1QT0</t>
        </is>
      </c>
      <c r="F59" t="n">
        <v>2</v>
      </c>
      <c r="G59" t="inlineStr">
        <is>
          <t>RK001</t>
        </is>
      </c>
      <c r="H59" t="inlineStr">
        <is>
          <t>11 Januari 2022</t>
        </is>
      </c>
      <c r="I59" s="2" t="n">
        <v>46327</v>
      </c>
      <c r="J59" t="inlineStr">
        <is>
          <t>Disetujui</t>
        </is>
      </c>
      <c r="K59" t="n">
        <v>30</v>
      </c>
      <c r="L59" t="inlineStr">
        <is>
          <t>1 November 2026</t>
        </is>
      </c>
      <c r="M59" t="inlineStr">
        <is>
          <t>Jasa Rekayasa Konstruksi Bangunan Gedung Hunian dan Non Hunian</t>
        </is>
      </c>
      <c r="N59" t="inlineStr">
        <is>
          <t>K</t>
        </is>
      </c>
      <c r="O59" t="inlineStr">
        <is>
          <t>20231026</t>
        </is>
      </c>
      <c r="P59" t="inlineStr">
        <is>
          <t>Kalimantan Barat</t>
        </is>
      </c>
      <c r="Q59" t="inlineStr"/>
    </row>
    <row r="60">
      <c r="A60" t="inlineStr">
        <is>
          <t>HERANANDA SURYA PRATAMA</t>
        </is>
      </c>
      <c r="B60" t="inlineStr">
        <is>
          <t>Kota Samarinda</t>
        </is>
      </c>
      <c r="C60" t="inlineStr">
        <is>
          <t>081258380790</t>
        </is>
      </c>
      <c r="D60" t="inlineStr">
        <is>
          <t>heranandasuryapratamasmd@gmail.com</t>
        </is>
      </c>
      <c r="E60" t="inlineStr">
        <is>
          <t>https://lpjk.pu.go.id/search-badan-usaha-detail/RUcxakY3UjZpK3hub1g4UXVDbUc1UT09</t>
        </is>
      </c>
      <c r="F60" t="n">
        <v>2</v>
      </c>
      <c r="G60" t="inlineStr">
        <is>
          <t>BS002</t>
        </is>
      </c>
      <c r="H60" t="inlineStr">
        <is>
          <t>6 April 2017</t>
        </is>
      </c>
      <c r="I60" s="2" t="n">
        <v>46327</v>
      </c>
      <c r="J60" t="inlineStr">
        <is>
          <t>Pencabutan</t>
        </is>
      </c>
      <c r="K60" t="n">
        <v>30</v>
      </c>
      <c r="L60" t="inlineStr">
        <is>
          <t>1 November 2026</t>
        </is>
      </c>
      <c r="M60" t="inlineStr">
        <is>
          <t>Bangunan Sipil Jembatan, Jalan Layang, Fly Over, dan Underpass</t>
        </is>
      </c>
      <c r="N60" t="inlineStr">
        <is>
          <t>K</t>
        </is>
      </c>
      <c r="O60" t="inlineStr">
        <is>
          <t>20231101</t>
        </is>
      </c>
      <c r="P60" t="inlineStr">
        <is>
          <t>Kalimantan Timur</t>
        </is>
      </c>
      <c r="Q60" t="inlineStr"/>
    </row>
    <row r="61">
      <c r="A61" t="inlineStr">
        <is>
          <t>INTAN MAHKOTA BORNEO</t>
        </is>
      </c>
      <c r="B61" t="inlineStr">
        <is>
          <t>Kab. Tanjung Jabung Barat</t>
        </is>
      </c>
      <c r="C61" t="inlineStr">
        <is>
          <t>081379432289</t>
        </is>
      </c>
      <c r="D61" t="inlineStr">
        <is>
          <t>intanmahkotaborneo@gmail.com</t>
        </is>
      </c>
      <c r="E61" t="inlineStr">
        <is>
          <t>https://lpjk.pu.go.id/search-badan-usaha-detail/Qm96eFYxVGhGVnJqN0YxaXRjVUdiZz09</t>
        </is>
      </c>
      <c r="F61" t="n">
        <v>1</v>
      </c>
      <c r="G61" t="inlineStr">
        <is>
          <t>BG006</t>
        </is>
      </c>
      <c r="H61" t="inlineStr">
        <is>
          <t>26 Mei 2023</t>
        </is>
      </c>
      <c r="I61" s="2" t="n">
        <v>46327</v>
      </c>
      <c r="J61" t="inlineStr">
        <is>
          <t>Disetujui</t>
        </is>
      </c>
      <c r="K61" t="n">
        <v>30</v>
      </c>
      <c r="L61" t="inlineStr">
        <is>
          <t>1 November 2026</t>
        </is>
      </c>
      <c r="M61" t="inlineStr">
        <is>
          <t>Konstruksi Gedung Pendidikan</t>
        </is>
      </c>
      <c r="N61" t="inlineStr">
        <is>
          <t>K</t>
        </is>
      </c>
      <c r="O61" t="inlineStr">
        <is>
          <t>20231102</t>
        </is>
      </c>
      <c r="P61" t="inlineStr">
        <is>
          <t>Jambi</t>
        </is>
      </c>
      <c r="Q61" t="inlineStr"/>
    </row>
    <row r="62">
      <c r="A62" t="inlineStr">
        <is>
          <t>JANUR EMAS</t>
        </is>
      </c>
      <c r="B62" t="inlineStr">
        <is>
          <t>Kota Mataram</t>
        </is>
      </c>
      <c r="C62" t="inlineStr">
        <is>
          <t>081933142261</t>
        </is>
      </c>
      <c r="D62" t="inlineStr">
        <is>
          <t>jayawiro75@gmail.com</t>
        </is>
      </c>
      <c r="E62" t="inlineStr">
        <is>
          <t>https://lpjk.pu.go.id/search-badan-usaha-detail/QkViLzZzaDhtSnhQZW9WbWhSNTg5SG5UNFdpOU5SS2FzR0lva0R6c3lmdz0</t>
        </is>
      </c>
      <c r="F62" t="n">
        <v>2</v>
      </c>
      <c r="G62" t="inlineStr">
        <is>
          <t>BS001, BS004</t>
        </is>
      </c>
      <c r="H62" t="inlineStr">
        <is>
          <t>29 Agustus 2025</t>
        </is>
      </c>
      <c r="I62" s="2" t="n">
        <v>46327</v>
      </c>
      <c r="J62" t="inlineStr">
        <is>
          <t>Disetujui</t>
        </is>
      </c>
      <c r="K62" t="n">
        <v>30</v>
      </c>
      <c r="L62" t="inlineStr">
        <is>
          <t>1 November 2026</t>
        </is>
      </c>
      <c r="M62" t="inlineStr">
        <is>
          <t>Konstruksi Bangunan Sipil Jalan, Konstruksi Jaringan Irigasi dan Drainase</t>
        </is>
      </c>
      <c r="N62" t="inlineStr">
        <is>
          <t>K</t>
        </is>
      </c>
      <c r="O62" t="inlineStr">
        <is>
          <t>20231102</t>
        </is>
      </c>
      <c r="P62" t="inlineStr">
        <is>
          <t>Nusa Tenggara Barat</t>
        </is>
      </c>
      <c r="Q62" t="inlineStr"/>
    </row>
    <row r="63">
      <c r="A63" t="inlineStr">
        <is>
          <t>JATI MANDIRI</t>
        </is>
      </c>
      <c r="B63" t="inlineStr">
        <is>
          <t>Kota Bandung</t>
        </is>
      </c>
      <c r="C63" t="inlineStr">
        <is>
          <t>087778633634</t>
        </is>
      </c>
      <c r="D63" t="inlineStr">
        <is>
          <t>jatimandiri608@gmail.com</t>
        </is>
      </c>
      <c r="E63" t="inlineStr">
        <is>
          <t>https://lpjk.pu.go.id/search-badan-usaha-detail/RENTTmJlT3VnL2RGMUR4b2VlVGZudz09</t>
        </is>
      </c>
      <c r="F63" t="n">
        <v>1</v>
      </c>
      <c r="G63" t="inlineStr">
        <is>
          <t>BS001</t>
        </is>
      </c>
      <c r="H63" t="inlineStr">
        <is>
          <t>14 Januari 2004</t>
        </is>
      </c>
      <c r="I63" s="2" t="n">
        <v>46327</v>
      </c>
      <c r="J63" t="inlineStr">
        <is>
          <t>Disetujui</t>
        </is>
      </c>
      <c r="K63" t="n">
        <v>30</v>
      </c>
      <c r="L63" t="inlineStr">
        <is>
          <t>1 November 2026</t>
        </is>
      </c>
      <c r="M63" t="inlineStr">
        <is>
          <t>Konstruksi Bangunan Sipil Jalan</t>
        </is>
      </c>
      <c r="N63" t="inlineStr">
        <is>
          <t>K</t>
        </is>
      </c>
      <c r="O63" t="inlineStr">
        <is>
          <t>20231031</t>
        </is>
      </c>
      <c r="P63" t="inlineStr">
        <is>
          <t>Jawa Barat</t>
        </is>
      </c>
      <c r="Q63" t="inlineStr"/>
    </row>
    <row r="64">
      <c r="A64" t="inlineStr">
        <is>
          <t>JAYA INDO TAMA</t>
        </is>
      </c>
      <c r="B64" t="inlineStr">
        <is>
          <t>Kota Surabaya</t>
        </is>
      </c>
      <c r="C64" t="inlineStr">
        <is>
          <t>0318070536</t>
        </is>
      </c>
      <c r="D64" t="inlineStr">
        <is>
          <t>cvjayaindotama@gmail.com</t>
        </is>
      </c>
      <c r="E64" t="inlineStr">
        <is>
          <t>https://lpjk.pu.go.id/search-badan-usaha-detail/UFRZQnpmd0dQc3RRc3VzUnJoZDZFQT09</t>
        </is>
      </c>
      <c r="F64" t="n">
        <v>2</v>
      </c>
      <c r="G64" t="inlineStr">
        <is>
          <t>BG005, BG006</t>
        </is>
      </c>
      <c r="H64" t="inlineStr">
        <is>
          <t>5 Oktober 2016</t>
        </is>
      </c>
      <c r="I64" s="2" t="n">
        <v>46327</v>
      </c>
      <c r="J64" t="inlineStr">
        <is>
          <t>Disetujui</t>
        </is>
      </c>
      <c r="K64" t="n">
        <v>30</v>
      </c>
      <c r="L64" t="inlineStr">
        <is>
          <t>1 November 2026</t>
        </is>
      </c>
      <c r="M64" t="inlineStr">
        <is>
          <t>Konstruksi Gedung Kesehatan, Konstruksi Gedung Pendidikan</t>
        </is>
      </c>
      <c r="N64" t="inlineStr">
        <is>
          <t>K</t>
        </is>
      </c>
      <c r="O64" t="inlineStr">
        <is>
          <t>20231030</t>
        </is>
      </c>
      <c r="P64" t="inlineStr">
        <is>
          <t>Jawa Timur</t>
        </is>
      </c>
      <c r="Q64" t="inlineStr"/>
    </row>
    <row r="65">
      <c r="A65" t="inlineStr">
        <is>
          <t>JAYANARO ABADI</t>
        </is>
      </c>
      <c r="B65" t="inlineStr">
        <is>
          <t>Kota Batam</t>
        </is>
      </c>
      <c r="C65" t="inlineStr">
        <is>
          <t>0812 7094 7556</t>
        </is>
      </c>
      <c r="D65" t="inlineStr">
        <is>
          <t>jayanaroabadi.cv@yahoo.com</t>
        </is>
      </c>
      <c r="E65" t="inlineStr">
        <is>
          <t>https://lpjk.pu.go.id/search-badan-usaha-detail/aGtuRGUxYTZjaWswQzJMWlFzeHhzdz09</t>
        </is>
      </c>
      <c r="F65" t="n">
        <v>1</v>
      </c>
      <c r="G65" t="inlineStr">
        <is>
          <t>BS001</t>
        </is>
      </c>
      <c r="H65" t="inlineStr">
        <is>
          <t>18 Februari 2017</t>
        </is>
      </c>
      <c r="I65" s="2" t="n">
        <v>46327</v>
      </c>
      <c r="J65" t="inlineStr">
        <is>
          <t>Disetujui</t>
        </is>
      </c>
      <c r="K65" t="n">
        <v>30</v>
      </c>
      <c r="L65" t="inlineStr">
        <is>
          <t>1 November 2026</t>
        </is>
      </c>
      <c r="M65" t="inlineStr">
        <is>
          <t>Konstruksi Bangunan Sipil Jalan</t>
        </is>
      </c>
      <c r="N65" t="inlineStr">
        <is>
          <t>K</t>
        </is>
      </c>
      <c r="O65" t="inlineStr">
        <is>
          <t>20231023</t>
        </is>
      </c>
      <c r="P65" t="inlineStr">
        <is>
          <t>Kepulauan Riau</t>
        </is>
      </c>
      <c r="Q65" t="inlineStr"/>
    </row>
    <row r="66">
      <c r="A66" t="inlineStr">
        <is>
          <t>KAMPUNG SUKUN</t>
        </is>
      </c>
      <c r="B66" t="inlineStr">
        <is>
          <t>Kab. Banyuwangi</t>
        </is>
      </c>
      <c r="C66" t="inlineStr">
        <is>
          <t>087851525168</t>
        </is>
      </c>
      <c r="D66" t="inlineStr">
        <is>
          <t>kampungsukun@proton.me</t>
        </is>
      </c>
      <c r="E66" t="inlineStr">
        <is>
          <t>https://lpjk.pu.go.id/search-badan-usaha-detail/NXJrQ3RlWjlXak9QenpaOVlYU3RXdz09</t>
        </is>
      </c>
      <c r="F66" t="n">
        <v>1</v>
      </c>
      <c r="G66" t="inlineStr">
        <is>
          <t>BS001</t>
        </is>
      </c>
      <c r="H66" t="inlineStr">
        <is>
          <t>26 Oktober 2022</t>
        </is>
      </c>
      <c r="I66" s="2" t="n">
        <v>46327</v>
      </c>
      <c r="J66" t="inlineStr">
        <is>
          <t>Disetujui</t>
        </is>
      </c>
      <c r="K66" t="n">
        <v>30</v>
      </c>
      <c r="L66" t="inlineStr">
        <is>
          <t>1 November 2026</t>
        </is>
      </c>
      <c r="M66" t="inlineStr">
        <is>
          <t>Konstruksi Bangunan Sipil Jalan</t>
        </is>
      </c>
      <c r="N66" t="inlineStr">
        <is>
          <t>K</t>
        </is>
      </c>
      <c r="O66" t="inlineStr">
        <is>
          <t>20231031</t>
        </is>
      </c>
      <c r="P66" t="inlineStr">
        <is>
          <t>Jawa Timur</t>
        </is>
      </c>
      <c r="Q66" t="inlineStr"/>
    </row>
    <row r="67">
      <c r="A67" t="inlineStr">
        <is>
          <t>KARYA BERSAMA NUSANTARA</t>
        </is>
      </c>
      <c r="B67" t="inlineStr">
        <is>
          <t>Kota Banjarmasin</t>
        </is>
      </c>
      <c r="C67" t="inlineStr">
        <is>
          <t>05114315017</t>
        </is>
      </c>
      <c r="D67" t="inlineStr">
        <is>
          <t>cv.kbn_bjm@yahoo.ccom</t>
        </is>
      </c>
      <c r="E67" t="inlineStr">
        <is>
          <t>https://lpjk.pu.go.id/search-badan-usaha-detail/SldRYjZwaXpOYWtCZ2Z3NGp5RUhCZz09</t>
        </is>
      </c>
      <c r="F67" t="n">
        <v>1</v>
      </c>
      <c r="G67" t="inlineStr">
        <is>
          <t>BS004</t>
        </is>
      </c>
      <c r="H67" t="inlineStr">
        <is>
          <t>28 Februari 1995</t>
        </is>
      </c>
      <c r="I67" s="2" t="n">
        <v>46327</v>
      </c>
      <c r="J67" t="inlineStr">
        <is>
          <t>Disetujui</t>
        </is>
      </c>
      <c r="K67" t="n">
        <v>30</v>
      </c>
      <c r="L67" t="inlineStr">
        <is>
          <t>1 November 2026</t>
        </is>
      </c>
      <c r="M67" t="inlineStr">
        <is>
          <t>Konstruksi Jaringan Irigasi dan Drainase</t>
        </is>
      </c>
      <c r="N67" t="inlineStr">
        <is>
          <t>K</t>
        </is>
      </c>
      <c r="O67" t="inlineStr">
        <is>
          <t>20231101</t>
        </is>
      </c>
      <c r="P67" t="inlineStr">
        <is>
          <t>Kalimantan Selatan</t>
        </is>
      </c>
      <c r="Q67" t="inlineStr"/>
    </row>
    <row r="68">
      <c r="A68" t="inlineStr">
        <is>
          <t>KARYA MANDIRI</t>
        </is>
      </c>
      <c r="B68" t="inlineStr">
        <is>
          <t>Kab. Magetan</t>
        </is>
      </c>
      <c r="C68" t="inlineStr">
        <is>
          <t>082211222175</t>
        </is>
      </c>
      <c r="D68" t="inlineStr">
        <is>
          <t>mandirikarya155@gmail.com</t>
        </is>
      </c>
      <c r="E68" t="inlineStr">
        <is>
          <t>https://lpjk.pu.go.id/search-badan-usaha-detail/THZxYTIzS29ya3pyZHViSWhqam1Fdz09</t>
        </is>
      </c>
      <c r="F68" t="n">
        <v>1</v>
      </c>
      <c r="G68" t="inlineStr">
        <is>
          <t>BS004</t>
        </is>
      </c>
      <c r="H68" t="inlineStr">
        <is>
          <t>11 April 2008</t>
        </is>
      </c>
      <c r="I68" s="2" t="n">
        <v>46327</v>
      </c>
      <c r="J68" t="inlineStr">
        <is>
          <t>Disetujui</t>
        </is>
      </c>
      <c r="K68" t="n">
        <v>30</v>
      </c>
      <c r="L68" t="inlineStr">
        <is>
          <t>1 November 2026</t>
        </is>
      </c>
      <c r="M68" t="inlineStr">
        <is>
          <t>Konstruksi Jaringan Irigasi dan Drainase</t>
        </is>
      </c>
      <c r="N68" t="inlineStr">
        <is>
          <t>K</t>
        </is>
      </c>
      <c r="O68" t="inlineStr">
        <is>
          <t>20231029</t>
        </is>
      </c>
      <c r="P68" t="inlineStr">
        <is>
          <t>Jawa Timur</t>
        </is>
      </c>
      <c r="Q68" t="inlineStr"/>
    </row>
    <row r="69">
      <c r="A69" t="inlineStr">
        <is>
          <t>KARYA MUCHVI PERSADA</t>
        </is>
      </c>
      <c r="B69" t="inlineStr">
        <is>
          <t>Kota Makassar</t>
        </is>
      </c>
      <c r="C69" t="inlineStr">
        <is>
          <t>0411319174</t>
        </is>
      </c>
      <c r="D69" t="inlineStr">
        <is>
          <t>vetran269@gmail.com</t>
        </is>
      </c>
      <c r="E69" t="inlineStr">
        <is>
          <t>https://lpjk.pu.go.id/search-badan-usaha-detail/dkdMSmtuVHFTT0NRZ0xSMEpVVWQxZz09</t>
        </is>
      </c>
      <c r="F69" t="n">
        <v>3</v>
      </c>
      <c r="G69" t="inlineStr">
        <is>
          <t>BG001, BG006, BG009</t>
        </is>
      </c>
      <c r="H69" t="inlineStr">
        <is>
          <t>17 Januari 2001</t>
        </is>
      </c>
      <c r="I69" s="2" t="n">
        <v>46327</v>
      </c>
      <c r="J69" t="inlineStr">
        <is>
          <t>Disetujui</t>
        </is>
      </c>
      <c r="K69" t="n">
        <v>30</v>
      </c>
      <c r="L69" t="inlineStr">
        <is>
          <t>1 November 2026</t>
        </is>
      </c>
      <c r="M69" t="inlineStr">
        <is>
          <t>Konstruksi Gedung Hunian, Konstruksi Gedung Lainnya, Konstruksi Gedung Pendidikan</t>
        </is>
      </c>
      <c r="N69" t="inlineStr">
        <is>
          <t>K</t>
        </is>
      </c>
      <c r="O69" t="inlineStr">
        <is>
          <t>20231031</t>
        </is>
      </c>
      <c r="P69" t="inlineStr">
        <is>
          <t>Sulawesi Selatan</t>
        </is>
      </c>
      <c r="Q69" t="inlineStr"/>
    </row>
    <row r="70">
      <c r="A70" t="inlineStr">
        <is>
          <t>KARYA RUATA</t>
        </is>
      </c>
      <c r="B70" t="inlineStr">
        <is>
          <t>Kota Ambon</t>
        </is>
      </c>
      <c r="C70" t="inlineStr">
        <is>
          <t>0811477576</t>
        </is>
      </c>
      <c r="D70" t="inlineStr">
        <is>
          <t>karyaruatapt@yahoo.co.id</t>
        </is>
      </c>
      <c r="E70" t="inlineStr">
        <is>
          <t>https://lpjk.pu.go.id/search-badan-usaha-detail/VzEzZ0psUzJtNVZxZWNER3l6L2M3dz09</t>
        </is>
      </c>
      <c r="F70" t="n">
        <v>1</v>
      </c>
      <c r="G70" t="inlineStr">
        <is>
          <t>BS009</t>
        </is>
      </c>
      <c r="H70" t="inlineStr">
        <is>
          <t>7 November 2007</t>
        </is>
      </c>
      <c r="I70" s="2" t="n">
        <v>46327</v>
      </c>
      <c r="J70" t="inlineStr">
        <is>
          <t>Pencabutan</t>
        </is>
      </c>
      <c r="K70" t="n">
        <v>30</v>
      </c>
      <c r="L70" t="inlineStr">
        <is>
          <t>1 November 2026</t>
        </is>
      </c>
      <c r="M70" t="inlineStr">
        <is>
          <t>Konstruksi Sentral Telekomunikasi</t>
        </is>
      </c>
      <c r="N70" t="inlineStr">
        <is>
          <t>K</t>
        </is>
      </c>
      <c r="O70" t="inlineStr">
        <is>
          <t>20231031</t>
        </is>
      </c>
      <c r="P70" t="inlineStr">
        <is>
          <t>Maluku</t>
        </is>
      </c>
      <c r="Q70" t="inlineStr"/>
    </row>
    <row r="71">
      <c r="A71" t="inlineStr">
        <is>
          <t>KARYA VISIONER CONSULTANT</t>
        </is>
      </c>
      <c r="B71" t="inlineStr">
        <is>
          <t>Kab. Gayo Lues</t>
        </is>
      </c>
      <c r="C71" t="inlineStr">
        <is>
          <t>082366555697</t>
        </is>
      </c>
      <c r="D71" t="inlineStr">
        <is>
          <t>karyavisionerconsultant@gmail.com</t>
        </is>
      </c>
      <c r="E71" t="inlineStr">
        <is>
          <t>https://lpjk.pu.go.id/search-badan-usaha-detail/UnpXcmJteUdlVURTdDdOWjBMU3hDQT09</t>
        </is>
      </c>
      <c r="F71" t="n">
        <v>2</v>
      </c>
      <c r="G71" t="inlineStr">
        <is>
          <t>RK001, RK002</t>
        </is>
      </c>
      <c r="H71" t="inlineStr">
        <is>
          <t>8 Desember 2016</t>
        </is>
      </c>
      <c r="I71" s="2" t="n">
        <v>46327</v>
      </c>
      <c r="J71" t="inlineStr">
        <is>
          <t>Disetujui</t>
        </is>
      </c>
      <c r="K71" t="n">
        <v>30</v>
      </c>
      <c r="L71" t="inlineStr">
        <is>
          <t>1 November 2026</t>
        </is>
      </c>
      <c r="M71" t="inlineStr">
        <is>
          <t>Jasa Rekayasa Konstruksi Bangunan Gedung Hunian dan Non Hunian, Jasa Rekayasa Pekerjaan Teknik Sipil Sumber Daya Air</t>
        </is>
      </c>
      <c r="N71" t="inlineStr">
        <is>
          <t>K</t>
        </is>
      </c>
      <c r="O71" t="inlineStr">
        <is>
          <t>20231020</t>
        </is>
      </c>
      <c r="P71" t="inlineStr">
        <is>
          <t>Aceh</t>
        </is>
      </c>
      <c r="Q71" t="inlineStr"/>
    </row>
    <row r="72">
      <c r="A72" t="inlineStr">
        <is>
          <t>KARYASINDO MULTIKREASI UTAMA</t>
        </is>
      </c>
      <c r="B72" t="inlineStr">
        <is>
          <t>Kota Adm. Jakarta Pusat</t>
        </is>
      </c>
      <c r="C72" t="inlineStr">
        <is>
          <t>087782233996</t>
        </is>
      </c>
      <c r="D72" t="inlineStr">
        <is>
          <t>pt.karyasindomultikreasiu@gmail.com</t>
        </is>
      </c>
      <c r="E72" t="inlineStr">
        <is>
          <t>https://lpjk.pu.go.id/search-badan-usaha-detail/UnRaNVkwSjVka1BNRmQ5Mlo0dTNZdz09</t>
        </is>
      </c>
      <c r="F72" t="n">
        <v>4</v>
      </c>
      <c r="G72" t="inlineStr">
        <is>
          <t>BG001, BG003, BG009, BS001</t>
        </is>
      </c>
      <c r="H72" t="inlineStr">
        <is>
          <t>6 Januari 2021</t>
        </is>
      </c>
      <c r="I72" s="2" t="n">
        <v>46327</v>
      </c>
      <c r="J72" t="inlineStr">
        <is>
          <t>Disetujui</t>
        </is>
      </c>
      <c r="K72" t="n">
        <v>30</v>
      </c>
      <c r="L72" t="inlineStr">
        <is>
          <t>1 November 2026</t>
        </is>
      </c>
      <c r="M72" t="inlineStr">
        <is>
          <t>Konstruksi Bangunan Sipil Jalan, Konstruksi Gedung Hunian, Konstruksi Gedung Industri, Konstruksi Gedung Lainnya</t>
        </is>
      </c>
      <c r="N72" t="inlineStr">
        <is>
          <t>K</t>
        </is>
      </c>
      <c r="O72" t="inlineStr">
        <is>
          <t>20231018, 20231031</t>
        </is>
      </c>
      <c r="P72" t="inlineStr">
        <is>
          <t>DKI Jakarta</t>
        </is>
      </c>
      <c r="Q72" t="inlineStr"/>
    </row>
    <row r="73">
      <c r="A73" t="inlineStr">
        <is>
          <t>KMJ MANDIRI</t>
        </is>
      </c>
      <c r="B73" t="inlineStr">
        <is>
          <t>Kab. Garut</t>
        </is>
      </c>
      <c r="C73" t="inlineStr">
        <is>
          <t>085559485026</t>
        </is>
      </c>
      <c r="D73" t="inlineStr">
        <is>
          <t>cvkmjmandiri@gmail.com</t>
        </is>
      </c>
      <c r="E73" t="inlineStr">
        <is>
          <t>https://lpjk.pu.go.id/search-badan-usaha-detail/NjVIMmRWMnlETUIzRU5QU2dmTzJwQT09</t>
        </is>
      </c>
      <c r="F73" t="n">
        <v>1</v>
      </c>
      <c r="G73" t="inlineStr">
        <is>
          <t>BS004</t>
        </is>
      </c>
      <c r="H73" t="inlineStr">
        <is>
          <t>10 Januari 2020</t>
        </is>
      </c>
      <c r="I73" s="2" t="n">
        <v>46327</v>
      </c>
      <c r="J73" t="inlineStr">
        <is>
          <t>Disetujui</t>
        </is>
      </c>
      <c r="K73" t="n">
        <v>30</v>
      </c>
      <c r="L73" t="inlineStr">
        <is>
          <t>1 November 2026</t>
        </is>
      </c>
      <c r="M73" t="inlineStr">
        <is>
          <t>Konstruksi Jaringan Irigasi dan Drainase</t>
        </is>
      </c>
      <c r="N73" t="inlineStr">
        <is>
          <t>K</t>
        </is>
      </c>
      <c r="O73" t="inlineStr">
        <is>
          <t>20231101</t>
        </is>
      </c>
      <c r="P73" t="inlineStr">
        <is>
          <t>Jawa Barat</t>
        </is>
      </c>
      <c r="Q73" t="inlineStr"/>
    </row>
    <row r="74">
      <c r="A74" t="inlineStr">
        <is>
          <t>KUTA BATU</t>
        </is>
      </c>
      <c r="B74" t="inlineStr">
        <is>
          <t>Kab. Kotawaringin Barat</t>
        </is>
      </c>
      <c r="C74" t="inlineStr">
        <is>
          <t>08124878562</t>
        </is>
      </c>
      <c r="D74" t="inlineStr">
        <is>
          <t>kutabatu@yahoo.co.id</t>
        </is>
      </c>
      <c r="E74" t="inlineStr">
        <is>
          <t>https://lpjk.pu.go.id/search-badan-usaha-detail/QS8yb1MwSlZ2QnlhUC8zbksyVURBZz09</t>
        </is>
      </c>
      <c r="F74" t="n">
        <v>1</v>
      </c>
      <c r="G74" t="inlineStr">
        <is>
          <t>BG002</t>
        </is>
      </c>
      <c r="H74" t="inlineStr">
        <is>
          <t>16 November 2005</t>
        </is>
      </c>
      <c r="I74" s="2" t="n">
        <v>46327</v>
      </c>
      <c r="J74" t="inlineStr">
        <is>
          <t>Disetujui</t>
        </is>
      </c>
      <c r="K74" t="n">
        <v>30</v>
      </c>
      <c r="L74" t="inlineStr">
        <is>
          <t>1 November 2026</t>
        </is>
      </c>
      <c r="M74" t="inlineStr">
        <is>
          <t>Konstruksi Gedung Perkantoran</t>
        </is>
      </c>
      <c r="N74" t="inlineStr">
        <is>
          <t>K</t>
        </is>
      </c>
      <c r="O74" t="inlineStr">
        <is>
          <t>20231031</t>
        </is>
      </c>
      <c r="P74" t="inlineStr">
        <is>
          <t>Kalimantan Tengah</t>
        </is>
      </c>
      <c r="Q74" t="inlineStr"/>
    </row>
    <row r="75">
      <c r="A75" t="inlineStr">
        <is>
          <t>MAJU JAYA</t>
        </is>
      </c>
      <c r="B75" t="inlineStr">
        <is>
          <t>Kota Medan</t>
        </is>
      </c>
      <c r="C75" t="inlineStr">
        <is>
          <t>081264787782</t>
        </is>
      </c>
      <c r="D75" t="inlineStr">
        <is>
          <t>cv.majujaya56@gmail.com</t>
        </is>
      </c>
      <c r="E75" t="inlineStr">
        <is>
          <t>https://lpjk.pu.go.id/search-badan-usaha-detail/bWJDdHpxbTZpa0p3bVJweWltbTNOQT09</t>
        </is>
      </c>
      <c r="F75" t="n">
        <v>1</v>
      </c>
      <c r="G75" t="inlineStr">
        <is>
          <t>IN007</t>
        </is>
      </c>
      <c r="H75" t="inlineStr">
        <is>
          <t>25 November 2009</t>
        </is>
      </c>
      <c r="I75" s="2" t="n">
        <v>46327</v>
      </c>
      <c r="J75" t="inlineStr">
        <is>
          <t>Pembekuan</t>
        </is>
      </c>
      <c r="K75" t="n">
        <v>30</v>
      </c>
      <c r="L75" t="inlineStr">
        <is>
          <t>1 November 2026</t>
        </is>
      </c>
      <c r="M75" t="inlineStr">
        <is>
          <t>Instalasi Saluran Air (Plambing)</t>
        </is>
      </c>
      <c r="N75" t="inlineStr">
        <is>
          <t>Spesialis</t>
        </is>
      </c>
      <c r="O75" t="inlineStr">
        <is>
          <t>20231101</t>
        </is>
      </c>
      <c r="P75" t="inlineStr">
        <is>
          <t>Sumatera Utara</t>
        </is>
      </c>
      <c r="Q75" t="inlineStr"/>
    </row>
    <row r="76">
      <c r="A76" t="inlineStr">
        <is>
          <t>MANDALA PUTRA BORNEO</t>
        </is>
      </c>
      <c r="B76" t="inlineStr">
        <is>
          <t>Kota Adm. Jakarta Pusat</t>
        </is>
      </c>
      <c r="C76" t="inlineStr">
        <is>
          <t>08118404448</t>
        </is>
      </c>
      <c r="D76" t="inlineStr">
        <is>
          <t>mandalaputraborneo2@gmail.com</t>
        </is>
      </c>
      <c r="E76" t="inlineStr">
        <is>
          <t>https://lpjk.pu.go.id/search-badan-usaha-detail/Y21TUm1LNldNT0JLK0IySjhyTjlSdz09</t>
        </is>
      </c>
      <c r="F76" t="n">
        <v>2</v>
      </c>
      <c r="G76" t="inlineStr">
        <is>
          <t>BG001</t>
        </is>
      </c>
      <c r="H76" t="inlineStr">
        <is>
          <t>3 April 2023</t>
        </is>
      </c>
      <c r="I76" s="2" t="n">
        <v>46327</v>
      </c>
      <c r="J76" t="inlineStr">
        <is>
          <t>Disetujui</t>
        </is>
      </c>
      <c r="K76" t="n">
        <v>30</v>
      </c>
      <c r="L76" t="inlineStr">
        <is>
          <t>1 November 2026</t>
        </is>
      </c>
      <c r="M76" t="inlineStr">
        <is>
          <t>Konstruksi Gedung Hunian</t>
        </is>
      </c>
      <c r="N76" t="inlineStr">
        <is>
          <t>K</t>
        </is>
      </c>
      <c r="O76" t="inlineStr">
        <is>
          <t>20231101</t>
        </is>
      </c>
      <c r="P76" t="inlineStr">
        <is>
          <t>DKI Jakarta</t>
        </is>
      </c>
      <c r="Q76" t="inlineStr"/>
    </row>
    <row r="77">
      <c r="A77" t="inlineStr">
        <is>
          <t>MANGGALA AGUNG</t>
        </is>
      </c>
      <c r="B77" t="inlineStr">
        <is>
          <t>Kab. Jombang</t>
        </is>
      </c>
      <c r="C77" t="inlineStr">
        <is>
          <t>082245223020</t>
        </is>
      </c>
      <c r="D77" t="inlineStr">
        <is>
          <t>manggalaagung16@gmail.com</t>
        </is>
      </c>
      <c r="E77" t="inlineStr">
        <is>
          <t>https://lpjk.pu.go.id/search-badan-usaha-detail/TGwyU01yWnA0bFM5RTJla0VXU013Zz09</t>
        </is>
      </c>
      <c r="F77" t="n">
        <v>7</v>
      </c>
      <c r="G77" t="inlineStr">
        <is>
          <t>BG002, BG004, BG005, BG006, BG008, BS001, BS004</t>
        </is>
      </c>
      <c r="H77" t="inlineStr">
        <is>
          <t>25 Juli 2022</t>
        </is>
      </c>
      <c r="I77" s="2" t="n">
        <v>46327</v>
      </c>
      <c r="J77" t="inlineStr">
        <is>
          <t>Disetujui</t>
        </is>
      </c>
      <c r="K77" t="n">
        <v>30</v>
      </c>
      <c r="L77" t="inlineStr">
        <is>
          <t>1 November 2026</t>
        </is>
      </c>
      <c r="M77" t="inlineStr">
        <is>
          <t>Konstruksi Bangunan Sipil Jalan, Konstruksi Gedung Kesehatan, Konstruksi Gedung Pendidikan, Konstruksi Gedung Perbelanjaan, Konstruksi Gedung Perkantoran, Konstruksi Gedung Tempat Hiburan dan Olahraga, Konstruksi Jaringan Irigasi dan Drainase</t>
        </is>
      </c>
      <c r="N77" t="inlineStr">
        <is>
          <t>K</t>
        </is>
      </c>
      <c r="O77" t="inlineStr">
        <is>
          <t>20231102</t>
        </is>
      </c>
      <c r="P77" t="inlineStr">
        <is>
          <t>Jawa Timur</t>
        </is>
      </c>
      <c r="Q77" t="inlineStr"/>
    </row>
    <row r="78">
      <c r="A78" t="inlineStr">
        <is>
          <t>MANOLO PUTRA</t>
        </is>
      </c>
      <c r="B78" t="inlineStr">
        <is>
          <t>Kota Bandung</t>
        </is>
      </c>
      <c r="C78" t="inlineStr">
        <is>
          <t>0226016317</t>
        </is>
      </c>
      <c r="D78" t="inlineStr">
        <is>
          <t>manoloputra@yahoo.com</t>
        </is>
      </c>
      <c r="E78" t="inlineStr">
        <is>
          <t>https://lpjk.pu.go.id/search-badan-usaha-detail/bTRsRjdDangvTGdMZW1QT2t6U1ZMUT09</t>
        </is>
      </c>
      <c r="F78" t="n">
        <v>1</v>
      </c>
      <c r="G78" t="inlineStr">
        <is>
          <t>IN004</t>
        </is>
      </c>
      <c r="H78" t="inlineStr">
        <is>
          <t>1 Maret 2011</t>
        </is>
      </c>
      <c r="I78" s="2" t="n">
        <v>46327</v>
      </c>
      <c r="J78" t="inlineStr">
        <is>
          <t>Pembekuan</t>
        </is>
      </c>
      <c r="K78" t="n">
        <v>30</v>
      </c>
      <c r="L78" t="inlineStr">
        <is>
          <t>1 November 2026</t>
        </is>
      </c>
      <c r="M78" t="inlineStr">
        <is>
          <t>Instalasi Minyak dan Gas</t>
        </is>
      </c>
      <c r="N78" t="inlineStr">
        <is>
          <t>Spesialis</t>
        </is>
      </c>
      <c r="O78" t="inlineStr">
        <is>
          <t>20231026</t>
        </is>
      </c>
      <c r="P78" t="inlineStr">
        <is>
          <t>Jawa Barat</t>
        </is>
      </c>
      <c r="Q78" t="inlineStr"/>
    </row>
    <row r="79">
      <c r="A79" t="inlineStr">
        <is>
          <t>MARAMPA SERWAR</t>
        </is>
      </c>
      <c r="B79" t="inlineStr">
        <is>
          <t>Kab. Sarmi</t>
        </is>
      </c>
      <c r="C79" t="inlineStr">
        <is>
          <t>081393514824</t>
        </is>
      </c>
      <c r="D79" t="inlineStr">
        <is>
          <t>cv.marampaserwar@gmail.com</t>
        </is>
      </c>
      <c r="E79" t="inlineStr">
        <is>
          <t>https://lpjk.pu.go.id/search-badan-usaha-detail/ZHRlWUpCcUZ4UGczbW5mOXBkcmFxdz09</t>
        </is>
      </c>
      <c r="F79" t="n">
        <v>1</v>
      </c>
      <c r="G79" t="inlineStr">
        <is>
          <t>BG006</t>
        </is>
      </c>
      <c r="H79" t="inlineStr">
        <is>
          <t>25 Oktober 2023</t>
        </is>
      </c>
      <c r="I79" s="2" t="n">
        <v>46327</v>
      </c>
      <c r="J79" t="inlineStr">
        <is>
          <t>Disetujui</t>
        </is>
      </c>
      <c r="K79" t="n">
        <v>30</v>
      </c>
      <c r="L79" t="inlineStr">
        <is>
          <t>1 November 2026</t>
        </is>
      </c>
      <c r="M79" t="inlineStr">
        <is>
          <t>Konstruksi Gedung Pendidikan</t>
        </is>
      </c>
      <c r="N79" t="inlineStr">
        <is>
          <t>K</t>
        </is>
      </c>
      <c r="O79" t="inlineStr">
        <is>
          <t>20231101</t>
        </is>
      </c>
      <c r="P79" t="inlineStr">
        <is>
          <t>Papua</t>
        </is>
      </c>
      <c r="Q79" t="inlineStr"/>
    </row>
    <row r="80">
      <c r="A80" t="inlineStr">
        <is>
          <t>MARGAHAYU PUTRATAMA TRANSMIX</t>
        </is>
      </c>
      <c r="B80" t="inlineStr">
        <is>
          <t>Kota Surabaya</t>
        </is>
      </c>
      <c r="C80" t="inlineStr">
        <is>
          <t>0318289949</t>
        </is>
      </c>
      <c r="D80" t="inlineStr">
        <is>
          <t>margahayutransmix@gmail.com</t>
        </is>
      </c>
      <c r="E80" t="inlineStr">
        <is>
          <t>https://lpjk.pu.go.id/search-badan-usaha-detail/d0hNRC9tZXlabGVYZjNYT0x0STBIdz09</t>
        </is>
      </c>
      <c r="F80" t="n">
        <v>2</v>
      </c>
      <c r="G80" t="inlineStr">
        <is>
          <t>BS001</t>
        </is>
      </c>
      <c r="H80" t="inlineStr">
        <is>
          <t>23 September 2022</t>
        </is>
      </c>
      <c r="I80" s="2" t="n">
        <v>46327</v>
      </c>
      <c r="J80" t="inlineStr">
        <is>
          <t>Disetujui</t>
        </is>
      </c>
      <c r="K80" t="n">
        <v>30</v>
      </c>
      <c r="L80" t="inlineStr">
        <is>
          <t>1 November 2026</t>
        </is>
      </c>
      <c r="M80" t="inlineStr">
        <is>
          <t>Konstruksi Bangunan Sipil Jalan</t>
        </is>
      </c>
      <c r="N80" t="inlineStr">
        <is>
          <t>K</t>
        </is>
      </c>
      <c r="O80" t="inlineStr">
        <is>
          <t>20231027</t>
        </is>
      </c>
      <c r="P80" t="inlineStr">
        <is>
          <t>Jawa Timur</t>
        </is>
      </c>
      <c r="Q80" t="inlineStr"/>
    </row>
    <row r="81">
      <c r="A81" t="inlineStr">
        <is>
          <t>MAS MUSTIKA ANUGRAH SEJAHTERA</t>
        </is>
      </c>
      <c r="B81" t="inlineStr">
        <is>
          <t>Kota Adm. Jakarta Barat</t>
        </is>
      </c>
      <c r="C81" t="inlineStr">
        <is>
          <t>0215843384</t>
        </is>
      </c>
      <c r="D81" t="inlineStr">
        <is>
          <t>mmusatera@yahoo.com</t>
        </is>
      </c>
      <c r="E81" t="inlineStr">
        <is>
          <t>https://lpjk.pu.go.id/search-badan-usaha-detail/ZnZnbDdBVU5SamM2dmhTMWExWkpwUT09</t>
        </is>
      </c>
      <c r="F81" t="n">
        <v>1</v>
      </c>
      <c r="G81" t="inlineStr">
        <is>
          <t>BG003</t>
        </is>
      </c>
      <c r="H81" t="inlineStr">
        <is>
          <t>18 September 1996</t>
        </is>
      </c>
      <c r="I81" s="2" t="n">
        <v>46327</v>
      </c>
      <c r="J81" t="inlineStr">
        <is>
          <t>Pencabutan</t>
        </is>
      </c>
      <c r="K81" t="n">
        <v>30</v>
      </c>
      <c r="L81" t="inlineStr">
        <is>
          <t>1 November 2026</t>
        </is>
      </c>
      <c r="M81" t="inlineStr">
        <is>
          <t>Konstruksi Gedung Industri</t>
        </is>
      </c>
      <c r="N81" t="inlineStr">
        <is>
          <t>M</t>
        </is>
      </c>
      <c r="O81" t="inlineStr">
        <is>
          <t>20231018</t>
        </is>
      </c>
      <c r="P81" t="inlineStr">
        <is>
          <t>DKI Jakarta</t>
        </is>
      </c>
      <c r="Q81" t="inlineStr"/>
    </row>
    <row r="82">
      <c r="A82" t="inlineStr">
        <is>
          <t>MENARA MAS</t>
        </is>
      </c>
      <c r="B82" t="inlineStr">
        <is>
          <t>Kota Tarakan</t>
        </is>
      </c>
      <c r="C82" t="inlineStr">
        <is>
          <t>0811532857</t>
        </is>
      </c>
      <c r="D82" t="inlineStr">
        <is>
          <t>ptmenaramas88@gmail.com</t>
        </is>
      </c>
      <c r="E82" t="inlineStr">
        <is>
          <t>https://lpjk.pu.go.id/search-badan-usaha-detail/VVhpMHdVMG5MZyszTlZDRy9Mei9hQT09</t>
        </is>
      </c>
      <c r="F82" t="n">
        <v>1</v>
      </c>
      <c r="G82" t="inlineStr">
        <is>
          <t>IN001</t>
        </is>
      </c>
      <c r="H82" t="inlineStr">
        <is>
          <t>28 Agustus 2008</t>
        </is>
      </c>
      <c r="I82" s="2" t="n">
        <v>46327</v>
      </c>
      <c r="J82" t="inlineStr">
        <is>
          <t>Disetujui</t>
        </is>
      </c>
      <c r="K82" t="n">
        <v>30</v>
      </c>
      <c r="L82" t="inlineStr">
        <is>
          <t>1 November 2026</t>
        </is>
      </c>
      <c r="M82" t="inlineStr">
        <is>
          <t>Instalasi Mekanikal</t>
        </is>
      </c>
      <c r="N82" t="inlineStr">
        <is>
          <t>Spesialis</t>
        </is>
      </c>
      <c r="O82" t="inlineStr">
        <is>
          <t>20231027</t>
        </is>
      </c>
      <c r="P82" t="inlineStr">
        <is>
          <t>Kalimantan Utara</t>
        </is>
      </c>
      <c r="Q82" t="inlineStr"/>
    </row>
    <row r="83">
      <c r="A83" t="inlineStr">
        <is>
          <t>MIFTAH MULTI DESIGN</t>
        </is>
      </c>
      <c r="B83" t="inlineStr">
        <is>
          <t>Kota Makassar</t>
        </is>
      </c>
      <c r="C83" t="inlineStr">
        <is>
          <t>085298886000</t>
        </is>
      </c>
      <c r="D83" t="inlineStr">
        <is>
          <t>miftahmultidesign@gmail.com</t>
        </is>
      </c>
      <c r="E83" t="inlineStr">
        <is>
          <t>https://lpjk.pu.go.id/search-badan-usaha-detail/M2wwWWYyaVdKQWtIOGNjTUM1QkMvQT09</t>
        </is>
      </c>
      <c r="F83" t="n">
        <v>1</v>
      </c>
      <c r="G83" t="inlineStr">
        <is>
          <t>AR001</t>
        </is>
      </c>
      <c r="H83" t="inlineStr">
        <is>
          <t>21 Maret 2014</t>
        </is>
      </c>
      <c r="I83" s="2" t="n">
        <v>46327</v>
      </c>
      <c r="J83" t="inlineStr">
        <is>
          <t>Disetujui</t>
        </is>
      </c>
      <c r="K83" t="n">
        <v>30</v>
      </c>
      <c r="L83" t="inlineStr">
        <is>
          <t>1 November 2026</t>
        </is>
      </c>
      <c r="M83" t="inlineStr">
        <is>
          <t>Jasa Arsitektural Bangunan Gedung Hunian dan Non Hunian</t>
        </is>
      </c>
      <c r="N83" t="inlineStr">
        <is>
          <t>K</t>
        </is>
      </c>
      <c r="O83" t="inlineStr">
        <is>
          <t>20231024</t>
        </is>
      </c>
      <c r="P83" t="inlineStr">
        <is>
          <t>Sulawesi Selatan</t>
        </is>
      </c>
      <c r="Q83" t="inlineStr"/>
    </row>
    <row r="84">
      <c r="A84" t="inlineStr">
        <is>
          <t>MITRA LIMA DINAMIKA</t>
        </is>
      </c>
      <c r="B84" t="inlineStr">
        <is>
          <t>Kota Samarinda</t>
        </is>
      </c>
      <c r="C84" t="inlineStr">
        <is>
          <t>0541201879</t>
        </is>
      </c>
      <c r="D84" t="inlineStr">
        <is>
          <t>mld.smd.1@gmail.com</t>
        </is>
      </c>
      <c r="E84" t="inlineStr">
        <is>
          <t>https://lpjk.pu.go.id/search-badan-usaha-detail/bFR2UHRIYXlqN1BNdVEwb0svb3g1UT09</t>
        </is>
      </c>
      <c r="F84" t="n">
        <v>4</v>
      </c>
      <c r="G84" t="inlineStr">
        <is>
          <t>RK001, RK002, RK003, RK005</t>
        </is>
      </c>
      <c r="H84" t="inlineStr">
        <is>
          <t>3 Desember 2007</t>
        </is>
      </c>
      <c r="I84" s="2" t="n">
        <v>46327</v>
      </c>
      <c r="J84" t="inlineStr">
        <is>
          <t>Disetujui</t>
        </is>
      </c>
      <c r="K84" t="n">
        <v>30</v>
      </c>
      <c r="L84" t="inlineStr">
        <is>
          <t>1 November 2026</t>
        </is>
      </c>
      <c r="M84" t="inlineStr">
        <is>
          <t>Jasa Rekayasa Konstruksi Bangunan Gedung Hunian dan Non Hunian, Jasa Rekayasa Lainnya, Jasa Rekayasa Pekerjaan Teknik Sipil Sumber Daya Air, Jasa Rekayasa Pekerjaan Teknik Sipil Transportasi</t>
        </is>
      </c>
      <c r="N84" t="inlineStr">
        <is>
          <t>K</t>
        </is>
      </c>
      <c r="O84" t="inlineStr">
        <is>
          <t>20231024</t>
        </is>
      </c>
      <c r="P84" t="inlineStr">
        <is>
          <t>Kalimantan Timur</t>
        </is>
      </c>
      <c r="Q84" t="inlineStr"/>
    </row>
    <row r="85">
      <c r="A85" t="inlineStr">
        <is>
          <t>MULTIDAYA CIPTATAMA</t>
        </is>
      </c>
      <c r="B85" t="inlineStr">
        <is>
          <t>Kab. Bandung</t>
        </is>
      </c>
      <c r="C85" t="inlineStr">
        <is>
          <t>082240005258</t>
        </is>
      </c>
      <c r="D85" t="inlineStr">
        <is>
          <t>multidaya_ciptatama@yahoo.co.id</t>
        </is>
      </c>
      <c r="E85" t="inlineStr">
        <is>
          <t>https://lpjk.pu.go.id/search-badan-usaha-detail/cXlMdk1lU3lrSHVSWmZHTVF3YkQxZz09</t>
        </is>
      </c>
      <c r="F85" t="n">
        <v>3</v>
      </c>
      <c r="G85" t="inlineStr">
        <is>
          <t>BG001, BG006, BS010</t>
        </is>
      </c>
      <c r="H85" t="inlineStr">
        <is>
          <t>7 Juli 2011</t>
        </is>
      </c>
      <c r="I85" s="2" t="n">
        <v>46327</v>
      </c>
      <c r="J85" t="inlineStr">
        <is>
          <t>Disetujui, Pencabutan</t>
        </is>
      </c>
      <c r="K85" t="n">
        <v>30</v>
      </c>
      <c r="L85" t="inlineStr">
        <is>
          <t>1 November 2026</t>
        </is>
      </c>
      <c r="M85" t="inlineStr">
        <is>
          <t>Konstruksi Bangunan Prasarana Sumber Daya Air, Konstruksi Gedung Hunian, Konstruksi Gedung Pendidikan</t>
        </is>
      </c>
      <c r="N85" t="inlineStr">
        <is>
          <t>K</t>
        </is>
      </c>
      <c r="O85" t="inlineStr">
        <is>
          <t>20231101</t>
        </is>
      </c>
      <c r="P85" t="inlineStr">
        <is>
          <t>Jawa Barat</t>
        </is>
      </c>
      <c r="Q85" t="inlineStr"/>
    </row>
    <row r="86">
      <c r="A86" t="inlineStr">
        <is>
          <t>NAROTAMA PERSADA</t>
        </is>
      </c>
      <c r="B86" t="inlineStr">
        <is>
          <t>Kota Palembang</t>
        </is>
      </c>
      <c r="C86" t="inlineStr">
        <is>
          <t>083153897202</t>
        </is>
      </c>
      <c r="D86" t="inlineStr">
        <is>
          <t>narotamapersada25@gmail.com</t>
        </is>
      </c>
      <c r="E86" t="inlineStr">
        <is>
          <t>https://lpjk.pu.go.id/search-badan-usaha-detail/R29VS2tHTkJ2MjN0aGxwNzUzSmc1UT09</t>
        </is>
      </c>
      <c r="F86" t="n">
        <v>1</v>
      </c>
      <c r="G86" t="inlineStr">
        <is>
          <t>BS001</t>
        </is>
      </c>
      <c r="H86" t="inlineStr">
        <is>
          <t>13 Oktober 2023</t>
        </is>
      </c>
      <c r="I86" s="2" t="n">
        <v>46327</v>
      </c>
      <c r="J86" t="inlineStr">
        <is>
          <t>Pencabutan</t>
        </is>
      </c>
      <c r="K86" t="n">
        <v>30</v>
      </c>
      <c r="L86" t="inlineStr">
        <is>
          <t>1 November 2026</t>
        </is>
      </c>
      <c r="M86" t="inlineStr">
        <is>
          <t>Konstruksi Bangunan Sipil Jalan</t>
        </is>
      </c>
      <c r="N86" t="inlineStr">
        <is>
          <t>K</t>
        </is>
      </c>
      <c r="O86" t="inlineStr">
        <is>
          <t>20231101</t>
        </is>
      </c>
      <c r="P86" t="inlineStr">
        <is>
          <t>Sumatera Selatan</t>
        </is>
      </c>
      <c r="Q86" t="inlineStr"/>
    </row>
    <row r="87">
      <c r="A87" t="inlineStr">
        <is>
          <t>PAKU BETON PERKASA</t>
        </is>
      </c>
      <c r="B87" t="inlineStr">
        <is>
          <t>Kota Surabaya</t>
        </is>
      </c>
      <c r="C87" t="inlineStr">
        <is>
          <t>0315623866</t>
        </is>
      </c>
      <c r="D87" t="inlineStr">
        <is>
          <t>pbperkasa.sby@gmail.com</t>
        </is>
      </c>
      <c r="E87" t="inlineStr">
        <is>
          <t>https://lpjk.pu.go.id/search-badan-usaha-detail/U3I1VW9qSEtjcXFMWElpVmlIaW15dz09</t>
        </is>
      </c>
      <c r="F87" t="n">
        <v>1</v>
      </c>
      <c r="G87" t="inlineStr">
        <is>
          <t>KK001</t>
        </is>
      </c>
      <c r="H87" t="inlineStr">
        <is>
          <t>11 April 1995</t>
        </is>
      </c>
      <c r="I87" s="2" t="n">
        <v>46327</v>
      </c>
      <c r="J87" t="inlineStr">
        <is>
          <t>Pencabutan</t>
        </is>
      </c>
      <c r="K87" t="n">
        <v>30</v>
      </c>
      <c r="L87" t="inlineStr">
        <is>
          <t>1 November 2026</t>
        </is>
      </c>
      <c r="M87" t="inlineStr">
        <is>
          <t>Pondasi Konstruksi</t>
        </is>
      </c>
      <c r="N87" t="inlineStr">
        <is>
          <t>Spesialis</t>
        </is>
      </c>
      <c r="O87" t="inlineStr">
        <is>
          <t>20231102</t>
        </is>
      </c>
      <c r="P87" t="inlineStr">
        <is>
          <t>Jawa Timur</t>
        </is>
      </c>
      <c r="Q87" t="inlineStr"/>
    </row>
    <row r="88">
      <c r="A88" t="inlineStr">
        <is>
          <t>PERWIRA JAYA SAKTI</t>
        </is>
      </c>
      <c r="B88" t="inlineStr">
        <is>
          <t>Kab. Tuban</t>
        </is>
      </c>
      <c r="C88" t="inlineStr">
        <is>
          <t>085732453166</t>
        </is>
      </c>
      <c r="D88" t="inlineStr">
        <is>
          <t>pt.perwira.js@gmail.com</t>
        </is>
      </c>
      <c r="E88" t="inlineStr">
        <is>
          <t>https://lpjk.pu.go.id/search-badan-usaha-detail/SkJQaVRqbWZwejJiSS92V05mSmNLQT09</t>
        </is>
      </c>
      <c r="F88" t="n">
        <v>1</v>
      </c>
      <c r="G88" t="inlineStr">
        <is>
          <t>IN001</t>
        </is>
      </c>
      <c r="H88" t="inlineStr">
        <is>
          <t>17 Maret 2014</t>
        </is>
      </c>
      <c r="I88" s="2" t="n">
        <v>46327</v>
      </c>
      <c r="J88" t="inlineStr">
        <is>
          <t>Disetujui</t>
        </is>
      </c>
      <c r="K88" t="n">
        <v>30</v>
      </c>
      <c r="L88" t="inlineStr">
        <is>
          <t>1 November 2026</t>
        </is>
      </c>
      <c r="M88" t="inlineStr">
        <is>
          <t>Instalasi Mekanikal</t>
        </is>
      </c>
      <c r="N88" t="inlineStr">
        <is>
          <t>Spesialis</t>
        </is>
      </c>
      <c r="O88" t="inlineStr">
        <is>
          <t>20231029</t>
        </is>
      </c>
      <c r="P88" t="inlineStr">
        <is>
          <t>Jawa Timur</t>
        </is>
      </c>
      <c r="Q88" t="inlineStr"/>
    </row>
    <row r="89">
      <c r="A89" t="inlineStr">
        <is>
          <t>PESONA CAHAYA KEBERUNTUNGAN</t>
        </is>
      </c>
      <c r="B89" t="inlineStr">
        <is>
          <t>Kota Semarang</t>
        </is>
      </c>
      <c r="C89" t="inlineStr">
        <is>
          <t>082137186450</t>
        </is>
      </c>
      <c r="D89" t="inlineStr">
        <is>
          <t>pesonacahaya2023@gmail.com</t>
        </is>
      </c>
      <c r="E89" t="inlineStr">
        <is>
          <t>https://lpjk.pu.go.id/search-badan-usaha-detail/Vmk3SVZhaUxkcy9ramlWQ292Si9UUT09</t>
        </is>
      </c>
      <c r="F89" t="n">
        <v>2</v>
      </c>
      <c r="G89" t="inlineStr">
        <is>
          <t>BG001, BG006</t>
        </is>
      </c>
      <c r="H89" t="inlineStr">
        <is>
          <t>18 September 2023</t>
        </is>
      </c>
      <c r="I89" s="2" t="n">
        <v>46327</v>
      </c>
      <c r="J89" t="inlineStr">
        <is>
          <t>Disetujui</t>
        </is>
      </c>
      <c r="K89" t="n">
        <v>30</v>
      </c>
      <c r="L89" t="inlineStr">
        <is>
          <t>1 November 2026</t>
        </is>
      </c>
      <c r="M89" t="inlineStr">
        <is>
          <t>Konstruksi Gedung Hunian, Konstruksi Gedung Pendidikan</t>
        </is>
      </c>
      <c r="N89" t="inlineStr">
        <is>
          <t>K</t>
        </is>
      </c>
      <c r="O89" t="inlineStr">
        <is>
          <t>20231025, 20231103</t>
        </is>
      </c>
      <c r="P89" t="inlineStr">
        <is>
          <t>Jawa Tengah</t>
        </is>
      </c>
      <c r="Q89" t="inlineStr"/>
    </row>
    <row r="90">
      <c r="A90" t="inlineStr">
        <is>
          <t>PILAR UTAMA EKOLOGI MABBARAKKA</t>
        </is>
      </c>
      <c r="B90" t="inlineStr">
        <is>
          <t>Kota Batam</t>
        </is>
      </c>
      <c r="C90" t="inlineStr">
        <is>
          <t>08117777397</t>
        </is>
      </c>
      <c r="D90" t="inlineStr">
        <is>
          <t>pilarutamaekologi@gmail.com</t>
        </is>
      </c>
      <c r="E90" t="inlineStr">
        <is>
          <t>https://lpjk.pu.go.id/search-badan-usaha-detail/L0dnVy9zVkR0Vnh3RWhLTlg5Y2NvUT09</t>
        </is>
      </c>
      <c r="F90" t="n">
        <v>1</v>
      </c>
      <c r="G90" t="inlineStr">
        <is>
          <t>RK001</t>
        </is>
      </c>
      <c r="H90" t="inlineStr">
        <is>
          <t>6 April 2018</t>
        </is>
      </c>
      <c r="I90" s="2" t="n">
        <v>46327</v>
      </c>
      <c r="J90" t="inlineStr">
        <is>
          <t>Disetujui</t>
        </is>
      </c>
      <c r="K90" t="n">
        <v>30</v>
      </c>
      <c r="L90" t="inlineStr">
        <is>
          <t>1 November 2026</t>
        </is>
      </c>
      <c r="M90" t="inlineStr">
        <is>
          <t>Jasa Rekayasa Konstruksi Bangunan Gedung Hunian dan Non Hunian</t>
        </is>
      </c>
      <c r="N90" t="inlineStr">
        <is>
          <t>K</t>
        </is>
      </c>
      <c r="O90" t="inlineStr">
        <is>
          <t>20231024</t>
        </is>
      </c>
      <c r="P90" t="inlineStr">
        <is>
          <t>Kepulauan Riau</t>
        </is>
      </c>
      <c r="Q90" t="inlineStr"/>
    </row>
    <row r="91">
      <c r="A91" t="inlineStr">
        <is>
          <t>PRADIPTHA ARGHA CIPTHA</t>
        </is>
      </c>
      <c r="B91" t="inlineStr">
        <is>
          <t>Kota Bandung</t>
        </is>
      </c>
      <c r="C91" t="inlineStr">
        <is>
          <t>02287775289</t>
        </is>
      </c>
      <c r="D91" t="inlineStr">
        <is>
          <t>ptparadiptha@gmail.com</t>
        </is>
      </c>
      <c r="E91" t="inlineStr">
        <is>
          <t>https://lpjk.pu.go.id/search-badan-usaha-detail/OUZzL1pmbDdWUmVSZURVSXd1czJ6dz09</t>
        </is>
      </c>
      <c r="F91" t="n">
        <v>4</v>
      </c>
      <c r="G91" t="inlineStr">
        <is>
          <t>AL001, AL002, AL003, AL004</t>
        </is>
      </c>
      <c r="H91" t="inlineStr">
        <is>
          <t>10 Februari 2018</t>
        </is>
      </c>
      <c r="I91" s="2" t="n">
        <v>46327</v>
      </c>
      <c r="J91" t="inlineStr">
        <is>
          <t>Disetujui</t>
        </is>
      </c>
      <c r="K91" t="n">
        <v>30</v>
      </c>
      <c r="L91" t="inlineStr">
        <is>
          <t>1 November 2026</t>
        </is>
      </c>
      <c r="M91" t="inlineStr">
        <is>
          <t>Jasa Pengembangan Lingkungan Bangunan dan Lanskap, Jasa Pengembangan Pemanfaatan Ruang, Jasa Pengembangan Perkotaan, Jasa Pengembangan Wilayah</t>
        </is>
      </c>
      <c r="N91" t="inlineStr">
        <is>
          <t>K</t>
        </is>
      </c>
      <c r="O91" t="inlineStr">
        <is>
          <t>20230427, 20231019</t>
        </is>
      </c>
      <c r="P91" t="inlineStr">
        <is>
          <t>Jawa Barat</t>
        </is>
      </c>
      <c r="Q91" t="inlineStr"/>
    </row>
    <row r="92">
      <c r="A92" t="inlineStr">
        <is>
          <t>PRATAMA KARYA NUSANTARA</t>
        </is>
      </c>
      <c r="B92" t="inlineStr">
        <is>
          <t>Kab. Labuhanbatu</t>
        </is>
      </c>
      <c r="C92" t="inlineStr">
        <is>
          <t>082298002976</t>
        </is>
      </c>
      <c r="D92" t="inlineStr">
        <is>
          <t>pratamakaryanusantara@gmail.com</t>
        </is>
      </c>
      <c r="E92" t="inlineStr">
        <is>
          <t>https://lpjk.pu.go.id/search-badan-usaha-detail/M1hrdzMveENzYUhVazloU01zSTZDZz09</t>
        </is>
      </c>
      <c r="F92" t="n">
        <v>1</v>
      </c>
      <c r="G92" t="inlineStr">
        <is>
          <t>BG009</t>
        </is>
      </c>
      <c r="H92" t="inlineStr">
        <is>
          <t>21 Januari 2022</t>
        </is>
      </c>
      <c r="I92" s="2" t="n">
        <v>46327</v>
      </c>
      <c r="J92" t="inlineStr">
        <is>
          <t>Disetujui</t>
        </is>
      </c>
      <c r="K92" t="n">
        <v>30</v>
      </c>
      <c r="L92" t="inlineStr">
        <is>
          <t>1 November 2026</t>
        </is>
      </c>
      <c r="M92" t="inlineStr">
        <is>
          <t>Konstruksi Gedung Lainnya</t>
        </is>
      </c>
      <c r="N92" t="inlineStr">
        <is>
          <t>K</t>
        </is>
      </c>
      <c r="O92" t="inlineStr">
        <is>
          <t>20231102</t>
        </is>
      </c>
      <c r="P92" t="inlineStr">
        <is>
          <t>Sumatera Utara</t>
        </is>
      </c>
      <c r="Q92" t="inlineStr"/>
    </row>
    <row r="93">
      <c r="A93" t="inlineStr">
        <is>
          <t>PRATAMA UNGGUL PERKASA</t>
        </is>
      </c>
      <c r="B93" t="inlineStr">
        <is>
          <t>Kab. Karimun</t>
        </is>
      </c>
      <c r="C93" t="inlineStr">
        <is>
          <t>081928919997</t>
        </is>
      </c>
      <c r="D93" t="inlineStr">
        <is>
          <t>cv.pratamaunggulperkasa@gmail.com</t>
        </is>
      </c>
      <c r="E93" t="inlineStr">
        <is>
          <t>https://lpjk.pu.go.id/search-badan-usaha-detail/dVNjWmxtZmNUZzFCbWZTWkVUb2pGZz09</t>
        </is>
      </c>
      <c r="F93" t="n">
        <v>5</v>
      </c>
      <c r="G93" t="inlineStr">
        <is>
          <t>BG006, BG009, BS001, BS004, BS010</t>
        </is>
      </c>
      <c r="H93" t="inlineStr">
        <is>
          <t>8 Juni 2023</t>
        </is>
      </c>
      <c r="I93" s="2" t="n">
        <v>46327</v>
      </c>
      <c r="J93" t="inlineStr">
        <is>
          <t>Disetujui</t>
        </is>
      </c>
      <c r="K93" t="n">
        <v>30</v>
      </c>
      <c r="L93" t="inlineStr">
        <is>
          <t>1 November 2026</t>
        </is>
      </c>
      <c r="M93" t="inlineStr">
        <is>
          <t>Konstruksi Bangunan Prasarana Sumber Daya Air, Konstruksi Bangunan Sipil Jalan, Konstruksi Gedung Lainnya, Konstruksi Gedung Pendidikan, Konstruksi Jaringan Irigasi dan Drainase</t>
        </is>
      </c>
      <c r="N93" t="inlineStr">
        <is>
          <t>K</t>
        </is>
      </c>
      <c r="O93" t="inlineStr">
        <is>
          <t>20231017, 20231102</t>
        </is>
      </c>
      <c r="P93" t="inlineStr">
        <is>
          <t>Kepulauan Riau</t>
        </is>
      </c>
      <c r="Q93" t="inlineStr"/>
    </row>
    <row r="94">
      <c r="A94" t="inlineStr">
        <is>
          <t>PRIMA JAYATAMA SELARAS</t>
        </is>
      </c>
      <c r="B94" t="inlineStr">
        <is>
          <t>Kota Adm. Jakarta Barat</t>
        </is>
      </c>
      <c r="C94" t="inlineStr">
        <is>
          <t>085100090959</t>
        </is>
      </c>
      <c r="D94" t="inlineStr">
        <is>
          <t>primajayatamaselaras.pt@outlook.com</t>
        </is>
      </c>
      <c r="E94" t="inlineStr">
        <is>
          <t>https://lpjk.pu.go.id/search-badan-usaha-detail/WlBQRGR1RlZSNnYvSVhCcEt4bmNrQT09</t>
        </is>
      </c>
      <c r="F94" t="n">
        <v>3</v>
      </c>
      <c r="G94" t="inlineStr">
        <is>
          <t>BG001, BG002, BG009</t>
        </is>
      </c>
      <c r="H94" t="inlineStr">
        <is>
          <t>18 November 2011</t>
        </is>
      </c>
      <c r="I94" s="2" t="n">
        <v>46327</v>
      </c>
      <c r="J94" t="inlineStr">
        <is>
          <t>Disetujui</t>
        </is>
      </c>
      <c r="K94" t="n">
        <v>30</v>
      </c>
      <c r="L94" t="inlineStr">
        <is>
          <t>1 November 2026</t>
        </is>
      </c>
      <c r="M94" t="inlineStr">
        <is>
          <t>Konstruksi Gedung Hunian, Konstruksi Gedung Lainnya, Konstruksi Gedung Perkantoran</t>
        </is>
      </c>
      <c r="N94" t="inlineStr">
        <is>
          <t>K</t>
        </is>
      </c>
      <c r="O94" t="inlineStr">
        <is>
          <t>20231024</t>
        </is>
      </c>
      <c r="P94" t="inlineStr">
        <is>
          <t>DKI Jakarta</t>
        </is>
      </c>
      <c r="Q94" t="inlineStr"/>
    </row>
    <row r="95">
      <c r="A95" t="inlineStr">
        <is>
          <t>PRIMA KARYA</t>
        </is>
      </c>
      <c r="B95" t="inlineStr">
        <is>
          <t>Kota Palembang</t>
        </is>
      </c>
      <c r="C95" t="inlineStr">
        <is>
          <t>08176929684</t>
        </is>
      </c>
      <c r="D95" t="inlineStr">
        <is>
          <t>cvprimakarya19@gmail.com</t>
        </is>
      </c>
      <c r="E95" t="inlineStr">
        <is>
          <t>https://lpjk.pu.go.id/search-badan-usaha-detail/Smhqc0M3N1ErTVVkNklHWG52UzdjUT09</t>
        </is>
      </c>
      <c r="F95" t="n">
        <v>2</v>
      </c>
      <c r="G95" t="inlineStr">
        <is>
          <t>BS001, BS004</t>
        </is>
      </c>
      <c r="H95" t="inlineStr">
        <is>
          <t>23 Januari 2017</t>
        </is>
      </c>
      <c r="I95" s="2" t="n">
        <v>46327</v>
      </c>
      <c r="J95" t="inlineStr">
        <is>
          <t>Disetujui</t>
        </is>
      </c>
      <c r="K95" t="n">
        <v>30</v>
      </c>
      <c r="L95" t="inlineStr">
        <is>
          <t>1 November 2026</t>
        </is>
      </c>
      <c r="M95" t="inlineStr">
        <is>
          <t>Konstruksi Bangunan Sipil Jalan, Konstruksi Jaringan Irigasi dan Drainase</t>
        </is>
      </c>
      <c r="N95" t="inlineStr">
        <is>
          <t>K</t>
        </is>
      </c>
      <c r="O95" t="inlineStr">
        <is>
          <t>20231029</t>
        </is>
      </c>
      <c r="P95" t="inlineStr">
        <is>
          <t>Sumatera Selatan</t>
        </is>
      </c>
      <c r="Q95" t="inlineStr"/>
    </row>
    <row r="96">
      <c r="A96" t="inlineStr">
        <is>
          <t>PUTRA BARUMUN JAYA</t>
        </is>
      </c>
      <c r="B96" t="inlineStr">
        <is>
          <t>Kab. Labuhanbatu</t>
        </is>
      </c>
      <c r="C96" t="inlineStr">
        <is>
          <t>081397430333</t>
        </is>
      </c>
      <c r="D96" t="inlineStr">
        <is>
          <t>putrabarumunjaya2015@gmail.com</t>
        </is>
      </c>
      <c r="E96" t="inlineStr">
        <is>
          <t>https://lpjk.pu.go.id/search-badan-usaha-detail/eG1leWNVZmhaMDA5aGpZalgxWWtVUT09</t>
        </is>
      </c>
      <c r="F96" t="n">
        <v>4</v>
      </c>
      <c r="G96" t="inlineStr">
        <is>
          <t>BG001, BG009, BS001, BS002</t>
        </is>
      </c>
      <c r="H96" t="inlineStr">
        <is>
          <t>1 April 2015</t>
        </is>
      </c>
      <c r="I96" s="2" t="n">
        <v>46327</v>
      </c>
      <c r="J96" t="inlineStr">
        <is>
          <t>Pencabutan</t>
        </is>
      </c>
      <c r="K96" t="n">
        <v>30</v>
      </c>
      <c r="L96" t="inlineStr">
        <is>
          <t>1 November 2026</t>
        </is>
      </c>
      <c r="M96" t="inlineStr">
        <is>
          <t>Bangunan Sipil Jembatan, Jalan Layang, Fly Over, dan Underpass, Konstruksi Bangunan Sipil Jalan, Konstruksi Gedung Hunian, Konstruksi Gedung Lainnya</t>
        </is>
      </c>
      <c r="N96" t="inlineStr">
        <is>
          <t>K</t>
        </is>
      </c>
      <c r="O96" t="inlineStr">
        <is>
          <t>20231031, 20231102</t>
        </is>
      </c>
      <c r="P96" t="inlineStr">
        <is>
          <t>Sumatera Utara</t>
        </is>
      </c>
      <c r="Q96" t="inlineStr"/>
    </row>
    <row r="97">
      <c r="A97" t="inlineStr">
        <is>
          <t>PUTRA PURNAMA MANDIRI</t>
        </is>
      </c>
      <c r="B97" t="inlineStr">
        <is>
          <t>Kota Pasuruan</t>
        </is>
      </c>
      <c r="C97" t="inlineStr">
        <is>
          <t>081336538483</t>
        </is>
      </c>
      <c r="D97" t="inlineStr">
        <is>
          <t>purnamamandiri83@gmail.com</t>
        </is>
      </c>
      <c r="E97" t="inlineStr">
        <is>
          <t>https://lpjk.pu.go.id/search-badan-usaha-detail/dGVoVE1TYW1ITE1aeFJqeHFYdit1dz09</t>
        </is>
      </c>
      <c r="F97" t="n">
        <v>2</v>
      </c>
      <c r="G97" t="inlineStr">
        <is>
          <t>BG003, BG009</t>
        </is>
      </c>
      <c r="H97" t="inlineStr">
        <is>
          <t>13 Agustus 2016</t>
        </is>
      </c>
      <c r="I97" s="2" t="n">
        <v>46327</v>
      </c>
      <c r="J97" t="inlineStr">
        <is>
          <t>Disetujui</t>
        </is>
      </c>
      <c r="K97" t="n">
        <v>30</v>
      </c>
      <c r="L97" t="inlineStr">
        <is>
          <t>1 November 2026</t>
        </is>
      </c>
      <c r="M97" t="inlineStr">
        <is>
          <t>Konstruksi Gedung Industri, Konstruksi Gedung Lainnya</t>
        </is>
      </c>
      <c r="N97" t="inlineStr">
        <is>
          <t>K</t>
        </is>
      </c>
      <c r="O97" t="inlineStr">
        <is>
          <t>20231031</t>
        </is>
      </c>
      <c r="P97" t="inlineStr">
        <is>
          <t>Jawa Timur</t>
        </is>
      </c>
      <c r="Q97" t="inlineStr"/>
    </row>
    <row r="98">
      <c r="A98" t="inlineStr">
        <is>
          <t>RADEN SALEH</t>
        </is>
      </c>
      <c r="B98" t="inlineStr">
        <is>
          <t>Kota Medan</t>
        </is>
      </c>
      <c r="C98" t="inlineStr">
        <is>
          <t>08116511384</t>
        </is>
      </c>
      <c r="D98" t="inlineStr">
        <is>
          <t>cvradensaleh@gmail.com</t>
        </is>
      </c>
      <c r="E98" t="inlineStr">
        <is>
          <t>https://lpjk.pu.go.id/search-badan-usaha-detail/WVpTSHdjWHc3c2xWV3lUV0pvc1k4UT09</t>
        </is>
      </c>
      <c r="F98" t="n">
        <v>5</v>
      </c>
      <c r="G98" t="inlineStr">
        <is>
          <t>BG002, BG005, BG006, BG009, BS001</t>
        </is>
      </c>
      <c r="H98" t="inlineStr">
        <is>
          <t>12 November 2019</t>
        </is>
      </c>
      <c r="I98" s="2" t="n">
        <v>46327</v>
      </c>
      <c r="J98" t="inlineStr">
        <is>
          <t>Pencabutan</t>
        </is>
      </c>
      <c r="K98" t="n">
        <v>30</v>
      </c>
      <c r="L98" t="inlineStr">
        <is>
          <t>1 November 2026</t>
        </is>
      </c>
      <c r="M98" t="inlineStr">
        <is>
          <t>Konstruksi Bangunan Sipil Jalan, Konstruksi Gedung Kesehatan, Konstruksi Gedung Lainnya, Konstruksi Gedung Pendidikan, Konstruksi Gedung Perkantoran</t>
        </is>
      </c>
      <c r="N98" t="inlineStr">
        <is>
          <t>K</t>
        </is>
      </c>
      <c r="O98" t="inlineStr">
        <is>
          <t>20231030</t>
        </is>
      </c>
      <c r="P98" t="inlineStr">
        <is>
          <t>Sumatera Utara</t>
        </is>
      </c>
      <c r="Q98" t="inlineStr"/>
    </row>
    <row r="99">
      <c r="A99" t="inlineStr">
        <is>
          <t>RAJAWALI MAS</t>
        </is>
      </c>
      <c r="B99" t="inlineStr">
        <is>
          <t>Kab. Pasaman Barat</t>
        </is>
      </c>
      <c r="C99" t="inlineStr">
        <is>
          <t>081266608066</t>
        </is>
      </c>
      <c r="D99" t="inlineStr">
        <is>
          <t>cv_rajawali_mas@yahoo.co.id</t>
        </is>
      </c>
      <c r="E99" t="inlineStr">
        <is>
          <t>https://lpjk.pu.go.id/search-badan-usaha-detail/ZnZLeHhsWlAzNkIyZGxLckdLaGM4dz09</t>
        </is>
      </c>
      <c r="F99" t="n">
        <v>2</v>
      </c>
      <c r="G99" t="inlineStr">
        <is>
          <t>BG003</t>
        </is>
      </c>
      <c r="H99" t="inlineStr">
        <is>
          <t>9 Oktober 2013</t>
        </is>
      </c>
      <c r="I99" s="2" t="n">
        <v>46327</v>
      </c>
      <c r="J99" t="inlineStr">
        <is>
          <t>Disetujui</t>
        </is>
      </c>
      <c r="K99" t="n">
        <v>30</v>
      </c>
      <c r="L99" t="inlineStr">
        <is>
          <t>1 November 2026</t>
        </is>
      </c>
      <c r="M99" t="inlineStr">
        <is>
          <t>Konstruksi Gedung Industri</t>
        </is>
      </c>
      <c r="N99" t="inlineStr">
        <is>
          <t>K</t>
        </is>
      </c>
      <c r="O99" t="inlineStr">
        <is>
          <t>20231102</t>
        </is>
      </c>
      <c r="P99" t="inlineStr">
        <is>
          <t>Sumatera Barat</t>
        </is>
      </c>
      <c r="Q99" t="inlineStr"/>
    </row>
    <row r="100">
      <c r="A100" t="inlineStr">
        <is>
          <t>RAJAWALI PARAMA KONSTRUKSI</t>
        </is>
      </c>
      <c r="B100" t="inlineStr">
        <is>
          <t>Kota Tangerang Selatan</t>
        </is>
      </c>
      <c r="C100" t="inlineStr">
        <is>
          <t>02153128888</t>
        </is>
      </c>
      <c r="D100" t="inlineStr">
        <is>
          <t>bong_parnoto@rajawaliparama.com</t>
        </is>
      </c>
      <c r="E100" t="inlineStr">
        <is>
          <t>https://lpjk.pu.go.id/search-badan-usaha-detail/c0tkVTVTY1lVajMvaE94V2J6RGswUT09</t>
        </is>
      </c>
      <c r="F100" t="n">
        <v>2</v>
      </c>
      <c r="G100" t="inlineStr">
        <is>
          <t>IN007</t>
        </is>
      </c>
      <c r="H100" t="inlineStr">
        <is>
          <t>8 Februari 2011</t>
        </is>
      </c>
      <c r="I100" s="2" t="n">
        <v>46327</v>
      </c>
      <c r="J100" t="inlineStr">
        <is>
          <t>Pembekuan</t>
        </is>
      </c>
      <c r="K100" t="n">
        <v>30</v>
      </c>
      <c r="L100" t="inlineStr">
        <is>
          <t>1 November 2026</t>
        </is>
      </c>
      <c r="M100" t="inlineStr">
        <is>
          <t>Instalasi Saluran Air (Plambing)</t>
        </is>
      </c>
      <c r="N100" t="inlineStr">
        <is>
          <t>Spesialis</t>
        </is>
      </c>
      <c r="O100" t="inlineStr">
        <is>
          <t>20231029</t>
        </is>
      </c>
      <c r="P100" t="inlineStr">
        <is>
          <t>Banten</t>
        </is>
      </c>
      <c r="Q100" t="inlineStr"/>
    </row>
    <row r="101">
      <c r="A101" t="inlineStr">
        <is>
          <t>REMAJA ARTI KREASI</t>
        </is>
      </c>
      <c r="B101" t="inlineStr">
        <is>
          <t>Kota Metro</t>
        </is>
      </c>
      <c r="C101" t="inlineStr">
        <is>
          <t>082176387927</t>
        </is>
      </c>
      <c r="D101" t="inlineStr">
        <is>
          <t>remajaartikreasicv@gmail.com</t>
        </is>
      </c>
      <c r="E101" t="inlineStr">
        <is>
          <t>https://lpjk.pu.go.id/search-badan-usaha-detail/NTJidzdrTFlyT3BwaXY2Y0NCUUFRdz09</t>
        </is>
      </c>
      <c r="F101" t="n">
        <v>1</v>
      </c>
      <c r="G101" t="inlineStr">
        <is>
          <t>RK003</t>
        </is>
      </c>
      <c r="H101" t="inlineStr">
        <is>
          <t>11 Juli 2017</t>
        </is>
      </c>
      <c r="I101" s="2" t="n">
        <v>46327</v>
      </c>
      <c r="J101" t="inlineStr">
        <is>
          <t>Disetujui</t>
        </is>
      </c>
      <c r="K101" t="n">
        <v>30</v>
      </c>
      <c r="L101" t="inlineStr">
        <is>
          <t>1 November 2026</t>
        </is>
      </c>
      <c r="M101" t="inlineStr">
        <is>
          <t>Jasa Rekayasa Pekerjaan Teknik Sipil Transportasi</t>
        </is>
      </c>
      <c r="N101" t="inlineStr">
        <is>
          <t>K</t>
        </is>
      </c>
      <c r="O101" t="inlineStr">
        <is>
          <t>20231018</t>
        </is>
      </c>
      <c r="P101" t="inlineStr">
        <is>
          <t>Lampung</t>
        </is>
      </c>
      <c r="Q101" t="inlineStr"/>
    </row>
    <row r="102">
      <c r="A102" t="inlineStr">
        <is>
          <t>REVIAMI</t>
        </is>
      </c>
      <c r="B102" t="inlineStr">
        <is>
          <t>Kab. Tanah Laut</t>
        </is>
      </c>
      <c r="C102" t="inlineStr">
        <is>
          <t>082354534422</t>
        </is>
      </c>
      <c r="D102" t="inlineStr">
        <is>
          <t>reviami.cvheldawati@yahoo.co.id</t>
        </is>
      </c>
      <c r="E102" t="inlineStr">
        <is>
          <t>https://lpjk.pu.go.id/search-badan-usaha-detail/NFAySmFzUlpHOW8rejk4NXBnSGVRZz09</t>
        </is>
      </c>
      <c r="F102" t="n">
        <v>1</v>
      </c>
      <c r="G102" t="inlineStr">
        <is>
          <t>BG008</t>
        </is>
      </c>
      <c r="H102" t="inlineStr">
        <is>
          <t>27 Juni 2002</t>
        </is>
      </c>
      <c r="I102" s="2" t="n">
        <v>46327</v>
      </c>
      <c r="J102" t="inlineStr">
        <is>
          <t>Disetujui</t>
        </is>
      </c>
      <c r="K102" t="n">
        <v>30</v>
      </c>
      <c r="L102" t="inlineStr">
        <is>
          <t>1 November 2026</t>
        </is>
      </c>
      <c r="M102" t="inlineStr">
        <is>
          <t>Konstruksi Gedung Tempat Hiburan dan Olahraga</t>
        </is>
      </c>
      <c r="N102" t="inlineStr">
        <is>
          <t>K</t>
        </is>
      </c>
      <c r="O102" t="inlineStr">
        <is>
          <t>20231027</t>
        </is>
      </c>
      <c r="P102" t="inlineStr">
        <is>
          <t>Kalimantan Selatan</t>
        </is>
      </c>
      <c r="Q102" t="inlineStr"/>
    </row>
    <row r="103">
      <c r="A103" t="inlineStr">
        <is>
          <t>RIZKI GARDA USAHA</t>
        </is>
      </c>
      <c r="B103" t="inlineStr">
        <is>
          <t>Kab. Kubu Raya</t>
        </is>
      </c>
      <c r="C103" t="inlineStr">
        <is>
          <t>082255899966</t>
        </is>
      </c>
      <c r="D103" t="inlineStr">
        <is>
          <t>cvrizkigardausaha@gmail.com</t>
        </is>
      </c>
      <c r="E103" t="inlineStr">
        <is>
          <t>https://lpjk.pu.go.id/search-badan-usaha-detail/SHpGTGwzNWVZOHJYS1VWdEtwbDlUUT09</t>
        </is>
      </c>
      <c r="F103" t="n">
        <v>1</v>
      </c>
      <c r="G103" t="inlineStr">
        <is>
          <t>BG005</t>
        </is>
      </c>
      <c r="H103" t="inlineStr">
        <is>
          <t>29 November 2017</t>
        </is>
      </c>
      <c r="I103" s="2" t="n">
        <v>46327</v>
      </c>
      <c r="J103" t="inlineStr">
        <is>
          <t>Disetujui</t>
        </is>
      </c>
      <c r="K103" t="n">
        <v>30</v>
      </c>
      <c r="L103" t="inlineStr">
        <is>
          <t>1 November 2026</t>
        </is>
      </c>
      <c r="M103" t="inlineStr">
        <is>
          <t>Konstruksi Gedung Kesehatan</t>
        </is>
      </c>
      <c r="N103" t="inlineStr">
        <is>
          <t>K</t>
        </is>
      </c>
      <c r="O103" t="inlineStr">
        <is>
          <t>20231030</t>
        </is>
      </c>
      <c r="P103" t="inlineStr">
        <is>
          <t>Kalimantan Barat</t>
        </is>
      </c>
      <c r="Q103" t="inlineStr"/>
    </row>
    <row r="104">
      <c r="A104" t="inlineStr">
        <is>
          <t>ROYAL FLUSH</t>
        </is>
      </c>
      <c r="B104" t="inlineStr">
        <is>
          <t>Kab. Lampung Barat</t>
        </is>
      </c>
      <c r="C104" t="inlineStr">
        <is>
          <t>085211172019</t>
        </is>
      </c>
      <c r="D104" t="inlineStr">
        <is>
          <t>cvroyalflush99@gmail.com</t>
        </is>
      </c>
      <c r="E104" t="inlineStr">
        <is>
          <t>https://lpjk.pu.go.id/search-badan-usaha-detail/QXRRQTNVU0JCYkh2d1FYSG5ENUNDZz09</t>
        </is>
      </c>
      <c r="F104" t="n">
        <v>2</v>
      </c>
      <c r="G104" t="inlineStr">
        <is>
          <t>BG001, BG009</t>
        </is>
      </c>
      <c r="H104" t="inlineStr">
        <is>
          <t>23 Oktober 2020</t>
        </is>
      </c>
      <c r="I104" s="2" t="n">
        <v>46327</v>
      </c>
      <c r="J104" t="inlineStr">
        <is>
          <t>Pencabutan</t>
        </is>
      </c>
      <c r="K104" t="n">
        <v>30</v>
      </c>
      <c r="L104" t="inlineStr">
        <is>
          <t>1 November 2026</t>
        </is>
      </c>
      <c r="M104" t="inlineStr">
        <is>
          <t>Konstruksi Gedung Hunian, Konstruksi Gedung Lainnya</t>
        </is>
      </c>
      <c r="N104" t="inlineStr">
        <is>
          <t>K</t>
        </is>
      </c>
      <c r="O104" t="inlineStr">
        <is>
          <t>20230921, 20231031</t>
        </is>
      </c>
      <c r="P104" t="inlineStr">
        <is>
          <t>Lampung</t>
        </is>
      </c>
      <c r="Q104" t="inlineStr"/>
    </row>
    <row r="105">
      <c r="A105" t="inlineStr">
        <is>
          <t>SAMADYA PILAR KONSTRUKSI</t>
        </is>
      </c>
      <c r="B105" t="inlineStr">
        <is>
          <t>Kab. Serang</t>
        </is>
      </c>
      <c r="C105" t="inlineStr">
        <is>
          <t>087871024452</t>
        </is>
      </c>
      <c r="D105" t="inlineStr">
        <is>
          <t>Samadyakonstruksi@gmail.com</t>
        </is>
      </c>
      <c r="E105" t="inlineStr">
        <is>
          <t>https://lpjk.pu.go.id/search-badan-usaha-detail/ejRaL0dVY2ZzanhySkxGYkpsYit4UT09</t>
        </is>
      </c>
      <c r="F105" t="n">
        <v>1</v>
      </c>
      <c r="G105" t="inlineStr">
        <is>
          <t>BG006</t>
        </is>
      </c>
      <c r="H105" t="inlineStr">
        <is>
          <t>12 September 2020</t>
        </is>
      </c>
      <c r="I105" s="2" t="n">
        <v>46327</v>
      </c>
      <c r="J105" t="inlineStr">
        <is>
          <t>Disetujui</t>
        </is>
      </c>
      <c r="K105" t="n">
        <v>30</v>
      </c>
      <c r="L105" t="inlineStr">
        <is>
          <t>1 November 2026</t>
        </is>
      </c>
      <c r="M105" t="inlineStr">
        <is>
          <t>Konstruksi Gedung Pendidikan</t>
        </is>
      </c>
      <c r="N105" t="inlineStr">
        <is>
          <t>K</t>
        </is>
      </c>
      <c r="O105" t="inlineStr">
        <is>
          <t>20231024</t>
        </is>
      </c>
      <c r="P105" t="inlineStr">
        <is>
          <t>Banten</t>
        </is>
      </c>
      <c r="Q105" t="inlineStr"/>
    </row>
    <row r="106">
      <c r="A106" t="inlineStr">
        <is>
          <t>SARANA RINTASINDAH</t>
        </is>
      </c>
      <c r="B106" t="inlineStr">
        <is>
          <t>Kota Surabaya</t>
        </is>
      </c>
      <c r="C106" t="inlineStr">
        <is>
          <t>0313291225</t>
        </is>
      </c>
      <c r="D106" t="inlineStr">
        <is>
          <t>saranarintasindah@gmail.com</t>
        </is>
      </c>
      <c r="E106" t="inlineStr">
        <is>
          <t>https://lpjk.pu.go.id/search-badan-usaha-detail/WHd2NjR1YThlMTA4VTFWakxIMDNsUT09</t>
        </is>
      </c>
      <c r="F106" t="n">
        <v>1</v>
      </c>
      <c r="G106" t="inlineStr">
        <is>
          <t>KK001</t>
        </is>
      </c>
      <c r="H106" t="inlineStr">
        <is>
          <t>2 September 1994</t>
        </is>
      </c>
      <c r="I106" s="2" t="n">
        <v>46327</v>
      </c>
      <c r="J106" t="inlineStr">
        <is>
          <t>Pembekuan</t>
        </is>
      </c>
      <c r="K106" t="n">
        <v>30</v>
      </c>
      <c r="L106" t="inlineStr">
        <is>
          <t>1 November 2026</t>
        </is>
      </c>
      <c r="M106" t="inlineStr">
        <is>
          <t>Pondasi Konstruksi</t>
        </is>
      </c>
      <c r="N106" t="inlineStr">
        <is>
          <t>Spesialis</t>
        </is>
      </c>
      <c r="O106" t="inlineStr">
        <is>
          <t>20231101</t>
        </is>
      </c>
      <c r="P106" t="inlineStr">
        <is>
          <t>Jawa Timur</t>
        </is>
      </c>
      <c r="Q106" t="inlineStr"/>
    </row>
    <row r="107">
      <c r="A107" t="inlineStr">
        <is>
          <t>SATRIA MUSTIKA SENTOSA</t>
        </is>
      </c>
      <c r="B107" t="inlineStr">
        <is>
          <t>Kota Surabaya</t>
        </is>
      </c>
      <c r="C107" t="inlineStr">
        <is>
          <t>081216679990</t>
        </is>
      </c>
      <c r="D107" t="inlineStr">
        <is>
          <t>pt.samusa@gmail.com</t>
        </is>
      </c>
      <c r="E107" t="inlineStr">
        <is>
          <t>https://lpjk.pu.go.id/search-badan-usaha-detail/dE55WVcrTVNyZTlObHFEQWFWUmZ3Zz09</t>
        </is>
      </c>
      <c r="F107" t="n">
        <v>1</v>
      </c>
      <c r="G107" t="inlineStr">
        <is>
          <t>BS009</t>
        </is>
      </c>
      <c r="H107" t="inlineStr">
        <is>
          <t>12 Juli 2022</t>
        </is>
      </c>
      <c r="I107" s="2" t="n">
        <v>46327</v>
      </c>
      <c r="J107" t="inlineStr">
        <is>
          <t>Disetujui</t>
        </is>
      </c>
      <c r="K107" t="n">
        <v>30</v>
      </c>
      <c r="L107" t="inlineStr">
        <is>
          <t>1 November 2026</t>
        </is>
      </c>
      <c r="M107" t="inlineStr">
        <is>
          <t>Konstruksi Sentral Telekomunikasi</t>
        </is>
      </c>
      <c r="N107" t="inlineStr">
        <is>
          <t>K</t>
        </is>
      </c>
      <c r="O107" t="inlineStr">
        <is>
          <t>20231031</t>
        </is>
      </c>
      <c r="P107" t="inlineStr">
        <is>
          <t>Jawa Timur</t>
        </is>
      </c>
      <c r="Q107" t="inlineStr"/>
    </row>
    <row r="108">
      <c r="A108" t="inlineStr">
        <is>
          <t>SAUDARA MITRA SEJATI</t>
        </is>
      </c>
      <c r="B108" t="inlineStr">
        <is>
          <t>Kota Tangerang Selatan</t>
        </is>
      </c>
      <c r="C108" t="inlineStr">
        <is>
          <t>087887300555</t>
        </is>
      </c>
      <c r="D108" t="inlineStr">
        <is>
          <t>anna-suhianto@hotmail.com</t>
        </is>
      </c>
      <c r="E108" t="inlineStr">
        <is>
          <t>https://lpjk.pu.go.id/search-badan-usaha-detail/Y0RRdURoTU1qRUx3QlY2M0NnQklTQT09</t>
        </is>
      </c>
      <c r="F108" t="n">
        <v>2</v>
      </c>
      <c r="G108" t="inlineStr">
        <is>
          <t>BG001, BG002</t>
        </is>
      </c>
      <c r="H108" t="inlineStr">
        <is>
          <t>23 Agustus 2005</t>
        </is>
      </c>
      <c r="I108" s="2" t="n">
        <v>46327</v>
      </c>
      <c r="J108" t="inlineStr">
        <is>
          <t>Disetujui</t>
        </is>
      </c>
      <c r="K108" t="n">
        <v>30</v>
      </c>
      <c r="L108" t="inlineStr">
        <is>
          <t>1 November 2026</t>
        </is>
      </c>
      <c r="M108" t="inlineStr">
        <is>
          <t>Konstruksi Gedung Hunian, Konstruksi Gedung Perkantoran</t>
        </is>
      </c>
      <c r="N108" t="inlineStr">
        <is>
          <t>K</t>
        </is>
      </c>
      <c r="O108" t="inlineStr">
        <is>
          <t>20230920, 20231007</t>
        </is>
      </c>
      <c r="P108" t="inlineStr">
        <is>
          <t>Banten</t>
        </is>
      </c>
      <c r="Q108" t="inlineStr"/>
    </row>
    <row r="109">
      <c r="A109" t="inlineStr">
        <is>
          <t>SEKAR KAHURIPAN</t>
        </is>
      </c>
      <c r="B109" t="inlineStr">
        <is>
          <t>Kota Mojokerto</t>
        </is>
      </c>
      <c r="C109" t="inlineStr">
        <is>
          <t>081230280226</t>
        </is>
      </c>
      <c r="D109" t="inlineStr">
        <is>
          <t>sekarkahuripan_cv@yahoo.com</t>
        </is>
      </c>
      <c r="E109" t="inlineStr">
        <is>
          <t>https://lpjk.pu.go.id/search-badan-usaha-detail/eGVZNXp5Z1RhM3FMUnIyRzdqRVJSZz09</t>
        </is>
      </c>
      <c r="F109" t="n">
        <v>2</v>
      </c>
      <c r="G109" t="inlineStr">
        <is>
          <t>BG001</t>
        </is>
      </c>
      <c r="H109" t="inlineStr">
        <is>
          <t>22 Juni 2012</t>
        </is>
      </c>
      <c r="I109" s="2" t="n">
        <v>46327</v>
      </c>
      <c r="J109" t="inlineStr">
        <is>
          <t>Disetujui</t>
        </is>
      </c>
      <c r="K109" t="n">
        <v>30</v>
      </c>
      <c r="L109" t="inlineStr">
        <is>
          <t>1 November 2026</t>
        </is>
      </c>
      <c r="M109" t="inlineStr">
        <is>
          <t>Konstruksi Gedung Hunian</t>
        </is>
      </c>
      <c r="N109" t="inlineStr">
        <is>
          <t>K</t>
        </is>
      </c>
      <c r="O109" t="inlineStr">
        <is>
          <t>20231028</t>
        </is>
      </c>
      <c r="P109" t="inlineStr">
        <is>
          <t>Jawa Timur</t>
        </is>
      </c>
      <c r="Q109" t="inlineStr"/>
    </row>
    <row r="110">
      <c r="A110" t="inlineStr">
        <is>
          <t>SEPULUH SUMBER ANUGERAH</t>
        </is>
      </c>
      <c r="B110" t="inlineStr">
        <is>
          <t>Kab. Serang</t>
        </is>
      </c>
      <c r="C110" t="inlineStr">
        <is>
          <t>(0254) 408947-49</t>
        </is>
      </c>
      <c r="D110" t="inlineStr">
        <is>
          <t>hrd@pt-ssa.co.id</t>
        </is>
      </c>
      <c r="E110" t="inlineStr">
        <is>
          <t>https://lpjk.pu.go.id/search-badan-usaha-detail/NTJTbjVzbTNUTERoQWg1WEdPOFZSQT09</t>
        </is>
      </c>
      <c r="F110" t="n">
        <v>1</v>
      </c>
      <c r="G110" t="inlineStr">
        <is>
          <t>KK008</t>
        </is>
      </c>
      <c r="H110" t="inlineStr">
        <is>
          <t>2 Februari 1996</t>
        </is>
      </c>
      <c r="I110" s="2" t="n">
        <v>46327</v>
      </c>
      <c r="J110" t="inlineStr">
        <is>
          <t>Disetujui</t>
        </is>
      </c>
      <c r="K110" t="n">
        <v>30</v>
      </c>
      <c r="L110" t="inlineStr">
        <is>
          <t>1 November 2026</t>
        </is>
      </c>
      <c r="M110" t="inlineStr">
        <is>
          <t>Perkerasan Aspal</t>
        </is>
      </c>
      <c r="N110" t="inlineStr">
        <is>
          <t>Spesialis</t>
        </is>
      </c>
      <c r="O110" t="inlineStr">
        <is>
          <t>20231027</t>
        </is>
      </c>
      <c r="P110" t="inlineStr">
        <is>
          <t>Banten</t>
        </is>
      </c>
      <c r="Q110" t="inlineStr"/>
    </row>
    <row r="111">
      <c r="A111" t="inlineStr">
        <is>
          <t>SHAFANA BERKARYA</t>
        </is>
      </c>
      <c r="B111" t="inlineStr">
        <is>
          <t>Kota Bandar Lampung</t>
        </is>
      </c>
      <c r="C111" t="inlineStr">
        <is>
          <t>082281346743</t>
        </is>
      </c>
      <c r="D111" t="inlineStr">
        <is>
          <t>shafana.berkarya@gmail.com</t>
        </is>
      </c>
      <c r="E111" t="inlineStr">
        <is>
          <t>https://lpjk.pu.go.id/search-badan-usaha-detail/a1Z5WndDbmJJdEZDZk1GaUh2K0t3QT09</t>
        </is>
      </c>
      <c r="F111" t="n">
        <v>2</v>
      </c>
      <c r="G111" t="inlineStr">
        <is>
          <t>BS001</t>
        </is>
      </c>
      <c r="H111" t="inlineStr">
        <is>
          <t>9 Januari 2020</t>
        </is>
      </c>
      <c r="I111" s="2" t="n">
        <v>46327</v>
      </c>
      <c r="J111" t="inlineStr">
        <is>
          <t>Disetujui</t>
        </is>
      </c>
      <c r="K111" t="n">
        <v>30</v>
      </c>
      <c r="L111" t="inlineStr">
        <is>
          <t>1 November 2026</t>
        </is>
      </c>
      <c r="M111" t="inlineStr">
        <is>
          <t>Konstruksi Bangunan Sipil Jalan</t>
        </is>
      </c>
      <c r="N111" t="inlineStr">
        <is>
          <t>K</t>
        </is>
      </c>
      <c r="O111" t="inlineStr">
        <is>
          <t>20231026</t>
        </is>
      </c>
      <c r="P111" t="inlineStr">
        <is>
          <t>Lampung</t>
        </is>
      </c>
      <c r="Q111" t="inlineStr"/>
    </row>
    <row r="112">
      <c r="A112" t="inlineStr">
        <is>
          <t>SIDOMUKTI JAYA PERKASA</t>
        </is>
      </c>
      <c r="B112" t="inlineStr">
        <is>
          <t>Kab. Kebumen</t>
        </is>
      </c>
      <c r="C112" t="inlineStr">
        <is>
          <t>087732533316</t>
        </is>
      </c>
      <c r="D112" t="inlineStr">
        <is>
          <t>cvsidomuktijayaperkasa@gmail.com</t>
        </is>
      </c>
      <c r="E112" t="inlineStr">
        <is>
          <t>https://lpjk.pu.go.id/search-badan-usaha-detail/cVQrQ0RWbEtSZ3I1SHgrRFkzb2N0UT09</t>
        </is>
      </c>
      <c r="F112" t="n">
        <v>2</v>
      </c>
      <c r="G112" t="inlineStr">
        <is>
          <t>BS004</t>
        </is>
      </c>
      <c r="H112" t="inlineStr">
        <is>
          <t>29 Maret 2019</t>
        </is>
      </c>
      <c r="I112" s="2" t="n">
        <v>46327</v>
      </c>
      <c r="J112" t="inlineStr">
        <is>
          <t>Disetujui</t>
        </is>
      </c>
      <c r="K112" t="n">
        <v>30</v>
      </c>
      <c r="L112" t="inlineStr">
        <is>
          <t>1 November 2026</t>
        </is>
      </c>
      <c r="M112" t="inlineStr">
        <is>
          <t>Konstruksi Jaringan Irigasi dan Drainase</t>
        </is>
      </c>
      <c r="N112" t="inlineStr">
        <is>
          <t>K</t>
        </is>
      </c>
      <c r="O112" t="inlineStr">
        <is>
          <t>20231026</t>
        </is>
      </c>
      <c r="P112" t="inlineStr">
        <is>
          <t>Jawa Tengah</t>
        </is>
      </c>
      <c r="Q112" t="inlineStr"/>
    </row>
    <row r="113">
      <c r="A113" t="inlineStr">
        <is>
          <t>SINAR MANDIRI SENTOSA</t>
        </is>
      </c>
      <c r="B113" t="inlineStr">
        <is>
          <t>Kab. Sidoarjo</t>
        </is>
      </c>
      <c r="C113" t="inlineStr">
        <is>
          <t>085730741063</t>
        </is>
      </c>
      <c r="D113" t="inlineStr">
        <is>
          <t>sinarmandirisentosa@gmail.com</t>
        </is>
      </c>
      <c r="E113" t="inlineStr">
        <is>
          <t>https://lpjk.pu.go.id/search-badan-usaha-detail/ajhzazkwbUFYU2Q4cnBZLzg5UGtWUT09</t>
        </is>
      </c>
      <c r="F113" t="n">
        <v>3</v>
      </c>
      <c r="G113" t="inlineStr">
        <is>
          <t>BG002, BS001, BS004</t>
        </is>
      </c>
      <c r="H113" t="inlineStr">
        <is>
          <t>29 Agustus 2009</t>
        </is>
      </c>
      <c r="I113" s="2" t="n">
        <v>46327</v>
      </c>
      <c r="J113" t="inlineStr">
        <is>
          <t>Disetujui, Pencabutan</t>
        </is>
      </c>
      <c r="K113" t="n">
        <v>30</v>
      </c>
      <c r="L113" t="inlineStr">
        <is>
          <t>1 November 2026</t>
        </is>
      </c>
      <c r="M113" t="inlineStr">
        <is>
          <t>Konstruksi Bangunan Sipil Jalan, Konstruksi Gedung Perkantoran, Konstruksi Jaringan Irigasi dan Drainase</t>
        </is>
      </c>
      <c r="N113" t="inlineStr">
        <is>
          <t>K</t>
        </is>
      </c>
      <c r="O113" t="inlineStr">
        <is>
          <t>20230815, 20231102</t>
        </is>
      </c>
      <c r="P113" t="inlineStr">
        <is>
          <t>Jawa Timur</t>
        </is>
      </c>
      <c r="Q113" t="inlineStr"/>
    </row>
    <row r="114">
      <c r="A114" t="inlineStr">
        <is>
          <t>SINAR SABAR</t>
        </is>
      </c>
      <c r="B114" t="inlineStr">
        <is>
          <t>Kab. Lamongan</t>
        </is>
      </c>
      <c r="C114" t="inlineStr">
        <is>
          <t>085807173731</t>
        </is>
      </c>
      <c r="D114" t="inlineStr">
        <is>
          <t>cv.sinarsabar@yahoo.com</t>
        </is>
      </c>
      <c r="E114" t="inlineStr">
        <is>
          <t>https://lpjk.pu.go.id/search-badan-usaha-detail/a1EzUElHM3BkdUFodjNFdnNJWE5Edz09</t>
        </is>
      </c>
      <c r="F114" t="n">
        <v>6</v>
      </c>
      <c r="G114" t="inlineStr">
        <is>
          <t>BG005, BG006, BS001, BS002, BS004, BS005</t>
        </is>
      </c>
      <c r="H114" t="inlineStr">
        <is>
          <t>4 September 2004</t>
        </is>
      </c>
      <c r="I114" s="2" t="n">
        <v>46327</v>
      </c>
      <c r="J114" t="inlineStr">
        <is>
          <t>Disetujui</t>
        </is>
      </c>
      <c r="K114" t="n">
        <v>30</v>
      </c>
      <c r="L114" t="inlineStr">
        <is>
          <t>1 November 2026</t>
        </is>
      </c>
      <c r="M114" t="inlineStr">
        <is>
          <t>Bangunan Sipil Jembatan, Jalan Layang, Fly Over, dan Underpass, Konstruksi Bangunan Sipil Jalan, Konstruksi Bangunan Sipil Pengolahan Air Bersih, Konstruksi Gedung Kesehatan, Konstruksi Gedung Pendidikan, Konstruksi Jaringan Irigasi dan Drainase</t>
        </is>
      </c>
      <c r="N114" t="inlineStr">
        <is>
          <t>K</t>
        </is>
      </c>
      <c r="O114" t="inlineStr">
        <is>
          <t>20231020, 20231102, 20231103</t>
        </is>
      </c>
      <c r="P114" t="inlineStr">
        <is>
          <t>Jawa Timur</t>
        </is>
      </c>
      <c r="Q114" t="inlineStr"/>
    </row>
    <row r="115">
      <c r="A115" t="inlineStr">
        <is>
          <t>SINAR UTAMA KONSULTAN</t>
        </is>
      </c>
      <c r="B115" t="inlineStr">
        <is>
          <t>Kab. Aceh Utara</t>
        </is>
      </c>
      <c r="C115" t="inlineStr">
        <is>
          <t>0882017237086</t>
        </is>
      </c>
      <c r="D115" t="inlineStr">
        <is>
          <t>sinarutamakonsultan@gmail.com</t>
        </is>
      </c>
      <c r="E115" t="inlineStr">
        <is>
          <t>https://lpjk.pu.go.id/search-badan-usaha-detail/eWJrcmVtbHEzRDN1Y1JQd2lMSDhDQT09</t>
        </is>
      </c>
      <c r="F115" t="n">
        <v>3</v>
      </c>
      <c r="G115" t="inlineStr">
        <is>
          <t>RK001, RK002, RK003</t>
        </is>
      </c>
      <c r="H115" t="inlineStr">
        <is>
          <t>15 September 2023</t>
        </is>
      </c>
      <c r="I115" s="2" t="n">
        <v>46327</v>
      </c>
      <c r="J115" t="inlineStr">
        <is>
          <t>Disetujui</t>
        </is>
      </c>
      <c r="K115" t="n">
        <v>30</v>
      </c>
      <c r="L115" t="inlineStr">
        <is>
          <t>1 November 2026</t>
        </is>
      </c>
      <c r="M115" t="inlineStr">
        <is>
          <t>Jasa Rekayasa Konstruksi Bangunan Gedung Hunian dan Non Hunian, Jasa Rekayasa Pekerjaan Teknik Sipil Sumber Daya Air, Jasa Rekayasa Pekerjaan Teknik Sipil Transportasi</t>
        </is>
      </c>
      <c r="N115" t="inlineStr">
        <is>
          <t>K</t>
        </is>
      </c>
      <c r="O115" t="inlineStr">
        <is>
          <t>20231020</t>
        </is>
      </c>
      <c r="P115" t="inlineStr">
        <is>
          <t>Aceh</t>
        </is>
      </c>
      <c r="Q115" t="inlineStr"/>
    </row>
    <row r="116">
      <c r="A116" t="inlineStr">
        <is>
          <t>TATA INTERINDO ABADI</t>
        </is>
      </c>
      <c r="B116" t="inlineStr">
        <is>
          <t>Kota Adm. Jakarta Barat</t>
        </is>
      </c>
      <c r="C116" t="inlineStr">
        <is>
          <t>08164829745</t>
        </is>
      </c>
      <c r="D116" t="inlineStr">
        <is>
          <t>tatainterindo@centrin.net.id</t>
        </is>
      </c>
      <c r="E116" t="inlineStr">
        <is>
          <t>https://lpjk.pu.go.id/search-badan-usaha-detail/bFdobXlRaGQ1MElaZWtqa0xoVmtHZz09</t>
        </is>
      </c>
      <c r="F116" t="n">
        <v>1</v>
      </c>
      <c r="G116" t="inlineStr">
        <is>
          <t>BG001</t>
        </is>
      </c>
      <c r="H116" t="inlineStr">
        <is>
          <t>22 Maret 2005</t>
        </is>
      </c>
      <c r="I116" s="2" t="n">
        <v>46327</v>
      </c>
      <c r="J116" t="inlineStr">
        <is>
          <t>Disetujui</t>
        </is>
      </c>
      <c r="K116" t="n">
        <v>30</v>
      </c>
      <c r="L116" t="inlineStr">
        <is>
          <t>1 November 2026</t>
        </is>
      </c>
      <c r="M116" t="inlineStr">
        <is>
          <t>Konstruksi Gedung Hunian</t>
        </is>
      </c>
      <c r="N116" t="inlineStr">
        <is>
          <t>K</t>
        </is>
      </c>
      <c r="O116" t="inlineStr">
        <is>
          <t>20231028</t>
        </is>
      </c>
      <c r="P116" t="inlineStr">
        <is>
          <t>DKI Jakarta</t>
        </is>
      </c>
      <c r="Q116" t="inlineStr"/>
    </row>
    <row r="117">
      <c r="A117" t="inlineStr">
        <is>
          <t>TIRTA ADINUGROHO</t>
        </is>
      </c>
      <c r="B117" t="inlineStr">
        <is>
          <t>Kota Malang</t>
        </is>
      </c>
      <c r="C117" t="inlineStr">
        <is>
          <t>081333108467</t>
        </is>
      </c>
      <c r="D117" t="inlineStr">
        <is>
          <t>tirtaadinugroho@gmail.com</t>
        </is>
      </c>
      <c r="E117" t="inlineStr">
        <is>
          <t>https://lpjk.pu.go.id/search-badan-usaha-detail/SGFpckNKWWZrbTVBaXdnck1vOGM5UT09</t>
        </is>
      </c>
      <c r="F117" t="n">
        <v>1</v>
      </c>
      <c r="G117" t="inlineStr">
        <is>
          <t>RK002</t>
        </is>
      </c>
      <c r="H117" t="inlineStr">
        <is>
          <t>7 Februari 2003</t>
        </is>
      </c>
      <c r="I117" s="2" t="n">
        <v>46327</v>
      </c>
      <c r="J117" t="inlineStr">
        <is>
          <t>Disetujui</t>
        </is>
      </c>
      <c r="K117" t="n">
        <v>30</v>
      </c>
      <c r="L117" t="inlineStr">
        <is>
          <t>1 November 2026</t>
        </is>
      </c>
      <c r="M117" t="inlineStr">
        <is>
          <t>Jasa Rekayasa Pekerjaan Teknik Sipil Sumber Daya Air</t>
        </is>
      </c>
      <c r="N117" t="inlineStr">
        <is>
          <t>K</t>
        </is>
      </c>
      <c r="O117" t="inlineStr">
        <is>
          <t>20231006</t>
        </is>
      </c>
      <c r="P117" t="inlineStr">
        <is>
          <t>Jawa Timur</t>
        </is>
      </c>
      <c r="Q117" t="inlineStr"/>
    </row>
    <row r="118">
      <c r="A118" t="inlineStr">
        <is>
          <t>TRI JAYA TEKNIK KARAWANG</t>
        </is>
      </c>
      <c r="B118" t="inlineStr">
        <is>
          <t>Kab. Karawang</t>
        </is>
      </c>
      <c r="C118" t="inlineStr">
        <is>
          <t>081314491358</t>
        </is>
      </c>
      <c r="D118" t="inlineStr">
        <is>
          <t>pt.tjtk@yahoo.com</t>
        </is>
      </c>
      <c r="E118" t="inlineStr">
        <is>
          <t>https://lpjk.pu.go.id/search-badan-usaha-detail/Lzk1QlFOanpmemNnRU50K3JVdWJHQT09</t>
        </is>
      </c>
      <c r="F118" t="n">
        <v>1</v>
      </c>
      <c r="G118" t="inlineStr">
        <is>
          <t>BS007</t>
        </is>
      </c>
      <c r="H118" t="inlineStr">
        <is>
          <t>23 Desember 2008</t>
        </is>
      </c>
      <c r="I118" s="2" t="n">
        <v>46327</v>
      </c>
      <c r="J118" t="inlineStr">
        <is>
          <t>Disetujui</t>
        </is>
      </c>
      <c r="K118" t="n">
        <v>30</v>
      </c>
      <c r="L118" t="inlineStr">
        <is>
          <t>1 November 2026</t>
        </is>
      </c>
      <c r="M118" t="inlineStr">
        <is>
          <t>Konstruksi Bangunan Sipil Elektrikal</t>
        </is>
      </c>
      <c r="N118" t="inlineStr">
        <is>
          <t>K</t>
        </is>
      </c>
      <c r="O118" t="inlineStr">
        <is>
          <t>20231004</t>
        </is>
      </c>
      <c r="P118" t="inlineStr">
        <is>
          <t>Jawa Barat</t>
        </is>
      </c>
      <c r="Q118" t="inlineStr"/>
    </row>
    <row r="119">
      <c r="A119" t="inlineStr">
        <is>
          <t>TRISMEVIC</t>
        </is>
      </c>
      <c r="B119" t="inlineStr">
        <is>
          <t>Kota Bandung</t>
        </is>
      </c>
      <c r="C119" t="inlineStr">
        <is>
          <t>085860796461</t>
        </is>
      </c>
      <c r="D119" t="inlineStr">
        <is>
          <t>pt.trismevic@gmail.com</t>
        </is>
      </c>
      <c r="E119" t="inlineStr">
        <is>
          <t>https://lpjk.pu.go.id/search-badan-usaha-detail/MkY4V2lFQUh3UXUwZmEvL1J2eE1YZz09</t>
        </is>
      </c>
      <c r="F119" t="n">
        <v>3</v>
      </c>
      <c r="G119" t="inlineStr">
        <is>
          <t>BG009, BS001, BS004</t>
        </is>
      </c>
      <c r="H119" t="inlineStr">
        <is>
          <t>29 Agustus 1987</t>
        </is>
      </c>
      <c r="I119" s="2" t="n">
        <v>46327</v>
      </c>
      <c r="J119" t="inlineStr">
        <is>
          <t>Disetujui</t>
        </is>
      </c>
      <c r="K119" t="n">
        <v>30</v>
      </c>
      <c r="L119" t="inlineStr">
        <is>
          <t>1 November 2026</t>
        </is>
      </c>
      <c r="M119" t="inlineStr">
        <is>
          <t>Konstruksi Bangunan Sipil Jalan, Konstruksi Gedung Lainnya, Konstruksi Jaringan Irigasi dan Drainase</t>
        </is>
      </c>
      <c r="N119" t="inlineStr">
        <is>
          <t>K</t>
        </is>
      </c>
      <c r="O119" t="inlineStr">
        <is>
          <t>20231030, 20231031</t>
        </is>
      </c>
      <c r="P119" t="inlineStr">
        <is>
          <t>Jawa Barat</t>
        </is>
      </c>
      <c r="Q119" t="inlineStr"/>
    </row>
    <row r="120">
      <c r="A120" t="inlineStr">
        <is>
          <t>TUJUH-TUJUH</t>
        </is>
      </c>
      <c r="B120" t="inlineStr">
        <is>
          <t>Kota Metro</t>
        </is>
      </c>
      <c r="C120" t="inlineStr">
        <is>
          <t>081278017591</t>
        </is>
      </c>
      <c r="D120" t="inlineStr">
        <is>
          <t>cvtujuhtujuh687@gmail.com</t>
        </is>
      </c>
      <c r="E120" t="inlineStr">
        <is>
          <t>https://lpjk.pu.go.id/search-badan-usaha-detail/Zi9RM2FNQkozVm9YLy9jd3NlZklvUT09</t>
        </is>
      </c>
      <c r="F120" t="n">
        <v>2</v>
      </c>
      <c r="G120" t="inlineStr">
        <is>
          <t>BG006, BS004</t>
        </is>
      </c>
      <c r="H120" t="inlineStr">
        <is>
          <t>14 Juli 2006</t>
        </is>
      </c>
      <c r="I120" s="2" t="n">
        <v>46327</v>
      </c>
      <c r="J120" t="inlineStr">
        <is>
          <t>Disetujui</t>
        </is>
      </c>
      <c r="K120" t="n">
        <v>30</v>
      </c>
      <c r="L120" t="inlineStr">
        <is>
          <t>1 November 2026</t>
        </is>
      </c>
      <c r="M120" t="inlineStr">
        <is>
          <t>Konstruksi Gedung Pendidikan, Konstruksi Jaringan Irigasi dan Drainase</t>
        </is>
      </c>
      <c r="N120" t="inlineStr">
        <is>
          <t>K</t>
        </is>
      </c>
      <c r="O120" t="inlineStr">
        <is>
          <t>20231101</t>
        </is>
      </c>
      <c r="P120" t="inlineStr">
        <is>
          <t>Lampung</t>
        </is>
      </c>
      <c r="Q120" t="inlineStr"/>
    </row>
    <row r="121">
      <c r="A121" t="inlineStr">
        <is>
          <t>WAHANA GRAND SUMATERA</t>
        </is>
      </c>
      <c r="B121" t="inlineStr">
        <is>
          <t>Kota Medan</t>
        </is>
      </c>
      <c r="C121" t="inlineStr">
        <is>
          <t>085261843561</t>
        </is>
      </c>
      <c r="D121" t="inlineStr">
        <is>
          <t>ptwahanagrandsumatera@gmail.com</t>
        </is>
      </c>
      <c r="E121" t="inlineStr">
        <is>
          <t>https://lpjk.pu.go.id/search-badan-usaha-detail/dHVLN2paYVM2Vk5LRVhSZktJL1VDQT09</t>
        </is>
      </c>
      <c r="F121" t="n">
        <v>3</v>
      </c>
      <c r="G121" t="inlineStr">
        <is>
          <t>BG001, BG002, BG003</t>
        </is>
      </c>
      <c r="H121" t="inlineStr">
        <is>
          <t>5 Januari 2023</t>
        </is>
      </c>
      <c r="I121" s="2" t="n">
        <v>46327</v>
      </c>
      <c r="J121" t="inlineStr">
        <is>
          <t>Disetujui</t>
        </is>
      </c>
      <c r="K121" t="n">
        <v>30</v>
      </c>
      <c r="L121" t="inlineStr">
        <is>
          <t>1 November 2026</t>
        </is>
      </c>
      <c r="M121" t="inlineStr">
        <is>
          <t>Konstruksi Gedung Hunian, Konstruksi Gedung Industri, Konstruksi Gedung Perkantoran</t>
        </is>
      </c>
      <c r="N121" t="inlineStr">
        <is>
          <t>K</t>
        </is>
      </c>
      <c r="O121" t="inlineStr">
        <is>
          <t>20231101, 20231103</t>
        </is>
      </c>
      <c r="P121" t="inlineStr">
        <is>
          <t>Sumatera Utara</t>
        </is>
      </c>
      <c r="Q121" t="inlineStr"/>
    </row>
    <row r="122">
      <c r="A122" t="inlineStr">
        <is>
          <t>WAHANA IDEA KARYA</t>
        </is>
      </c>
      <c r="B122" t="inlineStr">
        <is>
          <t>Kota Pekalongan</t>
        </is>
      </c>
      <c r="C122" t="inlineStr">
        <is>
          <t>085290066161</t>
        </is>
      </c>
      <c r="D122" t="inlineStr">
        <is>
          <t>wahanaidea.karya@gmail.com</t>
        </is>
      </c>
      <c r="E122" t="inlineStr">
        <is>
          <t>https://lpjk.pu.go.id/search-badan-usaha-detail/WmgvTkh6ZWFEVm5IQ0xGTVpsUFR1Zz09</t>
        </is>
      </c>
      <c r="F122" t="n">
        <v>3</v>
      </c>
      <c r="G122" t="inlineStr">
        <is>
          <t>RK001, RK002, RK003</t>
        </is>
      </c>
      <c r="H122" t="inlineStr">
        <is>
          <t>18 Oktober 2019</t>
        </is>
      </c>
      <c r="I122" s="2" t="n">
        <v>46327</v>
      </c>
      <c r="J122" t="inlineStr">
        <is>
          <t>Disetujui</t>
        </is>
      </c>
      <c r="K122" t="n">
        <v>30</v>
      </c>
      <c r="L122" t="inlineStr">
        <is>
          <t>1 November 2026</t>
        </is>
      </c>
      <c r="M122" t="inlineStr">
        <is>
          <t>Jasa Rekayasa Konstruksi Bangunan Gedung Hunian dan Non Hunian, Jasa Rekayasa Pekerjaan Teknik Sipil Sumber Daya Air, Jasa Rekayasa Pekerjaan Teknik Sipil Transportasi</t>
        </is>
      </c>
      <c r="N122" t="inlineStr">
        <is>
          <t>K</t>
        </is>
      </c>
      <c r="O122" t="inlineStr">
        <is>
          <t>20231025</t>
        </is>
      </c>
      <c r="P122" t="inlineStr">
        <is>
          <t>Jawa Tengah</t>
        </is>
      </c>
      <c r="Q122" t="inlineStr"/>
    </row>
    <row r="123">
      <c r="A123" t="inlineStr">
        <is>
          <t>WASKITA WISESA KARKASA</t>
        </is>
      </c>
      <c r="B123" t="inlineStr">
        <is>
          <t>Kab. Bondowoso</t>
        </is>
      </c>
      <c r="C123" t="inlineStr">
        <is>
          <t>082335558418</t>
        </is>
      </c>
      <c r="D123" t="inlineStr">
        <is>
          <t>waskitawisesa20@gmail.com</t>
        </is>
      </c>
      <c r="E123" t="inlineStr">
        <is>
          <t>https://lpjk.pu.go.id/search-badan-usaha-detail/TGV2OVFHVklkMnZRS2dSWFhqQjQ0UT09</t>
        </is>
      </c>
      <c r="F123" t="n">
        <v>2</v>
      </c>
      <c r="G123" t="inlineStr">
        <is>
          <t>BS001, BS004</t>
        </is>
      </c>
      <c r="H123" t="inlineStr">
        <is>
          <t>8 Januari 2016</t>
        </is>
      </c>
      <c r="I123" s="2" t="n">
        <v>46327</v>
      </c>
      <c r="J123" t="inlineStr">
        <is>
          <t>Pencabutan</t>
        </is>
      </c>
      <c r="K123" t="n">
        <v>30</v>
      </c>
      <c r="L123" t="inlineStr">
        <is>
          <t>1 November 2026</t>
        </is>
      </c>
      <c r="M123" t="inlineStr">
        <is>
          <t>Konstruksi Bangunan Sipil Jalan, Konstruksi Jaringan Irigasi dan Drainase</t>
        </is>
      </c>
      <c r="N123" t="inlineStr">
        <is>
          <t>K</t>
        </is>
      </c>
      <c r="O123" t="inlineStr">
        <is>
          <t>20231027, N/A</t>
        </is>
      </c>
      <c r="P123" t="inlineStr">
        <is>
          <t>Jawa Timur</t>
        </is>
      </c>
      <c r="Q123" t="inlineStr"/>
    </row>
    <row r="124">
      <c r="A124" t="inlineStr">
        <is>
          <t>WULAN</t>
        </is>
      </c>
      <c r="B124" t="inlineStr">
        <is>
          <t>Kab. Tanah Laut</t>
        </is>
      </c>
      <c r="C124" t="inlineStr">
        <is>
          <t>082240349988</t>
        </is>
      </c>
      <c r="D124" t="inlineStr">
        <is>
          <t>cv.wulan@ymail.com</t>
        </is>
      </c>
      <c r="E124" t="inlineStr">
        <is>
          <t>https://lpjk.pu.go.id/search-badan-usaha-detail/VmFTaGkxWDhTS3VwMGRqRXdOZ0FsZz09</t>
        </is>
      </c>
      <c r="F124" t="n">
        <v>1</v>
      </c>
      <c r="G124" t="inlineStr">
        <is>
          <t>BS004</t>
        </is>
      </c>
      <c r="H124" t="inlineStr">
        <is>
          <t>17 Januari 2001</t>
        </is>
      </c>
      <c r="I124" s="2" t="n">
        <v>46327</v>
      </c>
      <c r="J124" t="inlineStr">
        <is>
          <t>Disetujui</t>
        </is>
      </c>
      <c r="K124" t="n">
        <v>30</v>
      </c>
      <c r="L124" t="inlineStr">
        <is>
          <t>1 November 2026</t>
        </is>
      </c>
      <c r="M124" t="inlineStr">
        <is>
          <t>Konstruksi Jaringan Irigasi dan Drainase</t>
        </is>
      </c>
      <c r="N124" t="inlineStr">
        <is>
          <t>K</t>
        </is>
      </c>
      <c r="O124" t="inlineStr">
        <is>
          <t>20231026</t>
        </is>
      </c>
      <c r="P124" t="inlineStr">
        <is>
          <t>Kalimantan Selatan</t>
        </is>
      </c>
      <c r="Q1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2026-10-01T22:27:50Z</dcterms:created>
  <dcterms:modified xsi:type="dcterms:W3CDTF">2026-10-01T22:27:51Z</dcterms:modified>
</cp:coreProperties>
</file>