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6"/>
  <sheetViews>
    <sheetView workbookViewId="0">
      <selection activeCell="A1" sqref="A1"/>
    </sheetView>
  </sheetViews>
  <sheetFormatPr baseColWidth="8" defaultRowHeight="15"/>
  <cols>
    <col width="33" customWidth="1" min="1" max="1"/>
    <col width="27" customWidth="1" min="2" max="2"/>
    <col width="15" customWidth="1" min="3" max="3"/>
    <col width="42"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ARGAMANIK DUTA ANTARI</t>
        </is>
      </c>
      <c r="B2" t="inlineStr">
        <is>
          <t>Kota Adm. Jakarta Timur</t>
        </is>
      </c>
      <c r="C2" t="inlineStr">
        <is>
          <t>02122867155</t>
        </is>
      </c>
      <c r="D2" t="inlineStr">
        <is>
          <t>argamanik_dutaantari@yahoo.com</t>
        </is>
      </c>
      <c r="E2" t="inlineStr">
        <is>
          <t>https://lpjk.pu.go.id/search-badan-usaha-detail/emJ1MG5Nb21BbURXRHp4MFpYb1BYQT09</t>
        </is>
      </c>
      <c r="F2" t="n">
        <v>1</v>
      </c>
      <c r="G2" t="inlineStr">
        <is>
          <t>IN007</t>
        </is>
      </c>
      <c r="H2" t="inlineStr">
        <is>
          <t>1 Maret 2012</t>
        </is>
      </c>
      <c r="I2" s="2" t="n">
        <v>46297</v>
      </c>
      <c r="J2" t="inlineStr">
        <is>
          <t>Pembekuan</t>
        </is>
      </c>
      <c r="K2" t="n">
        <v>90</v>
      </c>
      <c r="L2" t="inlineStr">
        <is>
          <t>2 Oktober 2026</t>
        </is>
      </c>
      <c r="M2" t="inlineStr">
        <is>
          <t>Instalasi Saluran Air (Plambing)</t>
        </is>
      </c>
      <c r="N2" t="inlineStr">
        <is>
          <t>Spesialis</t>
        </is>
      </c>
      <c r="O2" t="inlineStr">
        <is>
          <t>20230801</t>
        </is>
      </c>
      <c r="P2" t="inlineStr">
        <is>
          <t>DKI Jakarta</t>
        </is>
      </c>
      <c r="Q2" t="inlineStr"/>
    </row>
    <row r="3">
      <c r="A3" t="inlineStr">
        <is>
          <t>BANGUN SUKSES BERKEMBANG</t>
        </is>
      </c>
      <c r="B3" t="inlineStr">
        <is>
          <t>Kab. Bekasi</t>
        </is>
      </c>
      <c r="C3" t="inlineStr">
        <is>
          <t>081386206879</t>
        </is>
      </c>
      <c r="D3" t="inlineStr">
        <is>
          <t>cvbangunsuksesberkembang@gmail.com</t>
        </is>
      </c>
      <c r="E3" t="inlineStr">
        <is>
          <t>https://lpjk.pu.go.id/search-badan-usaha-detail/VmF5QllQemJLK0pTSzhQNDB3cnJLZz09</t>
        </is>
      </c>
      <c r="F3" t="n">
        <v>2</v>
      </c>
      <c r="G3" t="inlineStr">
        <is>
          <t>BS001, BS004</t>
        </is>
      </c>
      <c r="H3" t="inlineStr">
        <is>
          <t>6 September 2023</t>
        </is>
      </c>
      <c r="I3" s="2" t="n">
        <v>46297</v>
      </c>
      <c r="J3" t="inlineStr">
        <is>
          <t>Disetujui</t>
        </is>
      </c>
      <c r="K3" t="n">
        <v>90</v>
      </c>
      <c r="L3" t="inlineStr">
        <is>
          <t>2 Oktober 2026</t>
        </is>
      </c>
      <c r="M3" t="inlineStr">
        <is>
          <t>Konstruksi Bangunan Sipil Jalan, Konstruksi Jaringan Irigasi dan Drainase</t>
        </is>
      </c>
      <c r="N3" t="inlineStr">
        <is>
          <t>K</t>
        </is>
      </c>
      <c r="O3" t="inlineStr">
        <is>
          <t>20230929</t>
        </is>
      </c>
      <c r="P3" t="inlineStr">
        <is>
          <t>Jawa Barat</t>
        </is>
      </c>
      <c r="Q3" s="3">
        <f>HYPERLINK("https://wa.me/6281386206879?text=Selamat siang Bapak/Ibu pimpinan BANGUN SUKSES BERKEMBANG,%0A%0ASemoga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CAHAYA FAJAR MITRANIAGA</t>
        </is>
      </c>
      <c r="B4" t="inlineStr">
        <is>
          <t>Kota Bogor</t>
        </is>
      </c>
      <c r="C4" t="inlineStr">
        <is>
          <t>02518625962</t>
        </is>
      </c>
      <c r="D4" t="inlineStr">
        <is>
          <t>cahayafajarmitraniaga@gmail.com</t>
        </is>
      </c>
      <c r="E4" t="inlineStr">
        <is>
          <t>https://lpjk.pu.go.id/search-badan-usaha-detail/M0o2MGRQcTRRVXpZdk5JOWVMaUkrUT09</t>
        </is>
      </c>
      <c r="F4" t="n">
        <v>2</v>
      </c>
      <c r="G4" t="inlineStr">
        <is>
          <t>BS004, BS005</t>
        </is>
      </c>
      <c r="H4" t="inlineStr">
        <is>
          <t>6 Maret 2023</t>
        </is>
      </c>
      <c r="I4" s="2" t="n">
        <v>46297</v>
      </c>
      <c r="J4" t="inlineStr">
        <is>
          <t>Disetujui</t>
        </is>
      </c>
      <c r="K4" t="n">
        <v>90</v>
      </c>
      <c r="L4" t="inlineStr">
        <is>
          <t>2 Oktober 2026</t>
        </is>
      </c>
      <c r="M4" t="inlineStr">
        <is>
          <t>Konstruksi Bangunan Sipil Pengolahan Air Bersih, Konstruksi Jaringan Irigasi dan Drainase</t>
        </is>
      </c>
      <c r="N4" t="inlineStr">
        <is>
          <t>K</t>
        </is>
      </c>
      <c r="O4" t="inlineStr">
        <is>
          <t>20230827, 20230909</t>
        </is>
      </c>
      <c r="P4" t="inlineStr">
        <is>
          <t>Jawa Barat</t>
        </is>
      </c>
      <c r="Q4" s="3">
        <f>HYPERLINK("https://wa.me/622518625962?text=Selamat siang Bapak/Ibu pimpinan CAHAYA FAJAR MITRANIAGA,%0A%0ASemoga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GELORA GEMILANG</t>
        </is>
      </c>
      <c r="B5" t="inlineStr">
        <is>
          <t>Kota Bekasi</t>
        </is>
      </c>
      <c r="C5" t="inlineStr">
        <is>
          <t>0218657222</t>
        </is>
      </c>
      <c r="D5" t="inlineStr">
        <is>
          <t>gelora.finance@gmail.com</t>
        </is>
      </c>
      <c r="E5" t="inlineStr">
        <is>
          <t>https://lpjk.pu.go.id/search-badan-usaha-detail/WkhtQlpkblhjN2dab3ZuZ0VNMjdodz09</t>
        </is>
      </c>
      <c r="F5" t="n">
        <v>2</v>
      </c>
      <c r="G5" t="inlineStr">
        <is>
          <t>BG003, BG009</t>
        </is>
      </c>
      <c r="H5" t="inlineStr">
        <is>
          <t>28 Januari 2004</t>
        </is>
      </c>
      <c r="I5" s="2" t="n">
        <v>46297</v>
      </c>
      <c r="J5" t="inlineStr">
        <is>
          <t>Disetujui</t>
        </is>
      </c>
      <c r="K5" t="n">
        <v>90</v>
      </c>
      <c r="L5" t="inlineStr">
        <is>
          <t>2 Oktober 2026</t>
        </is>
      </c>
      <c r="M5" t="inlineStr">
        <is>
          <t>Konstruksi Gedung Industri, Konstruksi Gedung Lainnya</t>
        </is>
      </c>
      <c r="N5" t="inlineStr">
        <is>
          <t>K</t>
        </is>
      </c>
      <c r="O5" t="inlineStr">
        <is>
          <t>20230914</t>
        </is>
      </c>
      <c r="P5" t="inlineStr">
        <is>
          <t>Jawa Barat</t>
        </is>
      </c>
      <c r="Q5" t="inlineStr"/>
    </row>
    <row r="6">
      <c r="A6" t="inlineStr">
        <is>
          <t>HASEA BENEDICT</t>
        </is>
      </c>
      <c r="B6" t="inlineStr">
        <is>
          <t>Kota Bekasi</t>
        </is>
      </c>
      <c r="C6" t="inlineStr">
        <is>
          <t>081314592913</t>
        </is>
      </c>
      <c r="D6" t="inlineStr">
        <is>
          <t>haseabenedict@gmail.com</t>
        </is>
      </c>
      <c r="E6" t="inlineStr">
        <is>
          <t>https://lpjk.pu.go.id/search-badan-usaha-detail/SlZwSXhFb3h3QnVRVVJVRWp5emxiQT09</t>
        </is>
      </c>
      <c r="F6" t="n">
        <v>1</v>
      </c>
      <c r="G6" t="inlineStr">
        <is>
          <t>BG009</t>
        </is>
      </c>
      <c r="H6" t="inlineStr">
        <is>
          <t>5 September 2022</t>
        </is>
      </c>
      <c r="I6" s="2" t="n">
        <v>46297</v>
      </c>
      <c r="J6" t="inlineStr">
        <is>
          <t>Disetujui</t>
        </is>
      </c>
      <c r="K6" t="n">
        <v>90</v>
      </c>
      <c r="L6" t="inlineStr">
        <is>
          <t>2 Oktober 2026</t>
        </is>
      </c>
      <c r="M6" t="inlineStr">
        <is>
          <t>Konstruksi Gedung Lainnya</t>
        </is>
      </c>
      <c r="N6" t="inlineStr">
        <is>
          <t>K</t>
        </is>
      </c>
      <c r="O6" t="inlineStr">
        <is>
          <t>20230607</t>
        </is>
      </c>
      <c r="P6" t="inlineStr">
        <is>
          <t>Jawa Barat</t>
        </is>
      </c>
      <c r="Q6" s="3">
        <f>HYPERLINK("https://wa.me/6281314592913?text=Selamat siang Bapak/Ibu pimpinan HASEA BENEDICT,%0A%0ASemoga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KINARYA MAESTRO NUSANTARA</t>
        </is>
      </c>
      <c r="B7" t="inlineStr">
        <is>
          <t>Kota Depok</t>
        </is>
      </c>
      <c r="C7" t="inlineStr">
        <is>
          <t>087878000786</t>
        </is>
      </c>
      <c r="D7" t="inlineStr">
        <is>
          <t>kinaryamaestronusantara@gmail.com</t>
        </is>
      </c>
      <c r="E7" t="inlineStr">
        <is>
          <t>https://lpjk.pu.go.id/search-badan-usaha-detail/aHF0cWQxUEJmZnJ5dFZ5NUJGaTFkZz09</t>
        </is>
      </c>
      <c r="F7" t="n">
        <v>4</v>
      </c>
      <c r="G7" t="inlineStr">
        <is>
          <t>BG004, BG009</t>
        </is>
      </c>
      <c r="H7" t="inlineStr">
        <is>
          <t>29 Agustus 2023</t>
        </is>
      </c>
      <c r="I7" s="2" t="n">
        <v>46297</v>
      </c>
      <c r="J7" t="inlineStr">
        <is>
          <t>Disetujui</t>
        </is>
      </c>
      <c r="K7" t="n">
        <v>90</v>
      </c>
      <c r="L7" t="inlineStr">
        <is>
          <t>2 Oktober 2026</t>
        </is>
      </c>
      <c r="M7" t="inlineStr">
        <is>
          <t>Konstruksi Gedung Lainnya, Konstruksi Gedung Perbelanjaan</t>
        </is>
      </c>
      <c r="N7" t="inlineStr">
        <is>
          <t>M</t>
        </is>
      </c>
      <c r="O7" t="inlineStr">
        <is>
          <t>20230930</t>
        </is>
      </c>
      <c r="P7" t="inlineStr">
        <is>
          <t>Jawa Barat</t>
        </is>
      </c>
      <c r="Q7" s="3">
        <f>HYPERLINK("https://wa.me/6287878000786?text=Selamat siang Bapak/Ibu pimpinan KINARYA MAESTRO NUSANTARA,%0A%0ASemoga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LAUTAN ANUGERAH ABADI</t>
        </is>
      </c>
      <c r="B8" t="inlineStr">
        <is>
          <t>Kota Bekasi</t>
        </is>
      </c>
      <c r="C8" t="inlineStr">
        <is>
          <t>021-22437352</t>
        </is>
      </c>
      <c r="D8" t="inlineStr">
        <is>
          <t>labadi.underwater@yahoo.com</t>
        </is>
      </c>
      <c r="E8" t="inlineStr">
        <is>
          <t>https://lpjk.pu.go.id/search-badan-usaha-detail/Q0NjZlpzKzdYQUpZVExoUTBNVTRYQT09</t>
        </is>
      </c>
      <c r="F8" t="n">
        <v>2</v>
      </c>
      <c r="G8" t="inlineStr">
        <is>
          <t>BS001</t>
        </is>
      </c>
      <c r="H8" t="inlineStr">
        <is>
          <t>14 Maret 2012</t>
        </is>
      </c>
      <c r="I8" s="2" t="n">
        <v>46297</v>
      </c>
      <c r="J8" t="inlineStr">
        <is>
          <t>Disetujui</t>
        </is>
      </c>
      <c r="K8" t="n">
        <v>90</v>
      </c>
      <c r="L8" t="inlineStr">
        <is>
          <t>2 Oktober 2026</t>
        </is>
      </c>
      <c r="M8" t="inlineStr">
        <is>
          <t>Konstruksi Bangunan Sipil Jalan</t>
        </is>
      </c>
      <c r="N8" t="inlineStr">
        <is>
          <t>K</t>
        </is>
      </c>
      <c r="O8" t="inlineStr">
        <is>
          <t>20230927</t>
        </is>
      </c>
      <c r="P8" t="inlineStr">
        <is>
          <t>Jawa Barat</t>
        </is>
      </c>
      <c r="Q8" t="inlineStr"/>
    </row>
    <row r="9">
      <c r="A9" t="inlineStr">
        <is>
          <t>REKAKOVA</t>
        </is>
      </c>
      <c r="B9" t="inlineStr">
        <is>
          <t>Kab. Bogor</t>
        </is>
      </c>
      <c r="C9" t="inlineStr">
        <is>
          <t>082124825653</t>
        </is>
      </c>
      <c r="D9" t="inlineStr">
        <is>
          <t>cvrekakova@gmail.com</t>
        </is>
      </c>
      <c r="E9" t="inlineStr">
        <is>
          <t>https://lpjk.pu.go.id/search-badan-usaha-detail/eDdhVTVTQWdCclNucFRkMm0wZ0EvQT09</t>
        </is>
      </c>
      <c r="F9" t="n">
        <v>2</v>
      </c>
      <c r="G9" t="inlineStr">
        <is>
          <t>BS005</t>
        </is>
      </c>
      <c r="H9" t="inlineStr">
        <is>
          <t>23 April 2016</t>
        </is>
      </c>
      <c r="I9" s="2" t="n">
        <v>46297</v>
      </c>
      <c r="J9" t="inlineStr">
        <is>
          <t>Disetujui</t>
        </is>
      </c>
      <c r="K9" t="n">
        <v>90</v>
      </c>
      <c r="L9" t="inlineStr">
        <is>
          <t>2 Oktober 2026</t>
        </is>
      </c>
      <c r="M9" t="inlineStr">
        <is>
          <t>Konstruksi Bangunan Sipil Pengolahan Air Bersih</t>
        </is>
      </c>
      <c r="N9" t="inlineStr">
        <is>
          <t>K</t>
        </is>
      </c>
      <c r="O9" t="inlineStr">
        <is>
          <t>20231002</t>
        </is>
      </c>
      <c r="P9" t="inlineStr">
        <is>
          <t>Jawa Barat</t>
        </is>
      </c>
      <c r="Q9" s="3">
        <f>HYPERLINK("https://wa.me/6282124825653?text=Selamat siang Bapak/Ibu pimpinan REKAKOVA,%0A%0ASemoga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SAMUEL HARTANTA JAYA</t>
        </is>
      </c>
      <c r="B10" t="inlineStr">
        <is>
          <t>Kota Adm. Jakarta Timur</t>
        </is>
      </c>
      <c r="C10" t="inlineStr">
        <is>
          <t>081219073150</t>
        </is>
      </c>
      <c r="D10" t="inlineStr">
        <is>
          <t>pt.samuelhartanta766@gmail.com</t>
        </is>
      </c>
      <c r="E10" t="inlineStr">
        <is>
          <t>https://lpjk.pu.go.id/search-badan-usaha-detail/RzQrMjZrZzFRblRTbzU0S2FSL0g0UT09</t>
        </is>
      </c>
      <c r="F10" t="n">
        <v>1</v>
      </c>
      <c r="G10" t="inlineStr">
        <is>
          <t>BS010</t>
        </is>
      </c>
      <c r="H10" t="inlineStr">
        <is>
          <t>9 Maret 2023</t>
        </is>
      </c>
      <c r="I10" s="2" t="n">
        <v>46297</v>
      </c>
      <c r="J10" t="inlineStr">
        <is>
          <t>Disetujui</t>
        </is>
      </c>
      <c r="K10" t="n">
        <v>90</v>
      </c>
      <c r="L10" t="inlineStr">
        <is>
          <t>2 Oktober 2026</t>
        </is>
      </c>
      <c r="M10" t="inlineStr">
        <is>
          <t>Konstruksi Bangunan Prasarana Sumber Daya Air</t>
        </is>
      </c>
      <c r="N10" t="inlineStr">
        <is>
          <t>K</t>
        </is>
      </c>
      <c r="O10" t="inlineStr">
        <is>
          <t>20231001</t>
        </is>
      </c>
      <c r="P10" t="inlineStr">
        <is>
          <t>DKI Jakarta</t>
        </is>
      </c>
      <c r="Q10" s="3">
        <f>HYPERLINK("https://wa.me/6281219073150?text=Selamat siang Bapak/Ibu pimpinan SAMUEL HARTANTA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TAPAK BIMO ROSO</t>
        </is>
      </c>
      <c r="B11" t="inlineStr">
        <is>
          <t>Kota Bekasi</t>
        </is>
      </c>
      <c r="C11" t="inlineStr">
        <is>
          <t>02189453368</t>
        </is>
      </c>
      <c r="D11" t="inlineStr">
        <is>
          <t>tapakbimoroso@gmail.com</t>
        </is>
      </c>
      <c r="E11" t="inlineStr">
        <is>
          <t>https://lpjk.pu.go.id/search-badan-usaha-detail/MU04cnZncW1yZiswVnYzWEJTVUpkdz09</t>
        </is>
      </c>
      <c r="F11" t="n">
        <v>1</v>
      </c>
      <c r="G11" t="inlineStr">
        <is>
          <t>IN001</t>
        </is>
      </c>
      <c r="H11" t="inlineStr">
        <is>
          <t>11 Juni 2015</t>
        </is>
      </c>
      <c r="I11" s="2" t="n">
        <v>46297</v>
      </c>
      <c r="J11" t="inlineStr">
        <is>
          <t>Disetujui</t>
        </is>
      </c>
      <c r="K11" t="n">
        <v>90</v>
      </c>
      <c r="L11" t="inlineStr">
        <is>
          <t>2 Oktober 2026</t>
        </is>
      </c>
      <c r="M11" t="inlineStr">
        <is>
          <t>Instalasi Mekanikal</t>
        </is>
      </c>
      <c r="N11" t="inlineStr">
        <is>
          <t>Spesialis</t>
        </is>
      </c>
      <c r="O11" t="inlineStr">
        <is>
          <t>20230929</t>
        </is>
      </c>
      <c r="P11" t="inlineStr">
        <is>
          <t>Jawa Barat</t>
        </is>
      </c>
      <c r="Q11" t="inlineStr"/>
    </row>
    <row r="12">
      <c r="A12" t="inlineStr">
        <is>
          <t>TIRTAKREASI MANDIRI SEJAHTERA</t>
        </is>
      </c>
      <c r="B12" t="inlineStr">
        <is>
          <t>Kab. Bogor</t>
        </is>
      </c>
      <c r="C12" t="inlineStr">
        <is>
          <t>082113797765</t>
        </is>
      </c>
      <c r="D12" t="inlineStr">
        <is>
          <t>pttirtakreasimandirisejahtera@gmail.com</t>
        </is>
      </c>
      <c r="E12" t="inlineStr">
        <is>
          <t>https://lpjk.pu.go.id/search-badan-usaha-detail/Y2VHcmY3aCsyUC90T0ZxN0UrNHFLUT09</t>
        </is>
      </c>
      <c r="F12" t="n">
        <v>2</v>
      </c>
      <c r="G12" t="inlineStr">
        <is>
          <t>BG009</t>
        </is>
      </c>
      <c r="H12" t="inlineStr">
        <is>
          <t>27 September 2023</t>
        </is>
      </c>
      <c r="I12" s="2" t="n">
        <v>46297</v>
      </c>
      <c r="J12" t="inlineStr">
        <is>
          <t>Disetujui</t>
        </is>
      </c>
      <c r="K12" t="n">
        <v>90</v>
      </c>
      <c r="L12" t="inlineStr">
        <is>
          <t>2 Oktober 2026</t>
        </is>
      </c>
      <c r="M12" t="inlineStr">
        <is>
          <t>Konstruksi Gedung Lainnya</t>
        </is>
      </c>
      <c r="N12" t="inlineStr">
        <is>
          <t>K</t>
        </is>
      </c>
      <c r="O12" t="inlineStr">
        <is>
          <t>20230930</t>
        </is>
      </c>
      <c r="P12" t="inlineStr">
        <is>
          <t>Jawa Barat</t>
        </is>
      </c>
      <c r="Q12" s="3">
        <f>HYPERLINK("https://wa.me/6282113797765?text=Selamat siang Bapak/Ibu pimpinan TIRTAKREASI MANDIRI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WULAN AKBAR KONSTRUKSI</t>
        </is>
      </c>
      <c r="B13" t="inlineStr">
        <is>
          <t>Kota Depok</t>
        </is>
      </c>
      <c r="C13" t="inlineStr">
        <is>
          <t>081315685855</t>
        </is>
      </c>
      <c r="D13" t="inlineStr">
        <is>
          <t>wulanakbarkonstruksi@gmail.com</t>
        </is>
      </c>
      <c r="E13" t="inlineStr">
        <is>
          <t>https://lpjk.pu.go.id/search-badan-usaha-detail/WWRSTFBidGFYT090eGdzNmhmMEp3UT09</t>
        </is>
      </c>
      <c r="F13" t="n">
        <v>1</v>
      </c>
      <c r="G13" t="inlineStr">
        <is>
          <t>BG001</t>
        </is>
      </c>
      <c r="H13" t="inlineStr">
        <is>
          <t>18 Juni 2021</t>
        </is>
      </c>
      <c r="I13" s="2" t="n">
        <v>46297</v>
      </c>
      <c r="J13" t="inlineStr">
        <is>
          <t>Disetujui</t>
        </is>
      </c>
      <c r="K13" t="n">
        <v>90</v>
      </c>
      <c r="L13" t="inlineStr">
        <is>
          <t>2 Oktober 2026</t>
        </is>
      </c>
      <c r="M13" t="inlineStr">
        <is>
          <t>Konstruksi Gedung Hunian</t>
        </is>
      </c>
      <c r="N13" t="inlineStr">
        <is>
          <t>K</t>
        </is>
      </c>
      <c r="O13" t="inlineStr">
        <is>
          <t>20231003</t>
        </is>
      </c>
      <c r="P13" t="inlineStr">
        <is>
          <t>Jawa Barat</t>
        </is>
      </c>
      <c r="Q13" s="3">
        <f>HYPERLINK("https://wa.me/6281315685855?text=Selamat siang Bapak/Ibu pimpinan WULAN AKBAR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ABDI KARYA</t>
        </is>
      </c>
      <c r="B14" t="inlineStr">
        <is>
          <t>Kab. Dairi</t>
        </is>
      </c>
      <c r="C14" t="inlineStr">
        <is>
          <t>082274867628</t>
        </is>
      </c>
      <c r="D14" t="inlineStr">
        <is>
          <t>abdi.sihombing@yahoo.com</t>
        </is>
      </c>
      <c r="E14" t="inlineStr">
        <is>
          <t>https://lpjk.pu.go.id/search-badan-usaha-detail/TzBxaldPcWFHazcrZzQyNlN1eHdrUT09</t>
        </is>
      </c>
      <c r="F14" t="n">
        <v>1</v>
      </c>
      <c r="G14" t="inlineStr">
        <is>
          <t>BS004</t>
        </is>
      </c>
      <c r="H14" t="inlineStr">
        <is>
          <t>17 Januari 2020</t>
        </is>
      </c>
      <c r="I14" s="2" t="n">
        <v>46297</v>
      </c>
      <c r="J14" t="inlineStr">
        <is>
          <t>Disetujui</t>
        </is>
      </c>
      <c r="K14" t="n">
        <v>90</v>
      </c>
      <c r="L14" t="inlineStr">
        <is>
          <t>2 Oktober 2026</t>
        </is>
      </c>
      <c r="M14" t="inlineStr">
        <is>
          <t>Konstruksi Jaringan Irigasi dan Drainase</t>
        </is>
      </c>
      <c r="N14" t="inlineStr">
        <is>
          <t>K</t>
        </is>
      </c>
      <c r="O14" t="inlineStr">
        <is>
          <t>20230928</t>
        </is>
      </c>
      <c r="P14" t="inlineStr">
        <is>
          <t>Sumatera Utara</t>
        </is>
      </c>
      <c r="Q14" t="inlineStr"/>
    </row>
    <row r="15">
      <c r="A15" t="inlineStr">
        <is>
          <t>ADE MITRA PRIMAH JAYA</t>
        </is>
      </c>
      <c r="B15" t="inlineStr">
        <is>
          <t>Kab. Pelalawan</t>
        </is>
      </c>
      <c r="C15" t="inlineStr">
        <is>
          <t>081363858101</t>
        </is>
      </c>
      <c r="D15" t="inlineStr">
        <is>
          <t>ptademitraprimahjaya@gmail.com</t>
        </is>
      </c>
      <c r="E15" t="inlineStr">
        <is>
          <t>https://lpjk.pu.go.id/search-badan-usaha-detail/YU9jVDRGaTR2eHFtcHZvdm9QTlU1Zz09</t>
        </is>
      </c>
      <c r="F15" t="n">
        <v>1</v>
      </c>
      <c r="G15" t="inlineStr">
        <is>
          <t>PL001</t>
        </is>
      </c>
      <c r="H15" t="inlineStr">
        <is>
          <t>9 Agustus 2021</t>
        </is>
      </c>
      <c r="I15" s="2" t="n">
        <v>46297</v>
      </c>
      <c r="J15" t="inlineStr">
        <is>
          <t>Pencabutan</t>
        </is>
      </c>
      <c r="K15" t="n">
        <v>90</v>
      </c>
      <c r="L15" t="inlineStr">
        <is>
          <t>2 Oktober 2026</t>
        </is>
      </c>
      <c r="M15" t="inlineStr">
        <is>
          <t>Pembongkaran Bangunan</t>
        </is>
      </c>
      <c r="N15" t="inlineStr">
        <is>
          <t>Spesialis</t>
        </is>
      </c>
      <c r="O15" t="inlineStr">
        <is>
          <t>20230921</t>
        </is>
      </c>
      <c r="P15" t="inlineStr">
        <is>
          <t>Riau</t>
        </is>
      </c>
      <c r="Q15" t="inlineStr"/>
    </row>
    <row r="16">
      <c r="A16" t="inlineStr">
        <is>
          <t>ADIDAYA PRATAMA JOMANTARA</t>
        </is>
      </c>
      <c r="B16" t="inlineStr">
        <is>
          <t>Kab. Purwakarta</t>
        </is>
      </c>
      <c r="C16" t="inlineStr">
        <is>
          <t>081289158754</t>
        </is>
      </c>
      <c r="D16" t="inlineStr">
        <is>
          <t>pt.adidayapratamajomantara@gmail.com</t>
        </is>
      </c>
      <c r="E16" t="inlineStr">
        <is>
          <t>https://lpjk.pu.go.id/search-badan-usaha-detail/Yk9sbm44UnhNaUlOQjBmMnprQTBzcytxYTVDbGRWNmlrWHloVUFCdnEvND0</t>
        </is>
      </c>
      <c r="F16" t="n">
        <v>1</v>
      </c>
      <c r="G16" t="inlineStr">
        <is>
          <t>BG009</t>
        </is>
      </c>
      <c r="H16" t="inlineStr">
        <is>
          <t>21 April 2025</t>
        </is>
      </c>
      <c r="I16" s="2" t="n">
        <v>46297</v>
      </c>
      <c r="J16" t="inlineStr">
        <is>
          <t>Disetujui</t>
        </is>
      </c>
      <c r="K16" t="n">
        <v>90</v>
      </c>
      <c r="L16" t="inlineStr">
        <is>
          <t>2 Oktober 2026</t>
        </is>
      </c>
      <c r="M16" t="inlineStr">
        <is>
          <t>Konstruksi Gedung Lainnya</t>
        </is>
      </c>
      <c r="N16" t="inlineStr">
        <is>
          <t>K</t>
        </is>
      </c>
      <c r="O16" t="inlineStr">
        <is>
          <t>20230925</t>
        </is>
      </c>
      <c r="P16" t="inlineStr">
        <is>
          <t>Jawa Barat</t>
        </is>
      </c>
      <c r="Q16" t="inlineStr"/>
    </row>
    <row r="17">
      <c r="A17" t="inlineStr">
        <is>
          <t>ADY JAYA MUKTI</t>
        </is>
      </c>
      <c r="B17" t="inlineStr">
        <is>
          <t>Kab. Tasikmalaya</t>
        </is>
      </c>
      <c r="C17" t="inlineStr">
        <is>
          <t>082115272392</t>
        </is>
      </c>
      <c r="D17" t="inlineStr">
        <is>
          <t>adyjayamukti2021@gmail.com</t>
        </is>
      </c>
      <c r="E17" t="inlineStr">
        <is>
          <t>https://lpjk.pu.go.id/search-badan-usaha-detail/c2tDU3pXSndvQ1hpdXF1RUpnOHZNUT09</t>
        </is>
      </c>
      <c r="F17" t="n">
        <v>1</v>
      </c>
      <c r="G17" t="inlineStr">
        <is>
          <t>BG006</t>
        </is>
      </c>
      <c r="H17" t="inlineStr">
        <is>
          <t>2 Maret 2009</t>
        </is>
      </c>
      <c r="I17" s="2" t="n">
        <v>46297</v>
      </c>
      <c r="J17" t="inlineStr">
        <is>
          <t>Disetujui</t>
        </is>
      </c>
      <c r="K17" t="n">
        <v>90</v>
      </c>
      <c r="L17" t="inlineStr">
        <is>
          <t>2 Oktober 2026</t>
        </is>
      </c>
      <c r="M17" t="inlineStr">
        <is>
          <t>Konstruksi Gedung Pendidikan</t>
        </is>
      </c>
      <c r="N17" t="inlineStr">
        <is>
          <t>K</t>
        </is>
      </c>
      <c r="O17" t="inlineStr">
        <is>
          <t>20231002</t>
        </is>
      </c>
      <c r="P17" t="inlineStr">
        <is>
          <t>Jawa Barat</t>
        </is>
      </c>
      <c r="Q17" t="inlineStr"/>
    </row>
    <row r="18">
      <c r="A18" t="inlineStr">
        <is>
          <t>ADYA JAYA ABADI</t>
        </is>
      </c>
      <c r="B18" t="inlineStr">
        <is>
          <t>Kab. Merauke</t>
        </is>
      </c>
      <c r="C18" t="inlineStr">
        <is>
          <t>081313365940</t>
        </is>
      </c>
      <c r="D18" t="inlineStr">
        <is>
          <t>adyajayaabadi@gmail.com</t>
        </is>
      </c>
      <c r="E18" t="inlineStr">
        <is>
          <t>https://lpjk.pu.go.id/search-badan-usaha-detail/aFlOZjZ0NkVEUk5QNEUzRjZYT2hMZz09</t>
        </is>
      </c>
      <c r="F18" t="n">
        <v>1</v>
      </c>
      <c r="G18" t="inlineStr">
        <is>
          <t>BS004</t>
        </is>
      </c>
      <c r="H18" t="inlineStr">
        <is>
          <t>1 Oktober 2022</t>
        </is>
      </c>
      <c r="I18" s="2" t="n">
        <v>46297</v>
      </c>
      <c r="J18" t="inlineStr">
        <is>
          <t>Disetujui</t>
        </is>
      </c>
      <c r="K18" t="n">
        <v>90</v>
      </c>
      <c r="L18" t="inlineStr">
        <is>
          <t>2 Oktober 2026</t>
        </is>
      </c>
      <c r="M18" t="inlineStr">
        <is>
          <t>Konstruksi Jaringan Irigasi dan Drainase</t>
        </is>
      </c>
      <c r="N18" t="inlineStr">
        <is>
          <t>K</t>
        </is>
      </c>
      <c r="O18" t="inlineStr">
        <is>
          <t>20230901</t>
        </is>
      </c>
      <c r="P18" t="inlineStr">
        <is>
          <t>Papua Selatan</t>
        </is>
      </c>
      <c r="Q18" t="inlineStr"/>
    </row>
    <row r="19">
      <c r="A19" t="inlineStr">
        <is>
          <t>AKASIA LIGAR MANDIRI</t>
        </is>
      </c>
      <c r="B19" t="inlineStr">
        <is>
          <t>Kab. Tasikmalaya</t>
        </is>
      </c>
      <c r="C19" t="inlineStr">
        <is>
          <t>081321650650</t>
        </is>
      </c>
      <c r="D19" t="inlineStr">
        <is>
          <t>cvakasialigarmandiri@gmail.com</t>
        </is>
      </c>
      <c r="E19" t="inlineStr">
        <is>
          <t>https://lpjk.pu.go.id/search-badan-usaha-detail/S281aVh0aTlVYWhacjdNSVhINGxlQT09</t>
        </is>
      </c>
      <c r="F19" t="n">
        <v>2</v>
      </c>
      <c r="G19" t="inlineStr">
        <is>
          <t>BS004</t>
        </is>
      </c>
      <c r="H19" t="inlineStr">
        <is>
          <t>24 Juli 2023</t>
        </is>
      </c>
      <c r="I19" s="2" t="n">
        <v>46297</v>
      </c>
      <c r="J19" t="inlineStr">
        <is>
          <t>Disetujui</t>
        </is>
      </c>
      <c r="K19" t="n">
        <v>90</v>
      </c>
      <c r="L19" t="inlineStr">
        <is>
          <t>2 Oktober 2026</t>
        </is>
      </c>
      <c r="M19" t="inlineStr">
        <is>
          <t>Konstruksi Jaringan Irigasi dan Drainase</t>
        </is>
      </c>
      <c r="N19" t="inlineStr">
        <is>
          <t>K</t>
        </is>
      </c>
      <c r="O19" t="inlineStr">
        <is>
          <t>20230913</t>
        </is>
      </c>
      <c r="P19" t="inlineStr">
        <is>
          <t>Jawa Barat</t>
        </is>
      </c>
      <c r="Q19" t="inlineStr"/>
    </row>
    <row r="20">
      <c r="A20" t="inlineStr">
        <is>
          <t>AKBAR MAULANA ABADI</t>
        </is>
      </c>
      <c r="B20" t="inlineStr">
        <is>
          <t>Kota Surabaya</t>
        </is>
      </c>
      <c r="C20" t="inlineStr">
        <is>
          <t>03185589743</t>
        </is>
      </c>
      <c r="D20" t="inlineStr">
        <is>
          <t>akbar.maulanaabadi@yahoo.com</t>
        </is>
      </c>
      <c r="E20" t="inlineStr">
        <is>
          <t>https://lpjk.pu.go.id/search-badan-usaha-detail/Z1FXK2E4YXVNd0M5RENVUEM1M25Ndz09</t>
        </is>
      </c>
      <c r="F20" t="n">
        <v>1</v>
      </c>
      <c r="G20" t="inlineStr">
        <is>
          <t>IN007</t>
        </is>
      </c>
      <c r="H20" t="inlineStr">
        <is>
          <t>1 Agustus 2007</t>
        </is>
      </c>
      <c r="I20" s="2" t="n">
        <v>46297</v>
      </c>
      <c r="J20" t="inlineStr">
        <is>
          <t>Pembekuan</t>
        </is>
      </c>
      <c r="K20" t="n">
        <v>90</v>
      </c>
      <c r="L20" t="inlineStr">
        <is>
          <t>2 Oktober 2026</t>
        </is>
      </c>
      <c r="M20" t="inlineStr">
        <is>
          <t>Instalasi Saluran Air (Plambing)</t>
        </is>
      </c>
      <c r="N20" t="inlineStr">
        <is>
          <t>Spesialis</t>
        </is>
      </c>
      <c r="O20" t="inlineStr">
        <is>
          <t>20231001</t>
        </is>
      </c>
      <c r="P20" t="inlineStr">
        <is>
          <t>Jawa Timur</t>
        </is>
      </c>
      <c r="Q20" t="inlineStr"/>
    </row>
    <row r="21">
      <c r="A21" t="inlineStr">
        <is>
          <t>ANINDO KARYA</t>
        </is>
      </c>
      <c r="B21" t="inlineStr">
        <is>
          <t>Kota Palu</t>
        </is>
      </c>
      <c r="C21" t="inlineStr">
        <is>
          <t>082110474396</t>
        </is>
      </c>
      <c r="D21" t="inlineStr">
        <is>
          <t>anindo.karya@gmail.com</t>
        </is>
      </c>
      <c r="E21" t="inlineStr">
        <is>
          <t>https://lpjk.pu.go.id/search-badan-usaha-detail/Mm9xL3ppUFB4NVhZTnVEQVhadVd1dz09</t>
        </is>
      </c>
      <c r="F21" t="n">
        <v>1</v>
      </c>
      <c r="G21" t="inlineStr">
        <is>
          <t>BG006</t>
        </is>
      </c>
      <c r="H21" t="inlineStr">
        <is>
          <t>30 Desember 2019</t>
        </is>
      </c>
      <c r="I21" s="2" t="n">
        <v>46297</v>
      </c>
      <c r="J21" t="inlineStr">
        <is>
          <t>Dokumen Lengkap</t>
        </is>
      </c>
      <c r="K21" t="n">
        <v>90</v>
      </c>
      <c r="L21" t="inlineStr">
        <is>
          <t>2 Oktober 2026</t>
        </is>
      </c>
      <c r="M21" t="inlineStr">
        <is>
          <t>Konstruksi Gedung Pendidikan</t>
        </is>
      </c>
      <c r="N21" t="inlineStr">
        <is>
          <t>K</t>
        </is>
      </c>
      <c r="O21" t="inlineStr">
        <is>
          <t>20230103</t>
        </is>
      </c>
      <c r="P21" t="inlineStr">
        <is>
          <t>Sulawesi Tengah</t>
        </is>
      </c>
      <c r="Q21" t="inlineStr"/>
    </row>
    <row r="22">
      <c r="A22" t="inlineStr">
        <is>
          <t>ANUGRAH MAHA KARYA PERSADA</t>
        </is>
      </c>
      <c r="B22" t="inlineStr">
        <is>
          <t>Kab. Tuban</t>
        </is>
      </c>
      <c r="C22" t="inlineStr">
        <is>
          <t>082143196801</t>
        </is>
      </c>
      <c r="D22" t="inlineStr">
        <is>
          <t>pt.amkpersada@gmail.com</t>
        </is>
      </c>
      <c r="E22" t="inlineStr">
        <is>
          <t>https://lpjk.pu.go.id/search-badan-usaha-detail/WWtvUElndjdnNGNDbXdOUiswalhhZz09</t>
        </is>
      </c>
      <c r="F22" t="n">
        <v>4</v>
      </c>
      <c r="G22" t="inlineStr">
        <is>
          <t>BG006</t>
        </is>
      </c>
      <c r="H22" t="inlineStr">
        <is>
          <t>11 Maret 2020</t>
        </is>
      </c>
      <c r="I22" s="2" t="n">
        <v>46297</v>
      </c>
      <c r="J22" t="inlineStr">
        <is>
          <t>Disetujui</t>
        </is>
      </c>
      <c r="K22" t="n">
        <v>90</v>
      </c>
      <c r="L22" t="inlineStr">
        <is>
          <t>2 Oktober 2026</t>
        </is>
      </c>
      <c r="M22" t="inlineStr">
        <is>
          <t>Konstruksi Gedung Pendidikan</t>
        </is>
      </c>
      <c r="N22" t="inlineStr">
        <is>
          <t>K</t>
        </is>
      </c>
      <c r="O22" t="inlineStr">
        <is>
          <t>20230930</t>
        </is>
      </c>
      <c r="P22" t="inlineStr">
        <is>
          <t>Jawa Timur</t>
        </is>
      </c>
      <c r="Q22" t="inlineStr"/>
    </row>
    <row r="23">
      <c r="A23" t="inlineStr">
        <is>
          <t>ARGATAMA</t>
        </is>
      </c>
      <c r="B23" t="inlineStr">
        <is>
          <t>Kab. Jember</t>
        </is>
      </c>
      <c r="C23" t="inlineStr">
        <is>
          <t>085236887000</t>
        </is>
      </c>
      <c r="D23" t="inlineStr">
        <is>
          <t>cvargatamajbr@gmail.com</t>
        </is>
      </c>
      <c r="E23" t="inlineStr">
        <is>
          <t>https://lpjk.pu.go.id/search-badan-usaha-detail/eitYOU9oeDZwMEJrd013TW1tWTBuZz09</t>
        </is>
      </c>
      <c r="F23" t="n">
        <v>2</v>
      </c>
      <c r="G23" t="inlineStr">
        <is>
          <t>BS001</t>
        </is>
      </c>
      <c r="H23" t="inlineStr">
        <is>
          <t>22 Januari 1982</t>
        </is>
      </c>
      <c r="I23" s="2" t="n">
        <v>46297</v>
      </c>
      <c r="J23" t="inlineStr">
        <is>
          <t>Disetujui</t>
        </is>
      </c>
      <c r="K23" t="n">
        <v>90</v>
      </c>
      <c r="L23" t="inlineStr">
        <is>
          <t>2 Oktober 2026</t>
        </is>
      </c>
      <c r="M23" t="inlineStr">
        <is>
          <t>Konstruksi Bangunan Sipil Jalan</t>
        </is>
      </c>
      <c r="N23" t="inlineStr">
        <is>
          <t>K</t>
        </is>
      </c>
      <c r="O23" t="inlineStr">
        <is>
          <t>20230925</t>
        </is>
      </c>
      <c r="P23" t="inlineStr">
        <is>
          <t>Jawa Timur</t>
        </is>
      </c>
      <c r="Q23" t="inlineStr"/>
    </row>
    <row r="24">
      <c r="A24" t="inlineStr">
        <is>
          <t>ARSHAKA KARYA GEMILANG</t>
        </is>
      </c>
      <c r="B24" t="inlineStr">
        <is>
          <t>Kota Balikpapan</t>
        </is>
      </c>
      <c r="C24" t="inlineStr">
        <is>
          <t>081333130927</t>
        </is>
      </c>
      <c r="D24" t="inlineStr">
        <is>
          <t>arshaka.kg89@gmail.com</t>
        </is>
      </c>
      <c r="E24" t="inlineStr">
        <is>
          <t>https://lpjk.pu.go.id/search-badan-usaha-detail/UmY5T29wOGl0Z0NadXdKd1BObEt4dz09</t>
        </is>
      </c>
      <c r="F24" t="n">
        <v>2</v>
      </c>
      <c r="G24" t="inlineStr">
        <is>
          <t>BG009</t>
        </is>
      </c>
      <c r="H24" t="inlineStr">
        <is>
          <t>20 Januari 2023</t>
        </is>
      </c>
      <c r="I24" s="2" t="n">
        <v>46297</v>
      </c>
      <c r="J24" t="inlineStr">
        <is>
          <t>Disetujui</t>
        </is>
      </c>
      <c r="K24" t="n">
        <v>90</v>
      </c>
      <c r="L24" t="inlineStr">
        <is>
          <t>2 Oktober 2026</t>
        </is>
      </c>
      <c r="M24" t="inlineStr">
        <is>
          <t>Konstruksi Gedung Lainnya</t>
        </is>
      </c>
      <c r="N24" t="inlineStr">
        <is>
          <t>K</t>
        </is>
      </c>
      <c r="O24" t="inlineStr">
        <is>
          <t>20231002</t>
        </is>
      </c>
      <c r="P24" t="inlineStr">
        <is>
          <t>Kalimantan Timur</t>
        </is>
      </c>
      <c r="Q24" t="inlineStr"/>
    </row>
    <row r="25">
      <c r="A25" t="inlineStr">
        <is>
          <t>ARTA PRAKARSA</t>
        </is>
      </c>
      <c r="B25" t="inlineStr">
        <is>
          <t>Kab. Ngada</t>
        </is>
      </c>
      <c r="C25" t="inlineStr">
        <is>
          <t>081261257828</t>
        </is>
      </c>
      <c r="D25" t="inlineStr">
        <is>
          <t>artaprakarsa2019@gmail.com</t>
        </is>
      </c>
      <c r="E25" t="inlineStr">
        <is>
          <t>https://lpjk.pu.go.id/search-badan-usaha-detail/RWJpTjd5ZnRmcWxxT3Q0TkNQM3ladz09</t>
        </is>
      </c>
      <c r="F25" t="n">
        <v>1</v>
      </c>
      <c r="G25" t="inlineStr">
        <is>
          <t>BS001</t>
        </is>
      </c>
      <c r="H25" t="inlineStr">
        <is>
          <t>5 Januari 2015</t>
        </is>
      </c>
      <c r="I25" s="2" t="n">
        <v>46297</v>
      </c>
      <c r="J25" t="inlineStr">
        <is>
          <t>Disetujui</t>
        </is>
      </c>
      <c r="K25" t="n">
        <v>90</v>
      </c>
      <c r="L25" t="inlineStr">
        <is>
          <t>2 Oktober 2026</t>
        </is>
      </c>
      <c r="M25" t="inlineStr">
        <is>
          <t>Konstruksi Bangunan Sipil Jalan</t>
        </is>
      </c>
      <c r="N25" t="inlineStr">
        <is>
          <t>K</t>
        </is>
      </c>
      <c r="O25" t="inlineStr">
        <is>
          <t>20230929</t>
        </is>
      </c>
      <c r="P25" t="inlineStr">
        <is>
          <t>Nusa Tenggara Timur</t>
        </is>
      </c>
      <c r="Q25" t="inlineStr"/>
    </row>
    <row r="26">
      <c r="A26" t="inlineStr">
        <is>
          <t>ARTHA DAYA COALINDO</t>
        </is>
      </c>
      <c r="B26" t="inlineStr">
        <is>
          <t>Kota Adm. Jakarta Selatan</t>
        </is>
      </c>
      <c r="C26" t="inlineStr">
        <is>
          <t>87888743920</t>
        </is>
      </c>
      <c r="D26" t="inlineStr">
        <is>
          <t>support@arthadayacoalindo.co.id</t>
        </is>
      </c>
      <c r="E26" t="inlineStr">
        <is>
          <t>https://lpjk.pu.go.id/search-badan-usaha-detail/NnRlN1h3amw4NHhFZ00rNW1RZmJodz09</t>
        </is>
      </c>
      <c r="F26" t="n">
        <v>1</v>
      </c>
      <c r="G26" t="inlineStr">
        <is>
          <t>IN005</t>
        </is>
      </c>
      <c r="H26" t="inlineStr">
        <is>
          <t>21 Oktober 1997</t>
        </is>
      </c>
      <c r="I26" s="2" t="n">
        <v>46297</v>
      </c>
      <c r="J26" t="inlineStr">
        <is>
          <t>Pembekuan</t>
        </is>
      </c>
      <c r="K26" t="n">
        <v>90</v>
      </c>
      <c r="L26" t="inlineStr">
        <is>
          <t>2 Oktober 2026</t>
        </is>
      </c>
      <c r="M26" t="inlineStr">
        <is>
          <t>Instalasi Konstruksi Navigasi Laut, Sungai, dan Udara</t>
        </is>
      </c>
      <c r="N26" t="inlineStr">
        <is>
          <t>Spesialis</t>
        </is>
      </c>
      <c r="O26" t="inlineStr">
        <is>
          <t>20230927</t>
        </is>
      </c>
      <c r="P26" t="inlineStr">
        <is>
          <t>DKI Jakarta</t>
        </is>
      </c>
      <c r="Q26" t="inlineStr"/>
    </row>
    <row r="27">
      <c r="A27" t="inlineStr">
        <is>
          <t>ARTHA RAHMA PANGESTU</t>
        </is>
      </c>
      <c r="B27" t="inlineStr">
        <is>
          <t>Kota Surabaya</t>
        </is>
      </c>
      <c r="C27" t="inlineStr">
        <is>
          <t>087711555359</t>
        </is>
      </c>
      <c r="D27" t="inlineStr">
        <is>
          <t>arp.official5379@gmail.com</t>
        </is>
      </c>
      <c r="E27" t="inlineStr">
        <is>
          <t>https://lpjk.pu.go.id/search-badan-usaha-detail/ZmRRZ0tINWRtNkNoMktUTGtNN056dz09</t>
        </is>
      </c>
      <c r="F27" t="n">
        <v>2</v>
      </c>
      <c r="G27" t="inlineStr">
        <is>
          <t>BG002, BG009</t>
        </is>
      </c>
      <c r="H27" t="inlineStr">
        <is>
          <t>21 November 2022</t>
        </is>
      </c>
      <c r="I27" s="2" t="n">
        <v>46297</v>
      </c>
      <c r="J27" t="inlineStr">
        <is>
          <t>Disetujui</t>
        </is>
      </c>
      <c r="K27" t="n">
        <v>90</v>
      </c>
      <c r="L27" t="inlineStr">
        <is>
          <t>2 Oktober 2026</t>
        </is>
      </c>
      <c r="M27" t="inlineStr">
        <is>
          <t>Konstruksi Gedung Lainnya, Konstruksi Gedung Perkantoran</t>
        </is>
      </c>
      <c r="N27" t="inlineStr">
        <is>
          <t>K</t>
        </is>
      </c>
      <c r="O27" t="inlineStr">
        <is>
          <t>20230926, 20231002</t>
        </is>
      </c>
      <c r="P27" t="inlineStr">
        <is>
          <t>Jawa Timur</t>
        </is>
      </c>
      <c r="Q27" t="inlineStr"/>
    </row>
    <row r="28">
      <c r="A28" t="inlineStr">
        <is>
          <t>ARUM BERKAH LESTARI</t>
        </is>
      </c>
      <c r="B28" t="inlineStr">
        <is>
          <t>Kota Cilegon</t>
        </is>
      </c>
      <c r="C28" t="inlineStr">
        <is>
          <t>082110348610</t>
        </is>
      </c>
      <c r="D28" t="inlineStr">
        <is>
          <t>cvarumberkahlestari@gmail.com</t>
        </is>
      </c>
      <c r="E28" t="inlineStr">
        <is>
          <t>https://lpjk.pu.go.id/search-badan-usaha-detail/OXJFWDNGZlVPMDNtUkpTVXZKeitOUT09</t>
        </is>
      </c>
      <c r="F28" t="n">
        <v>2</v>
      </c>
      <c r="G28" t="inlineStr">
        <is>
          <t>BG002, BG009</t>
        </is>
      </c>
      <c r="H28" t="inlineStr">
        <is>
          <t>23 Februari 2022</t>
        </is>
      </c>
      <c r="I28" s="2" t="n">
        <v>46297</v>
      </c>
      <c r="J28" t="inlineStr">
        <is>
          <t>Disetujui</t>
        </is>
      </c>
      <c r="K28" t="n">
        <v>90</v>
      </c>
      <c r="L28" t="inlineStr">
        <is>
          <t>2 Oktober 2026</t>
        </is>
      </c>
      <c r="M28" t="inlineStr">
        <is>
          <t>Konstruksi Gedung Lainnya, Konstruksi Gedung Perkantoran</t>
        </is>
      </c>
      <c r="N28" t="inlineStr">
        <is>
          <t>K</t>
        </is>
      </c>
      <c r="O28" t="inlineStr">
        <is>
          <t>20230926</t>
        </is>
      </c>
      <c r="P28" t="inlineStr">
        <is>
          <t>Banten</t>
        </is>
      </c>
      <c r="Q28" t="inlineStr"/>
    </row>
    <row r="29">
      <c r="A29" t="inlineStr">
        <is>
          <t>ASRI MULYA SENTOSA</t>
        </is>
      </c>
      <c r="B29" t="inlineStr">
        <is>
          <t>Kab. Cilacap</t>
        </is>
      </c>
      <c r="C29" t="inlineStr">
        <is>
          <t>081328738734</t>
        </is>
      </c>
      <c r="D29" t="inlineStr">
        <is>
          <t>asri.mulya@ymail.com</t>
        </is>
      </c>
      <c r="E29" t="inlineStr">
        <is>
          <t>https://lpjk.pu.go.id/search-badan-usaha-detail/QVQ4eGl1b09SRzMwckhuby9uNWxRdz09</t>
        </is>
      </c>
      <c r="F29" t="n">
        <v>1</v>
      </c>
      <c r="G29" t="inlineStr">
        <is>
          <t>BG001</t>
        </is>
      </c>
      <c r="H29" t="inlineStr">
        <is>
          <t>22 Juni 2012</t>
        </is>
      </c>
      <c r="I29" s="2" t="n">
        <v>46297</v>
      </c>
      <c r="J29" t="inlineStr">
        <is>
          <t>Pencabutan</t>
        </is>
      </c>
      <c r="K29" t="n">
        <v>90</v>
      </c>
      <c r="L29" t="inlineStr">
        <is>
          <t>2 Oktober 2026</t>
        </is>
      </c>
      <c r="M29" t="inlineStr">
        <is>
          <t>Konstruksi Gedung Hunian</t>
        </is>
      </c>
      <c r="N29" t="inlineStr">
        <is>
          <t>K</t>
        </is>
      </c>
      <c r="O29" t="inlineStr">
        <is>
          <t>20231003</t>
        </is>
      </c>
      <c r="P29" t="inlineStr">
        <is>
          <t>Jawa Tengah</t>
        </is>
      </c>
      <c r="Q29" t="inlineStr"/>
    </row>
    <row r="30">
      <c r="A30" t="inlineStr">
        <is>
          <t>AURA JONG CELEBES</t>
        </is>
      </c>
      <c r="B30" t="inlineStr">
        <is>
          <t>Kab. Bondowoso</t>
        </is>
      </c>
      <c r="C30" t="inlineStr">
        <is>
          <t>082234224303</t>
        </is>
      </c>
      <c r="D30" t="inlineStr">
        <is>
          <t>aurajongcelebes@gmail.com</t>
        </is>
      </c>
      <c r="E30" t="inlineStr">
        <is>
          <t>https://lpjk.pu.go.id/search-badan-usaha-detail/d1JoYjN3Sm4xSStXWG9pNDViMVRRdz09</t>
        </is>
      </c>
      <c r="F30" t="n">
        <v>2</v>
      </c>
      <c r="G30" t="inlineStr">
        <is>
          <t>BS004, BS005</t>
        </is>
      </c>
      <c r="H30" t="inlineStr">
        <is>
          <t>7 April 2015</t>
        </is>
      </c>
      <c r="I30" s="2" t="n">
        <v>46297</v>
      </c>
      <c r="J30" t="inlineStr">
        <is>
          <t>Disetujui</t>
        </is>
      </c>
      <c r="K30" t="n">
        <v>90</v>
      </c>
      <c r="L30" t="inlineStr">
        <is>
          <t>2 Oktober 2026</t>
        </is>
      </c>
      <c r="M30" t="inlineStr">
        <is>
          <t>Konstruksi Bangunan Sipil Pengolahan Air Bersih, Konstruksi Jaringan Irigasi dan Drainase</t>
        </is>
      </c>
      <c r="N30" t="inlineStr">
        <is>
          <t>K</t>
        </is>
      </c>
      <c r="O30" t="inlineStr">
        <is>
          <t>20230926</t>
        </is>
      </c>
      <c r="P30" t="inlineStr">
        <is>
          <t>Jawa Timur</t>
        </is>
      </c>
      <c r="Q30" t="inlineStr"/>
    </row>
    <row r="31">
      <c r="A31" t="inlineStr">
        <is>
          <t>AZIZA</t>
        </is>
      </c>
      <c r="B31" t="inlineStr">
        <is>
          <t>Kab. Kolaka Timur</t>
        </is>
      </c>
      <c r="C31" t="inlineStr">
        <is>
          <t>085222201457</t>
        </is>
      </c>
      <c r="D31" t="inlineStr">
        <is>
          <t>azizaasman@gmail.com</t>
        </is>
      </c>
      <c r="E31" t="inlineStr">
        <is>
          <t>https://lpjk.pu.go.id/search-badan-usaha-detail/bW9mWVNIRzdXeXExc05MRWcrbU5Ydz09</t>
        </is>
      </c>
      <c r="F31" t="n">
        <v>6</v>
      </c>
      <c r="G31" t="inlineStr">
        <is>
          <t>BG002</t>
        </is>
      </c>
      <c r="H31" t="inlineStr">
        <is>
          <t>20 Januari 2014</t>
        </is>
      </c>
      <c r="I31" s="2" t="n">
        <v>46297</v>
      </c>
      <c r="J31" t="inlineStr">
        <is>
          <t>Disetujui</t>
        </is>
      </c>
      <c r="K31" t="n">
        <v>90</v>
      </c>
      <c r="L31" t="inlineStr">
        <is>
          <t>2 Oktober 2026</t>
        </is>
      </c>
      <c r="M31" t="inlineStr">
        <is>
          <t>Konstruksi Gedung Perkantoran</t>
        </is>
      </c>
      <c r="N31" t="inlineStr">
        <is>
          <t>K</t>
        </is>
      </c>
      <c r="O31" t="inlineStr">
        <is>
          <t>20230929</t>
        </is>
      </c>
      <c r="P31" t="inlineStr">
        <is>
          <t>Sulawesi Tenggara</t>
        </is>
      </c>
      <c r="Q31" t="inlineStr"/>
    </row>
    <row r="32">
      <c r="A32" t="inlineStr">
        <is>
          <t>AZKIA BERKATAMA</t>
        </is>
      </c>
      <c r="B32" t="inlineStr">
        <is>
          <t>Kab. Banyumas</t>
        </is>
      </c>
      <c r="C32" t="inlineStr">
        <is>
          <t>08157979181</t>
        </is>
      </c>
      <c r="D32" t="inlineStr">
        <is>
          <t>cvazkiaberkatama@gmail.com</t>
        </is>
      </c>
      <c r="E32" t="inlineStr">
        <is>
          <t>https://lpjk.pu.go.id/search-badan-usaha-detail/ZVZpVzNGMHFsKzRreGNMR3dmZ3NoZz09</t>
        </is>
      </c>
      <c r="F32" t="n">
        <v>1</v>
      </c>
      <c r="G32" t="inlineStr">
        <is>
          <t>BG006</t>
        </is>
      </c>
      <c r="H32" t="inlineStr">
        <is>
          <t>9 Oktober 2014</t>
        </is>
      </c>
      <c r="I32" s="2" t="n">
        <v>46297</v>
      </c>
      <c r="J32" t="inlineStr">
        <is>
          <t>Disetujui</t>
        </is>
      </c>
      <c r="K32" t="n">
        <v>90</v>
      </c>
      <c r="L32" t="inlineStr">
        <is>
          <t>2 Oktober 2026</t>
        </is>
      </c>
      <c r="M32" t="inlineStr">
        <is>
          <t>Konstruksi Gedung Pendidikan</t>
        </is>
      </c>
      <c r="N32" t="inlineStr">
        <is>
          <t>K</t>
        </is>
      </c>
      <c r="O32" t="inlineStr">
        <is>
          <t>20230927</t>
        </is>
      </c>
      <c r="P32" t="inlineStr">
        <is>
          <t>Jawa Tengah</t>
        </is>
      </c>
      <c r="Q32" t="inlineStr"/>
    </row>
    <row r="33">
      <c r="A33" t="inlineStr">
        <is>
          <t>BAHANA TOTALINDO TEKNIK</t>
        </is>
      </c>
      <c r="B33" t="inlineStr">
        <is>
          <t>Kota Adm. Jakarta Pusat</t>
        </is>
      </c>
      <c r="C33" t="inlineStr">
        <is>
          <t>0215733007</t>
        </is>
      </c>
      <c r="D33" t="inlineStr">
        <is>
          <t>bahanatotalindoteknik@gmail.com</t>
        </is>
      </c>
      <c r="E33" t="inlineStr">
        <is>
          <t>https://lpjk.pu.go.id/search-badan-usaha-detail/bnZ3aWEvOUlVbC9yQmlUSXNGMTMzZz09</t>
        </is>
      </c>
      <c r="F33" t="n">
        <v>1</v>
      </c>
      <c r="G33" t="inlineStr">
        <is>
          <t>BG005</t>
        </is>
      </c>
      <c r="H33" t="inlineStr">
        <is>
          <t>4 Januari 2019</t>
        </is>
      </c>
      <c r="I33" s="2" t="n">
        <v>46297</v>
      </c>
      <c r="J33" t="inlineStr">
        <is>
          <t>Disetujui</t>
        </is>
      </c>
      <c r="K33" t="n">
        <v>90</v>
      </c>
      <c r="L33" t="inlineStr">
        <is>
          <t>2 Oktober 2026</t>
        </is>
      </c>
      <c r="M33" t="inlineStr">
        <is>
          <t>Konstruksi Gedung Kesehatan</t>
        </is>
      </c>
      <c r="N33" t="inlineStr">
        <is>
          <t>K</t>
        </is>
      </c>
      <c r="O33" t="inlineStr">
        <is>
          <t>20231001</t>
        </is>
      </c>
      <c r="P33" t="inlineStr">
        <is>
          <t>DKI Jakarta</t>
        </is>
      </c>
      <c r="Q33" t="inlineStr"/>
    </row>
    <row r="34">
      <c r="A34" t="inlineStr">
        <is>
          <t>BANGUN KELOLA SWADAYA</t>
        </is>
      </c>
      <c r="B34" t="inlineStr">
        <is>
          <t>Kota Adm. Jakarta Selatan</t>
        </is>
      </c>
      <c r="C34" t="inlineStr">
        <is>
          <t>0217261310</t>
        </is>
      </c>
      <c r="D34" t="inlineStr">
        <is>
          <t>legal.ptbks@gmail.com</t>
        </is>
      </c>
      <c r="E34" t="inlineStr">
        <is>
          <t>https://lpjk.pu.go.id/search-badan-usaha-detail/bFdEN0laZGNhSU5IRi83RFo3RW9uUT09</t>
        </is>
      </c>
      <c r="F34" t="n">
        <v>1</v>
      </c>
      <c r="G34" t="inlineStr">
        <is>
          <t>BS009</t>
        </is>
      </c>
      <c r="H34" t="inlineStr">
        <is>
          <t>25 Mei 2016</t>
        </is>
      </c>
      <c r="I34" s="2" t="n">
        <v>46297</v>
      </c>
      <c r="J34" t="inlineStr">
        <is>
          <t>Disetujui</t>
        </is>
      </c>
      <c r="K34" t="n">
        <v>90</v>
      </c>
      <c r="L34" t="inlineStr">
        <is>
          <t>2 Oktober 2026</t>
        </is>
      </c>
      <c r="M34" t="inlineStr">
        <is>
          <t>Konstruksi Sentral Telekomunikasi</t>
        </is>
      </c>
      <c r="N34" t="inlineStr">
        <is>
          <t>M</t>
        </is>
      </c>
      <c r="O34" t="inlineStr">
        <is>
          <t>20230926</t>
        </is>
      </c>
      <c r="P34" t="inlineStr">
        <is>
          <t>DKI Jakarta</t>
        </is>
      </c>
      <c r="Q34" t="inlineStr"/>
    </row>
    <row r="35">
      <c r="A35" t="inlineStr">
        <is>
          <t>BANGUN SERASI</t>
        </is>
      </c>
      <c r="B35" t="inlineStr">
        <is>
          <t>Kab. Semarang</t>
        </is>
      </c>
      <c r="C35" t="inlineStr">
        <is>
          <t>0298522361</t>
        </is>
      </c>
      <c r="D35" t="inlineStr">
        <is>
          <t>bgn_serasi@yahoo.co.id</t>
        </is>
      </c>
      <c r="E35" t="inlineStr">
        <is>
          <t>https://lpjk.pu.go.id/search-badan-usaha-detail/Tmd0VStlVUZUZTV5UFBveTNFZWxLZz09</t>
        </is>
      </c>
      <c r="F35" t="n">
        <v>4</v>
      </c>
      <c r="G35" t="inlineStr">
        <is>
          <t>BG002, BG003, BG005, BG006</t>
        </is>
      </c>
      <c r="H35" t="inlineStr">
        <is>
          <t>28 Oktober 1991</t>
        </is>
      </c>
      <c r="I35" s="2" t="n">
        <v>46297</v>
      </c>
      <c r="J35" t="inlineStr">
        <is>
          <t>Pencabutan</t>
        </is>
      </c>
      <c r="K35" t="n">
        <v>90</v>
      </c>
      <c r="L35" t="inlineStr">
        <is>
          <t>2 Oktober 2026</t>
        </is>
      </c>
      <c r="M35" t="inlineStr">
        <is>
          <t>Konstruksi Gedung Industri, Konstruksi Gedung Kesehatan, Konstruksi Gedung Pendidikan, Konstruksi Gedung Perkantoran</t>
        </is>
      </c>
      <c r="N35" t="inlineStr">
        <is>
          <t>K</t>
        </is>
      </c>
      <c r="O35" t="inlineStr">
        <is>
          <t>20230926</t>
        </is>
      </c>
      <c r="P35" t="inlineStr">
        <is>
          <t>Jawa Tengah</t>
        </is>
      </c>
      <c r="Q35" t="inlineStr"/>
    </row>
    <row r="36">
      <c r="A36" t="inlineStr">
        <is>
          <t>BAROKAT ALAM LESTARI</t>
        </is>
      </c>
      <c r="B36" t="inlineStr">
        <is>
          <t>Kab. Deli Serdang</t>
        </is>
      </c>
      <c r="C36" t="inlineStr">
        <is>
          <t>082165571075</t>
        </is>
      </c>
      <c r="D36" t="inlineStr">
        <is>
          <t>barokatalamlestari@gmail.com</t>
        </is>
      </c>
      <c r="E36" t="inlineStr">
        <is>
          <t>https://lpjk.pu.go.id/search-badan-usaha-detail/azF6bU1ya1FRcll6eUlVZ2IyYWI5dz09</t>
        </is>
      </c>
      <c r="F36" t="n">
        <v>2</v>
      </c>
      <c r="G36" t="inlineStr">
        <is>
          <t>BS001</t>
        </is>
      </c>
      <c r="H36" t="inlineStr">
        <is>
          <t>1 Desember 2020</t>
        </is>
      </c>
      <c r="I36" s="2" t="n">
        <v>46297</v>
      </c>
      <c r="J36" t="inlineStr">
        <is>
          <t>Disetujui</t>
        </is>
      </c>
      <c r="K36" t="n">
        <v>90</v>
      </c>
      <c r="L36" t="inlineStr">
        <is>
          <t>2 Oktober 2026</t>
        </is>
      </c>
      <c r="M36" t="inlineStr">
        <is>
          <t>Konstruksi Bangunan Sipil Jalan</t>
        </is>
      </c>
      <c r="N36" t="inlineStr">
        <is>
          <t>K</t>
        </is>
      </c>
      <c r="O36" t="inlineStr">
        <is>
          <t>20231002</t>
        </is>
      </c>
      <c r="P36" t="inlineStr">
        <is>
          <t>Sumatera Utara</t>
        </is>
      </c>
      <c r="Q36" t="inlineStr"/>
    </row>
    <row r="37">
      <c r="A37" t="inlineStr">
        <is>
          <t>BAYU PUTRA PERDANA</t>
        </is>
      </c>
      <c r="B37" t="inlineStr">
        <is>
          <t>Kab. Tulungagung</t>
        </is>
      </c>
      <c r="C37" t="inlineStr">
        <is>
          <t>081216227549</t>
        </is>
      </c>
      <c r="D37" t="inlineStr">
        <is>
          <t>bison.fighter@yahoo.com</t>
        </is>
      </c>
      <c r="E37" t="inlineStr">
        <is>
          <t>https://lpjk.pu.go.id/search-badan-usaha-detail/T3dLTGtYc3E3QkE4NnNoSHd2QmtiUT09</t>
        </is>
      </c>
      <c r="F37" t="n">
        <v>1</v>
      </c>
      <c r="G37" t="inlineStr">
        <is>
          <t>BG009</t>
        </is>
      </c>
      <c r="H37" t="inlineStr">
        <is>
          <t>7 September 2009</t>
        </is>
      </c>
      <c r="I37" s="2" t="n">
        <v>46297</v>
      </c>
      <c r="J37" t="inlineStr">
        <is>
          <t>Disetujui</t>
        </is>
      </c>
      <c r="K37" t="n">
        <v>90</v>
      </c>
      <c r="L37" t="inlineStr">
        <is>
          <t>2 Oktober 2026</t>
        </is>
      </c>
      <c r="M37" t="inlineStr">
        <is>
          <t>Konstruksi Gedung Lainnya</t>
        </is>
      </c>
      <c r="N37" t="inlineStr">
        <is>
          <t>K</t>
        </is>
      </c>
      <c r="O37" t="inlineStr">
        <is>
          <t>20230929</t>
        </is>
      </c>
      <c r="P37" t="inlineStr">
        <is>
          <t>Jawa Timur</t>
        </is>
      </c>
      <c r="Q37" t="inlineStr"/>
    </row>
    <row r="38">
      <c r="A38" t="inlineStr">
        <is>
          <t>BERKAH JAYA HARUM</t>
        </is>
      </c>
      <c r="B38" t="inlineStr">
        <is>
          <t>Kab. Banyuwangi</t>
        </is>
      </c>
      <c r="C38" t="inlineStr">
        <is>
          <t>081336161357</t>
        </is>
      </c>
      <c r="D38" t="inlineStr">
        <is>
          <t>cvberkahjayaharum@gmail.com</t>
        </is>
      </c>
      <c r="E38" t="inlineStr">
        <is>
          <t>https://lpjk.pu.go.id/search-badan-usaha-detail/WGdTTnB3eTRneUtIZDUrWmh1NzdtQT09</t>
        </is>
      </c>
      <c r="F38" t="n">
        <v>6</v>
      </c>
      <c r="G38" t="inlineStr">
        <is>
          <t>BG006, BS001, BS004</t>
        </is>
      </c>
      <c r="H38" t="inlineStr">
        <is>
          <t>7 Januari 2020</t>
        </is>
      </c>
      <c r="I38" s="2" t="n">
        <v>46297</v>
      </c>
      <c r="J38" t="inlineStr">
        <is>
          <t>Disetujui</t>
        </is>
      </c>
      <c r="K38" t="n">
        <v>90</v>
      </c>
      <c r="L38" t="inlineStr">
        <is>
          <t>2 Oktober 2026</t>
        </is>
      </c>
      <c r="M38" t="inlineStr">
        <is>
          <t>Konstruksi Bangunan Sipil Jalan, Konstruksi Gedung Pendidikan, Konstruksi Jaringan Irigasi dan Drainase</t>
        </is>
      </c>
      <c r="N38" t="inlineStr">
        <is>
          <t>K</t>
        </is>
      </c>
      <c r="O38" t="inlineStr">
        <is>
          <t>20230831, 20230905</t>
        </is>
      </c>
      <c r="P38" t="inlineStr">
        <is>
          <t>Jawa Timur</t>
        </is>
      </c>
      <c r="Q38" t="inlineStr"/>
    </row>
    <row r="39">
      <c r="A39" t="inlineStr">
        <is>
          <t>BERKAH JAYA SENTOSA</t>
        </is>
      </c>
      <c r="B39" t="inlineStr">
        <is>
          <t>Kab. Kampar</t>
        </is>
      </c>
      <c r="C39" t="inlineStr">
        <is>
          <t>081260199262</t>
        </is>
      </c>
      <c r="D39" t="inlineStr">
        <is>
          <t>cv.berkahjayasentos4@gmail.com</t>
        </is>
      </c>
      <c r="E39" t="inlineStr">
        <is>
          <t>https://lpjk.pu.go.id/search-badan-usaha-detail/RmowRkk1bklrZVJLWHBFaUh3emdOUT09</t>
        </is>
      </c>
      <c r="F39" t="n">
        <v>2</v>
      </c>
      <c r="G39" t="inlineStr">
        <is>
          <t>BS004</t>
        </is>
      </c>
      <c r="H39" t="inlineStr">
        <is>
          <t>23 April 2018</t>
        </is>
      </c>
      <c r="I39" s="2" t="n">
        <v>46297</v>
      </c>
      <c r="J39" t="inlineStr">
        <is>
          <t>Disetujui</t>
        </is>
      </c>
      <c r="K39" t="n">
        <v>90</v>
      </c>
      <c r="L39" t="inlineStr">
        <is>
          <t>2 Oktober 2026</t>
        </is>
      </c>
      <c r="M39" t="inlineStr">
        <is>
          <t>Konstruksi Jaringan Irigasi dan Drainase</t>
        </is>
      </c>
      <c r="N39" t="inlineStr">
        <is>
          <t>K</t>
        </is>
      </c>
      <c r="O39" t="inlineStr">
        <is>
          <t>20230929</t>
        </is>
      </c>
      <c r="P39" t="inlineStr">
        <is>
          <t>Riau</t>
        </is>
      </c>
      <c r="Q39" t="inlineStr"/>
    </row>
    <row r="40">
      <c r="A40" t="inlineStr">
        <is>
          <t>BIMA BERKAH MANDIRI</t>
        </is>
      </c>
      <c r="B40" t="inlineStr">
        <is>
          <t>Kab. Tuban</t>
        </is>
      </c>
      <c r="C40" t="inlineStr">
        <is>
          <t>081230942781</t>
        </is>
      </c>
      <c r="D40" t="inlineStr">
        <is>
          <t>wahyuanitasari68@gmail.com</t>
        </is>
      </c>
      <c r="E40" t="inlineStr">
        <is>
          <t>https://lpjk.pu.go.id/search-badan-usaha-detail/WUd0QWd3Q0pSbkVURnlHZ3ZNSjhGQT09</t>
        </is>
      </c>
      <c r="F40" t="n">
        <v>1</v>
      </c>
      <c r="G40" t="inlineStr">
        <is>
          <t>BG009</t>
        </is>
      </c>
      <c r="H40" t="inlineStr">
        <is>
          <t>22 Oktober 2014</t>
        </is>
      </c>
      <c r="I40" s="2" t="n">
        <v>46297</v>
      </c>
      <c r="J40" t="inlineStr">
        <is>
          <t>Disetujui</t>
        </is>
      </c>
      <c r="K40" t="n">
        <v>90</v>
      </c>
      <c r="L40" t="inlineStr">
        <is>
          <t>2 Oktober 2026</t>
        </is>
      </c>
      <c r="M40" t="inlineStr">
        <is>
          <t>Konstruksi Gedung Lainnya</t>
        </is>
      </c>
      <c r="N40" t="inlineStr">
        <is>
          <t>K</t>
        </is>
      </c>
      <c r="O40" t="inlineStr">
        <is>
          <t>20230930</t>
        </is>
      </c>
      <c r="P40" t="inlineStr">
        <is>
          <t>Jawa Timur</t>
        </is>
      </c>
      <c r="Q40" t="inlineStr"/>
    </row>
    <row r="41">
      <c r="A41" t="inlineStr">
        <is>
          <t>BINA KENCANA</t>
        </is>
      </c>
      <c r="B41" t="inlineStr">
        <is>
          <t>Kota Banjarbaru</t>
        </is>
      </c>
      <c r="C41" t="inlineStr">
        <is>
          <t>05114773880</t>
        </is>
      </c>
      <c r="D41" t="inlineStr">
        <is>
          <t>cv.bina_kencana13@yahoo.co.id</t>
        </is>
      </c>
      <c r="E41" t="inlineStr">
        <is>
          <t>https://lpjk.pu.go.id/search-badan-usaha-detail/ZXNpcXVCcGh2ODI0dTU0aXQ2aG5jdz09</t>
        </is>
      </c>
      <c r="F41" t="n">
        <v>2</v>
      </c>
      <c r="G41" t="inlineStr">
        <is>
          <t>BS004, BS005</t>
        </is>
      </c>
      <c r="H41" t="inlineStr">
        <is>
          <t>3 Mei 1982</t>
        </is>
      </c>
      <c r="I41" s="2" t="n">
        <v>46297</v>
      </c>
      <c r="J41" t="inlineStr">
        <is>
          <t>Disetujui</t>
        </is>
      </c>
      <c r="K41" t="n">
        <v>90</v>
      </c>
      <c r="L41" t="inlineStr">
        <is>
          <t>2 Oktober 2026</t>
        </is>
      </c>
      <c r="M41" t="inlineStr">
        <is>
          <t>Konstruksi Bangunan Sipil Pengolahan Air Bersih, Konstruksi Jaringan Irigasi dan Drainase</t>
        </is>
      </c>
      <c r="N41" t="inlineStr">
        <is>
          <t>K</t>
        </is>
      </c>
      <c r="O41" t="inlineStr">
        <is>
          <t>20230925</t>
        </is>
      </c>
      <c r="P41" t="inlineStr">
        <is>
          <t>Kalimantan Selatan</t>
        </is>
      </c>
      <c r="Q41" t="inlineStr"/>
    </row>
    <row r="42">
      <c r="A42" t="inlineStr">
        <is>
          <t>BINTANG INDONESIA SENTOSA</t>
        </is>
      </c>
      <c r="B42" t="inlineStr">
        <is>
          <t>Kab. Lumajang</t>
        </is>
      </c>
      <c r="C42" t="inlineStr">
        <is>
          <t>082139169369</t>
        </is>
      </c>
      <c r="D42" t="inlineStr">
        <is>
          <t>bisentosa73@gmail.com</t>
        </is>
      </c>
      <c r="E42" t="inlineStr">
        <is>
          <t>https://lpjk.pu.go.id/search-badan-usaha-detail/eU9SN2xmcFBnRkRjWHJ2ek12NjJmdz09</t>
        </is>
      </c>
      <c r="F42" t="n">
        <v>4</v>
      </c>
      <c r="G42" t="inlineStr">
        <is>
          <t>BG001</t>
        </is>
      </c>
      <c r="H42" t="inlineStr">
        <is>
          <t>25 April 2022</t>
        </is>
      </c>
      <c r="I42" s="2" t="n">
        <v>46297</v>
      </c>
      <c r="J42" t="inlineStr">
        <is>
          <t>Disetujui</t>
        </is>
      </c>
      <c r="K42" t="n">
        <v>90</v>
      </c>
      <c r="L42" t="inlineStr">
        <is>
          <t>2 Oktober 2026</t>
        </is>
      </c>
      <c r="M42" t="inlineStr">
        <is>
          <t>Konstruksi Gedung Hunian</t>
        </is>
      </c>
      <c r="N42" t="inlineStr">
        <is>
          <t>K</t>
        </is>
      </c>
      <c r="O42" t="inlineStr">
        <is>
          <t>20230922</t>
        </is>
      </c>
      <c r="P42" t="inlineStr">
        <is>
          <t>Jawa Timur</t>
        </is>
      </c>
      <c r="Q42" t="inlineStr"/>
    </row>
    <row r="43">
      <c r="A43" t="inlineStr">
        <is>
          <t>BINTANG MARAGA LINTAS MEDIA</t>
        </is>
      </c>
      <c r="B43" t="inlineStr">
        <is>
          <t>Kota Tangerang</t>
        </is>
      </c>
      <c r="C43" t="inlineStr">
        <is>
          <t>0816905771</t>
        </is>
      </c>
      <c r="D43" t="inlineStr">
        <is>
          <t>julians_wijaya@yahoo.co.id</t>
        </is>
      </c>
      <c r="E43" t="inlineStr">
        <is>
          <t>https://lpjk.pu.go.id/search-badan-usaha-detail/bU5HVElrWXJscm9ZZmxma3NTTUZhdz09</t>
        </is>
      </c>
      <c r="F43" t="n">
        <v>2</v>
      </c>
      <c r="G43" t="inlineStr">
        <is>
          <t>BS008</t>
        </is>
      </c>
      <c r="H43" t="inlineStr">
        <is>
          <t>27 Oktober 2009</t>
        </is>
      </c>
      <c r="I43" s="2" t="n">
        <v>46297</v>
      </c>
      <c r="J43" t="inlineStr">
        <is>
          <t>Disetujui</t>
        </is>
      </c>
      <c r="K43" t="n">
        <v>90</v>
      </c>
      <c r="L43" t="inlineStr">
        <is>
          <t>2 Oktober 2026</t>
        </is>
      </c>
      <c r="M43" t="inlineStr">
        <is>
          <t>Konstruksi Bangunan Sipil Telekomunikasi untuk Prasarana Transportasi</t>
        </is>
      </c>
      <c r="N43" t="inlineStr">
        <is>
          <t>K</t>
        </is>
      </c>
      <c r="O43" t="inlineStr">
        <is>
          <t>20230925</t>
        </is>
      </c>
      <c r="P43" t="inlineStr">
        <is>
          <t>Banten</t>
        </is>
      </c>
      <c r="Q43" t="inlineStr"/>
    </row>
    <row r="44">
      <c r="A44" t="inlineStr">
        <is>
          <t>BIRU</t>
        </is>
      </c>
      <c r="B44" t="inlineStr">
        <is>
          <t>Kab. Sigi</t>
        </is>
      </c>
      <c r="C44" t="inlineStr">
        <is>
          <t>08113589437</t>
        </is>
      </c>
      <c r="D44" t="inlineStr">
        <is>
          <t>biru_cv55@yahoo.com</t>
        </is>
      </c>
      <c r="E44" t="inlineStr">
        <is>
          <t>https://lpjk.pu.go.id/search-badan-usaha-detail/MHdtOEhaQ1lQZ2ZHMEw4dzJJY0VNdz09</t>
        </is>
      </c>
      <c r="F44" t="n">
        <v>3</v>
      </c>
      <c r="G44" t="inlineStr">
        <is>
          <t>BG006, BG009, BS001</t>
        </is>
      </c>
      <c r="H44" t="inlineStr">
        <is>
          <t>21 Desember 2001</t>
        </is>
      </c>
      <c r="I44" s="2" t="n">
        <v>46297</v>
      </c>
      <c r="J44" t="inlineStr">
        <is>
          <t>Disetujui</t>
        </is>
      </c>
      <c r="K44" t="n">
        <v>90</v>
      </c>
      <c r="L44" t="inlineStr">
        <is>
          <t>2 Oktober 2026</t>
        </is>
      </c>
      <c r="M44" t="inlineStr">
        <is>
          <t>Konstruksi Bangunan Sipil Jalan, Konstruksi Gedung Lainnya, Konstruksi Gedung Pendidikan</t>
        </is>
      </c>
      <c r="N44" t="inlineStr">
        <is>
          <t>K</t>
        </is>
      </c>
      <c r="O44" t="inlineStr">
        <is>
          <t>20230910</t>
        </is>
      </c>
      <c r="P44" t="inlineStr">
        <is>
          <t>Sulawesi Tengah</t>
        </is>
      </c>
      <c r="Q44" t="inlineStr"/>
    </row>
    <row r="45">
      <c r="A45" t="inlineStr">
        <is>
          <t>BONANZA</t>
        </is>
      </c>
      <c r="B45" t="inlineStr">
        <is>
          <t>Kab. Sumenep</t>
        </is>
      </c>
      <c r="C45" t="inlineStr">
        <is>
          <t>082324393030</t>
        </is>
      </c>
      <c r="D45" t="inlineStr">
        <is>
          <t>mohsyafii1207@gmail.com</t>
        </is>
      </c>
      <c r="E45" t="inlineStr">
        <is>
          <t>https://lpjk.pu.go.id/search-badan-usaha-detail/WC9Na0tzRXdqcVhBQWhUbk9SbWkvUT09</t>
        </is>
      </c>
      <c r="F45" t="n">
        <v>4</v>
      </c>
      <c r="G45" t="inlineStr">
        <is>
          <t>BS001, BS004</t>
        </is>
      </c>
      <c r="H45" t="inlineStr">
        <is>
          <t>23 Desember 2016</t>
        </is>
      </c>
      <c r="I45" s="2" t="n">
        <v>46297</v>
      </c>
      <c r="J45" t="inlineStr">
        <is>
          <t>Disetujui</t>
        </is>
      </c>
      <c r="K45" t="n">
        <v>90</v>
      </c>
      <c r="L45" t="inlineStr">
        <is>
          <t>2 Oktober 2026</t>
        </is>
      </c>
      <c r="M45" t="inlineStr">
        <is>
          <t>Konstruksi Bangunan Sipil Jalan, Konstruksi Jaringan Irigasi dan Drainase</t>
        </is>
      </c>
      <c r="N45" t="inlineStr">
        <is>
          <t>K</t>
        </is>
      </c>
      <c r="O45" t="inlineStr">
        <is>
          <t>20230926, 20230927</t>
        </is>
      </c>
      <c r="P45" t="inlineStr">
        <is>
          <t>Jawa Timur</t>
        </is>
      </c>
      <c r="Q45" t="inlineStr"/>
    </row>
    <row r="46">
      <c r="A46" t="inlineStr">
        <is>
          <t>BUANA BAHARI</t>
        </is>
      </c>
      <c r="B46" t="inlineStr">
        <is>
          <t>Kota Pare Pare</t>
        </is>
      </c>
      <c r="C46" t="inlineStr">
        <is>
          <t>085230797947</t>
        </is>
      </c>
      <c r="D46" t="inlineStr">
        <is>
          <t>junawing68@gmail.com</t>
        </is>
      </c>
      <c r="E46" t="inlineStr">
        <is>
          <t>https://lpjk.pu.go.id/search-badan-usaha-detail/ZlgrTmZIck5hVG80STRSa1h1MXR3UT09</t>
        </is>
      </c>
      <c r="F46" t="n">
        <v>1</v>
      </c>
      <c r="G46" t="inlineStr">
        <is>
          <t>BG005</t>
        </is>
      </c>
      <c r="H46" t="inlineStr">
        <is>
          <t>30 Mei 2006</t>
        </is>
      </c>
      <c r="I46" s="2" t="n">
        <v>46297</v>
      </c>
      <c r="J46" t="inlineStr">
        <is>
          <t>Disetujui</t>
        </is>
      </c>
      <c r="K46" t="n">
        <v>90</v>
      </c>
      <c r="L46" t="inlineStr">
        <is>
          <t>2 Oktober 2026</t>
        </is>
      </c>
      <c r="M46" t="inlineStr">
        <is>
          <t>Konstruksi Gedung Kesehatan</t>
        </is>
      </c>
      <c r="N46" t="inlineStr">
        <is>
          <t>K</t>
        </is>
      </c>
      <c r="O46" t="inlineStr">
        <is>
          <t>20231002</t>
        </is>
      </c>
      <c r="P46" t="inlineStr">
        <is>
          <t>Sulawesi Selatan</t>
        </is>
      </c>
      <c r="Q46" t="inlineStr"/>
    </row>
    <row r="47">
      <c r="A47" t="inlineStr">
        <is>
          <t>BUKIT SION</t>
        </is>
      </c>
      <c r="B47" t="inlineStr">
        <is>
          <t>Kota Pematangsiantar</t>
        </is>
      </c>
      <c r="C47" t="inlineStr">
        <is>
          <t>82272271005</t>
        </is>
      </c>
      <c r="D47" t="inlineStr">
        <is>
          <t>ud_filbertjaya@yahoo.com</t>
        </is>
      </c>
      <c r="E47" t="inlineStr">
        <is>
          <t>https://lpjk.pu.go.id/search-badan-usaha-detail/Vk9JYyt3cHhldEF6VFA3QUdVWjgzUT09</t>
        </is>
      </c>
      <c r="F47" t="n">
        <v>1</v>
      </c>
      <c r="G47" t="inlineStr">
        <is>
          <t>BG006</t>
        </is>
      </c>
      <c r="H47" t="inlineStr">
        <is>
          <t>30 Juli 2020</t>
        </is>
      </c>
      <c r="I47" s="2" t="n">
        <v>46297</v>
      </c>
      <c r="J47" t="inlineStr">
        <is>
          <t>Disetujui</t>
        </is>
      </c>
      <c r="K47" t="n">
        <v>90</v>
      </c>
      <c r="L47" t="inlineStr">
        <is>
          <t>2 Oktober 2026</t>
        </is>
      </c>
      <c r="M47" t="inlineStr">
        <is>
          <t>Konstruksi Gedung Pendidikan</t>
        </is>
      </c>
      <c r="N47" t="inlineStr">
        <is>
          <t>K</t>
        </is>
      </c>
      <c r="O47" t="inlineStr">
        <is>
          <t>20230926</t>
        </is>
      </c>
      <c r="P47" t="inlineStr">
        <is>
          <t>Sumatera Utara</t>
        </is>
      </c>
      <c r="Q47" t="inlineStr"/>
    </row>
    <row r="48">
      <c r="A48" t="inlineStr">
        <is>
          <t>BUMI PADJAJARAN</t>
        </is>
      </c>
      <c r="B48" t="inlineStr">
        <is>
          <t>Kota Sukabumi</t>
        </is>
      </c>
      <c r="C48" t="inlineStr">
        <is>
          <t>082262161985</t>
        </is>
      </c>
      <c r="D48" t="inlineStr">
        <is>
          <t>padjajaran.cv@gmail.com</t>
        </is>
      </c>
      <c r="E48" t="inlineStr">
        <is>
          <t>https://lpjk.pu.go.id/search-badan-usaha-detail/bFhXTjBBcWc2Q3BZSlJRKzY0VjF3dz09</t>
        </is>
      </c>
      <c r="F48" t="n">
        <v>1</v>
      </c>
      <c r="G48" t="inlineStr">
        <is>
          <t>BS004</t>
        </is>
      </c>
      <c r="H48" t="inlineStr">
        <is>
          <t>13 Februari 2014</t>
        </is>
      </c>
      <c r="I48" s="2" t="n">
        <v>46297</v>
      </c>
      <c r="J48" t="inlineStr">
        <is>
          <t>Disetujui</t>
        </is>
      </c>
      <c r="K48" t="n">
        <v>90</v>
      </c>
      <c r="L48" t="inlineStr">
        <is>
          <t>2 Oktober 2026</t>
        </is>
      </c>
      <c r="M48" t="inlineStr">
        <is>
          <t>Konstruksi Jaringan Irigasi dan Drainase</t>
        </is>
      </c>
      <c r="N48" t="inlineStr">
        <is>
          <t>K</t>
        </is>
      </c>
      <c r="O48" t="inlineStr">
        <is>
          <t>20230920</t>
        </is>
      </c>
      <c r="P48" t="inlineStr">
        <is>
          <t>Jawa Barat</t>
        </is>
      </c>
      <c r="Q48" t="inlineStr"/>
    </row>
    <row r="49">
      <c r="A49" t="inlineStr">
        <is>
          <t>BUMI SAMPIRAN</t>
        </is>
      </c>
      <c r="B49" t="inlineStr">
        <is>
          <t>Kab. Serang</t>
        </is>
      </c>
      <c r="C49" t="inlineStr">
        <is>
          <t>087771258117</t>
        </is>
      </c>
      <c r="D49" t="inlineStr">
        <is>
          <t>bumisampiran_Pt1@yahoo.com</t>
        </is>
      </c>
      <c r="E49" t="inlineStr">
        <is>
          <t>https://lpjk.pu.go.id/search-badan-usaha-detail/VXpmQy8wa24ram5XOGc2bEd2U3lqUT09</t>
        </is>
      </c>
      <c r="F49" t="n">
        <v>1</v>
      </c>
      <c r="G49" t="inlineStr">
        <is>
          <t>BS001</t>
        </is>
      </c>
      <c r="H49" t="inlineStr">
        <is>
          <t>28 April 2009</t>
        </is>
      </c>
      <c r="I49" s="2" t="n">
        <v>46297</v>
      </c>
      <c r="J49" t="inlineStr">
        <is>
          <t>Disetujui</t>
        </is>
      </c>
      <c r="K49" t="n">
        <v>90</v>
      </c>
      <c r="L49" t="inlineStr">
        <is>
          <t>2 Oktober 2026</t>
        </is>
      </c>
      <c r="M49" t="inlineStr">
        <is>
          <t>Konstruksi Bangunan Sipil Jalan</t>
        </is>
      </c>
      <c r="N49" t="inlineStr">
        <is>
          <t>K</t>
        </is>
      </c>
      <c r="O49" t="inlineStr">
        <is>
          <t>20221103</t>
        </is>
      </c>
      <c r="P49" t="inlineStr">
        <is>
          <t>Banten</t>
        </is>
      </c>
      <c r="Q49" t="inlineStr"/>
    </row>
    <row r="50">
      <c r="A50" t="inlineStr">
        <is>
          <t>CAHAYA ALAM JAYA MAKMUR</t>
        </is>
      </c>
      <c r="B50" t="inlineStr">
        <is>
          <t>Kota Bandar Lampung</t>
        </is>
      </c>
      <c r="C50" t="inlineStr">
        <is>
          <t>081369168686</t>
        </is>
      </c>
      <c r="D50" t="inlineStr">
        <is>
          <t>cvcahayaalamjayamakmur@gmail.com</t>
        </is>
      </c>
      <c r="E50" t="inlineStr">
        <is>
          <t>https://lpjk.pu.go.id/search-badan-usaha-detail/RGcxa3JyUGpVaGZmcmwrUDIyT3Jrdz09</t>
        </is>
      </c>
      <c r="F50" t="n">
        <v>2</v>
      </c>
      <c r="G50" t="inlineStr">
        <is>
          <t>BG002, BS004</t>
        </is>
      </c>
      <c r="H50" t="inlineStr">
        <is>
          <t>18 September 2023</t>
        </is>
      </c>
      <c r="I50" s="2" t="n">
        <v>46297</v>
      </c>
      <c r="J50" t="inlineStr">
        <is>
          <t>Disetujui</t>
        </is>
      </c>
      <c r="K50" t="n">
        <v>90</v>
      </c>
      <c r="L50" t="inlineStr">
        <is>
          <t>2 Oktober 2026</t>
        </is>
      </c>
      <c r="M50" t="inlineStr">
        <is>
          <t>Konstruksi Gedung Perkantoran, Konstruksi Jaringan Irigasi dan Drainase</t>
        </is>
      </c>
      <c r="N50" t="inlineStr">
        <is>
          <t>K</t>
        </is>
      </c>
      <c r="O50" t="inlineStr">
        <is>
          <t>20230919, 20230930</t>
        </is>
      </c>
      <c r="P50" t="inlineStr">
        <is>
          <t>Lampung</t>
        </is>
      </c>
      <c r="Q50" t="inlineStr"/>
    </row>
    <row r="51">
      <c r="A51" t="inlineStr">
        <is>
          <t>CAHAYA GEMILANG</t>
        </is>
      </c>
      <c r="B51" t="inlineStr">
        <is>
          <t>Kab. Lombok Barat</t>
        </is>
      </c>
      <c r="C51" t="inlineStr">
        <is>
          <t>081933151274</t>
        </is>
      </c>
      <c r="D51" t="inlineStr">
        <is>
          <t>cvcahayagemilang09@gmail.com</t>
        </is>
      </c>
      <c r="E51" t="inlineStr">
        <is>
          <t>https://lpjk.pu.go.id/search-badan-usaha-detail/U0h2WXZZQlhHR1pkQzR3QlIzM1F5dz09</t>
        </is>
      </c>
      <c r="F51" t="n">
        <v>2</v>
      </c>
      <c r="G51" t="inlineStr">
        <is>
          <t>BG001, BG009</t>
        </is>
      </c>
      <c r="H51" t="inlineStr">
        <is>
          <t>6 September 2023</t>
        </is>
      </c>
      <c r="I51" s="2" t="n">
        <v>46297</v>
      </c>
      <c r="J51" t="inlineStr">
        <is>
          <t>Disetujui</t>
        </is>
      </c>
      <c r="K51" t="n">
        <v>90</v>
      </c>
      <c r="L51" t="inlineStr">
        <is>
          <t>2 Oktober 2026</t>
        </is>
      </c>
      <c r="M51" t="inlineStr">
        <is>
          <t>Konstruksi Gedung Hunian, Konstruksi Gedung Lainnya</t>
        </is>
      </c>
      <c r="N51" t="inlineStr">
        <is>
          <t>K</t>
        </is>
      </c>
      <c r="O51" t="inlineStr">
        <is>
          <t>20230921, 20230925</t>
        </is>
      </c>
      <c r="P51" t="inlineStr">
        <is>
          <t>Nusa Tenggara Barat</t>
        </is>
      </c>
      <c r="Q51" t="inlineStr"/>
    </row>
    <row r="52">
      <c r="A52" t="inlineStr">
        <is>
          <t>CAHAYA SURYA</t>
        </is>
      </c>
      <c r="B52" t="inlineStr">
        <is>
          <t>Kab. Majene</t>
        </is>
      </c>
      <c r="C52" t="inlineStr">
        <is>
          <t>082182367979</t>
        </is>
      </c>
      <c r="D52" t="inlineStr">
        <is>
          <t>ilhamlaode1986@gmail.com</t>
        </is>
      </c>
      <c r="E52" t="inlineStr">
        <is>
          <t>https://lpjk.pu.go.id/search-badan-usaha-detail/Sm1nQTl4dlZNRUhsaWFCSXFvOG4rdz09</t>
        </is>
      </c>
      <c r="F52" t="n">
        <v>1</v>
      </c>
      <c r="G52" t="inlineStr">
        <is>
          <t>BS016</t>
        </is>
      </c>
      <c r="H52" t="inlineStr">
        <is>
          <t>18 November 1993</t>
        </is>
      </c>
      <c r="I52" s="2" t="n">
        <v>46297</v>
      </c>
      <c r="J52" t="inlineStr">
        <is>
          <t>Pencabutan</t>
        </is>
      </c>
      <c r="K52" t="n">
        <v>90</v>
      </c>
      <c r="L52" t="inlineStr">
        <is>
          <t>2 Oktober 2026</t>
        </is>
      </c>
      <c r="M52" t="inlineStr">
        <is>
          <t>Konstruksi Bangunan Sipil Fasilitas Olah Raga</t>
        </is>
      </c>
      <c r="N52" t="inlineStr">
        <is>
          <t>K</t>
        </is>
      </c>
      <c r="O52" t="inlineStr">
        <is>
          <t>20230930</t>
        </is>
      </c>
      <c r="P52" t="inlineStr">
        <is>
          <t>Sulawesi Barat</t>
        </is>
      </c>
      <c r="Q52" t="inlineStr"/>
    </row>
    <row r="53">
      <c r="A53" t="inlineStr">
        <is>
          <t>CAKRAWALA</t>
        </is>
      </c>
      <c r="B53" t="inlineStr">
        <is>
          <t>Kab. Tuban</t>
        </is>
      </c>
      <c r="C53" t="inlineStr">
        <is>
          <t>N/A</t>
        </is>
      </c>
      <c r="D53" t="inlineStr">
        <is>
          <t>N/A</t>
        </is>
      </c>
      <c r="E53" t="inlineStr">
        <is>
          <t>https://lpjk.pu.go.id/search-badan-usaha-detail/QTVXckNCOTlNY0VIWk5jTUgyYXg3QT09</t>
        </is>
      </c>
      <c r="F53" t="n">
        <v>1</v>
      </c>
      <c r="G53" t="inlineStr">
        <is>
          <t>BG001</t>
        </is>
      </c>
      <c r="H53" t="inlineStr"/>
      <c r="I53" s="2" t="n">
        <v>46297</v>
      </c>
      <c r="J53" t="inlineStr">
        <is>
          <t>Disetujui</t>
        </is>
      </c>
      <c r="K53" t="n">
        <v>90</v>
      </c>
      <c r="L53" t="inlineStr">
        <is>
          <t>2 Oktober 2026</t>
        </is>
      </c>
      <c r="M53" t="inlineStr">
        <is>
          <t>Konstruksi Gedung Hunian</t>
        </is>
      </c>
      <c r="N53" t="inlineStr">
        <is>
          <t>K</t>
        </is>
      </c>
      <c r="O53" t="inlineStr">
        <is>
          <t>20230927</t>
        </is>
      </c>
      <c r="P53" t="inlineStr">
        <is>
          <t>Jawa Timur</t>
        </is>
      </c>
      <c r="Q53" t="inlineStr"/>
    </row>
    <row r="54">
      <c r="A54" t="inlineStr">
        <is>
          <t>CITRA PERKASA</t>
        </is>
      </c>
      <c r="B54" t="inlineStr">
        <is>
          <t>Kab. Kulon Progo</t>
        </is>
      </c>
      <c r="C54" t="inlineStr">
        <is>
          <t>081215540298</t>
        </is>
      </c>
      <c r="D54" t="inlineStr">
        <is>
          <t>ervinsofiana77@gmail.com</t>
        </is>
      </c>
      <c r="E54" t="inlineStr">
        <is>
          <t>https://lpjk.pu.go.id/search-badan-usaha-detail/UHo2VlkwazIvRkJCTFBNclpjOFYwQT09</t>
        </is>
      </c>
      <c r="F54" t="n">
        <v>3</v>
      </c>
      <c r="G54" t="inlineStr">
        <is>
          <t>BS001</t>
        </is>
      </c>
      <c r="H54" t="inlineStr">
        <is>
          <t>22 Juni 2011</t>
        </is>
      </c>
      <c r="I54" s="2" t="n">
        <v>46297</v>
      </c>
      <c r="J54" t="inlineStr">
        <is>
          <t>Disetujui</t>
        </is>
      </c>
      <c r="K54" t="n">
        <v>90</v>
      </c>
      <c r="L54" t="inlineStr">
        <is>
          <t>2 Oktober 2026</t>
        </is>
      </c>
      <c r="M54" t="inlineStr">
        <is>
          <t>Konstruksi Bangunan Sipil Jalan</t>
        </is>
      </c>
      <c r="N54" t="inlineStr">
        <is>
          <t>K</t>
        </is>
      </c>
      <c r="O54" t="inlineStr">
        <is>
          <t>20231002</t>
        </is>
      </c>
      <c r="P54" t="inlineStr">
        <is>
          <t>DI Yogyakarta</t>
        </is>
      </c>
      <c r="Q54" t="inlineStr"/>
    </row>
    <row r="55">
      <c r="A55" t="inlineStr">
        <is>
          <t>CITRA PESONA</t>
        </is>
      </c>
      <c r="B55" t="inlineStr">
        <is>
          <t>Kota Semarang</t>
        </is>
      </c>
      <c r="C55" t="inlineStr">
        <is>
          <t>08112919796</t>
        </is>
      </c>
      <c r="D55" t="inlineStr">
        <is>
          <t>cv.citra.pesona789@gmail.com</t>
        </is>
      </c>
      <c r="E55" t="inlineStr">
        <is>
          <t>https://lpjk.pu.go.id/search-badan-usaha-detail/dHNUMlZEbG96NERuMFJUZUFrYmJqQT09</t>
        </is>
      </c>
      <c r="F55" t="n">
        <v>3</v>
      </c>
      <c r="G55" t="inlineStr">
        <is>
          <t>BG002, BG006, BG009</t>
        </is>
      </c>
      <c r="H55" t="inlineStr">
        <is>
          <t>4 Mei 2011</t>
        </is>
      </c>
      <c r="I55" s="2" t="n">
        <v>46297</v>
      </c>
      <c r="J55" t="inlineStr">
        <is>
          <t>Disetujui</t>
        </is>
      </c>
      <c r="K55" t="n">
        <v>90</v>
      </c>
      <c r="L55" t="inlineStr">
        <is>
          <t>2 Oktober 2026</t>
        </is>
      </c>
      <c r="M55" t="inlineStr">
        <is>
          <t>Konstruksi Gedung Lainnya, Konstruksi Gedung Pendidikan, Konstruksi Gedung Perkantoran</t>
        </is>
      </c>
      <c r="N55" t="inlineStr">
        <is>
          <t>K</t>
        </is>
      </c>
      <c r="O55" t="inlineStr">
        <is>
          <t>20230930</t>
        </is>
      </c>
      <c r="P55" t="inlineStr">
        <is>
          <t>Jawa Tengah</t>
        </is>
      </c>
      <c r="Q55" t="inlineStr"/>
    </row>
    <row r="56">
      <c r="A56" t="inlineStr">
        <is>
          <t>CITRA PRIMA</t>
        </is>
      </c>
      <c r="B56" t="inlineStr">
        <is>
          <t>Kab. Majene</t>
        </is>
      </c>
      <c r="C56" t="inlineStr">
        <is>
          <t>085824213201</t>
        </is>
      </c>
      <c r="D56" t="inlineStr">
        <is>
          <t>cvcitraprima616@gmail.com</t>
        </is>
      </c>
      <c r="E56" t="inlineStr">
        <is>
          <t>https://lpjk.pu.go.id/search-badan-usaha-detail/NGFWL05hSVV1ZGdtNHlzYTFCd1FLQT09</t>
        </is>
      </c>
      <c r="F56" t="n">
        <v>4</v>
      </c>
      <c r="G56" t="inlineStr">
        <is>
          <t>BG002, BG006, BS005, BS010</t>
        </is>
      </c>
      <c r="H56" t="inlineStr">
        <is>
          <t>17 Juli 2002</t>
        </is>
      </c>
      <c r="I56" s="2" t="n">
        <v>46297</v>
      </c>
      <c r="J56" t="inlineStr">
        <is>
          <t>Pencabutan</t>
        </is>
      </c>
      <c r="K56" t="n">
        <v>90</v>
      </c>
      <c r="L56" t="inlineStr">
        <is>
          <t>2 Oktober 2026</t>
        </is>
      </c>
      <c r="M56" t="inlineStr">
        <is>
          <t>Konstruksi Bangunan Prasarana Sumber Daya Air, Konstruksi Bangunan Sipil Pengolahan Air Bersih, Konstruksi Gedung Pendidikan, Konstruksi Gedung Perkantoran</t>
        </is>
      </c>
      <c r="N56" t="inlineStr">
        <is>
          <t>K</t>
        </is>
      </c>
      <c r="O56" t="inlineStr">
        <is>
          <t>20230929</t>
        </is>
      </c>
      <c r="P56" t="inlineStr">
        <is>
          <t>Sulawesi Barat</t>
        </is>
      </c>
      <c r="Q56" t="inlineStr"/>
    </row>
    <row r="57">
      <c r="A57" t="inlineStr">
        <is>
          <t>CITRA WANA ABADI</t>
        </is>
      </c>
      <c r="B57" t="inlineStr">
        <is>
          <t>Kab. Barito Kuala</t>
        </is>
      </c>
      <c r="C57" t="inlineStr">
        <is>
          <t>081348090410</t>
        </is>
      </c>
      <c r="D57" t="inlineStr">
        <is>
          <t>cvcitrawanaabadi@gmail.com</t>
        </is>
      </c>
      <c r="E57" t="inlineStr">
        <is>
          <t>https://lpjk.pu.go.id/search-badan-usaha-detail/dXk5bnRYWlpjS2VrRS95L1NUSEhKdz09</t>
        </is>
      </c>
      <c r="F57" t="n">
        <v>3</v>
      </c>
      <c r="G57" t="inlineStr">
        <is>
          <t>BS001, BS004</t>
        </is>
      </c>
      <c r="H57" t="inlineStr">
        <is>
          <t>9 Agustus 2023</t>
        </is>
      </c>
      <c r="I57" s="2" t="n">
        <v>46297</v>
      </c>
      <c r="J57" t="inlineStr">
        <is>
          <t>Disetujui</t>
        </is>
      </c>
      <c r="K57" t="n">
        <v>90</v>
      </c>
      <c r="L57" t="inlineStr">
        <is>
          <t>2 Oktober 2026</t>
        </is>
      </c>
      <c r="M57" t="inlineStr">
        <is>
          <t>Konstruksi Bangunan Sipil Jalan, Konstruksi Jaringan Irigasi dan Drainase</t>
        </is>
      </c>
      <c r="N57" t="inlineStr">
        <is>
          <t>K</t>
        </is>
      </c>
      <c r="O57" t="inlineStr">
        <is>
          <t>20230920, 20231002</t>
        </is>
      </c>
      <c r="P57" t="inlineStr">
        <is>
          <t>Kalimantan Selatan</t>
        </is>
      </c>
      <c r="Q57" t="inlineStr"/>
    </row>
    <row r="58">
      <c r="A58" t="inlineStr">
        <is>
          <t>DANATHREE JAYA</t>
        </is>
      </c>
      <c r="B58" t="inlineStr">
        <is>
          <t>Kab. Muara Enim</t>
        </is>
      </c>
      <c r="C58" t="inlineStr">
        <is>
          <t>085268022560</t>
        </is>
      </c>
      <c r="D58" t="inlineStr">
        <is>
          <t>danathreejaya@gmail.com</t>
        </is>
      </c>
      <c r="E58" t="inlineStr">
        <is>
          <t>https://lpjk.pu.go.id/search-badan-usaha-detail/VlpTSWFIaW5HSVhLQWNwcXZsZXBBdz09</t>
        </is>
      </c>
      <c r="F58" t="n">
        <v>3</v>
      </c>
      <c r="G58" t="inlineStr">
        <is>
          <t>BG006, BS001, BS004</t>
        </is>
      </c>
      <c r="H58" t="inlineStr">
        <is>
          <t>13 Agustus 2020</t>
        </is>
      </c>
      <c r="I58" s="2" t="n">
        <v>46297</v>
      </c>
      <c r="J58" t="inlineStr">
        <is>
          <t>Disetujui</t>
        </is>
      </c>
      <c r="K58" t="n">
        <v>90</v>
      </c>
      <c r="L58" t="inlineStr">
        <is>
          <t>2 Oktober 2026</t>
        </is>
      </c>
      <c r="M58" t="inlineStr">
        <is>
          <t>Konstruksi Bangunan Sipil Jalan, Konstruksi Gedung Pendidikan, Konstruksi Jaringan Irigasi dan Drainase</t>
        </is>
      </c>
      <c r="N58" t="inlineStr">
        <is>
          <t>K</t>
        </is>
      </c>
      <c r="O58" t="inlineStr">
        <is>
          <t>20230930</t>
        </is>
      </c>
      <c r="P58" t="inlineStr">
        <is>
          <t>Sumatera Selatan</t>
        </is>
      </c>
      <c r="Q58" t="inlineStr"/>
    </row>
    <row r="59">
      <c r="A59" t="inlineStr">
        <is>
          <t>DEKA JAYA SEJAHTERA</t>
        </is>
      </c>
      <c r="B59" t="inlineStr">
        <is>
          <t>Kab. Sidoarjo</t>
        </is>
      </c>
      <c r="C59" t="inlineStr">
        <is>
          <t>0317885720</t>
        </is>
      </c>
      <c r="D59" t="inlineStr">
        <is>
          <t>dekajayasejahtera@yahoo.com</t>
        </is>
      </c>
      <c r="E59" t="inlineStr">
        <is>
          <t>https://lpjk.pu.go.id/search-badan-usaha-detail/clJnMEpsZkZzR1RzWVE0K1ZMRUg1UT09</t>
        </is>
      </c>
      <c r="F59" t="n">
        <v>1</v>
      </c>
      <c r="G59" t="inlineStr">
        <is>
          <t>BG003</t>
        </is>
      </c>
      <c r="H59" t="inlineStr">
        <is>
          <t>5 April 2013</t>
        </is>
      </c>
      <c r="I59" s="2" t="n">
        <v>46297</v>
      </c>
      <c r="J59" t="inlineStr">
        <is>
          <t>Disetujui</t>
        </is>
      </c>
      <c r="K59" t="n">
        <v>90</v>
      </c>
      <c r="L59" t="inlineStr">
        <is>
          <t>2 Oktober 2026</t>
        </is>
      </c>
      <c r="M59" t="inlineStr">
        <is>
          <t>Konstruksi Gedung Industri</t>
        </is>
      </c>
      <c r="N59" t="inlineStr">
        <is>
          <t>K</t>
        </is>
      </c>
      <c r="O59" t="inlineStr">
        <is>
          <t>20230828</t>
        </is>
      </c>
      <c r="P59" t="inlineStr">
        <is>
          <t>Jawa Timur</t>
        </is>
      </c>
      <c r="Q59" t="inlineStr"/>
    </row>
    <row r="60">
      <c r="A60" t="inlineStr">
        <is>
          <t>DEWANTO CIPTA PRATAMA</t>
        </is>
      </c>
      <c r="B60" t="inlineStr">
        <is>
          <t>Kota Adm. Jakarta Pusat</t>
        </is>
      </c>
      <c r="C60" t="inlineStr">
        <is>
          <t>02142883114</t>
        </is>
      </c>
      <c r="D60" t="inlineStr">
        <is>
          <t>dewantocipta_pratama@yahoo.co.id</t>
        </is>
      </c>
      <c r="E60" t="inlineStr">
        <is>
          <t>https://lpjk.pu.go.id/search-badan-usaha-detail/ZEdzSnlnMTVaMVlZMTlTV2owNmpCUT09</t>
        </is>
      </c>
      <c r="F60" t="n">
        <v>1</v>
      </c>
      <c r="G60" t="inlineStr">
        <is>
          <t>BS001</t>
        </is>
      </c>
      <c r="H60" t="inlineStr">
        <is>
          <t>30 April 1997</t>
        </is>
      </c>
      <c r="I60" s="2" t="n">
        <v>46297</v>
      </c>
      <c r="J60" t="inlineStr">
        <is>
          <t>Pencabutan</t>
        </is>
      </c>
      <c r="K60" t="n">
        <v>90</v>
      </c>
      <c r="L60" t="inlineStr">
        <is>
          <t>2 Oktober 2026</t>
        </is>
      </c>
      <c r="M60" t="inlineStr">
        <is>
          <t>Konstruksi Bangunan Sipil Jalan</t>
        </is>
      </c>
      <c r="N60" t="inlineStr">
        <is>
          <t>B</t>
        </is>
      </c>
      <c r="O60" t="inlineStr">
        <is>
          <t>20230927</t>
        </is>
      </c>
      <c r="P60" t="inlineStr">
        <is>
          <t>DKI Jakarta</t>
        </is>
      </c>
      <c r="Q60" t="inlineStr"/>
    </row>
    <row r="61">
      <c r="A61" t="inlineStr">
        <is>
          <t>DEWATA KARYA</t>
        </is>
      </c>
      <c r="B61" t="inlineStr">
        <is>
          <t>Kab. Buleleng</t>
        </is>
      </c>
      <c r="C61" t="inlineStr">
        <is>
          <t>081337156165</t>
        </is>
      </c>
      <c r="D61" t="inlineStr">
        <is>
          <t>dewata_karya@yahoo.co.id</t>
        </is>
      </c>
      <c r="E61" t="inlineStr">
        <is>
          <t>https://lpjk.pu.go.id/search-badan-usaha-detail/WHV2OGhLT2M1T1N6bm5iNjV2aHBSdz09</t>
        </is>
      </c>
      <c r="F61" t="n">
        <v>2</v>
      </c>
      <c r="G61" t="inlineStr">
        <is>
          <t>BS001</t>
        </is>
      </c>
      <c r="H61" t="inlineStr">
        <is>
          <t>21 September 2007</t>
        </is>
      </c>
      <c r="I61" s="2" t="n">
        <v>46297</v>
      </c>
      <c r="J61" t="inlineStr">
        <is>
          <t>Disetujui</t>
        </is>
      </c>
      <c r="K61" t="n">
        <v>90</v>
      </c>
      <c r="L61" t="inlineStr">
        <is>
          <t>2 Oktober 2026</t>
        </is>
      </c>
      <c r="M61" t="inlineStr">
        <is>
          <t>Konstruksi Bangunan Sipil Jalan</t>
        </is>
      </c>
      <c r="N61" t="inlineStr">
        <is>
          <t>K</t>
        </is>
      </c>
      <c r="O61" t="inlineStr">
        <is>
          <t>20230921</t>
        </is>
      </c>
      <c r="P61" t="inlineStr">
        <is>
          <t>Bali</t>
        </is>
      </c>
      <c r="Q61" t="inlineStr"/>
    </row>
    <row r="62">
      <c r="A62" t="inlineStr">
        <is>
          <t>DIGDAYA KARYA MANDIRI</t>
        </is>
      </c>
      <c r="B62" t="inlineStr">
        <is>
          <t>Kota Adm. Jakarta Selatan</t>
        </is>
      </c>
      <c r="C62" t="inlineStr">
        <is>
          <t>087870118009</t>
        </is>
      </c>
      <c r="D62" t="inlineStr">
        <is>
          <t>digkarmandiri@gmail.com</t>
        </is>
      </c>
      <c r="E62" t="inlineStr">
        <is>
          <t>https://lpjk.pu.go.id/search-badan-usaha-detail/VTB5R2xGL1I1QUpCR1p5RkxTR0xBdz09</t>
        </is>
      </c>
      <c r="F62" t="n">
        <v>1</v>
      </c>
      <c r="G62" t="inlineStr">
        <is>
          <t>BG009</t>
        </is>
      </c>
      <c r="H62" t="inlineStr">
        <is>
          <t>22 Februari 2023</t>
        </is>
      </c>
      <c r="I62" s="2" t="n">
        <v>46297</v>
      </c>
      <c r="J62" t="inlineStr">
        <is>
          <t>Disetujui</t>
        </is>
      </c>
      <c r="K62" t="n">
        <v>90</v>
      </c>
      <c r="L62" t="inlineStr">
        <is>
          <t>2 Oktober 2026</t>
        </is>
      </c>
      <c r="M62" t="inlineStr">
        <is>
          <t>Konstruksi Gedung Lainnya</t>
        </is>
      </c>
      <c r="N62" t="inlineStr">
        <is>
          <t>K</t>
        </is>
      </c>
      <c r="O62" t="inlineStr">
        <is>
          <t>20230405</t>
        </is>
      </c>
      <c r="P62" t="inlineStr">
        <is>
          <t>DKI Jakarta</t>
        </is>
      </c>
      <c r="Q62" t="inlineStr"/>
    </row>
    <row r="63">
      <c r="A63" t="inlineStr">
        <is>
          <t>DIKA BERSAUDARA</t>
        </is>
      </c>
      <c r="B63" t="inlineStr">
        <is>
          <t>Kab. Bojonegoro</t>
        </is>
      </c>
      <c r="C63" t="inlineStr">
        <is>
          <t>082223719260</t>
        </is>
      </c>
      <c r="D63" t="inlineStr">
        <is>
          <t>dikabersaudara442@gmail.com</t>
        </is>
      </c>
      <c r="E63" t="inlineStr">
        <is>
          <t>https://lpjk.pu.go.id/search-badan-usaha-detail/UHI4Tk1LeUl1M2RJak96YjZyc0Z2UT09</t>
        </is>
      </c>
      <c r="F63" t="n">
        <v>1</v>
      </c>
      <c r="G63" t="inlineStr">
        <is>
          <t>BS002</t>
        </is>
      </c>
      <c r="H63" t="inlineStr">
        <is>
          <t>8 September 2022</t>
        </is>
      </c>
      <c r="I63" s="2" t="n">
        <v>46297</v>
      </c>
      <c r="J63" t="inlineStr">
        <is>
          <t>Disetujui</t>
        </is>
      </c>
      <c r="K63" t="n">
        <v>90</v>
      </c>
      <c r="L63" t="inlineStr">
        <is>
          <t>2 Oktober 2026</t>
        </is>
      </c>
      <c r="M63" t="inlineStr">
        <is>
          <t>Bangunan Sipil Jembatan, Jalan Layang, Fly Over, dan Underpass</t>
        </is>
      </c>
      <c r="N63" t="inlineStr">
        <is>
          <t>K</t>
        </is>
      </c>
      <c r="O63" t="inlineStr">
        <is>
          <t>20231003</t>
        </is>
      </c>
      <c r="P63" t="inlineStr">
        <is>
          <t>Jawa Timur</t>
        </is>
      </c>
      <c r="Q63" t="inlineStr"/>
    </row>
    <row r="64">
      <c r="A64" t="inlineStr">
        <is>
          <t>DUA PUTRA BELAYAN</t>
        </is>
      </c>
      <c r="B64" t="inlineStr">
        <is>
          <t>Kab. Kutai Kartanegara</t>
        </is>
      </c>
      <c r="C64" t="inlineStr">
        <is>
          <t>085210742563</t>
        </is>
      </c>
      <c r="D64" t="inlineStr">
        <is>
          <t>duaputrabelayan@gmail.com</t>
        </is>
      </c>
      <c r="E64" t="inlineStr">
        <is>
          <t>https://lpjk.pu.go.id/search-badan-usaha-detail/R2Fxa3hPS20xV3FHU1hNd0RoOGQrQT09</t>
        </is>
      </c>
      <c r="F64" t="n">
        <v>1</v>
      </c>
      <c r="G64" t="inlineStr">
        <is>
          <t>BS001</t>
        </is>
      </c>
      <c r="H64" t="inlineStr">
        <is>
          <t>3 Juli 2023</t>
        </is>
      </c>
      <c r="I64" s="2" t="n">
        <v>46297</v>
      </c>
      <c r="J64" t="inlineStr">
        <is>
          <t>Pencabutan</t>
        </is>
      </c>
      <c r="K64" t="n">
        <v>90</v>
      </c>
      <c r="L64" t="inlineStr">
        <is>
          <t>2 Oktober 2026</t>
        </is>
      </c>
      <c r="M64" t="inlineStr">
        <is>
          <t>Konstruksi Bangunan Sipil Jalan</t>
        </is>
      </c>
      <c r="N64" t="inlineStr">
        <is>
          <t>K</t>
        </is>
      </c>
      <c r="O64" t="inlineStr">
        <is>
          <t>20231002</t>
        </is>
      </c>
      <c r="P64" t="inlineStr">
        <is>
          <t>Kalimantan Timur</t>
        </is>
      </c>
      <c r="Q64" t="inlineStr"/>
    </row>
    <row r="65">
      <c r="A65" t="inlineStr">
        <is>
          <t>DUA SATU PRATAMA</t>
        </is>
      </c>
      <c r="B65" t="inlineStr">
        <is>
          <t>Kab. Hulu Sungai Selatan</t>
        </is>
      </c>
      <c r="C65" t="inlineStr">
        <is>
          <t>051721341</t>
        </is>
      </c>
      <c r="D65" t="inlineStr">
        <is>
          <t>duasatupratama1@gmail.com</t>
        </is>
      </c>
      <c r="E65" t="inlineStr">
        <is>
          <t>https://lpjk.pu.go.id/search-badan-usaha-detail/Q0ptQlovSStKbWp5c2czTkVyUTJhUT09</t>
        </is>
      </c>
      <c r="F65" t="n">
        <v>2</v>
      </c>
      <c r="G65" t="inlineStr">
        <is>
          <t>BG002, BG009</t>
        </is>
      </c>
      <c r="H65" t="inlineStr">
        <is>
          <t>9 Maret 2023</t>
        </is>
      </c>
      <c r="I65" s="2" t="n">
        <v>46297</v>
      </c>
      <c r="J65" t="inlineStr">
        <is>
          <t>Disetujui</t>
        </is>
      </c>
      <c r="K65" t="n">
        <v>90</v>
      </c>
      <c r="L65" t="inlineStr">
        <is>
          <t>2 Oktober 2026</t>
        </is>
      </c>
      <c r="M65" t="inlineStr">
        <is>
          <t>Konstruksi Gedung Lainnya, Konstruksi Gedung Perkantoran</t>
        </is>
      </c>
      <c r="N65" t="inlineStr">
        <is>
          <t>K</t>
        </is>
      </c>
      <c r="O65" t="inlineStr">
        <is>
          <t>20231001</t>
        </is>
      </c>
      <c r="P65" t="inlineStr">
        <is>
          <t>Kalimantan Selatan</t>
        </is>
      </c>
      <c r="Q65" t="inlineStr"/>
    </row>
    <row r="66">
      <c r="A66" t="inlineStr">
        <is>
          <t>DUTA CHAMPION UTAMA</t>
        </is>
      </c>
      <c r="B66" t="inlineStr">
        <is>
          <t>Kota Adm. Jakarta Pusat</t>
        </is>
      </c>
      <c r="C66" t="inlineStr">
        <is>
          <t>08161877589</t>
        </is>
      </c>
      <c r="D66" t="inlineStr">
        <is>
          <t>ctsh777@gmail.com</t>
        </is>
      </c>
      <c r="E66" t="inlineStr">
        <is>
          <t>https://lpjk.pu.go.id/search-badan-usaha-detail/Qm9EbUI0WEhoZlRpWVNJQkh3bFdsdz09</t>
        </is>
      </c>
      <c r="F66" t="n">
        <v>1</v>
      </c>
      <c r="G66" t="inlineStr">
        <is>
          <t>IN004</t>
        </is>
      </c>
      <c r="H66" t="inlineStr">
        <is>
          <t>3 Januari 2000</t>
        </is>
      </c>
      <c r="I66" s="2" t="n">
        <v>46297</v>
      </c>
      <c r="J66" t="inlineStr">
        <is>
          <t>Pembekuan</t>
        </is>
      </c>
      <c r="K66" t="n">
        <v>90</v>
      </c>
      <c r="L66" t="inlineStr">
        <is>
          <t>2 Oktober 2026</t>
        </is>
      </c>
      <c r="M66" t="inlineStr">
        <is>
          <t>Instalasi Minyak dan Gas</t>
        </is>
      </c>
      <c r="N66" t="inlineStr">
        <is>
          <t>Spesialis</t>
        </is>
      </c>
      <c r="O66" t="inlineStr">
        <is>
          <t>20230808</t>
        </is>
      </c>
      <c r="P66" t="inlineStr">
        <is>
          <t>DKI Jakarta</t>
        </is>
      </c>
      <c r="Q66" t="inlineStr"/>
    </row>
    <row r="67">
      <c r="A67" t="inlineStr">
        <is>
          <t>EKA CIPTA PERKASA</t>
        </is>
      </c>
      <c r="B67" t="inlineStr">
        <is>
          <t>Kota Pekalongan</t>
        </is>
      </c>
      <c r="C67" t="inlineStr">
        <is>
          <t>0816692255</t>
        </is>
      </c>
      <c r="D67" t="inlineStr">
        <is>
          <t>ekaciptaperkasacv@gmail.com</t>
        </is>
      </c>
      <c r="E67" t="inlineStr">
        <is>
          <t>https://lpjk.pu.go.id/search-badan-usaha-detail/KzZ5SmtOOS9SYzB5SEx4MFZ4b09OQT09</t>
        </is>
      </c>
      <c r="F67" t="n">
        <v>1</v>
      </c>
      <c r="G67" t="inlineStr">
        <is>
          <t>BG006</t>
        </is>
      </c>
      <c r="H67" t="inlineStr">
        <is>
          <t>12 Februari 2020</t>
        </is>
      </c>
      <c r="I67" s="2" t="n">
        <v>46297</v>
      </c>
      <c r="J67" t="inlineStr">
        <is>
          <t>Disetujui</t>
        </is>
      </c>
      <c r="K67" t="n">
        <v>90</v>
      </c>
      <c r="L67" t="inlineStr">
        <is>
          <t>2 Oktober 2026</t>
        </is>
      </c>
      <c r="M67" t="inlineStr">
        <is>
          <t>Konstruksi Gedung Pendidikan</t>
        </is>
      </c>
      <c r="N67" t="inlineStr">
        <is>
          <t>K</t>
        </is>
      </c>
      <c r="O67" t="inlineStr">
        <is>
          <t>20231003</t>
        </is>
      </c>
      <c r="P67" t="inlineStr">
        <is>
          <t>Jawa Tengah</t>
        </is>
      </c>
      <c r="Q67" t="inlineStr"/>
    </row>
    <row r="68">
      <c r="A68" t="inlineStr">
        <is>
          <t>EKA JAYA BAROKAH</t>
        </is>
      </c>
      <c r="B68" t="inlineStr">
        <is>
          <t>Kab. Klaten</t>
        </is>
      </c>
      <c r="C68" t="inlineStr">
        <is>
          <t>085842788879</t>
        </is>
      </c>
      <c r="D68" t="inlineStr">
        <is>
          <t>haribrijo123@gmail.com</t>
        </is>
      </c>
      <c r="E68" t="inlineStr">
        <is>
          <t>https://lpjk.pu.go.id/search-badan-usaha-detail/elkveC9BRUQzdXNvbFkvRHFVdXI3QT09</t>
        </is>
      </c>
      <c r="F68" t="n">
        <v>1</v>
      </c>
      <c r="G68" t="inlineStr">
        <is>
          <t>BG002</t>
        </is>
      </c>
      <c r="H68" t="inlineStr">
        <is>
          <t>31 Juli 2007</t>
        </is>
      </c>
      <c r="I68" s="2" t="n">
        <v>46297</v>
      </c>
      <c r="J68" t="inlineStr">
        <is>
          <t>Disetujui</t>
        </is>
      </c>
      <c r="K68" t="n">
        <v>90</v>
      </c>
      <c r="L68" t="inlineStr">
        <is>
          <t>2 Oktober 2026</t>
        </is>
      </c>
      <c r="M68" t="inlineStr">
        <is>
          <t>Konstruksi Gedung Perkantoran</t>
        </is>
      </c>
      <c r="N68" t="inlineStr">
        <is>
          <t>K</t>
        </is>
      </c>
      <c r="O68" t="inlineStr">
        <is>
          <t>20230929</t>
        </is>
      </c>
      <c r="P68" t="inlineStr">
        <is>
          <t>Jawa Tengah</t>
        </is>
      </c>
      <c r="Q68" t="inlineStr"/>
    </row>
    <row r="69">
      <c r="A69" t="inlineStr">
        <is>
          <t>EKO JAYA MAKMUR</t>
        </is>
      </c>
      <c r="B69" t="inlineStr">
        <is>
          <t>Kota Surabaya</t>
        </is>
      </c>
      <c r="C69" t="inlineStr">
        <is>
          <t>081357976444</t>
        </is>
      </c>
      <c r="D69" t="inlineStr">
        <is>
          <t>ekojayamakmursby@gmail.com</t>
        </is>
      </c>
      <c r="E69" t="inlineStr">
        <is>
          <t>https://lpjk.pu.go.id/search-badan-usaha-detail/TTZsRXNiTzhBV3NBM09tK2oxcC92dz09</t>
        </is>
      </c>
      <c r="F69" t="n">
        <v>1</v>
      </c>
      <c r="G69" t="inlineStr">
        <is>
          <t>BS001</t>
        </is>
      </c>
      <c r="H69" t="inlineStr">
        <is>
          <t>20 September 2023</t>
        </is>
      </c>
      <c r="I69" s="2" t="n">
        <v>46297</v>
      </c>
      <c r="J69" t="inlineStr">
        <is>
          <t>Disetujui</t>
        </is>
      </c>
      <c r="K69" t="n">
        <v>90</v>
      </c>
      <c r="L69" t="inlineStr">
        <is>
          <t>2 Oktober 2026</t>
        </is>
      </c>
      <c r="M69" t="inlineStr">
        <is>
          <t>Konstruksi Bangunan Sipil Jalan</t>
        </is>
      </c>
      <c r="N69" t="inlineStr">
        <is>
          <t>K</t>
        </is>
      </c>
      <c r="O69" t="inlineStr">
        <is>
          <t>20230930</t>
        </is>
      </c>
      <c r="P69" t="inlineStr">
        <is>
          <t>Jawa Timur</t>
        </is>
      </c>
      <c r="Q69" t="inlineStr"/>
    </row>
    <row r="70">
      <c r="A70" t="inlineStr">
        <is>
          <t>ESTU RAMA ABDI</t>
        </is>
      </c>
      <c r="B70" t="inlineStr">
        <is>
          <t>Kab. Mempawah</t>
        </is>
      </c>
      <c r="C70" t="inlineStr">
        <is>
          <t>085245548811</t>
        </is>
      </c>
      <c r="D70" t="inlineStr">
        <is>
          <t>esturamaabdi77@gmail.com</t>
        </is>
      </c>
      <c r="E70" t="inlineStr">
        <is>
          <t>https://lpjk.pu.go.id/search-badan-usaha-detail/ZEpabllqMTZFNTZJQnMvU2t5a0I5dz09</t>
        </is>
      </c>
      <c r="F70" t="n">
        <v>2</v>
      </c>
      <c r="G70" t="inlineStr">
        <is>
          <t>BG001, BG003</t>
        </is>
      </c>
      <c r="H70" t="inlineStr">
        <is>
          <t>26 Februari 2002</t>
        </is>
      </c>
      <c r="I70" s="2" t="n">
        <v>46297</v>
      </c>
      <c r="J70" t="inlineStr">
        <is>
          <t>Disetujui</t>
        </is>
      </c>
      <c r="K70" t="n">
        <v>90</v>
      </c>
      <c r="L70" t="inlineStr">
        <is>
          <t>2 Oktober 2026</t>
        </is>
      </c>
      <c r="M70" t="inlineStr">
        <is>
          <t>Konstruksi Gedung Hunian, Konstruksi Gedung Industri</t>
        </is>
      </c>
      <c r="N70" t="inlineStr">
        <is>
          <t>K</t>
        </is>
      </c>
      <c r="O70" t="inlineStr">
        <is>
          <t>20231003</t>
        </is>
      </c>
      <c r="P70" t="inlineStr">
        <is>
          <t>Kalimantan Barat</t>
        </is>
      </c>
      <c r="Q70" t="inlineStr"/>
    </row>
    <row r="71">
      <c r="A71" t="inlineStr">
        <is>
          <t>FAJAR</t>
        </is>
      </c>
      <c r="B71" t="inlineStr">
        <is>
          <t>Kab. Magetan</t>
        </is>
      </c>
      <c r="C71" t="inlineStr">
        <is>
          <t>081359909180</t>
        </is>
      </c>
      <c r="D71" t="inlineStr">
        <is>
          <t>selorejofajar15@gmail.com</t>
        </is>
      </c>
      <c r="E71" t="inlineStr">
        <is>
          <t>https://lpjk.pu.go.id/search-badan-usaha-detail/Nnc5MlNyRjU1RHpxQ05JSzFuQS9mdz09</t>
        </is>
      </c>
      <c r="F71" t="n">
        <v>2</v>
      </c>
      <c r="G71" t="inlineStr">
        <is>
          <t>BS001, BS004</t>
        </is>
      </c>
      <c r="H71" t="inlineStr">
        <is>
          <t>22 Juni 2012</t>
        </is>
      </c>
      <c r="I71" s="2" t="n">
        <v>46297</v>
      </c>
      <c r="J71" t="inlineStr">
        <is>
          <t>Disetujui</t>
        </is>
      </c>
      <c r="K71" t="n">
        <v>90</v>
      </c>
      <c r="L71" t="inlineStr">
        <is>
          <t>2 Oktober 2026</t>
        </is>
      </c>
      <c r="M71" t="inlineStr">
        <is>
          <t>Konstruksi Bangunan Sipil Jalan, Konstruksi Jaringan Irigasi dan Drainase</t>
        </is>
      </c>
      <c r="N71" t="inlineStr">
        <is>
          <t>K</t>
        </is>
      </c>
      <c r="O71" t="inlineStr">
        <is>
          <t>20230930</t>
        </is>
      </c>
      <c r="P71" t="inlineStr">
        <is>
          <t>Jawa Timur</t>
        </is>
      </c>
      <c r="Q71" t="inlineStr"/>
    </row>
    <row r="72">
      <c r="A72" t="inlineStr">
        <is>
          <t>FAJAR MULIA</t>
        </is>
      </c>
      <c r="B72" t="inlineStr">
        <is>
          <t>Kab. Tuban</t>
        </is>
      </c>
      <c r="C72" t="inlineStr">
        <is>
          <t>082234222576</t>
        </is>
      </c>
      <c r="D72" t="inlineStr">
        <is>
          <t>fajarmuliatbn.baru@gmail.com</t>
        </is>
      </c>
      <c r="E72" t="inlineStr">
        <is>
          <t>https://lpjk.pu.go.id/search-badan-usaha-detail/WmxMMGJ3RysrUlBkRkllUGNRUlhvZz09</t>
        </is>
      </c>
      <c r="F72" t="n">
        <v>1</v>
      </c>
      <c r="G72" t="inlineStr">
        <is>
          <t>BS002</t>
        </is>
      </c>
      <c r="H72" t="inlineStr">
        <is>
          <t>2 Februari 2012</t>
        </is>
      </c>
      <c r="I72" s="2" t="n">
        <v>46297</v>
      </c>
      <c r="J72" t="inlineStr">
        <is>
          <t>Pencabutan</t>
        </is>
      </c>
      <c r="K72" t="n">
        <v>90</v>
      </c>
      <c r="L72" t="inlineStr">
        <is>
          <t>2 Oktober 2026</t>
        </is>
      </c>
      <c r="M72" t="inlineStr">
        <is>
          <t>Bangunan Sipil Jembatan, Jalan Layang, Fly Over, dan Underpass</t>
        </is>
      </c>
      <c r="N72" t="inlineStr">
        <is>
          <t>K</t>
        </is>
      </c>
      <c r="O72" t="inlineStr">
        <is>
          <t>20230927</t>
        </is>
      </c>
      <c r="P72" t="inlineStr">
        <is>
          <t>Jawa Timur</t>
        </is>
      </c>
      <c r="Q72" t="inlineStr"/>
    </row>
    <row r="73">
      <c r="A73" t="inlineStr">
        <is>
          <t>FARIS CIPTA RAJASA</t>
        </is>
      </c>
      <c r="B73" t="inlineStr">
        <is>
          <t>Kab. Tangerang</t>
        </is>
      </c>
      <c r="C73" t="inlineStr">
        <is>
          <t>08128147613</t>
        </is>
      </c>
      <c r="D73" t="inlineStr">
        <is>
          <t>farisciptarajasa@gmail.com</t>
        </is>
      </c>
      <c r="E73" t="inlineStr">
        <is>
          <t>https://lpjk.pu.go.id/search-badan-usaha-detail/TnlBNTdBYXZlQW1VakJpMTEvNHR6QT09</t>
        </is>
      </c>
      <c r="F73" t="n">
        <v>2</v>
      </c>
      <c r="G73" t="inlineStr">
        <is>
          <t>BG002, BG005</t>
        </is>
      </c>
      <c r="H73" t="inlineStr">
        <is>
          <t>28 Januari 2015</t>
        </is>
      </c>
      <c r="I73" s="2" t="n">
        <v>46297</v>
      </c>
      <c r="J73" t="inlineStr">
        <is>
          <t>Disetujui</t>
        </is>
      </c>
      <c r="K73" t="n">
        <v>90</v>
      </c>
      <c r="L73" t="inlineStr">
        <is>
          <t>2 Oktober 2026</t>
        </is>
      </c>
      <c r="M73" t="inlineStr">
        <is>
          <t>Konstruksi Gedung Kesehatan, Konstruksi Gedung Perkantoran</t>
        </is>
      </c>
      <c r="N73" t="inlineStr">
        <is>
          <t>K</t>
        </is>
      </c>
      <c r="O73" t="inlineStr">
        <is>
          <t>20230930</t>
        </is>
      </c>
      <c r="P73" t="inlineStr">
        <is>
          <t>Banten</t>
        </is>
      </c>
      <c r="Q73" t="inlineStr"/>
    </row>
    <row r="74">
      <c r="A74" t="inlineStr">
        <is>
          <t>GAPURA ASTANA BATARA</t>
        </is>
      </c>
      <c r="B74" t="inlineStr">
        <is>
          <t>Kab. Maros</t>
        </is>
      </c>
      <c r="C74" t="inlineStr">
        <is>
          <t>085299149915</t>
        </is>
      </c>
      <c r="D74" t="inlineStr">
        <is>
          <t>cv.gapuraastanabatara@yahoo.co.id</t>
        </is>
      </c>
      <c r="E74" t="inlineStr">
        <is>
          <t>https://lpjk.pu.go.id/search-badan-usaha-detail/TVFmSEhrS0NwenRDQ0RvZ2crbWVxZz09</t>
        </is>
      </c>
      <c r="F74" t="n">
        <v>3</v>
      </c>
      <c r="G74" t="inlineStr">
        <is>
          <t>BG005, BG006, BG008</t>
        </is>
      </c>
      <c r="H74" t="inlineStr">
        <is>
          <t>12 April 2021</t>
        </is>
      </c>
      <c r="I74" s="2" t="n">
        <v>46297</v>
      </c>
      <c r="J74" t="inlineStr">
        <is>
          <t>Pencabutan</t>
        </is>
      </c>
      <c r="K74" t="n">
        <v>90</v>
      </c>
      <c r="L74" t="inlineStr">
        <is>
          <t>2 Oktober 2026</t>
        </is>
      </c>
      <c r="M74" t="inlineStr">
        <is>
          <t>Konstruksi Gedung Kesehatan, Konstruksi Gedung Pendidikan, Konstruksi Gedung Tempat Hiburan dan Olahraga</t>
        </is>
      </c>
      <c r="N74" t="inlineStr">
        <is>
          <t>K</t>
        </is>
      </c>
      <c r="O74" t="inlineStr">
        <is>
          <t>20230918</t>
        </is>
      </c>
      <c r="P74" t="inlineStr">
        <is>
          <t>Sulawesi Selatan</t>
        </is>
      </c>
      <c r="Q74" t="inlineStr"/>
    </row>
    <row r="75">
      <c r="A75" t="inlineStr">
        <is>
          <t>GELANTER GROUP</t>
        </is>
      </c>
      <c r="B75" t="inlineStr">
        <is>
          <t>Kab. Asahan</t>
        </is>
      </c>
      <c r="C75" t="inlineStr">
        <is>
          <t>08116712306</t>
        </is>
      </c>
      <c r="D75" t="inlineStr">
        <is>
          <t>cvgelantergroup@gmail.com</t>
        </is>
      </c>
      <c r="E75" t="inlineStr">
        <is>
          <t>https://lpjk.pu.go.id/search-badan-usaha-detail/OXVGZXMvd3VTbmp1R252a0E2dnZhdz09</t>
        </is>
      </c>
      <c r="F75" t="n">
        <v>1</v>
      </c>
      <c r="G75" t="inlineStr">
        <is>
          <t>BS004</t>
        </is>
      </c>
      <c r="H75" t="inlineStr">
        <is>
          <t>3 April 2023</t>
        </is>
      </c>
      <c r="I75" s="2" t="n">
        <v>46297</v>
      </c>
      <c r="J75" t="inlineStr">
        <is>
          <t>Pencabutan</t>
        </is>
      </c>
      <c r="K75" t="n">
        <v>90</v>
      </c>
      <c r="L75" t="inlineStr">
        <is>
          <t>2 Oktober 2026</t>
        </is>
      </c>
      <c r="M75" t="inlineStr">
        <is>
          <t>Konstruksi Jaringan Irigasi dan Drainase</t>
        </is>
      </c>
      <c r="N75" t="inlineStr">
        <is>
          <t>K</t>
        </is>
      </c>
      <c r="O75" t="inlineStr">
        <is>
          <t>20230928</t>
        </is>
      </c>
      <c r="P75" t="inlineStr">
        <is>
          <t>Sumatera Utara</t>
        </is>
      </c>
      <c r="Q75" t="inlineStr"/>
    </row>
    <row r="76">
      <c r="A76" t="inlineStr">
        <is>
          <t>GEOTECHNICAL SYSTEMINDO</t>
        </is>
      </c>
      <c r="B76" t="inlineStr">
        <is>
          <t>Kota Adm. Jakarta Selatan</t>
        </is>
      </c>
      <c r="C76" t="inlineStr">
        <is>
          <t>02183782609</t>
        </is>
      </c>
      <c r="D76" t="inlineStr">
        <is>
          <t>ga@ptgsi.com</t>
        </is>
      </c>
      <c r="E76" t="inlineStr">
        <is>
          <t>https://lpjk.pu.go.id/search-badan-usaha-detail/Mks1RVdwVUpZMnFiR1lnOHhpNkExdz09</t>
        </is>
      </c>
      <c r="F76" t="n">
        <v>1</v>
      </c>
      <c r="G76" t="inlineStr">
        <is>
          <t>BS004</t>
        </is>
      </c>
      <c r="H76" t="inlineStr">
        <is>
          <t>7 Oktober 2006</t>
        </is>
      </c>
      <c r="I76" s="2" t="n">
        <v>46297</v>
      </c>
      <c r="J76" t="inlineStr">
        <is>
          <t>Disetujui</t>
        </is>
      </c>
      <c r="K76" t="n">
        <v>90</v>
      </c>
      <c r="L76" t="inlineStr">
        <is>
          <t>2 Oktober 2026</t>
        </is>
      </c>
      <c r="M76" t="inlineStr">
        <is>
          <t>Konstruksi Jaringan Irigasi dan Drainase</t>
        </is>
      </c>
      <c r="N76" t="inlineStr">
        <is>
          <t>K</t>
        </is>
      </c>
      <c r="O76" t="inlineStr">
        <is>
          <t>20231003</t>
        </is>
      </c>
      <c r="P76" t="inlineStr">
        <is>
          <t>DKI Jakarta</t>
        </is>
      </c>
      <c r="Q76" t="inlineStr"/>
    </row>
    <row r="77">
      <c r="A77" t="inlineStr">
        <is>
          <t>GIRIMIYO</t>
        </is>
      </c>
      <c r="B77" t="inlineStr">
        <is>
          <t>Kab. Mappi</t>
        </is>
      </c>
      <c r="C77" t="inlineStr">
        <is>
          <t>082291190897</t>
        </is>
      </c>
      <c r="D77" t="inlineStr">
        <is>
          <t>girimiyocv@gmail.com</t>
        </is>
      </c>
      <c r="E77" t="inlineStr">
        <is>
          <t>https://lpjk.pu.go.id/search-badan-usaha-detail/Vys4YkU5UWsvRVBMT2d2aThOajRxUT09</t>
        </is>
      </c>
      <c r="F77" t="n">
        <v>1</v>
      </c>
      <c r="G77" t="inlineStr">
        <is>
          <t>BS001</t>
        </is>
      </c>
      <c r="H77" t="inlineStr">
        <is>
          <t>19 Maret 2021</t>
        </is>
      </c>
      <c r="I77" s="2" t="n">
        <v>46297</v>
      </c>
      <c r="J77" t="inlineStr">
        <is>
          <t>Disetujui</t>
        </is>
      </c>
      <c r="K77" t="n">
        <v>90</v>
      </c>
      <c r="L77" t="inlineStr">
        <is>
          <t>2 Oktober 2026</t>
        </is>
      </c>
      <c r="M77" t="inlineStr">
        <is>
          <t>Konstruksi Bangunan Sipil Jalan</t>
        </is>
      </c>
      <c r="N77" t="inlineStr">
        <is>
          <t>K</t>
        </is>
      </c>
      <c r="O77" t="inlineStr">
        <is>
          <t>20230907</t>
        </is>
      </c>
      <c r="P77" t="inlineStr">
        <is>
          <t>Papua</t>
        </is>
      </c>
      <c r="Q77" t="inlineStr"/>
    </row>
    <row r="78">
      <c r="A78" t="inlineStr">
        <is>
          <t>GLOBALINDO LINTAS SELARAS</t>
        </is>
      </c>
      <c r="B78" t="inlineStr">
        <is>
          <t>Kab. Sidoarjo</t>
        </is>
      </c>
      <c r="C78" t="inlineStr">
        <is>
          <t>082119227107</t>
        </is>
      </c>
      <c r="D78" t="inlineStr">
        <is>
          <t>globalindo.lintasselaras@gmail.com</t>
        </is>
      </c>
      <c r="E78" t="inlineStr">
        <is>
          <t>https://lpjk.pu.go.id/search-badan-usaha-detail/ZU1Leld4d0dTbldNL2JNRUZCZ1Q2dz09</t>
        </is>
      </c>
      <c r="F78" t="n">
        <v>2</v>
      </c>
      <c r="G78" t="inlineStr">
        <is>
          <t>BS009</t>
        </is>
      </c>
      <c r="H78" t="inlineStr">
        <is>
          <t>19 Februari 2019</t>
        </is>
      </c>
      <c r="I78" s="2" t="n">
        <v>46297</v>
      </c>
      <c r="J78" t="inlineStr">
        <is>
          <t>Disetujui</t>
        </is>
      </c>
      <c r="K78" t="n">
        <v>90</v>
      </c>
      <c r="L78" t="inlineStr">
        <is>
          <t>2 Oktober 2026</t>
        </is>
      </c>
      <c r="M78" t="inlineStr">
        <is>
          <t>Konstruksi Sentral Telekomunikasi</t>
        </is>
      </c>
      <c r="N78" t="inlineStr">
        <is>
          <t>K</t>
        </is>
      </c>
      <c r="O78" t="inlineStr">
        <is>
          <t>20230929</t>
        </is>
      </c>
      <c r="P78" t="inlineStr">
        <is>
          <t>Jawa Timur</t>
        </is>
      </c>
      <c r="Q78" t="inlineStr"/>
    </row>
    <row r="79">
      <c r="A79" t="inlineStr">
        <is>
          <t>GRAHA INTI KREASINDO</t>
        </is>
      </c>
      <c r="B79" t="inlineStr">
        <is>
          <t>Kota Adm. Jakarta Selatan</t>
        </is>
      </c>
      <c r="C79" t="inlineStr">
        <is>
          <t>02182850398</t>
        </is>
      </c>
      <c r="D79" t="inlineStr">
        <is>
          <t>grahaintikreasindo@gmail.com</t>
        </is>
      </c>
      <c r="E79" t="inlineStr">
        <is>
          <t>https://lpjk.pu.go.id/search-badan-usaha-detail/c1NRRHJPRFlLUzgyQjJXUFNLSm9YUT09</t>
        </is>
      </c>
      <c r="F79" t="n">
        <v>1</v>
      </c>
      <c r="G79" t="inlineStr">
        <is>
          <t>IN008</t>
        </is>
      </c>
      <c r="H79" t="inlineStr">
        <is>
          <t>30 Oktober 2013</t>
        </is>
      </c>
      <c r="I79" s="2" t="n">
        <v>46297</v>
      </c>
      <c r="J79" t="inlineStr">
        <is>
          <t>Disetujui</t>
        </is>
      </c>
      <c r="K79" t="n">
        <v>90</v>
      </c>
      <c r="L79" t="inlineStr">
        <is>
          <t>2 Oktober 2026</t>
        </is>
      </c>
      <c r="M79" t="inlineStr">
        <is>
          <t>Instalasi Pendingin Dan Ventilasi Udara</t>
        </is>
      </c>
      <c r="N79" t="inlineStr">
        <is>
          <t>Spesialis</t>
        </is>
      </c>
      <c r="O79" t="inlineStr">
        <is>
          <t>20230525</t>
        </is>
      </c>
      <c r="P79" t="inlineStr">
        <is>
          <t>DKI Jakarta</t>
        </is>
      </c>
      <c r="Q79" t="inlineStr"/>
    </row>
    <row r="80">
      <c r="A80" t="inlineStr">
        <is>
          <t>GRAHASINDO PRATAMA</t>
        </is>
      </c>
      <c r="B80" t="inlineStr">
        <is>
          <t>Kab. Bondowoso</t>
        </is>
      </c>
      <c r="C80" t="inlineStr">
        <is>
          <t>082228783413</t>
        </is>
      </c>
      <c r="D80" t="inlineStr">
        <is>
          <t>grahasindopratama@yahoo.com</t>
        </is>
      </c>
      <c r="E80" t="inlineStr">
        <is>
          <t>https://lpjk.pu.go.id/search-badan-usaha-detail/aEJkbFFlTXplQzBtN1VuZGhvbDNPQT09</t>
        </is>
      </c>
      <c r="F80" t="n">
        <v>5</v>
      </c>
      <c r="G80" t="inlineStr">
        <is>
          <t>BG002, BG005, BG006, BG008, BG009</t>
        </is>
      </c>
      <c r="H80" t="inlineStr">
        <is>
          <t>18 Oktober 2002</t>
        </is>
      </c>
      <c r="I80" s="2" t="n">
        <v>46297</v>
      </c>
      <c r="J80" t="inlineStr">
        <is>
          <t>Disetujui</t>
        </is>
      </c>
      <c r="K80" t="n">
        <v>90</v>
      </c>
      <c r="L80" t="inlineStr">
        <is>
          <t>2 Oktober 2026</t>
        </is>
      </c>
      <c r="M80" t="inlineStr">
        <is>
          <t>Konstruksi Gedung Kesehatan, Konstruksi Gedung Lainnya, Konstruksi Gedung Pendidikan, Konstruksi Gedung Perkantoran, Konstruksi Gedung Tempat Hiburan dan Olahraga</t>
        </is>
      </c>
      <c r="N80" t="inlineStr">
        <is>
          <t>K</t>
        </is>
      </c>
      <c r="O80" t="inlineStr">
        <is>
          <t>20231002</t>
        </is>
      </c>
      <c r="P80" t="inlineStr">
        <is>
          <t>Jawa Timur</t>
        </is>
      </c>
      <c r="Q80" t="inlineStr"/>
    </row>
    <row r="81">
      <c r="A81" t="inlineStr">
        <is>
          <t>GRHA BINTANG UTAMA</t>
        </is>
      </c>
      <c r="B81" t="inlineStr">
        <is>
          <t>Kota Adm. Jakarta Selatan</t>
        </is>
      </c>
      <c r="C81" t="inlineStr">
        <is>
          <t>02127098347</t>
        </is>
      </c>
      <c r="D81" t="inlineStr">
        <is>
          <t>pt.grhabintangutama@gmail.com</t>
        </is>
      </c>
      <c r="E81" t="inlineStr">
        <is>
          <t>https://lpjk.pu.go.id/search-badan-usaha-detail/cHFuT0doRXJFQStybmJBUEMwdGNGQT09</t>
        </is>
      </c>
      <c r="F81" t="n">
        <v>2</v>
      </c>
      <c r="G81" t="inlineStr">
        <is>
          <t>BS007, BS009</t>
        </is>
      </c>
      <c r="H81" t="inlineStr">
        <is>
          <t>5 Juni 2023</t>
        </is>
      </c>
      <c r="I81" s="2" t="n">
        <v>46297</v>
      </c>
      <c r="J81" t="inlineStr">
        <is>
          <t>Disetujui, Pencabutan</t>
        </is>
      </c>
      <c r="K81" t="n">
        <v>90</v>
      </c>
      <c r="L81" t="inlineStr">
        <is>
          <t>2 Oktober 2026</t>
        </is>
      </c>
      <c r="M81" t="inlineStr">
        <is>
          <t>Konstruksi Bangunan Sipil Elektrikal, Konstruksi Sentral Telekomunikasi</t>
        </is>
      </c>
      <c r="N81" t="inlineStr">
        <is>
          <t>K</t>
        </is>
      </c>
      <c r="O81" t="inlineStr">
        <is>
          <t>20230926</t>
        </is>
      </c>
      <c r="P81" t="inlineStr">
        <is>
          <t>DKI Jakarta</t>
        </is>
      </c>
      <c r="Q81" t="inlineStr"/>
    </row>
    <row r="82">
      <c r="A82" t="inlineStr">
        <is>
          <t>HADI JAYA</t>
        </is>
      </c>
      <c r="B82" t="inlineStr">
        <is>
          <t>Kab. Langkat</t>
        </is>
      </c>
      <c r="C82" t="inlineStr">
        <is>
          <t>081000000</t>
        </is>
      </c>
      <c r="D82" t="inlineStr">
        <is>
          <t>cv.hadijaya@yahoo.com</t>
        </is>
      </c>
      <c r="E82" t="inlineStr">
        <is>
          <t>https://lpjk.pu.go.id/search-badan-usaha-detail/eUkycXZzdFdtVHpXUzVxR3ZyNkVzUT09</t>
        </is>
      </c>
      <c r="F82" t="n">
        <v>1</v>
      </c>
      <c r="G82" t="inlineStr">
        <is>
          <t>BS001</t>
        </is>
      </c>
      <c r="H82" t="inlineStr">
        <is>
          <t>1 Februari 2010</t>
        </is>
      </c>
      <c r="I82" s="2" t="n">
        <v>46297</v>
      </c>
      <c r="J82" t="inlineStr">
        <is>
          <t>Disetujui</t>
        </is>
      </c>
      <c r="K82" t="n">
        <v>90</v>
      </c>
      <c r="L82" t="inlineStr">
        <is>
          <t>2 Oktober 2026</t>
        </is>
      </c>
      <c r="M82" t="inlineStr">
        <is>
          <t>Konstruksi Bangunan Sipil Jalan</t>
        </is>
      </c>
      <c r="N82" t="inlineStr">
        <is>
          <t>K</t>
        </is>
      </c>
      <c r="O82" t="inlineStr">
        <is>
          <t>20230930</t>
        </is>
      </c>
      <c r="P82" t="inlineStr">
        <is>
          <t>Sumatera Utara</t>
        </is>
      </c>
      <c r="Q82" t="inlineStr"/>
    </row>
    <row r="83">
      <c r="A83" t="inlineStr">
        <is>
          <t>HAMARAYA</t>
        </is>
      </c>
      <c r="B83" t="inlineStr">
        <is>
          <t>Kab. Bandung</t>
        </is>
      </c>
      <c r="C83" t="inlineStr">
        <is>
          <t>081214945339</t>
        </is>
      </c>
      <c r="D83" t="inlineStr">
        <is>
          <t>hamaraya@yahoo.com</t>
        </is>
      </c>
      <c r="E83" t="inlineStr">
        <is>
          <t>https://lpjk.pu.go.id/search-badan-usaha-detail/aTNjWDBrWEpEdU5nRVJUSmxEZ202QT09</t>
        </is>
      </c>
      <c r="F83" t="n">
        <v>3</v>
      </c>
      <c r="G83" t="inlineStr">
        <is>
          <t>BG006, BS005</t>
        </is>
      </c>
      <c r="H83" t="inlineStr">
        <is>
          <t>24 Januari 2020</t>
        </is>
      </c>
      <c r="I83" s="2" t="n">
        <v>46297</v>
      </c>
      <c r="J83" t="inlineStr">
        <is>
          <t>Disetujui</t>
        </is>
      </c>
      <c r="K83" t="n">
        <v>90</v>
      </c>
      <c r="L83" t="inlineStr">
        <is>
          <t>2 Oktober 2026</t>
        </is>
      </c>
      <c r="M83" t="inlineStr">
        <is>
          <t>Konstruksi Bangunan Sipil Pengolahan Air Bersih, Konstruksi Gedung Pendidikan</t>
        </is>
      </c>
      <c r="N83" t="inlineStr">
        <is>
          <t>K</t>
        </is>
      </c>
      <c r="O83" t="inlineStr">
        <is>
          <t>20231003</t>
        </is>
      </c>
      <c r="P83" t="inlineStr">
        <is>
          <t>Jawa Barat</t>
        </is>
      </c>
      <c r="Q83" t="inlineStr"/>
    </row>
    <row r="84">
      <c r="A84" t="inlineStr">
        <is>
          <t>INDO SUPLAI SENTOSA</t>
        </is>
      </c>
      <c r="B84" t="inlineStr">
        <is>
          <t>Kota Bandung</t>
        </is>
      </c>
      <c r="C84" t="inlineStr">
        <is>
          <t>082115500333</t>
        </is>
      </c>
      <c r="D84" t="inlineStr">
        <is>
          <t>indosuplaisentosa3@gmail.com</t>
        </is>
      </c>
      <c r="E84" t="inlineStr">
        <is>
          <t>https://lpjk.pu.go.id/search-badan-usaha-detail/WDN6VytzNERDemRaZ1lzcU9UL3V2dz09</t>
        </is>
      </c>
      <c r="F84" t="n">
        <v>2</v>
      </c>
      <c r="G84" t="inlineStr">
        <is>
          <t>BS001, BS004</t>
        </is>
      </c>
      <c r="H84" t="inlineStr">
        <is>
          <t>19 Agustus 2019</t>
        </is>
      </c>
      <c r="I84" s="2" t="n">
        <v>46297</v>
      </c>
      <c r="J84" t="inlineStr">
        <is>
          <t>Disetujui</t>
        </is>
      </c>
      <c r="K84" t="n">
        <v>90</v>
      </c>
      <c r="L84" t="inlineStr">
        <is>
          <t>2 Oktober 2026</t>
        </is>
      </c>
      <c r="M84" t="inlineStr">
        <is>
          <t>Konstruksi Bangunan Sipil Jalan, Konstruksi Jaringan Irigasi dan Drainase</t>
        </is>
      </c>
      <c r="N84" t="inlineStr">
        <is>
          <t>K</t>
        </is>
      </c>
      <c r="O84" t="inlineStr">
        <is>
          <t>20230929, 20230930</t>
        </is>
      </c>
      <c r="P84" t="inlineStr">
        <is>
          <t>Jawa Barat</t>
        </is>
      </c>
      <c r="Q84" t="inlineStr"/>
    </row>
    <row r="85">
      <c r="A85" t="inlineStr">
        <is>
          <t>INFRA SAHABAT SEJAHTERA</t>
        </is>
      </c>
      <c r="B85" t="inlineStr">
        <is>
          <t>Kota Medan</t>
        </is>
      </c>
      <c r="C85" t="inlineStr">
        <is>
          <t>081396464613</t>
        </is>
      </c>
      <c r="D85" t="inlineStr">
        <is>
          <t>infrasahabatsejahtera@gmail.com</t>
        </is>
      </c>
      <c r="E85" t="inlineStr">
        <is>
          <t>https://lpjk.pu.go.id/search-badan-usaha-detail/TTJIMGRNOWZ3MTRRZFM3MWtDU3hHdz09</t>
        </is>
      </c>
      <c r="F85" t="n">
        <v>2</v>
      </c>
      <c r="G85" t="inlineStr">
        <is>
          <t>BG001, BG006</t>
        </is>
      </c>
      <c r="H85" t="inlineStr">
        <is>
          <t>10 Februari 2022</t>
        </is>
      </c>
      <c r="I85" s="2" t="n">
        <v>46297</v>
      </c>
      <c r="J85" t="inlineStr">
        <is>
          <t>Disetujui</t>
        </is>
      </c>
      <c r="K85" t="n">
        <v>90</v>
      </c>
      <c r="L85" t="inlineStr">
        <is>
          <t>2 Oktober 2026</t>
        </is>
      </c>
      <c r="M85" t="inlineStr">
        <is>
          <t>Konstruksi Gedung Hunian, Konstruksi Gedung Pendidikan</t>
        </is>
      </c>
      <c r="N85" t="inlineStr">
        <is>
          <t>K</t>
        </is>
      </c>
      <c r="O85" t="inlineStr">
        <is>
          <t>20230920</t>
        </is>
      </c>
      <c r="P85" t="inlineStr">
        <is>
          <t>Sumatera Utara</t>
        </is>
      </c>
      <c r="Q85" t="inlineStr"/>
    </row>
    <row r="86">
      <c r="A86" t="inlineStr">
        <is>
          <t>INSANI ABADI</t>
        </is>
      </c>
      <c r="B86" t="inlineStr">
        <is>
          <t>Kota Tanjung Pinang</t>
        </is>
      </c>
      <c r="C86" t="inlineStr">
        <is>
          <t>085264492352</t>
        </is>
      </c>
      <c r="D86" t="inlineStr">
        <is>
          <t>insaniabadi@yahoo.co.id</t>
        </is>
      </c>
      <c r="E86" t="inlineStr">
        <is>
          <t>https://lpjk.pu.go.id/search-badan-usaha-detail/aUpNd0xrZGx2U2kxVElaaGd4TjhWQT09</t>
        </is>
      </c>
      <c r="F86" t="n">
        <v>2</v>
      </c>
      <c r="G86" t="inlineStr">
        <is>
          <t>BS001</t>
        </is>
      </c>
      <c r="H86" t="inlineStr">
        <is>
          <t>18 Februari 2003</t>
        </is>
      </c>
      <c r="I86" s="2" t="n">
        <v>46297</v>
      </c>
      <c r="J86" t="inlineStr">
        <is>
          <t>Disetujui</t>
        </is>
      </c>
      <c r="K86" t="n">
        <v>90</v>
      </c>
      <c r="L86" t="inlineStr">
        <is>
          <t>2 Oktober 2026</t>
        </is>
      </c>
      <c r="M86" t="inlineStr">
        <is>
          <t>Konstruksi Bangunan Sipil Jalan</t>
        </is>
      </c>
      <c r="N86" t="inlineStr">
        <is>
          <t>K</t>
        </is>
      </c>
      <c r="O86" t="inlineStr">
        <is>
          <t>20230927</t>
        </is>
      </c>
      <c r="P86" t="inlineStr">
        <is>
          <t>Kepulauan Riau</t>
        </is>
      </c>
      <c r="Q86" t="inlineStr"/>
    </row>
    <row r="87">
      <c r="A87" t="inlineStr">
        <is>
          <t>INTAN KARYA MANDIRI</t>
        </is>
      </c>
      <c r="B87" t="inlineStr">
        <is>
          <t>Kab. Jember</t>
        </is>
      </c>
      <c r="C87" t="inlineStr">
        <is>
          <t>0331486640</t>
        </is>
      </c>
      <c r="D87" t="inlineStr">
        <is>
          <t>ikm.indonesia@yahoo.co.id</t>
        </is>
      </c>
      <c r="E87" t="inlineStr">
        <is>
          <t>https://lpjk.pu.go.id/search-badan-usaha-detail/QWN6MEdsKytPL2FuZGtBZlUxVmxXUT09</t>
        </is>
      </c>
      <c r="F87" t="n">
        <v>1</v>
      </c>
      <c r="G87" t="inlineStr">
        <is>
          <t>BS002</t>
        </is>
      </c>
      <c r="H87" t="inlineStr">
        <is>
          <t>6 Januari 2007</t>
        </is>
      </c>
      <c r="I87" s="2" t="n">
        <v>46297</v>
      </c>
      <c r="J87" t="inlineStr">
        <is>
          <t>Disetujui</t>
        </is>
      </c>
      <c r="K87" t="n">
        <v>90</v>
      </c>
      <c r="L87" t="inlineStr">
        <is>
          <t>2 Oktober 2026</t>
        </is>
      </c>
      <c r="M87" t="inlineStr">
        <is>
          <t>Bangunan Sipil Jembatan, Jalan Layang, Fly Over, dan Underpass</t>
        </is>
      </c>
      <c r="N87" t="inlineStr">
        <is>
          <t>K</t>
        </is>
      </c>
      <c r="O87" t="inlineStr">
        <is>
          <t>20230927</t>
        </is>
      </c>
      <c r="P87" t="inlineStr">
        <is>
          <t>Jawa Timur</t>
        </is>
      </c>
      <c r="Q87" t="inlineStr"/>
    </row>
    <row r="88">
      <c r="A88" t="inlineStr">
        <is>
          <t>IRSAN</t>
        </is>
      </c>
      <c r="B88" t="inlineStr">
        <is>
          <t>Kab. Kulon Progo</t>
        </is>
      </c>
      <c r="C88" t="inlineStr">
        <is>
          <t>0274775286</t>
        </is>
      </c>
      <c r="D88" t="inlineStr">
        <is>
          <t>cv.irsan@gmail.com</t>
        </is>
      </c>
      <c r="E88" t="inlineStr">
        <is>
          <t>https://lpjk.pu.go.id/search-badan-usaha-detail/Q05HT0JNTFNVaEpkcFBUckczYVltUT09</t>
        </is>
      </c>
      <c r="F88" t="n">
        <v>1</v>
      </c>
      <c r="G88" t="inlineStr">
        <is>
          <t>BS001</t>
        </is>
      </c>
      <c r="H88" t="inlineStr">
        <is>
          <t>16 Juli 1997</t>
        </is>
      </c>
      <c r="I88" s="2" t="n">
        <v>46297</v>
      </c>
      <c r="J88" t="inlineStr">
        <is>
          <t>Disetujui</t>
        </is>
      </c>
      <c r="K88" t="n">
        <v>90</v>
      </c>
      <c r="L88" t="inlineStr">
        <is>
          <t>2 Oktober 2026</t>
        </is>
      </c>
      <c r="M88" t="inlineStr">
        <is>
          <t>Konstruksi Bangunan Sipil Jalan</t>
        </is>
      </c>
      <c r="N88" t="inlineStr">
        <is>
          <t>K</t>
        </is>
      </c>
      <c r="O88" t="inlineStr">
        <is>
          <t>20230911</t>
        </is>
      </c>
      <c r="P88" t="inlineStr">
        <is>
          <t>DI Yogyakarta</t>
        </is>
      </c>
      <c r="Q88" t="inlineStr"/>
    </row>
    <row r="89">
      <c r="A89" t="inlineStr">
        <is>
          <t>JAYA SAMPURNA ABADI</t>
        </is>
      </c>
      <c r="B89" t="inlineStr">
        <is>
          <t>Kota Palembang</t>
        </is>
      </c>
      <c r="C89" t="inlineStr">
        <is>
          <t>082183966766</t>
        </is>
      </c>
      <c r="D89" t="inlineStr">
        <is>
          <t>jayasampurnabadi@yahoo.com</t>
        </is>
      </c>
      <c r="E89" t="inlineStr">
        <is>
          <t>https://lpjk.pu.go.id/search-badan-usaha-detail/a3pHL2pkNXlpdzhWM1ZWaTdEdXd1dz09</t>
        </is>
      </c>
      <c r="F89" t="n">
        <v>1</v>
      </c>
      <c r="G89" t="inlineStr">
        <is>
          <t>BS001</t>
        </is>
      </c>
      <c r="H89" t="inlineStr">
        <is>
          <t>27 Juli 2016</t>
        </is>
      </c>
      <c r="I89" s="2" t="n">
        <v>46297</v>
      </c>
      <c r="J89" t="inlineStr">
        <is>
          <t>Pencabutan</t>
        </is>
      </c>
      <c r="K89" t="n">
        <v>90</v>
      </c>
      <c r="L89" t="inlineStr">
        <is>
          <t>2 Oktober 2026</t>
        </is>
      </c>
      <c r="M89" t="inlineStr">
        <is>
          <t>Konstruksi Bangunan Sipil Jalan</t>
        </is>
      </c>
      <c r="N89" t="inlineStr">
        <is>
          <t>K</t>
        </is>
      </c>
      <c r="O89" t="inlineStr">
        <is>
          <t>20230928</t>
        </is>
      </c>
      <c r="P89" t="inlineStr">
        <is>
          <t>Sumatera Selatan</t>
        </is>
      </c>
      <c r="Q89" t="inlineStr"/>
    </row>
    <row r="90">
      <c r="A90" t="inlineStr">
        <is>
          <t>KALIMANTAN AGUNG PERKASA</t>
        </is>
      </c>
      <c r="B90" t="inlineStr">
        <is>
          <t>Kota Bontang</t>
        </is>
      </c>
      <c r="C90" t="inlineStr">
        <is>
          <t>0811580797</t>
        </is>
      </c>
      <c r="D90" t="inlineStr">
        <is>
          <t>cvkalimantanintiteknik@gmail.com</t>
        </is>
      </c>
      <c r="E90" t="inlineStr">
        <is>
          <t>https://lpjk.pu.go.id/search-badan-usaha-detail/WllOaUtsbmdEaGQwcFgzNEx4RU5Ddz09</t>
        </is>
      </c>
      <c r="F90" t="n">
        <v>2</v>
      </c>
      <c r="G90" t="inlineStr">
        <is>
          <t>BG009</t>
        </is>
      </c>
      <c r="H90" t="inlineStr">
        <is>
          <t>21 September 2006</t>
        </is>
      </c>
      <c r="I90" s="2" t="n">
        <v>46297</v>
      </c>
      <c r="J90" t="inlineStr">
        <is>
          <t>Disetujui</t>
        </is>
      </c>
      <c r="K90" t="n">
        <v>90</v>
      </c>
      <c r="L90" t="inlineStr">
        <is>
          <t>2 Oktober 2026</t>
        </is>
      </c>
      <c r="M90" t="inlineStr">
        <is>
          <t>Konstruksi Gedung Lainnya</t>
        </is>
      </c>
      <c r="N90" t="inlineStr">
        <is>
          <t>K</t>
        </is>
      </c>
      <c r="O90" t="inlineStr">
        <is>
          <t>20230926</t>
        </is>
      </c>
      <c r="P90" t="inlineStr">
        <is>
          <t>Kalimantan Timur</t>
        </is>
      </c>
      <c r="Q90" t="inlineStr"/>
    </row>
    <row r="91">
      <c r="A91" t="inlineStr">
        <is>
          <t>KALIMUTU MITRA PERKASA</t>
        </is>
      </c>
      <c r="B91" t="inlineStr">
        <is>
          <t>Kota Adm. Jakarta Barat</t>
        </is>
      </c>
      <c r="C91" t="inlineStr">
        <is>
          <t>02156960197</t>
        </is>
      </c>
      <c r="D91" t="inlineStr">
        <is>
          <t>sales@kalimutu.com</t>
        </is>
      </c>
      <c r="E91" t="inlineStr">
        <is>
          <t>https://lpjk.pu.go.id/search-badan-usaha-detail/dUVDT1hGS2RxWWIya0p1VndXS3Vrdz09</t>
        </is>
      </c>
      <c r="F91" t="n">
        <v>1</v>
      </c>
      <c r="G91" t="inlineStr">
        <is>
          <t>BG001</t>
        </is>
      </c>
      <c r="H91" t="inlineStr">
        <is>
          <t>2 April 2007</t>
        </is>
      </c>
      <c r="I91" s="2" t="n">
        <v>46297</v>
      </c>
      <c r="J91" t="inlineStr">
        <is>
          <t>Disetujui</t>
        </is>
      </c>
      <c r="K91" t="n">
        <v>90</v>
      </c>
      <c r="L91" t="inlineStr">
        <is>
          <t>2 Oktober 2026</t>
        </is>
      </c>
      <c r="M91" t="inlineStr">
        <is>
          <t>Konstruksi Gedung Hunian</t>
        </is>
      </c>
      <c r="N91" t="inlineStr">
        <is>
          <t>K</t>
        </is>
      </c>
      <c r="O91" t="inlineStr">
        <is>
          <t>20230825</t>
        </is>
      </c>
      <c r="P91" t="inlineStr">
        <is>
          <t>DKI Jakarta</t>
        </is>
      </c>
      <c r="Q91" t="inlineStr"/>
    </row>
    <row r="92">
      <c r="A92" t="inlineStr">
        <is>
          <t>KARYA LANGGENG</t>
        </is>
      </c>
      <c r="B92" t="inlineStr">
        <is>
          <t>Kab. Mojokerto</t>
        </is>
      </c>
      <c r="C92" t="inlineStr">
        <is>
          <t>082151691480</t>
        </is>
      </c>
      <c r="D92" t="inlineStr">
        <is>
          <t>arissafirotulf.ks115@gmail.com</t>
        </is>
      </c>
      <c r="E92" t="inlineStr">
        <is>
          <t>https://lpjk.pu.go.id/search-badan-usaha-detail/SEI4dmpCQ0NUck5kV3pPaUdIZzc5UT09</t>
        </is>
      </c>
      <c r="F92" t="n">
        <v>1</v>
      </c>
      <c r="G92" t="inlineStr">
        <is>
          <t>BG009</t>
        </is>
      </c>
      <c r="H92" t="inlineStr">
        <is>
          <t>4 Agustus 2012</t>
        </is>
      </c>
      <c r="I92" s="2" t="n">
        <v>46297</v>
      </c>
      <c r="J92" t="inlineStr">
        <is>
          <t>Disetujui</t>
        </is>
      </c>
      <c r="K92" t="n">
        <v>90</v>
      </c>
      <c r="L92" t="inlineStr">
        <is>
          <t>2 Oktober 2026</t>
        </is>
      </c>
      <c r="M92" t="inlineStr">
        <is>
          <t>Konstruksi Gedung Lainnya</t>
        </is>
      </c>
      <c r="N92" t="inlineStr">
        <is>
          <t>K</t>
        </is>
      </c>
      <c r="O92" t="inlineStr">
        <is>
          <t>20230929</t>
        </is>
      </c>
      <c r="P92" t="inlineStr">
        <is>
          <t>Jawa Timur</t>
        </is>
      </c>
      <c r="Q92" t="inlineStr"/>
    </row>
    <row r="93">
      <c r="A93" t="inlineStr">
        <is>
          <t>KARYA MANDIRI KONTRUKSI</t>
        </is>
      </c>
      <c r="B93" t="inlineStr">
        <is>
          <t>Kota Padang</t>
        </is>
      </c>
      <c r="C93" t="inlineStr">
        <is>
          <t>081363141712</t>
        </is>
      </c>
      <c r="D93" t="inlineStr">
        <is>
          <t>ptkaryamandirikontruksi@gmail.com</t>
        </is>
      </c>
      <c r="E93" t="inlineStr">
        <is>
          <t>https://lpjk.pu.go.id/search-badan-usaha-detail/cnJLUW9LTWt5SFdBblBHRS9uKzVDUT09</t>
        </is>
      </c>
      <c r="F93" t="n">
        <v>1</v>
      </c>
      <c r="G93" t="inlineStr">
        <is>
          <t>BG005</t>
        </is>
      </c>
      <c r="H93" t="inlineStr">
        <is>
          <t>18 Juli 2023</t>
        </is>
      </c>
      <c r="I93" s="2" t="n">
        <v>46297</v>
      </c>
      <c r="J93" t="inlineStr">
        <is>
          <t>Disetujui</t>
        </is>
      </c>
      <c r="K93" t="n">
        <v>90</v>
      </c>
      <c r="L93" t="inlineStr">
        <is>
          <t>2 Oktober 2026</t>
        </is>
      </c>
      <c r="M93" t="inlineStr">
        <is>
          <t>Konstruksi Gedung Kesehatan</t>
        </is>
      </c>
      <c r="N93" t="inlineStr">
        <is>
          <t>K</t>
        </is>
      </c>
      <c r="O93" t="inlineStr">
        <is>
          <t>20230922</t>
        </is>
      </c>
      <c r="P93" t="inlineStr">
        <is>
          <t>Sumatera Barat</t>
        </is>
      </c>
      <c r="Q93" t="inlineStr"/>
    </row>
    <row r="94">
      <c r="A94" t="inlineStr">
        <is>
          <t>KARYA PENA MAS</t>
        </is>
      </c>
      <c r="B94" t="inlineStr">
        <is>
          <t>Kab. Labuhanbatu</t>
        </is>
      </c>
      <c r="C94" t="inlineStr">
        <is>
          <t>081362434007</t>
        </is>
      </c>
      <c r="D94" t="inlineStr">
        <is>
          <t>ttony7204@gmail.com</t>
        </is>
      </c>
      <c r="E94" t="inlineStr">
        <is>
          <t>https://lpjk.pu.go.id/search-badan-usaha-detail/ODVia2Ivanp2dHZidnlzUUJWc0FBdz09</t>
        </is>
      </c>
      <c r="F94" t="n">
        <v>1</v>
      </c>
      <c r="G94" t="inlineStr">
        <is>
          <t>BG001</t>
        </is>
      </c>
      <c r="H94" t="inlineStr">
        <is>
          <t>26 Mei 2003</t>
        </is>
      </c>
      <c r="I94" s="2" t="n">
        <v>46297</v>
      </c>
      <c r="J94" t="inlineStr">
        <is>
          <t>Disetujui</t>
        </is>
      </c>
      <c r="K94" t="n">
        <v>90</v>
      </c>
      <c r="L94" t="inlineStr">
        <is>
          <t>2 Oktober 2026</t>
        </is>
      </c>
      <c r="M94" t="inlineStr">
        <is>
          <t>Konstruksi Gedung Hunian</t>
        </is>
      </c>
      <c r="N94" t="inlineStr">
        <is>
          <t>K</t>
        </is>
      </c>
      <c r="O94" t="inlineStr">
        <is>
          <t>20230929</t>
        </is>
      </c>
      <c r="P94" t="inlineStr">
        <is>
          <t>Sumatera Utara</t>
        </is>
      </c>
      <c r="Q94" t="inlineStr"/>
    </row>
    <row r="95">
      <c r="A95" t="inlineStr">
        <is>
          <t>KARYA SEJATI MANDIRI</t>
        </is>
      </c>
      <c r="B95" t="inlineStr">
        <is>
          <t>Kab. Gresik</t>
        </is>
      </c>
      <c r="C95" t="inlineStr">
        <is>
          <t>081331902478</t>
        </is>
      </c>
      <c r="D95" t="inlineStr">
        <is>
          <t>karyasm_cv@yahoo.com</t>
        </is>
      </c>
      <c r="E95" t="inlineStr">
        <is>
          <t>https://lpjk.pu.go.id/search-badan-usaha-detail/bi9RRzhSbEJ6MkpjdGpPMjkvU0ZQQT09</t>
        </is>
      </c>
      <c r="F95" t="n">
        <v>1</v>
      </c>
      <c r="G95" t="inlineStr">
        <is>
          <t>BS001</t>
        </is>
      </c>
      <c r="H95" t="inlineStr">
        <is>
          <t>10 Juni 2020</t>
        </is>
      </c>
      <c r="I95" s="2" t="n">
        <v>46297</v>
      </c>
      <c r="J95" t="inlineStr">
        <is>
          <t>Pencabutan</t>
        </is>
      </c>
      <c r="K95" t="n">
        <v>90</v>
      </c>
      <c r="L95" t="inlineStr">
        <is>
          <t>2 Oktober 2026</t>
        </is>
      </c>
      <c r="M95" t="inlineStr">
        <is>
          <t>Konstruksi Bangunan Sipil Jalan</t>
        </is>
      </c>
      <c r="N95" t="inlineStr">
        <is>
          <t>K</t>
        </is>
      </c>
      <c r="O95" t="inlineStr">
        <is>
          <t>20230830</t>
        </is>
      </c>
      <c r="P95" t="inlineStr">
        <is>
          <t>Jawa Timur</t>
        </is>
      </c>
      <c r="Q95" t="inlineStr"/>
    </row>
    <row r="96">
      <c r="A96" t="inlineStr">
        <is>
          <t>KARYA SOLUSI CONSULTANT</t>
        </is>
      </c>
      <c r="B96" t="inlineStr">
        <is>
          <t>Kota Bontang</t>
        </is>
      </c>
      <c r="C96" t="inlineStr">
        <is>
          <t>05483552017</t>
        </is>
      </c>
      <c r="D96" t="inlineStr">
        <is>
          <t>ksc.karyamandiri@gmail.com</t>
        </is>
      </c>
      <c r="E96" t="inlineStr">
        <is>
          <t>https://lpjk.pu.go.id/search-badan-usaha-detail/MlNFek83Mkk4cDJTMHFOa25kVTh4Zz09</t>
        </is>
      </c>
      <c r="F96" t="n">
        <v>3</v>
      </c>
      <c r="G96" t="inlineStr">
        <is>
          <t>RK001, RK002, RK003</t>
        </is>
      </c>
      <c r="H96" t="inlineStr">
        <is>
          <t>29 Januari 2020</t>
        </is>
      </c>
      <c r="I96" s="2" t="n">
        <v>46297</v>
      </c>
      <c r="J96" t="inlineStr">
        <is>
          <t>Disetujui</t>
        </is>
      </c>
      <c r="K96" t="n">
        <v>90</v>
      </c>
      <c r="L96" t="inlineStr">
        <is>
          <t>2 Oktober 2026</t>
        </is>
      </c>
      <c r="M96" t="inlineStr">
        <is>
          <t>Jasa Rekayasa Konstruksi Bangunan Gedung Hunian dan Non Hunian, Jasa Rekayasa Pekerjaan Teknik Sipil Sumber Daya Air, Jasa Rekayasa Pekerjaan Teknik Sipil Transportasi</t>
        </is>
      </c>
      <c r="N96" t="inlineStr">
        <is>
          <t>K</t>
        </is>
      </c>
      <c r="O96" t="inlineStr">
        <is>
          <t>20230920</t>
        </is>
      </c>
      <c r="P96" t="inlineStr">
        <is>
          <t>Kalimantan Timur</t>
        </is>
      </c>
      <c r="Q96" t="inlineStr"/>
    </row>
    <row r="97">
      <c r="A97" t="inlineStr">
        <is>
          <t>KARYA SUKSES PERSADA</t>
        </is>
      </c>
      <c r="B97" t="inlineStr">
        <is>
          <t>Kab. Ketapang</t>
        </is>
      </c>
      <c r="C97" t="inlineStr">
        <is>
          <t>081347443392</t>
        </is>
      </c>
      <c r="D97" t="inlineStr">
        <is>
          <t>persadakaryasukses@gmail.com</t>
        </is>
      </c>
      <c r="E97" t="inlineStr">
        <is>
          <t>https://lpjk.pu.go.id/search-badan-usaha-detail/M25OSFdGOTZpSGhSbUJwdnNjN043dz09</t>
        </is>
      </c>
      <c r="F97" t="n">
        <v>1</v>
      </c>
      <c r="G97" t="inlineStr">
        <is>
          <t>BS001</t>
        </is>
      </c>
      <c r="H97" t="inlineStr">
        <is>
          <t>4 Februari 2025</t>
        </is>
      </c>
      <c r="I97" s="2" t="n">
        <v>46297</v>
      </c>
      <c r="J97" t="inlineStr">
        <is>
          <t>Disetujui</t>
        </is>
      </c>
      <c r="K97" t="n">
        <v>90</v>
      </c>
      <c r="L97" t="inlineStr">
        <is>
          <t>2 Oktober 2026</t>
        </is>
      </c>
      <c r="M97" t="inlineStr">
        <is>
          <t>Konstruksi Bangunan Sipil Jalan</t>
        </is>
      </c>
      <c r="N97" t="inlineStr">
        <is>
          <t>K</t>
        </is>
      </c>
      <c r="O97" t="inlineStr">
        <is>
          <t>20231002</t>
        </is>
      </c>
      <c r="P97" t="inlineStr">
        <is>
          <t>Kalimantan Barat</t>
        </is>
      </c>
      <c r="Q97" t="inlineStr"/>
    </row>
    <row r="98">
      <c r="A98" t="inlineStr">
        <is>
          <t>KARYA UTAMA</t>
        </is>
      </c>
      <c r="B98" t="inlineStr">
        <is>
          <t>Kab. Bulungan</t>
        </is>
      </c>
      <c r="C98" t="inlineStr">
        <is>
          <t>08125408320</t>
        </is>
      </c>
      <c r="D98" t="inlineStr">
        <is>
          <t>KARYA8UTAMA@GMAIL.COM</t>
        </is>
      </c>
      <c r="E98" t="inlineStr">
        <is>
          <t>https://lpjk.pu.go.id/search-badan-usaha-detail/ZFgrYnIwUXpGS0RhU2RxcFc4QVRYdz09</t>
        </is>
      </c>
      <c r="F98" t="n">
        <v>1</v>
      </c>
      <c r="G98" t="inlineStr">
        <is>
          <t>BG006</t>
        </is>
      </c>
      <c r="H98" t="inlineStr">
        <is>
          <t>21 Desember 2002</t>
        </is>
      </c>
      <c r="I98" s="2" t="n">
        <v>46297</v>
      </c>
      <c r="J98" t="inlineStr">
        <is>
          <t>Disetujui</t>
        </is>
      </c>
      <c r="K98" t="n">
        <v>90</v>
      </c>
      <c r="L98" t="inlineStr">
        <is>
          <t>2 Oktober 2026</t>
        </is>
      </c>
      <c r="M98" t="inlineStr">
        <is>
          <t>Konstruksi Gedung Pendidikan</t>
        </is>
      </c>
      <c r="N98" t="inlineStr">
        <is>
          <t>K</t>
        </is>
      </c>
      <c r="O98" t="inlineStr">
        <is>
          <t>20230201</t>
        </is>
      </c>
      <c r="P98" t="inlineStr">
        <is>
          <t>Kalimantan Utara</t>
        </is>
      </c>
      <c r="Q98" t="inlineStr"/>
    </row>
    <row r="99">
      <c r="A99" t="inlineStr">
        <is>
          <t>KEMBANG NAILA PRATAMA</t>
        </is>
      </c>
      <c r="B99" t="inlineStr">
        <is>
          <t>Kota Pontianak</t>
        </is>
      </c>
      <c r="C99" t="inlineStr">
        <is>
          <t>081345221409</t>
        </is>
      </c>
      <c r="D99" t="inlineStr">
        <is>
          <t>kembangnailapratama46@gmail.com</t>
        </is>
      </c>
      <c r="E99" t="inlineStr">
        <is>
          <t>https://lpjk.pu.go.id/search-badan-usaha-detail/Z3pjcWVmNmordm9oM1NHSThCdjJiZz09</t>
        </is>
      </c>
      <c r="F99" t="n">
        <v>4</v>
      </c>
      <c r="G99" t="inlineStr">
        <is>
          <t>BG002, BG005, BG006, BS001</t>
        </is>
      </c>
      <c r="H99" t="inlineStr">
        <is>
          <t>31 Oktober 2008</t>
        </is>
      </c>
      <c r="I99" s="2" t="n">
        <v>46297</v>
      </c>
      <c r="J99" t="inlineStr">
        <is>
          <t>Disetujui</t>
        </is>
      </c>
      <c r="K99" t="n">
        <v>90</v>
      </c>
      <c r="L99" t="inlineStr">
        <is>
          <t>2 Oktober 2026</t>
        </is>
      </c>
      <c r="M99" t="inlineStr">
        <is>
          <t>Konstruksi Bangunan Sipil Jalan, Konstruksi Gedung Kesehatan, Konstruksi Gedung Pendidikan, Konstruksi Gedung Perkantoran</t>
        </is>
      </c>
      <c r="N99" t="inlineStr">
        <is>
          <t>K</t>
        </is>
      </c>
      <c r="O99" t="inlineStr">
        <is>
          <t>20230927</t>
        </is>
      </c>
      <c r="P99" t="inlineStr">
        <is>
          <t>Kalimantan Barat</t>
        </is>
      </c>
      <c r="Q99" t="inlineStr"/>
    </row>
    <row r="100">
      <c r="A100" t="inlineStr">
        <is>
          <t>KOLEGA EKSTERIOR INTERIOR</t>
        </is>
      </c>
      <c r="B100" t="inlineStr">
        <is>
          <t>Kab. Paser</t>
        </is>
      </c>
      <c r="C100" t="inlineStr">
        <is>
          <t>085248841018</t>
        </is>
      </c>
      <c r="D100" t="inlineStr">
        <is>
          <t>kolegaeksteriorinterior@gmail.com</t>
        </is>
      </c>
      <c r="E100" t="inlineStr">
        <is>
          <t>https://lpjk.pu.go.id/search-badan-usaha-detail/NFI5UHNERjdwUDg2ZG1oQzNOc1RxUT09</t>
        </is>
      </c>
      <c r="F100" t="n">
        <v>1</v>
      </c>
      <c r="G100" t="inlineStr">
        <is>
          <t>PB004</t>
        </is>
      </c>
      <c r="H100" t="inlineStr">
        <is>
          <t>15 September 2023</t>
        </is>
      </c>
      <c r="I100" s="2" t="n">
        <v>46297</v>
      </c>
      <c r="J100" t="inlineStr">
        <is>
          <t>Pembekuan</t>
        </is>
      </c>
      <c r="K100" t="n">
        <v>90</v>
      </c>
      <c r="L100" t="inlineStr">
        <is>
          <t>2 Oktober 2026</t>
        </is>
      </c>
      <c r="M100" t="inlineStr">
        <is>
          <t>Dekorasi Interior</t>
        </is>
      </c>
      <c r="N100" t="inlineStr">
        <is>
          <t>Spesialis</t>
        </is>
      </c>
      <c r="O100" t="inlineStr">
        <is>
          <t>20231003</t>
        </is>
      </c>
      <c r="P100" t="inlineStr">
        <is>
          <t>Kalimantan Timur</t>
        </is>
      </c>
      <c r="Q100" t="inlineStr"/>
    </row>
    <row r="101">
      <c r="A101" t="inlineStr">
        <is>
          <t>KRISNA SURYA KALIMANTAN</t>
        </is>
      </c>
      <c r="B101" t="inlineStr">
        <is>
          <t>Kota Palangkaraya</t>
        </is>
      </c>
      <c r="C101" t="inlineStr">
        <is>
          <t>085252841563</t>
        </is>
      </c>
      <c r="D101" t="inlineStr">
        <is>
          <t>krisnasuryakalimantan@gmail.com</t>
        </is>
      </c>
      <c r="E101" t="inlineStr">
        <is>
          <t>https://lpjk.pu.go.id/search-badan-usaha-detail/N25SZXNWekZEb2MrQmI1d3RJQThaUT09</t>
        </is>
      </c>
      <c r="F101" t="n">
        <v>6</v>
      </c>
      <c r="G101" t="inlineStr">
        <is>
          <t>BG001, BG002, BG005, BG006, BG009, BS004</t>
        </is>
      </c>
      <c r="H101" t="inlineStr">
        <is>
          <t>22 Mei 2023</t>
        </is>
      </c>
      <c r="I101" s="2" t="n">
        <v>46297</v>
      </c>
      <c r="J101" t="inlineStr">
        <is>
          <t>Disetujui</t>
        </is>
      </c>
      <c r="K101" t="n">
        <v>90</v>
      </c>
      <c r="L101" t="inlineStr">
        <is>
          <t>2 Oktober 2026</t>
        </is>
      </c>
      <c r="M101" t="inlineStr">
        <is>
          <t>Konstruksi Gedung Hunian, Konstruksi Gedung Kesehatan, Konstruksi Gedung Lainnya, Konstruksi Gedung Pendidikan, Konstruksi Gedung Perkantoran, Konstruksi Jaringan Irigasi dan Drainase</t>
        </is>
      </c>
      <c r="N101" t="inlineStr">
        <is>
          <t>K</t>
        </is>
      </c>
      <c r="O101" t="inlineStr">
        <is>
          <t>20230929</t>
        </is>
      </c>
      <c r="P101" t="inlineStr">
        <is>
          <t>Kalimantan Tengah</t>
        </is>
      </c>
      <c r="Q101" t="inlineStr"/>
    </row>
    <row r="102">
      <c r="A102" t="inlineStr">
        <is>
          <t>LANGGENG JAYA</t>
        </is>
      </c>
      <c r="B102" t="inlineStr">
        <is>
          <t>Kota Magelang</t>
        </is>
      </c>
      <c r="C102" t="inlineStr">
        <is>
          <t>N/A</t>
        </is>
      </c>
      <c r="D102" t="inlineStr">
        <is>
          <t>N/A</t>
        </is>
      </c>
      <c r="E102" t="inlineStr">
        <is>
          <t>https://lpjk.pu.go.id/search-badan-usaha-detail/eWtIODgvYmltOHpodUQyalN4SGhpZz09</t>
        </is>
      </c>
      <c r="F102" t="n">
        <v>1</v>
      </c>
      <c r="G102" t="inlineStr">
        <is>
          <t>BS004</t>
        </is>
      </c>
      <c r="H102" t="inlineStr"/>
      <c r="I102" s="2" t="n">
        <v>46297</v>
      </c>
      <c r="J102" t="inlineStr">
        <is>
          <t>Disetujui</t>
        </is>
      </c>
      <c r="K102" t="n">
        <v>90</v>
      </c>
      <c r="L102" t="inlineStr">
        <is>
          <t>2 Oktober 2026</t>
        </is>
      </c>
      <c r="M102" t="inlineStr">
        <is>
          <t>Konstruksi Jaringan Irigasi dan Drainase</t>
        </is>
      </c>
      <c r="N102" t="inlineStr">
        <is>
          <t>K</t>
        </is>
      </c>
      <c r="O102" t="inlineStr">
        <is>
          <t>20230929</t>
        </is>
      </c>
      <c r="P102" t="inlineStr">
        <is>
          <t>Jawa Tengah</t>
        </is>
      </c>
      <c r="Q102" t="inlineStr"/>
    </row>
    <row r="103">
      <c r="A103" t="inlineStr">
        <is>
          <t>LINGGAJATI</t>
        </is>
      </c>
      <c r="B103" t="inlineStr">
        <is>
          <t>Kota Malang</t>
        </is>
      </c>
      <c r="C103" t="inlineStr">
        <is>
          <t>085790950955</t>
        </is>
      </c>
      <c r="D103" t="inlineStr">
        <is>
          <t>linggajaticonstruction@gmail.com</t>
        </is>
      </c>
      <c r="E103" t="inlineStr">
        <is>
          <t>https://lpjk.pu.go.id/search-badan-usaha-detail/bCtJRDJmcXBaT1Z0TzV5cmRmUVQrdz09</t>
        </is>
      </c>
      <c r="F103" t="n">
        <v>1</v>
      </c>
      <c r="G103" t="inlineStr">
        <is>
          <t>BS005</t>
        </is>
      </c>
      <c r="H103" t="inlineStr">
        <is>
          <t>30 Agustus 2023</t>
        </is>
      </c>
      <c r="I103" s="2" t="n">
        <v>46297</v>
      </c>
      <c r="J103" t="inlineStr">
        <is>
          <t>Disetujui</t>
        </is>
      </c>
      <c r="K103" t="n">
        <v>90</v>
      </c>
      <c r="L103" t="inlineStr">
        <is>
          <t>2 Oktober 2026</t>
        </is>
      </c>
      <c r="M103" t="inlineStr">
        <is>
          <t>Konstruksi Bangunan Sipil Pengolahan Air Bersih</t>
        </is>
      </c>
      <c r="N103" t="inlineStr">
        <is>
          <t>K</t>
        </is>
      </c>
      <c r="O103" t="inlineStr">
        <is>
          <t>20231002</t>
        </is>
      </c>
      <c r="P103" t="inlineStr">
        <is>
          <t>Jawa Timur</t>
        </is>
      </c>
      <c r="Q103" t="inlineStr"/>
    </row>
    <row r="104">
      <c r="A104" t="inlineStr">
        <is>
          <t>LINTANG MURIA</t>
        </is>
      </c>
      <c r="B104" t="inlineStr">
        <is>
          <t>Kab. Kudus</t>
        </is>
      </c>
      <c r="C104" t="inlineStr">
        <is>
          <t>081226982824</t>
        </is>
      </c>
      <c r="D104" t="inlineStr">
        <is>
          <t>cv.lintangmuria@gmail.com</t>
        </is>
      </c>
      <c r="E104" t="inlineStr">
        <is>
          <t>https://lpjk.pu.go.id/search-badan-usaha-detail/c3dHa1RlNFJkK3p3U2h6dU9VNWM5bm9xYkhHbFU1QTdiYTZMOWRFVER1ND0</t>
        </is>
      </c>
      <c r="F104" t="n">
        <v>2</v>
      </c>
      <c r="G104" t="inlineStr">
        <is>
          <t>BS004</t>
        </is>
      </c>
      <c r="H104" t="inlineStr">
        <is>
          <t>4 Oktober 2024</t>
        </is>
      </c>
      <c r="I104" s="2" t="n">
        <v>46297</v>
      </c>
      <c r="J104" t="inlineStr">
        <is>
          <t>Pencabutan</t>
        </is>
      </c>
      <c r="K104" t="n">
        <v>90</v>
      </c>
      <c r="L104" t="inlineStr">
        <is>
          <t>2 Oktober 2026</t>
        </is>
      </c>
      <c r="M104" t="inlineStr">
        <is>
          <t>Konstruksi Jaringan Irigasi dan Drainase</t>
        </is>
      </c>
      <c r="N104" t="inlineStr">
        <is>
          <t>K</t>
        </is>
      </c>
      <c r="O104" t="inlineStr">
        <is>
          <t>20231002</t>
        </is>
      </c>
      <c r="P104" t="inlineStr">
        <is>
          <t>Jawa Tengah</t>
        </is>
      </c>
      <c r="Q104" t="inlineStr"/>
    </row>
    <row r="105">
      <c r="A105" t="inlineStr">
        <is>
          <t>LINTAS BUPOLO MANDIRI</t>
        </is>
      </c>
      <c r="B105" t="inlineStr">
        <is>
          <t>Kab. Buru</t>
        </is>
      </c>
      <c r="C105" t="inlineStr">
        <is>
          <t>0811478123</t>
        </is>
      </c>
      <c r="D105" t="inlineStr">
        <is>
          <t>lintasbupolomandiri@gmail.com</t>
        </is>
      </c>
      <c r="E105" t="inlineStr">
        <is>
          <t>https://lpjk.pu.go.id/search-badan-usaha-detail/WFZSRW5nb3REcWRlNVhmRjdDb3lrQT09</t>
        </is>
      </c>
      <c r="F105" t="n">
        <v>1</v>
      </c>
      <c r="G105" t="inlineStr">
        <is>
          <t>BS002</t>
        </is>
      </c>
      <c r="H105" t="inlineStr">
        <is>
          <t>29 Juli 2019</t>
        </is>
      </c>
      <c r="I105" s="2" t="n">
        <v>46297</v>
      </c>
      <c r="J105" t="inlineStr">
        <is>
          <t>Disetujui</t>
        </is>
      </c>
      <c r="K105" t="n">
        <v>90</v>
      </c>
      <c r="L105" t="inlineStr">
        <is>
          <t>2 Oktober 2026</t>
        </is>
      </c>
      <c r="M105" t="inlineStr">
        <is>
          <t>Bangunan Sipil Jembatan, Jalan Layang, Fly Over, dan Underpass</t>
        </is>
      </c>
      <c r="N105" t="inlineStr">
        <is>
          <t>K</t>
        </is>
      </c>
      <c r="O105" t="inlineStr">
        <is>
          <t>20230930</t>
        </is>
      </c>
      <c r="P105" t="inlineStr">
        <is>
          <t>Maluku</t>
        </is>
      </c>
      <c r="Q105" t="inlineStr"/>
    </row>
    <row r="106">
      <c r="A106" t="inlineStr">
        <is>
          <t>LUTFI BANGUN PERSADA</t>
        </is>
      </c>
      <c r="B106" t="inlineStr">
        <is>
          <t>Kab. Sidoarjo</t>
        </is>
      </c>
      <c r="C106" t="inlineStr">
        <is>
          <t>082139838992</t>
        </is>
      </c>
      <c r="D106" t="inlineStr">
        <is>
          <t>lb.persada@gmail.com</t>
        </is>
      </c>
      <c r="E106" t="inlineStr">
        <is>
          <t>https://lpjk.pu.go.id/search-badan-usaha-detail/WVc2Y3VaQytOMUFMWXpxemttQzNJQT09</t>
        </is>
      </c>
      <c r="F106" t="n">
        <v>1</v>
      </c>
      <c r="G106" t="inlineStr">
        <is>
          <t>BS004</t>
        </is>
      </c>
      <c r="H106" t="inlineStr">
        <is>
          <t>2 September 2006</t>
        </is>
      </c>
      <c r="I106" s="2" t="n">
        <v>46297</v>
      </c>
      <c r="J106" t="inlineStr">
        <is>
          <t>Disetujui</t>
        </is>
      </c>
      <c r="K106" t="n">
        <v>90</v>
      </c>
      <c r="L106" t="inlineStr">
        <is>
          <t>2 Oktober 2026</t>
        </is>
      </c>
      <c r="M106" t="inlineStr">
        <is>
          <t>Konstruksi Jaringan Irigasi dan Drainase</t>
        </is>
      </c>
      <c r="N106" t="inlineStr">
        <is>
          <t>K</t>
        </is>
      </c>
      <c r="O106" t="inlineStr">
        <is>
          <t>20230921</t>
        </is>
      </c>
      <c r="P106" t="inlineStr">
        <is>
          <t>Jawa Timur</t>
        </is>
      </c>
      <c r="Q106" t="inlineStr"/>
    </row>
    <row r="107">
      <c r="A107" t="inlineStr">
        <is>
          <t>MAHAKAM CITRA NUSANTARA</t>
        </is>
      </c>
      <c r="B107" t="inlineStr">
        <is>
          <t>Kota Samarinda</t>
        </is>
      </c>
      <c r="C107" t="inlineStr">
        <is>
          <t>085249946413</t>
        </is>
      </c>
      <c r="D107" t="inlineStr">
        <is>
          <t>cv_mcn@yahoo.co.id</t>
        </is>
      </c>
      <c r="E107" t="inlineStr">
        <is>
          <t>https://lpjk.pu.go.id/search-badan-usaha-detail/YmJwK2J5Ym5TemxCNndGQStUVWVHdz09</t>
        </is>
      </c>
      <c r="F107" t="n">
        <v>2</v>
      </c>
      <c r="G107" t="inlineStr">
        <is>
          <t>BG006</t>
        </is>
      </c>
      <c r="H107" t="inlineStr">
        <is>
          <t>17 Desember 2021</t>
        </is>
      </c>
      <c r="I107" s="2" t="n">
        <v>46297</v>
      </c>
      <c r="J107" t="inlineStr">
        <is>
          <t>Pencabutan</t>
        </is>
      </c>
      <c r="K107" t="n">
        <v>90</v>
      </c>
      <c r="L107" t="inlineStr">
        <is>
          <t>2 Oktober 2026</t>
        </is>
      </c>
      <c r="M107" t="inlineStr">
        <is>
          <t>Konstruksi Gedung Pendidikan</t>
        </is>
      </c>
      <c r="N107" t="inlineStr">
        <is>
          <t>K</t>
        </is>
      </c>
      <c r="O107" t="inlineStr">
        <is>
          <t>20230730</t>
        </is>
      </c>
      <c r="P107" t="inlineStr">
        <is>
          <t>Kalimantan Timur</t>
        </is>
      </c>
      <c r="Q107" t="inlineStr"/>
    </row>
    <row r="108">
      <c r="A108" t="inlineStr">
        <is>
          <t>MANDIRI JAYA MOK</t>
        </is>
      </c>
      <c r="B108" t="inlineStr">
        <is>
          <t>Kota Palembang</t>
        </is>
      </c>
      <c r="C108" t="inlineStr">
        <is>
          <t>0711710859</t>
        </is>
      </c>
      <c r="D108" t="inlineStr">
        <is>
          <t>mandirijayamok@yahoo.com</t>
        </is>
      </c>
      <c r="E108" t="inlineStr">
        <is>
          <t>https://lpjk.pu.go.id/search-badan-usaha-detail/bjNtV3FPWlJFb0JqcURmTkdEUXhndz09</t>
        </is>
      </c>
      <c r="F108" t="n">
        <v>1</v>
      </c>
      <c r="G108" t="inlineStr">
        <is>
          <t>BG009</t>
        </is>
      </c>
      <c r="H108" t="inlineStr">
        <is>
          <t>9 September 2008</t>
        </is>
      </c>
      <c r="I108" s="2" t="n">
        <v>46297</v>
      </c>
      <c r="J108" t="inlineStr">
        <is>
          <t>Disetujui</t>
        </is>
      </c>
      <c r="K108" t="n">
        <v>90</v>
      </c>
      <c r="L108" t="inlineStr">
        <is>
          <t>2 Oktober 2026</t>
        </is>
      </c>
      <c r="M108" t="inlineStr">
        <is>
          <t>Konstruksi Gedung Lainnya</t>
        </is>
      </c>
      <c r="N108" t="inlineStr">
        <is>
          <t>K</t>
        </is>
      </c>
      <c r="O108" t="inlineStr">
        <is>
          <t>20230930</t>
        </is>
      </c>
      <c r="P108" t="inlineStr">
        <is>
          <t>Sumatera Selatan</t>
        </is>
      </c>
      <c r="Q108" t="inlineStr"/>
    </row>
    <row r="109">
      <c r="A109" t="inlineStr">
        <is>
          <t>MANGGALA KARYA NUSANTARA</t>
        </is>
      </c>
      <c r="B109" t="inlineStr">
        <is>
          <t>Kab. Boyolali</t>
        </is>
      </c>
      <c r="C109" t="inlineStr">
        <is>
          <t>082151152377</t>
        </is>
      </c>
      <c r="D109" t="inlineStr">
        <is>
          <t>ptmanggalakaryanusantara@gmail.com</t>
        </is>
      </c>
      <c r="E109" t="inlineStr">
        <is>
          <t>https://lpjk.pu.go.id/search-badan-usaha-detail/VzlSUGFiR2U2c1hyeG5ndXVPMmk1UT09</t>
        </is>
      </c>
      <c r="F109" t="n">
        <v>1</v>
      </c>
      <c r="G109" t="inlineStr">
        <is>
          <t>BS001</t>
        </is>
      </c>
      <c r="H109" t="inlineStr">
        <is>
          <t>12 September 2023</t>
        </is>
      </c>
      <c r="I109" s="2" t="n">
        <v>46297</v>
      </c>
      <c r="J109" t="inlineStr">
        <is>
          <t>Pencabutan</t>
        </is>
      </c>
      <c r="K109" t="n">
        <v>90</v>
      </c>
      <c r="L109" t="inlineStr">
        <is>
          <t>2 Oktober 2026</t>
        </is>
      </c>
      <c r="M109" t="inlineStr">
        <is>
          <t>Konstruksi Bangunan Sipil Jalan</t>
        </is>
      </c>
      <c r="N109" t="inlineStr">
        <is>
          <t>K</t>
        </is>
      </c>
      <c r="O109" t="inlineStr">
        <is>
          <t>20230926</t>
        </is>
      </c>
      <c r="P109" t="inlineStr">
        <is>
          <t>Jawa Tengah</t>
        </is>
      </c>
      <c r="Q109" t="inlineStr"/>
    </row>
    <row r="110">
      <c r="A110" t="inlineStr">
        <is>
          <t>MAYA GROUP</t>
        </is>
      </c>
      <c r="B110" t="inlineStr">
        <is>
          <t>Kab. Pasaman Barat</t>
        </is>
      </c>
      <c r="C110" t="inlineStr">
        <is>
          <t>081270379540</t>
        </is>
      </c>
      <c r="D110" t="inlineStr">
        <is>
          <t>rahmanmayagroup@gmail.com</t>
        </is>
      </c>
      <c r="E110" t="inlineStr">
        <is>
          <t>https://lpjk.pu.go.id/search-badan-usaha-detail/UE5KZ2ZmU2pBNlh4TVcwR0lKdnVndz09</t>
        </is>
      </c>
      <c r="F110" t="n">
        <v>1</v>
      </c>
      <c r="G110" t="inlineStr">
        <is>
          <t>BS002</t>
        </is>
      </c>
      <c r="H110" t="inlineStr">
        <is>
          <t>23 Mei 2013</t>
        </is>
      </c>
      <c r="I110" s="2" t="n">
        <v>46297</v>
      </c>
      <c r="J110" t="inlineStr">
        <is>
          <t>Disetujui</t>
        </is>
      </c>
      <c r="K110" t="n">
        <v>90</v>
      </c>
      <c r="L110" t="inlineStr">
        <is>
          <t>2 Oktober 2026</t>
        </is>
      </c>
      <c r="M110" t="inlineStr">
        <is>
          <t>Bangunan Sipil Jembatan, Jalan Layang, Fly Over, dan Underpass</t>
        </is>
      </c>
      <c r="N110" t="inlineStr">
        <is>
          <t>K</t>
        </is>
      </c>
      <c r="O110" t="inlineStr">
        <is>
          <t>20230926</t>
        </is>
      </c>
      <c r="P110" t="inlineStr">
        <is>
          <t>Sumatera Barat</t>
        </is>
      </c>
      <c r="Q110" t="inlineStr"/>
    </row>
    <row r="111">
      <c r="A111" t="inlineStr">
        <is>
          <t>MITRA CIPTA BANGUN</t>
        </is>
      </c>
      <c r="B111" t="inlineStr">
        <is>
          <t>Kab. Sidoarjo</t>
        </is>
      </c>
      <c r="C111" t="inlineStr">
        <is>
          <t>082232053861</t>
        </is>
      </c>
      <c r="D111" t="inlineStr">
        <is>
          <t>mitra.cipta.bangun.indonesia@gmail.com</t>
        </is>
      </c>
      <c r="E111" t="inlineStr">
        <is>
          <t>https://lpjk.pu.go.id/search-badan-usaha-detail/S0NGVTJadVc0Q3R4WXN2a0ZualV4Zz09</t>
        </is>
      </c>
      <c r="F111" t="n">
        <v>1</v>
      </c>
      <c r="G111" t="inlineStr">
        <is>
          <t>BG009</t>
        </is>
      </c>
      <c r="H111" t="inlineStr">
        <is>
          <t>8 Februari 2014</t>
        </is>
      </c>
      <c r="I111" s="2" t="n">
        <v>46297</v>
      </c>
      <c r="J111" t="inlineStr">
        <is>
          <t>Disetujui</t>
        </is>
      </c>
      <c r="K111" t="n">
        <v>90</v>
      </c>
      <c r="L111" t="inlineStr">
        <is>
          <t>2 Oktober 2026</t>
        </is>
      </c>
      <c r="M111" t="inlineStr">
        <is>
          <t>Konstruksi Gedung Lainnya</t>
        </is>
      </c>
      <c r="N111" t="inlineStr">
        <is>
          <t>K</t>
        </is>
      </c>
      <c r="O111" t="inlineStr">
        <is>
          <t>20230929</t>
        </is>
      </c>
      <c r="P111" t="inlineStr">
        <is>
          <t>Jawa Timur</t>
        </is>
      </c>
      <c r="Q111" t="inlineStr"/>
    </row>
    <row r="112">
      <c r="A112" t="inlineStr">
        <is>
          <t>MITRA PRINTIS</t>
        </is>
      </c>
      <c r="B112" t="inlineStr">
        <is>
          <t>Kab. Banyuasin</t>
        </is>
      </c>
      <c r="C112" t="inlineStr">
        <is>
          <t>081361513133</t>
        </is>
      </c>
      <c r="D112" t="inlineStr">
        <is>
          <t>mitraperintis.cv@gmail.com</t>
        </is>
      </c>
      <c r="E112" t="inlineStr">
        <is>
          <t>https://lpjk.pu.go.id/search-badan-usaha-detail/dU1JVUtWNWZCa3dONXNLanJCa1RwZz09</t>
        </is>
      </c>
      <c r="F112" t="n">
        <v>1</v>
      </c>
      <c r="G112" t="inlineStr">
        <is>
          <t>BG006</t>
        </is>
      </c>
      <c r="H112" t="inlineStr">
        <is>
          <t>19 Januari 2015</t>
        </is>
      </c>
      <c r="I112" s="2" t="n">
        <v>46297</v>
      </c>
      <c r="J112" t="inlineStr">
        <is>
          <t>Disetujui</t>
        </is>
      </c>
      <c r="K112" t="n">
        <v>90</v>
      </c>
      <c r="L112" t="inlineStr">
        <is>
          <t>2 Oktober 2026</t>
        </is>
      </c>
      <c r="M112" t="inlineStr">
        <is>
          <t>Konstruksi Gedung Pendidikan</t>
        </is>
      </c>
      <c r="N112" t="inlineStr">
        <is>
          <t>K</t>
        </is>
      </c>
      <c r="O112" t="inlineStr">
        <is>
          <t>20230915</t>
        </is>
      </c>
      <c r="P112" t="inlineStr">
        <is>
          <t>Sumatera Selatan</t>
        </is>
      </c>
      <c r="Q112" t="inlineStr"/>
    </row>
    <row r="113">
      <c r="A113" t="inlineStr">
        <is>
          <t>MITRA PUTRA AULIA</t>
        </is>
      </c>
      <c r="B113" t="inlineStr">
        <is>
          <t>Kota Medan</t>
        </is>
      </c>
      <c r="C113" t="inlineStr">
        <is>
          <t>08116144060</t>
        </is>
      </c>
      <c r="D113" t="inlineStr">
        <is>
          <t>ptmitraputraaulia@gmail.com</t>
        </is>
      </c>
      <c r="E113" t="inlineStr">
        <is>
          <t>https://lpjk.pu.go.id/search-badan-usaha-detail/bldCZ2dzQzYrdUljNHNVcHBvZ2J2QT09</t>
        </is>
      </c>
      <c r="F113" t="n">
        <v>1</v>
      </c>
      <c r="G113" t="inlineStr">
        <is>
          <t>BG002</t>
        </is>
      </c>
      <c r="H113" t="inlineStr">
        <is>
          <t>7 September 2023</t>
        </is>
      </c>
      <c r="I113" s="2" t="n">
        <v>46297</v>
      </c>
      <c r="J113" t="inlineStr">
        <is>
          <t>Disetujui</t>
        </is>
      </c>
      <c r="K113" t="n">
        <v>90</v>
      </c>
      <c r="L113" t="inlineStr">
        <is>
          <t>2 Oktober 2026</t>
        </is>
      </c>
      <c r="M113" t="inlineStr">
        <is>
          <t>Konstruksi Gedung Perkantoran</t>
        </is>
      </c>
      <c r="N113" t="inlineStr">
        <is>
          <t>K</t>
        </is>
      </c>
      <c r="O113" t="inlineStr">
        <is>
          <t>20230922</t>
        </is>
      </c>
      <c r="P113" t="inlineStr">
        <is>
          <t>Sumatera Utara</t>
        </is>
      </c>
      <c r="Q113" t="inlineStr"/>
    </row>
    <row r="114">
      <c r="A114" t="inlineStr">
        <is>
          <t>MUGI KARYA PERSADA</t>
        </is>
      </c>
      <c r="B114" t="inlineStr">
        <is>
          <t>Kab. Agam</t>
        </is>
      </c>
      <c r="C114" t="inlineStr">
        <is>
          <t>081372720393</t>
        </is>
      </c>
      <c r="D114" t="inlineStr">
        <is>
          <t>mugikaryapersada@gmail.com</t>
        </is>
      </c>
      <c r="E114" t="inlineStr">
        <is>
          <t>https://lpjk.pu.go.id/search-badan-usaha-detail/Q0hyS0NUaVZCcGhrNjQ5Rk9UcktrZz09</t>
        </is>
      </c>
      <c r="F114" t="n">
        <v>4</v>
      </c>
      <c r="G114" t="inlineStr">
        <is>
          <t>BG001, BG002, BG004, BG007</t>
        </is>
      </c>
      <c r="H114" t="inlineStr">
        <is>
          <t>10 Desember 2020</t>
        </is>
      </c>
      <c r="I114" s="2" t="n">
        <v>46297</v>
      </c>
      <c r="J114" t="inlineStr">
        <is>
          <t>Disetujui</t>
        </is>
      </c>
      <c r="K114" t="n">
        <v>90</v>
      </c>
      <c r="L114" t="inlineStr">
        <is>
          <t>2 Oktober 2026</t>
        </is>
      </c>
      <c r="M114" t="inlineStr">
        <is>
          <t>Konstruksi Gedung Hunian, Konstruksi Gedung Penginapan, Konstruksi Gedung Perbelanjaan, Konstruksi Gedung Perkantoran</t>
        </is>
      </c>
      <c r="N114" t="inlineStr">
        <is>
          <t>K</t>
        </is>
      </c>
      <c r="O114" t="inlineStr">
        <is>
          <t>20231002</t>
        </is>
      </c>
      <c r="P114" t="inlineStr">
        <is>
          <t>Sumatera Barat</t>
        </is>
      </c>
      <c r="Q114" t="inlineStr"/>
    </row>
    <row r="115">
      <c r="A115" t="inlineStr">
        <is>
          <t>MULTI JAYA TEKNIK</t>
        </is>
      </c>
      <c r="B115" t="inlineStr">
        <is>
          <t>Kab. Batu Bara</t>
        </is>
      </c>
      <c r="C115" t="inlineStr">
        <is>
          <t>082165242348</t>
        </is>
      </c>
      <c r="D115" t="inlineStr">
        <is>
          <t>multijayateknik.pt@gmail.com</t>
        </is>
      </c>
      <c r="E115" t="inlineStr">
        <is>
          <t>https://lpjk.pu.go.id/search-badan-usaha-detail/b2creUZheEdvN2Vzc2gvdThPVDV1Zz09</t>
        </is>
      </c>
      <c r="F115" t="n">
        <v>1</v>
      </c>
      <c r="G115" t="inlineStr">
        <is>
          <t>BS007</t>
        </is>
      </c>
      <c r="H115" t="inlineStr">
        <is>
          <t>14 September 2023</t>
        </is>
      </c>
      <c r="I115" s="2" t="n">
        <v>46297</v>
      </c>
      <c r="J115" t="inlineStr">
        <is>
          <t>Pencabutan</t>
        </is>
      </c>
      <c r="K115" t="n">
        <v>90</v>
      </c>
      <c r="L115" t="inlineStr">
        <is>
          <t>2 Oktober 2026</t>
        </is>
      </c>
      <c r="M115" t="inlineStr">
        <is>
          <t>Konstruksi Bangunan Sipil Elektrikal</t>
        </is>
      </c>
      <c r="N115" t="inlineStr">
        <is>
          <t>K</t>
        </is>
      </c>
      <c r="O115" t="inlineStr">
        <is>
          <t>20230929</t>
        </is>
      </c>
      <c r="P115" t="inlineStr">
        <is>
          <t>Sumatera Utara</t>
        </is>
      </c>
      <c r="Q115" t="inlineStr"/>
    </row>
    <row r="116">
      <c r="A116" t="inlineStr">
        <is>
          <t>MULTI PERSADA INTERNUSA</t>
        </is>
      </c>
      <c r="B116" t="inlineStr">
        <is>
          <t>Kota Bandung</t>
        </is>
      </c>
      <c r="C116" t="inlineStr">
        <is>
          <t>-</t>
        </is>
      </c>
      <c r="D116" t="inlineStr">
        <is>
          <t>multipersadainternusa25@gmail.com</t>
        </is>
      </c>
      <c r="E116" t="inlineStr">
        <is>
          <t>https://lpjk.pu.go.id/search-badan-usaha-detail/aFJxZTNsRURZMHVzSnpaSlFEdlNUUT09</t>
        </is>
      </c>
      <c r="F116" t="n">
        <v>1</v>
      </c>
      <c r="G116" t="inlineStr">
        <is>
          <t>BS001</t>
        </is>
      </c>
      <c r="H116" t="inlineStr">
        <is>
          <t>24 April 1997</t>
        </is>
      </c>
      <c r="I116" s="2" t="n">
        <v>46297</v>
      </c>
      <c r="J116" t="inlineStr">
        <is>
          <t>Disetujui</t>
        </is>
      </c>
      <c r="K116" t="n">
        <v>90</v>
      </c>
      <c r="L116" t="inlineStr">
        <is>
          <t>2 Oktober 2026</t>
        </is>
      </c>
      <c r="M116" t="inlineStr">
        <is>
          <t>Konstruksi Bangunan Sipil Jalan</t>
        </is>
      </c>
      <c r="N116" t="inlineStr">
        <is>
          <t>K</t>
        </is>
      </c>
      <c r="O116" t="inlineStr">
        <is>
          <t>20231002</t>
        </is>
      </c>
      <c r="P116" t="inlineStr">
        <is>
          <t>Jawa Barat</t>
        </is>
      </c>
      <c r="Q116" t="inlineStr"/>
    </row>
    <row r="117">
      <c r="A117" t="inlineStr">
        <is>
          <t>MUTIARA AZKA</t>
        </is>
      </c>
      <c r="B117" t="inlineStr">
        <is>
          <t>Kota Semarang</t>
        </is>
      </c>
      <c r="C117" t="inlineStr">
        <is>
          <t>085865000779</t>
        </is>
      </c>
      <c r="D117" t="inlineStr">
        <is>
          <t>mutiara_azka@ymail.com</t>
        </is>
      </c>
      <c r="E117" t="inlineStr">
        <is>
          <t>https://lpjk.pu.go.id/search-badan-usaha-detail/a25Cb2xudm9rRkQxN2lZaitNdmxyQT09</t>
        </is>
      </c>
      <c r="F117" t="n">
        <v>2</v>
      </c>
      <c r="G117" t="inlineStr">
        <is>
          <t>BG006, BS004</t>
        </is>
      </c>
      <c r="H117" t="inlineStr">
        <is>
          <t>8 April 2011</t>
        </is>
      </c>
      <c r="I117" s="2" t="n">
        <v>46297</v>
      </c>
      <c r="J117" t="inlineStr">
        <is>
          <t>Disetujui, Pencabutan</t>
        </is>
      </c>
      <c r="K117" t="n">
        <v>90</v>
      </c>
      <c r="L117" t="inlineStr">
        <is>
          <t>2 Oktober 2026</t>
        </is>
      </c>
      <c r="M117" t="inlineStr">
        <is>
          <t>Konstruksi Gedung Pendidikan, Konstruksi Jaringan Irigasi dan Drainase</t>
        </is>
      </c>
      <c r="N117" t="inlineStr">
        <is>
          <t>K</t>
        </is>
      </c>
      <c r="O117" t="inlineStr">
        <is>
          <t>20230831, 20230913</t>
        </is>
      </c>
      <c r="P117" t="inlineStr">
        <is>
          <t>Jawa Tengah</t>
        </is>
      </c>
      <c r="Q117" t="inlineStr"/>
    </row>
    <row r="118">
      <c r="A118" t="inlineStr">
        <is>
          <t>MUTIARA CISADANE</t>
        </is>
      </c>
      <c r="B118" t="inlineStr">
        <is>
          <t>Kab. Tangerang</t>
        </is>
      </c>
      <c r="C118" t="inlineStr">
        <is>
          <t>02159370924</t>
        </is>
      </c>
      <c r="D118" t="inlineStr">
        <is>
          <t>mutiaracisadane.office@gmail.com</t>
        </is>
      </c>
      <c r="E118" t="inlineStr">
        <is>
          <t>https://lpjk.pu.go.id/search-badan-usaha-detail/cVc1VVY4d0hvdWpWQ3VEclk3UnlYUT09</t>
        </is>
      </c>
      <c r="F118" t="n">
        <v>2</v>
      </c>
      <c r="G118" t="inlineStr">
        <is>
          <t>BS010</t>
        </is>
      </c>
      <c r="H118" t="inlineStr">
        <is>
          <t>20 Desember 2004</t>
        </is>
      </c>
      <c r="I118" s="2" t="n">
        <v>46297</v>
      </c>
      <c r="J118" t="inlineStr">
        <is>
          <t>Disetujui</t>
        </is>
      </c>
      <c r="K118" t="n">
        <v>90</v>
      </c>
      <c r="L118" t="inlineStr">
        <is>
          <t>2 Oktober 2026</t>
        </is>
      </c>
      <c r="M118" t="inlineStr">
        <is>
          <t>Konstruksi Bangunan Prasarana Sumber Daya Air</t>
        </is>
      </c>
      <c r="N118" t="inlineStr">
        <is>
          <t>K</t>
        </is>
      </c>
      <c r="O118" t="inlineStr">
        <is>
          <t>20230911</t>
        </is>
      </c>
      <c r="P118" t="inlineStr">
        <is>
          <t>Banten</t>
        </is>
      </c>
      <c r="Q118" t="inlineStr"/>
    </row>
    <row r="119">
      <c r="A119" t="inlineStr">
        <is>
          <t>NATAMA KARYA JAYA</t>
        </is>
      </c>
      <c r="B119" t="inlineStr">
        <is>
          <t>Kota Medan</t>
        </is>
      </c>
      <c r="C119" t="inlineStr">
        <is>
          <t>0617861651</t>
        </is>
      </c>
      <c r="D119" t="inlineStr">
        <is>
          <t>natamakaryajaya@gmail.com</t>
        </is>
      </c>
      <c r="E119" t="inlineStr">
        <is>
          <t>https://lpjk.pu.go.id/search-badan-usaha-detail/V2d0N2RnZGp4U3AvR1kxMFBFSFZYUT09</t>
        </is>
      </c>
      <c r="F119" t="n">
        <v>2</v>
      </c>
      <c r="G119" t="inlineStr">
        <is>
          <t>IN002</t>
        </is>
      </c>
      <c r="H119" t="inlineStr">
        <is>
          <t>13 April 2007</t>
        </is>
      </c>
      <c r="I119" s="2" t="n">
        <v>46297</v>
      </c>
      <c r="J119" t="inlineStr">
        <is>
          <t>Pembekuan</t>
        </is>
      </c>
      <c r="K119" t="n">
        <v>90</v>
      </c>
      <c r="L119" t="inlineStr">
        <is>
          <t>2 Oktober 2026</t>
        </is>
      </c>
      <c r="M119" t="inlineStr">
        <is>
          <t>Instalasi Telekomunikasi</t>
        </is>
      </c>
      <c r="N119" t="inlineStr">
        <is>
          <t>Spesialis</t>
        </is>
      </c>
      <c r="O119" t="inlineStr">
        <is>
          <t>20230927</t>
        </is>
      </c>
      <c r="P119" t="inlineStr">
        <is>
          <t>Sumatera Utara</t>
        </is>
      </c>
      <c r="Q119" t="inlineStr"/>
    </row>
    <row r="120">
      <c r="A120" t="inlineStr">
        <is>
          <t>NAUFAL PRATAMA</t>
        </is>
      </c>
      <c r="B120" t="inlineStr">
        <is>
          <t>Kab. Jember</t>
        </is>
      </c>
      <c r="C120" t="inlineStr">
        <is>
          <t>082331757483</t>
        </is>
      </c>
      <c r="D120" t="inlineStr">
        <is>
          <t>cvnaufalpratama01@gmail.com</t>
        </is>
      </c>
      <c r="E120" t="inlineStr">
        <is>
          <t>https://lpjk.pu.go.id/search-badan-usaha-detail/VUJPTUw4ekkxT04vZ2R1V0dROGVudz09</t>
        </is>
      </c>
      <c r="F120" t="n">
        <v>1</v>
      </c>
      <c r="G120" t="inlineStr">
        <is>
          <t>BG009</t>
        </is>
      </c>
      <c r="H120" t="inlineStr">
        <is>
          <t>30 Januari 2017</t>
        </is>
      </c>
      <c r="I120" s="2" t="n">
        <v>46297</v>
      </c>
      <c r="J120" t="inlineStr">
        <is>
          <t>Pencabutan</t>
        </is>
      </c>
      <c r="K120" t="n">
        <v>90</v>
      </c>
      <c r="L120" t="inlineStr">
        <is>
          <t>2 Oktober 2026</t>
        </is>
      </c>
      <c r="M120" t="inlineStr">
        <is>
          <t>Konstruksi Gedung Lainnya</t>
        </is>
      </c>
      <c r="N120" t="inlineStr">
        <is>
          <t>K</t>
        </is>
      </c>
      <c r="O120" t="inlineStr">
        <is>
          <t>20230926</t>
        </is>
      </c>
      <c r="P120" t="inlineStr">
        <is>
          <t>Jawa Timur</t>
        </is>
      </c>
      <c r="Q120" t="inlineStr"/>
    </row>
    <row r="121">
      <c r="A121" t="inlineStr">
        <is>
          <t>NUR AINI</t>
        </is>
      </c>
      <c r="B121" t="inlineStr">
        <is>
          <t>Kab. Kediri</t>
        </is>
      </c>
      <c r="C121" t="inlineStr">
        <is>
          <t>085733237617</t>
        </is>
      </c>
      <c r="D121" t="inlineStr">
        <is>
          <t>nuraini_cv@yahoo.com</t>
        </is>
      </c>
      <c r="E121" t="inlineStr">
        <is>
          <t>https://lpjk.pu.go.id/search-badan-usaha-detail/NWxRT25vOWhJcFRueTNpaWdmWUZNQT09</t>
        </is>
      </c>
      <c r="F121" t="n">
        <v>1</v>
      </c>
      <c r="G121" t="inlineStr">
        <is>
          <t>BG009</t>
        </is>
      </c>
      <c r="H121" t="inlineStr">
        <is>
          <t>5 Juli 2007</t>
        </is>
      </c>
      <c r="I121" s="2" t="n">
        <v>46297</v>
      </c>
      <c r="J121" t="inlineStr">
        <is>
          <t>Disetujui</t>
        </is>
      </c>
      <c r="K121" t="n">
        <v>90</v>
      </c>
      <c r="L121" t="inlineStr">
        <is>
          <t>2 Oktober 2026</t>
        </is>
      </c>
      <c r="M121" t="inlineStr">
        <is>
          <t>Konstruksi Gedung Lainnya</t>
        </is>
      </c>
      <c r="N121" t="inlineStr">
        <is>
          <t>K</t>
        </is>
      </c>
      <c r="O121" t="inlineStr">
        <is>
          <t>20230922</t>
        </is>
      </c>
      <c r="P121" t="inlineStr">
        <is>
          <t>Jawa Timur</t>
        </is>
      </c>
      <c r="Q121" t="inlineStr"/>
    </row>
    <row r="122">
      <c r="A122" t="inlineStr">
        <is>
          <t>NUSA INDAH RAYA</t>
        </is>
      </c>
      <c r="B122" t="inlineStr">
        <is>
          <t>Kota Banjarmasin</t>
        </is>
      </c>
      <c r="C122" t="inlineStr">
        <is>
          <t>081251994739</t>
        </is>
      </c>
      <c r="D122" t="inlineStr">
        <is>
          <t>cv_nusaindahraya@yahoo.com</t>
        </is>
      </c>
      <c r="E122" t="inlineStr">
        <is>
          <t>https://lpjk.pu.go.id/search-badan-usaha-detail/SkJqSTVVZG1iUytIeEg0WlBNOFp5UT09</t>
        </is>
      </c>
      <c r="F122" t="n">
        <v>1</v>
      </c>
      <c r="G122" t="inlineStr">
        <is>
          <t>BG005</t>
        </is>
      </c>
      <c r="H122" t="inlineStr">
        <is>
          <t>18 Desember 2000</t>
        </is>
      </c>
      <c r="I122" s="2" t="n">
        <v>46297</v>
      </c>
      <c r="J122" t="inlineStr">
        <is>
          <t>Disetujui</t>
        </is>
      </c>
      <c r="K122" t="n">
        <v>90</v>
      </c>
      <c r="L122" t="inlineStr">
        <is>
          <t>2 Oktober 2026</t>
        </is>
      </c>
      <c r="M122" t="inlineStr">
        <is>
          <t>Konstruksi Gedung Kesehatan</t>
        </is>
      </c>
      <c r="N122" t="inlineStr">
        <is>
          <t>K</t>
        </is>
      </c>
      <c r="O122" t="inlineStr">
        <is>
          <t>20231001</t>
        </is>
      </c>
      <c r="P122" t="inlineStr">
        <is>
          <t>Kalimantan Selatan</t>
        </is>
      </c>
      <c r="Q122" t="inlineStr"/>
    </row>
    <row r="123">
      <c r="A123" t="inlineStr">
        <is>
          <t>PANCA INDAH JAYAMAHE</t>
        </is>
      </c>
      <c r="B123" t="inlineStr">
        <is>
          <t>Kota Surabaya</t>
        </is>
      </c>
      <c r="C123" t="inlineStr">
        <is>
          <t>0318291317</t>
        </is>
      </c>
      <c r="D123" t="inlineStr">
        <is>
          <t>pancaindahjayamahe.pt@gmail.com</t>
        </is>
      </c>
      <c r="E123" t="inlineStr">
        <is>
          <t>https://lpjk.pu.go.id/search-badan-usaha-detail/T0diRHNLL1B6RHg3NkhwWVFkYklUdz09</t>
        </is>
      </c>
      <c r="F123" t="n">
        <v>1</v>
      </c>
      <c r="G123" t="inlineStr">
        <is>
          <t>IN004</t>
        </is>
      </c>
      <c r="H123" t="inlineStr">
        <is>
          <t>31 Januari 2008</t>
        </is>
      </c>
      <c r="I123" s="2" t="n">
        <v>46297</v>
      </c>
      <c r="J123" t="inlineStr">
        <is>
          <t>Disetujui</t>
        </is>
      </c>
      <c r="K123" t="n">
        <v>90</v>
      </c>
      <c r="L123" t="inlineStr">
        <is>
          <t>2 Oktober 2026</t>
        </is>
      </c>
      <c r="M123" t="inlineStr">
        <is>
          <t>Instalasi Minyak dan Gas</t>
        </is>
      </c>
      <c r="N123" t="inlineStr">
        <is>
          <t>Spesialis</t>
        </is>
      </c>
      <c r="O123" t="inlineStr">
        <is>
          <t>20220413</t>
        </is>
      </c>
      <c r="P123" t="inlineStr">
        <is>
          <t>Jawa Timur</t>
        </is>
      </c>
      <c r="Q123" t="inlineStr"/>
    </row>
    <row r="124">
      <c r="A124" t="inlineStr">
        <is>
          <t>PARSAMEAN UTAMA</t>
        </is>
      </c>
      <c r="B124" t="inlineStr">
        <is>
          <t>Kota Medan</t>
        </is>
      </c>
      <c r="C124" t="inlineStr">
        <is>
          <t>082276421290</t>
        </is>
      </c>
      <c r="D124" t="inlineStr">
        <is>
          <t>parsameanutamaeducation@gmail.com</t>
        </is>
      </c>
      <c r="E124" t="inlineStr">
        <is>
          <t>https://lpjk.pu.go.id/search-badan-usaha-detail/cFRrZVlGS2lzQVViUnErNnFsOFRyZz09</t>
        </is>
      </c>
      <c r="F124" t="n">
        <v>1</v>
      </c>
      <c r="G124" t="inlineStr">
        <is>
          <t>BG002</t>
        </is>
      </c>
      <c r="H124" t="inlineStr">
        <is>
          <t>28 Januari 2010</t>
        </is>
      </c>
      <c r="I124" s="2" t="n">
        <v>46297</v>
      </c>
      <c r="J124" t="inlineStr">
        <is>
          <t>Disetujui</t>
        </is>
      </c>
      <c r="K124" t="n">
        <v>90</v>
      </c>
      <c r="L124" t="inlineStr">
        <is>
          <t>2 Oktober 2026</t>
        </is>
      </c>
      <c r="M124" t="inlineStr">
        <is>
          <t>Konstruksi Gedung Perkantoran</t>
        </is>
      </c>
      <c r="N124" t="inlineStr">
        <is>
          <t>K</t>
        </is>
      </c>
      <c r="O124" t="inlineStr">
        <is>
          <t>20230930</t>
        </is>
      </c>
      <c r="P124" t="inlineStr">
        <is>
          <t>Sumatera Utara</t>
        </is>
      </c>
      <c r="Q124" t="inlineStr"/>
    </row>
    <row r="125">
      <c r="A125" t="inlineStr">
        <is>
          <t>PERINTIS PROTEKSI SEJAHTERA</t>
        </is>
      </c>
      <c r="B125" t="inlineStr">
        <is>
          <t>Kota Adm. Jakarta Utara</t>
        </is>
      </c>
      <c r="C125" t="inlineStr">
        <is>
          <t>0216400751</t>
        </is>
      </c>
      <c r="D125" t="inlineStr">
        <is>
          <t>perintisproteksisejahtera91@gmail.com</t>
        </is>
      </c>
      <c r="E125" t="inlineStr">
        <is>
          <t>https://lpjk.pu.go.id/search-badan-usaha-detail/QVJsQzV1SXpqTllnYUF1dHRIc3JFUT09</t>
        </is>
      </c>
      <c r="F125" t="n">
        <v>1</v>
      </c>
      <c r="G125" t="inlineStr">
        <is>
          <t>BS011</t>
        </is>
      </c>
      <c r="H125" t="inlineStr">
        <is>
          <t>9 Desember 1991</t>
        </is>
      </c>
      <c r="I125" s="2" t="n">
        <v>46297</v>
      </c>
      <c r="J125" t="inlineStr">
        <is>
          <t>Disetujui</t>
        </is>
      </c>
      <c r="K125" t="n">
        <v>90</v>
      </c>
      <c r="L125" t="inlineStr">
        <is>
          <t>2 Oktober 2026</t>
        </is>
      </c>
      <c r="M125" t="inlineStr">
        <is>
          <t>Konstruksi Bangunan Pelabuhan Bukan Perikanan</t>
        </is>
      </c>
      <c r="N125" t="inlineStr">
        <is>
          <t>M</t>
        </is>
      </c>
      <c r="O125" t="inlineStr">
        <is>
          <t>20230925</t>
        </is>
      </c>
      <c r="P125" t="inlineStr">
        <is>
          <t>DKI Jakarta</t>
        </is>
      </c>
      <c r="Q125" t="inlineStr"/>
    </row>
    <row r="126">
      <c r="A126" t="inlineStr">
        <is>
          <t>PILAR MAS</t>
        </is>
      </c>
      <c r="B126" t="inlineStr">
        <is>
          <t>Kab. Blitar</t>
        </is>
      </c>
      <c r="C126" t="inlineStr">
        <is>
          <t>081556596825</t>
        </is>
      </c>
      <c r="D126" t="inlineStr">
        <is>
          <t>pilar_masblitar@yahoo.co.id</t>
        </is>
      </c>
      <c r="E126" t="inlineStr">
        <is>
          <t>https://lpjk.pu.go.id/search-badan-usaha-detail/QU1LenRQcXNOdWVMZC80UVNxUDQzQT09</t>
        </is>
      </c>
      <c r="F126" t="n">
        <v>3</v>
      </c>
      <c r="G126" t="inlineStr">
        <is>
          <t>BG005, BG006, BG009</t>
        </is>
      </c>
      <c r="H126" t="inlineStr">
        <is>
          <t>12 April 2006</t>
        </is>
      </c>
      <c r="I126" s="2" t="n">
        <v>46297</v>
      </c>
      <c r="J126" t="inlineStr">
        <is>
          <t>Disetujui</t>
        </is>
      </c>
      <c r="K126" t="n">
        <v>90</v>
      </c>
      <c r="L126" t="inlineStr">
        <is>
          <t>2 Oktober 2026</t>
        </is>
      </c>
      <c r="M126" t="inlineStr">
        <is>
          <t>Konstruksi Gedung Kesehatan, Konstruksi Gedung Lainnya, Konstruksi Gedung Pendidikan</t>
        </is>
      </c>
      <c r="N126" t="inlineStr">
        <is>
          <t>K</t>
        </is>
      </c>
      <c r="O126" t="inlineStr">
        <is>
          <t>20230927</t>
        </is>
      </c>
      <c r="P126" t="inlineStr">
        <is>
          <t>Jawa Timur</t>
        </is>
      </c>
      <c r="Q126" t="inlineStr"/>
    </row>
    <row r="127">
      <c r="A127" t="inlineStr">
        <is>
          <t>PRADANA ISHWARI JAYA</t>
        </is>
      </c>
      <c r="B127" t="inlineStr">
        <is>
          <t>Kab. Cilacap</t>
        </is>
      </c>
      <c r="C127" t="inlineStr">
        <is>
          <t>085647628886</t>
        </is>
      </c>
      <c r="D127" t="inlineStr">
        <is>
          <t>pradanaishwari@gmail.com</t>
        </is>
      </c>
      <c r="E127" t="inlineStr">
        <is>
          <t>https://lpjk.pu.go.id/search-badan-usaha-detail/YlZkcFMzWlYyQ1d3Z09Lb2RmM09tZz09</t>
        </is>
      </c>
      <c r="F127" t="n">
        <v>1</v>
      </c>
      <c r="G127" t="inlineStr">
        <is>
          <t>BS001</t>
        </is>
      </c>
      <c r="H127" t="inlineStr">
        <is>
          <t>2 Februari 2023</t>
        </is>
      </c>
      <c r="I127" s="2" t="n">
        <v>46297</v>
      </c>
      <c r="J127" t="inlineStr">
        <is>
          <t>Pencabutan</t>
        </is>
      </c>
      <c r="K127" t="n">
        <v>90</v>
      </c>
      <c r="L127" t="inlineStr">
        <is>
          <t>2 Oktober 2026</t>
        </is>
      </c>
      <c r="M127" t="inlineStr">
        <is>
          <t>Konstruksi Bangunan Sipil Jalan</t>
        </is>
      </c>
      <c r="N127" t="inlineStr">
        <is>
          <t>K</t>
        </is>
      </c>
      <c r="O127" t="inlineStr">
        <is>
          <t>20230928</t>
        </is>
      </c>
      <c r="P127" t="inlineStr">
        <is>
          <t>Jawa Tengah</t>
        </is>
      </c>
      <c r="Q127" t="inlineStr"/>
    </row>
    <row r="128">
      <c r="A128" t="inlineStr">
        <is>
          <t>PRIMA GLOBAL TECHNIC</t>
        </is>
      </c>
      <c r="B128" t="inlineStr">
        <is>
          <t>Kota Balikpapan</t>
        </is>
      </c>
      <c r="C128" t="inlineStr">
        <is>
          <t>082150223255</t>
        </is>
      </c>
      <c r="D128" t="inlineStr">
        <is>
          <t>pgt.bpn@gmail.com</t>
        </is>
      </c>
      <c r="E128" t="inlineStr">
        <is>
          <t>https://lpjk.pu.go.id/search-badan-usaha-detail/Zm5BQWdCbnEvZUJEWUg5dk41eXR0Zz09</t>
        </is>
      </c>
      <c r="F128" t="n">
        <v>1</v>
      </c>
      <c r="G128" t="inlineStr">
        <is>
          <t>BG001</t>
        </is>
      </c>
      <c r="H128" t="inlineStr">
        <is>
          <t>19 September 2015</t>
        </is>
      </c>
      <c r="I128" s="2" t="n">
        <v>46297</v>
      </c>
      <c r="J128" t="inlineStr">
        <is>
          <t>Disetujui</t>
        </is>
      </c>
      <c r="K128" t="n">
        <v>90</v>
      </c>
      <c r="L128" t="inlineStr">
        <is>
          <t>2 Oktober 2026</t>
        </is>
      </c>
      <c r="M128" t="inlineStr">
        <is>
          <t>Konstruksi Gedung Hunian</t>
        </is>
      </c>
      <c r="N128" t="inlineStr">
        <is>
          <t>K</t>
        </is>
      </c>
      <c r="O128" t="inlineStr">
        <is>
          <t>20230608</t>
        </is>
      </c>
      <c r="P128" t="inlineStr">
        <is>
          <t>Kalimantan Timur</t>
        </is>
      </c>
      <c r="Q128" t="inlineStr"/>
    </row>
    <row r="129">
      <c r="A129" t="inlineStr">
        <is>
          <t>PRIMA MEGAH IRSA</t>
        </is>
      </c>
      <c r="B129" t="inlineStr">
        <is>
          <t>Kab. Gresik</t>
        </is>
      </c>
      <c r="C129" t="inlineStr">
        <is>
          <t>0811125585</t>
        </is>
      </c>
      <c r="D129" t="inlineStr">
        <is>
          <t>makhrudy@yahoo.com</t>
        </is>
      </c>
      <c r="E129" t="inlineStr">
        <is>
          <t>https://lpjk.pu.go.id/search-badan-usaha-detail/VkFUdXhMSVY4R2VyVk43SUhzbkFoUT09</t>
        </is>
      </c>
      <c r="F129" t="n">
        <v>1</v>
      </c>
      <c r="G129" t="inlineStr">
        <is>
          <t>BG009</t>
        </is>
      </c>
      <c r="H129" t="inlineStr">
        <is>
          <t>13 Maret 2010</t>
        </is>
      </c>
      <c r="I129" s="2" t="n">
        <v>46297</v>
      </c>
      <c r="J129" t="inlineStr">
        <is>
          <t>Disetujui</t>
        </is>
      </c>
      <c r="K129" t="n">
        <v>90</v>
      </c>
      <c r="L129" t="inlineStr">
        <is>
          <t>2 Oktober 2026</t>
        </is>
      </c>
      <c r="M129" t="inlineStr">
        <is>
          <t>Konstruksi Gedung Lainnya</t>
        </is>
      </c>
      <c r="N129" t="inlineStr">
        <is>
          <t>M</t>
        </is>
      </c>
      <c r="O129" t="inlineStr">
        <is>
          <t>20230919</t>
        </is>
      </c>
      <c r="P129" t="inlineStr">
        <is>
          <t>Jawa Timur</t>
        </is>
      </c>
      <c r="Q129" t="inlineStr"/>
    </row>
    <row r="130">
      <c r="A130" t="inlineStr">
        <is>
          <t>PURNAMA INSAN GLOBAL</t>
        </is>
      </c>
      <c r="B130" t="inlineStr">
        <is>
          <t>Kota Adm. Jakarta Pusat</t>
        </is>
      </c>
      <c r="C130" t="inlineStr">
        <is>
          <t>0213511698</t>
        </is>
      </c>
      <c r="D130" t="inlineStr">
        <is>
          <t>purnamaiglobal@gmail.com</t>
        </is>
      </c>
      <c r="E130" t="inlineStr">
        <is>
          <t>https://lpjk.pu.go.id/search-badan-usaha-detail/bVJDNGRNcWhSc05wOGQrNUlYWXVCQT09</t>
        </is>
      </c>
      <c r="F130" t="n">
        <v>2</v>
      </c>
      <c r="G130" t="inlineStr">
        <is>
          <t>BS009</t>
        </is>
      </c>
      <c r="H130" t="inlineStr">
        <is>
          <t>20 November 2021</t>
        </is>
      </c>
      <c r="I130" s="2" t="n">
        <v>46297</v>
      </c>
      <c r="J130" t="inlineStr">
        <is>
          <t>Pencabutan</t>
        </is>
      </c>
      <c r="K130" t="n">
        <v>90</v>
      </c>
      <c r="L130" t="inlineStr">
        <is>
          <t>2 Oktober 2026</t>
        </is>
      </c>
      <c r="M130" t="inlineStr">
        <is>
          <t>Konstruksi Sentral Telekomunikasi</t>
        </is>
      </c>
      <c r="N130" t="inlineStr">
        <is>
          <t>K</t>
        </is>
      </c>
      <c r="O130" t="inlineStr">
        <is>
          <t>20230928</t>
        </is>
      </c>
      <c r="P130" t="inlineStr">
        <is>
          <t>DKI Jakarta</t>
        </is>
      </c>
      <c r="Q130" t="inlineStr"/>
    </row>
    <row r="131">
      <c r="A131" t="inlineStr">
        <is>
          <t>PUTRA BATAM MANDIRI</t>
        </is>
      </c>
      <c r="B131" t="inlineStr">
        <is>
          <t>Kota Batam</t>
        </is>
      </c>
      <c r="C131" t="inlineStr">
        <is>
          <t>0778455327</t>
        </is>
      </c>
      <c r="D131" t="inlineStr">
        <is>
          <t>pbm@jeniputra.com</t>
        </is>
      </c>
      <c r="E131" t="inlineStr">
        <is>
          <t>https://lpjk.pu.go.id/search-badan-usaha-detail/SCszU2JTVUhZUnQyUTBsZjdEQjk0QT09</t>
        </is>
      </c>
      <c r="F131" t="n">
        <v>2</v>
      </c>
      <c r="G131" t="inlineStr">
        <is>
          <t>BS001, BS004</t>
        </is>
      </c>
      <c r="H131" t="inlineStr">
        <is>
          <t>11 November 2014</t>
        </is>
      </c>
      <c r="I131" s="2" t="n">
        <v>46297</v>
      </c>
      <c r="J131" t="inlineStr">
        <is>
          <t>Pencabutan</t>
        </is>
      </c>
      <c r="K131" t="n">
        <v>90</v>
      </c>
      <c r="L131" t="inlineStr">
        <is>
          <t>2 Oktober 2026</t>
        </is>
      </c>
      <c r="M131" t="inlineStr">
        <is>
          <t>Konstruksi Bangunan Sipil Jalan, Konstruksi Jaringan Irigasi dan Drainase</t>
        </is>
      </c>
      <c r="N131" t="inlineStr">
        <is>
          <t>K</t>
        </is>
      </c>
      <c r="O131" t="inlineStr">
        <is>
          <t>20230929</t>
        </is>
      </c>
      <c r="P131" t="inlineStr">
        <is>
          <t>Kepulauan Riau</t>
        </is>
      </c>
      <c r="Q131" t="inlineStr"/>
    </row>
    <row r="132">
      <c r="A132" t="inlineStr">
        <is>
          <t>PUTRA NIJEJE WETASBER PUTRA</t>
        </is>
      </c>
      <c r="B132" t="inlineStr">
        <is>
          <t>Kab. Jayawijaya</t>
        </is>
      </c>
      <c r="C132" t="inlineStr">
        <is>
          <t>0895801273819</t>
        </is>
      </c>
      <c r="D132" t="inlineStr">
        <is>
          <t>cvputranijejewetasberputra@gmail.com</t>
        </is>
      </c>
      <c r="E132" t="inlineStr">
        <is>
          <t>https://lpjk.pu.go.id/search-badan-usaha-detail/Z2MyNU9aV2ozSlBMSERZNTBxMlN6dz09</t>
        </is>
      </c>
      <c r="F132" t="n">
        <v>1</v>
      </c>
      <c r="G132" t="inlineStr">
        <is>
          <t>BS001</t>
        </is>
      </c>
      <c r="H132" t="inlineStr">
        <is>
          <t>29 September 2023</t>
        </is>
      </c>
      <c r="I132" s="2" t="n">
        <v>46297</v>
      </c>
      <c r="J132" t="inlineStr">
        <is>
          <t>Disetujui</t>
        </is>
      </c>
      <c r="K132" t="n">
        <v>90</v>
      </c>
      <c r="L132" t="inlineStr">
        <is>
          <t>2 Oktober 2026</t>
        </is>
      </c>
      <c r="M132" t="inlineStr">
        <is>
          <t>Konstruksi Bangunan Sipil Jalan</t>
        </is>
      </c>
      <c r="N132" t="inlineStr">
        <is>
          <t>K</t>
        </is>
      </c>
      <c r="O132" t="inlineStr">
        <is>
          <t>20231001</t>
        </is>
      </c>
      <c r="P132" t="inlineStr">
        <is>
          <t>Papua</t>
        </is>
      </c>
      <c r="Q132" t="inlineStr"/>
    </row>
    <row r="133">
      <c r="A133" t="inlineStr">
        <is>
          <t>PUTRA PURNAWARMAN SELATAN</t>
        </is>
      </c>
      <c r="B133" t="inlineStr">
        <is>
          <t>Kab. Purwakarta</t>
        </is>
      </c>
      <c r="C133" t="inlineStr">
        <is>
          <t>081804072473</t>
        </is>
      </c>
      <c r="D133" t="inlineStr">
        <is>
          <t>cv.putrapurnawarmanselatan@gmail.com</t>
        </is>
      </c>
      <c r="E133" t="inlineStr">
        <is>
          <t>https://lpjk.pu.go.id/search-badan-usaha-detail/SkpTRmJQd1M4UnR5dlNpTnhsTDJDUT09</t>
        </is>
      </c>
      <c r="F133" t="n">
        <v>1</v>
      </c>
      <c r="G133" t="inlineStr">
        <is>
          <t>BS004</t>
        </is>
      </c>
      <c r="H133" t="inlineStr">
        <is>
          <t>21 Agustus 2023</t>
        </is>
      </c>
      <c r="I133" s="2" t="n">
        <v>46297</v>
      </c>
      <c r="J133" t="inlineStr">
        <is>
          <t>Disetujui</t>
        </is>
      </c>
      <c r="K133" t="n">
        <v>90</v>
      </c>
      <c r="L133" t="inlineStr">
        <is>
          <t>2 Oktober 2026</t>
        </is>
      </c>
      <c r="M133" t="inlineStr">
        <is>
          <t>Konstruksi Jaringan Irigasi dan Drainase</t>
        </is>
      </c>
      <c r="N133" t="inlineStr">
        <is>
          <t>K</t>
        </is>
      </c>
      <c r="O133" t="inlineStr">
        <is>
          <t>20230925</t>
        </is>
      </c>
      <c r="P133" t="inlineStr">
        <is>
          <t>Jawa Barat</t>
        </is>
      </c>
      <c r="Q133" t="inlineStr"/>
    </row>
    <row r="134">
      <c r="A134" t="inlineStr">
        <is>
          <t>PUTRA SULTAN GEMILANG</t>
        </is>
      </c>
      <c r="B134" t="inlineStr">
        <is>
          <t>Kota Banda Aceh</t>
        </is>
      </c>
      <c r="C134" t="inlineStr">
        <is>
          <t>082363848767</t>
        </is>
      </c>
      <c r="D134" t="inlineStr">
        <is>
          <t>putrasultangemilang@gmail.com</t>
        </is>
      </c>
      <c r="E134" t="inlineStr">
        <is>
          <t>https://lpjk.pu.go.id/search-badan-usaha-detail/K1E5Uk5MdldKbXBkUnB4QzBxVDJSdz09</t>
        </is>
      </c>
      <c r="F134" t="n">
        <v>1</v>
      </c>
      <c r="G134" t="inlineStr">
        <is>
          <t>BS002</t>
        </is>
      </c>
      <c r="H134" t="inlineStr">
        <is>
          <t>7 Januari 2021</t>
        </is>
      </c>
      <c r="I134" s="2" t="n">
        <v>46297</v>
      </c>
      <c r="J134" t="inlineStr">
        <is>
          <t>Disetujui</t>
        </is>
      </c>
      <c r="K134" t="n">
        <v>90</v>
      </c>
      <c r="L134" t="inlineStr">
        <is>
          <t>2 Oktober 2026</t>
        </is>
      </c>
      <c r="M134" t="inlineStr">
        <is>
          <t>Bangunan Sipil Jembatan, Jalan Layang, Fly Over, dan Underpass</t>
        </is>
      </c>
      <c r="N134" t="inlineStr">
        <is>
          <t>K</t>
        </is>
      </c>
      <c r="O134" t="inlineStr">
        <is>
          <t>20230926</t>
        </is>
      </c>
      <c r="P134" t="inlineStr">
        <is>
          <t>Aceh</t>
        </is>
      </c>
      <c r="Q134" t="inlineStr"/>
    </row>
    <row r="135">
      <c r="A135" t="inlineStr">
        <is>
          <t>PUTRA SUSESUBA SUKSES</t>
        </is>
      </c>
      <c r="B135" t="inlineStr">
        <is>
          <t>Kota Batam</t>
        </is>
      </c>
      <c r="C135" t="inlineStr">
        <is>
          <t>082172720679</t>
        </is>
      </c>
      <c r="D135" t="inlineStr">
        <is>
          <t>putrasusesubasukses@yahoo.com</t>
        </is>
      </c>
      <c r="E135" t="inlineStr">
        <is>
          <t>https://lpjk.pu.go.id/search-badan-usaha-detail/TXZvUzVUWmd5U1lIbGtRZWErdnFwUT09</t>
        </is>
      </c>
      <c r="F135" t="n">
        <v>1</v>
      </c>
      <c r="G135" t="inlineStr">
        <is>
          <t>BS001</t>
        </is>
      </c>
      <c r="H135" t="inlineStr">
        <is>
          <t>4 Oktober 2016</t>
        </is>
      </c>
      <c r="I135" s="2" t="n">
        <v>46297</v>
      </c>
      <c r="J135" t="inlineStr">
        <is>
          <t>Disetujui</t>
        </is>
      </c>
      <c r="K135" t="n">
        <v>90</v>
      </c>
      <c r="L135" t="inlineStr">
        <is>
          <t>2 Oktober 2026</t>
        </is>
      </c>
      <c r="M135" t="inlineStr">
        <is>
          <t>Konstruksi Bangunan Sipil Jalan</t>
        </is>
      </c>
      <c r="N135" t="inlineStr">
        <is>
          <t>K</t>
        </is>
      </c>
      <c r="O135" t="inlineStr">
        <is>
          <t>20231002</t>
        </is>
      </c>
      <c r="P135" t="inlineStr">
        <is>
          <t>Kepulauan Riau</t>
        </is>
      </c>
      <c r="Q135" t="inlineStr"/>
    </row>
    <row r="136">
      <c r="A136" t="inlineStr">
        <is>
          <t>PUTRA TELADAN</t>
        </is>
      </c>
      <c r="B136" t="inlineStr">
        <is>
          <t>Kab. Trenggalek</t>
        </is>
      </c>
      <c r="C136" t="inlineStr">
        <is>
          <t>085334044881</t>
        </is>
      </c>
      <c r="D136" t="inlineStr">
        <is>
          <t>cvputrateladan@gmail.com</t>
        </is>
      </c>
      <c r="E136" t="inlineStr">
        <is>
          <t>https://lpjk.pu.go.id/search-badan-usaha-detail/ZWpzT1E0QWRaSW9vU3NoRzFCWUhXQT09</t>
        </is>
      </c>
      <c r="F136" t="n">
        <v>1</v>
      </c>
      <c r="G136" t="inlineStr">
        <is>
          <t>BS004</t>
        </is>
      </c>
      <c r="H136" t="inlineStr">
        <is>
          <t>26 Februari 2020</t>
        </is>
      </c>
      <c r="I136" s="2" t="n">
        <v>46297</v>
      </c>
      <c r="J136" t="inlineStr">
        <is>
          <t>Disetujui</t>
        </is>
      </c>
      <c r="K136" t="n">
        <v>90</v>
      </c>
      <c r="L136" t="inlineStr">
        <is>
          <t>2 Oktober 2026</t>
        </is>
      </c>
      <c r="M136" t="inlineStr">
        <is>
          <t>Konstruksi Jaringan Irigasi dan Drainase</t>
        </is>
      </c>
      <c r="N136" t="inlineStr">
        <is>
          <t>K</t>
        </is>
      </c>
      <c r="O136" t="inlineStr">
        <is>
          <t>20230927</t>
        </is>
      </c>
      <c r="P136" t="inlineStr">
        <is>
          <t>Jawa Timur</t>
        </is>
      </c>
      <c r="Q136" t="inlineStr"/>
    </row>
    <row r="137">
      <c r="A137" t="inlineStr">
        <is>
          <t>PUTRI DALILAH</t>
        </is>
      </c>
      <c r="B137" t="inlineStr">
        <is>
          <t>Kota Bima</t>
        </is>
      </c>
      <c r="C137" t="inlineStr">
        <is>
          <t>085337997838</t>
        </is>
      </c>
      <c r="D137" t="inlineStr">
        <is>
          <t>putridalilah93@yahoo.com</t>
        </is>
      </c>
      <c r="E137" t="inlineStr">
        <is>
          <t>https://lpjk.pu.go.id/search-badan-usaha-detail/K1lmb2ZnQW43UmF1SFJ1ekk0QXR6Zz09</t>
        </is>
      </c>
      <c r="F137" t="n">
        <v>2</v>
      </c>
      <c r="G137" t="inlineStr">
        <is>
          <t>BG005, BS004</t>
        </is>
      </c>
      <c r="H137" t="inlineStr">
        <is>
          <t>22 Desember 2001</t>
        </is>
      </c>
      <c r="I137" s="2" t="n">
        <v>46297</v>
      </c>
      <c r="J137" t="inlineStr">
        <is>
          <t>Disetujui</t>
        </is>
      </c>
      <c r="K137" t="n">
        <v>90</v>
      </c>
      <c r="L137" t="inlineStr">
        <is>
          <t>2 Oktober 2026</t>
        </is>
      </c>
      <c r="M137" t="inlineStr">
        <is>
          <t>Konstruksi Gedung Kesehatan, Konstruksi Jaringan Irigasi dan Drainase</t>
        </is>
      </c>
      <c r="N137" t="inlineStr">
        <is>
          <t>K</t>
        </is>
      </c>
      <c r="O137" t="inlineStr">
        <is>
          <t>20231002</t>
        </is>
      </c>
      <c r="P137" t="inlineStr">
        <is>
          <t>Nusa Tenggara Barat</t>
        </is>
      </c>
      <c r="Q137" t="inlineStr"/>
    </row>
    <row r="138">
      <c r="A138" t="inlineStr">
        <is>
          <t>RAFFA HELICAL BRONZE</t>
        </is>
      </c>
      <c r="B138" t="inlineStr">
        <is>
          <t>Kota Cilegon</t>
        </is>
      </c>
      <c r="C138" t="inlineStr">
        <is>
          <t>0254398388</t>
        </is>
      </c>
      <c r="D138" t="inlineStr">
        <is>
          <t>pt.raffahelical@yahoo.co.id</t>
        </is>
      </c>
      <c r="E138" t="inlineStr">
        <is>
          <t>https://lpjk.pu.go.id/search-badan-usaha-detail/cGZZSE9lTUxuNW5FMk9SRWI0cldBUT09</t>
        </is>
      </c>
      <c r="F138" t="n">
        <v>2</v>
      </c>
      <c r="G138" t="inlineStr">
        <is>
          <t>BS009</t>
        </is>
      </c>
      <c r="H138" t="inlineStr">
        <is>
          <t>19 Mei 2010</t>
        </is>
      </c>
      <c r="I138" s="2" t="n">
        <v>46297</v>
      </c>
      <c r="J138" t="inlineStr">
        <is>
          <t>Disetujui</t>
        </is>
      </c>
      <c r="K138" t="n">
        <v>90</v>
      </c>
      <c r="L138" t="inlineStr">
        <is>
          <t>2 Oktober 2026</t>
        </is>
      </c>
      <c r="M138" t="inlineStr">
        <is>
          <t>Konstruksi Sentral Telekomunikasi</t>
        </is>
      </c>
      <c r="N138" t="inlineStr">
        <is>
          <t>K</t>
        </is>
      </c>
      <c r="O138" t="inlineStr">
        <is>
          <t>20231002</t>
        </is>
      </c>
      <c r="P138" t="inlineStr">
        <is>
          <t>Banten</t>
        </is>
      </c>
      <c r="Q138" t="inlineStr"/>
    </row>
    <row r="139">
      <c r="A139" t="inlineStr">
        <is>
          <t>RATU SOLIHIN</t>
        </is>
      </c>
      <c r="B139" t="inlineStr">
        <is>
          <t>Kota Palembang</t>
        </is>
      </c>
      <c r="C139" t="inlineStr">
        <is>
          <t>0711542548</t>
        </is>
      </c>
      <c r="D139" t="inlineStr">
        <is>
          <t>ratusolihin01@gmail.com</t>
        </is>
      </c>
      <c r="E139" t="inlineStr">
        <is>
          <t>https://lpjk.pu.go.id/search-badan-usaha-detail/S1RtWXh3VWY0Y1lDRk1BUE44RDVuZz09</t>
        </is>
      </c>
      <c r="F139" t="n">
        <v>1</v>
      </c>
      <c r="G139" t="inlineStr">
        <is>
          <t>BS002</t>
        </is>
      </c>
      <c r="H139" t="inlineStr">
        <is>
          <t>9 Oktober 2001</t>
        </is>
      </c>
      <c r="I139" s="2" t="n">
        <v>46297</v>
      </c>
      <c r="J139" t="inlineStr">
        <is>
          <t>Disetujui</t>
        </is>
      </c>
      <c r="K139" t="n">
        <v>90</v>
      </c>
      <c r="L139" t="inlineStr">
        <is>
          <t>2 Oktober 2026</t>
        </is>
      </c>
      <c r="M139" t="inlineStr">
        <is>
          <t>Bangunan Sipil Jembatan, Jalan Layang, Fly Over, dan Underpass</t>
        </is>
      </c>
      <c r="N139" t="inlineStr">
        <is>
          <t>K</t>
        </is>
      </c>
      <c r="O139" t="inlineStr">
        <is>
          <t>20230929</t>
        </is>
      </c>
      <c r="P139" t="inlineStr">
        <is>
          <t>Sumatera Selatan</t>
        </is>
      </c>
      <c r="Q139" t="inlineStr"/>
    </row>
    <row r="140">
      <c r="A140" t="inlineStr">
        <is>
          <t>RENDJANA HARSA KARYA</t>
        </is>
      </c>
      <c r="B140" t="inlineStr">
        <is>
          <t>Kota Bandung</t>
        </is>
      </c>
      <c r="C140" t="inlineStr">
        <is>
          <t>082240247588</t>
        </is>
      </c>
      <c r="D140" t="inlineStr">
        <is>
          <t>karyarendjanaharsa@gmail.com</t>
        </is>
      </c>
      <c r="E140" t="inlineStr">
        <is>
          <t>https://lpjk.pu.go.id/search-badan-usaha-detail/R2xGejZURWNBWGw1UTFQdmJGanYvUT09</t>
        </is>
      </c>
      <c r="F140" t="n">
        <v>6</v>
      </c>
      <c r="G140" t="inlineStr">
        <is>
          <t>BG001, BG009, BS001</t>
        </is>
      </c>
      <c r="H140" t="inlineStr">
        <is>
          <t>28 Agustus 2023</t>
        </is>
      </c>
      <c r="I140" s="2" t="n">
        <v>46297</v>
      </c>
      <c r="J140" t="inlineStr">
        <is>
          <t>Disetujui</t>
        </is>
      </c>
      <c r="K140" t="n">
        <v>90</v>
      </c>
      <c r="L140" t="inlineStr">
        <is>
          <t>2 Oktober 2026</t>
        </is>
      </c>
      <c r="M140" t="inlineStr">
        <is>
          <t>Konstruksi Bangunan Sipil Jalan, Konstruksi Gedung Hunian, Konstruksi Gedung Lainnya</t>
        </is>
      </c>
      <c r="N140" t="inlineStr">
        <is>
          <t>K</t>
        </is>
      </c>
      <c r="O140" t="inlineStr">
        <is>
          <t>20231002</t>
        </is>
      </c>
      <c r="P140" t="inlineStr">
        <is>
          <t>Jawa Barat</t>
        </is>
      </c>
      <c r="Q140" t="inlineStr"/>
    </row>
    <row r="141">
      <c r="A141" t="inlineStr">
        <is>
          <t>REZKANA CIPTA KONSTRUKSI</t>
        </is>
      </c>
      <c r="B141" t="inlineStr">
        <is>
          <t>Kab. Sumbawa Barat</t>
        </is>
      </c>
      <c r="C141" t="inlineStr">
        <is>
          <t>082339383964</t>
        </is>
      </c>
      <c r="D141" t="inlineStr">
        <is>
          <t>rezkananciptakonstruksi@gmail.com</t>
        </is>
      </c>
      <c r="E141" t="inlineStr">
        <is>
          <t>https://lpjk.pu.go.id/search-badan-usaha-detail/bUxkQnVQYlFpdGhLdjFOWWVrN09aZz09</t>
        </is>
      </c>
      <c r="F141" t="n">
        <v>6</v>
      </c>
      <c r="G141" t="inlineStr">
        <is>
          <t>BG002, BG004, BG005, BG006, BG009</t>
        </is>
      </c>
      <c r="H141" t="inlineStr">
        <is>
          <t>23 November 2020</t>
        </is>
      </c>
      <c r="I141" s="2" t="n">
        <v>46297</v>
      </c>
      <c r="J141" t="inlineStr">
        <is>
          <t>Disetujui, Pencabutan</t>
        </is>
      </c>
      <c r="K141" t="n">
        <v>90</v>
      </c>
      <c r="L141" t="inlineStr">
        <is>
          <t>2 Oktober 2026</t>
        </is>
      </c>
      <c r="M141" t="inlineStr">
        <is>
          <t>Konstruksi Gedung Kesehatan, Konstruksi Gedung Lainnya, Konstruksi Gedung Pendidikan, Konstruksi Gedung Perbelanjaan, Konstruksi Gedung Perkantoran</t>
        </is>
      </c>
      <c r="N141" t="inlineStr">
        <is>
          <t>K</t>
        </is>
      </c>
      <c r="O141" t="inlineStr">
        <is>
          <t>20230315, 20231002, 20231003</t>
        </is>
      </c>
      <c r="P141" t="inlineStr">
        <is>
          <t>Nusa Tenggara Barat</t>
        </is>
      </c>
      <c r="Q141" t="inlineStr"/>
    </row>
    <row r="142">
      <c r="A142" t="inlineStr">
        <is>
          <t>RHACINDO ADI PERSADA</t>
        </is>
      </c>
      <c r="B142" t="inlineStr">
        <is>
          <t>Kab. Bandung</t>
        </is>
      </c>
      <c r="C142" t="inlineStr">
        <is>
          <t>0225947463</t>
        </is>
      </c>
      <c r="D142" t="inlineStr">
        <is>
          <t>rhacindoadi@gmail.com</t>
        </is>
      </c>
      <c r="E142" t="inlineStr">
        <is>
          <t>https://lpjk.pu.go.id/search-badan-usaha-detail/TWFUeVkxQmYyQVlITWJUcWVkRmxQUT09</t>
        </is>
      </c>
      <c r="F142" t="n">
        <v>3</v>
      </c>
      <c r="G142" t="inlineStr">
        <is>
          <t>BS001, BS002, BS004</t>
        </is>
      </c>
      <c r="H142" t="inlineStr">
        <is>
          <t>3 Maret 2001</t>
        </is>
      </c>
      <c r="I142" s="2" t="n">
        <v>46297</v>
      </c>
      <c r="J142" t="inlineStr">
        <is>
          <t>Disetujui</t>
        </is>
      </c>
      <c r="K142" t="n">
        <v>90</v>
      </c>
      <c r="L142" t="inlineStr">
        <is>
          <t>2 Oktober 2026</t>
        </is>
      </c>
      <c r="M142" t="inlineStr">
        <is>
          <t>Bangunan Sipil Jembatan, Jalan Layang, Fly Over, dan Underpass, Konstruksi Bangunan Sipil Jalan, Konstruksi Jaringan Irigasi dan Drainase</t>
        </is>
      </c>
      <c r="N142" t="inlineStr">
        <is>
          <t>K</t>
        </is>
      </c>
      <c r="O142" t="inlineStr">
        <is>
          <t>20230929, 20231003</t>
        </is>
      </c>
      <c r="P142" t="inlineStr">
        <is>
          <t>Jawa Barat</t>
        </is>
      </c>
      <c r="Q142" t="inlineStr"/>
    </row>
    <row r="143">
      <c r="A143" t="inlineStr">
        <is>
          <t>RIDO UTAMA</t>
        </is>
      </c>
      <c r="B143" t="inlineStr">
        <is>
          <t>Kab. Majalengka</t>
        </is>
      </c>
      <c r="C143" t="inlineStr">
        <is>
          <t>082130448345</t>
        </is>
      </c>
      <c r="D143" t="inlineStr">
        <is>
          <t>ridoutama135@gmail.com</t>
        </is>
      </c>
      <c r="E143" t="inlineStr">
        <is>
          <t>https://lpjk.pu.go.id/search-badan-usaha-detail/alI1N0NmWkZ4eEZpbStjcklDMHdmZz09</t>
        </is>
      </c>
      <c r="F143" t="n">
        <v>2</v>
      </c>
      <c r="G143" t="inlineStr">
        <is>
          <t>BS001, BS004</t>
        </is>
      </c>
      <c r="H143" t="inlineStr">
        <is>
          <t>3 September 2018</t>
        </is>
      </c>
      <c r="I143" s="2" t="n">
        <v>46297</v>
      </c>
      <c r="J143" t="inlineStr">
        <is>
          <t>Disetujui</t>
        </is>
      </c>
      <c r="K143" t="n">
        <v>90</v>
      </c>
      <c r="L143" t="inlineStr">
        <is>
          <t>2 Oktober 2026</t>
        </is>
      </c>
      <c r="M143" t="inlineStr">
        <is>
          <t>Konstruksi Bangunan Sipil Jalan, Konstruksi Jaringan Irigasi dan Drainase</t>
        </is>
      </c>
      <c r="N143" t="inlineStr">
        <is>
          <t>K</t>
        </is>
      </c>
      <c r="O143" t="inlineStr">
        <is>
          <t>20231002</t>
        </is>
      </c>
      <c r="P143" t="inlineStr">
        <is>
          <t>Jawa Barat</t>
        </is>
      </c>
      <c r="Q143" t="inlineStr"/>
    </row>
    <row r="144">
      <c r="A144" t="inlineStr">
        <is>
          <t>SABA BONAJAYA</t>
        </is>
      </c>
      <c r="B144" t="inlineStr">
        <is>
          <t>Kota Adm. Jakarta Barat</t>
        </is>
      </c>
      <c r="C144" t="inlineStr">
        <is>
          <t>081297817909</t>
        </is>
      </c>
      <c r="D144" t="inlineStr">
        <is>
          <t>sababonajaya@yahoo.com</t>
        </is>
      </c>
      <c r="E144" t="inlineStr">
        <is>
          <t>https://lpjk.pu.go.id/search-badan-usaha-detail/ZGx3K0Z4SkpoTVFQRTk0RVlnV1crQT09</t>
        </is>
      </c>
      <c r="F144" t="n">
        <v>1</v>
      </c>
      <c r="G144" t="inlineStr">
        <is>
          <t>BS001</t>
        </is>
      </c>
      <c r="H144" t="inlineStr">
        <is>
          <t>15 Februari 2008</t>
        </is>
      </c>
      <c r="I144" s="2" t="n">
        <v>46297</v>
      </c>
      <c r="J144" t="inlineStr">
        <is>
          <t>Disetujui</t>
        </is>
      </c>
      <c r="K144" t="n">
        <v>90</v>
      </c>
      <c r="L144" t="inlineStr">
        <is>
          <t>2 Oktober 2026</t>
        </is>
      </c>
      <c r="M144" t="inlineStr">
        <is>
          <t>Konstruksi Bangunan Sipil Jalan</t>
        </is>
      </c>
      <c r="N144" t="inlineStr">
        <is>
          <t>K</t>
        </is>
      </c>
      <c r="O144" t="inlineStr">
        <is>
          <t>20230928</t>
        </is>
      </c>
      <c r="P144" t="inlineStr">
        <is>
          <t>DKI Jakarta</t>
        </is>
      </c>
      <c r="Q144" t="inlineStr"/>
    </row>
    <row r="145">
      <c r="A145" t="inlineStr">
        <is>
          <t>SAHAT ALIKAYA</t>
        </is>
      </c>
      <c r="B145" t="inlineStr">
        <is>
          <t>Kab. Tuban</t>
        </is>
      </c>
      <c r="C145" t="inlineStr">
        <is>
          <t>081216738376</t>
        </is>
      </c>
      <c r="D145" t="inlineStr">
        <is>
          <t>cvsahatalikaya@gmail.com</t>
        </is>
      </c>
      <c r="E145" t="inlineStr">
        <is>
          <t>https://lpjk.pu.go.id/search-badan-usaha-detail/MkhVYTNRSklaeCtBWm5kb0g0UVRqUT09</t>
        </is>
      </c>
      <c r="F145" t="n">
        <v>1</v>
      </c>
      <c r="G145" t="inlineStr">
        <is>
          <t>BG006</t>
        </is>
      </c>
      <c r="H145" t="inlineStr">
        <is>
          <t>29 Juli 2023</t>
        </is>
      </c>
      <c r="I145" s="2" t="n">
        <v>46297</v>
      </c>
      <c r="J145" t="inlineStr">
        <is>
          <t>Disetujui</t>
        </is>
      </c>
      <c r="K145" t="n">
        <v>90</v>
      </c>
      <c r="L145" t="inlineStr">
        <is>
          <t>2 Oktober 2026</t>
        </is>
      </c>
      <c r="M145" t="inlineStr">
        <is>
          <t>Konstruksi Gedung Pendidikan</t>
        </is>
      </c>
      <c r="N145" t="inlineStr">
        <is>
          <t>K</t>
        </is>
      </c>
      <c r="O145" t="inlineStr">
        <is>
          <t>20231002</t>
        </is>
      </c>
      <c r="P145" t="inlineStr">
        <is>
          <t>Jawa Timur</t>
        </is>
      </c>
      <c r="Q145" t="inlineStr"/>
    </row>
    <row r="146">
      <c r="A146" t="inlineStr">
        <is>
          <t>SAMOFA JAYA</t>
        </is>
      </c>
      <c r="B146" t="inlineStr">
        <is>
          <t>Kab. Tojo Una Una</t>
        </is>
      </c>
      <c r="C146" t="inlineStr">
        <is>
          <t>081356503165</t>
        </is>
      </c>
      <c r="D146" t="inlineStr">
        <is>
          <t>samofa_jaya@yahoo.com</t>
        </is>
      </c>
      <c r="E146" t="inlineStr">
        <is>
          <t>https://lpjk.pu.go.id/search-badan-usaha-detail/MStYQWJxdXppcXhrbUVhSWFNS29RZz09</t>
        </is>
      </c>
      <c r="F146" t="n">
        <v>1</v>
      </c>
      <c r="G146" t="inlineStr">
        <is>
          <t>BS005</t>
        </is>
      </c>
      <c r="H146" t="inlineStr">
        <is>
          <t>10 Februari 2012</t>
        </is>
      </c>
      <c r="I146" s="2" t="n">
        <v>46297</v>
      </c>
      <c r="J146" t="inlineStr">
        <is>
          <t>Disetujui</t>
        </is>
      </c>
      <c r="K146" t="n">
        <v>90</v>
      </c>
      <c r="L146" t="inlineStr">
        <is>
          <t>2 Oktober 2026</t>
        </is>
      </c>
      <c r="M146" t="inlineStr">
        <is>
          <t>Konstruksi Bangunan Sipil Pengolahan Air Bersih</t>
        </is>
      </c>
      <c r="N146" t="inlineStr">
        <is>
          <t>K</t>
        </is>
      </c>
      <c r="O146" t="inlineStr">
        <is>
          <t>20231002</t>
        </is>
      </c>
      <c r="P146" t="inlineStr">
        <is>
          <t>Sulawesi Tengah</t>
        </is>
      </c>
      <c r="Q146" t="inlineStr"/>
    </row>
    <row r="147">
      <c r="A147" t="inlineStr">
        <is>
          <t>SANGKAREANG KARYATAMA SEJAHTERA</t>
        </is>
      </c>
      <c r="B147" t="inlineStr">
        <is>
          <t>Kota Mataram</t>
        </is>
      </c>
      <c r="C147" t="inlineStr">
        <is>
          <t>082341868967</t>
        </is>
      </c>
      <c r="D147" t="inlineStr">
        <is>
          <t>sangkareang.pt@gmail.com</t>
        </is>
      </c>
      <c r="E147" t="inlineStr">
        <is>
          <t>https://lpjk.pu.go.id/search-badan-usaha-detail/R05OcHd6SHRkZ3VyU2tXOCt1Si96Zz09</t>
        </is>
      </c>
      <c r="F147" t="n">
        <v>1</v>
      </c>
      <c r="G147" t="inlineStr">
        <is>
          <t>BG003</t>
        </is>
      </c>
      <c r="H147" t="inlineStr">
        <is>
          <t>21 Desember 2015</t>
        </is>
      </c>
      <c r="I147" s="2" t="n">
        <v>46297</v>
      </c>
      <c r="J147" t="inlineStr">
        <is>
          <t>Pencabutan</t>
        </is>
      </c>
      <c r="K147" t="n">
        <v>90</v>
      </c>
      <c r="L147" t="inlineStr">
        <is>
          <t>2 Oktober 2026</t>
        </is>
      </c>
      <c r="M147" t="inlineStr">
        <is>
          <t>Konstruksi Gedung Industri</t>
        </is>
      </c>
      <c r="N147" t="inlineStr">
        <is>
          <t>K</t>
        </is>
      </c>
      <c r="O147" t="inlineStr">
        <is>
          <t>20230927</t>
        </is>
      </c>
      <c r="P147" t="inlineStr">
        <is>
          <t>Nusa Tenggara Barat</t>
        </is>
      </c>
      <c r="Q147" t="inlineStr"/>
    </row>
    <row r="148">
      <c r="A148" t="inlineStr">
        <is>
          <t>SANSKARA SANJAYA ANANTA</t>
        </is>
      </c>
      <c r="B148" t="inlineStr">
        <is>
          <t>Kota Adm. Jakarta Selatan</t>
        </is>
      </c>
      <c r="C148" t="inlineStr">
        <is>
          <t>081296292738</t>
        </is>
      </c>
      <c r="D148" t="inlineStr">
        <is>
          <t>sanskarageneralcontractor@gmail.com</t>
        </is>
      </c>
      <c r="E148" t="inlineStr">
        <is>
          <t>https://lpjk.pu.go.id/search-badan-usaha-detail/Um5HSklVV2E4blV2aFloK2JtSmNldz09</t>
        </is>
      </c>
      <c r="F148" t="n">
        <v>1</v>
      </c>
      <c r="G148" t="inlineStr">
        <is>
          <t>BG006</t>
        </is>
      </c>
      <c r="H148" t="inlineStr">
        <is>
          <t>1 September 2022</t>
        </is>
      </c>
      <c r="I148" s="2" t="n">
        <v>46297</v>
      </c>
      <c r="J148" t="inlineStr">
        <is>
          <t>Disetujui</t>
        </is>
      </c>
      <c r="K148" t="n">
        <v>90</v>
      </c>
      <c r="L148" t="inlineStr">
        <is>
          <t>2 Oktober 2026</t>
        </is>
      </c>
      <c r="M148" t="inlineStr">
        <is>
          <t>Konstruksi Gedung Pendidikan</t>
        </is>
      </c>
      <c r="N148" t="inlineStr">
        <is>
          <t>K</t>
        </is>
      </c>
      <c r="O148" t="inlineStr">
        <is>
          <t>20230927</t>
        </is>
      </c>
      <c r="P148" t="inlineStr">
        <is>
          <t>DKI Jakarta</t>
        </is>
      </c>
      <c r="Q148" t="inlineStr"/>
    </row>
    <row r="149">
      <c r="A149" t="inlineStr">
        <is>
          <t>SARANA MANDIRI SUKSES</t>
        </is>
      </c>
      <c r="B149" t="inlineStr">
        <is>
          <t>Kab. Banjar</t>
        </is>
      </c>
      <c r="C149" t="inlineStr">
        <is>
          <t>08125025848</t>
        </is>
      </c>
      <c r="D149" t="inlineStr">
        <is>
          <t>saranamandirisukses4@gmail.com</t>
        </is>
      </c>
      <c r="E149" t="inlineStr">
        <is>
          <t>https://lpjk.pu.go.id/search-badan-usaha-detail/THJzSXIraHg3c3Y2VzlsNEpQOWlodz09</t>
        </is>
      </c>
      <c r="F149" t="n">
        <v>2</v>
      </c>
      <c r="G149" t="inlineStr">
        <is>
          <t>BG006, BG009</t>
        </is>
      </c>
      <c r="H149" t="inlineStr">
        <is>
          <t>4 Agustus 2003</t>
        </is>
      </c>
      <c r="I149" s="2" t="n">
        <v>46297</v>
      </c>
      <c r="J149" t="inlineStr">
        <is>
          <t>Disetujui</t>
        </is>
      </c>
      <c r="K149" t="n">
        <v>90</v>
      </c>
      <c r="L149" t="inlineStr">
        <is>
          <t>2 Oktober 2026</t>
        </is>
      </c>
      <c r="M149" t="inlineStr">
        <is>
          <t>Konstruksi Gedung Lainnya, Konstruksi Gedung Pendidikan</t>
        </is>
      </c>
      <c r="N149" t="inlineStr">
        <is>
          <t>K</t>
        </is>
      </c>
      <c r="O149" t="inlineStr">
        <is>
          <t>20230926</t>
        </is>
      </c>
      <c r="P149" t="inlineStr">
        <is>
          <t>Kalimantan Selatan</t>
        </is>
      </c>
      <c r="Q149" t="inlineStr"/>
    </row>
    <row r="150">
      <c r="A150" t="inlineStr">
        <is>
          <t>SATRIA UTAMA</t>
        </is>
      </c>
      <c r="B150" t="inlineStr">
        <is>
          <t>Kab. Karanganyar</t>
        </is>
      </c>
      <c r="C150" t="inlineStr">
        <is>
          <t>082134387811</t>
        </is>
      </c>
      <c r="D150" t="inlineStr">
        <is>
          <t>satriautama1974@yahoo.co.id</t>
        </is>
      </c>
      <c r="E150" t="inlineStr">
        <is>
          <t>https://lpjk.pu.go.id/search-badan-usaha-detail/SC9sbTFZMG54VmVDb0xyR0xxZ01tZz09</t>
        </is>
      </c>
      <c r="F150" t="n">
        <v>2</v>
      </c>
      <c r="G150" t="inlineStr">
        <is>
          <t>BG009, BS004</t>
        </is>
      </c>
      <c r="H150" t="inlineStr">
        <is>
          <t>19 Juni 2004</t>
        </is>
      </c>
      <c r="I150" s="2" t="n">
        <v>46297</v>
      </c>
      <c r="J150" t="inlineStr">
        <is>
          <t>Disetujui</t>
        </is>
      </c>
      <c r="K150" t="n">
        <v>90</v>
      </c>
      <c r="L150" t="inlineStr">
        <is>
          <t>2 Oktober 2026</t>
        </is>
      </c>
      <c r="M150" t="inlineStr">
        <is>
          <t>Konstruksi Gedung Lainnya, Konstruksi Jaringan Irigasi dan Drainase</t>
        </is>
      </c>
      <c r="N150" t="inlineStr">
        <is>
          <t>K</t>
        </is>
      </c>
      <c r="O150" t="inlineStr">
        <is>
          <t>20230904, 20230927</t>
        </is>
      </c>
      <c r="P150" t="inlineStr">
        <is>
          <t>Jawa Tengah</t>
        </is>
      </c>
      <c r="Q150" t="inlineStr"/>
    </row>
    <row r="151">
      <c r="A151" t="inlineStr">
        <is>
          <t>SHAKA ARKATAMA</t>
        </is>
      </c>
      <c r="B151" t="inlineStr">
        <is>
          <t>Kab. Jember</t>
        </is>
      </c>
      <c r="C151" t="inlineStr">
        <is>
          <t>082336452301</t>
        </is>
      </c>
      <c r="D151" t="inlineStr">
        <is>
          <t>shakaarkatama.cv@gmail.com</t>
        </is>
      </c>
      <c r="E151" t="inlineStr">
        <is>
          <t>https://lpjk.pu.go.id/search-badan-usaha-detail/bnp2RlU4U0pZUXprcmg3MGx4SWthUT09</t>
        </is>
      </c>
      <c r="F151" t="n">
        <v>1</v>
      </c>
      <c r="G151" t="inlineStr">
        <is>
          <t>BS004</t>
        </is>
      </c>
      <c r="H151" t="inlineStr">
        <is>
          <t>24 Februari 2021</t>
        </is>
      </c>
      <c r="I151" s="2" t="n">
        <v>46297</v>
      </c>
      <c r="J151" t="inlineStr">
        <is>
          <t>Disetujui</t>
        </is>
      </c>
      <c r="K151" t="n">
        <v>90</v>
      </c>
      <c r="L151" t="inlineStr">
        <is>
          <t>2 Oktober 2026</t>
        </is>
      </c>
      <c r="M151" t="inlineStr">
        <is>
          <t>Konstruksi Jaringan Irigasi dan Drainase</t>
        </is>
      </c>
      <c r="N151" t="inlineStr">
        <is>
          <t>K</t>
        </is>
      </c>
      <c r="O151" t="inlineStr">
        <is>
          <t>20230926</t>
        </is>
      </c>
      <c r="P151" t="inlineStr">
        <is>
          <t>Jawa Timur</t>
        </is>
      </c>
      <c r="Q151" t="inlineStr"/>
    </row>
    <row r="152">
      <c r="A152" t="inlineStr">
        <is>
          <t>SHAKA PRIMA UTAMA</t>
        </is>
      </c>
      <c r="B152" t="inlineStr">
        <is>
          <t>Kota Pangkal Pinang</t>
        </is>
      </c>
      <c r="C152" t="inlineStr">
        <is>
          <t>081271910220</t>
        </is>
      </c>
      <c r="D152" t="inlineStr">
        <is>
          <t>cvshakaprimautama@gmail.com</t>
        </is>
      </c>
      <c r="E152" t="inlineStr">
        <is>
          <t>https://lpjk.pu.go.id/search-badan-usaha-detail/aGJDeHJqazBtZ3dqUnlYZ0o4a0VHZz09</t>
        </is>
      </c>
      <c r="F152" t="n">
        <v>1</v>
      </c>
      <c r="G152" t="inlineStr">
        <is>
          <t>BS001</t>
        </is>
      </c>
      <c r="H152" t="inlineStr">
        <is>
          <t>31 Juli 2023</t>
        </is>
      </c>
      <c r="I152" s="2" t="n">
        <v>46297</v>
      </c>
      <c r="J152" t="inlineStr">
        <is>
          <t>Disetujui</t>
        </is>
      </c>
      <c r="K152" t="n">
        <v>90</v>
      </c>
      <c r="L152" t="inlineStr">
        <is>
          <t>2 Oktober 2026</t>
        </is>
      </c>
      <c r="M152" t="inlineStr">
        <is>
          <t>Konstruksi Bangunan Sipil Jalan</t>
        </is>
      </c>
      <c r="N152" t="inlineStr">
        <is>
          <t>K</t>
        </is>
      </c>
      <c r="O152" t="inlineStr">
        <is>
          <t>20230927</t>
        </is>
      </c>
      <c r="P152" t="inlineStr">
        <is>
          <t>Kepulauan Bangka Belitung</t>
        </is>
      </c>
      <c r="Q152" t="inlineStr"/>
    </row>
    <row r="153">
      <c r="A153" t="inlineStr">
        <is>
          <t>SHANGHAI BAOYE GROUP CORP., LTD</t>
        </is>
      </c>
      <c r="B153" t="inlineStr">
        <is>
          <t>Kota Adm. Jakarta Pusat</t>
        </is>
      </c>
      <c r="C153" t="inlineStr">
        <is>
          <t>081315335078</t>
        </is>
      </c>
      <c r="D153" t="inlineStr">
        <is>
          <t>shanghaibaoye49@gmail.com</t>
        </is>
      </c>
      <c r="E153" t="inlineStr">
        <is>
          <t>https://lpjk.pu.go.id/search-badan-usaha-detail/N0RCNnJGSDNEazR6WWNoQmp4UHd4QT09</t>
        </is>
      </c>
      <c r="F153" t="n">
        <v>1</v>
      </c>
      <c r="G153" t="inlineStr">
        <is>
          <t>BS002</t>
        </is>
      </c>
      <c r="H153" t="inlineStr">
        <is>
          <t>24 Juni 2022</t>
        </is>
      </c>
      <c r="I153" s="2" t="n">
        <v>46297</v>
      </c>
      <c r="J153" t="inlineStr">
        <is>
          <t>Disetujui</t>
        </is>
      </c>
      <c r="K153" t="n">
        <v>90</v>
      </c>
      <c r="L153" t="inlineStr">
        <is>
          <t>2 Oktober 2026</t>
        </is>
      </c>
      <c r="M153" t="inlineStr">
        <is>
          <t>Bangunan Sipil Jembatan, Jalan Layang, Fly Over, dan Underpass</t>
        </is>
      </c>
      <c r="N153" t="inlineStr">
        <is>
          <t>B</t>
        </is>
      </c>
      <c r="O153" t="inlineStr">
        <is>
          <t>20230925</t>
        </is>
      </c>
      <c r="P153" t="inlineStr">
        <is>
          <t>DKI Jakarta</t>
        </is>
      </c>
      <c r="Q153" t="inlineStr"/>
    </row>
    <row r="154">
      <c r="A154" t="inlineStr">
        <is>
          <t>SINAR JAYA</t>
        </is>
      </c>
      <c r="B154" t="inlineStr">
        <is>
          <t>Kab. Dompu</t>
        </is>
      </c>
      <c r="C154" t="inlineStr">
        <is>
          <t>08192299923</t>
        </is>
      </c>
      <c r="D154" t="inlineStr">
        <is>
          <t>cv.sinarjaya888@ymail.com</t>
        </is>
      </c>
      <c r="E154" t="inlineStr">
        <is>
          <t>https://lpjk.pu.go.id/search-badan-usaha-detail/RENZcjcwUThPZmQvSHd1SE41NkJMZz09</t>
        </is>
      </c>
      <c r="F154" t="n">
        <v>1</v>
      </c>
      <c r="G154" t="inlineStr">
        <is>
          <t>BS002</t>
        </is>
      </c>
      <c r="H154" t="inlineStr">
        <is>
          <t>27 Desember 1974</t>
        </is>
      </c>
      <c r="I154" s="2" t="n">
        <v>46297</v>
      </c>
      <c r="J154" t="inlineStr">
        <is>
          <t>Disetujui</t>
        </is>
      </c>
      <c r="K154" t="n">
        <v>90</v>
      </c>
      <c r="L154" t="inlineStr">
        <is>
          <t>2 Oktober 2026</t>
        </is>
      </c>
      <c r="M154" t="inlineStr">
        <is>
          <t>Bangunan Sipil Jembatan, Jalan Layang, Fly Over, dan Underpass</t>
        </is>
      </c>
      <c r="N154" t="inlineStr">
        <is>
          <t>K</t>
        </is>
      </c>
      <c r="O154" t="inlineStr">
        <is>
          <t>20230930</t>
        </is>
      </c>
      <c r="P154" t="inlineStr">
        <is>
          <t>Nusa Tenggara Barat</t>
        </is>
      </c>
      <c r="Q154" t="inlineStr"/>
    </row>
    <row r="155">
      <c r="A155" t="inlineStr">
        <is>
          <t>SINAR MEKAR JAYA</t>
        </is>
      </c>
      <c r="B155" t="inlineStr">
        <is>
          <t>Kab. Bandung</t>
        </is>
      </c>
      <c r="C155" t="inlineStr">
        <is>
          <t>02287833646</t>
        </is>
      </c>
      <c r="D155" t="inlineStr">
        <is>
          <t>pt.sinar_mekarjaya@yahoo.com</t>
        </is>
      </c>
      <c r="E155" t="inlineStr">
        <is>
          <t>https://lpjk.pu.go.id/search-badan-usaha-detail/VWRXcVlxZEQ2MGROTTZRVVBqa0NXUT09</t>
        </is>
      </c>
      <c r="F155" t="n">
        <v>1</v>
      </c>
      <c r="G155" t="inlineStr">
        <is>
          <t>BG003</t>
        </is>
      </c>
      <c r="H155" t="inlineStr">
        <is>
          <t>20 Januari 2017</t>
        </is>
      </c>
      <c r="I155" s="2" t="n">
        <v>46297</v>
      </c>
      <c r="J155" t="inlineStr">
        <is>
          <t>Pencabutan</t>
        </is>
      </c>
      <c r="K155" t="n">
        <v>90</v>
      </c>
      <c r="L155" t="inlineStr">
        <is>
          <t>2 Oktober 2026</t>
        </is>
      </c>
      <c r="M155" t="inlineStr">
        <is>
          <t>Konstruksi Gedung Industri</t>
        </is>
      </c>
      <c r="N155" t="inlineStr">
        <is>
          <t>B</t>
        </is>
      </c>
      <c r="O155" t="inlineStr">
        <is>
          <t>20230824</t>
        </is>
      </c>
      <c r="P155" t="inlineStr">
        <is>
          <t>Jawa Barat</t>
        </is>
      </c>
      <c r="Q155" t="inlineStr"/>
    </row>
    <row r="156">
      <c r="A156" t="inlineStr">
        <is>
          <t>SINAR PAPUA PIYAIYE</t>
        </is>
      </c>
      <c r="B156" t="inlineStr">
        <is>
          <t>Kab. Nabire</t>
        </is>
      </c>
      <c r="C156" t="inlineStr">
        <is>
          <t>081247747728</t>
        </is>
      </c>
      <c r="D156" t="inlineStr">
        <is>
          <t>sinarpiyaiye@gmail.com</t>
        </is>
      </c>
      <c r="E156" t="inlineStr">
        <is>
          <t>https://lpjk.pu.go.id/search-badan-usaha-detail/cWVOL1RWN0VDOEJkZ1lqL0J1cllFZz09</t>
        </is>
      </c>
      <c r="F156" t="n">
        <v>2</v>
      </c>
      <c r="G156" t="inlineStr">
        <is>
          <t>BG001, BS001</t>
        </is>
      </c>
      <c r="H156" t="inlineStr">
        <is>
          <t>9 Desember 2016</t>
        </is>
      </c>
      <c r="I156" s="2" t="n">
        <v>46297</v>
      </c>
      <c r="J156" t="inlineStr">
        <is>
          <t>Disetujui</t>
        </is>
      </c>
      <c r="K156" t="n">
        <v>90</v>
      </c>
      <c r="L156" t="inlineStr">
        <is>
          <t>2 Oktober 2026</t>
        </is>
      </c>
      <c r="M156" t="inlineStr">
        <is>
          <t>Konstruksi Bangunan Sipil Jalan, Konstruksi Gedung Hunian</t>
        </is>
      </c>
      <c r="N156" t="inlineStr">
        <is>
          <t>K</t>
        </is>
      </c>
      <c r="O156" t="inlineStr">
        <is>
          <t>20231002</t>
        </is>
      </c>
      <c r="P156" t="inlineStr">
        <is>
          <t>Papua</t>
        </is>
      </c>
      <c r="Q156" t="inlineStr"/>
    </row>
    <row r="157">
      <c r="A157" t="inlineStr">
        <is>
          <t>SINAR SALWA PERSADA</t>
        </is>
      </c>
      <c r="B157" t="inlineStr">
        <is>
          <t>Kota Bengkulu</t>
        </is>
      </c>
      <c r="C157" t="inlineStr">
        <is>
          <t>081368189253</t>
        </is>
      </c>
      <c r="D157" t="inlineStr">
        <is>
          <t>sinarsalwapersada@gmail.com</t>
        </is>
      </c>
      <c r="E157" t="inlineStr">
        <is>
          <t>https://lpjk.pu.go.id/search-badan-usaha-detail/Yiszclo1bmd0U2x2TEl6SlYrVVhPQT09</t>
        </is>
      </c>
      <c r="F157" t="n">
        <v>8</v>
      </c>
      <c r="G157" t="inlineStr">
        <is>
          <t>BG001, BG002, BG004, BG005, BG006, BS001, BS002, BS005</t>
        </is>
      </c>
      <c r="H157" t="inlineStr">
        <is>
          <t>20 September 2023</t>
        </is>
      </c>
      <c r="I157" s="2" t="n">
        <v>46297</v>
      </c>
      <c r="J157" t="inlineStr">
        <is>
          <t>Disetujui</t>
        </is>
      </c>
      <c r="K157" t="n">
        <v>90</v>
      </c>
      <c r="L157" t="inlineStr">
        <is>
          <t>2 Oktober 2026</t>
        </is>
      </c>
      <c r="M157" t="inlineStr">
        <is>
          <t>Bangunan Sipil Jembatan, Jalan Layang, Fly Over, dan Underpass, Konstruksi Bangunan Sipil Jalan, Konstruksi Bangunan Sipil Pengolahan Air Bersih, Konstruksi Gedung Hunian, Konstruksi Gedung Kesehatan, Konstruksi Gedung Pendidikan, Konstruksi Gedung Perbelanjaan, Konstruksi Gedung Perkantoran</t>
        </is>
      </c>
      <c r="N157" t="inlineStr">
        <is>
          <t>K</t>
        </is>
      </c>
      <c r="O157" t="inlineStr">
        <is>
          <t>20230929</t>
        </is>
      </c>
      <c r="P157" t="inlineStr">
        <is>
          <t>Bengkulu</t>
        </is>
      </c>
      <c r="Q157" t="inlineStr"/>
    </row>
    <row r="158">
      <c r="A158" t="inlineStr">
        <is>
          <t>SULTAN BUMI PERKASA</t>
        </is>
      </c>
      <c r="B158" t="inlineStr">
        <is>
          <t>Kab. Kepulauan Meranti</t>
        </is>
      </c>
      <c r="C158" t="inlineStr">
        <is>
          <t>081261098873</t>
        </is>
      </c>
      <c r="D158" t="inlineStr">
        <is>
          <t>sultanbumiperkasa2022@gmail.com</t>
        </is>
      </c>
      <c r="E158" t="inlineStr">
        <is>
          <t>https://lpjk.pu.go.id/search-badan-usaha-detail/M0Q3YXhzWkVKQzlZTXUxdHAyV05QQT09</t>
        </is>
      </c>
      <c r="F158" t="n">
        <v>1</v>
      </c>
      <c r="G158" t="inlineStr">
        <is>
          <t>BS004</t>
        </is>
      </c>
      <c r="H158" t="inlineStr">
        <is>
          <t>12 September 2022</t>
        </is>
      </c>
      <c r="I158" s="2" t="n">
        <v>46297</v>
      </c>
      <c r="J158" t="inlineStr">
        <is>
          <t>Disetujui</t>
        </is>
      </c>
      <c r="K158" t="n">
        <v>90</v>
      </c>
      <c r="L158" t="inlineStr">
        <is>
          <t>2 Oktober 2026</t>
        </is>
      </c>
      <c r="M158" t="inlineStr">
        <is>
          <t>Konstruksi Jaringan Irigasi dan Drainase</t>
        </is>
      </c>
      <c r="N158" t="inlineStr">
        <is>
          <t>K</t>
        </is>
      </c>
      <c r="O158" t="inlineStr">
        <is>
          <t>20230929</t>
        </is>
      </c>
      <c r="P158" t="inlineStr">
        <is>
          <t>Riau</t>
        </is>
      </c>
      <c r="Q158" t="inlineStr"/>
    </row>
    <row r="159">
      <c r="A159" t="inlineStr">
        <is>
          <t>SUMBER ANUGRAH MANDIRI</t>
        </is>
      </c>
      <c r="B159" t="inlineStr">
        <is>
          <t>Kab. Magetan</t>
        </is>
      </c>
      <c r="C159" t="inlineStr">
        <is>
          <t>081235598057</t>
        </is>
      </c>
      <c r="D159" t="inlineStr">
        <is>
          <t>cv.sumberanugrahmandiri@gmail.com</t>
        </is>
      </c>
      <c r="E159" t="inlineStr">
        <is>
          <t>https://lpjk.pu.go.id/search-badan-usaha-detail/SXhnOWFNVnByeXFqWXMrYllsbE90QT09</t>
        </is>
      </c>
      <c r="F159" t="n">
        <v>1</v>
      </c>
      <c r="G159" t="inlineStr">
        <is>
          <t>BS001</t>
        </is>
      </c>
      <c r="H159" t="inlineStr">
        <is>
          <t>15 Juli 2011</t>
        </is>
      </c>
      <c r="I159" s="2" t="n">
        <v>46297</v>
      </c>
      <c r="J159" t="inlineStr">
        <is>
          <t>Pencabutan</t>
        </is>
      </c>
      <c r="K159" t="n">
        <v>90</v>
      </c>
      <c r="L159" t="inlineStr">
        <is>
          <t>2 Oktober 2026</t>
        </is>
      </c>
      <c r="M159" t="inlineStr">
        <is>
          <t>Konstruksi Bangunan Sipil Jalan</t>
        </is>
      </c>
      <c r="N159" t="inlineStr">
        <is>
          <t>K</t>
        </is>
      </c>
      <c r="O159" t="inlineStr">
        <is>
          <t>20231002</t>
        </is>
      </c>
      <c r="P159" t="inlineStr">
        <is>
          <t>Jawa Timur</t>
        </is>
      </c>
      <c r="Q159" t="inlineStr"/>
    </row>
    <row r="160">
      <c r="A160" t="inlineStr">
        <is>
          <t>SUMBER BERKAH PERKASA</t>
        </is>
      </c>
      <c r="B160" t="inlineStr">
        <is>
          <t>Kab. Jayapura</t>
        </is>
      </c>
      <c r="C160" t="inlineStr">
        <is>
          <t>085254849353</t>
        </is>
      </c>
      <c r="D160" t="inlineStr">
        <is>
          <t>muhammadrojiqin@gmail.com</t>
        </is>
      </c>
      <c r="E160" t="inlineStr">
        <is>
          <t>https://lpjk.pu.go.id/search-badan-usaha-detail/OGNJeFdaTndOY25INE9IZThsNStkZz09</t>
        </is>
      </c>
      <c r="F160" t="n">
        <v>1</v>
      </c>
      <c r="G160" t="inlineStr">
        <is>
          <t>PL005</t>
        </is>
      </c>
      <c r="H160" t="inlineStr">
        <is>
          <t>8 April 2021</t>
        </is>
      </c>
      <c r="I160" s="2" t="n">
        <v>46297</v>
      </c>
      <c r="J160" t="inlineStr">
        <is>
          <t>Pembekuan</t>
        </is>
      </c>
      <c r="K160" t="n">
        <v>90</v>
      </c>
      <c r="L160" t="inlineStr">
        <is>
          <t>2 Oktober 2026</t>
        </is>
      </c>
      <c r="M160" t="inlineStr">
        <is>
          <t>Pembuatan/Pengeboran Sumur Air Tanah</t>
        </is>
      </c>
      <c r="N160" t="inlineStr">
        <is>
          <t>Spesialis</t>
        </is>
      </c>
      <c r="O160" t="inlineStr">
        <is>
          <t>20230928</t>
        </is>
      </c>
      <c r="P160" t="inlineStr">
        <is>
          <t>Papua</t>
        </is>
      </c>
      <c r="Q160" t="inlineStr"/>
    </row>
    <row r="161">
      <c r="A161" t="inlineStr">
        <is>
          <t>SUMBER INDAH YESIVIR</t>
        </is>
      </c>
      <c r="B161" t="inlineStr">
        <is>
          <t>Kab. Mimika</t>
        </is>
      </c>
      <c r="C161" t="inlineStr">
        <is>
          <t>0813467104477</t>
        </is>
      </c>
      <c r="D161" t="inlineStr">
        <is>
          <t>kogoyayerince05@gmail.com</t>
        </is>
      </c>
      <c r="E161" t="inlineStr">
        <is>
          <t>https://lpjk.pu.go.id/search-badan-usaha-detail/UXdsSHBGRHArYy82Vk1hOHE5K1RsQT09</t>
        </is>
      </c>
      <c r="F161" t="n">
        <v>1</v>
      </c>
      <c r="G161" t="inlineStr">
        <is>
          <t>BS001</t>
        </is>
      </c>
      <c r="H161" t="inlineStr">
        <is>
          <t>27 April 2015</t>
        </is>
      </c>
      <c r="I161" s="2" t="n">
        <v>46297</v>
      </c>
      <c r="J161" t="inlineStr">
        <is>
          <t>Disetujui</t>
        </is>
      </c>
      <c r="K161" t="n">
        <v>90</v>
      </c>
      <c r="L161" t="inlineStr">
        <is>
          <t>2 Oktober 2026</t>
        </is>
      </c>
      <c r="M161" t="inlineStr">
        <is>
          <t>Konstruksi Bangunan Sipil Jalan</t>
        </is>
      </c>
      <c r="N161" t="inlineStr">
        <is>
          <t>K</t>
        </is>
      </c>
      <c r="O161" t="inlineStr">
        <is>
          <t>20230927</t>
        </is>
      </c>
      <c r="P161" t="inlineStr">
        <is>
          <t>Papua</t>
        </is>
      </c>
      <c r="Q161" t="inlineStr"/>
    </row>
    <row r="162">
      <c r="A162" t="inlineStr">
        <is>
          <t>SWADAYA BHAKTI GUNA</t>
        </is>
      </c>
      <c r="B162" t="inlineStr">
        <is>
          <t>Kota Samarinda</t>
        </is>
      </c>
      <c r="C162" t="inlineStr">
        <is>
          <t>0811552914</t>
        </is>
      </c>
      <c r="D162" t="inlineStr">
        <is>
          <t>swadaya.bhaktiguna77@gmail.com</t>
        </is>
      </c>
      <c r="E162" t="inlineStr">
        <is>
          <t>https://lpjk.pu.go.id/search-badan-usaha-detail/RTN6Y3dYYUNiODZVTXIxbElCYkw0QT09</t>
        </is>
      </c>
      <c r="F162" t="n">
        <v>3</v>
      </c>
      <c r="G162" t="inlineStr">
        <is>
          <t>BG006, BG009, BS001</t>
        </is>
      </c>
      <c r="H162" t="inlineStr">
        <is>
          <t>17 Februari 2007</t>
        </is>
      </c>
      <c r="I162" s="2" t="n">
        <v>46297</v>
      </c>
      <c r="J162" t="inlineStr">
        <is>
          <t>Disetujui</t>
        </is>
      </c>
      <c r="K162" t="n">
        <v>90</v>
      </c>
      <c r="L162" t="inlineStr">
        <is>
          <t>2 Oktober 2026</t>
        </is>
      </c>
      <c r="M162" t="inlineStr">
        <is>
          <t>Konstruksi Bangunan Sipil Jalan, Konstruksi Gedung Lainnya, Konstruksi Gedung Pendidikan</t>
        </is>
      </c>
      <c r="N162" t="inlineStr">
        <is>
          <t>K, M</t>
        </is>
      </c>
      <c r="O162" t="inlineStr">
        <is>
          <t>20230929</t>
        </is>
      </c>
      <c r="P162" t="inlineStr">
        <is>
          <t>Kalimantan Timur</t>
        </is>
      </c>
      <c r="Q162" t="inlineStr"/>
    </row>
    <row r="163">
      <c r="A163" t="inlineStr">
        <is>
          <t>SWADAYA GRAHA</t>
        </is>
      </c>
      <c r="B163" t="inlineStr">
        <is>
          <t>Kab. Gresik</t>
        </is>
      </c>
      <c r="C163" t="inlineStr">
        <is>
          <t>031394477</t>
        </is>
      </c>
      <c r="D163" t="inlineStr">
        <is>
          <t>contact@swadayagraha.com</t>
        </is>
      </c>
      <c r="E163" t="inlineStr">
        <is>
          <t>https://lpjk.pu.go.id/search-badan-usaha-detail/bjkvUU5VeXZQMFlZSUZZK0lnOUt3Zz09</t>
        </is>
      </c>
      <c r="F163" t="n">
        <v>1</v>
      </c>
      <c r="G163" t="inlineStr">
        <is>
          <t>IN001</t>
        </is>
      </c>
      <c r="H163" t="inlineStr">
        <is>
          <t>11 November 1985</t>
        </is>
      </c>
      <c r="I163" s="2" t="n">
        <v>46297</v>
      </c>
      <c r="J163" t="inlineStr">
        <is>
          <t>Pencabutan</t>
        </is>
      </c>
      <c r="K163" t="n">
        <v>90</v>
      </c>
      <c r="L163" t="inlineStr">
        <is>
          <t>2 Oktober 2026</t>
        </is>
      </c>
      <c r="M163" t="inlineStr">
        <is>
          <t>Instalasi Mekanikal</t>
        </is>
      </c>
      <c r="N163" t="inlineStr">
        <is>
          <t>Spesialis</t>
        </is>
      </c>
      <c r="O163" t="inlineStr">
        <is>
          <t>20230926</t>
        </is>
      </c>
      <c r="P163" t="inlineStr">
        <is>
          <t>Jawa Timur</t>
        </is>
      </c>
      <c r="Q163" t="inlineStr"/>
    </row>
    <row r="164">
      <c r="A164" t="inlineStr">
        <is>
          <t>TABINA JAYA MANDIRI</t>
        </is>
      </c>
      <c r="B164" t="inlineStr">
        <is>
          <t>Kota Banda Aceh</t>
        </is>
      </c>
      <c r="C164" t="inlineStr">
        <is>
          <t>082363848767</t>
        </is>
      </c>
      <c r="D164" t="inlineStr">
        <is>
          <t>tabinajayamandiri@gmail.com</t>
        </is>
      </c>
      <c r="E164" t="inlineStr">
        <is>
          <t>https://lpjk.pu.go.id/search-badan-usaha-detail/SEdRamlTeHdkRmJNenM2eTNPeEo5QT09</t>
        </is>
      </c>
      <c r="F164" t="n">
        <v>1</v>
      </c>
      <c r="G164" t="inlineStr">
        <is>
          <t>PB009</t>
        </is>
      </c>
      <c r="H164" t="inlineStr">
        <is>
          <t>7 September 2023</t>
        </is>
      </c>
      <c r="I164" s="2" t="n">
        <v>46297</v>
      </c>
      <c r="J164" t="inlineStr">
        <is>
          <t>Disetujui</t>
        </is>
      </c>
      <c r="K164" t="n">
        <v>90</v>
      </c>
      <c r="L164" t="inlineStr">
        <is>
          <t>2 Oktober 2026</t>
        </is>
      </c>
      <c r="M164" t="inlineStr">
        <is>
          <t>Pembersihan dan Perapihan Bangunan Gedung dan/atau Bangunan Sipil</t>
        </is>
      </c>
      <c r="N164" t="inlineStr">
        <is>
          <t>Spesialis</t>
        </is>
      </c>
      <c r="O164" t="inlineStr">
        <is>
          <t>20230922</t>
        </is>
      </c>
      <c r="P164" t="inlineStr">
        <is>
          <t>Aceh</t>
        </is>
      </c>
      <c r="Q164" t="inlineStr"/>
    </row>
    <row r="165">
      <c r="A165" t="inlineStr">
        <is>
          <t>TANGGUL JAYA</t>
        </is>
      </c>
      <c r="B165" t="inlineStr">
        <is>
          <t>Kota Surakarta</t>
        </is>
      </c>
      <c r="C165" t="inlineStr">
        <is>
          <t>0271654341</t>
        </is>
      </c>
      <c r="D165" t="inlineStr">
        <is>
          <t>tangguljaya83@yahoo.com</t>
        </is>
      </c>
      <c r="E165" t="inlineStr">
        <is>
          <t>https://lpjk.pu.go.id/search-badan-usaha-detail/VzBuVmJNOUJadWx4RUQ2QzkzN3ZIZz09</t>
        </is>
      </c>
      <c r="F165" t="n">
        <v>1</v>
      </c>
      <c r="G165" t="inlineStr">
        <is>
          <t>BS001</t>
        </is>
      </c>
      <c r="H165" t="inlineStr">
        <is>
          <t>7 Februari 1983</t>
        </is>
      </c>
      <c r="I165" s="2" t="n">
        <v>46297</v>
      </c>
      <c r="J165" t="inlineStr">
        <is>
          <t>Disetujui</t>
        </is>
      </c>
      <c r="K165" t="n">
        <v>90</v>
      </c>
      <c r="L165" t="inlineStr">
        <is>
          <t>2 Oktober 2026</t>
        </is>
      </c>
      <c r="M165" t="inlineStr">
        <is>
          <t>Konstruksi Bangunan Sipil Jalan</t>
        </is>
      </c>
      <c r="N165" t="inlineStr">
        <is>
          <t>M</t>
        </is>
      </c>
      <c r="O165" t="inlineStr">
        <is>
          <t>20230918</t>
        </is>
      </c>
      <c r="P165" t="inlineStr">
        <is>
          <t>Jawa Tengah</t>
        </is>
      </c>
      <c r="Q165" t="inlineStr"/>
    </row>
    <row r="166">
      <c r="A166" t="inlineStr">
        <is>
          <t>TANI HARAPAN</t>
        </is>
      </c>
      <c r="B166" t="inlineStr">
        <is>
          <t>Kab. Langkat</t>
        </is>
      </c>
      <c r="C166" t="inlineStr">
        <is>
          <t>081263097766</t>
        </is>
      </c>
      <c r="D166" t="inlineStr">
        <is>
          <t>cv.taniharapan@yahoo.com</t>
        </is>
      </c>
      <c r="E166" t="inlineStr">
        <is>
          <t>https://lpjk.pu.go.id/search-badan-usaha-detail/N05TaDNxSjF2UFkxWC9RcEpQa2x6dz09</t>
        </is>
      </c>
      <c r="F166" t="n">
        <v>1</v>
      </c>
      <c r="G166" t="inlineStr">
        <is>
          <t>BG009</t>
        </is>
      </c>
      <c r="H166" t="inlineStr">
        <is>
          <t>27 Juni 2007</t>
        </is>
      </c>
      <c r="I166" s="2" t="n">
        <v>46297</v>
      </c>
      <c r="J166" t="inlineStr">
        <is>
          <t>Disetujui</t>
        </is>
      </c>
      <c r="K166" t="n">
        <v>90</v>
      </c>
      <c r="L166" t="inlineStr">
        <is>
          <t>2 Oktober 2026</t>
        </is>
      </c>
      <c r="M166" t="inlineStr">
        <is>
          <t>Konstruksi Gedung Lainnya</t>
        </is>
      </c>
      <c r="N166" t="inlineStr">
        <is>
          <t>K</t>
        </is>
      </c>
      <c r="O166" t="inlineStr">
        <is>
          <t>20231002</t>
        </is>
      </c>
      <c r="P166" t="inlineStr">
        <is>
          <t>Sumatera Utara</t>
        </is>
      </c>
      <c r="Q166" t="inlineStr"/>
    </row>
    <row r="167">
      <c r="A167" t="inlineStr">
        <is>
          <t>TATA BANGUN PRESISI</t>
        </is>
      </c>
      <c r="B167" t="inlineStr">
        <is>
          <t>Kab. Gowa</t>
        </is>
      </c>
      <c r="C167" t="inlineStr">
        <is>
          <t>081298879988</t>
        </is>
      </c>
      <c r="D167" t="inlineStr">
        <is>
          <t>tatabangunpresisi@gmail.com</t>
        </is>
      </c>
      <c r="E167" t="inlineStr">
        <is>
          <t>https://lpjk.pu.go.id/search-badan-usaha-detail/SWpGY21EUVh5cTNGQ3czSEw5akxKZz09</t>
        </is>
      </c>
      <c r="F167" t="n">
        <v>1</v>
      </c>
      <c r="G167" t="inlineStr">
        <is>
          <t>BG001</t>
        </is>
      </c>
      <c r="H167" t="inlineStr">
        <is>
          <t>6 Juli 2023</t>
        </is>
      </c>
      <c r="I167" s="2" t="n">
        <v>46297</v>
      </c>
      <c r="J167" t="inlineStr">
        <is>
          <t>Disetujui</t>
        </is>
      </c>
      <c r="K167" t="n">
        <v>90</v>
      </c>
      <c r="L167" t="inlineStr">
        <is>
          <t>2 Oktober 2026</t>
        </is>
      </c>
      <c r="M167" t="inlineStr">
        <is>
          <t>Konstruksi Gedung Hunian</t>
        </is>
      </c>
      <c r="N167" t="inlineStr">
        <is>
          <t>K</t>
        </is>
      </c>
      <c r="O167" t="inlineStr">
        <is>
          <t>20230930</t>
        </is>
      </c>
      <c r="P167" t="inlineStr">
        <is>
          <t>Sulawesi Selatan</t>
        </is>
      </c>
      <c r="Q167" t="inlineStr"/>
    </row>
    <row r="168">
      <c r="A168" t="inlineStr">
        <is>
          <t>TEGAR RAJAWALI PERKASA</t>
        </is>
      </c>
      <c r="B168" t="inlineStr">
        <is>
          <t>Kab. Landak</t>
        </is>
      </c>
      <c r="C168" t="inlineStr">
        <is>
          <t>082270223137</t>
        </is>
      </c>
      <c r="D168" t="inlineStr">
        <is>
          <t>pt.tegarrajawali137@gmail.com</t>
        </is>
      </c>
      <c r="E168" t="inlineStr">
        <is>
          <t>https://lpjk.pu.go.id/search-badan-usaha-detail/MGl1c3E3WmtGbHpPaVc2UWVpbG8xdz09</t>
        </is>
      </c>
      <c r="F168" t="n">
        <v>2</v>
      </c>
      <c r="G168" t="inlineStr">
        <is>
          <t>BS001, BS002</t>
        </is>
      </c>
      <c r="H168" t="inlineStr">
        <is>
          <t>1 April 2006</t>
        </is>
      </c>
      <c r="I168" s="2" t="n">
        <v>46297</v>
      </c>
      <c r="J168" t="inlineStr">
        <is>
          <t>Disetujui</t>
        </is>
      </c>
      <c r="K168" t="n">
        <v>90</v>
      </c>
      <c r="L168" t="inlineStr">
        <is>
          <t>2 Oktober 2026</t>
        </is>
      </c>
      <c r="M168" t="inlineStr">
        <is>
          <t>Bangunan Sipil Jembatan, Jalan Layang, Fly Over, dan Underpass, Konstruksi Bangunan Sipil Jalan</t>
        </is>
      </c>
      <c r="N168" t="inlineStr">
        <is>
          <t>K</t>
        </is>
      </c>
      <c r="O168" t="inlineStr">
        <is>
          <t>20230927</t>
        </is>
      </c>
      <c r="P168" t="inlineStr">
        <is>
          <t>Kalimantan Barat</t>
        </is>
      </c>
      <c r="Q168" t="inlineStr"/>
    </row>
    <row r="169">
      <c r="A169" t="inlineStr">
        <is>
          <t>TIRTA KENCANA SELARAS</t>
        </is>
      </c>
      <c r="B169" t="inlineStr">
        <is>
          <t>Kota Tangerang Selatan</t>
        </is>
      </c>
      <c r="C169" t="inlineStr">
        <is>
          <t>0212915569</t>
        </is>
      </c>
      <c r="D169" t="inlineStr">
        <is>
          <t>tirtaselaras@gmail.com</t>
        </is>
      </c>
      <c r="E169" t="inlineStr">
        <is>
          <t>https://lpjk.pu.go.id/search-badan-usaha-detail/ZFJRQ0ZUUUNFSkpOK0VsZFlreE5IUT09</t>
        </is>
      </c>
      <c r="F169" t="n">
        <v>2</v>
      </c>
      <c r="G169" t="inlineStr">
        <is>
          <t>BG003, BG009</t>
        </is>
      </c>
      <c r="H169" t="inlineStr">
        <is>
          <t>25 November 2010</t>
        </is>
      </c>
      <c r="I169" s="2" t="n">
        <v>46297</v>
      </c>
      <c r="J169" t="inlineStr">
        <is>
          <t>Disetujui, Pencabutan</t>
        </is>
      </c>
      <c r="K169" t="n">
        <v>90</v>
      </c>
      <c r="L169" t="inlineStr">
        <is>
          <t>2 Oktober 2026</t>
        </is>
      </c>
      <c r="M169" t="inlineStr">
        <is>
          <t>Konstruksi Gedung Industri, Konstruksi Gedung Lainnya</t>
        </is>
      </c>
      <c r="N169" t="inlineStr">
        <is>
          <t>K</t>
        </is>
      </c>
      <c r="O169" t="inlineStr">
        <is>
          <t>20230622, 20231001</t>
        </is>
      </c>
      <c r="P169" t="inlineStr">
        <is>
          <t>Banten</t>
        </is>
      </c>
      <c r="Q169" t="inlineStr"/>
    </row>
    <row r="170">
      <c r="A170" t="inlineStr">
        <is>
          <t>TRI DARMA JAYA</t>
        </is>
      </c>
      <c r="B170" t="inlineStr">
        <is>
          <t>Kota Samarinda</t>
        </is>
      </c>
      <c r="C170" t="inlineStr">
        <is>
          <t>081242095333</t>
        </is>
      </c>
      <c r="D170" t="inlineStr">
        <is>
          <t>tridarmajaya@yahoo.com</t>
        </is>
      </c>
      <c r="E170" t="inlineStr">
        <is>
          <t>https://lpjk.pu.go.id/search-badan-usaha-detail/U2VsVHFhUkRnczdYR0xzL0VTT0dHQT09</t>
        </is>
      </c>
      <c r="F170" t="n">
        <v>2</v>
      </c>
      <c r="G170" t="inlineStr">
        <is>
          <t>BS001, BS004</t>
        </is>
      </c>
      <c r="H170" t="inlineStr">
        <is>
          <t>1 April 2020</t>
        </is>
      </c>
      <c r="I170" s="2" t="n">
        <v>46297</v>
      </c>
      <c r="J170" t="inlineStr">
        <is>
          <t>Disetujui</t>
        </is>
      </c>
      <c r="K170" t="n">
        <v>90</v>
      </c>
      <c r="L170" t="inlineStr">
        <is>
          <t>2 Oktober 2026</t>
        </is>
      </c>
      <c r="M170" t="inlineStr">
        <is>
          <t>Konstruksi Bangunan Sipil Jalan, Konstruksi Jaringan Irigasi dan Drainase</t>
        </is>
      </c>
      <c r="N170" t="inlineStr">
        <is>
          <t>K</t>
        </is>
      </c>
      <c r="O170" t="inlineStr">
        <is>
          <t>20230926</t>
        </is>
      </c>
      <c r="P170" t="inlineStr">
        <is>
          <t>Kalimantan Timur</t>
        </is>
      </c>
      <c r="Q170" t="inlineStr"/>
    </row>
    <row r="171">
      <c r="A171" t="inlineStr">
        <is>
          <t>TRI KARTIKA SARI</t>
        </is>
      </c>
      <c r="B171" t="inlineStr">
        <is>
          <t>Kab. Muaro Jambi</t>
        </is>
      </c>
      <c r="C171" t="inlineStr">
        <is>
          <t>085288942160</t>
        </is>
      </c>
      <c r="D171" t="inlineStr">
        <is>
          <t>cvkartikasari2023@gmail.com</t>
        </is>
      </c>
      <c r="E171" t="inlineStr">
        <is>
          <t>https://lpjk.pu.go.id/search-badan-usaha-detail/OVZWc1NBQlFyWUd5VGpXcGFlSU9oQT09</t>
        </is>
      </c>
      <c r="F171" t="n">
        <v>1</v>
      </c>
      <c r="G171" t="inlineStr">
        <is>
          <t>BS001</t>
        </is>
      </c>
      <c r="H171" t="inlineStr">
        <is>
          <t>31 Juli 2023</t>
        </is>
      </c>
      <c r="I171" s="2" t="n">
        <v>46297</v>
      </c>
      <c r="J171" t="inlineStr">
        <is>
          <t>Disetujui</t>
        </is>
      </c>
      <c r="K171" t="n">
        <v>90</v>
      </c>
      <c r="L171" t="inlineStr">
        <is>
          <t>2 Oktober 2026</t>
        </is>
      </c>
      <c r="M171" t="inlineStr">
        <is>
          <t>Konstruksi Bangunan Sipil Jalan</t>
        </is>
      </c>
      <c r="N171" t="inlineStr">
        <is>
          <t>K</t>
        </is>
      </c>
      <c r="O171" t="inlineStr">
        <is>
          <t>20230929</t>
        </is>
      </c>
      <c r="P171" t="inlineStr">
        <is>
          <t>Jambi</t>
        </is>
      </c>
      <c r="Q171" t="inlineStr"/>
    </row>
    <row r="172">
      <c r="A172" t="inlineStr">
        <is>
          <t>TRI UTAMA</t>
        </is>
      </c>
      <c r="B172" t="inlineStr">
        <is>
          <t>Kab. Bandung</t>
        </is>
      </c>
      <c r="C172" t="inlineStr">
        <is>
          <t>082121450500</t>
        </is>
      </c>
      <c r="D172" t="inlineStr">
        <is>
          <t>cv.tri.utama15@gmail.com</t>
        </is>
      </c>
      <c r="E172" t="inlineStr">
        <is>
          <t>https://lpjk.pu.go.id/search-badan-usaha-detail/WklQN3ZiemxYdkU2cU9VUUsyN2VMZz09</t>
        </is>
      </c>
      <c r="F172" t="n">
        <v>4</v>
      </c>
      <c r="G172" t="inlineStr">
        <is>
          <t>BG009, BS001, BS004, BS005</t>
        </is>
      </c>
      <c r="H172" t="inlineStr">
        <is>
          <t>8 Oktober 2003</t>
        </is>
      </c>
      <c r="I172" s="2" t="n">
        <v>46297</v>
      </c>
      <c r="J172" t="inlineStr">
        <is>
          <t>Disetujui</t>
        </is>
      </c>
      <c r="K172" t="n">
        <v>90</v>
      </c>
      <c r="L172" t="inlineStr">
        <is>
          <t>2 Oktober 2026</t>
        </is>
      </c>
      <c r="M172" t="inlineStr">
        <is>
          <t>Konstruksi Bangunan Sipil Jalan, Konstruksi Bangunan Sipil Pengolahan Air Bersih, Konstruksi Gedung Lainnya, Konstruksi Jaringan Irigasi dan Drainase</t>
        </is>
      </c>
      <c r="N172" t="inlineStr">
        <is>
          <t>K</t>
        </is>
      </c>
      <c r="O172" t="inlineStr">
        <is>
          <t>20230927, 20231002</t>
        </is>
      </c>
      <c r="P172" t="inlineStr">
        <is>
          <t>Jawa Barat</t>
        </is>
      </c>
      <c r="Q172" t="inlineStr"/>
    </row>
    <row r="173">
      <c r="A173" t="inlineStr">
        <is>
          <t>TRIAS MANUNGGAL</t>
        </is>
      </c>
      <c r="B173" t="inlineStr">
        <is>
          <t>Kota Bandung</t>
        </is>
      </c>
      <c r="C173" t="inlineStr">
        <is>
          <t>0227273832</t>
        </is>
      </c>
      <c r="D173" t="inlineStr">
        <is>
          <t>triasman@yahoo.co.id</t>
        </is>
      </c>
      <c r="E173" t="inlineStr">
        <is>
          <t>https://lpjk.pu.go.id/search-badan-usaha-detail/R2c0a0xKR2RYTzNQTGJGSVQxdEtwQT09</t>
        </is>
      </c>
      <c r="F173" t="n">
        <v>2</v>
      </c>
      <c r="G173" t="inlineStr">
        <is>
          <t>BG006</t>
        </is>
      </c>
      <c r="H173" t="inlineStr">
        <is>
          <t>19 Juli 1999</t>
        </is>
      </c>
      <c r="I173" s="2" t="n">
        <v>46297</v>
      </c>
      <c r="J173" t="inlineStr">
        <is>
          <t>Disetujui</t>
        </is>
      </c>
      <c r="K173" t="n">
        <v>90</v>
      </c>
      <c r="L173" t="inlineStr">
        <is>
          <t>2 Oktober 2026</t>
        </is>
      </c>
      <c r="M173" t="inlineStr">
        <is>
          <t>Konstruksi Gedung Pendidikan</t>
        </is>
      </c>
      <c r="N173" t="inlineStr">
        <is>
          <t>K</t>
        </is>
      </c>
      <c r="O173" t="inlineStr">
        <is>
          <t>20230930</t>
        </is>
      </c>
      <c r="P173" t="inlineStr">
        <is>
          <t>Jawa Barat</t>
        </is>
      </c>
      <c r="Q173" t="inlineStr"/>
    </row>
    <row r="174">
      <c r="A174" t="inlineStr">
        <is>
          <t>TRIASA MANDIRI</t>
        </is>
      </c>
      <c r="B174" t="inlineStr">
        <is>
          <t>Kota Ambon</t>
        </is>
      </c>
      <c r="C174" t="inlineStr">
        <is>
          <t>08114782328</t>
        </is>
      </c>
      <c r="D174" t="inlineStr">
        <is>
          <t>abdulw871@gmail.com</t>
        </is>
      </c>
      <c r="E174" t="inlineStr">
        <is>
          <t>https://lpjk.pu.go.id/search-badan-usaha-detail/NHhucFp4WHlXTmdlNWVpRkMzT25jUT09</t>
        </is>
      </c>
      <c r="F174" t="n">
        <v>3</v>
      </c>
      <c r="G174" t="inlineStr">
        <is>
          <t>BG001</t>
        </is>
      </c>
      <c r="H174" t="inlineStr">
        <is>
          <t>29 Agustus 2019</t>
        </is>
      </c>
      <c r="I174" s="2" t="n">
        <v>46297</v>
      </c>
      <c r="J174" t="inlineStr">
        <is>
          <t>Disetujui</t>
        </is>
      </c>
      <c r="K174" t="n">
        <v>90</v>
      </c>
      <c r="L174" t="inlineStr">
        <is>
          <t>2 Oktober 2026</t>
        </is>
      </c>
      <c r="M174" t="inlineStr">
        <is>
          <t>Konstruksi Gedung Hunian</t>
        </is>
      </c>
      <c r="N174" t="inlineStr">
        <is>
          <t>K</t>
        </is>
      </c>
      <c r="O174" t="inlineStr">
        <is>
          <t>20230924</t>
        </is>
      </c>
      <c r="P174" t="inlineStr">
        <is>
          <t>Maluku</t>
        </is>
      </c>
      <c r="Q174" t="inlineStr"/>
    </row>
    <row r="175">
      <c r="A175" t="inlineStr">
        <is>
          <t>TRIASINDOMIX</t>
        </is>
      </c>
      <c r="B175" t="inlineStr">
        <is>
          <t>Kab. Sidoarjo</t>
        </is>
      </c>
      <c r="C175" t="inlineStr">
        <is>
          <t>081330788592</t>
        </is>
      </c>
      <c r="D175" t="inlineStr">
        <is>
          <t>mixtriasindo@gmail.com</t>
        </is>
      </c>
      <c r="E175" t="inlineStr">
        <is>
          <t>https://lpjk.pu.go.id/search-badan-usaha-detail/Sys2OVJjZEVqSWV1YzF1NG1qYytoUT09</t>
        </is>
      </c>
      <c r="F175" t="n">
        <v>2</v>
      </c>
      <c r="G175" t="inlineStr">
        <is>
          <t>KK008, PL003</t>
        </is>
      </c>
      <c r="H175" t="inlineStr">
        <is>
          <t>20 Maret 2010</t>
        </is>
      </c>
      <c r="I175" s="2" t="n">
        <v>46297</v>
      </c>
      <c r="J175" t="inlineStr">
        <is>
          <t>Pembekuan</t>
        </is>
      </c>
      <c r="K175" t="n">
        <v>90</v>
      </c>
      <c r="L175" t="inlineStr">
        <is>
          <t>2 Oktober 2026</t>
        </is>
      </c>
      <c r="M175" t="inlineStr">
        <is>
          <t>Penyiapan Lahan Konstruksi, Perkerasan Aspal</t>
        </is>
      </c>
      <c r="N175" t="inlineStr">
        <is>
          <t>Spesialis</t>
        </is>
      </c>
      <c r="O175" t="inlineStr">
        <is>
          <t>20230927, 20230930</t>
        </is>
      </c>
      <c r="P175" t="inlineStr">
        <is>
          <t>Jawa Timur</t>
        </is>
      </c>
      <c r="Q175" t="inlineStr"/>
    </row>
    <row r="176">
      <c r="A176" t="inlineStr">
        <is>
          <t>TRIATMA TRUNTUM KONSTRUKSINDO</t>
        </is>
      </c>
      <c r="B176" t="inlineStr">
        <is>
          <t>Kota Adm. Jakarta Barat</t>
        </is>
      </c>
      <c r="C176" t="inlineStr">
        <is>
          <t>02129866319</t>
        </is>
      </c>
      <c r="D176" t="inlineStr">
        <is>
          <t>pt.triatmatruntumkonstruksindo@gmail.com</t>
        </is>
      </c>
      <c r="E176" t="inlineStr">
        <is>
          <t>https://lpjk.pu.go.id/search-badan-usaha-detail/QVBhOU5FSjB2RU1wTFhmYTJRRWhpZz09</t>
        </is>
      </c>
      <c r="F176" t="n">
        <v>1</v>
      </c>
      <c r="G176" t="inlineStr">
        <is>
          <t>AR001</t>
        </is>
      </c>
      <c r="H176" t="inlineStr">
        <is>
          <t>13 September 2019</t>
        </is>
      </c>
      <c r="I176" s="2" t="n">
        <v>46297</v>
      </c>
      <c r="J176" t="inlineStr">
        <is>
          <t>Disetujui</t>
        </is>
      </c>
      <c r="K176" t="n">
        <v>90</v>
      </c>
      <c r="L176" t="inlineStr">
        <is>
          <t>2 Oktober 2026</t>
        </is>
      </c>
      <c r="M176" t="inlineStr">
        <is>
          <t>Jasa Arsitektural Bangunan Gedung Hunian dan Non Hunian</t>
        </is>
      </c>
      <c r="N176" t="inlineStr">
        <is>
          <t>K</t>
        </is>
      </c>
      <c r="O176" t="inlineStr">
        <is>
          <t>20230926</t>
        </is>
      </c>
      <c r="P176" t="inlineStr">
        <is>
          <t>DKI Jakarta</t>
        </is>
      </c>
      <c r="Q176" t="inlineStr"/>
    </row>
    <row r="177">
      <c r="A177" t="inlineStr">
        <is>
          <t>TRIKASARI MAKMUR JAYA</t>
        </is>
      </c>
      <c r="B177" t="inlineStr">
        <is>
          <t>Kab. Boyolali</t>
        </is>
      </c>
      <c r="C177" t="inlineStr">
        <is>
          <t>085156420965</t>
        </is>
      </c>
      <c r="D177" t="inlineStr">
        <is>
          <t>trikasarimakmurjaya@gmail.com</t>
        </is>
      </c>
      <c r="E177" t="inlineStr">
        <is>
          <t>https://lpjk.pu.go.id/search-badan-usaha-detail/cnY0N0hKamhmL2ZkUXBRMk9GZi9TZz09</t>
        </is>
      </c>
      <c r="F177" t="n">
        <v>1</v>
      </c>
      <c r="G177" t="inlineStr">
        <is>
          <t>BG006</t>
        </is>
      </c>
      <c r="H177" t="inlineStr">
        <is>
          <t>20 Mei 2023</t>
        </is>
      </c>
      <c r="I177" s="2" t="n">
        <v>46297</v>
      </c>
      <c r="J177" t="inlineStr">
        <is>
          <t>Pencabutan</t>
        </is>
      </c>
      <c r="K177" t="n">
        <v>90</v>
      </c>
      <c r="L177" t="inlineStr">
        <is>
          <t>2 Oktober 2026</t>
        </is>
      </c>
      <c r="M177" t="inlineStr">
        <is>
          <t>Konstruksi Gedung Pendidikan</t>
        </is>
      </c>
      <c r="N177" t="inlineStr">
        <is>
          <t>K</t>
        </is>
      </c>
      <c r="O177" t="inlineStr">
        <is>
          <t>20230608</t>
        </is>
      </c>
      <c r="P177" t="inlineStr">
        <is>
          <t>Jawa Tengah</t>
        </is>
      </c>
      <c r="Q177" t="inlineStr"/>
    </row>
    <row r="178">
      <c r="A178" t="inlineStr">
        <is>
          <t>TRISTAR JAYA PERKASA</t>
        </is>
      </c>
      <c r="B178" t="inlineStr">
        <is>
          <t>Kab. Parigi Moutong</t>
        </is>
      </c>
      <c r="C178" t="inlineStr">
        <is>
          <t>0811456708</t>
        </is>
      </c>
      <c r="D178" t="inlineStr">
        <is>
          <t>jtr.tristar@gmail.com</t>
        </is>
      </c>
      <c r="E178" t="inlineStr">
        <is>
          <t>https://lpjk.pu.go.id/search-badan-usaha-detail/MFpCWDRYbGhvYitjMDJqbkpaQ3czUT09</t>
        </is>
      </c>
      <c r="F178" t="n">
        <v>3</v>
      </c>
      <c r="G178" t="inlineStr">
        <is>
          <t>BG009</t>
        </is>
      </c>
      <c r="H178" t="inlineStr">
        <is>
          <t>29 Maret 2021</t>
        </is>
      </c>
      <c r="I178" s="2" t="n">
        <v>46297</v>
      </c>
      <c r="J178" t="inlineStr">
        <is>
          <t>Disetujui</t>
        </is>
      </c>
      <c r="K178" t="n">
        <v>90</v>
      </c>
      <c r="L178" t="inlineStr">
        <is>
          <t>2 Oktober 2026</t>
        </is>
      </c>
      <c r="M178" t="inlineStr">
        <is>
          <t>Konstruksi Gedung Lainnya</t>
        </is>
      </c>
      <c r="N178" t="inlineStr">
        <is>
          <t>K</t>
        </is>
      </c>
      <c r="O178" t="inlineStr">
        <is>
          <t>20231002</t>
        </is>
      </c>
      <c r="P178" t="inlineStr">
        <is>
          <t>Sulawesi Tengah</t>
        </is>
      </c>
      <c r="Q178" t="inlineStr"/>
    </row>
    <row r="179">
      <c r="A179" t="inlineStr">
        <is>
          <t>TUNAS INDAH JAYA BETON</t>
        </is>
      </c>
      <c r="B179" t="inlineStr">
        <is>
          <t>Kab. Banyuwangi</t>
        </is>
      </c>
      <c r="C179" t="inlineStr">
        <is>
          <t>082231419600</t>
        </is>
      </c>
      <c r="D179" t="inlineStr">
        <is>
          <t>jayabeton.bwi@gmail.com</t>
        </is>
      </c>
      <c r="E179" t="inlineStr">
        <is>
          <t>https://lpjk.pu.go.id/search-badan-usaha-detail/QXNPdUR4UEVmVjhYbDJzS1JHblBFQT09</t>
        </is>
      </c>
      <c r="F179" t="n">
        <v>1</v>
      </c>
      <c r="G179" t="inlineStr">
        <is>
          <t>BS001</t>
        </is>
      </c>
      <c r="H179" t="inlineStr">
        <is>
          <t>24 Januari 2023</t>
        </is>
      </c>
      <c r="I179" s="2" t="n">
        <v>46297</v>
      </c>
      <c r="J179" t="inlineStr">
        <is>
          <t>Disetujui</t>
        </is>
      </c>
      <c r="K179" t="n">
        <v>90</v>
      </c>
      <c r="L179" t="inlineStr">
        <is>
          <t>2 Oktober 2026</t>
        </is>
      </c>
      <c r="M179" t="inlineStr">
        <is>
          <t>Konstruksi Bangunan Sipil Jalan</t>
        </is>
      </c>
      <c r="N179" t="inlineStr">
        <is>
          <t>K</t>
        </is>
      </c>
      <c r="O179" t="inlineStr">
        <is>
          <t>20230927</t>
        </is>
      </c>
      <c r="P179" t="inlineStr">
        <is>
          <t>Jawa Timur</t>
        </is>
      </c>
      <c r="Q179" t="inlineStr"/>
    </row>
    <row r="180">
      <c r="A180" t="inlineStr">
        <is>
          <t>TUNAS KONSTRUKSI MANDIRI</t>
        </is>
      </c>
      <c r="B180" t="inlineStr">
        <is>
          <t>Kota Padang</t>
        </is>
      </c>
      <c r="C180" t="inlineStr">
        <is>
          <t>0811762235</t>
        </is>
      </c>
      <c r="D180" t="inlineStr">
        <is>
          <t>tunaskonstruksimandiri@gmail.com</t>
        </is>
      </c>
      <c r="E180" t="inlineStr">
        <is>
          <t>https://lpjk.pu.go.id/search-badan-usaha-detail/SmJMTFZJK3Uva3BVVnM0WUpkZnprZz09</t>
        </is>
      </c>
      <c r="F180" t="n">
        <v>1</v>
      </c>
      <c r="G180" t="inlineStr">
        <is>
          <t>BG009</t>
        </is>
      </c>
      <c r="H180" t="inlineStr">
        <is>
          <t>24 Januari 2020</t>
        </is>
      </c>
      <c r="I180" s="2" t="n">
        <v>46297</v>
      </c>
      <c r="J180" t="inlineStr">
        <is>
          <t>Disetujui</t>
        </is>
      </c>
      <c r="K180" t="n">
        <v>90</v>
      </c>
      <c r="L180" t="inlineStr">
        <is>
          <t>2 Oktober 2026</t>
        </is>
      </c>
      <c r="M180" t="inlineStr">
        <is>
          <t>Konstruksi Gedung Lainnya</t>
        </is>
      </c>
      <c r="N180" t="inlineStr">
        <is>
          <t>M</t>
        </is>
      </c>
      <c r="O180" t="inlineStr">
        <is>
          <t>20230923</t>
        </is>
      </c>
      <c r="P180" t="inlineStr">
        <is>
          <t>Sumatera Barat</t>
        </is>
      </c>
      <c r="Q180" t="inlineStr"/>
    </row>
    <row r="181">
      <c r="A181" t="inlineStr">
        <is>
          <t>ULFA FAJRUL MUSTANIR</t>
        </is>
      </c>
      <c r="B181" t="inlineStr">
        <is>
          <t>Kab. Aceh Selatan</t>
        </is>
      </c>
      <c r="C181" t="inlineStr">
        <is>
          <t>085260840034</t>
        </is>
      </c>
      <c r="D181" t="inlineStr">
        <is>
          <t>cv.ulfafajrul@gmail.com</t>
        </is>
      </c>
      <c r="E181" t="inlineStr">
        <is>
          <t>https://lpjk.pu.go.id/search-badan-usaha-detail/YnJoZ2YxWDYxa0c2bnRQdXUzdEpaUT09</t>
        </is>
      </c>
      <c r="F181" t="n">
        <v>1</v>
      </c>
      <c r="G181" t="inlineStr">
        <is>
          <t>BS001</t>
        </is>
      </c>
      <c r="H181" t="inlineStr">
        <is>
          <t>15 Mei 2020</t>
        </is>
      </c>
      <c r="I181" s="2" t="n">
        <v>46297</v>
      </c>
      <c r="J181" t="inlineStr">
        <is>
          <t>Disetujui</t>
        </is>
      </c>
      <c r="K181" t="n">
        <v>90</v>
      </c>
      <c r="L181" t="inlineStr">
        <is>
          <t>2 Oktober 2026</t>
        </is>
      </c>
      <c r="M181" t="inlineStr">
        <is>
          <t>Konstruksi Bangunan Sipil Jalan</t>
        </is>
      </c>
      <c r="N181" t="inlineStr">
        <is>
          <t>K</t>
        </is>
      </c>
      <c r="O181" t="inlineStr">
        <is>
          <t>20230927</t>
        </is>
      </c>
      <c r="P181" t="inlineStr">
        <is>
          <t>Aceh</t>
        </is>
      </c>
      <c r="Q181" t="inlineStr"/>
    </row>
    <row r="182">
      <c r="A182" t="inlineStr">
        <is>
          <t>USAHA JAYA ANUGERAH</t>
        </is>
      </c>
      <c r="B182" t="inlineStr">
        <is>
          <t>Kab. Ogan Komering Ulu</t>
        </is>
      </c>
      <c r="C182" t="inlineStr">
        <is>
          <t>085366002355</t>
        </is>
      </c>
      <c r="D182" t="inlineStr">
        <is>
          <t>usahajayaanugerah2023@gmail.com</t>
        </is>
      </c>
      <c r="E182" t="inlineStr">
        <is>
          <t>https://lpjk.pu.go.id/search-badan-usaha-detail/MnF5Q3cva01NVVI5bkRjem5GUnJ5dz09</t>
        </is>
      </c>
      <c r="F182" t="n">
        <v>2</v>
      </c>
      <c r="G182" t="inlineStr">
        <is>
          <t>BG002, BG005</t>
        </is>
      </c>
      <c r="H182" t="inlineStr">
        <is>
          <t>9 September 2023</t>
        </is>
      </c>
      <c r="I182" s="2" t="n">
        <v>46297</v>
      </c>
      <c r="J182" t="inlineStr">
        <is>
          <t>Disetujui</t>
        </is>
      </c>
      <c r="K182" t="n">
        <v>90</v>
      </c>
      <c r="L182" t="inlineStr">
        <is>
          <t>2 Oktober 2026</t>
        </is>
      </c>
      <c r="M182" t="inlineStr">
        <is>
          <t>Konstruksi Gedung Kesehatan, Konstruksi Gedung Perkantoran</t>
        </is>
      </c>
      <c r="N182" t="inlineStr">
        <is>
          <t>K</t>
        </is>
      </c>
      <c r="O182" t="inlineStr">
        <is>
          <t>20230929</t>
        </is>
      </c>
      <c r="P182" t="inlineStr">
        <is>
          <t>Sumatera Selatan</t>
        </is>
      </c>
      <c r="Q182" t="inlineStr"/>
    </row>
    <row r="183">
      <c r="A183" t="inlineStr">
        <is>
          <t>UTAMA KARYA MANDIRI</t>
        </is>
      </c>
      <c r="B183" t="inlineStr">
        <is>
          <t>Kab. Kulon Progo</t>
        </is>
      </c>
      <c r="C183" t="inlineStr">
        <is>
          <t>081904172263</t>
        </is>
      </c>
      <c r="D183" t="inlineStr">
        <is>
          <t>z.arifin.iping@gmail.com</t>
        </is>
      </c>
      <c r="E183" t="inlineStr">
        <is>
          <t>https://lpjk.pu.go.id/search-badan-usaha-detail/SXRKVTZlY2IyUk4rdER3S0w0V1dCZz09</t>
        </is>
      </c>
      <c r="F183" t="n">
        <v>1</v>
      </c>
      <c r="G183" t="inlineStr">
        <is>
          <t>PL003</t>
        </is>
      </c>
      <c r="H183" t="inlineStr">
        <is>
          <t>19 Oktober 2015</t>
        </is>
      </c>
      <c r="I183" s="2" t="n">
        <v>46297</v>
      </c>
      <c r="J183" t="inlineStr">
        <is>
          <t>Pencabutan</t>
        </is>
      </c>
      <c r="K183" t="n">
        <v>90</v>
      </c>
      <c r="L183" t="inlineStr">
        <is>
          <t>2 Oktober 2026</t>
        </is>
      </c>
      <c r="M183" t="inlineStr">
        <is>
          <t>Penyiapan Lahan Konstruksi</t>
        </is>
      </c>
      <c r="N183" t="inlineStr">
        <is>
          <t>Spesialis</t>
        </is>
      </c>
      <c r="O183" t="inlineStr">
        <is>
          <t>20230926</t>
        </is>
      </c>
      <c r="P183" t="inlineStr">
        <is>
          <t>DI Yogyakarta</t>
        </is>
      </c>
      <c r="Q183" t="inlineStr"/>
    </row>
    <row r="184">
      <c r="A184" t="inlineStr">
        <is>
          <t>WAHYU RIZKI</t>
        </is>
      </c>
      <c r="B184" t="inlineStr">
        <is>
          <t>Kab. Banyumas</t>
        </is>
      </c>
      <c r="C184" t="inlineStr">
        <is>
          <t>081392533998</t>
        </is>
      </c>
      <c r="D184" t="inlineStr">
        <is>
          <t>wahyurizki.cv@gmail.com</t>
        </is>
      </c>
      <c r="E184" t="inlineStr">
        <is>
          <t>https://lpjk.pu.go.id/search-badan-usaha-detail/aVBXc0x3U3QyZGwzNGROYkVIOU10Zz09</t>
        </is>
      </c>
      <c r="F184" t="n">
        <v>1</v>
      </c>
      <c r="G184" t="inlineStr">
        <is>
          <t>BG006</t>
        </is>
      </c>
      <c r="H184" t="inlineStr">
        <is>
          <t>27 Juli 2022</t>
        </is>
      </c>
      <c r="I184" s="2" t="n">
        <v>46297</v>
      </c>
      <c r="J184" t="inlineStr">
        <is>
          <t>Disetujui</t>
        </is>
      </c>
      <c r="K184" t="n">
        <v>90</v>
      </c>
      <c r="L184" t="inlineStr">
        <is>
          <t>2 Oktober 2026</t>
        </is>
      </c>
      <c r="M184" t="inlineStr">
        <is>
          <t>Konstruksi Gedung Pendidikan</t>
        </is>
      </c>
      <c r="N184" t="inlineStr">
        <is>
          <t>K</t>
        </is>
      </c>
      <c r="O184" t="inlineStr">
        <is>
          <t>20230928</t>
        </is>
      </c>
      <c r="P184" t="inlineStr">
        <is>
          <t>Jawa Tengah</t>
        </is>
      </c>
      <c r="Q184" t="inlineStr"/>
    </row>
    <row r="185">
      <c r="A185" t="inlineStr">
        <is>
          <t>WIJAYA</t>
        </is>
      </c>
      <c r="B185" t="inlineStr">
        <is>
          <t>Kab. Brebes</t>
        </is>
      </c>
      <c r="C185" t="inlineStr">
        <is>
          <t>0289432405</t>
        </is>
      </c>
      <c r="D185" t="inlineStr">
        <is>
          <t>cvwijaya86@gmail.com</t>
        </is>
      </c>
      <c r="E185" t="inlineStr">
        <is>
          <t>https://lpjk.pu.go.id/search-badan-usaha-detail/a0FoUkFrUjZFUTV6cFJhVmNFYkR0UT09</t>
        </is>
      </c>
      <c r="F185" t="n">
        <v>1</v>
      </c>
      <c r="G185" t="inlineStr">
        <is>
          <t>BS004</t>
        </is>
      </c>
      <c r="H185" t="inlineStr">
        <is>
          <t>18 Juli 2001</t>
        </is>
      </c>
      <c r="I185" s="2" t="n">
        <v>46297</v>
      </c>
      <c r="J185" t="inlineStr">
        <is>
          <t>Disetujui</t>
        </is>
      </c>
      <c r="K185" t="n">
        <v>90</v>
      </c>
      <c r="L185" t="inlineStr">
        <is>
          <t>2 Oktober 2026</t>
        </is>
      </c>
      <c r="M185" t="inlineStr">
        <is>
          <t>Konstruksi Jaringan Irigasi dan Drainase</t>
        </is>
      </c>
      <c r="N185" t="inlineStr">
        <is>
          <t>K</t>
        </is>
      </c>
      <c r="O185" t="inlineStr">
        <is>
          <t>20230926</t>
        </is>
      </c>
      <c r="P185" t="inlineStr">
        <is>
          <t>Jawa Tengah</t>
        </is>
      </c>
      <c r="Q185" t="inlineStr"/>
    </row>
    <row r="186">
      <c r="A186" t="inlineStr">
        <is>
          <t>WIRA DARMA NUSA</t>
        </is>
      </c>
      <c r="B186" t="inlineStr">
        <is>
          <t>Kab. Sleman</t>
        </is>
      </c>
      <c r="C186" t="inlineStr">
        <is>
          <t>0274418255</t>
        </is>
      </c>
      <c r="D186" t="inlineStr">
        <is>
          <t>wiradarmanusa@gmail.com</t>
        </is>
      </c>
      <c r="E186" t="inlineStr">
        <is>
          <t>https://lpjk.pu.go.id/search-badan-usaha-detail/RGRhYlBjdWl5UElmWGhnVytIMU5TNEhPWWdTSklWcitFQy9zbGNzVW5Xaz0</t>
        </is>
      </c>
      <c r="F186" t="n">
        <v>2</v>
      </c>
      <c r="G186" t="inlineStr">
        <is>
          <t>RK001, RK003</t>
        </is>
      </c>
      <c r="H186" t="inlineStr">
        <is>
          <t>24 April 2019</t>
        </is>
      </c>
      <c r="I186" s="2" t="n">
        <v>46297</v>
      </c>
      <c r="J186" t="inlineStr">
        <is>
          <t>Disetujui</t>
        </is>
      </c>
      <c r="K186" t="n">
        <v>90</v>
      </c>
      <c r="L186" t="inlineStr">
        <is>
          <t>2 Oktober 2026</t>
        </is>
      </c>
      <c r="M186" t="inlineStr">
        <is>
          <t>Jasa Rekayasa Konstruksi Bangunan Gedung Hunian dan Non Hunian, Jasa Rekayasa Pekerjaan Teknik Sipil Transportasi</t>
        </is>
      </c>
      <c r="N186" t="inlineStr">
        <is>
          <t>K</t>
        </is>
      </c>
      <c r="O186" t="inlineStr">
        <is>
          <t>20230908</t>
        </is>
      </c>
      <c r="P186" t="inlineStr">
        <is>
          <t>DI Yogyakarta</t>
        </is>
      </c>
      <c r="Q1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2" customWidth="1" min="1" max="1"/>
    <col width="24" customWidth="1" min="2" max="2"/>
    <col width="14" customWidth="1" min="3" max="3"/>
    <col width="42"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8" customWidth="1" min="12" max="12"/>
    <col width="50" customWidth="1" min="13" max="13"/>
    <col width="13" customWidth="1" min="14" max="14"/>
    <col width="3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ANGKASA SURYA DUTA</t>
        </is>
      </c>
      <c r="B2" t="inlineStr">
        <is>
          <t>Kab. Bogor</t>
        </is>
      </c>
      <c r="C2" t="inlineStr">
        <is>
          <t>081284823701</t>
        </is>
      </c>
      <c r="D2" t="inlineStr">
        <is>
          <t>angkasasuryaduta@gmail.com</t>
        </is>
      </c>
      <c r="E2" t="inlineStr">
        <is>
          <t>https://lpjk.pu.go.id/search-badan-usaha-detail/UlFpKzFTUW0zc214Z1VkNUROZlhRZz09</t>
        </is>
      </c>
      <c r="F2" t="n">
        <v>10</v>
      </c>
      <c r="G2" t="inlineStr">
        <is>
          <t>BG001, BG002, BG004, BG006, BG009</t>
        </is>
      </c>
      <c r="H2" t="inlineStr">
        <is>
          <t>28 November 2022</t>
        </is>
      </c>
      <c r="I2" s="2" t="n">
        <v>46267</v>
      </c>
      <c r="J2" t="inlineStr">
        <is>
          <t>Disetujui</t>
        </is>
      </c>
      <c r="K2" t="n">
        <v>60</v>
      </c>
      <c r="L2" t="inlineStr">
        <is>
          <t>2 September 2026</t>
        </is>
      </c>
      <c r="M2" t="inlineStr">
        <is>
          <t>Konstruksi Gedung Hunian, Konstruksi Gedung Lainnya, Konstruksi Gedung Pendidikan, Konstruksi Gedung Perbelanjaan, Konstruksi Gedung Perkantoran</t>
        </is>
      </c>
      <c r="N2" t="inlineStr">
        <is>
          <t>K</t>
        </is>
      </c>
      <c r="O2" t="inlineStr">
        <is>
          <t>20230214, 20230215, 20230902</t>
        </is>
      </c>
      <c r="P2" t="inlineStr">
        <is>
          <t>Jawa Barat</t>
        </is>
      </c>
      <c r="Q2" s="3">
        <f>HYPERLINK("https://wa.me/6281284823701?text=*[PENGINGAT MASA BERLAKU SBU ANGKASA SURYA DUTA]*%0A%0AYth. Pimpinan ANGKASA SURYA DUTA,%0AMohon izin menginformasikan status SBU Anda di sistem LPJK:%0A%0A📄 SBU: BG001, BG002, BG004, BG006, BG009%0A📅 Expired: 2 September 2026 (60 Hari Lagi)%0A%0AKami tim PT. ESDEA Assistance Management siap men-support proses perpanjangan segera agar administrasi proyek tidak terhambat%0A%0AApakah boleh saya bantu siapkan estimasi biaya dan waktu pengerjaannya?.", "Hubungi")</f>
        <v/>
      </c>
    </row>
    <row r="3">
      <c r="A3" t="inlineStr">
        <is>
          <t>DOE BARA UTAMA</t>
        </is>
      </c>
      <c r="B3" t="inlineStr">
        <is>
          <t>Kota Depok</t>
        </is>
      </c>
      <c r="C3" t="inlineStr">
        <is>
          <t>085771714750</t>
        </is>
      </c>
      <c r="D3" t="inlineStr">
        <is>
          <t>nardy.patih10@gmail.com</t>
        </is>
      </c>
      <c r="E3" t="inlineStr">
        <is>
          <t>https://lpjk.pu.go.id/search-badan-usaha-detail/dkpvU3pQQ20wQ3g5SzNwWjZhVVVnQT09</t>
        </is>
      </c>
      <c r="F3" t="n">
        <v>4</v>
      </c>
      <c r="G3" t="inlineStr">
        <is>
          <t>BG005, BG006, BG007, BG009</t>
        </is>
      </c>
      <c r="H3" t="inlineStr">
        <is>
          <t>14 Juli 2023</t>
        </is>
      </c>
      <c r="I3" s="2" t="n">
        <v>46267</v>
      </c>
      <c r="J3" t="inlineStr">
        <is>
          <t>Disetujui</t>
        </is>
      </c>
      <c r="K3" t="n">
        <v>60</v>
      </c>
      <c r="L3" t="inlineStr">
        <is>
          <t>2 September 2026</t>
        </is>
      </c>
      <c r="M3" t="inlineStr">
        <is>
          <t>Konstruksi Gedung Kesehatan, Konstruksi Gedung Lainnya, Konstruksi Gedung Pendidikan, Konstruksi Gedung Penginapan</t>
        </is>
      </c>
      <c r="N3" t="inlineStr">
        <is>
          <t>K</t>
        </is>
      </c>
      <c r="O3" t="inlineStr">
        <is>
          <t>20230902</t>
        </is>
      </c>
      <c r="P3" t="inlineStr">
        <is>
          <t>Jawa Barat</t>
        </is>
      </c>
      <c r="Q3" s="3">
        <f>HYPERLINK("https://wa.me/6285771714750?text=*[PENGINGAT MASA BERLAKU SBU DOE BARA UTAMA]*%0A%0AYth. Pimpinan DOE BARA UTAMA,%0AMohon izin menginformasikan status SBU Anda di sistem LPJK:%0A%0A📄 SBU: BG005, BG006, BG007, BG009%0A📅 Expired: 2 September 2026 (60 Hari Lagi)%0A%0AKami tim PT. ESDEA Assistance Management siap men-support proses perpanjangan segera agar administrasi proyek tidak terhambat%0A%0AApakah boleh saya bantu siapkan estimasi biaya dan waktu pengerjaannya?.", "Hubungi")</f>
        <v/>
      </c>
    </row>
    <row r="4">
      <c r="A4" t="inlineStr">
        <is>
          <t>ADHIPRAMANA DIMITRA SURYA</t>
        </is>
      </c>
      <c r="B4" t="inlineStr">
        <is>
          <t>Kab. Kapuas Hulu</t>
        </is>
      </c>
      <c r="C4" t="inlineStr">
        <is>
          <t>082159873508</t>
        </is>
      </c>
      <c r="D4" t="inlineStr">
        <is>
          <t>Adhipramanadimitrasurya@gmail.com</t>
        </is>
      </c>
      <c r="E4" t="inlineStr">
        <is>
          <t>https://lpjk.pu.go.id/search-badan-usaha-detail/bkRBRFFjQWJHbUYwUmVXbitoN0RQdz09</t>
        </is>
      </c>
      <c r="F4" t="n">
        <v>1</v>
      </c>
      <c r="G4" t="inlineStr">
        <is>
          <t>BS002</t>
        </is>
      </c>
      <c r="H4" t="inlineStr">
        <is>
          <t>3 Juli 2020</t>
        </is>
      </c>
      <c r="I4" s="2" t="n">
        <v>46267</v>
      </c>
      <c r="J4" t="inlineStr">
        <is>
          <t>Disetujui</t>
        </is>
      </c>
      <c r="K4" t="n">
        <v>60</v>
      </c>
      <c r="L4" t="inlineStr">
        <is>
          <t>2 September 2026</t>
        </is>
      </c>
      <c r="M4" t="inlineStr">
        <is>
          <t>Bangunan Sipil Jembatan, Jalan Layang, Fly Over, dan Underpass</t>
        </is>
      </c>
      <c r="N4" t="inlineStr">
        <is>
          <t>K</t>
        </is>
      </c>
      <c r="O4" t="inlineStr">
        <is>
          <t>20230831</t>
        </is>
      </c>
      <c r="P4" t="inlineStr">
        <is>
          <t>Kalimantan Barat</t>
        </is>
      </c>
      <c r="Q4" t="inlineStr"/>
    </row>
    <row r="5">
      <c r="A5" t="inlineStr">
        <is>
          <t>ALIANSI BUMI SILAMPARI</t>
        </is>
      </c>
      <c r="B5" t="inlineStr">
        <is>
          <t>Kota Lubuk Linggau</t>
        </is>
      </c>
      <c r="C5" t="inlineStr">
        <is>
          <t>081271693399</t>
        </is>
      </c>
      <c r="D5" t="inlineStr">
        <is>
          <t>aliansibumisilampari34@yahoo.com</t>
        </is>
      </c>
      <c r="E5" t="inlineStr">
        <is>
          <t>https://lpjk.pu.go.id/search-badan-usaha-detail/aTNocldPMGZWZW9WbERVWTZqOGdHdz09</t>
        </is>
      </c>
      <c r="F5" t="n">
        <v>4</v>
      </c>
      <c r="G5" t="inlineStr">
        <is>
          <t>BG005, BG006, BS001, BS004</t>
        </is>
      </c>
      <c r="H5" t="inlineStr">
        <is>
          <t>24 Januari 2017</t>
        </is>
      </c>
      <c r="I5" s="2" t="n">
        <v>46267</v>
      </c>
      <c r="J5" t="inlineStr">
        <is>
          <t>Disetujui</t>
        </is>
      </c>
      <c r="K5" t="n">
        <v>60</v>
      </c>
      <c r="L5" t="inlineStr">
        <is>
          <t>2 September 2026</t>
        </is>
      </c>
      <c r="M5" t="inlineStr">
        <is>
          <t>Konstruksi Bangunan Sipil Jalan, Konstruksi Gedung Kesehatan, Konstruksi Gedung Pendidikan, Konstruksi Jaringan Irigasi dan Drainase</t>
        </is>
      </c>
      <c r="N5" t="inlineStr">
        <is>
          <t>K</t>
        </is>
      </c>
      <c r="O5" t="inlineStr">
        <is>
          <t>20230826, 20230830</t>
        </is>
      </c>
      <c r="P5" t="inlineStr">
        <is>
          <t>Sumatera Selatan</t>
        </is>
      </c>
      <c r="Q5" t="inlineStr"/>
    </row>
    <row r="6">
      <c r="A6" t="inlineStr">
        <is>
          <t>ANUGERAH BINTANG PERKASA</t>
        </is>
      </c>
      <c r="B6" t="inlineStr">
        <is>
          <t>Kab. Sidoarjo</t>
        </is>
      </c>
      <c r="C6" t="inlineStr">
        <is>
          <t>085856187262</t>
        </is>
      </c>
      <c r="D6" t="inlineStr">
        <is>
          <t>cv.anugerahbintangperkasa@gmail.com</t>
        </is>
      </c>
      <c r="E6" t="inlineStr">
        <is>
          <t>https://lpjk.pu.go.id/search-badan-usaha-detail/cDhkZ1JPWFF5ek9IU2grc05rYUdJUT09</t>
        </is>
      </c>
      <c r="F6" t="n">
        <v>1</v>
      </c>
      <c r="G6" t="inlineStr">
        <is>
          <t>BS001</t>
        </is>
      </c>
      <c r="H6" t="inlineStr">
        <is>
          <t>9 Februari 2017</t>
        </is>
      </c>
      <c r="I6" s="2" t="n">
        <v>46267</v>
      </c>
      <c r="J6" t="inlineStr">
        <is>
          <t>Disetujui</t>
        </is>
      </c>
      <c r="K6" t="n">
        <v>60</v>
      </c>
      <c r="L6" t="inlineStr">
        <is>
          <t>2 September 2026</t>
        </is>
      </c>
      <c r="M6" t="inlineStr">
        <is>
          <t>Konstruksi Bangunan Sipil Jalan</t>
        </is>
      </c>
      <c r="N6" t="inlineStr">
        <is>
          <t>K</t>
        </is>
      </c>
      <c r="O6" t="inlineStr">
        <is>
          <t>20230902</t>
        </is>
      </c>
      <c r="P6" t="inlineStr">
        <is>
          <t>Jawa Timur</t>
        </is>
      </c>
      <c r="Q6" t="inlineStr"/>
    </row>
    <row r="7">
      <c r="A7" t="inlineStr">
        <is>
          <t>ANUGRAH PAKUAN MANDIRI</t>
        </is>
      </c>
      <c r="B7" t="inlineStr">
        <is>
          <t>Kab. Cianjur</t>
        </is>
      </c>
      <c r="C7" t="inlineStr">
        <is>
          <t>087820201175</t>
        </is>
      </c>
      <c r="D7" t="inlineStr">
        <is>
          <t>anugrahpakuanmandiri@gmail.com</t>
        </is>
      </c>
      <c r="E7" t="inlineStr">
        <is>
          <t>https://lpjk.pu.go.id/search-badan-usaha-detail/dXJ4bUJJeWRPdGdEeVhzdENuZXJPdz09</t>
        </is>
      </c>
      <c r="F7" t="n">
        <v>2</v>
      </c>
      <c r="G7" t="inlineStr">
        <is>
          <t>BS001</t>
        </is>
      </c>
      <c r="H7" t="inlineStr">
        <is>
          <t>11 April 2019</t>
        </is>
      </c>
      <c r="I7" s="2" t="n">
        <v>46267</v>
      </c>
      <c r="J7" t="inlineStr">
        <is>
          <t>Disetujui</t>
        </is>
      </c>
      <c r="K7" t="n">
        <v>60</v>
      </c>
      <c r="L7" t="inlineStr">
        <is>
          <t>2 September 2026</t>
        </is>
      </c>
      <c r="M7" t="inlineStr">
        <is>
          <t>Konstruksi Bangunan Sipil Jalan</t>
        </is>
      </c>
      <c r="N7" t="inlineStr">
        <is>
          <t>K</t>
        </is>
      </c>
      <c r="O7" t="inlineStr">
        <is>
          <t>20230901</t>
        </is>
      </c>
      <c r="P7" t="inlineStr">
        <is>
          <t>Jawa Barat</t>
        </is>
      </c>
      <c r="Q7" t="inlineStr"/>
    </row>
    <row r="8">
      <c r="A8" t="inlineStr">
        <is>
          <t>BERKAH GAWI ABADI</t>
        </is>
      </c>
      <c r="B8" t="inlineStr">
        <is>
          <t>Kab. Barito Kuala</t>
        </is>
      </c>
      <c r="C8" t="inlineStr">
        <is>
          <t>081351357099</t>
        </is>
      </c>
      <c r="D8" t="inlineStr">
        <is>
          <t>abd.berkahgawi@yahoo.com</t>
        </is>
      </c>
      <c r="E8" t="inlineStr">
        <is>
          <t>https://lpjk.pu.go.id/search-badan-usaha-detail/WkNLNk5OaDVtK3dRb2dheGFnS0F3QT09</t>
        </is>
      </c>
      <c r="F8" t="n">
        <v>2</v>
      </c>
      <c r="G8" t="inlineStr">
        <is>
          <t>BS004</t>
        </is>
      </c>
      <c r="H8" t="inlineStr">
        <is>
          <t>1 September 2023</t>
        </is>
      </c>
      <c r="I8" s="2" t="n">
        <v>46267</v>
      </c>
      <c r="J8" t="inlineStr">
        <is>
          <t>Pencabutan</t>
        </is>
      </c>
      <c r="K8" t="n">
        <v>60</v>
      </c>
      <c r="L8" t="inlineStr">
        <is>
          <t>2 September 2026</t>
        </is>
      </c>
      <c r="M8" t="inlineStr">
        <is>
          <t>Konstruksi Jaringan Irigasi dan Drainase</t>
        </is>
      </c>
      <c r="N8" t="inlineStr">
        <is>
          <t>K</t>
        </is>
      </c>
      <c r="O8" t="inlineStr">
        <is>
          <t>20230902</t>
        </is>
      </c>
      <c r="P8" t="inlineStr">
        <is>
          <t>Kalimantan Selatan</t>
        </is>
      </c>
      <c r="Q8" t="inlineStr"/>
    </row>
    <row r="9">
      <c r="A9" t="inlineStr">
        <is>
          <t>BIMA CAHAYA SAKTI</t>
        </is>
      </c>
      <c r="B9" t="inlineStr">
        <is>
          <t>Kota Manado</t>
        </is>
      </c>
      <c r="C9" t="inlineStr">
        <is>
          <t>081295960009</t>
        </is>
      </c>
      <c r="D9" t="inlineStr">
        <is>
          <t>bimacahayasakti@gmail.com</t>
        </is>
      </c>
      <c r="E9" t="inlineStr">
        <is>
          <t>https://lpjk.pu.go.id/search-badan-usaha-detail/Qkp0d3AydDRramJMQTNOb1lMd1NUUT09</t>
        </is>
      </c>
      <c r="F9" t="n">
        <v>1</v>
      </c>
      <c r="G9" t="inlineStr">
        <is>
          <t>BG001</t>
        </is>
      </c>
      <c r="H9" t="inlineStr">
        <is>
          <t>17 Februari 2022</t>
        </is>
      </c>
      <c r="I9" s="2" t="n">
        <v>46267</v>
      </c>
      <c r="J9" t="inlineStr">
        <is>
          <t>Pencabutan</t>
        </is>
      </c>
      <c r="K9" t="n">
        <v>60</v>
      </c>
      <c r="L9" t="inlineStr">
        <is>
          <t>2 September 2026</t>
        </is>
      </c>
      <c r="M9" t="inlineStr">
        <is>
          <t>Konstruksi Gedung Hunian</t>
        </is>
      </c>
      <c r="N9" t="inlineStr">
        <is>
          <t>K</t>
        </is>
      </c>
      <c r="O9" t="inlineStr">
        <is>
          <t>20230831</t>
        </is>
      </c>
      <c r="P9" t="inlineStr">
        <is>
          <t>Sulawesi Utara</t>
        </is>
      </c>
      <c r="Q9" t="inlineStr"/>
    </row>
    <row r="10">
      <c r="A10" t="inlineStr">
        <is>
          <t>BINTANG MULIATAMA PROPERTINDO</t>
        </is>
      </c>
      <c r="B10" t="inlineStr">
        <is>
          <t>Kota Surakarta</t>
        </is>
      </c>
      <c r="C10" t="inlineStr">
        <is>
          <t>081215075588</t>
        </is>
      </c>
      <c r="D10" t="inlineStr">
        <is>
          <t>ptbintangmuliatamapropertindo@gmail.com</t>
        </is>
      </c>
      <c r="E10" t="inlineStr">
        <is>
          <t>https://lpjk.pu.go.id/search-badan-usaha-detail/cmJ6c1RNSUx4UFE0bDY1WHNPL2tlUT09</t>
        </is>
      </c>
      <c r="F10" t="n">
        <v>2</v>
      </c>
      <c r="G10" t="inlineStr">
        <is>
          <t>BG001</t>
        </is>
      </c>
      <c r="H10" t="inlineStr">
        <is>
          <t>29 Maret 2023</t>
        </is>
      </c>
      <c r="I10" s="2" t="n">
        <v>46267</v>
      </c>
      <c r="J10" t="inlineStr">
        <is>
          <t>Disetujui</t>
        </is>
      </c>
      <c r="K10" t="n">
        <v>60</v>
      </c>
      <c r="L10" t="inlineStr">
        <is>
          <t>2 September 2026</t>
        </is>
      </c>
      <c r="M10" t="inlineStr">
        <is>
          <t>Konstruksi Gedung Hunian</t>
        </is>
      </c>
      <c r="N10" t="inlineStr">
        <is>
          <t>K</t>
        </is>
      </c>
      <c r="O10" t="inlineStr">
        <is>
          <t>20230902</t>
        </is>
      </c>
      <c r="P10" t="inlineStr">
        <is>
          <t>Jawa Tengah</t>
        </is>
      </c>
      <c r="Q10" t="inlineStr"/>
    </row>
    <row r="11">
      <c r="A11" t="inlineStr">
        <is>
          <t>CAHAYA INDAH</t>
        </is>
      </c>
      <c r="B11" t="inlineStr">
        <is>
          <t>Kota Bitung</t>
        </is>
      </c>
      <c r="C11" t="inlineStr">
        <is>
          <t>085399900048</t>
        </is>
      </c>
      <c r="D11" t="inlineStr">
        <is>
          <t>poppietangkilisan@gmail.com</t>
        </is>
      </c>
      <c r="E11" t="inlineStr">
        <is>
          <t>https://lpjk.pu.go.id/search-badan-usaha-detail/WkdLazAzbHN4dE5ZUFNQOW5KdTZ2UT09</t>
        </is>
      </c>
      <c r="F11" t="n">
        <v>1</v>
      </c>
      <c r="G11" t="inlineStr">
        <is>
          <t>BG006</t>
        </is>
      </c>
      <c r="H11" t="inlineStr">
        <is>
          <t>8 Juli 2023</t>
        </is>
      </c>
      <c r="I11" s="2" t="n">
        <v>46267</v>
      </c>
      <c r="J11" t="inlineStr">
        <is>
          <t>Disetujui</t>
        </is>
      </c>
      <c r="K11" t="n">
        <v>60</v>
      </c>
      <c r="L11" t="inlineStr">
        <is>
          <t>2 September 2026</t>
        </is>
      </c>
      <c r="M11" t="inlineStr">
        <is>
          <t>Konstruksi Gedung Pendidikan</t>
        </is>
      </c>
      <c r="N11" t="inlineStr">
        <is>
          <t>K</t>
        </is>
      </c>
      <c r="O11" t="inlineStr">
        <is>
          <t>20230831</t>
        </is>
      </c>
      <c r="P11" t="inlineStr">
        <is>
          <t>Sulawesi Utara</t>
        </is>
      </c>
      <c r="Q11" t="inlineStr"/>
    </row>
    <row r="12">
      <c r="A12" t="inlineStr">
        <is>
          <t>CAHAYA PRATAMA</t>
        </is>
      </c>
      <c r="B12" t="inlineStr">
        <is>
          <t>Kota Ambon</t>
        </is>
      </c>
      <c r="C12" t="inlineStr">
        <is>
          <t>085326601104</t>
        </is>
      </c>
      <c r="D12" t="inlineStr">
        <is>
          <t>cahayapratama.oss@gmail.com</t>
        </is>
      </c>
      <c r="E12" t="inlineStr">
        <is>
          <t>https://lpjk.pu.go.id/search-badan-usaha-detail/Ri9rVDBRcGp3dlpDRDc1aTltZTcxdz09</t>
        </is>
      </c>
      <c r="F12" t="n">
        <v>1</v>
      </c>
      <c r="G12" t="inlineStr">
        <is>
          <t>BS010</t>
        </is>
      </c>
      <c r="H12" t="inlineStr">
        <is>
          <t>12 Desember 2008</t>
        </is>
      </c>
      <c r="I12" s="2" t="n">
        <v>46267</v>
      </c>
      <c r="J12" t="inlineStr">
        <is>
          <t>Disetujui</t>
        </is>
      </c>
      <c r="K12" t="n">
        <v>60</v>
      </c>
      <c r="L12" t="inlineStr">
        <is>
          <t>2 September 2026</t>
        </is>
      </c>
      <c r="M12" t="inlineStr">
        <is>
          <t>Konstruksi Bangunan Prasarana Sumber Daya Air</t>
        </is>
      </c>
      <c r="N12" t="inlineStr">
        <is>
          <t>K</t>
        </is>
      </c>
      <c r="O12" t="inlineStr">
        <is>
          <t>20230621</t>
        </is>
      </c>
      <c r="P12" t="inlineStr">
        <is>
          <t>Maluku</t>
        </is>
      </c>
      <c r="Q12" t="inlineStr"/>
    </row>
    <row r="13">
      <c r="A13" t="inlineStr">
        <is>
          <t>DAFFA JAYA MANDIRI</t>
        </is>
      </c>
      <c r="B13" t="inlineStr">
        <is>
          <t>Kota Singkawang</t>
        </is>
      </c>
      <c r="C13" t="inlineStr">
        <is>
          <t>085245900091</t>
        </is>
      </c>
      <c r="D13" t="inlineStr">
        <is>
          <t>daffajayamandiri16@gmail.com</t>
        </is>
      </c>
      <c r="E13" t="inlineStr">
        <is>
          <t>https://lpjk.pu.go.id/search-badan-usaha-detail/dk5ZdkpxMVpJbE5NRkZKU0hkZXh2Zz09</t>
        </is>
      </c>
      <c r="F13" t="n">
        <v>2</v>
      </c>
      <c r="G13" t="inlineStr">
        <is>
          <t>BG002</t>
        </is>
      </c>
      <c r="H13" t="inlineStr">
        <is>
          <t>28 Januari 2016</t>
        </is>
      </c>
      <c r="I13" s="2" t="n">
        <v>46267</v>
      </c>
      <c r="J13" t="inlineStr">
        <is>
          <t>Disetujui</t>
        </is>
      </c>
      <c r="K13" t="n">
        <v>60</v>
      </c>
      <c r="L13" t="inlineStr">
        <is>
          <t>2 September 2026</t>
        </is>
      </c>
      <c r="M13" t="inlineStr">
        <is>
          <t>Konstruksi Gedung Perkantoran</t>
        </is>
      </c>
      <c r="N13" t="inlineStr">
        <is>
          <t>K</t>
        </is>
      </c>
      <c r="O13" t="inlineStr">
        <is>
          <t>20230902</t>
        </is>
      </c>
      <c r="P13" t="inlineStr">
        <is>
          <t>Kalimantan Barat</t>
        </is>
      </c>
      <c r="Q13" t="inlineStr"/>
    </row>
    <row r="14">
      <c r="A14" t="inlineStr">
        <is>
          <t>DUTA PUTRA MAS</t>
        </is>
      </c>
      <c r="B14" t="inlineStr">
        <is>
          <t>Kab. Ogan Komering Ulu</t>
        </is>
      </c>
      <c r="C14" t="inlineStr">
        <is>
          <t>085380057585</t>
        </is>
      </c>
      <c r="D14" t="inlineStr">
        <is>
          <t>masdutaputra@gmail.com</t>
        </is>
      </c>
      <c r="E14" t="inlineStr">
        <is>
          <t>https://lpjk.pu.go.id/search-badan-usaha-detail/OHpBaFQvQTZyeUptb2d6bGIwMjhkdz09</t>
        </is>
      </c>
      <c r="F14" t="n">
        <v>1</v>
      </c>
      <c r="G14" t="inlineStr">
        <is>
          <t>BS016</t>
        </is>
      </c>
      <c r="H14" t="inlineStr">
        <is>
          <t>14 Februari 2002</t>
        </is>
      </c>
      <c r="I14" s="2" t="n">
        <v>46267</v>
      </c>
      <c r="J14" t="inlineStr">
        <is>
          <t>Disetujui</t>
        </is>
      </c>
      <c r="K14" t="n">
        <v>60</v>
      </c>
      <c r="L14" t="inlineStr">
        <is>
          <t>2 September 2026</t>
        </is>
      </c>
      <c r="M14" t="inlineStr">
        <is>
          <t>Konstruksi Bangunan Sipil Fasilitas Olah Raga</t>
        </is>
      </c>
      <c r="N14" t="inlineStr">
        <is>
          <t>K</t>
        </is>
      </c>
      <c r="O14" t="inlineStr">
        <is>
          <t>20230831</t>
        </is>
      </c>
      <c r="P14" t="inlineStr">
        <is>
          <t>Sumatera Selatan</t>
        </is>
      </c>
      <c r="Q14" t="inlineStr"/>
    </row>
    <row r="15">
      <c r="A15" t="inlineStr">
        <is>
          <t>FAUZAN ZEE ROKS</t>
        </is>
      </c>
      <c r="B15" t="inlineStr">
        <is>
          <t>Kab. Sijunjung</t>
        </is>
      </c>
      <c r="C15" t="inlineStr">
        <is>
          <t>082387428619</t>
        </is>
      </c>
      <c r="D15" t="inlineStr">
        <is>
          <t>avraamazis@gmail.com</t>
        </is>
      </c>
      <c r="E15" t="inlineStr">
        <is>
          <t>https://lpjk.pu.go.id/search-badan-usaha-detail/RVdIWGJrTXlqNXRNMlRmME5OTTJzdz09</t>
        </is>
      </c>
      <c r="F15" t="n">
        <v>2</v>
      </c>
      <c r="G15" t="inlineStr">
        <is>
          <t>BS001</t>
        </is>
      </c>
      <c r="H15" t="inlineStr">
        <is>
          <t>31 Januari 2025</t>
        </is>
      </c>
      <c r="I15" s="2" t="n">
        <v>46267</v>
      </c>
      <c r="J15" t="inlineStr">
        <is>
          <t>Disetujui</t>
        </is>
      </c>
      <c r="K15" t="n">
        <v>60</v>
      </c>
      <c r="L15" t="inlineStr">
        <is>
          <t>2 September 2026</t>
        </is>
      </c>
      <c r="M15" t="inlineStr">
        <is>
          <t>Konstruksi Bangunan Sipil Jalan</t>
        </is>
      </c>
      <c r="N15" t="inlineStr">
        <is>
          <t>K</t>
        </is>
      </c>
      <c r="O15" t="inlineStr">
        <is>
          <t>20230825</t>
        </is>
      </c>
      <c r="P15" t="inlineStr">
        <is>
          <t>Sumatera Barat</t>
        </is>
      </c>
      <c r="Q15" t="inlineStr"/>
    </row>
    <row r="16">
      <c r="A16" t="inlineStr">
        <is>
          <t>IDE KONSTRUKSI</t>
        </is>
      </c>
      <c r="B16" t="inlineStr">
        <is>
          <t>Kab. Malang</t>
        </is>
      </c>
      <c r="C16" t="inlineStr">
        <is>
          <t>087847077264</t>
        </is>
      </c>
      <c r="D16" t="inlineStr">
        <is>
          <t>cv.idekonstruksi23@gmail.com</t>
        </is>
      </c>
      <c r="E16" t="inlineStr">
        <is>
          <t>https://lpjk.pu.go.id/search-badan-usaha-detail/Yk1hbUE0WkYrRkVxZ1g2cWlCdWdzUT09</t>
        </is>
      </c>
      <c r="F16" t="n">
        <v>1</v>
      </c>
      <c r="G16" t="inlineStr">
        <is>
          <t>BS001</t>
        </is>
      </c>
      <c r="H16" t="inlineStr">
        <is>
          <t>16 Agustus 2023</t>
        </is>
      </c>
      <c r="I16" s="2" t="n">
        <v>46267</v>
      </c>
      <c r="J16" t="inlineStr">
        <is>
          <t>Disetujui</t>
        </is>
      </c>
      <c r="K16" t="n">
        <v>60</v>
      </c>
      <c r="L16" t="inlineStr">
        <is>
          <t>2 September 2026</t>
        </is>
      </c>
      <c r="M16" t="inlineStr">
        <is>
          <t>Konstruksi Bangunan Sipil Jalan</t>
        </is>
      </c>
      <c r="N16" t="inlineStr">
        <is>
          <t>K</t>
        </is>
      </c>
      <c r="O16" t="inlineStr">
        <is>
          <t>20230901</t>
        </is>
      </c>
      <c r="P16" t="inlineStr">
        <is>
          <t>Jawa Timur</t>
        </is>
      </c>
      <c r="Q16" t="inlineStr"/>
    </row>
    <row r="17">
      <c r="A17" t="inlineStr">
        <is>
          <t>INDOBANGUN MEGATAMA</t>
        </is>
      </c>
      <c r="B17" t="inlineStr">
        <is>
          <t>Kota Padang</t>
        </is>
      </c>
      <c r="C17" t="inlineStr">
        <is>
          <t>082362246467</t>
        </is>
      </c>
      <c r="D17" t="inlineStr">
        <is>
          <t>indobangunmegatama46@gmail.com</t>
        </is>
      </c>
      <c r="E17" t="inlineStr">
        <is>
          <t>https://lpjk.pu.go.id/search-badan-usaha-detail/U0N5a0FqTW0vMlpsTlRQem5kOCtJUT09</t>
        </is>
      </c>
      <c r="F17" t="n">
        <v>1</v>
      </c>
      <c r="G17" t="inlineStr">
        <is>
          <t>BS006</t>
        </is>
      </c>
      <c r="H17" t="inlineStr">
        <is>
          <t>28 Juli 1993</t>
        </is>
      </c>
      <c r="I17" s="2" t="n">
        <v>46267</v>
      </c>
      <c r="J17" t="inlineStr">
        <is>
          <t>Disetujui</t>
        </is>
      </c>
      <c r="K17" t="n">
        <v>60</v>
      </c>
      <c r="L17" t="inlineStr">
        <is>
          <t>2 September 2026</t>
        </is>
      </c>
      <c r="M17" t="inlineStr">
        <is>
          <t>Konstruksi Bangunan Sipil Prasarana dan Sarana Sistem Pengolahan Limbah Padat, Cair, dan Gas</t>
        </is>
      </c>
      <c r="N17" t="inlineStr">
        <is>
          <t>B</t>
        </is>
      </c>
      <c r="O17" t="inlineStr">
        <is>
          <t>20230728</t>
        </is>
      </c>
      <c r="P17" t="inlineStr">
        <is>
          <t>Sumatera Barat</t>
        </is>
      </c>
      <c r="Q17" t="inlineStr"/>
    </row>
    <row r="18">
      <c r="A18" t="inlineStr">
        <is>
          <t>KARYA SEJAHTERA MAKMUR MANDIRI</t>
        </is>
      </c>
      <c r="B18" t="inlineStr">
        <is>
          <t>Kab. Bengkalis</t>
        </is>
      </c>
      <c r="C18" t="inlineStr">
        <is>
          <t>08127507886</t>
        </is>
      </c>
      <c r="D18" t="inlineStr">
        <is>
          <t>karya.sejahtera.makmur.mandiri@gmail.com</t>
        </is>
      </c>
      <c r="E18" t="inlineStr">
        <is>
          <t>https://lpjk.pu.go.id/search-badan-usaha-detail/R3JHQ3ZMRVFOMnVleWZtNHl6dndMUT09</t>
        </is>
      </c>
      <c r="F18" t="n">
        <v>1</v>
      </c>
      <c r="G18" t="inlineStr">
        <is>
          <t>BG009</t>
        </is>
      </c>
      <c r="H18" t="inlineStr">
        <is>
          <t>16 Oktober 2013</t>
        </is>
      </c>
      <c r="I18" s="2" t="n">
        <v>46267</v>
      </c>
      <c r="J18" t="inlineStr">
        <is>
          <t>Disetujui</t>
        </is>
      </c>
      <c r="K18" t="n">
        <v>60</v>
      </c>
      <c r="L18" t="inlineStr">
        <is>
          <t>2 September 2026</t>
        </is>
      </c>
      <c r="M18" t="inlineStr">
        <is>
          <t>Konstruksi Gedung Lainnya</t>
        </is>
      </c>
      <c r="N18" t="inlineStr">
        <is>
          <t>K</t>
        </is>
      </c>
      <c r="O18" t="inlineStr">
        <is>
          <t>20230902</t>
        </is>
      </c>
      <c r="P18" t="inlineStr">
        <is>
          <t>Riau</t>
        </is>
      </c>
      <c r="Q18" t="inlineStr"/>
    </row>
    <row r="19">
      <c r="A19" t="inlineStr">
        <is>
          <t>MATTASINDO</t>
        </is>
      </c>
      <c r="B19" t="inlineStr">
        <is>
          <t>Kota Makassar</t>
        </is>
      </c>
      <c r="C19" t="inlineStr">
        <is>
          <t>08114206969</t>
        </is>
      </c>
      <c r="D19" t="inlineStr">
        <is>
          <t>mattasindojaya777@gmail.com</t>
        </is>
      </c>
      <c r="E19" t="inlineStr">
        <is>
          <t>https://lpjk.pu.go.id/search-badan-usaha-detail/NnVqSlJvY0w3dUVBZTlxZTdtTjQzdz09</t>
        </is>
      </c>
      <c r="F19" t="n">
        <v>1</v>
      </c>
      <c r="G19" t="inlineStr">
        <is>
          <t>BS016</t>
        </is>
      </c>
      <c r="H19" t="inlineStr">
        <is>
          <t>11 Februari 2020</t>
        </is>
      </c>
      <c r="I19" s="2" t="n">
        <v>46267</v>
      </c>
      <c r="J19" t="inlineStr">
        <is>
          <t>Disetujui</t>
        </is>
      </c>
      <c r="K19" t="n">
        <v>60</v>
      </c>
      <c r="L19" t="inlineStr">
        <is>
          <t>2 September 2026</t>
        </is>
      </c>
      <c r="M19" t="inlineStr">
        <is>
          <t>Konstruksi Bangunan Sipil Fasilitas Olah Raga</t>
        </is>
      </c>
      <c r="N19" t="inlineStr">
        <is>
          <t>K</t>
        </is>
      </c>
      <c r="O19" t="inlineStr">
        <is>
          <t>20230902</t>
        </is>
      </c>
      <c r="P19" t="inlineStr">
        <is>
          <t>Sulawesi Selatan</t>
        </is>
      </c>
      <c r="Q19" t="inlineStr"/>
    </row>
    <row r="20">
      <c r="A20" t="inlineStr">
        <is>
          <t>MEDIA SURYA FELIXINDO</t>
        </is>
      </c>
      <c r="B20" t="inlineStr">
        <is>
          <t>Kab. Asahan</t>
        </is>
      </c>
      <c r="C20" t="inlineStr">
        <is>
          <t>081375115652</t>
        </is>
      </c>
      <c r="D20" t="inlineStr">
        <is>
          <t>pt.msf20@gmail.com</t>
        </is>
      </c>
      <c r="E20" t="inlineStr">
        <is>
          <t>https://lpjk.pu.go.id/search-badan-usaha-detail/Y212VGtTMWVzdTVPNlBUYXRLZ3Urdz09</t>
        </is>
      </c>
      <c r="F20" t="n">
        <v>2</v>
      </c>
      <c r="G20" t="inlineStr">
        <is>
          <t>BG005, BG006</t>
        </is>
      </c>
      <c r="H20" t="inlineStr">
        <is>
          <t>30 Maret 2020</t>
        </is>
      </c>
      <c r="I20" s="2" t="n">
        <v>46267</v>
      </c>
      <c r="J20" t="inlineStr">
        <is>
          <t>Disetujui</t>
        </is>
      </c>
      <c r="K20" t="n">
        <v>60</v>
      </c>
      <c r="L20" t="inlineStr">
        <is>
          <t>2 September 2026</t>
        </is>
      </c>
      <c r="M20" t="inlineStr">
        <is>
          <t>Konstruksi Gedung Kesehatan, Konstruksi Gedung Pendidikan</t>
        </is>
      </c>
      <c r="N20" t="inlineStr">
        <is>
          <t>K</t>
        </is>
      </c>
      <c r="O20" t="inlineStr">
        <is>
          <t>20230902</t>
        </is>
      </c>
      <c r="P20" t="inlineStr">
        <is>
          <t>Sumatera Utara</t>
        </is>
      </c>
      <c r="Q20" t="inlineStr"/>
    </row>
    <row r="21">
      <c r="A21" t="inlineStr">
        <is>
          <t>MEKAR ABADI SUKSES</t>
        </is>
      </c>
      <c r="B21" t="inlineStr">
        <is>
          <t>Kota Tanjung Pinang</t>
        </is>
      </c>
      <c r="C21" t="inlineStr">
        <is>
          <t>082284192733</t>
        </is>
      </c>
      <c r="D21" t="inlineStr">
        <is>
          <t>ptmastpi@yahoo.com</t>
        </is>
      </c>
      <c r="E21" t="inlineStr">
        <is>
          <t>https://lpjk.pu.go.id/search-badan-usaha-detail/VDBjc0xmdEdYZW1hbkxCT244ejJCdz09</t>
        </is>
      </c>
      <c r="F21" t="n">
        <v>2</v>
      </c>
      <c r="G21" t="inlineStr">
        <is>
          <t>BS002</t>
        </is>
      </c>
      <c r="H21" t="inlineStr">
        <is>
          <t>30 Mei 2013</t>
        </is>
      </c>
      <c r="I21" s="2" t="n">
        <v>46267</v>
      </c>
      <c r="J21" t="inlineStr">
        <is>
          <t>Pencabutan</t>
        </is>
      </c>
      <c r="K21" t="n">
        <v>60</v>
      </c>
      <c r="L21" t="inlineStr">
        <is>
          <t>2 September 2026</t>
        </is>
      </c>
      <c r="M21" t="inlineStr">
        <is>
          <t>Bangunan Sipil Jembatan, Jalan Layang, Fly Over, dan Underpass</t>
        </is>
      </c>
      <c r="N21" t="inlineStr">
        <is>
          <t>M</t>
        </is>
      </c>
      <c r="O21" t="inlineStr">
        <is>
          <t>20230828</t>
        </is>
      </c>
      <c r="P21" t="inlineStr">
        <is>
          <t>Kepulauan Riau</t>
        </is>
      </c>
      <c r="Q21" t="inlineStr"/>
    </row>
    <row r="22">
      <c r="A22" t="inlineStr">
        <is>
          <t>MUTIARA KARYA FAMILY</t>
        </is>
      </c>
      <c r="B22" t="inlineStr">
        <is>
          <t>Kab. Maluku Tengah</t>
        </is>
      </c>
      <c r="C22" t="inlineStr">
        <is>
          <t>85236145324</t>
        </is>
      </c>
      <c r="D22" t="inlineStr">
        <is>
          <t>mutiaraalyacv@gmail.com</t>
        </is>
      </c>
      <c r="E22" t="inlineStr">
        <is>
          <t>https://lpjk.pu.go.id/search-badan-usaha-detail/Y1lWVTRUZVNPYWRoblhsUXJxVklzUT09</t>
        </is>
      </c>
      <c r="F22" t="n">
        <v>4</v>
      </c>
      <c r="G22" t="inlineStr">
        <is>
          <t>BS005, BS010</t>
        </is>
      </c>
      <c r="H22" t="inlineStr">
        <is>
          <t>21 Agustus 2023</t>
        </is>
      </c>
      <c r="I22" s="2" t="n">
        <v>46267</v>
      </c>
      <c r="J22" t="inlineStr">
        <is>
          <t>Disetujui</t>
        </is>
      </c>
      <c r="K22" t="n">
        <v>60</v>
      </c>
      <c r="L22" t="inlineStr">
        <is>
          <t>2 September 2026</t>
        </is>
      </c>
      <c r="M22" t="inlineStr">
        <is>
          <t>Konstruksi Bangunan Prasarana Sumber Daya Air, Konstruksi Bangunan Sipil Pengolahan Air Bersih</t>
        </is>
      </c>
      <c r="N22" t="inlineStr">
        <is>
          <t>K</t>
        </is>
      </c>
      <c r="O22" t="inlineStr">
        <is>
          <t>20230901, 20230902</t>
        </is>
      </c>
      <c r="P22" t="inlineStr">
        <is>
          <t>Maluku</t>
        </is>
      </c>
      <c r="Q22" t="inlineStr"/>
    </row>
    <row r="23">
      <c r="A23" t="inlineStr">
        <is>
          <t>PANCASAKTI GEMILANG</t>
        </is>
      </c>
      <c r="B23" t="inlineStr">
        <is>
          <t>Kab. Kendal</t>
        </is>
      </c>
      <c r="C23" t="inlineStr">
        <is>
          <t>085328835602</t>
        </is>
      </c>
      <c r="D23" t="inlineStr">
        <is>
          <t>CVPANCASAKTIGEMILANG@GMAIL.COM</t>
        </is>
      </c>
      <c r="E23" t="inlineStr">
        <is>
          <t>https://lpjk.pu.go.id/search-badan-usaha-detail/V2haNHJaY3dkTlF4SkYvK2xIcFc5UT09</t>
        </is>
      </c>
      <c r="F23" t="n">
        <v>1</v>
      </c>
      <c r="G23" t="inlineStr">
        <is>
          <t>BS002</t>
        </is>
      </c>
      <c r="H23" t="inlineStr">
        <is>
          <t>8 April 2023</t>
        </is>
      </c>
      <c r="I23" s="2" t="n">
        <v>46267</v>
      </c>
      <c r="J23" t="inlineStr">
        <is>
          <t>Disetujui</t>
        </is>
      </c>
      <c r="K23" t="n">
        <v>60</v>
      </c>
      <c r="L23" t="inlineStr">
        <is>
          <t>2 September 2026</t>
        </is>
      </c>
      <c r="M23" t="inlineStr">
        <is>
          <t>Bangunan Sipil Jembatan, Jalan Layang, Fly Over, dan Underpass</t>
        </is>
      </c>
      <c r="N23" t="inlineStr">
        <is>
          <t>K</t>
        </is>
      </c>
      <c r="O23" t="inlineStr">
        <is>
          <t>20230902</t>
        </is>
      </c>
      <c r="P23" t="inlineStr">
        <is>
          <t>Jawa Tengah</t>
        </is>
      </c>
      <c r="Q23" t="inlineStr"/>
    </row>
    <row r="24">
      <c r="A24" t="inlineStr">
        <is>
          <t>PANEN AGRO PRATAMA</t>
        </is>
      </c>
      <c r="B24" t="inlineStr">
        <is>
          <t>Kab. Solok Selatan</t>
        </is>
      </c>
      <c r="C24" t="inlineStr">
        <is>
          <t>08128664143</t>
        </is>
      </c>
      <c r="D24" t="inlineStr">
        <is>
          <t>panenagropratama@gmail.com</t>
        </is>
      </c>
      <c r="E24" t="inlineStr">
        <is>
          <t>https://lpjk.pu.go.id/search-badan-usaha-detail/YWtFMWRDUEZ0MjF6UGZFT1RWVnpQdz09</t>
        </is>
      </c>
      <c r="F24" t="n">
        <v>1</v>
      </c>
      <c r="G24" t="inlineStr">
        <is>
          <t>BS010</t>
        </is>
      </c>
      <c r="H24" t="inlineStr">
        <is>
          <t>14 Maret 2018</t>
        </is>
      </c>
      <c r="I24" s="2" t="n">
        <v>46267</v>
      </c>
      <c r="J24" t="inlineStr">
        <is>
          <t>Disetujui</t>
        </is>
      </c>
      <c r="K24" t="n">
        <v>60</v>
      </c>
      <c r="L24" t="inlineStr">
        <is>
          <t>2 September 2026</t>
        </is>
      </c>
      <c r="M24" t="inlineStr">
        <is>
          <t>Konstruksi Bangunan Prasarana Sumber Daya Air</t>
        </is>
      </c>
      <c r="N24" t="inlineStr">
        <is>
          <t>K</t>
        </is>
      </c>
      <c r="O24" t="inlineStr">
        <is>
          <t>20230902</t>
        </is>
      </c>
      <c r="P24" t="inlineStr">
        <is>
          <t>Sumatera Barat</t>
        </is>
      </c>
      <c r="Q24" t="inlineStr"/>
    </row>
    <row r="25">
      <c r="A25" t="inlineStr">
        <is>
          <t>PUJI AGUNG</t>
        </is>
      </c>
      <c r="B25" t="inlineStr">
        <is>
          <t>Kab. Bojonegoro</t>
        </is>
      </c>
      <c r="C25" t="inlineStr">
        <is>
          <t>085232132882</t>
        </is>
      </c>
      <c r="D25" t="inlineStr">
        <is>
          <t>cvpujiagung11@gmail.com</t>
        </is>
      </c>
      <c r="E25" t="inlineStr">
        <is>
          <t>https://lpjk.pu.go.id/search-badan-usaha-detail/VDM3OTIyOEVUdHp3QlpEMzU5NzB2dz09</t>
        </is>
      </c>
      <c r="F25" t="n">
        <v>1</v>
      </c>
      <c r="G25" t="inlineStr">
        <is>
          <t>BS001</t>
        </is>
      </c>
      <c r="H25" t="inlineStr">
        <is>
          <t>20 Juni 2016</t>
        </is>
      </c>
      <c r="I25" s="2" t="n">
        <v>46267</v>
      </c>
      <c r="J25" t="inlineStr">
        <is>
          <t>Disetujui</t>
        </is>
      </c>
      <c r="K25" t="n">
        <v>60</v>
      </c>
      <c r="L25" t="inlineStr">
        <is>
          <t>2 September 2026</t>
        </is>
      </c>
      <c r="M25" t="inlineStr">
        <is>
          <t>Konstruksi Bangunan Sipil Jalan</t>
        </is>
      </c>
      <c r="N25" t="inlineStr">
        <is>
          <t>K</t>
        </is>
      </c>
      <c r="O25" t="inlineStr">
        <is>
          <t>20230901</t>
        </is>
      </c>
      <c r="P25" t="inlineStr">
        <is>
          <t>Jawa Timur</t>
        </is>
      </c>
      <c r="Q25" t="inlineStr"/>
    </row>
    <row r="26">
      <c r="A26" t="inlineStr">
        <is>
          <t>PUTRA SAYUTI PROPERTINDO</t>
        </is>
      </c>
      <c r="B26" t="inlineStr">
        <is>
          <t>Kab. Sarolangun</t>
        </is>
      </c>
      <c r="C26" t="inlineStr">
        <is>
          <t>085220956000</t>
        </is>
      </c>
      <c r="D26" t="inlineStr">
        <is>
          <t>sayutipropertindo@gmail.com</t>
        </is>
      </c>
      <c r="E26" t="inlineStr">
        <is>
          <t>https://lpjk.pu.go.id/search-badan-usaha-detail/eXRMOUZvTytCUWtHdFJtdlR5TTNuQT09</t>
        </is>
      </c>
      <c r="F26" t="n">
        <v>1</v>
      </c>
      <c r="G26" t="inlineStr">
        <is>
          <t>BS001</t>
        </is>
      </c>
      <c r="H26" t="inlineStr">
        <is>
          <t>3 Mei 2018</t>
        </is>
      </c>
      <c r="I26" s="2" t="n">
        <v>46267</v>
      </c>
      <c r="J26" t="inlineStr">
        <is>
          <t>Disetujui</t>
        </is>
      </c>
      <c r="K26" t="n">
        <v>60</v>
      </c>
      <c r="L26" t="inlineStr">
        <is>
          <t>2 September 2026</t>
        </is>
      </c>
      <c r="M26" t="inlineStr">
        <is>
          <t>Konstruksi Bangunan Sipil Jalan</t>
        </is>
      </c>
      <c r="N26" t="inlineStr">
        <is>
          <t>K</t>
        </is>
      </c>
      <c r="O26" t="inlineStr">
        <is>
          <t>20230901</t>
        </is>
      </c>
      <c r="P26" t="inlineStr">
        <is>
          <t>Jambi</t>
        </is>
      </c>
      <c r="Q26" t="inlineStr"/>
    </row>
    <row r="27">
      <c r="A27" t="inlineStr">
        <is>
          <t>PUTRI KEDIRI</t>
        </is>
      </c>
      <c r="B27" t="inlineStr">
        <is>
          <t>Kab. Berau</t>
        </is>
      </c>
      <c r="C27" t="inlineStr">
        <is>
          <t>085327377789</t>
        </is>
      </c>
      <c r="D27" t="inlineStr">
        <is>
          <t>cvputrikediri@gmail.com</t>
        </is>
      </c>
      <c r="E27" t="inlineStr">
        <is>
          <t>https://lpjk.pu.go.id/search-badan-usaha-detail/bXk2MWpsNHJXeVNPVThxaU1PdW5PQT09</t>
        </is>
      </c>
      <c r="F27" t="n">
        <v>2</v>
      </c>
      <c r="G27" t="inlineStr">
        <is>
          <t>BS001, BS004</t>
        </is>
      </c>
      <c r="H27" t="inlineStr">
        <is>
          <t>26 Oktober 2016</t>
        </is>
      </c>
      <c r="I27" s="2" t="n">
        <v>46267</v>
      </c>
      <c r="J27" t="inlineStr">
        <is>
          <t>Disetujui</t>
        </is>
      </c>
      <c r="K27" t="n">
        <v>60</v>
      </c>
      <c r="L27" t="inlineStr">
        <is>
          <t>2 September 2026</t>
        </is>
      </c>
      <c r="M27" t="inlineStr">
        <is>
          <t>Konstruksi Bangunan Sipil Jalan, Konstruksi Jaringan Irigasi dan Drainase</t>
        </is>
      </c>
      <c r="N27" t="inlineStr">
        <is>
          <t>K</t>
        </is>
      </c>
      <c r="O27" t="inlineStr">
        <is>
          <t>20230902</t>
        </is>
      </c>
      <c r="P27" t="inlineStr">
        <is>
          <t>Kalimantan Timur</t>
        </is>
      </c>
      <c r="Q27" t="inlineStr"/>
    </row>
    <row r="28">
      <c r="A28" t="inlineStr">
        <is>
          <t>RADEN GALUH</t>
        </is>
      </c>
      <c r="B28" t="inlineStr">
        <is>
          <t>Kota Bandar Lampung</t>
        </is>
      </c>
      <c r="C28" t="inlineStr">
        <is>
          <t>-</t>
        </is>
      </c>
      <c r="D28" t="inlineStr">
        <is>
          <t>-</t>
        </is>
      </c>
      <c r="E28" t="inlineStr">
        <is>
          <t>https://lpjk.pu.go.id/search-badan-usaha-detail/MXBJSG1VemNzQndCRTFsWVJyQklodz09</t>
        </is>
      </c>
      <c r="F28" t="n">
        <v>2</v>
      </c>
      <c r="G28" t="inlineStr">
        <is>
          <t>BS001, BS010</t>
        </is>
      </c>
      <c r="H28" t="inlineStr">
        <is>
          <t>27 Desember 2013</t>
        </is>
      </c>
      <c r="I28" s="2" t="n">
        <v>46267</v>
      </c>
      <c r="J28" t="inlineStr">
        <is>
          <t>Disetujui</t>
        </is>
      </c>
      <c r="K28" t="n">
        <v>60</v>
      </c>
      <c r="L28" t="inlineStr">
        <is>
          <t>2 September 2026</t>
        </is>
      </c>
      <c r="M28" t="inlineStr">
        <is>
          <t>Konstruksi Bangunan Prasarana Sumber Daya Air, Konstruksi Bangunan Sipil Jalan</t>
        </is>
      </c>
      <c r="N28" t="inlineStr">
        <is>
          <t>K</t>
        </is>
      </c>
      <c r="O28" t="inlineStr">
        <is>
          <t>20230902</t>
        </is>
      </c>
      <c r="P28" t="inlineStr">
        <is>
          <t>Lampung</t>
        </is>
      </c>
      <c r="Q28" t="inlineStr"/>
    </row>
    <row r="29">
      <c r="A29" t="inlineStr">
        <is>
          <t>RAGITA PRAKASA ISTIMEWA</t>
        </is>
      </c>
      <c r="B29" t="inlineStr">
        <is>
          <t>Kab. Purwakarta</t>
        </is>
      </c>
      <c r="C29" t="inlineStr">
        <is>
          <t>0817204980</t>
        </is>
      </c>
      <c r="D29" t="inlineStr">
        <is>
          <t>ragitaprakasaistimewa12@gmail.com</t>
        </is>
      </c>
      <c r="E29" t="inlineStr">
        <is>
          <t>https://lpjk.pu.go.id/search-badan-usaha-detail/M0xLRzU2ZXZ5N2RIRlRrWCtZWTVHdz09</t>
        </is>
      </c>
      <c r="F29" t="n">
        <v>1</v>
      </c>
      <c r="G29" t="inlineStr">
        <is>
          <t>BG006</t>
        </is>
      </c>
      <c r="H29" t="inlineStr">
        <is>
          <t>26 Februari 2025</t>
        </is>
      </c>
      <c r="I29" s="2" t="n">
        <v>46267</v>
      </c>
      <c r="J29" t="inlineStr">
        <is>
          <t>Disetujui</t>
        </is>
      </c>
      <c r="K29" t="n">
        <v>60</v>
      </c>
      <c r="L29" t="inlineStr">
        <is>
          <t>2 September 2026</t>
        </is>
      </c>
      <c r="M29" t="inlineStr">
        <is>
          <t>Konstruksi Gedung Pendidikan</t>
        </is>
      </c>
      <c r="N29" t="inlineStr">
        <is>
          <t>K</t>
        </is>
      </c>
      <c r="O29" t="inlineStr">
        <is>
          <t>20230902</t>
        </is>
      </c>
      <c r="P29" t="inlineStr">
        <is>
          <t>Jawa Barat</t>
        </is>
      </c>
      <c r="Q29" t="inlineStr"/>
    </row>
    <row r="30">
      <c r="A30" t="inlineStr">
        <is>
          <t>RIZKY NAULI</t>
        </is>
      </c>
      <c r="B30" t="inlineStr">
        <is>
          <t>Kota Medan</t>
        </is>
      </c>
      <c r="C30" t="inlineStr">
        <is>
          <t>08126404355</t>
        </is>
      </c>
      <c r="D30" t="inlineStr">
        <is>
          <t>cv.rizky_nauli@yahoo.com</t>
        </is>
      </c>
      <c r="E30" t="inlineStr">
        <is>
          <t>https://lpjk.pu.go.id/search-badan-usaha-detail/U2FYME9YOEVGakxKaGhRYy9CanV4QT09</t>
        </is>
      </c>
      <c r="F30" t="n">
        <v>1</v>
      </c>
      <c r="G30" t="inlineStr">
        <is>
          <t>BS001</t>
        </is>
      </c>
      <c r="H30" t="inlineStr">
        <is>
          <t>26 Mei 2005</t>
        </is>
      </c>
      <c r="I30" s="2" t="n">
        <v>46267</v>
      </c>
      <c r="J30" t="inlineStr">
        <is>
          <t>Disetujui</t>
        </is>
      </c>
      <c r="K30" t="n">
        <v>60</v>
      </c>
      <c r="L30" t="inlineStr">
        <is>
          <t>2 September 2026</t>
        </is>
      </c>
      <c r="M30" t="inlineStr">
        <is>
          <t>Konstruksi Bangunan Sipil Jalan</t>
        </is>
      </c>
      <c r="N30" t="inlineStr">
        <is>
          <t>K</t>
        </is>
      </c>
      <c r="O30" t="inlineStr">
        <is>
          <t>20230831</t>
        </is>
      </c>
      <c r="P30" t="inlineStr">
        <is>
          <t>Sumatera Utara</t>
        </is>
      </c>
      <c r="Q30" t="inlineStr"/>
    </row>
    <row r="31">
      <c r="A31" t="inlineStr">
        <is>
          <t>SIGMA</t>
        </is>
      </c>
      <c r="B31" t="inlineStr">
        <is>
          <t>Kab. Bangkalan</t>
        </is>
      </c>
      <c r="C31" t="inlineStr">
        <is>
          <t>82333644451</t>
        </is>
      </c>
      <c r="D31" t="inlineStr">
        <is>
          <t>sigmacv_endang@yahoo.com</t>
        </is>
      </c>
      <c r="E31" t="inlineStr">
        <is>
          <t>https://lpjk.pu.go.id/search-badan-usaha-detail/MGxyV1k4V1hHV2NJZFN4NlE3NTcyUT09</t>
        </is>
      </c>
      <c r="F31" t="n">
        <v>2</v>
      </c>
      <c r="G31" t="inlineStr">
        <is>
          <t>BS004</t>
        </is>
      </c>
      <c r="H31" t="inlineStr">
        <is>
          <t>26 Januari 1982</t>
        </is>
      </c>
      <c r="I31" s="2" t="n">
        <v>46267</v>
      </c>
      <c r="J31" t="inlineStr">
        <is>
          <t>Pencabutan</t>
        </is>
      </c>
      <c r="K31" t="n">
        <v>60</v>
      </c>
      <c r="L31" t="inlineStr">
        <is>
          <t>2 September 2026</t>
        </is>
      </c>
      <c r="M31" t="inlineStr">
        <is>
          <t>Konstruksi Jaringan Irigasi dan Drainase</t>
        </is>
      </c>
      <c r="N31" t="inlineStr">
        <is>
          <t>K</t>
        </is>
      </c>
      <c r="O31" t="inlineStr">
        <is>
          <t>20230831</t>
        </is>
      </c>
      <c r="P31" t="inlineStr">
        <is>
          <t>Jawa Timur</t>
        </is>
      </c>
      <c r="Q31" t="inlineStr"/>
    </row>
    <row r="32">
      <c r="A32" t="inlineStr">
        <is>
          <t>UTAMA ANDRY SARANA PERKASA</t>
        </is>
      </c>
      <c r="B32" t="inlineStr">
        <is>
          <t>Kab. Bulungan</t>
        </is>
      </c>
      <c r="C32" t="inlineStr">
        <is>
          <t>082153270159</t>
        </is>
      </c>
      <c r="D32" t="inlineStr">
        <is>
          <t>cvutamaandrysaranaperkasa@gmail.com</t>
        </is>
      </c>
      <c r="E32" t="inlineStr">
        <is>
          <t>https://lpjk.pu.go.id/search-badan-usaha-detail/OXZRVUhMdGJFaXZmRlJWUlFEaURZZz09</t>
        </is>
      </c>
      <c r="F32" t="n">
        <v>2</v>
      </c>
      <c r="G32" t="inlineStr">
        <is>
          <t>BG006, BS001</t>
        </is>
      </c>
      <c r="H32" t="inlineStr">
        <is>
          <t>11 Juli 2023</t>
        </is>
      </c>
      <c r="I32" s="2" t="n">
        <v>46267</v>
      </c>
      <c r="J32" t="inlineStr">
        <is>
          <t>Disetujui</t>
        </is>
      </c>
      <c r="K32" t="n">
        <v>60</v>
      </c>
      <c r="L32" t="inlineStr">
        <is>
          <t>2 September 2026</t>
        </is>
      </c>
      <c r="M32" t="inlineStr">
        <is>
          <t>Konstruksi Bangunan Sipil Jalan, Konstruksi Gedung Pendidikan</t>
        </is>
      </c>
      <c r="N32" t="inlineStr">
        <is>
          <t>K</t>
        </is>
      </c>
      <c r="O32" t="inlineStr">
        <is>
          <t>20230831, 20230902</t>
        </is>
      </c>
      <c r="P32" t="inlineStr">
        <is>
          <t>Kalimantan Utara</t>
        </is>
      </c>
      <c r="Q32" t="inlineStr"/>
    </row>
    <row r="33">
      <c r="A33" t="inlineStr">
        <is>
          <t>WIJAYA MEGAH UTAMA</t>
        </is>
      </c>
      <c r="B33" t="inlineStr">
        <is>
          <t>Kab. Majalengka</t>
        </is>
      </c>
      <c r="C33" t="inlineStr">
        <is>
          <t>081220517500</t>
        </is>
      </c>
      <c r="D33" t="inlineStr">
        <is>
          <t>cvwijayamegahutama@gmail.com</t>
        </is>
      </c>
      <c r="E33" t="inlineStr">
        <is>
          <t>https://lpjk.pu.go.id/search-badan-usaha-detail/OFdIMExMVXAwMmU1NVZEWGdmUy95Zz09</t>
        </is>
      </c>
      <c r="F33" t="n">
        <v>6</v>
      </c>
      <c r="G33" t="inlineStr">
        <is>
          <t>BG009, BS001, BS004</t>
        </is>
      </c>
      <c r="H33" t="inlineStr">
        <is>
          <t>24 Agustus 2011</t>
        </is>
      </c>
      <c r="I33" s="2" t="n">
        <v>46267</v>
      </c>
      <c r="J33" t="inlineStr">
        <is>
          <t>Disetujui</t>
        </is>
      </c>
      <c r="K33" t="n">
        <v>60</v>
      </c>
      <c r="L33" t="inlineStr">
        <is>
          <t>2 September 2026</t>
        </is>
      </c>
      <c r="M33" t="inlineStr">
        <is>
          <t>Konstruksi Bangunan Sipil Jalan, Konstruksi Gedung Lainnya, Konstruksi Jaringan Irigasi dan Drainase</t>
        </is>
      </c>
      <c r="N33" t="inlineStr">
        <is>
          <t>K</t>
        </is>
      </c>
      <c r="O33" t="inlineStr">
        <is>
          <t>20230901, 20230902</t>
        </is>
      </c>
      <c r="P33" t="inlineStr">
        <is>
          <t>Jawa Barat</t>
        </is>
      </c>
      <c r="Q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8"/>
  <sheetViews>
    <sheetView workbookViewId="0">
      <selection activeCell="A1" sqref="A1"/>
    </sheetView>
  </sheetViews>
  <sheetFormatPr baseColWidth="8" defaultRowHeight="15"/>
  <cols>
    <col width="34"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ABADI KARYA NAPITU</t>
        </is>
      </c>
      <c r="B2" t="inlineStr">
        <is>
          <t>Kota Depok</t>
        </is>
      </c>
      <c r="C2" t="inlineStr">
        <is>
          <t>02177804992</t>
        </is>
      </c>
      <c r="D2" t="inlineStr">
        <is>
          <t>pt.abadikaryana7@gmail.com</t>
        </is>
      </c>
      <c r="E2" t="inlineStr">
        <is>
          <t>https://lpjk.pu.go.id/search-badan-usaha-detail/ZVIxZ0xPNWN5dGhldXB2MUFmRTczUT09</t>
        </is>
      </c>
      <c r="F2" t="n">
        <v>4</v>
      </c>
      <c r="G2" t="inlineStr">
        <is>
          <t>BS001, BS004</t>
        </is>
      </c>
      <c r="H2" t="inlineStr">
        <is>
          <t>28 Januari 2019</t>
        </is>
      </c>
      <c r="I2" s="2" t="n">
        <v>46237</v>
      </c>
      <c r="J2" t="inlineStr">
        <is>
          <t>Disetujui</t>
        </is>
      </c>
      <c r="K2" t="n">
        <v>30</v>
      </c>
      <c r="L2" t="inlineStr">
        <is>
          <t>3 Agustus 2026</t>
        </is>
      </c>
      <c r="M2" t="inlineStr">
        <is>
          <t>Konstruksi Bangunan Sipil Jalan, Konstruksi Jaringan Irigasi dan Drainase</t>
        </is>
      </c>
      <c r="N2" t="inlineStr">
        <is>
          <t>K</t>
        </is>
      </c>
      <c r="O2" t="inlineStr">
        <is>
          <t>20220902, 20230803</t>
        </is>
      </c>
      <c r="P2" t="inlineStr">
        <is>
          <t>Jawa Barat</t>
        </is>
      </c>
      <c r="Q2" t="inlineStr"/>
    </row>
    <row r="3">
      <c r="A3" t="inlineStr">
        <is>
          <t>ABDEE ANTUSIAS</t>
        </is>
      </c>
      <c r="B3" t="inlineStr">
        <is>
          <t>Kab. Bekasi</t>
        </is>
      </c>
      <c r="C3" t="inlineStr">
        <is>
          <t>081280361456</t>
        </is>
      </c>
      <c r="D3" t="inlineStr">
        <is>
          <t>abdie.antusias@gmail.com</t>
        </is>
      </c>
      <c r="E3" t="inlineStr">
        <is>
          <t>https://lpjk.pu.go.id/search-badan-usaha-detail/eEdUM2N6WUxlZ3NwSS9SVEtGVjNHQT09</t>
        </is>
      </c>
      <c r="F3" t="n">
        <v>1</v>
      </c>
      <c r="G3" t="inlineStr">
        <is>
          <t>BG005</t>
        </is>
      </c>
      <c r="H3" t="inlineStr">
        <is>
          <t>21 Desember 2009</t>
        </is>
      </c>
      <c r="I3" s="2" t="n">
        <v>46237</v>
      </c>
      <c r="J3" t="inlineStr">
        <is>
          <t>Disetujui</t>
        </is>
      </c>
      <c r="K3" t="n">
        <v>30</v>
      </c>
      <c r="L3" t="inlineStr">
        <is>
          <t>3 Agustus 2026</t>
        </is>
      </c>
      <c r="M3" t="inlineStr">
        <is>
          <t>Konstruksi Gedung Kesehatan</t>
        </is>
      </c>
      <c r="N3" t="inlineStr">
        <is>
          <t>K</t>
        </is>
      </c>
      <c r="O3" t="inlineStr">
        <is>
          <t>20230727</t>
        </is>
      </c>
      <c r="P3" t="inlineStr">
        <is>
          <t>Jawa Barat</t>
        </is>
      </c>
      <c r="Q3" s="3">
        <f>HYPERLINK("https://wa.me/6281280361456?text=*[Pengingat Masa Berlaku SBU ABDEE ANTUSIAS]*%0A%0AYth. Pimpinan ABDEE ANTUSIAS,%0AMohon izin menginformasikan status SBU Anda:%0A%0A📄 SBU: BG005%0A📅 Expired: 3 Agustus 2026 (30 Hari Lagi)%0A%0AKami tim PT. ESDEA Assistance Management siap men-support proses perpanjangan segera agar administrasi proyek tidak terhambat%0A%0AApakah boleh saya bantu siapkan estimasi biaya dan waktu pengerjaannya?.", "Hubungi")</f>
        <v/>
      </c>
    </row>
    <row r="4">
      <c r="A4" t="inlineStr">
        <is>
          <t>ALFISA</t>
        </is>
      </c>
      <c r="B4" t="inlineStr">
        <is>
          <t>Kota Bekasi</t>
        </is>
      </c>
      <c r="C4" t="inlineStr">
        <is>
          <t>08988309528</t>
        </is>
      </c>
      <c r="D4" t="inlineStr">
        <is>
          <t>cvalfisa312@gmail.com</t>
        </is>
      </c>
      <c r="E4" t="inlineStr">
        <is>
          <t>https://lpjk.pu.go.id/search-badan-usaha-detail/Q0lidXFqQ2JNemgyL3V5U1ZOcHlzdz09</t>
        </is>
      </c>
      <c r="F4" t="n">
        <v>1</v>
      </c>
      <c r="G4" t="inlineStr">
        <is>
          <t>BS004</t>
        </is>
      </c>
      <c r="H4" t="inlineStr">
        <is>
          <t>24 Mei 1995</t>
        </is>
      </c>
      <c r="I4" s="2" t="n">
        <v>46237</v>
      </c>
      <c r="J4" t="inlineStr">
        <is>
          <t>Disetujui</t>
        </is>
      </c>
      <c r="K4" t="n">
        <v>30</v>
      </c>
      <c r="L4" t="inlineStr">
        <is>
          <t>3 Agustus 2026</t>
        </is>
      </c>
      <c r="M4" t="inlineStr">
        <is>
          <t>Konstruksi Jaringan Irigasi dan Drainase</t>
        </is>
      </c>
      <c r="N4" t="inlineStr">
        <is>
          <t>K</t>
        </is>
      </c>
      <c r="O4" t="inlineStr">
        <is>
          <t>20230801</t>
        </is>
      </c>
      <c r="P4" t="inlineStr">
        <is>
          <t>Jawa Barat</t>
        </is>
      </c>
      <c r="Q4" s="3">
        <f>HYPERLINK("https://wa.me/628988309528?text=*[Pengingat Masa Berlaku SBU ALFISA]*%0A%0AYth. Pimpinan ALFISA,%0AMohon izin menginformasikan status SBU Anda:%0A%0A📄 SBU: BS004%0A📅 Expired: 3 Agustus 2026 (30 Hari Lagi)%0A%0AKami tim PT. ESDEA Assistance Management siap men-support proses perpanjangan segera agar administrasi proyek tidak terhambat%0A%0AApakah boleh saya bantu siapkan estimasi biaya dan waktu pengerjaannya?.", "Hubungi")</f>
        <v/>
      </c>
    </row>
    <row r="5">
      <c r="A5" t="inlineStr">
        <is>
          <t>BAGUS CEMERLANG</t>
        </is>
      </c>
      <c r="B5" t="inlineStr">
        <is>
          <t>Kota Adm. Jakarta Timur</t>
        </is>
      </c>
      <c r="C5" t="inlineStr">
        <is>
          <t>081254353399</t>
        </is>
      </c>
      <c r="D5" t="inlineStr">
        <is>
          <t>baguscemerlang.pt@gmail.com</t>
        </is>
      </c>
      <c r="E5" t="inlineStr">
        <is>
          <t>https://lpjk.pu.go.id/search-badan-usaha-detail/RWMrQ1ZMS0wzZm5MTG1jd2RYdFNyQT09</t>
        </is>
      </c>
      <c r="F5" t="n">
        <v>2</v>
      </c>
      <c r="G5" t="inlineStr">
        <is>
          <t>BG005, BG006</t>
        </is>
      </c>
      <c r="H5" t="inlineStr">
        <is>
          <t>27 April 2011</t>
        </is>
      </c>
      <c r="I5" s="2" t="n">
        <v>46237</v>
      </c>
      <c r="J5" t="inlineStr">
        <is>
          <t>Disetujui</t>
        </is>
      </c>
      <c r="K5" t="n">
        <v>30</v>
      </c>
      <c r="L5" t="inlineStr">
        <is>
          <t>3 Agustus 2026</t>
        </is>
      </c>
      <c r="M5" t="inlineStr">
        <is>
          <t>Konstruksi Gedung Kesehatan, Konstruksi Gedung Pendidikan</t>
        </is>
      </c>
      <c r="N5" t="inlineStr">
        <is>
          <t>K</t>
        </is>
      </c>
      <c r="O5" t="inlineStr">
        <is>
          <t>20230802</t>
        </is>
      </c>
      <c r="P5" t="inlineStr">
        <is>
          <t>DKI Jakarta</t>
        </is>
      </c>
      <c r="Q5" s="3">
        <f>HYPERLINK("https://wa.me/6281254353399?text=*[Pengingat Masa Berlaku SBU BAGUS CEMERLANG]*%0A%0AYth. Pimpinan BAGUS CEMERLANG,%0AMohon izin menginformasikan status SBU Anda:%0A%0A📄 SBU: BG005, BG006%0A📅 Expired: 3 Agustus 2026 (30 Hari Lagi)%0A%0AKami tim PT. ESDEA Assistance Management siap men-support proses perpanjangan segera agar administrasi proyek tidak terhambat%0A%0AApakah boleh saya bantu siapkan estimasi biaya dan waktu pengerjaannya?.", "Hubungi")</f>
        <v/>
      </c>
    </row>
    <row r="6">
      <c r="A6" t="inlineStr">
        <is>
          <t>CATUR INSAN PERKASA</t>
        </is>
      </c>
      <c r="B6" t="inlineStr">
        <is>
          <t>Kota Adm. Jakarta Timur</t>
        </is>
      </c>
      <c r="C6" t="inlineStr">
        <is>
          <t>0218470392</t>
        </is>
      </c>
      <c r="D6" t="inlineStr">
        <is>
          <t>caturinsanperkasa@gmail.com</t>
        </is>
      </c>
      <c r="E6" t="inlineStr">
        <is>
          <t>https://lpjk.pu.go.id/search-badan-usaha-detail/VjhRb245bFRDcmUvSGt3R0lOaThtUT09</t>
        </is>
      </c>
      <c r="F6" t="n">
        <v>1</v>
      </c>
      <c r="G6" t="inlineStr">
        <is>
          <t>IN001</t>
        </is>
      </c>
      <c r="H6" t="inlineStr">
        <is>
          <t>22 Juni 2012</t>
        </is>
      </c>
      <c r="I6" s="2" t="n">
        <v>46237</v>
      </c>
      <c r="J6" t="inlineStr">
        <is>
          <t>Pembekuan</t>
        </is>
      </c>
      <c r="K6" t="n">
        <v>30</v>
      </c>
      <c r="L6" t="inlineStr">
        <is>
          <t>3 Agustus 2026</t>
        </is>
      </c>
      <c r="M6" t="inlineStr">
        <is>
          <t>Instalasi Mekanikal</t>
        </is>
      </c>
      <c r="N6" t="inlineStr">
        <is>
          <t>Spesialis</t>
        </is>
      </c>
      <c r="O6" t="inlineStr">
        <is>
          <t>20230725</t>
        </is>
      </c>
      <c r="P6" t="inlineStr">
        <is>
          <t>DKI Jakarta</t>
        </is>
      </c>
      <c r="Q6" t="inlineStr"/>
    </row>
    <row r="7">
      <c r="A7" t="inlineStr">
        <is>
          <t>GOKPASU JAYA SAMS</t>
        </is>
      </c>
      <c r="B7" t="inlineStr">
        <is>
          <t>Kab. Bekasi</t>
        </is>
      </c>
      <c r="C7" t="inlineStr">
        <is>
          <t>088801110710</t>
        </is>
      </c>
      <c r="D7" t="inlineStr">
        <is>
          <t>gokpasujayasam@gmail.com</t>
        </is>
      </c>
      <c r="E7" t="inlineStr">
        <is>
          <t>https://lpjk.pu.go.id/search-badan-usaha-detail/M1NYajdIc05aN0hzTWFnUW90YnJBUT09</t>
        </is>
      </c>
      <c r="F7" t="n">
        <v>1</v>
      </c>
      <c r="G7" t="inlineStr">
        <is>
          <t>BS004</t>
        </is>
      </c>
      <c r="H7" t="inlineStr">
        <is>
          <t>17 April 2023</t>
        </is>
      </c>
      <c r="I7" s="2" t="n">
        <v>46237</v>
      </c>
      <c r="J7" t="inlineStr">
        <is>
          <t>Disetujui</t>
        </is>
      </c>
      <c r="K7" t="n">
        <v>30</v>
      </c>
      <c r="L7" t="inlineStr">
        <is>
          <t>3 Agustus 2026</t>
        </is>
      </c>
      <c r="M7" t="inlineStr">
        <is>
          <t>Konstruksi Jaringan Irigasi dan Drainase</t>
        </is>
      </c>
      <c r="N7" t="inlineStr">
        <is>
          <t>K</t>
        </is>
      </c>
      <c r="O7" t="inlineStr">
        <is>
          <t>20230703</t>
        </is>
      </c>
      <c r="P7" t="inlineStr">
        <is>
          <t>Jawa Barat</t>
        </is>
      </c>
      <c r="Q7" s="3">
        <f>HYPERLINK("https://wa.me/6288801110710?text=*[Pengingat Masa Berlaku SBU GOKPASU JAYA SAMS]*%0A%0AYth. Pimpinan GOKPASU JAYA SAMS,%0AMohon izin menginformasikan status SBU Anda:%0A%0A📄 SBU: BS004%0A📅 Expired: 3 Agustus 2026 (30 Hari Lagi)%0A%0AKami tim PT. ESDEA Assistance Management siap men-support proses perpanjangan segera agar administrasi proyek tidak terhambat%0A%0AApakah boleh saya bantu siapkan estimasi biaya dan waktu pengerjaannya?.", "Hubungi")</f>
        <v/>
      </c>
    </row>
    <row r="8">
      <c r="A8" t="inlineStr">
        <is>
          <t>INTI NUSA KONSTRUKSI</t>
        </is>
      </c>
      <c r="B8" t="inlineStr">
        <is>
          <t>Kota Depok</t>
        </is>
      </c>
      <c r="C8" t="inlineStr">
        <is>
          <t>087886118171</t>
        </is>
      </c>
      <c r="D8" t="inlineStr">
        <is>
          <t>intinusakonstruksi@gmail.com</t>
        </is>
      </c>
      <c r="E8" t="inlineStr">
        <is>
          <t>https://lpjk.pu.go.id/search-badan-usaha-detail/RVNaeDhrM2ErSnNMUjkzZmhMTHhwQT09</t>
        </is>
      </c>
      <c r="F8" t="n">
        <v>1</v>
      </c>
      <c r="G8" t="inlineStr">
        <is>
          <t>BS010</t>
        </is>
      </c>
      <c r="H8" t="inlineStr">
        <is>
          <t>27 Juni 2023</t>
        </is>
      </c>
      <c r="I8" s="2" t="n">
        <v>46237</v>
      </c>
      <c r="J8" t="inlineStr">
        <is>
          <t>Disetujui</t>
        </is>
      </c>
      <c r="K8" t="n">
        <v>30</v>
      </c>
      <c r="L8" t="inlineStr">
        <is>
          <t>3 Agustus 2026</t>
        </is>
      </c>
      <c r="M8" t="inlineStr">
        <is>
          <t>Konstruksi Bangunan Prasarana Sumber Daya Air</t>
        </is>
      </c>
      <c r="N8" t="inlineStr">
        <is>
          <t>K</t>
        </is>
      </c>
      <c r="O8" t="inlineStr">
        <is>
          <t>20230804</t>
        </is>
      </c>
      <c r="P8" t="inlineStr">
        <is>
          <t>Jawa Barat</t>
        </is>
      </c>
      <c r="Q8" s="3">
        <f>HYPERLINK("https://wa.me/6287886118171?text=*[Pengingat Masa Berlaku SBU INTI NUSA KONSTRUKSI]*%0A%0AYth. Pimpinan INTI NUSA KONSTRUKSI,%0AMohon izin menginformasikan status SBU Anda:%0A%0A📄 SBU: BS010%0A📅 Expired: 3 Agustus 2026 (30 Hari Lagi)%0A%0AKami tim PT. ESDEA Assistance Management siap men-support proses perpanjangan segera agar administrasi proyek tidak terhambat%0A%0AApakah boleh saya bantu siapkan estimasi biaya dan waktu pengerjaannya?.", "Hubungi")</f>
        <v/>
      </c>
    </row>
    <row r="9">
      <c r="A9" t="inlineStr">
        <is>
          <t>JINSUNG IND CO., LTD</t>
        </is>
      </c>
      <c r="B9" t="inlineStr">
        <is>
          <t>Kab. Bekasi</t>
        </is>
      </c>
      <c r="C9" t="inlineStr">
        <is>
          <t>02127082978</t>
        </is>
      </c>
      <c r="D9" t="inlineStr">
        <is>
          <t>jinsungind8@gmail.com</t>
        </is>
      </c>
      <c r="E9" t="inlineStr">
        <is>
          <t>https://lpjk.pu.go.id/search-badan-usaha-detail/QmxOYjNLUC9iYkVxaUlGbFY5WWRPUT09</t>
        </is>
      </c>
      <c r="F9" t="n">
        <v>1</v>
      </c>
      <c r="G9" t="inlineStr">
        <is>
          <t>IN007</t>
        </is>
      </c>
      <c r="H9" t="inlineStr">
        <is>
          <t>14 Agustus 2018</t>
        </is>
      </c>
      <c r="I9" s="2" t="n">
        <v>46237</v>
      </c>
      <c r="J9" t="inlineStr">
        <is>
          <t>Pembekuan</t>
        </is>
      </c>
      <c r="K9" t="n">
        <v>30</v>
      </c>
      <c r="L9" t="inlineStr">
        <is>
          <t>3 Agustus 2026</t>
        </is>
      </c>
      <c r="M9" t="inlineStr">
        <is>
          <t>Instalasi Saluran Air (Plambing)</t>
        </is>
      </c>
      <c r="N9" t="inlineStr">
        <is>
          <t>Spesialis</t>
        </is>
      </c>
      <c r="O9" t="inlineStr">
        <is>
          <t>20230802</t>
        </is>
      </c>
      <c r="P9" t="inlineStr">
        <is>
          <t>Jawa Barat</t>
        </is>
      </c>
      <c r="Q9" t="inlineStr"/>
    </row>
    <row r="10">
      <c r="A10" t="inlineStr">
        <is>
          <t>KURNIA DEWI BERKAH</t>
        </is>
      </c>
      <c r="B10" t="inlineStr">
        <is>
          <t>Kab. Bogor</t>
        </is>
      </c>
      <c r="C10" t="inlineStr">
        <is>
          <t>081277775068</t>
        </is>
      </c>
      <c r="D10" t="inlineStr">
        <is>
          <t>cv.kurniadewiberkah@gmail.com</t>
        </is>
      </c>
      <c r="E10" t="inlineStr">
        <is>
          <t>https://lpjk.pu.go.id/search-badan-usaha-detail/L0RVSTIzWHVuVUxVVjUzNm53UWFIUT09</t>
        </is>
      </c>
      <c r="F10" t="n">
        <v>3</v>
      </c>
      <c r="G10" t="inlineStr">
        <is>
          <t>AR001, AR002, AR003</t>
        </is>
      </c>
      <c r="H10" t="inlineStr">
        <is>
          <t>19 Juni 2023</t>
        </is>
      </c>
      <c r="I10" s="2" t="n">
        <v>46237</v>
      </c>
      <c r="J10" t="inlineStr">
        <is>
          <t>Pencabutan</t>
        </is>
      </c>
      <c r="K10" t="n">
        <v>30</v>
      </c>
      <c r="L10" t="inlineStr">
        <is>
          <t>3 Agustus 2026</t>
        </is>
      </c>
      <c r="M10" t="inlineStr">
        <is>
          <t>Jasa Arsitektural Bangunan Gedung Hunian dan Non Hunian, Jasa Arsitektural Lainnya, Jasa Desain Interior pada Bangunan Gedung dan Bangunan Sipil</t>
        </is>
      </c>
      <c r="N10" t="inlineStr">
        <is>
          <t>K</t>
        </is>
      </c>
      <c r="O10" t="inlineStr">
        <is>
          <t>20230718</t>
        </is>
      </c>
      <c r="P10" t="inlineStr">
        <is>
          <t>Jawa Barat</t>
        </is>
      </c>
      <c r="Q10" s="3">
        <f>HYPERLINK("https://wa.me/6281277775068?text=*[Pengingat Masa Berlaku SBU KURNIA DEWI BERKAH]*%0A%0AYth. Pimpinan KURNIA DEWI BERKAH,%0AMohon izin menginformasikan status SBU Anda:%0A%0A📄 SBU: AR001, AR002, AR003%0A📅 Expired: 3 Agustus 2026 (30 Hari Lagi)%0A%0AKami tim PT. ESDEA Assistance Management siap men-support proses perpanjangan segera agar administrasi proyek tidak terhambat%0A%0AApakah boleh saya bantu siapkan estimasi biaya dan waktu pengerjaannya?.", "Hubungi")</f>
        <v/>
      </c>
    </row>
    <row r="11">
      <c r="A11" t="inlineStr">
        <is>
          <t>METRO INDO KARYA</t>
        </is>
      </c>
      <c r="B11" t="inlineStr">
        <is>
          <t>Kota Depok</t>
        </is>
      </c>
      <c r="C11" t="inlineStr">
        <is>
          <t>0217780164</t>
        </is>
      </c>
      <c r="D11" t="inlineStr">
        <is>
          <t>metroindo.karya@yahoo.com</t>
        </is>
      </c>
      <c r="E11" t="inlineStr">
        <is>
          <t>https://lpjk.pu.go.id/search-badan-usaha-detail/S0E5WVZDME45RWUwSGZiQ1pmeCthZz09</t>
        </is>
      </c>
      <c r="F11" t="n">
        <v>1</v>
      </c>
      <c r="G11" t="inlineStr">
        <is>
          <t>BG005</t>
        </is>
      </c>
      <c r="H11" t="inlineStr">
        <is>
          <t>6 Januari 2015</t>
        </is>
      </c>
      <c r="I11" s="2" t="n">
        <v>46237</v>
      </c>
      <c r="J11" t="inlineStr">
        <is>
          <t>Disetujui</t>
        </is>
      </c>
      <c r="K11" t="n">
        <v>30</v>
      </c>
      <c r="L11" t="inlineStr">
        <is>
          <t>3 Agustus 2026</t>
        </is>
      </c>
      <c r="M11" t="inlineStr">
        <is>
          <t>Konstruksi Gedung Kesehatan</t>
        </is>
      </c>
      <c r="N11" t="inlineStr">
        <is>
          <t>K</t>
        </is>
      </c>
      <c r="O11" t="inlineStr">
        <is>
          <t>20230801</t>
        </is>
      </c>
      <c r="P11" t="inlineStr">
        <is>
          <t>Jawa Barat</t>
        </is>
      </c>
      <c r="Q11" t="inlineStr"/>
    </row>
    <row r="12">
      <c r="A12" t="inlineStr">
        <is>
          <t>MILLENIUM TIGA BANGUN</t>
        </is>
      </c>
      <c r="B12" t="inlineStr">
        <is>
          <t>Kab. Bekasi</t>
        </is>
      </c>
      <c r="C12" t="inlineStr">
        <is>
          <t>081398889382</t>
        </is>
      </c>
      <c r="D12" t="inlineStr">
        <is>
          <t>m3bangun22@gmail.com</t>
        </is>
      </c>
      <c r="E12" t="inlineStr">
        <is>
          <t>https://lpjk.pu.go.id/search-badan-usaha-detail/QnVkYnBQdTZvNHBtOE5vaS9sM3dFQT09</t>
        </is>
      </c>
      <c r="F12" t="n">
        <v>1</v>
      </c>
      <c r="G12" t="inlineStr">
        <is>
          <t>BG003</t>
        </is>
      </c>
      <c r="H12" t="inlineStr">
        <is>
          <t>8 Agustus 2022</t>
        </is>
      </c>
      <c r="I12" s="2" t="n">
        <v>46237</v>
      </c>
      <c r="J12" t="inlineStr">
        <is>
          <t>Disetujui</t>
        </is>
      </c>
      <c r="K12" t="n">
        <v>30</v>
      </c>
      <c r="L12" t="inlineStr">
        <is>
          <t>3 Agustus 2026</t>
        </is>
      </c>
      <c r="M12" t="inlineStr">
        <is>
          <t>Konstruksi Gedung Industri</t>
        </is>
      </c>
      <c r="N12" t="inlineStr">
        <is>
          <t>K</t>
        </is>
      </c>
      <c r="O12" t="inlineStr">
        <is>
          <t>20230804</t>
        </is>
      </c>
      <c r="P12" t="inlineStr">
        <is>
          <t>Jawa Barat</t>
        </is>
      </c>
      <c r="Q12" s="3">
        <f>HYPERLINK("https://wa.me/6281398889382?text=*[Pengingat Masa Berlaku SBU MILLENIUM TIGA BANGUN]*%0A%0AYth. Pimpinan MILLENIUM TIGA BANGUN,%0AMohon izin menginformasikan status SBU Anda:%0A%0A📄 SBU: BG003%0A📅 Expired: 3 Agustus 2026 (30 Hari Lagi)%0A%0AKami tim PT. ESDEA Assistance Management siap men-support proses perpanjangan segera agar administrasi proyek tidak terhambat%0A%0AApakah boleh saya bantu siapkan estimasi biaya dan waktu pengerjaannya?.", "Hubungi")</f>
        <v/>
      </c>
    </row>
    <row r="13">
      <c r="A13" t="inlineStr">
        <is>
          <t>PRIMA BERLIAN BERSAMA</t>
        </is>
      </c>
      <c r="B13" t="inlineStr">
        <is>
          <t>Kota Adm. Jakarta Timur</t>
        </is>
      </c>
      <c r="C13" t="inlineStr">
        <is>
          <t>082114041677</t>
        </is>
      </c>
      <c r="D13" t="inlineStr">
        <is>
          <t>primaberlianbersama@gmail.com</t>
        </is>
      </c>
      <c r="E13" t="inlineStr">
        <is>
          <t>https://lpjk.pu.go.id/search-badan-usaha-detail/am14dTkxWUxOS3dQa0RLZnI5dnhMQT09</t>
        </is>
      </c>
      <c r="F13" t="n">
        <v>1</v>
      </c>
      <c r="G13" t="inlineStr">
        <is>
          <t>BS001</t>
        </is>
      </c>
      <c r="H13" t="inlineStr">
        <is>
          <t>15 Desember 2022</t>
        </is>
      </c>
      <c r="I13" s="2" t="n">
        <v>46237</v>
      </c>
      <c r="J13" t="inlineStr">
        <is>
          <t>Disetujui</t>
        </is>
      </c>
      <c r="K13" t="n">
        <v>30</v>
      </c>
      <c r="L13" t="inlineStr">
        <is>
          <t>3 Agustus 2026</t>
        </is>
      </c>
      <c r="M13" t="inlineStr">
        <is>
          <t>Konstruksi Bangunan Sipil Jalan</t>
        </is>
      </c>
      <c r="N13" t="inlineStr">
        <is>
          <t>K</t>
        </is>
      </c>
      <c r="O13" t="inlineStr">
        <is>
          <t>20230727</t>
        </is>
      </c>
      <c r="P13" t="inlineStr">
        <is>
          <t>DKI Jakarta</t>
        </is>
      </c>
      <c r="Q13" s="3">
        <f>HYPERLINK("https://wa.me/6282114041677?text=*[Pengingat Masa Berlaku SBU PRIMA BERLIAN BERSAMA]*%0A%0AYth. Pimpinan PRIMA BERLIAN BERSAMA,%0AMohon izin menginformasikan status SBU Anda:%0A%0A📄 SBU: BS001%0A📅 Expired: 3 Agustus 2026 (30 Hari Lagi)%0A%0AKami tim PT. ESDEA Assistance Management siap men-support proses perpanjangan segera agar administrasi proyek tidak terhambat%0A%0AApakah boleh saya bantu siapkan estimasi biaya dan waktu pengerjaannya?.", "Hubungi")</f>
        <v/>
      </c>
    </row>
    <row r="14">
      <c r="A14" t="inlineStr">
        <is>
          <t>PUTRA MANDIRI</t>
        </is>
      </c>
      <c r="B14" t="inlineStr">
        <is>
          <t>Kab. Bekasi</t>
        </is>
      </c>
      <c r="C14" t="inlineStr">
        <is>
          <t>081388357667</t>
        </is>
      </c>
      <c r="D14" t="inlineStr">
        <is>
          <t>putramandiri6167@yahoo.com</t>
        </is>
      </c>
      <c r="E14" t="inlineStr">
        <is>
          <t>https://lpjk.pu.go.id/search-badan-usaha-detail/ZjZrelYyY1l0TEg1QUN0a1RGZ1I2Zz09</t>
        </is>
      </c>
      <c r="F14" t="n">
        <v>4</v>
      </c>
      <c r="G14" t="inlineStr">
        <is>
          <t>BG005, BG006, BG008, BG009</t>
        </is>
      </c>
      <c r="H14" t="inlineStr">
        <is>
          <t>20 Juni 2007</t>
        </is>
      </c>
      <c r="I14" s="2" t="n">
        <v>46237</v>
      </c>
      <c r="J14" t="inlineStr">
        <is>
          <t>Disetujui</t>
        </is>
      </c>
      <c r="K14" t="n">
        <v>30</v>
      </c>
      <c r="L14" t="inlineStr">
        <is>
          <t>3 Agustus 2026</t>
        </is>
      </c>
      <c r="M14" t="inlineStr">
        <is>
          <t>Konstruksi Gedung Kesehatan, Konstruksi Gedung Lainnya, Konstruksi Gedung Pendidikan, Konstruksi Gedung Tempat Hiburan dan Olahraga</t>
        </is>
      </c>
      <c r="N14" t="inlineStr">
        <is>
          <t>K</t>
        </is>
      </c>
      <c r="O14" t="inlineStr">
        <is>
          <t>20230729</t>
        </is>
      </c>
      <c r="P14" t="inlineStr">
        <is>
          <t>Jawa Barat</t>
        </is>
      </c>
      <c r="Q14" s="3">
        <f>HYPERLINK("https://wa.me/6281388357667?text=*[Pengingat Masa Berlaku SBU PUTRA MANDIRI]*%0A%0AYth. Pimpinan PUTRA MANDIRI,%0AMohon izin menginformasikan status SBU Anda:%0A%0A📄 SBU: BG005, BG006, BG008, BG009%0A📅 Expired: 3 Agustus 2026 (30 Hari Lagi)%0A%0AKami tim PT. ESDEA Assistance Management siap men-support proses perpanjangan segera agar administrasi proyek tidak terhambat%0A%0AApakah boleh saya bantu siapkan estimasi biaya dan waktu pengerjaannya?.", "Hubungi")</f>
        <v/>
      </c>
    </row>
    <row r="15">
      <c r="A15" t="inlineStr">
        <is>
          <t>ROESMORA UTAMA MANDIRI</t>
        </is>
      </c>
      <c r="B15" t="inlineStr">
        <is>
          <t>Kota Adm. Jakarta Timur</t>
        </is>
      </c>
      <c r="C15" t="inlineStr">
        <is>
          <t>081210200032</t>
        </is>
      </c>
      <c r="D15" t="inlineStr">
        <is>
          <t>roesmorautama@yahoo.com</t>
        </is>
      </c>
      <c r="E15" t="inlineStr">
        <is>
          <t>https://lpjk.pu.go.id/search-badan-usaha-detail/TUpxOUI5Y1A3UmJBaVpxU0ZVbEIxUT09</t>
        </is>
      </c>
      <c r="F15" t="n">
        <v>3</v>
      </c>
      <c r="G15" t="inlineStr">
        <is>
          <t>BG001, BG002, BG006</t>
        </is>
      </c>
      <c r="H15" t="inlineStr">
        <is>
          <t>1 Agustus 2019</t>
        </is>
      </c>
      <c r="I15" s="2" t="n">
        <v>46237</v>
      </c>
      <c r="J15" t="inlineStr">
        <is>
          <t>Pencabutan</t>
        </is>
      </c>
      <c r="K15" t="n">
        <v>30</v>
      </c>
      <c r="L15" t="inlineStr">
        <is>
          <t>3 Agustus 2026</t>
        </is>
      </c>
      <c r="M15" t="inlineStr">
        <is>
          <t>Konstruksi Gedung Hunian, Konstruksi Gedung Pendidikan, Konstruksi Gedung Perkantoran</t>
        </is>
      </c>
      <c r="N15" t="inlineStr">
        <is>
          <t>K</t>
        </is>
      </c>
      <c r="O15" t="inlineStr">
        <is>
          <t>20230803</t>
        </is>
      </c>
      <c r="P15" t="inlineStr">
        <is>
          <t>DKI Jakarta</t>
        </is>
      </c>
      <c r="Q15" s="3">
        <f>HYPERLINK("https://wa.me/6281210200032?text=*[Pengingat Masa Berlaku SBU ROESMORA UTAMA MANDIRI]*%0A%0AYth. Pimpinan ROESMORA UTAMA MANDIRI,%0AMohon izin menginformasikan status SBU Anda:%0A%0A📄 SBU: BG001, BG002, BG006%0A📅 Expired: 3 Agustus 2026 (30 Hari Lagi)%0A%0AKami tim PT. ESDEA Assistance Management siap men-support proses perpanjangan segera agar administrasi proyek tidak terhambat%0A%0AApakah boleh saya bantu siapkan estimasi biaya dan waktu pengerjaannya?.", "Hubungi")</f>
        <v/>
      </c>
    </row>
    <row r="16">
      <c r="A16" t="inlineStr">
        <is>
          <t>VAN GOGH DECIND</t>
        </is>
      </c>
      <c r="B16" t="inlineStr">
        <is>
          <t>Kota Adm. Jakarta Timur</t>
        </is>
      </c>
      <c r="C16" t="inlineStr">
        <is>
          <t>081290147471</t>
        </is>
      </c>
      <c r="D16" t="inlineStr">
        <is>
          <t>vangoghdecind@gmail.com</t>
        </is>
      </c>
      <c r="E16" t="inlineStr">
        <is>
          <t>https://lpjk.pu.go.id/search-badan-usaha-detail/K0srcTJjY3lWZEthbGtnWVpqcUZwOGRPRjBoblhPaXQ0WTcxbkFMakVqOD0</t>
        </is>
      </c>
      <c r="F16" t="n">
        <v>3</v>
      </c>
      <c r="G16" t="inlineStr">
        <is>
          <t>PB003, PB004, PB007</t>
        </is>
      </c>
      <c r="H16" t="inlineStr">
        <is>
          <t>23 Desember 2024</t>
        </is>
      </c>
      <c r="I16" s="2" t="n">
        <v>46237</v>
      </c>
      <c r="J16" t="inlineStr">
        <is>
          <t>Disetujui</t>
        </is>
      </c>
      <c r="K16" t="n">
        <v>30</v>
      </c>
      <c r="L16" t="inlineStr">
        <is>
          <t>3 Agustus 2026</t>
        </is>
      </c>
      <c r="M16" t="inlineStr">
        <is>
          <t>Dekorasi Interior, Pengecatan, Pengerjaan Lantai, Dinding, Peralatan Saniter dan Plafon</t>
        </is>
      </c>
      <c r="N16" t="inlineStr">
        <is>
          <t>Spesialis</t>
        </is>
      </c>
      <c r="O16" t="inlineStr">
        <is>
          <t>20230803</t>
        </is>
      </c>
      <c r="P16" t="inlineStr">
        <is>
          <t>DKI Jakarta</t>
        </is>
      </c>
      <c r="Q16" s="3">
        <f>HYPERLINK("https://wa.me/6281290147471?text=*[Pengingat Masa Berlaku SBU VAN GOGH DECIND]*%0A%0AYth. Pimpinan VAN GOGH DECIND,%0AMohon izin menginformasikan status SBU Anda:%0A%0A📄 SBU: PB003, PB004, PB007%0A📅 Expired: 3 Agustus 2026 (30 Hari Lagi)%0A%0AKami tim PT. ESDEA Assistance Management siap men-support proses perpanjangan segera agar administrasi proyek tidak terhambat%0A%0AApakah boleh saya bantu siapkan estimasi biaya dan waktu pengerjaannya?.", "Hubungi")</f>
        <v/>
      </c>
    </row>
    <row r="17">
      <c r="A17" t="inlineStr">
        <is>
          <t>ADHI GRAHA KENCANA</t>
        </is>
      </c>
      <c r="B17" t="inlineStr">
        <is>
          <t>Kota Mataram</t>
        </is>
      </c>
      <c r="C17" t="inlineStr">
        <is>
          <t>0370-633913</t>
        </is>
      </c>
      <c r="D17" t="inlineStr">
        <is>
          <t>adhigrahakencana08@gmail.com</t>
        </is>
      </c>
      <c r="E17" t="inlineStr">
        <is>
          <t>https://lpjk.pu.go.id/search-badan-usaha-detail/YjRrMTZrSG1QWStQZFVid011dUM2dz09</t>
        </is>
      </c>
      <c r="F17" t="n">
        <v>1</v>
      </c>
      <c r="G17" t="inlineStr">
        <is>
          <t>BG005</t>
        </is>
      </c>
      <c r="H17" t="inlineStr">
        <is>
          <t>6 Juni 1989</t>
        </is>
      </c>
      <c r="I17" s="2" t="n">
        <v>46237</v>
      </c>
      <c r="J17" t="inlineStr">
        <is>
          <t>Disetujui</t>
        </is>
      </c>
      <c r="K17" t="n">
        <v>30</v>
      </c>
      <c r="L17" t="inlineStr">
        <is>
          <t>3 Agustus 2026</t>
        </is>
      </c>
      <c r="M17" t="inlineStr">
        <is>
          <t>Konstruksi Gedung Kesehatan</t>
        </is>
      </c>
      <c r="N17" t="inlineStr">
        <is>
          <t>M</t>
        </is>
      </c>
      <c r="O17" t="inlineStr">
        <is>
          <t>20230720</t>
        </is>
      </c>
      <c r="P17" t="inlineStr">
        <is>
          <t>Nusa Tenggara Barat</t>
        </is>
      </c>
      <c r="Q17" t="inlineStr"/>
    </row>
    <row r="18">
      <c r="A18" t="inlineStr">
        <is>
          <t>AGUNG BERLIAN NUSANTARA</t>
        </is>
      </c>
      <c r="B18" t="inlineStr">
        <is>
          <t>Kab. Bojonegoro</t>
        </is>
      </c>
      <c r="C18" t="inlineStr">
        <is>
          <t>081216010967</t>
        </is>
      </c>
      <c r="D18" t="inlineStr">
        <is>
          <t>agungberliannusantara@gmail.com</t>
        </is>
      </c>
      <c r="E18" t="inlineStr">
        <is>
          <t>https://lpjk.pu.go.id/search-badan-usaha-detail/Ymg4Wkx2Tm9HUzVNakx4MXdtbnpaUT09</t>
        </is>
      </c>
      <c r="F18" t="n">
        <v>4</v>
      </c>
      <c r="G18" t="inlineStr">
        <is>
          <t>BG005, BG006</t>
        </is>
      </c>
      <c r="H18" t="inlineStr">
        <is>
          <t>16 Mei 2023</t>
        </is>
      </c>
      <c r="I18" s="2" t="n">
        <v>46237</v>
      </c>
      <c r="J18" t="inlineStr">
        <is>
          <t>Disetujui</t>
        </is>
      </c>
      <c r="K18" t="n">
        <v>30</v>
      </c>
      <c r="L18" t="inlineStr">
        <is>
          <t>3 Agustus 2026</t>
        </is>
      </c>
      <c r="M18" t="inlineStr">
        <is>
          <t>Konstruksi Gedung Kesehatan, Konstruksi Gedung Pendidikan</t>
        </is>
      </c>
      <c r="N18" t="inlineStr">
        <is>
          <t>K</t>
        </is>
      </c>
      <c r="O18" t="inlineStr">
        <is>
          <t>20230803</t>
        </is>
      </c>
      <c r="P18" t="inlineStr">
        <is>
          <t>Jawa Timur</t>
        </is>
      </c>
      <c r="Q18" t="inlineStr"/>
    </row>
    <row r="19">
      <c r="A19" t="inlineStr">
        <is>
          <t>AKBAR PAPUA PERKASA</t>
        </is>
      </c>
      <c r="B19" t="inlineStr">
        <is>
          <t>Kota Jayapura</t>
        </is>
      </c>
      <c r="C19" t="inlineStr">
        <is>
          <t>08114803980</t>
        </is>
      </c>
      <c r="D19" t="inlineStr">
        <is>
          <t>akbarpapuaperkasa@gmail.com</t>
        </is>
      </c>
      <c r="E19" t="inlineStr">
        <is>
          <t>https://lpjk.pu.go.id/search-badan-usaha-detail/a1B4SmtRZnBNMGtadUp1M1ZpVFViZz09</t>
        </is>
      </c>
      <c r="F19" t="n">
        <v>1</v>
      </c>
      <c r="G19" t="inlineStr">
        <is>
          <t>BG009</t>
        </is>
      </c>
      <c r="H19" t="inlineStr">
        <is>
          <t>25 Februari 2017</t>
        </is>
      </c>
      <c r="I19" s="2" t="n">
        <v>46237</v>
      </c>
      <c r="J19" t="inlineStr">
        <is>
          <t>Disetujui</t>
        </is>
      </c>
      <c r="K19" t="n">
        <v>30</v>
      </c>
      <c r="L19" t="inlineStr">
        <is>
          <t>3 Agustus 2026</t>
        </is>
      </c>
      <c r="M19" t="inlineStr">
        <is>
          <t>Konstruksi Gedung Lainnya</t>
        </is>
      </c>
      <c r="N19" t="inlineStr">
        <is>
          <t>K</t>
        </is>
      </c>
      <c r="O19" t="inlineStr">
        <is>
          <t>20230802</t>
        </is>
      </c>
      <c r="P19" t="inlineStr">
        <is>
          <t>Papua</t>
        </is>
      </c>
      <c r="Q19" t="inlineStr"/>
    </row>
    <row r="20">
      <c r="A20" t="inlineStr">
        <is>
          <t>AKBAR TEKNIK</t>
        </is>
      </c>
      <c r="B20" t="inlineStr">
        <is>
          <t>Kota Adm. Jakarta Utara</t>
        </is>
      </c>
      <c r="C20" t="inlineStr">
        <is>
          <t>0216513289</t>
        </is>
      </c>
      <c r="D20" t="inlineStr">
        <is>
          <t>akbar.admteknik@gmail.com</t>
        </is>
      </c>
      <c r="E20" t="inlineStr">
        <is>
          <t>https://lpjk.pu.go.id/search-badan-usaha-detail/UU5abEY5ejNWL3BObm9pdk81WThGZz09</t>
        </is>
      </c>
      <c r="F20" t="n">
        <v>1</v>
      </c>
      <c r="G20" t="inlineStr">
        <is>
          <t>BS007</t>
        </is>
      </c>
      <c r="H20" t="inlineStr">
        <is>
          <t>27 Agustus 2007</t>
        </is>
      </c>
      <c r="I20" s="2" t="n">
        <v>46237</v>
      </c>
      <c r="J20" t="inlineStr">
        <is>
          <t>Disetujui</t>
        </is>
      </c>
      <c r="K20" t="n">
        <v>30</v>
      </c>
      <c r="L20" t="inlineStr">
        <is>
          <t>3 Agustus 2026</t>
        </is>
      </c>
      <c r="M20" t="inlineStr">
        <is>
          <t>Konstruksi Bangunan Sipil Elektrikal</t>
        </is>
      </c>
      <c r="N20" t="inlineStr">
        <is>
          <t>K</t>
        </is>
      </c>
      <c r="O20" t="inlineStr">
        <is>
          <t>20230731</t>
        </is>
      </c>
      <c r="P20" t="inlineStr">
        <is>
          <t>DKI Jakarta</t>
        </is>
      </c>
      <c r="Q20" t="inlineStr"/>
    </row>
    <row r="21">
      <c r="A21" t="inlineStr">
        <is>
          <t>ALDILA SEJAHTERA ABADI</t>
        </is>
      </c>
      <c r="B21" t="inlineStr">
        <is>
          <t>Kab. Bandung</t>
        </is>
      </c>
      <c r="C21" t="inlineStr">
        <is>
          <t>0881022346492</t>
        </is>
      </c>
      <c r="D21" t="inlineStr">
        <is>
          <t>cvaldilasejahtera@gmail.com</t>
        </is>
      </c>
      <c r="E21" t="inlineStr">
        <is>
          <t>https://lpjk.pu.go.id/search-badan-usaha-detail/QjRyS3NmN0ExZzZiR1A0M084WTZuZz09</t>
        </is>
      </c>
      <c r="F21" t="n">
        <v>1</v>
      </c>
      <c r="G21" t="inlineStr">
        <is>
          <t>BG009</t>
        </is>
      </c>
      <c r="H21" t="inlineStr">
        <is>
          <t>20 Desember 2022</t>
        </is>
      </c>
      <c r="I21" s="2" t="n">
        <v>46237</v>
      </c>
      <c r="J21" t="inlineStr">
        <is>
          <t>Disetujui</t>
        </is>
      </c>
      <c r="K21" t="n">
        <v>30</v>
      </c>
      <c r="L21" t="inlineStr">
        <is>
          <t>3 Agustus 2026</t>
        </is>
      </c>
      <c r="M21" t="inlineStr">
        <is>
          <t>Konstruksi Gedung Lainnya</t>
        </is>
      </c>
      <c r="N21" t="inlineStr">
        <is>
          <t>K</t>
        </is>
      </c>
      <c r="O21" t="inlineStr">
        <is>
          <t>20230803</t>
        </is>
      </c>
      <c r="P21" t="inlineStr">
        <is>
          <t>Jawa Barat</t>
        </is>
      </c>
      <c r="Q21" t="inlineStr"/>
    </row>
    <row r="22">
      <c r="A22" t="inlineStr">
        <is>
          <t>ALFAQOM ZEJADA</t>
        </is>
      </c>
      <c r="B22" t="inlineStr">
        <is>
          <t>Kota Padang</t>
        </is>
      </c>
      <c r="C22" t="inlineStr">
        <is>
          <t>082312127623</t>
        </is>
      </c>
      <c r="D22" t="inlineStr">
        <is>
          <t>cvalfaqomzejada23@gmail.com</t>
        </is>
      </c>
      <c r="E22" t="inlineStr">
        <is>
          <t>https://lpjk.pu.go.id/search-badan-usaha-detail/bU11d3hpS0lraTBWS25QQlJTWk9pZz09</t>
        </is>
      </c>
      <c r="F22" t="n">
        <v>1</v>
      </c>
      <c r="G22" t="inlineStr">
        <is>
          <t>BS001</t>
        </is>
      </c>
      <c r="H22" t="inlineStr">
        <is>
          <t>31 Januari 2023</t>
        </is>
      </c>
      <c r="I22" s="2" t="n">
        <v>46237</v>
      </c>
      <c r="J22" t="inlineStr">
        <is>
          <t>Disetujui</t>
        </is>
      </c>
      <c r="K22" t="n">
        <v>30</v>
      </c>
      <c r="L22" t="inlineStr">
        <is>
          <t>3 Agustus 2026</t>
        </is>
      </c>
      <c r="M22" t="inlineStr">
        <is>
          <t>Konstruksi Bangunan Sipil Jalan</t>
        </is>
      </c>
      <c r="N22" t="inlineStr">
        <is>
          <t>K</t>
        </is>
      </c>
      <c r="O22" t="inlineStr">
        <is>
          <t>20230726</t>
        </is>
      </c>
      <c r="P22" t="inlineStr">
        <is>
          <t>Sumatera Barat</t>
        </is>
      </c>
      <c r="Q22" t="inlineStr"/>
    </row>
    <row r="23">
      <c r="A23" t="inlineStr">
        <is>
          <t>ALFARIZKI DUTA CEMERLANG</t>
        </is>
      </c>
      <c r="B23" t="inlineStr">
        <is>
          <t>Kab. Asahan</t>
        </is>
      </c>
      <c r="C23" t="inlineStr">
        <is>
          <t>081382246515</t>
        </is>
      </c>
      <c r="D23" t="inlineStr">
        <is>
          <t>admin@groupalfarizki.com</t>
        </is>
      </c>
      <c r="E23" t="inlineStr">
        <is>
          <t>https://lpjk.pu.go.id/search-badan-usaha-detail/QmQxK1dLMHcxODB2bmpPdVFVanc2UT09</t>
        </is>
      </c>
      <c r="F23" t="n">
        <v>2</v>
      </c>
      <c r="G23" t="inlineStr">
        <is>
          <t>BG008</t>
        </is>
      </c>
      <c r="H23" t="inlineStr">
        <is>
          <t>13 Januari 2023</t>
        </is>
      </c>
      <c r="I23" s="2" t="n">
        <v>46237</v>
      </c>
      <c r="J23" t="inlineStr">
        <is>
          <t>Disetujui</t>
        </is>
      </c>
      <c r="K23" t="n">
        <v>30</v>
      </c>
      <c r="L23" t="inlineStr">
        <is>
          <t>3 Agustus 2026</t>
        </is>
      </c>
      <c r="M23" t="inlineStr">
        <is>
          <t>Konstruksi Gedung Tempat Hiburan dan Olahraga</t>
        </is>
      </c>
      <c r="N23" t="inlineStr">
        <is>
          <t>K</t>
        </is>
      </c>
      <c r="O23" t="inlineStr">
        <is>
          <t>20230801</t>
        </is>
      </c>
      <c r="P23" t="inlineStr">
        <is>
          <t>Sumatera Utara</t>
        </is>
      </c>
      <c r="Q23" t="inlineStr"/>
    </row>
    <row r="24">
      <c r="A24" t="inlineStr">
        <is>
          <t>ALFATA</t>
        </is>
      </c>
      <c r="B24" t="inlineStr">
        <is>
          <t>Kab. Blitar</t>
        </is>
      </c>
      <c r="C24" t="inlineStr">
        <is>
          <t>081233579981</t>
        </is>
      </c>
      <c r="D24" t="inlineStr">
        <is>
          <t>alfata.cv@gmail.com</t>
        </is>
      </c>
      <c r="E24" t="inlineStr">
        <is>
          <t>https://lpjk.pu.go.id/search-badan-usaha-detail/SkRzRFFuS053cHJsRjVpUk9MTVE0UT09</t>
        </is>
      </c>
      <c r="F24" t="n">
        <v>2</v>
      </c>
      <c r="G24" t="inlineStr">
        <is>
          <t>BG006</t>
        </is>
      </c>
      <c r="H24" t="inlineStr">
        <is>
          <t>17 Januari 2018</t>
        </is>
      </c>
      <c r="I24" s="2" t="n">
        <v>46237</v>
      </c>
      <c r="J24" t="inlineStr">
        <is>
          <t>Disetujui</t>
        </is>
      </c>
      <c r="K24" t="n">
        <v>30</v>
      </c>
      <c r="L24" t="inlineStr">
        <is>
          <t>3 Agustus 2026</t>
        </is>
      </c>
      <c r="M24" t="inlineStr">
        <is>
          <t>Konstruksi Gedung Pendidikan</t>
        </is>
      </c>
      <c r="N24" t="inlineStr">
        <is>
          <t>K</t>
        </is>
      </c>
      <c r="O24" t="inlineStr">
        <is>
          <t>20230729</t>
        </is>
      </c>
      <c r="P24" t="inlineStr">
        <is>
          <t>Jawa Timur</t>
        </is>
      </c>
      <c r="Q24" t="inlineStr"/>
    </row>
    <row r="25">
      <c r="A25" t="inlineStr">
        <is>
          <t>ALMANOVA JAYA PERSADA</t>
        </is>
      </c>
      <c r="B25" t="inlineStr">
        <is>
          <t>Kab. Tangerang</t>
        </is>
      </c>
      <c r="C25" t="inlineStr">
        <is>
          <t>089652644599</t>
        </is>
      </c>
      <c r="D25" t="inlineStr">
        <is>
          <t>kholil.ptajp@gmail.com</t>
        </is>
      </c>
      <c r="E25" t="inlineStr">
        <is>
          <t>https://lpjk.pu.go.id/search-badan-usaha-detail/a3grZUtpZGdJSENqcXVFcndEMjNBZz09</t>
        </is>
      </c>
      <c r="F25" t="n">
        <v>1</v>
      </c>
      <c r="G25" t="inlineStr">
        <is>
          <t>BG009</t>
        </is>
      </c>
      <c r="H25" t="inlineStr">
        <is>
          <t>17 Juli 2018</t>
        </is>
      </c>
      <c r="I25" s="2" t="n">
        <v>46237</v>
      </c>
      <c r="J25" t="inlineStr">
        <is>
          <t>Disetujui</t>
        </is>
      </c>
      <c r="K25" t="n">
        <v>30</v>
      </c>
      <c r="L25" t="inlineStr">
        <is>
          <t>3 Agustus 2026</t>
        </is>
      </c>
      <c r="M25" t="inlineStr">
        <is>
          <t>Konstruksi Gedung Lainnya</t>
        </is>
      </c>
      <c r="N25" t="inlineStr">
        <is>
          <t>K</t>
        </is>
      </c>
      <c r="O25" t="inlineStr">
        <is>
          <t>20230803</t>
        </is>
      </c>
      <c r="P25" t="inlineStr">
        <is>
          <t>Banten</t>
        </is>
      </c>
      <c r="Q25" t="inlineStr"/>
    </row>
    <row r="26">
      <c r="A26" t="inlineStr">
        <is>
          <t>AMRU</t>
        </is>
      </c>
      <c r="B26" t="inlineStr">
        <is>
          <t>Kab. Kuningan</t>
        </is>
      </c>
      <c r="C26" t="inlineStr">
        <is>
          <t>08992111799</t>
        </is>
      </c>
      <c r="D26" t="inlineStr">
        <is>
          <t>amru_inc@yahoo.com</t>
        </is>
      </c>
      <c r="E26" t="inlineStr">
        <is>
          <t>https://lpjk.pu.go.id/search-badan-usaha-detail/dUR4dmdoWHBMTGVObHJtVzdRTUhYQT09</t>
        </is>
      </c>
      <c r="F26" t="n">
        <v>1</v>
      </c>
      <c r="G26" t="inlineStr">
        <is>
          <t>BS005</t>
        </is>
      </c>
      <c r="H26" t="inlineStr">
        <is>
          <t>30 Januari 2007</t>
        </is>
      </c>
      <c r="I26" s="2" t="n">
        <v>46237</v>
      </c>
      <c r="J26" t="inlineStr">
        <is>
          <t>Disetujui</t>
        </is>
      </c>
      <c r="K26" t="n">
        <v>30</v>
      </c>
      <c r="L26" t="inlineStr">
        <is>
          <t>3 Agustus 2026</t>
        </is>
      </c>
      <c r="M26" t="inlineStr">
        <is>
          <t>Konstruksi Bangunan Sipil Pengolahan Air Bersih</t>
        </is>
      </c>
      <c r="N26" t="inlineStr">
        <is>
          <t>K</t>
        </is>
      </c>
      <c r="O26" t="inlineStr">
        <is>
          <t>20230731</t>
        </is>
      </c>
      <c r="P26" t="inlineStr">
        <is>
          <t>Jawa Barat</t>
        </is>
      </c>
      <c r="Q26" t="inlineStr"/>
    </row>
    <row r="27">
      <c r="A27" t="inlineStr">
        <is>
          <t>ANTAREJA PERDANA SAKTI</t>
        </is>
      </c>
      <c r="B27" t="inlineStr">
        <is>
          <t>Kota Tangerang</t>
        </is>
      </c>
      <c r="C27" t="inlineStr">
        <is>
          <t>087871723662</t>
        </is>
      </c>
      <c r="D27" t="inlineStr">
        <is>
          <t>b16_70pih@yahoo.com</t>
        </is>
      </c>
      <c r="E27" t="inlineStr">
        <is>
          <t>https://lpjk.pu.go.id/search-badan-usaha-detail/Q09ndmtJZ0g5b1BGUnk4Q2ZuZWUyUT09</t>
        </is>
      </c>
      <c r="F27" t="n">
        <v>1</v>
      </c>
      <c r="G27" t="inlineStr">
        <is>
          <t>BS010</t>
        </is>
      </c>
      <c r="H27" t="inlineStr">
        <is>
          <t>3 Agustus 2012</t>
        </is>
      </c>
      <c r="I27" s="2" t="n">
        <v>46237</v>
      </c>
      <c r="J27" t="inlineStr">
        <is>
          <t>Disetujui</t>
        </is>
      </c>
      <c r="K27" t="n">
        <v>30</v>
      </c>
      <c r="L27" t="inlineStr">
        <is>
          <t>3 Agustus 2026</t>
        </is>
      </c>
      <c r="M27" t="inlineStr">
        <is>
          <t>Konstruksi Bangunan Prasarana Sumber Daya Air</t>
        </is>
      </c>
      <c r="N27" t="inlineStr">
        <is>
          <t>K</t>
        </is>
      </c>
      <c r="O27" t="inlineStr">
        <is>
          <t>20230802</t>
        </is>
      </c>
      <c r="P27" t="inlineStr">
        <is>
          <t>Banten</t>
        </is>
      </c>
      <c r="Q27" t="inlineStr"/>
    </row>
    <row r="28">
      <c r="A28" t="inlineStr">
        <is>
          <t>ANUGERAH CITRA KELUARGA</t>
        </is>
      </c>
      <c r="B28" t="inlineStr">
        <is>
          <t>Kota Pasuruan</t>
        </is>
      </c>
      <c r="C28" t="inlineStr">
        <is>
          <t>081333127227</t>
        </is>
      </c>
      <c r="D28" t="inlineStr">
        <is>
          <t>anugerahck31@gmail.com</t>
        </is>
      </c>
      <c r="E28" t="inlineStr">
        <is>
          <t>https://lpjk.pu.go.id/search-badan-usaha-detail/WDc1Wi9uaUp1bUZxeGRTSmVOem5Edz09</t>
        </is>
      </c>
      <c r="F28" t="n">
        <v>1</v>
      </c>
      <c r="G28" t="inlineStr">
        <is>
          <t>BS001</t>
        </is>
      </c>
      <c r="H28" t="inlineStr">
        <is>
          <t>22 Juli 2002</t>
        </is>
      </c>
      <c r="I28" s="2" t="n">
        <v>46237</v>
      </c>
      <c r="J28" t="inlineStr">
        <is>
          <t>Disetujui</t>
        </is>
      </c>
      <c r="K28" t="n">
        <v>30</v>
      </c>
      <c r="L28" t="inlineStr">
        <is>
          <t>3 Agustus 2026</t>
        </is>
      </c>
      <c r="M28" t="inlineStr">
        <is>
          <t>Konstruksi Bangunan Sipil Jalan</t>
        </is>
      </c>
      <c r="N28" t="inlineStr">
        <is>
          <t>K</t>
        </is>
      </c>
      <c r="O28" t="inlineStr">
        <is>
          <t>20230731</t>
        </is>
      </c>
      <c r="P28" t="inlineStr">
        <is>
          <t>Jawa Timur</t>
        </is>
      </c>
      <c r="Q28" t="inlineStr"/>
    </row>
    <row r="29">
      <c r="A29" t="inlineStr">
        <is>
          <t>ANUGERAH NASIONAL TRANSPORT</t>
        </is>
      </c>
      <c r="B29" t="inlineStr">
        <is>
          <t>Kab. Langkat</t>
        </is>
      </c>
      <c r="C29" t="inlineStr">
        <is>
          <t>082168107975</t>
        </is>
      </c>
      <c r="D29" t="inlineStr">
        <is>
          <t>ANUGERAHNASIONAL2023@gmail.com</t>
        </is>
      </c>
      <c r="E29" t="inlineStr">
        <is>
          <t>https://lpjk.pu.go.id/search-badan-usaha-detail/TU1yNDJKRVVua0t4cHZIREdzd1huZz09</t>
        </is>
      </c>
      <c r="F29" t="n">
        <v>1</v>
      </c>
      <c r="G29" t="inlineStr">
        <is>
          <t>BS001</t>
        </is>
      </c>
      <c r="H29" t="inlineStr">
        <is>
          <t>27 Maret 2023</t>
        </is>
      </c>
      <c r="I29" s="2" t="n">
        <v>46237</v>
      </c>
      <c r="J29" t="inlineStr">
        <is>
          <t>Pencabutan</t>
        </is>
      </c>
      <c r="K29" t="n">
        <v>30</v>
      </c>
      <c r="L29" t="inlineStr">
        <is>
          <t>3 Agustus 2026</t>
        </is>
      </c>
      <c r="M29" t="inlineStr">
        <is>
          <t>Konstruksi Bangunan Sipil Jalan</t>
        </is>
      </c>
      <c r="N29" t="inlineStr">
        <is>
          <t>K</t>
        </is>
      </c>
      <c r="O29" t="inlineStr">
        <is>
          <t>20230508</t>
        </is>
      </c>
      <c r="P29" t="inlineStr">
        <is>
          <t>Sumatera Utara</t>
        </is>
      </c>
      <c r="Q29" t="inlineStr"/>
    </row>
    <row r="30">
      <c r="A30" t="inlineStr">
        <is>
          <t>ANUGRAH BERSAMA</t>
        </is>
      </c>
      <c r="B30" t="inlineStr">
        <is>
          <t>Kab. Tanah Laut</t>
        </is>
      </c>
      <c r="C30" t="inlineStr">
        <is>
          <t>082153559220</t>
        </is>
      </c>
      <c r="D30" t="inlineStr">
        <is>
          <t>anugrah.bersama0806@gmail.com</t>
        </is>
      </c>
      <c r="E30" t="inlineStr">
        <is>
          <t>https://lpjk.pu.go.id/search-badan-usaha-detail/ZmtPOEg0dVJXak5RclZrclJyVVIyUT09</t>
        </is>
      </c>
      <c r="F30" t="n">
        <v>4</v>
      </c>
      <c r="G30" t="inlineStr">
        <is>
          <t>BG009, BS004</t>
        </is>
      </c>
      <c r="H30" t="inlineStr">
        <is>
          <t>4 April 2017</t>
        </is>
      </c>
      <c r="I30" s="2" t="n">
        <v>46237</v>
      </c>
      <c r="J30" t="inlineStr">
        <is>
          <t>Disetujui</t>
        </is>
      </c>
      <c r="K30" t="n">
        <v>30</v>
      </c>
      <c r="L30" t="inlineStr">
        <is>
          <t>3 Agustus 2026</t>
        </is>
      </c>
      <c r="M30" t="inlineStr">
        <is>
          <t>Konstruksi Gedung Lainnya, Konstruksi Jaringan Irigasi dan Drainase</t>
        </is>
      </c>
      <c r="N30" t="inlineStr">
        <is>
          <t>K</t>
        </is>
      </c>
      <c r="O30" t="inlineStr">
        <is>
          <t>20230727</t>
        </is>
      </c>
      <c r="P30" t="inlineStr">
        <is>
          <t>Kalimantan Selatan</t>
        </is>
      </c>
      <c r="Q30" t="inlineStr"/>
    </row>
    <row r="31">
      <c r="A31" t="inlineStr">
        <is>
          <t>ANUGRAH HANIN ABADI</t>
        </is>
      </c>
      <c r="B31" t="inlineStr">
        <is>
          <t>Kab. Blitar</t>
        </is>
      </c>
      <c r="C31" t="inlineStr">
        <is>
          <t>085648291001</t>
        </is>
      </c>
      <c r="D31" t="inlineStr">
        <is>
          <t>anugerahhaninabadi.cv@gmail.com</t>
        </is>
      </c>
      <c r="E31" t="inlineStr">
        <is>
          <t>https://lpjk.pu.go.id/search-badan-usaha-detail/T0grUzN4WEVaQ244U2Y0elFnUnBQZz09</t>
        </is>
      </c>
      <c r="F31" t="n">
        <v>2</v>
      </c>
      <c r="G31" t="inlineStr">
        <is>
          <t>BS004</t>
        </is>
      </c>
      <c r="H31" t="inlineStr">
        <is>
          <t>5 Juni 2015</t>
        </is>
      </c>
      <c r="I31" s="2" t="n">
        <v>46237</v>
      </c>
      <c r="J31" t="inlineStr">
        <is>
          <t>Disetujui</t>
        </is>
      </c>
      <c r="K31" t="n">
        <v>30</v>
      </c>
      <c r="L31" t="inlineStr">
        <is>
          <t>3 Agustus 2026</t>
        </is>
      </c>
      <c r="M31" t="inlineStr">
        <is>
          <t>Konstruksi Jaringan Irigasi dan Drainase</t>
        </is>
      </c>
      <c r="N31" t="inlineStr">
        <is>
          <t>K</t>
        </is>
      </c>
      <c r="O31" t="inlineStr">
        <is>
          <t>20230728</t>
        </is>
      </c>
      <c r="P31" t="inlineStr">
        <is>
          <t>Jawa Timur</t>
        </is>
      </c>
      <c r="Q31" t="inlineStr"/>
    </row>
    <row r="32">
      <c r="A32" t="inlineStr">
        <is>
          <t>ARAYA KARYA</t>
        </is>
      </c>
      <c r="B32" t="inlineStr">
        <is>
          <t>Kab. Pati</t>
        </is>
      </c>
      <c r="C32" t="inlineStr">
        <is>
          <t>081252532055</t>
        </is>
      </c>
      <c r="D32" t="inlineStr">
        <is>
          <t>araya_karya@yahoo.co.id</t>
        </is>
      </c>
      <c r="E32" t="inlineStr">
        <is>
          <t>https://lpjk.pu.go.id/search-badan-usaha-detail/MlZuaG80dGZMcHdtbVlPWmpKdDVuZz09</t>
        </is>
      </c>
      <c r="F32" t="n">
        <v>4</v>
      </c>
      <c r="G32" t="inlineStr">
        <is>
          <t>BS001, BS004</t>
        </is>
      </c>
      <c r="H32" t="inlineStr">
        <is>
          <t>14 Juli 2014</t>
        </is>
      </c>
      <c r="I32" s="2" t="n">
        <v>46237</v>
      </c>
      <c r="J32" t="inlineStr">
        <is>
          <t>Disetujui, Pencabutan</t>
        </is>
      </c>
      <c r="K32" t="n">
        <v>30</v>
      </c>
      <c r="L32" t="inlineStr">
        <is>
          <t>3 Agustus 2026</t>
        </is>
      </c>
      <c r="M32" t="inlineStr">
        <is>
          <t>Konstruksi Bangunan Sipil Jalan, Konstruksi Jaringan Irigasi dan Drainase</t>
        </is>
      </c>
      <c r="N32" t="inlineStr">
        <is>
          <t>K</t>
        </is>
      </c>
      <c r="O32" t="inlineStr">
        <is>
          <t>20230802</t>
        </is>
      </c>
      <c r="P32" t="inlineStr">
        <is>
          <t>Jawa Tengah</t>
        </is>
      </c>
      <c r="Q32" t="inlineStr"/>
    </row>
    <row r="33">
      <c r="A33" t="inlineStr">
        <is>
          <t>ARIE MANDIRI</t>
        </is>
      </c>
      <c r="B33" t="inlineStr">
        <is>
          <t>Kota Pontianak</t>
        </is>
      </c>
      <c r="C33" t="inlineStr">
        <is>
          <t>08999444678</t>
        </is>
      </c>
      <c r="D33" t="inlineStr">
        <is>
          <t>cv_ariemandiri@yahoo.com</t>
        </is>
      </c>
      <c r="E33" t="inlineStr">
        <is>
          <t>https://lpjk.pu.go.id/search-badan-usaha-detail/WE9RZjlrVkU4c1FVNHk0Nm5ydEw5Zz09</t>
        </is>
      </c>
      <c r="F33" t="n">
        <v>3</v>
      </c>
      <c r="G33" t="inlineStr">
        <is>
          <t>RK001, RK002, RK003</t>
        </is>
      </c>
      <c r="H33" t="inlineStr">
        <is>
          <t>18 Januari 2016</t>
        </is>
      </c>
      <c r="I33" s="2" t="n">
        <v>46237</v>
      </c>
      <c r="J33" t="inlineStr">
        <is>
          <t>Disetujui</t>
        </is>
      </c>
      <c r="K33" t="n">
        <v>30</v>
      </c>
      <c r="L33" t="inlineStr">
        <is>
          <t>3 Agustus 2026</t>
        </is>
      </c>
      <c r="M33" t="inlineStr">
        <is>
          <t>Jasa Rekayasa Konstruksi Bangunan Gedung Hunian dan Non Hunian, Jasa Rekayasa Pekerjaan Teknik Sipil Sumber Daya Air, Jasa Rekayasa Pekerjaan Teknik Sipil Transportasi</t>
        </is>
      </c>
      <c r="N33" t="inlineStr">
        <is>
          <t>K</t>
        </is>
      </c>
      <c r="O33" t="inlineStr">
        <is>
          <t>20230713</t>
        </is>
      </c>
      <c r="P33" t="inlineStr">
        <is>
          <t>Kalimantan Barat</t>
        </is>
      </c>
      <c r="Q33" t="inlineStr"/>
    </row>
    <row r="34">
      <c r="A34" t="inlineStr">
        <is>
          <t>ARIONMA KARYA</t>
        </is>
      </c>
      <c r="B34" t="inlineStr">
        <is>
          <t>Kota Bitung</t>
        </is>
      </c>
      <c r="C34" t="inlineStr">
        <is>
          <t>081356813333</t>
        </is>
      </c>
      <c r="D34" t="inlineStr">
        <is>
          <t>arionmakarya@gmail.com</t>
        </is>
      </c>
      <c r="E34" t="inlineStr">
        <is>
          <t>https://lpjk.pu.go.id/search-badan-usaha-detail/WXJFMWlnREpJQThNMDRMcmZhSU1MQT09</t>
        </is>
      </c>
      <c r="F34" t="n">
        <v>1</v>
      </c>
      <c r="G34" t="inlineStr">
        <is>
          <t>BS004</t>
        </is>
      </c>
      <c r="H34" t="inlineStr">
        <is>
          <t>28 Januari 2000</t>
        </is>
      </c>
      <c r="I34" s="2" t="n">
        <v>46237</v>
      </c>
      <c r="J34" t="inlineStr">
        <is>
          <t>Disetujui</t>
        </is>
      </c>
      <c r="K34" t="n">
        <v>30</v>
      </c>
      <c r="L34" t="inlineStr">
        <is>
          <t>3 Agustus 2026</t>
        </is>
      </c>
      <c r="M34" t="inlineStr">
        <is>
          <t>Konstruksi Jaringan Irigasi dan Drainase</t>
        </is>
      </c>
      <c r="N34" t="inlineStr">
        <is>
          <t>K</t>
        </is>
      </c>
      <c r="O34" t="inlineStr">
        <is>
          <t>20230803</t>
        </is>
      </c>
      <c r="P34" t="inlineStr">
        <is>
          <t>Sulawesi Utara</t>
        </is>
      </c>
      <c r="Q34" t="inlineStr"/>
    </row>
    <row r="35">
      <c r="A35" t="inlineStr">
        <is>
          <t>ARSHAKA PUTRA</t>
        </is>
      </c>
      <c r="B35" t="inlineStr">
        <is>
          <t>Kab. Magelang</t>
        </is>
      </c>
      <c r="C35" t="inlineStr">
        <is>
          <t>081227800088</t>
        </is>
      </c>
      <c r="D35" t="inlineStr">
        <is>
          <t>arshakaputra46@gmail.com</t>
        </is>
      </c>
      <c r="E35" t="inlineStr">
        <is>
          <t>https://lpjk.pu.go.id/search-badan-usaha-detail/amxBUzd4eHJ6YzRhN1kveFBkaXNtQT09</t>
        </is>
      </c>
      <c r="F35" t="n">
        <v>6</v>
      </c>
      <c r="G35" t="inlineStr">
        <is>
          <t>BG005, BG006, BG009</t>
        </is>
      </c>
      <c r="H35" t="inlineStr">
        <is>
          <t>29 April 2019</t>
        </is>
      </c>
      <c r="I35" s="2" t="n">
        <v>46237</v>
      </c>
      <c r="J35" t="inlineStr">
        <is>
          <t>Disetujui, Pencabutan</t>
        </is>
      </c>
      <c r="K35" t="n">
        <v>30</v>
      </c>
      <c r="L35" t="inlineStr">
        <is>
          <t>3 Agustus 2026</t>
        </is>
      </c>
      <c r="M35" t="inlineStr">
        <is>
          <t>Konstruksi Gedung Kesehatan, Konstruksi Gedung Lainnya, Konstruksi Gedung Pendidikan</t>
        </is>
      </c>
      <c r="N35" t="inlineStr">
        <is>
          <t>K</t>
        </is>
      </c>
      <c r="O35" t="inlineStr">
        <is>
          <t>20230803</t>
        </is>
      </c>
      <c r="P35" t="inlineStr">
        <is>
          <t>Jawa Tengah</t>
        </is>
      </c>
      <c r="Q35" t="inlineStr"/>
    </row>
    <row r="36">
      <c r="A36" t="inlineStr">
        <is>
          <t>ARSINDO</t>
        </is>
      </c>
      <c r="B36" t="inlineStr">
        <is>
          <t>Kota Bengkulu</t>
        </is>
      </c>
      <c r="C36" t="inlineStr">
        <is>
          <t>085269841288</t>
        </is>
      </c>
      <c r="D36" t="inlineStr">
        <is>
          <t>cvarsindokonsultan123@gmail.com</t>
        </is>
      </c>
      <c r="E36" t="inlineStr">
        <is>
          <t>https://lpjk.pu.go.id/search-badan-usaha-detail/REtybUJMNUd4bDJZYitrZXlrR3hEdz09</t>
        </is>
      </c>
      <c r="F36" t="n">
        <v>2</v>
      </c>
      <c r="G36" t="inlineStr">
        <is>
          <t>RK001, RK003</t>
        </is>
      </c>
      <c r="H36" t="inlineStr">
        <is>
          <t>11 Desember 1993</t>
        </is>
      </c>
      <c r="I36" s="2" t="n">
        <v>46237</v>
      </c>
      <c r="J36" t="inlineStr">
        <is>
          <t>Disetujui</t>
        </is>
      </c>
      <c r="K36" t="n">
        <v>30</v>
      </c>
      <c r="L36" t="inlineStr">
        <is>
          <t>3 Agustus 2026</t>
        </is>
      </c>
      <c r="M36" t="inlineStr">
        <is>
          <t>Jasa Rekayasa Konstruksi Bangunan Gedung Hunian dan Non Hunian, Jasa Rekayasa Pekerjaan Teknik Sipil Transportasi</t>
        </is>
      </c>
      <c r="N36" t="inlineStr">
        <is>
          <t>K</t>
        </is>
      </c>
      <c r="O36" t="inlineStr">
        <is>
          <t>20230720</t>
        </is>
      </c>
      <c r="P36" t="inlineStr">
        <is>
          <t>Bengkulu</t>
        </is>
      </c>
      <c r="Q36" t="inlineStr"/>
    </row>
    <row r="37">
      <c r="A37" t="inlineStr">
        <is>
          <t>ARSYFA</t>
        </is>
      </c>
      <c r="B37" t="inlineStr">
        <is>
          <t>Kab. Indragiri Hilir</t>
        </is>
      </c>
      <c r="C37" t="inlineStr">
        <is>
          <t>085232666615</t>
        </is>
      </c>
      <c r="D37" t="inlineStr">
        <is>
          <t>arsyfa2002@gmail.com</t>
        </is>
      </c>
      <c r="E37" t="inlineStr">
        <is>
          <t>https://lpjk.pu.go.id/search-badan-usaha-detail/UytsdlE4c3Mrd0ZYVjNIY1ZNTUl3dz09</t>
        </is>
      </c>
      <c r="F37" t="n">
        <v>2</v>
      </c>
      <c r="G37" t="inlineStr">
        <is>
          <t>BS001</t>
        </is>
      </c>
      <c r="H37" t="inlineStr">
        <is>
          <t>31 Juli 2019</t>
        </is>
      </c>
      <c r="I37" s="2" t="n">
        <v>46237</v>
      </c>
      <c r="J37" t="inlineStr">
        <is>
          <t>Disetujui</t>
        </is>
      </c>
      <c r="K37" t="n">
        <v>30</v>
      </c>
      <c r="L37" t="inlineStr">
        <is>
          <t>3 Agustus 2026</t>
        </is>
      </c>
      <c r="M37" t="inlineStr">
        <is>
          <t>Konstruksi Bangunan Sipil Jalan</t>
        </is>
      </c>
      <c r="N37" t="inlineStr">
        <is>
          <t>K</t>
        </is>
      </c>
      <c r="O37" t="inlineStr">
        <is>
          <t>20230802</t>
        </is>
      </c>
      <c r="P37" t="inlineStr">
        <is>
          <t>Riau</t>
        </is>
      </c>
      <c r="Q37" t="inlineStr"/>
    </row>
    <row r="38">
      <c r="A38" t="inlineStr">
        <is>
          <t>ARUMAN ENGINEERING</t>
        </is>
      </c>
      <c r="B38" t="inlineStr">
        <is>
          <t>Kab. Pangandaran</t>
        </is>
      </c>
      <c r="C38" t="inlineStr">
        <is>
          <t>081224132290</t>
        </is>
      </c>
      <c r="D38" t="inlineStr">
        <is>
          <t>cvarumanengineering@gmail.com</t>
        </is>
      </c>
      <c r="E38" t="inlineStr">
        <is>
          <t>https://lpjk.pu.go.id/search-badan-usaha-detail/bDhCNkNmSnVxWXZxN1JJdi9tQk1LQT09</t>
        </is>
      </c>
      <c r="F38" t="n">
        <v>2</v>
      </c>
      <c r="G38" t="inlineStr">
        <is>
          <t>RK001</t>
        </is>
      </c>
      <c r="H38" t="inlineStr">
        <is>
          <t>27 Oktober 2022</t>
        </is>
      </c>
      <c r="I38" s="2" t="n">
        <v>46237</v>
      </c>
      <c r="J38" t="inlineStr">
        <is>
          <t>Pencabutan</t>
        </is>
      </c>
      <c r="K38" t="n">
        <v>30</v>
      </c>
      <c r="L38" t="inlineStr">
        <is>
          <t>3 Agustus 2026</t>
        </is>
      </c>
      <c r="M38" t="inlineStr">
        <is>
          <t>Jasa Rekayasa Konstruksi Bangunan Gedung Hunian dan Non Hunian</t>
        </is>
      </c>
      <c r="N38" t="inlineStr">
        <is>
          <t>K</t>
        </is>
      </c>
      <c r="O38" t="inlineStr">
        <is>
          <t>20230414</t>
        </is>
      </c>
      <c r="P38" t="inlineStr">
        <is>
          <t>Jawa Barat</t>
        </is>
      </c>
      <c r="Q38" t="inlineStr"/>
    </row>
    <row r="39">
      <c r="A39" t="inlineStr">
        <is>
          <t>ASSABY KONSTRUKSI</t>
        </is>
      </c>
      <c r="B39" t="inlineStr">
        <is>
          <t>Kota Palu</t>
        </is>
      </c>
      <c r="C39" t="inlineStr">
        <is>
          <t>082350635073</t>
        </is>
      </c>
      <c r="D39" t="inlineStr">
        <is>
          <t>cvassabykonstruksi@gmail.com</t>
        </is>
      </c>
      <c r="E39" t="inlineStr">
        <is>
          <t>https://lpjk.pu.go.id/search-badan-usaha-detail/WnlHMWFaRlJZdllXOUZyK2lHYXh0UT09</t>
        </is>
      </c>
      <c r="F39" t="n">
        <v>1</v>
      </c>
      <c r="G39" t="inlineStr">
        <is>
          <t>BG003</t>
        </is>
      </c>
      <c r="H39" t="inlineStr">
        <is>
          <t>12 Agustus 2019</t>
        </is>
      </c>
      <c r="I39" s="2" t="n">
        <v>46237</v>
      </c>
      <c r="J39" t="inlineStr">
        <is>
          <t>Disetujui</t>
        </is>
      </c>
      <c r="K39" t="n">
        <v>30</v>
      </c>
      <c r="L39" t="inlineStr">
        <is>
          <t>3 Agustus 2026</t>
        </is>
      </c>
      <c r="M39" t="inlineStr">
        <is>
          <t>Konstruksi Gedung Industri</t>
        </is>
      </c>
      <c r="N39" t="inlineStr">
        <is>
          <t>K</t>
        </is>
      </c>
      <c r="O39" t="inlineStr">
        <is>
          <t>20230804</t>
        </is>
      </c>
      <c r="P39" t="inlineStr">
        <is>
          <t>Sulawesi Tengah</t>
        </is>
      </c>
      <c r="Q39" t="inlineStr"/>
    </row>
    <row r="40">
      <c r="A40" t="inlineStr">
        <is>
          <t>AZKA KARYA UTAMA</t>
        </is>
      </c>
      <c r="B40" t="inlineStr">
        <is>
          <t>Kota Palembang</t>
        </is>
      </c>
      <c r="C40" t="inlineStr">
        <is>
          <t>081369023764</t>
        </is>
      </c>
      <c r="D40" t="inlineStr">
        <is>
          <t>azka.karyautama2019@gmail.com</t>
        </is>
      </c>
      <c r="E40" t="inlineStr">
        <is>
          <t>https://lpjk.pu.go.id/search-badan-usaha-detail/QmJsbGttUGMrUmloZ3pNbGdETUZ4Zz09</t>
        </is>
      </c>
      <c r="F40" t="n">
        <v>1</v>
      </c>
      <c r="G40" t="inlineStr">
        <is>
          <t>BS010</t>
        </is>
      </c>
      <c r="H40" t="inlineStr">
        <is>
          <t>18 Januari 2016</t>
        </is>
      </c>
      <c r="I40" s="2" t="n">
        <v>46237</v>
      </c>
      <c r="J40" t="inlineStr">
        <is>
          <t>Disetujui</t>
        </is>
      </c>
      <c r="K40" t="n">
        <v>30</v>
      </c>
      <c r="L40" t="inlineStr">
        <is>
          <t>3 Agustus 2026</t>
        </is>
      </c>
      <c r="M40" t="inlineStr">
        <is>
          <t>Konstruksi Bangunan Prasarana Sumber Daya Air</t>
        </is>
      </c>
      <c r="N40" t="inlineStr">
        <is>
          <t>K</t>
        </is>
      </c>
      <c r="O40" t="inlineStr">
        <is>
          <t>20230803</t>
        </is>
      </c>
      <c r="P40" t="inlineStr">
        <is>
          <t>Sumatera Selatan</t>
        </is>
      </c>
      <c r="Q40" t="inlineStr"/>
    </row>
    <row r="41">
      <c r="A41" t="inlineStr">
        <is>
          <t>BALONG INSANI MAKMUR</t>
        </is>
      </c>
      <c r="B41" t="inlineStr">
        <is>
          <t>Kab. Bojonegoro</t>
        </is>
      </c>
      <c r="C41" t="inlineStr">
        <is>
          <t>085234618144</t>
        </is>
      </c>
      <c r="D41" t="inlineStr">
        <is>
          <t>cvbalonginsani@gmail.com</t>
        </is>
      </c>
      <c r="E41" t="inlineStr">
        <is>
          <t>https://lpjk.pu.go.id/search-badan-usaha-detail/cFI1dHp5RHdGNGp4VXF1YjRsdGNXdz09</t>
        </is>
      </c>
      <c r="F41" t="n">
        <v>1</v>
      </c>
      <c r="G41" t="inlineStr">
        <is>
          <t>BS004</t>
        </is>
      </c>
      <c r="H41" t="inlineStr">
        <is>
          <t>27 April 2023</t>
        </is>
      </c>
      <c r="I41" s="2" t="n">
        <v>46237</v>
      </c>
      <c r="J41" t="inlineStr">
        <is>
          <t>Disetujui</t>
        </is>
      </c>
      <c r="K41" t="n">
        <v>30</v>
      </c>
      <c r="L41" t="inlineStr">
        <is>
          <t>3 Agustus 2026</t>
        </is>
      </c>
      <c r="M41" t="inlineStr">
        <is>
          <t>Konstruksi Jaringan Irigasi dan Drainase</t>
        </is>
      </c>
      <c r="N41" t="inlineStr">
        <is>
          <t>K</t>
        </is>
      </c>
      <c r="O41" t="inlineStr">
        <is>
          <t>20230801</t>
        </is>
      </c>
      <c r="P41" t="inlineStr">
        <is>
          <t>Jawa Timur</t>
        </is>
      </c>
      <c r="Q41" t="inlineStr"/>
    </row>
    <row r="42">
      <c r="A42" t="inlineStr">
        <is>
          <t>BANGKIT</t>
        </is>
      </c>
      <c r="B42" t="inlineStr">
        <is>
          <t>Kab. Lamongan</t>
        </is>
      </c>
      <c r="C42" t="inlineStr">
        <is>
          <t>085716912907</t>
        </is>
      </c>
      <c r="D42" t="inlineStr">
        <is>
          <t>cv.bangkit07@gmail.com</t>
        </is>
      </c>
      <c r="E42" t="inlineStr">
        <is>
          <t>https://lpjk.pu.go.id/search-badan-usaha-detail/eTc2QUNYK0ZKQ0RCNjNFV2xWOUxNQT09</t>
        </is>
      </c>
      <c r="F42" t="n">
        <v>1</v>
      </c>
      <c r="G42" t="inlineStr">
        <is>
          <t>BS001</t>
        </is>
      </c>
      <c r="H42" t="inlineStr">
        <is>
          <t>25 September 2000</t>
        </is>
      </c>
      <c r="I42" s="2" t="n">
        <v>46237</v>
      </c>
      <c r="J42" t="inlineStr">
        <is>
          <t>Disetujui</t>
        </is>
      </c>
      <c r="K42" t="n">
        <v>30</v>
      </c>
      <c r="L42" t="inlineStr">
        <is>
          <t>3 Agustus 2026</t>
        </is>
      </c>
      <c r="M42" t="inlineStr">
        <is>
          <t>Konstruksi Bangunan Sipil Jalan</t>
        </is>
      </c>
      <c r="N42" t="inlineStr">
        <is>
          <t>K</t>
        </is>
      </c>
      <c r="O42" t="inlineStr">
        <is>
          <t>20230803</t>
        </is>
      </c>
      <c r="P42" t="inlineStr">
        <is>
          <t>Jawa Timur</t>
        </is>
      </c>
      <c r="Q42" t="inlineStr"/>
    </row>
    <row r="43">
      <c r="A43" t="inlineStr">
        <is>
          <t>BANGKIT DUA SAUDARA</t>
        </is>
      </c>
      <c r="B43" t="inlineStr">
        <is>
          <t>Kab. Sumbawa</t>
        </is>
      </c>
      <c r="C43" t="inlineStr">
        <is>
          <t>082340109563</t>
        </is>
      </c>
      <c r="D43" t="inlineStr">
        <is>
          <t>cvbangkitduasaudara@gmail.com</t>
        </is>
      </c>
      <c r="E43" t="inlineStr">
        <is>
          <t>https://lpjk.pu.go.id/search-badan-usaha-detail/SFJPY1NnY2N1M2RMMmNFSFBVcm9jQT09</t>
        </is>
      </c>
      <c r="F43" t="n">
        <v>3</v>
      </c>
      <c r="G43" t="inlineStr">
        <is>
          <t>BG002, BG006, BG009</t>
        </is>
      </c>
      <c r="H43" t="inlineStr">
        <is>
          <t>11 Februari 2017</t>
        </is>
      </c>
      <c r="I43" s="2" t="n">
        <v>46237</v>
      </c>
      <c r="J43" t="inlineStr">
        <is>
          <t>Disetujui</t>
        </is>
      </c>
      <c r="K43" t="n">
        <v>30</v>
      </c>
      <c r="L43" t="inlineStr">
        <is>
          <t>3 Agustus 2026</t>
        </is>
      </c>
      <c r="M43" t="inlineStr">
        <is>
          <t>Konstruksi Gedung Lainnya, Konstruksi Gedung Pendidikan, Konstruksi Gedung Perkantoran</t>
        </is>
      </c>
      <c r="N43" t="inlineStr">
        <is>
          <t>K</t>
        </is>
      </c>
      <c r="O43" t="inlineStr">
        <is>
          <t>20230731, 20230801</t>
        </is>
      </c>
      <c r="P43" t="inlineStr">
        <is>
          <t>Nusa Tenggara Barat</t>
        </is>
      </c>
      <c r="Q43" t="inlineStr"/>
    </row>
    <row r="44">
      <c r="A44" t="inlineStr">
        <is>
          <t>BANGUN NUSA CENTURINDO</t>
        </is>
      </c>
      <c r="B44" t="inlineStr">
        <is>
          <t>Kota Medan</t>
        </is>
      </c>
      <c r="C44" t="inlineStr">
        <is>
          <t>085372755496</t>
        </is>
      </c>
      <c r="D44" t="inlineStr">
        <is>
          <t>ptbangunnusacenturindo@gmail.com</t>
        </is>
      </c>
      <c r="E44" t="inlineStr">
        <is>
          <t>https://lpjk.pu.go.id/search-badan-usaha-detail/SnVSem5oUkY5Snp5U1czT3UxbWZqQT09</t>
        </is>
      </c>
      <c r="F44" t="n">
        <v>1</v>
      </c>
      <c r="G44" t="inlineStr">
        <is>
          <t>BG009</t>
        </is>
      </c>
      <c r="H44" t="inlineStr">
        <is>
          <t>6 April 2020</t>
        </is>
      </c>
      <c r="I44" s="2" t="n">
        <v>46237</v>
      </c>
      <c r="J44" t="inlineStr">
        <is>
          <t>Disetujui</t>
        </is>
      </c>
      <c r="K44" t="n">
        <v>30</v>
      </c>
      <c r="L44" t="inlineStr">
        <is>
          <t>3 Agustus 2026</t>
        </is>
      </c>
      <c r="M44" t="inlineStr">
        <is>
          <t>Konstruksi Gedung Lainnya</t>
        </is>
      </c>
      <c r="N44" t="inlineStr">
        <is>
          <t>K</t>
        </is>
      </c>
      <c r="O44" t="inlineStr">
        <is>
          <t>20230731</t>
        </is>
      </c>
      <c r="P44" t="inlineStr">
        <is>
          <t>Sumatera Utara</t>
        </is>
      </c>
      <c r="Q44" t="inlineStr"/>
    </row>
    <row r="45">
      <c r="A45" t="inlineStr">
        <is>
          <t>BANGUN PERKASA ADIDAYA</t>
        </is>
      </c>
      <c r="B45" t="inlineStr">
        <is>
          <t>Kota Palembang</t>
        </is>
      </c>
      <c r="C45" t="inlineStr">
        <is>
          <t>07115707222</t>
        </is>
      </c>
      <c r="D45" t="inlineStr">
        <is>
          <t>ptbangunperkasaadidaya@yahoo.com</t>
        </is>
      </c>
      <c r="E45" t="inlineStr">
        <is>
          <t>https://lpjk.pu.go.id/search-badan-usaha-detail/clRtVzFzYXdobHNOaUgvZVRzMDVhZz09</t>
        </is>
      </c>
      <c r="F45" t="n">
        <v>2</v>
      </c>
      <c r="G45" t="inlineStr">
        <is>
          <t>BG002, BG006</t>
        </is>
      </c>
      <c r="H45" t="inlineStr">
        <is>
          <t>11 Januari 2018</t>
        </is>
      </c>
      <c r="I45" s="2" t="n">
        <v>46237</v>
      </c>
      <c r="J45" t="inlineStr">
        <is>
          <t>Pencabutan</t>
        </is>
      </c>
      <c r="K45" t="n">
        <v>30</v>
      </c>
      <c r="L45" t="inlineStr">
        <is>
          <t>3 Agustus 2026</t>
        </is>
      </c>
      <c r="M45" t="inlineStr">
        <is>
          <t>Konstruksi Gedung Pendidikan, Konstruksi Gedung Perkantoran</t>
        </is>
      </c>
      <c r="N45" t="inlineStr">
        <is>
          <t>K</t>
        </is>
      </c>
      <c r="O45" t="inlineStr">
        <is>
          <t>20230731, 20230802</t>
        </is>
      </c>
      <c r="P45" t="inlineStr">
        <is>
          <t>Sumatera Selatan</t>
        </is>
      </c>
      <c r="Q45" t="inlineStr"/>
    </row>
    <row r="46">
      <c r="A46" t="inlineStr">
        <is>
          <t>BANGUN PERSADA</t>
        </is>
      </c>
      <c r="B46" t="inlineStr">
        <is>
          <t>Kab. Cilacap</t>
        </is>
      </c>
      <c r="C46" t="inlineStr">
        <is>
          <t>0280621921</t>
        </is>
      </c>
      <c r="D46" t="inlineStr">
        <is>
          <t>cv.bangunpersda@gmail.com</t>
        </is>
      </c>
      <c r="E46" t="inlineStr">
        <is>
          <t>https://lpjk.pu.go.id/search-badan-usaha-detail/SSs1THovRGdUR0pyYlowUTBGck1sZz09</t>
        </is>
      </c>
      <c r="F46" t="n">
        <v>6</v>
      </c>
      <c r="G46" t="inlineStr">
        <is>
          <t>BG002, BG005, BG006, BG009, BS002, BS004</t>
        </is>
      </c>
      <c r="H46" t="inlineStr">
        <is>
          <t>22 Juni 2012</t>
        </is>
      </c>
      <c r="I46" s="2" t="n">
        <v>46237</v>
      </c>
      <c r="J46" t="inlineStr">
        <is>
          <t>Disetujui, Pencabutan</t>
        </is>
      </c>
      <c r="K46" t="n">
        <v>30</v>
      </c>
      <c r="L46" t="inlineStr">
        <is>
          <t>3 Agustus 2026</t>
        </is>
      </c>
      <c r="M46" t="inlineStr">
        <is>
          <t>Bangunan Sipil Jembatan, Jalan Layang, Fly Over, dan Underpass, Konstruksi Gedung Kesehatan, Konstruksi Gedung Lainnya, Konstruksi Gedung Pendidikan, Konstruksi Gedung Perkantoran, Konstruksi Jaringan Irigasi dan Drainase</t>
        </is>
      </c>
      <c r="N46" t="inlineStr">
        <is>
          <t>K</t>
        </is>
      </c>
      <c r="O46" t="inlineStr">
        <is>
          <t>20230720, 20230731</t>
        </is>
      </c>
      <c r="P46" t="inlineStr">
        <is>
          <t>Jawa Tengah</t>
        </is>
      </c>
      <c r="Q46" t="inlineStr"/>
    </row>
    <row r="47">
      <c r="A47" t="inlineStr">
        <is>
          <t>BARA ABADI GROUP</t>
        </is>
      </c>
      <c r="B47" t="inlineStr">
        <is>
          <t>Kota Pekanbaru</t>
        </is>
      </c>
      <c r="C47" t="inlineStr">
        <is>
          <t>087837479400</t>
        </is>
      </c>
      <c r="D47" t="inlineStr">
        <is>
          <t>groupbaraabadi@gmail.com</t>
        </is>
      </c>
      <c r="E47" t="inlineStr">
        <is>
          <t>https://lpjk.pu.go.id/search-badan-usaha-detail/c3hsLzgzY2pmUGpRZDhLYldJYWNQdz09</t>
        </is>
      </c>
      <c r="F47" t="n">
        <v>4</v>
      </c>
      <c r="G47" t="inlineStr">
        <is>
          <t>BG006, BG009</t>
        </is>
      </c>
      <c r="H47" t="inlineStr">
        <is>
          <t>18 April 2023</t>
        </is>
      </c>
      <c r="I47" s="2" t="n">
        <v>46237</v>
      </c>
      <c r="J47" t="inlineStr">
        <is>
          <t>Disetujui</t>
        </is>
      </c>
      <c r="K47" t="n">
        <v>30</v>
      </c>
      <c r="L47" t="inlineStr">
        <is>
          <t>3 Agustus 2026</t>
        </is>
      </c>
      <c r="M47" t="inlineStr">
        <is>
          <t>Konstruksi Gedung Lainnya, Konstruksi Gedung Pendidikan</t>
        </is>
      </c>
      <c r="N47" t="inlineStr">
        <is>
          <t>K</t>
        </is>
      </c>
      <c r="O47" t="inlineStr">
        <is>
          <t>20230804</t>
        </is>
      </c>
      <c r="P47" t="inlineStr">
        <is>
          <t>Riau</t>
        </is>
      </c>
      <c r="Q47" t="inlineStr"/>
    </row>
    <row r="48">
      <c r="A48" t="inlineStr">
        <is>
          <t>BARASIMA ABADI</t>
        </is>
      </c>
      <c r="B48" t="inlineStr">
        <is>
          <t>Kab. Malang</t>
        </is>
      </c>
      <c r="C48" t="inlineStr">
        <is>
          <t>081357154848</t>
        </is>
      </c>
      <c r="D48" t="inlineStr">
        <is>
          <t>barasima.cv@gmail.com</t>
        </is>
      </c>
      <c r="E48" t="inlineStr">
        <is>
          <t>https://lpjk.pu.go.id/search-badan-usaha-detail/V2R6bDZaNURrNVk0amRMNzJxYUhFQT09</t>
        </is>
      </c>
      <c r="F48" t="n">
        <v>2</v>
      </c>
      <c r="G48" t="inlineStr">
        <is>
          <t>BS004</t>
        </is>
      </c>
      <c r="H48" t="inlineStr">
        <is>
          <t>8 September 2015</t>
        </is>
      </c>
      <c r="I48" s="2" t="n">
        <v>46237</v>
      </c>
      <c r="J48" t="inlineStr">
        <is>
          <t>Disetujui</t>
        </is>
      </c>
      <c r="K48" t="n">
        <v>30</v>
      </c>
      <c r="L48" t="inlineStr">
        <is>
          <t>3 Agustus 2026</t>
        </is>
      </c>
      <c r="M48" t="inlineStr">
        <is>
          <t>Konstruksi Jaringan Irigasi dan Drainase</t>
        </is>
      </c>
      <c r="N48" t="inlineStr">
        <is>
          <t>K</t>
        </is>
      </c>
      <c r="O48" t="inlineStr">
        <is>
          <t>20230728</t>
        </is>
      </c>
      <c r="P48" t="inlineStr">
        <is>
          <t>Jawa Timur</t>
        </is>
      </c>
      <c r="Q48" t="inlineStr"/>
    </row>
    <row r="49">
      <c r="A49" t="inlineStr">
        <is>
          <t>BATARA PERSADA</t>
        </is>
      </c>
      <c r="B49" t="inlineStr">
        <is>
          <t>Kota Makassar</t>
        </is>
      </c>
      <c r="C49" t="inlineStr">
        <is>
          <t>082310637975</t>
        </is>
      </c>
      <c r="D49" t="inlineStr">
        <is>
          <t>batarapersada@yahoo.com</t>
        </is>
      </c>
      <c r="E49" t="inlineStr">
        <is>
          <t>https://lpjk.pu.go.id/search-badan-usaha-detail/VlZEMGs0Y0I4V0l1ZCt5S1VNUHloQT09</t>
        </is>
      </c>
      <c r="F49" t="n">
        <v>1</v>
      </c>
      <c r="G49" t="inlineStr">
        <is>
          <t>BG001</t>
        </is>
      </c>
      <c r="H49" t="inlineStr">
        <is>
          <t>15 Agustus 2008</t>
        </is>
      </c>
      <c r="I49" s="2" t="n">
        <v>46237</v>
      </c>
      <c r="J49" t="inlineStr">
        <is>
          <t>Disetujui</t>
        </is>
      </c>
      <c r="K49" t="n">
        <v>30</v>
      </c>
      <c r="L49" t="inlineStr">
        <is>
          <t>3 Agustus 2026</t>
        </is>
      </c>
      <c r="M49" t="inlineStr">
        <is>
          <t>Konstruksi Gedung Hunian</t>
        </is>
      </c>
      <c r="N49" t="inlineStr">
        <is>
          <t>K</t>
        </is>
      </c>
      <c r="O49" t="inlineStr">
        <is>
          <t>20230718</t>
        </is>
      </c>
      <c r="P49" t="inlineStr">
        <is>
          <t>Sulawesi Selatan</t>
        </is>
      </c>
      <c r="Q49" t="inlineStr"/>
    </row>
    <row r="50">
      <c r="A50" t="inlineStr">
        <is>
          <t>BENGKEL KREASINDO KEPRI</t>
        </is>
      </c>
      <c r="B50" t="inlineStr">
        <is>
          <t>Kota Tanjung Pinang</t>
        </is>
      </c>
      <c r="C50" t="inlineStr">
        <is>
          <t>0811702503</t>
        </is>
      </c>
      <c r="D50" t="inlineStr">
        <is>
          <t>cvbengkelkreasindokepri.bkk@gmail.com</t>
        </is>
      </c>
      <c r="E50" t="inlineStr">
        <is>
          <t>https://lpjk.pu.go.id/search-badan-usaha-detail/SFAyY0xxWXNZZjk5Q0NmeE5nSC9EZz09</t>
        </is>
      </c>
      <c r="F50" t="n">
        <v>1</v>
      </c>
      <c r="G50" t="inlineStr">
        <is>
          <t>BS001</t>
        </is>
      </c>
      <c r="H50" t="inlineStr">
        <is>
          <t>19 Januari 2022</t>
        </is>
      </c>
      <c r="I50" s="2" t="n">
        <v>46237</v>
      </c>
      <c r="J50" t="inlineStr">
        <is>
          <t>Disetujui</t>
        </is>
      </c>
      <c r="K50" t="n">
        <v>30</v>
      </c>
      <c r="L50" t="inlineStr">
        <is>
          <t>3 Agustus 2026</t>
        </is>
      </c>
      <c r="M50" t="inlineStr">
        <is>
          <t>Konstruksi Bangunan Sipil Jalan</t>
        </is>
      </c>
      <c r="N50" t="inlineStr">
        <is>
          <t>K</t>
        </is>
      </c>
      <c r="O50" t="inlineStr">
        <is>
          <t>20230802</t>
        </is>
      </c>
      <c r="P50" t="inlineStr">
        <is>
          <t>Kepulauan Riau</t>
        </is>
      </c>
      <c r="Q50" t="inlineStr"/>
    </row>
    <row r="51">
      <c r="A51" t="inlineStr">
        <is>
          <t>BERJAYA MEGAH KONSTRUKSI</t>
        </is>
      </c>
      <c r="B51" t="inlineStr">
        <is>
          <t>Kab. Simeulue</t>
        </is>
      </c>
      <c r="C51" t="inlineStr">
        <is>
          <t>085340422282</t>
        </is>
      </c>
      <c r="D51" t="inlineStr">
        <is>
          <t>berjayakonstruksi09@gmail.com</t>
        </is>
      </c>
      <c r="E51" t="inlineStr">
        <is>
          <t>https://lpjk.pu.go.id/search-badan-usaha-detail/OFkzbzljeThEQzBBOHVHQXlKbFp5QT09</t>
        </is>
      </c>
      <c r="F51" t="n">
        <v>3</v>
      </c>
      <c r="G51" t="inlineStr">
        <is>
          <t>BG001, BG005, BG009</t>
        </is>
      </c>
      <c r="H51" t="inlineStr">
        <is>
          <t>17 April 2023</t>
        </is>
      </c>
      <c r="I51" s="2" t="n">
        <v>46237</v>
      </c>
      <c r="J51" t="inlineStr">
        <is>
          <t>Disetujui</t>
        </is>
      </c>
      <c r="K51" t="n">
        <v>30</v>
      </c>
      <c r="L51" t="inlineStr">
        <is>
          <t>3 Agustus 2026</t>
        </is>
      </c>
      <c r="M51" t="inlineStr">
        <is>
          <t>Konstruksi Gedung Hunian, Konstruksi Gedung Kesehatan, Konstruksi Gedung Lainnya</t>
        </is>
      </c>
      <c r="N51" t="inlineStr">
        <is>
          <t>K</t>
        </is>
      </c>
      <c r="O51" t="inlineStr">
        <is>
          <t>20230715, 20230728</t>
        </is>
      </c>
      <c r="P51" t="inlineStr">
        <is>
          <t>Aceh</t>
        </is>
      </c>
      <c r="Q51" t="inlineStr"/>
    </row>
    <row r="52">
      <c r="A52" t="inlineStr">
        <is>
          <t>BERKAH TUJUH SAUDARA</t>
        </is>
      </c>
      <c r="B52" t="inlineStr">
        <is>
          <t>Kab. Subang</t>
        </is>
      </c>
      <c r="C52" t="inlineStr">
        <is>
          <t>087875811112</t>
        </is>
      </c>
      <c r="D52" t="inlineStr">
        <is>
          <t>berkahsaudara349@gmail.com</t>
        </is>
      </c>
      <c r="E52" t="inlineStr">
        <is>
          <t>https://lpjk.pu.go.id/search-badan-usaha-detail/UktVUnRycWx6RzNnbFBZZ3BwdUtNQT09</t>
        </is>
      </c>
      <c r="F52" t="n">
        <v>2</v>
      </c>
      <c r="G52" t="inlineStr">
        <is>
          <t>BG004</t>
        </is>
      </c>
      <c r="H52" t="inlineStr">
        <is>
          <t>30 Desember 2019</t>
        </is>
      </c>
      <c r="I52" s="2" t="n">
        <v>46237</v>
      </c>
      <c r="J52" t="inlineStr">
        <is>
          <t>Disetujui</t>
        </is>
      </c>
      <c r="K52" t="n">
        <v>30</v>
      </c>
      <c r="L52" t="inlineStr">
        <is>
          <t>3 Agustus 2026</t>
        </is>
      </c>
      <c r="M52" t="inlineStr">
        <is>
          <t>Konstruksi Gedung Perbelanjaan</t>
        </is>
      </c>
      <c r="N52" t="inlineStr">
        <is>
          <t>K</t>
        </is>
      </c>
      <c r="O52" t="inlineStr">
        <is>
          <t>20230801</t>
        </is>
      </c>
      <c r="P52" t="inlineStr">
        <is>
          <t>Jawa Barat</t>
        </is>
      </c>
      <c r="Q52" t="inlineStr"/>
    </row>
    <row r="53">
      <c r="A53" t="inlineStr">
        <is>
          <t>BERKAT ANANTA</t>
        </is>
      </c>
      <c r="B53" t="inlineStr">
        <is>
          <t>Kab. Sorong</t>
        </is>
      </c>
      <c r="C53" t="inlineStr">
        <is>
          <t>82345584942</t>
        </is>
      </c>
      <c r="D53" t="inlineStr">
        <is>
          <t>berkatananta@gmail.com</t>
        </is>
      </c>
      <c r="E53" t="inlineStr">
        <is>
          <t>https://lpjk.pu.go.id/search-badan-usaha-detail/MzF5NHFGOVh1SzRXbEp6QlEwcS9wQT09</t>
        </is>
      </c>
      <c r="F53" t="n">
        <v>8</v>
      </c>
      <c r="G53" t="inlineStr">
        <is>
          <t>BG001, BG002, BG006, BG009</t>
        </is>
      </c>
      <c r="H53" t="inlineStr">
        <is>
          <t>29 Maret 2023</t>
        </is>
      </c>
      <c r="I53" s="2" t="n">
        <v>46237</v>
      </c>
      <c r="J53" t="inlineStr">
        <is>
          <t>Disetujui</t>
        </is>
      </c>
      <c r="K53" t="n">
        <v>30</v>
      </c>
      <c r="L53" t="inlineStr">
        <is>
          <t>3 Agustus 2026</t>
        </is>
      </c>
      <c r="M53" t="inlineStr">
        <is>
          <t>Konstruksi Gedung Hunian, Konstruksi Gedung Lainnya, Konstruksi Gedung Pendidikan, Konstruksi Gedung Perkantoran</t>
        </is>
      </c>
      <c r="N53" t="inlineStr">
        <is>
          <t>K</t>
        </is>
      </c>
      <c r="O53" t="inlineStr">
        <is>
          <t>20230731, 20230801</t>
        </is>
      </c>
      <c r="P53" t="inlineStr">
        <is>
          <t>Papua Barat</t>
        </is>
      </c>
      <c r="Q53" t="inlineStr"/>
    </row>
    <row r="54">
      <c r="A54" t="inlineStr">
        <is>
          <t>BERLIAN INDAH</t>
        </is>
      </c>
      <c r="B54" t="inlineStr">
        <is>
          <t>Kab. Biak Numfor</t>
        </is>
      </c>
      <c r="C54" t="inlineStr">
        <is>
          <t>08114906575</t>
        </is>
      </c>
      <c r="D54" t="inlineStr">
        <is>
          <t>cvberlian_indah@yahoo.com</t>
        </is>
      </c>
      <c r="E54" t="inlineStr">
        <is>
          <t>https://lpjk.pu.go.id/search-badan-usaha-detail/NGNjR2hNbmZNenFqK1Q3emY5dmR6dz09</t>
        </is>
      </c>
      <c r="F54" t="n">
        <v>3</v>
      </c>
      <c r="G54" t="inlineStr">
        <is>
          <t>BG005, BG006, BG009</t>
        </is>
      </c>
      <c r="H54" t="inlineStr">
        <is>
          <t>9 Juni 2021</t>
        </is>
      </c>
      <c r="I54" s="2" t="n">
        <v>46237</v>
      </c>
      <c r="J54" t="inlineStr">
        <is>
          <t>Disetujui</t>
        </is>
      </c>
      <c r="K54" t="n">
        <v>30</v>
      </c>
      <c r="L54" t="inlineStr">
        <is>
          <t>3 Agustus 2026</t>
        </is>
      </c>
      <c r="M54" t="inlineStr">
        <is>
          <t>Konstruksi Gedung Kesehatan, Konstruksi Gedung Lainnya, Konstruksi Gedung Pendidikan</t>
        </is>
      </c>
      <c r="N54" t="inlineStr">
        <is>
          <t>K</t>
        </is>
      </c>
      <c r="O54" t="inlineStr">
        <is>
          <t>20230728, 20230804</t>
        </is>
      </c>
      <c r="P54" t="inlineStr">
        <is>
          <t>Papua</t>
        </is>
      </c>
      <c r="Q54" t="inlineStr"/>
    </row>
    <row r="55">
      <c r="A55" t="inlineStr">
        <is>
          <t>BINA CITRA USAHA</t>
        </is>
      </c>
      <c r="B55" t="inlineStr">
        <is>
          <t>Kab. Sambas</t>
        </is>
      </c>
      <c r="C55" t="inlineStr">
        <is>
          <t>08125681631</t>
        </is>
      </c>
      <c r="D55" t="inlineStr">
        <is>
          <t>andypkbpemangkat2014@gmail.com</t>
        </is>
      </c>
      <c r="E55" t="inlineStr">
        <is>
          <t>https://lpjk.pu.go.id/search-badan-usaha-detail/WFI2MFNlRFg4MlJub2NyMTFxUnFBdz09</t>
        </is>
      </c>
      <c r="F55" t="n">
        <v>1</v>
      </c>
      <c r="G55" t="inlineStr">
        <is>
          <t>BS001</t>
        </is>
      </c>
      <c r="H55" t="inlineStr">
        <is>
          <t>14 Januari 2004</t>
        </is>
      </c>
      <c r="I55" s="2" t="n">
        <v>46237</v>
      </c>
      <c r="J55" t="inlineStr">
        <is>
          <t>Disetujui</t>
        </is>
      </c>
      <c r="K55" t="n">
        <v>30</v>
      </c>
      <c r="L55" t="inlineStr">
        <is>
          <t>3 Agustus 2026</t>
        </is>
      </c>
      <c r="M55" t="inlineStr">
        <is>
          <t>Konstruksi Bangunan Sipil Jalan</t>
        </is>
      </c>
      <c r="N55" t="inlineStr">
        <is>
          <t>K</t>
        </is>
      </c>
      <c r="O55" t="inlineStr">
        <is>
          <t>20230731</t>
        </is>
      </c>
      <c r="P55" t="inlineStr">
        <is>
          <t>Kalimantan Barat</t>
        </is>
      </c>
      <c r="Q55" t="inlineStr"/>
    </row>
    <row r="56">
      <c r="A56" t="inlineStr">
        <is>
          <t>BINA KARYA MANDIRI</t>
        </is>
      </c>
      <c r="B56" t="inlineStr">
        <is>
          <t>Kota Banda Aceh</t>
        </is>
      </c>
      <c r="C56" t="inlineStr">
        <is>
          <t>085260440800</t>
        </is>
      </c>
      <c r="D56" t="inlineStr">
        <is>
          <t>binakaryamandiri@hotmail.com</t>
        </is>
      </c>
      <c r="E56" t="inlineStr">
        <is>
          <t>https://lpjk.pu.go.id/search-badan-usaha-detail/WG4raXNMRUxwOGtYdlB1TXVCT0lKQT09</t>
        </is>
      </c>
      <c r="F56" t="n">
        <v>1</v>
      </c>
      <c r="G56" t="inlineStr">
        <is>
          <t>BG001</t>
        </is>
      </c>
      <c r="H56" t="inlineStr">
        <is>
          <t>28 Agustus 2015</t>
        </is>
      </c>
      <c r="I56" s="2" t="n">
        <v>46237</v>
      </c>
      <c r="J56" t="inlineStr">
        <is>
          <t>Pencabutan</t>
        </is>
      </c>
      <c r="K56" t="n">
        <v>30</v>
      </c>
      <c r="L56" t="inlineStr">
        <is>
          <t>3 Agustus 2026</t>
        </is>
      </c>
      <c r="M56" t="inlineStr">
        <is>
          <t>Konstruksi Gedung Hunian</t>
        </is>
      </c>
      <c r="N56" t="inlineStr">
        <is>
          <t>K</t>
        </is>
      </c>
      <c r="O56" t="inlineStr">
        <is>
          <t>20230804</t>
        </is>
      </c>
      <c r="P56" t="inlineStr">
        <is>
          <t>Aceh</t>
        </is>
      </c>
      <c r="Q56" t="inlineStr"/>
    </row>
    <row r="57">
      <c r="A57" t="inlineStr">
        <is>
          <t>BINTANG PERKASA</t>
        </is>
      </c>
      <c r="B57" t="inlineStr">
        <is>
          <t>Kab. Kolaka Utara</t>
        </is>
      </c>
      <c r="C57" t="inlineStr">
        <is>
          <t>82187638907</t>
        </is>
      </c>
      <c r="D57" t="inlineStr">
        <is>
          <t>bintangperkasa196@gmail.com</t>
        </is>
      </c>
      <c r="E57" t="inlineStr">
        <is>
          <t>https://lpjk.pu.go.id/search-badan-usaha-detail/aC9wTmVuM251eXU5NGthUU1HazVKdz09</t>
        </is>
      </c>
      <c r="F57" t="n">
        <v>2</v>
      </c>
      <c r="G57" t="inlineStr">
        <is>
          <t>BG009</t>
        </is>
      </c>
      <c r="H57" t="inlineStr">
        <is>
          <t>29 Desember 2021</t>
        </is>
      </c>
      <c r="I57" s="2" t="n">
        <v>46237</v>
      </c>
      <c r="J57" t="inlineStr">
        <is>
          <t>Disetujui</t>
        </is>
      </c>
      <c r="K57" t="n">
        <v>30</v>
      </c>
      <c r="L57" t="inlineStr">
        <is>
          <t>3 Agustus 2026</t>
        </is>
      </c>
      <c r="M57" t="inlineStr">
        <is>
          <t>Konstruksi Gedung Lainnya</t>
        </is>
      </c>
      <c r="N57" t="inlineStr">
        <is>
          <t>K</t>
        </is>
      </c>
      <c r="O57" t="inlineStr">
        <is>
          <t>20230731</t>
        </is>
      </c>
      <c r="P57" t="inlineStr">
        <is>
          <t>Sulawesi Tenggara</t>
        </is>
      </c>
      <c r="Q57" t="inlineStr"/>
    </row>
    <row r="58">
      <c r="A58" t="inlineStr">
        <is>
          <t>BOEMI BERLIAN</t>
        </is>
      </c>
      <c r="B58" t="inlineStr">
        <is>
          <t>Kab. Belitung Timur</t>
        </is>
      </c>
      <c r="C58" t="inlineStr">
        <is>
          <t>087896474368</t>
        </is>
      </c>
      <c r="D58" t="inlineStr">
        <is>
          <t>boemiberlian.cv@gmail.com</t>
        </is>
      </c>
      <c r="E58" t="inlineStr">
        <is>
          <t>https://lpjk.pu.go.id/search-badan-usaha-detail/cnlxM0Q5S24rUi8rMWtsNnhuZVRmdz09</t>
        </is>
      </c>
      <c r="F58" t="n">
        <v>4</v>
      </c>
      <c r="G58" t="inlineStr">
        <is>
          <t>BG005, BS001, BS004, BS012</t>
        </is>
      </c>
      <c r="H58" t="inlineStr">
        <is>
          <t>23 Desember 2019</t>
        </is>
      </c>
      <c r="I58" s="2" t="n">
        <v>46237</v>
      </c>
      <c r="J58" t="inlineStr">
        <is>
          <t>Disetujui</t>
        </is>
      </c>
      <c r="K58" t="n">
        <v>30</v>
      </c>
      <c r="L58" t="inlineStr">
        <is>
          <t>3 Agustus 2026</t>
        </is>
      </c>
      <c r="M58" t="inlineStr">
        <is>
          <t>Konstruksi Bangunan Pelabuhan Perikanan, Konstruksi Bangunan Sipil Jalan, Konstruksi Gedung Kesehatan, Konstruksi Jaringan Irigasi dan Drainase</t>
        </is>
      </c>
      <c r="N58" t="inlineStr">
        <is>
          <t>K</t>
        </is>
      </c>
      <c r="O58" t="inlineStr">
        <is>
          <t>20230729</t>
        </is>
      </c>
      <c r="P58" t="inlineStr">
        <is>
          <t>Kepulauan Bangka Belitung</t>
        </is>
      </c>
      <c r="Q58" t="inlineStr"/>
    </row>
    <row r="59">
      <c r="A59" t="inlineStr">
        <is>
          <t>BUDI JAYA PERSADA</t>
        </is>
      </c>
      <c r="B59" t="inlineStr">
        <is>
          <t>Kab. Jembrana</t>
        </is>
      </c>
      <c r="C59" t="inlineStr">
        <is>
          <t>085238239446</t>
        </is>
      </c>
      <c r="D59" t="inlineStr">
        <is>
          <t>ptbudijayapersada2021@gmail.com</t>
        </is>
      </c>
      <c r="E59" t="inlineStr">
        <is>
          <t>https://lpjk.pu.go.id/search-badan-usaha-detail/dUFrdVRTT283bmpENDdmQlh0OERGQT09</t>
        </is>
      </c>
      <c r="F59" t="n">
        <v>1</v>
      </c>
      <c r="G59" t="inlineStr">
        <is>
          <t>BS001</t>
        </is>
      </c>
      <c r="H59" t="inlineStr">
        <is>
          <t>27 Januari 1986</t>
        </is>
      </c>
      <c r="I59" s="2" t="n">
        <v>46237</v>
      </c>
      <c r="J59" t="inlineStr">
        <is>
          <t>Disetujui</t>
        </is>
      </c>
      <c r="K59" t="n">
        <v>30</v>
      </c>
      <c r="L59" t="inlineStr">
        <is>
          <t>3 Agustus 2026</t>
        </is>
      </c>
      <c r="M59" t="inlineStr">
        <is>
          <t>Konstruksi Bangunan Sipil Jalan</t>
        </is>
      </c>
      <c r="N59" t="inlineStr">
        <is>
          <t>K</t>
        </is>
      </c>
      <c r="O59" t="inlineStr">
        <is>
          <t>20230731</t>
        </is>
      </c>
      <c r="P59" t="inlineStr">
        <is>
          <t>Bali</t>
        </is>
      </c>
      <c r="Q59" t="inlineStr"/>
    </row>
    <row r="60">
      <c r="A60" t="inlineStr">
        <is>
          <t>BUMI DAYUN SEJAHTERA</t>
        </is>
      </c>
      <c r="B60" t="inlineStr">
        <is>
          <t>Kab. Siak</t>
        </is>
      </c>
      <c r="C60" t="inlineStr">
        <is>
          <t>085355851559</t>
        </is>
      </c>
      <c r="D60" t="inlineStr">
        <is>
          <t>cvbumidayunsejarahtera@gmail.com</t>
        </is>
      </c>
      <c r="E60" t="inlineStr">
        <is>
          <t>https://lpjk.pu.go.id/search-badan-usaha-detail/UlMvK0JtaWpsT0xLRTBtK2V3azFOQT09</t>
        </is>
      </c>
      <c r="F60" t="n">
        <v>1</v>
      </c>
      <c r="G60" t="inlineStr">
        <is>
          <t>BG009</t>
        </is>
      </c>
      <c r="H60" t="inlineStr">
        <is>
          <t>24 Juni 2023</t>
        </is>
      </c>
      <c r="I60" s="2" t="n">
        <v>46237</v>
      </c>
      <c r="J60" t="inlineStr">
        <is>
          <t>Disetujui</t>
        </is>
      </c>
      <c r="K60" t="n">
        <v>30</v>
      </c>
      <c r="L60" t="inlineStr">
        <is>
          <t>3 Agustus 2026</t>
        </is>
      </c>
      <c r="M60" t="inlineStr">
        <is>
          <t>Konstruksi Gedung Lainnya</t>
        </is>
      </c>
      <c r="N60" t="inlineStr">
        <is>
          <t>K</t>
        </is>
      </c>
      <c r="O60" t="inlineStr">
        <is>
          <t>20230731</t>
        </is>
      </c>
      <c r="P60" t="inlineStr">
        <is>
          <t>Riau</t>
        </is>
      </c>
      <c r="Q60" t="inlineStr"/>
    </row>
    <row r="61">
      <c r="A61" t="inlineStr">
        <is>
          <t>BUMI RETANI</t>
        </is>
      </c>
      <c r="B61" t="inlineStr">
        <is>
          <t>Kab. Trenggalek</t>
        </is>
      </c>
      <c r="C61" t="inlineStr">
        <is>
          <t>082229745326</t>
        </is>
      </c>
      <c r="D61" t="inlineStr">
        <is>
          <t>sumardibumiretani1973@gmail.com</t>
        </is>
      </c>
      <c r="E61" t="inlineStr">
        <is>
          <t>https://lpjk.pu.go.id/search-badan-usaha-detail/OU13Z1hwb2UrcGY1NG9PVVhtUUJhZz09</t>
        </is>
      </c>
      <c r="F61" t="n">
        <v>1</v>
      </c>
      <c r="G61" t="inlineStr">
        <is>
          <t>BS004</t>
        </is>
      </c>
      <c r="H61" t="inlineStr">
        <is>
          <t>16 Juli 2004</t>
        </is>
      </c>
      <c r="I61" s="2" t="n">
        <v>46237</v>
      </c>
      <c r="J61" t="inlineStr">
        <is>
          <t>Disetujui</t>
        </is>
      </c>
      <c r="K61" t="n">
        <v>30</v>
      </c>
      <c r="L61" t="inlineStr">
        <is>
          <t>3 Agustus 2026</t>
        </is>
      </c>
      <c r="M61" t="inlineStr">
        <is>
          <t>Konstruksi Jaringan Irigasi dan Drainase</t>
        </is>
      </c>
      <c r="N61" t="inlineStr">
        <is>
          <t>K</t>
        </is>
      </c>
      <c r="O61" t="inlineStr">
        <is>
          <t>20230726</t>
        </is>
      </c>
      <c r="P61" t="inlineStr">
        <is>
          <t>Jawa Timur</t>
        </is>
      </c>
      <c r="Q61" t="inlineStr"/>
    </row>
    <row r="62">
      <c r="A62" t="inlineStr">
        <is>
          <t>BUMI SARANA PERKASA</t>
        </is>
      </c>
      <c r="B62" t="inlineStr">
        <is>
          <t>Kab. Subang</t>
        </is>
      </c>
      <c r="C62" t="inlineStr">
        <is>
          <t>082320713007</t>
        </is>
      </c>
      <c r="D62" t="inlineStr">
        <is>
          <t>bumisaranacv2022@gmail.com</t>
        </is>
      </c>
      <c r="E62" t="inlineStr">
        <is>
          <t>https://lpjk.pu.go.id/search-badan-usaha-detail/aDcrU2M4OC84Ti9LS2dpOVFxOVB6UT09</t>
        </is>
      </c>
      <c r="F62" t="n">
        <v>1</v>
      </c>
      <c r="G62" t="inlineStr">
        <is>
          <t>BS004</t>
        </is>
      </c>
      <c r="H62" t="inlineStr">
        <is>
          <t>6 Januari 2020</t>
        </is>
      </c>
      <c r="I62" s="2" t="n">
        <v>46237</v>
      </c>
      <c r="J62" t="inlineStr">
        <is>
          <t>Disetujui</t>
        </is>
      </c>
      <c r="K62" t="n">
        <v>30</v>
      </c>
      <c r="L62" t="inlineStr">
        <is>
          <t>3 Agustus 2026</t>
        </is>
      </c>
      <c r="M62" t="inlineStr">
        <is>
          <t>Konstruksi Jaringan Irigasi dan Drainase</t>
        </is>
      </c>
      <c r="N62" t="inlineStr">
        <is>
          <t>K</t>
        </is>
      </c>
      <c r="O62" t="inlineStr">
        <is>
          <t>20230801</t>
        </is>
      </c>
      <c r="P62" t="inlineStr">
        <is>
          <t>Jawa Barat</t>
        </is>
      </c>
      <c r="Q62" t="inlineStr"/>
    </row>
    <row r="63">
      <c r="A63" t="inlineStr">
        <is>
          <t>CAHAYA FAJAR UTAMA</t>
        </is>
      </c>
      <c r="B63" t="inlineStr">
        <is>
          <t>Kab. Kuningan</t>
        </is>
      </c>
      <c r="C63" t="inlineStr">
        <is>
          <t>082218567548</t>
        </is>
      </c>
      <c r="D63" t="inlineStr">
        <is>
          <t>cahaya.fu@gmail.com</t>
        </is>
      </c>
      <c r="E63" t="inlineStr">
        <is>
          <t>https://lpjk.pu.go.id/search-badan-usaha-detail/S3RZUjNtT1VZUi9USzcwZndYTHZFZz09</t>
        </is>
      </c>
      <c r="F63" t="n">
        <v>1</v>
      </c>
      <c r="G63" t="inlineStr">
        <is>
          <t>BS004</t>
        </is>
      </c>
      <c r="H63" t="inlineStr">
        <is>
          <t>5 Februari 2016</t>
        </is>
      </c>
      <c r="I63" s="2" t="n">
        <v>46237</v>
      </c>
      <c r="J63" t="inlineStr">
        <is>
          <t>Disetujui</t>
        </is>
      </c>
      <c r="K63" t="n">
        <v>30</v>
      </c>
      <c r="L63" t="inlineStr">
        <is>
          <t>3 Agustus 2026</t>
        </is>
      </c>
      <c r="M63" t="inlineStr">
        <is>
          <t>Konstruksi Jaringan Irigasi dan Drainase</t>
        </is>
      </c>
      <c r="N63" t="inlineStr">
        <is>
          <t>K</t>
        </is>
      </c>
      <c r="O63" t="inlineStr">
        <is>
          <t>20230216</t>
        </is>
      </c>
      <c r="P63" t="inlineStr">
        <is>
          <t>Jawa Barat</t>
        </is>
      </c>
      <c r="Q63" t="inlineStr"/>
    </row>
    <row r="64">
      <c r="A64" t="inlineStr">
        <is>
          <t>CHANDRA SETYA KARYA</t>
        </is>
      </c>
      <c r="B64" t="inlineStr">
        <is>
          <t>Kab. Tuban</t>
        </is>
      </c>
      <c r="C64" t="inlineStr">
        <is>
          <t>081357504828</t>
        </is>
      </c>
      <c r="D64" t="inlineStr">
        <is>
          <t>chandrasetyakaryapt@gmail.com</t>
        </is>
      </c>
      <c r="E64" t="inlineStr">
        <is>
          <t>https://lpjk.pu.go.id/search-badan-usaha-detail/eVhuQXVKcURHb3l1QkhybGFFbWhqZz09</t>
        </is>
      </c>
      <c r="F64" t="n">
        <v>3</v>
      </c>
      <c r="G64" t="inlineStr">
        <is>
          <t>BG009, BS001, BS006</t>
        </is>
      </c>
      <c r="H64" t="inlineStr">
        <is>
          <t>23 November 2018</t>
        </is>
      </c>
      <c r="I64" s="2" t="n">
        <v>46237</v>
      </c>
      <c r="J64" t="inlineStr">
        <is>
          <t>Disetujui</t>
        </is>
      </c>
      <c r="K64" t="n">
        <v>30</v>
      </c>
      <c r="L64" t="inlineStr">
        <is>
          <t>3 Agustus 2026</t>
        </is>
      </c>
      <c r="M64" t="inlineStr">
        <is>
          <t>Konstruksi Bangunan Sipil Jalan, Konstruksi Bangunan Sipil Prasarana dan Sarana Sistem Pengolahan Limbah Padat, Cair, dan Gas, Konstruksi Gedung Lainnya</t>
        </is>
      </c>
      <c r="N64" t="inlineStr">
        <is>
          <t>K</t>
        </is>
      </c>
      <c r="O64" t="inlineStr">
        <is>
          <t>20230802, 20230803, 20230804</t>
        </is>
      </c>
      <c r="P64" t="inlineStr">
        <is>
          <t>Jawa Timur</t>
        </is>
      </c>
      <c r="Q64" t="inlineStr"/>
    </row>
    <row r="65">
      <c r="A65" t="inlineStr">
        <is>
          <t>CHERBON PRIMA ABADI</t>
        </is>
      </c>
      <c r="B65" t="inlineStr">
        <is>
          <t>Kota Cirebon</t>
        </is>
      </c>
      <c r="C65" t="inlineStr">
        <is>
          <t>0838247729721</t>
        </is>
      </c>
      <c r="D65" t="inlineStr">
        <is>
          <t>pt.cherbonprimaabadi@gmail.com</t>
        </is>
      </c>
      <c r="E65" t="inlineStr">
        <is>
          <t>https://lpjk.pu.go.id/search-badan-usaha-detail/dmdoTDJ5RVU1Um05MFVkRHpaVjZUdz09</t>
        </is>
      </c>
      <c r="F65" t="n">
        <v>1</v>
      </c>
      <c r="G65" t="inlineStr">
        <is>
          <t>BG001</t>
        </is>
      </c>
      <c r="H65" t="inlineStr">
        <is>
          <t>2 Juli 2009</t>
        </is>
      </c>
      <c r="I65" s="2" t="n">
        <v>46237</v>
      </c>
      <c r="J65" t="inlineStr">
        <is>
          <t>Disetujui</t>
        </is>
      </c>
      <c r="K65" t="n">
        <v>30</v>
      </c>
      <c r="L65" t="inlineStr">
        <is>
          <t>3 Agustus 2026</t>
        </is>
      </c>
      <c r="M65" t="inlineStr">
        <is>
          <t>Konstruksi Gedung Hunian</t>
        </is>
      </c>
      <c r="N65" t="inlineStr">
        <is>
          <t>K</t>
        </is>
      </c>
      <c r="O65" t="inlineStr">
        <is>
          <t>20230731</t>
        </is>
      </c>
      <c r="P65" t="inlineStr">
        <is>
          <t>Jawa Barat</t>
        </is>
      </c>
      <c r="Q65" t="inlineStr"/>
    </row>
    <row r="66">
      <c r="A66" t="inlineStr">
        <is>
          <t>CINTA PERUBAHAN</t>
        </is>
      </c>
      <c r="B66" t="inlineStr">
        <is>
          <t>Kab. Aceh Tenggara</t>
        </is>
      </c>
      <c r="C66" t="inlineStr">
        <is>
          <t>085275220353</t>
        </is>
      </c>
      <c r="D66" t="inlineStr">
        <is>
          <t>cvcintaperubahan@gmail.com</t>
        </is>
      </c>
      <c r="E66" t="inlineStr">
        <is>
          <t>https://lpjk.pu.go.id/search-badan-usaha-detail/QjRSY3M4MDRXYU91TEllK2VNWmt2UT09</t>
        </is>
      </c>
      <c r="F66" t="n">
        <v>1</v>
      </c>
      <c r="G66" t="inlineStr">
        <is>
          <t>BG006</t>
        </is>
      </c>
      <c r="H66" t="inlineStr">
        <is>
          <t>4 Oktober 2017</t>
        </is>
      </c>
      <c r="I66" s="2" t="n">
        <v>46237</v>
      </c>
      <c r="J66" t="inlineStr">
        <is>
          <t>Disetujui</t>
        </is>
      </c>
      <c r="K66" t="n">
        <v>30</v>
      </c>
      <c r="L66" t="inlineStr">
        <is>
          <t>3 Agustus 2026</t>
        </is>
      </c>
      <c r="M66" t="inlineStr">
        <is>
          <t>Konstruksi Gedung Pendidikan</t>
        </is>
      </c>
      <c r="N66" t="inlineStr">
        <is>
          <t>K</t>
        </is>
      </c>
      <c r="O66" t="inlineStr">
        <is>
          <t>20230731</t>
        </is>
      </c>
      <c r="P66" t="inlineStr">
        <is>
          <t>Aceh</t>
        </is>
      </c>
      <c r="Q66" t="inlineStr"/>
    </row>
    <row r="67">
      <c r="A67" t="inlineStr">
        <is>
          <t>CIPTA DINAMIK PERKASA</t>
        </is>
      </c>
      <c r="B67" t="inlineStr">
        <is>
          <t>Kota Palembang</t>
        </is>
      </c>
      <c r="C67" t="inlineStr">
        <is>
          <t>082185678988</t>
        </is>
      </c>
      <c r="D67" t="inlineStr">
        <is>
          <t>cv.ciptadinamikperkasa@gmail.com</t>
        </is>
      </c>
      <c r="E67" t="inlineStr">
        <is>
          <t>https://lpjk.pu.go.id/search-badan-usaha-detail/UWZmRlk0OHEvckVCTnMveXVUdUN5QT09</t>
        </is>
      </c>
      <c r="F67" t="n">
        <v>1</v>
      </c>
      <c r="G67" t="inlineStr">
        <is>
          <t>BG009</t>
        </is>
      </c>
      <c r="H67" t="inlineStr">
        <is>
          <t>2 Desember 2019</t>
        </is>
      </c>
      <c r="I67" s="2" t="n">
        <v>46237</v>
      </c>
      <c r="J67" t="inlineStr">
        <is>
          <t>Disetujui</t>
        </is>
      </c>
      <c r="K67" t="n">
        <v>30</v>
      </c>
      <c r="L67" t="inlineStr">
        <is>
          <t>3 Agustus 2026</t>
        </is>
      </c>
      <c r="M67" t="inlineStr">
        <is>
          <t>Konstruksi Gedung Lainnya</t>
        </is>
      </c>
      <c r="N67" t="inlineStr">
        <is>
          <t>K</t>
        </is>
      </c>
      <c r="O67" t="inlineStr">
        <is>
          <t>20230803</t>
        </is>
      </c>
      <c r="P67" t="inlineStr">
        <is>
          <t>Sumatera Selatan</t>
        </is>
      </c>
      <c r="Q67" t="inlineStr"/>
    </row>
    <row r="68">
      <c r="A68" t="inlineStr">
        <is>
          <t>CIPTA TEHNIK ABADI</t>
        </is>
      </c>
      <c r="B68" t="inlineStr">
        <is>
          <t>Kota Semarang</t>
        </is>
      </c>
      <c r="C68" t="inlineStr">
        <is>
          <t>0243547967</t>
        </is>
      </c>
      <c r="D68" t="inlineStr">
        <is>
          <t>ctasmg@gmail.com</t>
        </is>
      </c>
      <c r="E68" t="inlineStr">
        <is>
          <t>https://lpjk.pu.go.id/search-badan-usaha-detail/WUpLNzNBaEt6c0JOZTdWVFVNdk9nZz09</t>
        </is>
      </c>
      <c r="F68" t="n">
        <v>1</v>
      </c>
      <c r="G68" t="inlineStr">
        <is>
          <t>IN004</t>
        </is>
      </c>
      <c r="H68" t="inlineStr">
        <is>
          <t>6 Juni 1975</t>
        </is>
      </c>
      <c r="I68" s="2" t="n">
        <v>46237</v>
      </c>
      <c r="J68" t="inlineStr">
        <is>
          <t>Disetujui</t>
        </is>
      </c>
      <c r="K68" t="n">
        <v>30</v>
      </c>
      <c r="L68" t="inlineStr">
        <is>
          <t>3 Agustus 2026</t>
        </is>
      </c>
      <c r="M68" t="inlineStr">
        <is>
          <t>Instalasi Minyak dan Gas</t>
        </is>
      </c>
      <c r="N68" t="inlineStr">
        <is>
          <t>Spesialis</t>
        </is>
      </c>
      <c r="O68" t="inlineStr">
        <is>
          <t>20230526</t>
        </is>
      </c>
      <c r="P68" t="inlineStr">
        <is>
          <t>Jawa Tengah</t>
        </is>
      </c>
      <c r="Q68" t="inlineStr"/>
    </row>
    <row r="69">
      <c r="A69" t="inlineStr">
        <is>
          <t>CITRA PRAKARSA UTAMA</t>
        </is>
      </c>
      <c r="B69" t="inlineStr">
        <is>
          <t>Kab. Bantul</t>
        </is>
      </c>
      <c r="C69" t="inlineStr">
        <is>
          <t>087853584250</t>
        </is>
      </c>
      <c r="D69" t="inlineStr">
        <is>
          <t>cv_cpu@yahoo.co.id</t>
        </is>
      </c>
      <c r="E69" t="inlineStr">
        <is>
          <t>https://lpjk.pu.go.id/search-badan-usaha-detail/UUxOM1J1dVRyVUx4UEVuKzZjMWFjZz09</t>
        </is>
      </c>
      <c r="F69" t="n">
        <v>6</v>
      </c>
      <c r="G69" t="inlineStr">
        <is>
          <t>BG004, BG005, BG006, BG009, BS001, BS004</t>
        </is>
      </c>
      <c r="H69" t="inlineStr">
        <is>
          <t>29 Oktober 1992</t>
        </is>
      </c>
      <c r="I69" s="2" t="n">
        <v>46237</v>
      </c>
      <c r="J69" t="inlineStr">
        <is>
          <t>Disetujui</t>
        </is>
      </c>
      <c r="K69" t="n">
        <v>30</v>
      </c>
      <c r="L69" t="inlineStr">
        <is>
          <t>3 Agustus 2026</t>
        </is>
      </c>
      <c r="M69" t="inlineStr">
        <is>
          <t>Konstruksi Bangunan Sipil Jalan, Konstruksi Gedung Kesehatan, Konstruksi Gedung Lainnya, Konstruksi Gedung Pendidikan, Konstruksi Gedung Perbelanjaan, Konstruksi Jaringan Irigasi dan Drainase</t>
        </is>
      </c>
      <c r="N69" t="inlineStr">
        <is>
          <t>K</t>
        </is>
      </c>
      <c r="O69" t="inlineStr">
        <is>
          <t>20230708, 20230711, 20230712</t>
        </is>
      </c>
      <c r="P69" t="inlineStr">
        <is>
          <t>DI Yogyakarta</t>
        </is>
      </c>
      <c r="Q69" t="inlineStr"/>
    </row>
    <row r="70">
      <c r="A70" t="inlineStr">
        <is>
          <t>CV. LUKIA PERSADA UTAMA</t>
        </is>
      </c>
      <c r="B70" t="inlineStr">
        <is>
          <t>Kab. Lebak</t>
        </is>
      </c>
      <c r="C70" t="inlineStr">
        <is>
          <t>087888130809</t>
        </is>
      </c>
      <c r="D70" t="inlineStr">
        <is>
          <t>cv.lukiapersada@yahoo.com</t>
        </is>
      </c>
      <c r="E70" t="inlineStr">
        <is>
          <t>https://lpjk.pu.go.id/search-badan-usaha-detail/VU9aVDJxeEhOUy9jNXBpcCtZL3JVZz09</t>
        </is>
      </c>
      <c r="F70" t="n">
        <v>1</v>
      </c>
      <c r="G70" t="inlineStr">
        <is>
          <t>BG005</t>
        </is>
      </c>
      <c r="H70" t="inlineStr">
        <is>
          <t>30 Desember 2019</t>
        </is>
      </c>
      <c r="I70" s="2" t="n">
        <v>46237</v>
      </c>
      <c r="J70" t="inlineStr">
        <is>
          <t>Disetujui</t>
        </is>
      </c>
      <c r="K70" t="n">
        <v>30</v>
      </c>
      <c r="L70" t="inlineStr">
        <is>
          <t>3 Agustus 2026</t>
        </is>
      </c>
      <c r="M70" t="inlineStr">
        <is>
          <t>Konstruksi Gedung Kesehatan</t>
        </is>
      </c>
      <c r="N70" t="inlineStr">
        <is>
          <t>K</t>
        </is>
      </c>
      <c r="O70" t="inlineStr">
        <is>
          <t>20230803</t>
        </is>
      </c>
      <c r="P70" t="inlineStr">
        <is>
          <t>Banten</t>
        </is>
      </c>
      <c r="Q70" t="inlineStr"/>
    </row>
    <row r="71">
      <c r="A71" t="inlineStr">
        <is>
          <t>DAMARA</t>
        </is>
      </c>
      <c r="B71" t="inlineStr">
        <is>
          <t>Kab. Jember</t>
        </is>
      </c>
      <c r="C71" t="inlineStr">
        <is>
          <t>085100851045</t>
        </is>
      </c>
      <c r="D71" t="inlineStr">
        <is>
          <t>damara_jember2014@yahoo.com</t>
        </is>
      </c>
      <c r="E71" t="inlineStr">
        <is>
          <t>https://lpjk.pu.go.id/search-badan-usaha-detail/bFlLbEdmMEkrUVc4SEczTFBYRW5Idz09</t>
        </is>
      </c>
      <c r="F71" t="n">
        <v>15</v>
      </c>
      <c r="G71" t="inlineStr">
        <is>
          <t>BG001, BG002, BG005, BG006, BG009</t>
        </is>
      </c>
      <c r="H71" t="inlineStr">
        <is>
          <t>19 Mei 2014</t>
        </is>
      </c>
      <c r="I71" s="2" t="n">
        <v>46237</v>
      </c>
      <c r="J71" t="inlineStr">
        <is>
          <t>Disetujui</t>
        </is>
      </c>
      <c r="K71" t="n">
        <v>30</v>
      </c>
      <c r="L71" t="inlineStr">
        <is>
          <t>3 Agustus 2026</t>
        </is>
      </c>
      <c r="M71" t="inlineStr">
        <is>
          <t>Konstruksi Gedung Hunian, Konstruksi Gedung Kesehatan, Konstruksi Gedung Lainnya, Konstruksi Gedung Pendidikan, Konstruksi Gedung Perkantoran</t>
        </is>
      </c>
      <c r="N71" t="inlineStr">
        <is>
          <t>K</t>
        </is>
      </c>
      <c r="O71" t="inlineStr">
        <is>
          <t>20230720</t>
        </is>
      </c>
      <c r="P71" t="inlineStr">
        <is>
          <t>Jawa Timur</t>
        </is>
      </c>
      <c r="Q71" t="inlineStr"/>
    </row>
    <row r="72">
      <c r="A72" t="inlineStr">
        <is>
          <t>DANABRATA KONSTRUKSI</t>
        </is>
      </c>
      <c r="B72" t="inlineStr">
        <is>
          <t>Kab. Tana Toraja</t>
        </is>
      </c>
      <c r="C72" t="inlineStr">
        <is>
          <t>081210345877</t>
        </is>
      </c>
      <c r="D72" t="inlineStr">
        <is>
          <t>danabratakonstruksi010@gmail.com</t>
        </is>
      </c>
      <c r="E72" t="inlineStr">
        <is>
          <t>https://lpjk.pu.go.id/search-badan-usaha-detail/UUU5akZnZG43VjZNMDJPM0pqQi9pdz09</t>
        </is>
      </c>
      <c r="F72" t="n">
        <v>2</v>
      </c>
      <c r="G72" t="inlineStr">
        <is>
          <t>BG005, BG006</t>
        </is>
      </c>
      <c r="H72" t="inlineStr">
        <is>
          <t>10 Februari 2020</t>
        </is>
      </c>
      <c r="I72" s="2" t="n">
        <v>46237</v>
      </c>
      <c r="J72" t="inlineStr">
        <is>
          <t>Disetujui</t>
        </is>
      </c>
      <c r="K72" t="n">
        <v>30</v>
      </c>
      <c r="L72" t="inlineStr">
        <is>
          <t>3 Agustus 2026</t>
        </is>
      </c>
      <c r="M72" t="inlineStr">
        <is>
          <t>Konstruksi Gedung Kesehatan, Konstruksi Gedung Pendidikan</t>
        </is>
      </c>
      <c r="N72" t="inlineStr">
        <is>
          <t>K</t>
        </is>
      </c>
      <c r="O72" t="inlineStr">
        <is>
          <t>20230802</t>
        </is>
      </c>
      <c r="P72" t="inlineStr">
        <is>
          <t>Sulawesi Selatan</t>
        </is>
      </c>
      <c r="Q72" t="inlineStr"/>
    </row>
    <row r="73">
      <c r="A73" t="inlineStr">
        <is>
          <t>DEA PERTIWI</t>
        </is>
      </c>
      <c r="B73" t="inlineStr">
        <is>
          <t>Kota Pontianak</t>
        </is>
      </c>
      <c r="C73" t="inlineStr">
        <is>
          <t>081350287007</t>
        </is>
      </c>
      <c r="D73" t="inlineStr">
        <is>
          <t>deapertiwi216@yahoo.co.id</t>
        </is>
      </c>
      <c r="E73" t="inlineStr">
        <is>
          <t>https://lpjk.pu.go.id/search-badan-usaha-detail/c3BlZXkrb0x4V0diL1lkeVRSV0w5QT09</t>
        </is>
      </c>
      <c r="F73" t="n">
        <v>1</v>
      </c>
      <c r="G73" t="inlineStr">
        <is>
          <t>BS001</t>
        </is>
      </c>
      <c r="H73" t="inlineStr">
        <is>
          <t>21 April 2010</t>
        </is>
      </c>
      <c r="I73" s="2" t="n">
        <v>46237</v>
      </c>
      <c r="J73" t="inlineStr">
        <is>
          <t>Disetujui</t>
        </is>
      </c>
      <c r="K73" t="n">
        <v>30</v>
      </c>
      <c r="L73" t="inlineStr">
        <is>
          <t>3 Agustus 2026</t>
        </is>
      </c>
      <c r="M73" t="inlineStr">
        <is>
          <t>Konstruksi Bangunan Sipil Jalan</t>
        </is>
      </c>
      <c r="N73" t="inlineStr">
        <is>
          <t>K</t>
        </is>
      </c>
      <c r="O73" t="inlineStr">
        <is>
          <t>20230731</t>
        </is>
      </c>
      <c r="P73" t="inlineStr">
        <is>
          <t>Kalimantan Barat</t>
        </is>
      </c>
      <c r="Q73" t="inlineStr"/>
    </row>
    <row r="74">
      <c r="A74" t="inlineStr">
        <is>
          <t>DEKA BUANA SWASTAMAS</t>
        </is>
      </c>
      <c r="B74" t="inlineStr">
        <is>
          <t>Kota Adm. Jakarta Utara</t>
        </is>
      </c>
      <c r="C74" t="inlineStr">
        <is>
          <t>0214352350</t>
        </is>
      </c>
      <c r="D74" t="inlineStr">
        <is>
          <t>dekabuanaswastamas@ymail.com</t>
        </is>
      </c>
      <c r="E74" t="inlineStr">
        <is>
          <t>https://lpjk.pu.go.id/search-badan-usaha-detail/RzhXVzAxY1JDWHRnZzdBM0FqZ0lvQT09</t>
        </is>
      </c>
      <c r="F74" t="n">
        <v>2</v>
      </c>
      <c r="G74" t="inlineStr">
        <is>
          <t>BG003, BS001</t>
        </is>
      </c>
      <c r="H74" t="inlineStr">
        <is>
          <t>10 Desember 1986</t>
        </is>
      </c>
      <c r="I74" s="2" t="n">
        <v>46237</v>
      </c>
      <c r="J74" t="inlineStr">
        <is>
          <t>Disetujui</t>
        </is>
      </c>
      <c r="K74" t="n">
        <v>30</v>
      </c>
      <c r="L74" t="inlineStr">
        <is>
          <t>3 Agustus 2026</t>
        </is>
      </c>
      <c r="M74" t="inlineStr">
        <is>
          <t>Konstruksi Bangunan Sipil Jalan, Konstruksi Gedung Industri</t>
        </is>
      </c>
      <c r="N74" t="inlineStr">
        <is>
          <t>K</t>
        </is>
      </c>
      <c r="O74" t="inlineStr">
        <is>
          <t>20230731</t>
        </is>
      </c>
      <c r="P74" t="inlineStr">
        <is>
          <t>DKI Jakarta</t>
        </is>
      </c>
      <c r="Q74" t="inlineStr"/>
    </row>
    <row r="75">
      <c r="A75" t="inlineStr">
        <is>
          <t>DELIMA MAKMUR</t>
        </is>
      </c>
      <c r="B75" t="inlineStr">
        <is>
          <t>Kab. Batu Bara</t>
        </is>
      </c>
      <c r="C75" t="inlineStr">
        <is>
          <t>085276414777</t>
        </is>
      </c>
      <c r="D75" t="inlineStr">
        <is>
          <t>delimamakmur01@yahoo.com</t>
        </is>
      </c>
      <c r="E75" t="inlineStr">
        <is>
          <t>https://lpjk.pu.go.id/search-badan-usaha-detail/dzRFK3I4RC9UYkVnSzExZkhvRUJxUT09</t>
        </is>
      </c>
      <c r="F75" t="n">
        <v>6</v>
      </c>
      <c r="G75" t="inlineStr">
        <is>
          <t>BG005, BG006, BG009</t>
        </is>
      </c>
      <c r="H75" t="inlineStr">
        <is>
          <t>27 Juni 2023</t>
        </is>
      </c>
      <c r="I75" s="2" t="n">
        <v>46237</v>
      </c>
      <c r="J75" t="inlineStr">
        <is>
          <t>Disetujui</t>
        </is>
      </c>
      <c r="K75" t="n">
        <v>30</v>
      </c>
      <c r="L75" t="inlineStr">
        <is>
          <t>3 Agustus 2026</t>
        </is>
      </c>
      <c r="M75" t="inlineStr">
        <is>
          <t>Konstruksi Gedung Kesehatan, Konstruksi Gedung Lainnya, Konstruksi Gedung Pendidikan</t>
        </is>
      </c>
      <c r="N75" t="inlineStr">
        <is>
          <t>K</t>
        </is>
      </c>
      <c r="O75" t="inlineStr">
        <is>
          <t>20230801, 20230803</t>
        </is>
      </c>
      <c r="P75" t="inlineStr">
        <is>
          <t>Sumatera Utara</t>
        </is>
      </c>
      <c r="Q75" t="inlineStr"/>
    </row>
    <row r="76">
      <c r="A76" t="inlineStr">
        <is>
          <t>DETAIL CONSULTANT INDONESIA</t>
        </is>
      </c>
      <c r="B76" t="inlineStr">
        <is>
          <t>Kota Palu</t>
        </is>
      </c>
      <c r="C76" t="inlineStr">
        <is>
          <t>082187000995</t>
        </is>
      </c>
      <c r="D76" t="inlineStr">
        <is>
          <t>cv.detail_cons@yahoo.com</t>
        </is>
      </c>
      <c r="E76" t="inlineStr">
        <is>
          <t>https://lpjk.pu.go.id/search-badan-usaha-detail/YVR3RUswS09iUFk4OEFEZEw2U0hvZz09</t>
        </is>
      </c>
      <c r="F76" t="n">
        <v>6</v>
      </c>
      <c r="G76" t="inlineStr">
        <is>
          <t>AR001, AR002, AR003, RK001, RK002, RK003</t>
        </is>
      </c>
      <c r="H76" t="inlineStr">
        <is>
          <t>11 November 2008</t>
        </is>
      </c>
      <c r="I76" s="2" t="n">
        <v>46237</v>
      </c>
      <c r="J76" t="inlineStr">
        <is>
          <t>Disetujui</t>
        </is>
      </c>
      <c r="K76" t="n">
        <v>30</v>
      </c>
      <c r="L76" t="inlineStr">
        <is>
          <t>3 Agustus 2026</t>
        </is>
      </c>
      <c r="M76"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76" t="inlineStr">
        <is>
          <t>K</t>
        </is>
      </c>
      <c r="O76" t="inlineStr">
        <is>
          <t>20230706, 20230708, 20230711</t>
        </is>
      </c>
      <c r="P76" t="inlineStr">
        <is>
          <t>Sulawesi Tengah</t>
        </is>
      </c>
      <c r="Q76" t="inlineStr"/>
    </row>
    <row r="77">
      <c r="A77" t="inlineStr">
        <is>
          <t>DIAN AYU SEJAHTERA</t>
        </is>
      </c>
      <c r="B77" t="inlineStr">
        <is>
          <t>Kab. Sigi</t>
        </is>
      </c>
      <c r="C77" t="inlineStr">
        <is>
          <t>081320216867</t>
        </is>
      </c>
      <c r="D77" t="inlineStr">
        <is>
          <t>dianayusejahtera@yahoo.co.id</t>
        </is>
      </c>
      <c r="E77" t="inlineStr">
        <is>
          <t>https://lpjk.pu.go.id/search-badan-usaha-detail/T3Q3SDJLcGMwWjdhSlNabU5oSDRZQT09</t>
        </is>
      </c>
      <c r="F77" t="n">
        <v>5</v>
      </c>
      <c r="G77" t="inlineStr">
        <is>
          <t>BG002, BG003, BG005, BG006, BG009</t>
        </is>
      </c>
      <c r="H77" t="inlineStr">
        <is>
          <t>8 November 1994</t>
        </is>
      </c>
      <c r="I77" s="2" t="n">
        <v>46237</v>
      </c>
      <c r="J77" t="inlineStr">
        <is>
          <t>Disetujui</t>
        </is>
      </c>
      <c r="K77" t="n">
        <v>30</v>
      </c>
      <c r="L77" t="inlineStr">
        <is>
          <t>3 Agustus 2026</t>
        </is>
      </c>
      <c r="M77" t="inlineStr">
        <is>
          <t>Konstruksi Gedung Industri, Konstruksi Gedung Kesehatan, Konstruksi Gedung Lainnya, Konstruksi Gedung Pendidikan, Konstruksi Gedung Perkantoran</t>
        </is>
      </c>
      <c r="N77" t="inlineStr">
        <is>
          <t>K</t>
        </is>
      </c>
      <c r="O77" t="inlineStr">
        <is>
          <t>20230802</t>
        </is>
      </c>
      <c r="P77" t="inlineStr">
        <is>
          <t>Sulawesi Tengah</t>
        </is>
      </c>
      <c r="Q77" t="inlineStr"/>
    </row>
    <row r="78">
      <c r="A78" t="inlineStr">
        <is>
          <t>DIAN SAKTI SEMPANA</t>
        </is>
      </c>
      <c r="B78" t="inlineStr">
        <is>
          <t>Kota Medan</t>
        </is>
      </c>
      <c r="C78" t="inlineStr">
        <is>
          <t>0614158191</t>
        </is>
      </c>
      <c r="D78" t="inlineStr">
        <is>
          <t>dianss.adm@gmail.com</t>
        </is>
      </c>
      <c r="E78" t="inlineStr">
        <is>
          <t>https://lpjk.pu.go.id/search-badan-usaha-detail/NDdoY3Y1TVJlTFduVGZlZktYY056Zz09</t>
        </is>
      </c>
      <c r="F78" t="n">
        <v>1</v>
      </c>
      <c r="G78" t="inlineStr">
        <is>
          <t>IN008</t>
        </is>
      </c>
      <c r="H78" t="inlineStr">
        <is>
          <t>20 Oktober 1983</t>
        </is>
      </c>
      <c r="I78" s="2" t="n">
        <v>46237</v>
      </c>
      <c r="J78" t="inlineStr">
        <is>
          <t>Pembekuan</t>
        </is>
      </c>
      <c r="K78" t="n">
        <v>30</v>
      </c>
      <c r="L78" t="inlineStr">
        <is>
          <t>3 Agustus 2026</t>
        </is>
      </c>
      <c r="M78" t="inlineStr">
        <is>
          <t>Instalasi Pendingin Dan Ventilasi Udara</t>
        </is>
      </c>
      <c r="N78" t="inlineStr">
        <is>
          <t>Spesialis</t>
        </is>
      </c>
      <c r="O78" t="inlineStr">
        <is>
          <t>20230726</t>
        </is>
      </c>
      <c r="P78" t="inlineStr">
        <is>
          <t>Sumatera Utara</t>
        </is>
      </c>
      <c r="Q78" t="inlineStr"/>
    </row>
    <row r="79">
      <c r="A79" t="inlineStr">
        <is>
          <t>DIANTAMA TRAFFINDO</t>
        </is>
      </c>
      <c r="B79" t="inlineStr">
        <is>
          <t>Kab. Banyumas</t>
        </is>
      </c>
      <c r="C79" t="inlineStr">
        <is>
          <t>02816571604</t>
        </is>
      </c>
      <c r="D79" t="inlineStr">
        <is>
          <t>diantamatraffindo175@gmail.com</t>
        </is>
      </c>
      <c r="E79" t="inlineStr">
        <is>
          <t>https://lpjk.pu.go.id/search-badan-usaha-detail/MUw2UnhLSzczWldOQWM1aStKbExYZz09</t>
        </is>
      </c>
      <c r="F79" t="n">
        <v>3</v>
      </c>
      <c r="G79" t="inlineStr">
        <is>
          <t>BS001</t>
        </is>
      </c>
      <c r="H79" t="inlineStr">
        <is>
          <t>22 Oktober 2002</t>
        </is>
      </c>
      <c r="I79" s="2" t="n">
        <v>46237</v>
      </c>
      <c r="J79" t="inlineStr">
        <is>
          <t>Disetujui</t>
        </is>
      </c>
      <c r="K79" t="n">
        <v>30</v>
      </c>
      <c r="L79" t="inlineStr">
        <is>
          <t>3 Agustus 2026</t>
        </is>
      </c>
      <c r="M79" t="inlineStr">
        <is>
          <t>Konstruksi Bangunan Sipil Jalan</t>
        </is>
      </c>
      <c r="N79" t="inlineStr">
        <is>
          <t>K</t>
        </is>
      </c>
      <c r="O79" t="inlineStr">
        <is>
          <t>20230802</t>
        </is>
      </c>
      <c r="P79" t="inlineStr">
        <is>
          <t>Jawa Tengah</t>
        </is>
      </c>
      <c r="Q79" t="inlineStr"/>
    </row>
    <row r="80">
      <c r="A80" t="inlineStr">
        <is>
          <t>DIKA BERSAUDARA</t>
        </is>
      </c>
      <c r="B80" t="inlineStr">
        <is>
          <t>Kab. Bojonegoro</t>
        </is>
      </c>
      <c r="C80" t="inlineStr">
        <is>
          <t>082223719260</t>
        </is>
      </c>
      <c r="D80" t="inlineStr">
        <is>
          <t>dikabersaudara442@gmail.com</t>
        </is>
      </c>
      <c r="E80" t="inlineStr">
        <is>
          <t>https://lpjk.pu.go.id/search-badan-usaha-detail/UHI4Tk1LeUl1M2RJak96YjZyc0Z2UT09</t>
        </is>
      </c>
      <c r="F80" t="n">
        <v>1</v>
      </c>
      <c r="G80" t="inlineStr">
        <is>
          <t>BS004</t>
        </is>
      </c>
      <c r="H80" t="inlineStr">
        <is>
          <t>8 September 2022</t>
        </is>
      </c>
      <c r="I80" s="2" t="n">
        <v>46237</v>
      </c>
      <c r="J80" t="inlineStr">
        <is>
          <t>Disetujui</t>
        </is>
      </c>
      <c r="K80" t="n">
        <v>30</v>
      </c>
      <c r="L80" t="inlineStr">
        <is>
          <t>3 Agustus 2026</t>
        </is>
      </c>
      <c r="M80" t="inlineStr">
        <is>
          <t>Konstruksi Jaringan Irigasi dan Drainase</t>
        </is>
      </c>
      <c r="N80" t="inlineStr">
        <is>
          <t>K</t>
        </is>
      </c>
      <c r="O80" t="inlineStr">
        <is>
          <t>20230802</t>
        </is>
      </c>
      <c r="P80" t="inlineStr">
        <is>
          <t>Jawa Timur</t>
        </is>
      </c>
      <c r="Q80" t="inlineStr"/>
    </row>
    <row r="81">
      <c r="A81" t="inlineStr">
        <is>
          <t>DILLA INDRA PRATAMA</t>
        </is>
      </c>
      <c r="B81" t="inlineStr">
        <is>
          <t>Kab. Penajam Paser Utara</t>
        </is>
      </c>
      <c r="C81" t="inlineStr">
        <is>
          <t>081522666656</t>
        </is>
      </c>
      <c r="D81" t="inlineStr">
        <is>
          <t>cv.dillaindrapratama@gmail.com</t>
        </is>
      </c>
      <c r="E81" t="inlineStr">
        <is>
          <t>https://lpjk.pu.go.id/search-badan-usaha-detail/ZlRYWnAveVZEZXhrVkxkdDM2VjJFZz09</t>
        </is>
      </c>
      <c r="F81" t="n">
        <v>3</v>
      </c>
      <c r="G81" t="inlineStr">
        <is>
          <t>RK001, RK002, RK003</t>
        </is>
      </c>
      <c r="H81" t="inlineStr">
        <is>
          <t>26 Maret 1996</t>
        </is>
      </c>
      <c r="I81" s="2" t="n">
        <v>46237</v>
      </c>
      <c r="J81" t="inlineStr">
        <is>
          <t>Pencabutan</t>
        </is>
      </c>
      <c r="K81" t="n">
        <v>30</v>
      </c>
      <c r="L81" t="inlineStr">
        <is>
          <t>3 Agustus 2026</t>
        </is>
      </c>
      <c r="M81" t="inlineStr">
        <is>
          <t>Jasa Rekayasa Konstruksi Bangunan Gedung Hunian dan Non Hunian, Jasa Rekayasa Pekerjaan Teknik Sipil Sumber Daya Air, Jasa Rekayasa Pekerjaan Teknik Sipil Transportasi</t>
        </is>
      </c>
      <c r="N81" t="inlineStr">
        <is>
          <t>K</t>
        </is>
      </c>
      <c r="O81" t="inlineStr">
        <is>
          <t>20230721, 20230722</t>
        </is>
      </c>
      <c r="P81" t="inlineStr">
        <is>
          <t>Kalimantan Timur</t>
        </is>
      </c>
      <c r="Q81" t="inlineStr"/>
    </row>
    <row r="82">
      <c r="A82" t="inlineStr">
        <is>
          <t>DIVA ANUGRAH UTAMA</t>
        </is>
      </c>
      <c r="B82" t="inlineStr">
        <is>
          <t>Kota Bontang</t>
        </is>
      </c>
      <c r="C82" t="inlineStr">
        <is>
          <t>082150454319</t>
        </is>
      </c>
      <c r="D82" t="inlineStr">
        <is>
          <t>cv.diva_anugerah_utama@yahoo.com</t>
        </is>
      </c>
      <c r="E82" t="inlineStr">
        <is>
          <t>https://lpjk.pu.go.id/search-badan-usaha-detail/ZWowTUNqeE1TalJRWUZqNGJiS2Vwdz09</t>
        </is>
      </c>
      <c r="F82" t="n">
        <v>1</v>
      </c>
      <c r="G82" t="inlineStr">
        <is>
          <t>BS004</t>
        </is>
      </c>
      <c r="H82" t="inlineStr">
        <is>
          <t>14 Oktober 2019</t>
        </is>
      </c>
      <c r="I82" s="2" t="n">
        <v>46237</v>
      </c>
      <c r="J82" t="inlineStr">
        <is>
          <t>Disetujui</t>
        </is>
      </c>
      <c r="K82" t="n">
        <v>30</v>
      </c>
      <c r="L82" t="inlineStr">
        <is>
          <t>3 Agustus 2026</t>
        </is>
      </c>
      <c r="M82" t="inlineStr">
        <is>
          <t>Konstruksi Jaringan Irigasi dan Drainase</t>
        </is>
      </c>
      <c r="N82" t="inlineStr">
        <is>
          <t>K</t>
        </is>
      </c>
      <c r="O82" t="inlineStr">
        <is>
          <t>20230804</t>
        </is>
      </c>
      <c r="P82" t="inlineStr">
        <is>
          <t>Kalimantan Timur</t>
        </is>
      </c>
      <c r="Q82" t="inlineStr"/>
    </row>
    <row r="83">
      <c r="A83" t="inlineStr">
        <is>
          <t>DIVANA PUTRI</t>
        </is>
      </c>
      <c r="B83" t="inlineStr">
        <is>
          <t>Kota Bandar Lampung</t>
        </is>
      </c>
      <c r="C83" t="inlineStr">
        <is>
          <t>081389081399</t>
        </is>
      </c>
      <c r="D83" t="inlineStr">
        <is>
          <t>divanaputricv@gmail.com</t>
        </is>
      </c>
      <c r="E83" t="inlineStr">
        <is>
          <t>https://lpjk.pu.go.id/search-badan-usaha-detail/alVCMnZRZjQ0WEdMeHJsSDRpV0NkUT09</t>
        </is>
      </c>
      <c r="F83" t="n">
        <v>1</v>
      </c>
      <c r="G83" t="inlineStr">
        <is>
          <t>BG002</t>
        </is>
      </c>
      <c r="H83" t="inlineStr">
        <is>
          <t>2 Januari 2008</t>
        </is>
      </c>
      <c r="I83" s="2" t="n">
        <v>46237</v>
      </c>
      <c r="J83" t="inlineStr">
        <is>
          <t>Disetujui</t>
        </is>
      </c>
      <c r="K83" t="n">
        <v>30</v>
      </c>
      <c r="L83" t="inlineStr">
        <is>
          <t>3 Agustus 2026</t>
        </is>
      </c>
      <c r="M83" t="inlineStr">
        <is>
          <t>Konstruksi Gedung Perkantoran</t>
        </is>
      </c>
      <c r="N83" t="inlineStr">
        <is>
          <t>K</t>
        </is>
      </c>
      <c r="O83" t="inlineStr">
        <is>
          <t>20230803</t>
        </is>
      </c>
      <c r="P83" t="inlineStr">
        <is>
          <t>Lampung</t>
        </is>
      </c>
      <c r="Q83" t="inlineStr"/>
    </row>
    <row r="84">
      <c r="A84" t="inlineStr">
        <is>
          <t>DUA PILLAR SUANTIK</t>
        </is>
      </c>
      <c r="B84" t="inlineStr">
        <is>
          <t>Kota Semarang</t>
        </is>
      </c>
      <c r="C84" t="inlineStr">
        <is>
          <t>081226050471</t>
        </is>
      </c>
      <c r="D84" t="inlineStr">
        <is>
          <t>duapilarsuantik@gmail.com</t>
        </is>
      </c>
      <c r="E84" t="inlineStr">
        <is>
          <t>https://lpjk.pu.go.id/search-badan-usaha-detail/VHZZR3krZUUxU2FVdjVPRmM1em4rdz09</t>
        </is>
      </c>
      <c r="F84" t="n">
        <v>1</v>
      </c>
      <c r="G84" t="inlineStr">
        <is>
          <t>BS001</t>
        </is>
      </c>
      <c r="H84" t="inlineStr">
        <is>
          <t>8 Juni 2023</t>
        </is>
      </c>
      <c r="I84" s="2" t="n">
        <v>46237</v>
      </c>
      <c r="J84" t="inlineStr">
        <is>
          <t>Disetujui</t>
        </is>
      </c>
      <c r="K84" t="n">
        <v>30</v>
      </c>
      <c r="L84" t="inlineStr">
        <is>
          <t>3 Agustus 2026</t>
        </is>
      </c>
      <c r="M84" t="inlineStr">
        <is>
          <t>Konstruksi Bangunan Sipil Jalan</t>
        </is>
      </c>
      <c r="N84" t="inlineStr">
        <is>
          <t>K</t>
        </is>
      </c>
      <c r="O84" t="inlineStr">
        <is>
          <t>20230801</t>
        </is>
      </c>
      <c r="P84" t="inlineStr">
        <is>
          <t>Jawa Tengah</t>
        </is>
      </c>
      <c r="Q84" t="inlineStr"/>
    </row>
    <row r="85">
      <c r="A85" t="inlineStr">
        <is>
          <t>DUA PUTRA SEJAHTERA ABADI</t>
        </is>
      </c>
      <c r="B85" t="inlineStr">
        <is>
          <t>Kab. Sampang</t>
        </is>
      </c>
      <c r="C85" t="inlineStr">
        <is>
          <t>082140831330</t>
        </is>
      </c>
      <c r="D85" t="inlineStr">
        <is>
          <t>cv.duaputrasejahteraabadi@gmail.com</t>
        </is>
      </c>
      <c r="E85" t="inlineStr">
        <is>
          <t>https://lpjk.pu.go.id/search-badan-usaha-detail/OGtabFdudFhzaENmQWFEMkNQTit4QT09</t>
        </is>
      </c>
      <c r="F85" t="n">
        <v>1</v>
      </c>
      <c r="G85" t="inlineStr">
        <is>
          <t>BG009</t>
        </is>
      </c>
      <c r="H85" t="inlineStr">
        <is>
          <t>9 April 2020</t>
        </is>
      </c>
      <c r="I85" s="2" t="n">
        <v>46237</v>
      </c>
      <c r="J85" t="inlineStr">
        <is>
          <t>Disetujui</t>
        </is>
      </c>
      <c r="K85" t="n">
        <v>30</v>
      </c>
      <c r="L85" t="inlineStr">
        <is>
          <t>3 Agustus 2026</t>
        </is>
      </c>
      <c r="M85" t="inlineStr">
        <is>
          <t>Konstruksi Gedung Lainnya</t>
        </is>
      </c>
      <c r="N85" t="inlineStr">
        <is>
          <t>K</t>
        </is>
      </c>
      <c r="O85" t="inlineStr">
        <is>
          <t>20230803</t>
        </is>
      </c>
      <c r="P85" t="inlineStr">
        <is>
          <t>Jawa Timur</t>
        </is>
      </c>
      <c r="Q85" t="inlineStr"/>
    </row>
    <row r="86">
      <c r="A86" t="inlineStr">
        <is>
          <t>EDELWEISS RAKKA ARJUNA</t>
        </is>
      </c>
      <c r="B86" t="inlineStr">
        <is>
          <t>Kab. Bojonegoro</t>
        </is>
      </c>
      <c r="C86" t="inlineStr">
        <is>
          <t>085158079005</t>
        </is>
      </c>
      <c r="D86" t="inlineStr">
        <is>
          <t>edelweissrakkaarjuna@gmail.com</t>
        </is>
      </c>
      <c r="E86" t="inlineStr">
        <is>
          <t>https://lpjk.pu.go.id/search-badan-usaha-detail/V3pVTmxJMytKMENVaUs5SkxMNXE2Zz09</t>
        </is>
      </c>
      <c r="F86" t="n">
        <v>2</v>
      </c>
      <c r="G86" t="inlineStr">
        <is>
          <t>BS001</t>
        </is>
      </c>
      <c r="H86" t="inlineStr">
        <is>
          <t>6 Desember 2022</t>
        </is>
      </c>
      <c r="I86" s="2" t="n">
        <v>46237</v>
      </c>
      <c r="J86" t="inlineStr">
        <is>
          <t>Disetujui</t>
        </is>
      </c>
      <c r="K86" t="n">
        <v>30</v>
      </c>
      <c r="L86" t="inlineStr">
        <is>
          <t>3 Agustus 2026</t>
        </is>
      </c>
      <c r="M86" t="inlineStr">
        <is>
          <t>Konstruksi Bangunan Sipil Jalan</t>
        </is>
      </c>
      <c r="N86" t="inlineStr">
        <is>
          <t>K</t>
        </is>
      </c>
      <c r="O86" t="inlineStr">
        <is>
          <t>20230803</t>
        </is>
      </c>
      <c r="P86" t="inlineStr">
        <is>
          <t>Jawa Timur</t>
        </is>
      </c>
      <c r="Q86" t="inlineStr"/>
    </row>
    <row r="87">
      <c r="A87" t="inlineStr">
        <is>
          <t>ELANG PERSADA</t>
        </is>
      </c>
      <c r="B87" t="inlineStr">
        <is>
          <t>Kota Surabaya</t>
        </is>
      </c>
      <c r="C87" t="inlineStr">
        <is>
          <t>0318289268</t>
        </is>
      </c>
      <c r="D87" t="inlineStr">
        <is>
          <t>elangpersada82@gmail.com</t>
        </is>
      </c>
      <c r="E87" t="inlineStr">
        <is>
          <t>https://lpjk.pu.go.id/search-badan-usaha-detail/dmZKeFhOVWJwOGpZN2dGNC94SlRLUT09</t>
        </is>
      </c>
      <c r="F87" t="n">
        <v>2</v>
      </c>
      <c r="G87" t="inlineStr">
        <is>
          <t>BG006</t>
        </is>
      </c>
      <c r="H87" t="inlineStr">
        <is>
          <t>2 Maret 2006</t>
        </is>
      </c>
      <c r="I87" s="2" t="n">
        <v>46237</v>
      </c>
      <c r="J87" t="inlineStr">
        <is>
          <t>Disetujui</t>
        </is>
      </c>
      <c r="K87" t="n">
        <v>30</v>
      </c>
      <c r="L87" t="inlineStr">
        <is>
          <t>3 Agustus 2026</t>
        </is>
      </c>
      <c r="M87" t="inlineStr">
        <is>
          <t>Konstruksi Gedung Pendidikan</t>
        </is>
      </c>
      <c r="N87" t="inlineStr">
        <is>
          <t>K</t>
        </is>
      </c>
      <c r="O87" t="inlineStr">
        <is>
          <t>20230502</t>
        </is>
      </c>
      <c r="P87" t="inlineStr">
        <is>
          <t>Jawa Timur</t>
        </is>
      </c>
      <c r="Q87" t="inlineStr"/>
    </row>
    <row r="88">
      <c r="A88" t="inlineStr">
        <is>
          <t>ELISSA JAYA PERKASA</t>
        </is>
      </c>
      <c r="B88" t="inlineStr">
        <is>
          <t>Kab. Indramayu</t>
        </is>
      </c>
      <c r="C88" t="inlineStr">
        <is>
          <t>08122140860</t>
        </is>
      </c>
      <c r="D88" t="inlineStr">
        <is>
          <t>jaeniakhmad66@yahoo.com</t>
        </is>
      </c>
      <c r="E88" t="inlineStr">
        <is>
          <t>https://lpjk.pu.go.id/search-badan-usaha-detail/eFZ5Ti85aVFibktTUFhZUTJpOGhHQT09</t>
        </is>
      </c>
      <c r="F88" t="n">
        <v>1</v>
      </c>
      <c r="G88" t="inlineStr">
        <is>
          <t>BS001</t>
        </is>
      </c>
      <c r="H88" t="inlineStr">
        <is>
          <t>2 Agustus 2007</t>
        </is>
      </c>
      <c r="I88" s="2" t="n">
        <v>46237</v>
      </c>
      <c r="J88" t="inlineStr">
        <is>
          <t>Disetujui</t>
        </is>
      </c>
      <c r="K88" t="n">
        <v>30</v>
      </c>
      <c r="L88" t="inlineStr">
        <is>
          <t>3 Agustus 2026</t>
        </is>
      </c>
      <c r="M88" t="inlineStr">
        <is>
          <t>Konstruksi Bangunan Sipil Jalan</t>
        </is>
      </c>
      <c r="N88" t="inlineStr">
        <is>
          <t>K</t>
        </is>
      </c>
      <c r="O88" t="inlineStr">
        <is>
          <t>20230731</t>
        </is>
      </c>
      <c r="P88" t="inlineStr">
        <is>
          <t>Jawa Barat</t>
        </is>
      </c>
      <c r="Q88" t="inlineStr"/>
    </row>
    <row r="89">
      <c r="A89" t="inlineStr">
        <is>
          <t>EMPAT PILAR UTAMA</t>
        </is>
      </c>
      <c r="B89" t="inlineStr">
        <is>
          <t>Kab. Bone</t>
        </is>
      </c>
      <c r="C89" t="inlineStr">
        <is>
          <t>082292633636</t>
        </is>
      </c>
      <c r="D89" t="inlineStr">
        <is>
          <t>4pilarutama.cv@gmail.com</t>
        </is>
      </c>
      <c r="E89" t="inlineStr">
        <is>
          <t>https://lpjk.pu.go.id/search-badan-usaha-detail/V2I4OUMrZ0UrUEIvd29CTkE5Ui9IZz09</t>
        </is>
      </c>
      <c r="F89" t="n">
        <v>1</v>
      </c>
      <c r="G89" t="inlineStr">
        <is>
          <t>BG006</t>
        </is>
      </c>
      <c r="H89" t="inlineStr">
        <is>
          <t>16 April 2018</t>
        </is>
      </c>
      <c r="I89" s="2" t="n">
        <v>46237</v>
      </c>
      <c r="J89" t="inlineStr">
        <is>
          <t>Disetujui</t>
        </is>
      </c>
      <c r="K89" t="n">
        <v>30</v>
      </c>
      <c r="L89" t="inlineStr">
        <is>
          <t>3 Agustus 2026</t>
        </is>
      </c>
      <c r="M89" t="inlineStr">
        <is>
          <t>Konstruksi Gedung Pendidikan</t>
        </is>
      </c>
      <c r="N89" t="inlineStr">
        <is>
          <t>K</t>
        </is>
      </c>
      <c r="O89" t="inlineStr">
        <is>
          <t>20230804</t>
        </is>
      </c>
      <c r="P89" t="inlineStr">
        <is>
          <t>Sulawesi Selatan</t>
        </is>
      </c>
      <c r="Q89" t="inlineStr"/>
    </row>
    <row r="90">
      <c r="A90" t="inlineStr">
        <is>
          <t>EMPAT POETRA JAYA WAMENA PAPUA</t>
        </is>
      </c>
      <c r="B90" t="inlineStr">
        <is>
          <t>Kab. Jayawijaya</t>
        </is>
      </c>
      <c r="C90" t="inlineStr">
        <is>
          <t>081354061655</t>
        </is>
      </c>
      <c r="D90" t="inlineStr">
        <is>
          <t>ptempatpoetrajayawamenapapua@gmail.com</t>
        </is>
      </c>
      <c r="E90" t="inlineStr">
        <is>
          <t>https://lpjk.pu.go.id/search-badan-usaha-detail/NTlUQW9XWHd5Nk1VYWZmL1VIMnJSZz09</t>
        </is>
      </c>
      <c r="F90" t="n">
        <v>2</v>
      </c>
      <c r="G90" t="inlineStr">
        <is>
          <t>BS001, BS002</t>
        </is>
      </c>
      <c r="H90" t="inlineStr">
        <is>
          <t>15 September 2008</t>
        </is>
      </c>
      <c r="I90" s="2" t="n">
        <v>46237</v>
      </c>
      <c r="J90" t="inlineStr">
        <is>
          <t>Pencabutan</t>
        </is>
      </c>
      <c r="K90" t="n">
        <v>30</v>
      </c>
      <c r="L90" t="inlineStr">
        <is>
          <t>3 Agustus 2026</t>
        </is>
      </c>
      <c r="M90" t="inlineStr">
        <is>
          <t>Bangunan Sipil Jembatan, Jalan Layang, Fly Over, dan Underpass, Konstruksi Bangunan Sipil Jalan</t>
        </is>
      </c>
      <c r="N90" t="inlineStr">
        <is>
          <t>K</t>
        </is>
      </c>
      <c r="O90" t="inlineStr">
        <is>
          <t>20230717</t>
        </is>
      </c>
      <c r="P90" t="inlineStr">
        <is>
          <t>Papua</t>
        </is>
      </c>
      <c r="Q90" t="inlineStr"/>
    </row>
    <row r="91">
      <c r="A91" t="inlineStr">
        <is>
          <t>EVAN</t>
        </is>
      </c>
      <c r="B91" t="inlineStr">
        <is>
          <t>Kab. Pasaman</t>
        </is>
      </c>
      <c r="C91" t="inlineStr">
        <is>
          <t>081267812004</t>
        </is>
      </c>
      <c r="D91" t="inlineStr">
        <is>
          <t>cvevan86@yahoo.com</t>
        </is>
      </c>
      <c r="E91" t="inlineStr">
        <is>
          <t>https://lpjk.pu.go.id/search-badan-usaha-detail/anJGN2RPYkZtd3RXQkIxRmFMSUY3Zz09</t>
        </is>
      </c>
      <c r="F91" t="n">
        <v>1</v>
      </c>
      <c r="G91" t="inlineStr">
        <is>
          <t>BG005</t>
        </is>
      </c>
      <c r="H91" t="inlineStr">
        <is>
          <t>20 Februari 2009</t>
        </is>
      </c>
      <c r="I91" s="2" t="n">
        <v>46237</v>
      </c>
      <c r="J91" t="inlineStr">
        <is>
          <t>Disetujui</t>
        </is>
      </c>
      <c r="K91" t="n">
        <v>30</v>
      </c>
      <c r="L91" t="inlineStr">
        <is>
          <t>3 Agustus 2026</t>
        </is>
      </c>
      <c r="M91" t="inlineStr">
        <is>
          <t>Konstruksi Gedung Kesehatan</t>
        </is>
      </c>
      <c r="N91" t="inlineStr">
        <is>
          <t>K</t>
        </is>
      </c>
      <c r="O91" t="inlineStr">
        <is>
          <t>20230727</t>
        </is>
      </c>
      <c r="P91" t="inlineStr">
        <is>
          <t>Sumatera Barat</t>
        </is>
      </c>
      <c r="Q91" t="inlineStr"/>
    </row>
    <row r="92">
      <c r="A92" t="inlineStr">
        <is>
          <t>EVRA</t>
        </is>
      </c>
      <c r="B92" t="inlineStr">
        <is>
          <t>Kota Cirebon</t>
        </is>
      </c>
      <c r="C92" t="inlineStr">
        <is>
          <t>087868888867</t>
        </is>
      </c>
      <c r="D92" t="inlineStr">
        <is>
          <t>evra.cv@gmail.com</t>
        </is>
      </c>
      <c r="E92" t="inlineStr">
        <is>
          <t>https://lpjk.pu.go.id/search-badan-usaha-detail/aUZETS8xeVlYOGNrK2JkM3NNcFVoZz09</t>
        </is>
      </c>
      <c r="F92" t="n">
        <v>2</v>
      </c>
      <c r="G92" t="inlineStr">
        <is>
          <t>BG005, BG006</t>
        </is>
      </c>
      <c r="H92" t="inlineStr">
        <is>
          <t>8 Agustus 2022</t>
        </is>
      </c>
      <c r="I92" s="2" t="n">
        <v>46237</v>
      </c>
      <c r="J92" t="inlineStr">
        <is>
          <t>Pencabutan</t>
        </is>
      </c>
      <c r="K92" t="n">
        <v>30</v>
      </c>
      <c r="L92" t="inlineStr">
        <is>
          <t>3 Agustus 2026</t>
        </is>
      </c>
      <c r="M92" t="inlineStr">
        <is>
          <t>Konstruksi Gedung Kesehatan, Konstruksi Gedung Pendidikan</t>
        </is>
      </c>
      <c r="N92" t="inlineStr">
        <is>
          <t>K</t>
        </is>
      </c>
      <c r="O92" t="inlineStr">
        <is>
          <t>20230728</t>
        </is>
      </c>
      <c r="P92" t="inlineStr">
        <is>
          <t>Jawa Barat</t>
        </is>
      </c>
      <c r="Q92" t="inlineStr"/>
    </row>
    <row r="93">
      <c r="A93" t="inlineStr">
        <is>
          <t>FERDA LESTARI</t>
        </is>
      </c>
      <c r="B93" t="inlineStr">
        <is>
          <t>Kota Bandung</t>
        </is>
      </c>
      <c r="C93" t="inlineStr">
        <is>
          <t>081648731171</t>
        </is>
      </c>
      <c r="D93" t="inlineStr">
        <is>
          <t>ferdalestari42@gmail.com</t>
        </is>
      </c>
      <c r="E93" t="inlineStr">
        <is>
          <t>https://lpjk.pu.go.id/search-badan-usaha-detail/dU5Yc0pjSzlWYlpVU09GRFNOU2lndz09</t>
        </is>
      </c>
      <c r="F93" t="n">
        <v>1</v>
      </c>
      <c r="G93" t="inlineStr">
        <is>
          <t>BS001</t>
        </is>
      </c>
      <c r="H93" t="inlineStr">
        <is>
          <t>11 Juni 1984</t>
        </is>
      </c>
      <c r="I93" s="2" t="n">
        <v>46237</v>
      </c>
      <c r="J93" t="inlineStr">
        <is>
          <t>Disetujui</t>
        </is>
      </c>
      <c r="K93" t="n">
        <v>30</v>
      </c>
      <c r="L93" t="inlineStr">
        <is>
          <t>3 Agustus 2026</t>
        </is>
      </c>
      <c r="M93" t="inlineStr">
        <is>
          <t>Konstruksi Bangunan Sipil Jalan</t>
        </is>
      </c>
      <c r="N93" t="inlineStr">
        <is>
          <t>K</t>
        </is>
      </c>
      <c r="O93" t="inlineStr">
        <is>
          <t>20230801</t>
        </is>
      </c>
      <c r="P93" t="inlineStr">
        <is>
          <t>Jawa Barat</t>
        </is>
      </c>
      <c r="Q93" t="inlineStr"/>
    </row>
    <row r="94">
      <c r="A94" t="inlineStr">
        <is>
          <t>GAPURA LIQUA SOLUTIONS</t>
        </is>
      </c>
      <c r="B94" t="inlineStr">
        <is>
          <t>Kota Bandung</t>
        </is>
      </c>
      <c r="C94" t="inlineStr">
        <is>
          <t>0222035280</t>
        </is>
      </c>
      <c r="D94" t="inlineStr">
        <is>
          <t>info@gapuraliquasolutions.com</t>
        </is>
      </c>
      <c r="E94" t="inlineStr">
        <is>
          <t>https://lpjk.pu.go.id/search-badan-usaha-detail/bnA3eVZjRVZNWWdHZ2dVLytmQWhxQT09</t>
        </is>
      </c>
      <c r="F94" t="n">
        <v>1</v>
      </c>
      <c r="G94" t="inlineStr">
        <is>
          <t>IN007</t>
        </is>
      </c>
      <c r="H94" t="inlineStr">
        <is>
          <t>9 Desember 2016</t>
        </is>
      </c>
      <c r="I94" s="2" t="n">
        <v>46237</v>
      </c>
      <c r="J94" t="inlineStr">
        <is>
          <t>Disetujui</t>
        </is>
      </c>
      <c r="K94" t="n">
        <v>30</v>
      </c>
      <c r="L94" t="inlineStr">
        <is>
          <t>3 Agustus 2026</t>
        </is>
      </c>
      <c r="M94" t="inlineStr">
        <is>
          <t>Instalasi Saluran Air (Plambing)</t>
        </is>
      </c>
      <c r="N94" t="inlineStr">
        <is>
          <t>Spesialis</t>
        </is>
      </c>
      <c r="O94" t="inlineStr">
        <is>
          <t>20230726</t>
        </is>
      </c>
      <c r="P94" t="inlineStr">
        <is>
          <t>Jawa Barat</t>
        </is>
      </c>
      <c r="Q94" t="inlineStr"/>
    </row>
    <row r="95">
      <c r="A95" t="inlineStr">
        <is>
          <t>GEMILANG SENTOSA</t>
        </is>
      </c>
      <c r="B95" t="inlineStr">
        <is>
          <t>Kota Banda Aceh</t>
        </is>
      </c>
      <c r="C95" t="inlineStr">
        <is>
          <t>085260921535</t>
        </is>
      </c>
      <c r="D95" t="inlineStr">
        <is>
          <t>gemilang.sentosa2016@gmail.com</t>
        </is>
      </c>
      <c r="E95" t="inlineStr">
        <is>
          <t>https://lpjk.pu.go.id/search-badan-usaha-detail/Tm1rd2RWWnpNUExhNll2cDA1eFZzZz09</t>
        </is>
      </c>
      <c r="F95" t="n">
        <v>6</v>
      </c>
      <c r="G95" t="inlineStr">
        <is>
          <t>BG001, BG005, BG006, BG008, BG009, BS001</t>
        </is>
      </c>
      <c r="H95" t="inlineStr">
        <is>
          <t>15 Maret 2016</t>
        </is>
      </c>
      <c r="I95" s="2" t="n">
        <v>46237</v>
      </c>
      <c r="J95" t="inlineStr">
        <is>
          <t>Disetujui</t>
        </is>
      </c>
      <c r="K95" t="n">
        <v>30</v>
      </c>
      <c r="L95" t="inlineStr">
        <is>
          <t>3 Agustus 2026</t>
        </is>
      </c>
      <c r="M95" t="inlineStr">
        <is>
          <t>Konstruksi Bangunan Sipil Jalan, Konstruksi Gedung Hunian, Konstruksi Gedung Kesehatan, Konstruksi Gedung Lainnya, Konstruksi Gedung Pendidikan, Konstruksi Gedung Tempat Hiburan dan Olahraga</t>
        </is>
      </c>
      <c r="N95" t="inlineStr">
        <is>
          <t>K</t>
        </is>
      </c>
      <c r="O95" t="inlineStr">
        <is>
          <t>20230803, 20230804</t>
        </is>
      </c>
      <c r="P95" t="inlineStr">
        <is>
          <t>Aceh</t>
        </is>
      </c>
      <c r="Q95" t="inlineStr"/>
    </row>
    <row r="96">
      <c r="A96" t="inlineStr">
        <is>
          <t>GEO SANTARA INDONESIA</t>
        </is>
      </c>
      <c r="B96" t="inlineStr">
        <is>
          <t>Kab. Sleman</t>
        </is>
      </c>
      <c r="C96" t="inlineStr">
        <is>
          <t>081363301541</t>
        </is>
      </c>
      <c r="D96" t="inlineStr">
        <is>
          <t>geosantaraindonesia@gmail.com</t>
        </is>
      </c>
      <c r="E96" t="inlineStr">
        <is>
          <t>https://lpjk.pu.go.id/search-badan-usaha-detail/VjF4NHorNWpreFFQOGZDd3oyYmw1dz09</t>
        </is>
      </c>
      <c r="F96" t="n">
        <v>1</v>
      </c>
      <c r="G96" t="inlineStr">
        <is>
          <t>BS005</t>
        </is>
      </c>
      <c r="H96" t="inlineStr">
        <is>
          <t>28 Oktober 2022</t>
        </is>
      </c>
      <c r="I96" s="2" t="n">
        <v>46237</v>
      </c>
      <c r="J96" t="inlineStr">
        <is>
          <t>Pencabutan</t>
        </is>
      </c>
      <c r="K96" t="n">
        <v>30</v>
      </c>
      <c r="L96" t="inlineStr">
        <is>
          <t>3 Agustus 2026</t>
        </is>
      </c>
      <c r="M96" t="inlineStr">
        <is>
          <t>Konstruksi Bangunan Sipil Pengolahan Air Bersih</t>
        </is>
      </c>
      <c r="N96" t="inlineStr">
        <is>
          <t>K</t>
        </is>
      </c>
      <c r="O96" t="inlineStr">
        <is>
          <t>20230105</t>
        </is>
      </c>
      <c r="P96" t="inlineStr">
        <is>
          <t>DI Yogyakarta</t>
        </is>
      </c>
      <c r="Q96" t="inlineStr"/>
    </row>
    <row r="97">
      <c r="A97" t="inlineStr">
        <is>
          <t>GILANG PERDANA</t>
        </is>
      </c>
      <c r="B97" t="inlineStr">
        <is>
          <t>Kab. Toli Toli</t>
        </is>
      </c>
      <c r="C97" t="inlineStr">
        <is>
          <t>082344835400</t>
        </is>
      </c>
      <c r="D97" t="inlineStr">
        <is>
          <t>cvgilangperdana76@rocketmail.com</t>
        </is>
      </c>
      <c r="E97" t="inlineStr">
        <is>
          <t>https://lpjk.pu.go.id/search-badan-usaha-detail/K21UK3dBZzN1T1IvVmpWTVVjVndkUT09</t>
        </is>
      </c>
      <c r="F97" t="n">
        <v>7</v>
      </c>
      <c r="G97" t="inlineStr">
        <is>
          <t>BG001, BG002, BG005, BG006, BG009, BS001, BS004</t>
        </is>
      </c>
      <c r="H97" t="inlineStr">
        <is>
          <t>3 Februari 1995</t>
        </is>
      </c>
      <c r="I97" s="2" t="n">
        <v>46237</v>
      </c>
      <c r="J97" t="inlineStr">
        <is>
          <t>Disetujui</t>
        </is>
      </c>
      <c r="K97" t="n">
        <v>30</v>
      </c>
      <c r="L97" t="inlineStr">
        <is>
          <t>3 Agustus 2026</t>
        </is>
      </c>
      <c r="M97" t="inlineStr">
        <is>
          <t>Konstruksi Bangunan Sipil Jalan, Konstruksi Gedung Hunian, Konstruksi Gedung Kesehatan, Konstruksi Gedung Lainnya, Konstruksi Gedung Pendidikan, Konstruksi Gedung Perkantoran, Konstruksi Jaringan Irigasi dan Drainase</t>
        </is>
      </c>
      <c r="N97" t="inlineStr">
        <is>
          <t>K</t>
        </is>
      </c>
      <c r="O97" t="inlineStr">
        <is>
          <t>20230801, 20230802</t>
        </is>
      </c>
      <c r="P97" t="inlineStr">
        <is>
          <t>Sulawesi Tengah</t>
        </is>
      </c>
      <c r="Q97" t="inlineStr"/>
    </row>
    <row r="98">
      <c r="A98" t="inlineStr">
        <is>
          <t>GRAHADITAMA CONSULTAN</t>
        </is>
      </c>
      <c r="B98" t="inlineStr">
        <is>
          <t>Kota Tanjung Pinang</t>
        </is>
      </c>
      <c r="C98" t="inlineStr">
        <is>
          <t>082171216686</t>
        </is>
      </c>
      <c r="D98" t="inlineStr">
        <is>
          <t>grahaditama.cv@gmail.com</t>
        </is>
      </c>
      <c r="E98" t="inlineStr">
        <is>
          <t>https://lpjk.pu.go.id/search-badan-usaha-detail/K25YcVdmcTVZWjMwTHUxK0RDanlPZz09</t>
        </is>
      </c>
      <c r="F98" t="n">
        <v>1</v>
      </c>
      <c r="G98" t="inlineStr">
        <is>
          <t>RK003</t>
        </is>
      </c>
      <c r="H98" t="inlineStr">
        <is>
          <t>17 Februari 2000</t>
        </is>
      </c>
      <c r="I98" s="2" t="n">
        <v>46237</v>
      </c>
      <c r="J98" t="inlineStr">
        <is>
          <t>Validasi</t>
        </is>
      </c>
      <c r="K98" t="n">
        <v>30</v>
      </c>
      <c r="L98" t="inlineStr">
        <is>
          <t>3 Agustus 2026</t>
        </is>
      </c>
      <c r="M98" t="inlineStr">
        <is>
          <t>Jasa Rekayasa Pekerjaan Teknik Sipil Transportasi</t>
        </is>
      </c>
      <c r="N98" t="inlineStr">
        <is>
          <t>K</t>
        </is>
      </c>
      <c r="O98" t="inlineStr">
        <is>
          <t>20230720</t>
        </is>
      </c>
      <c r="P98" t="inlineStr">
        <is>
          <t>Kepulauan Riau</t>
        </is>
      </c>
      <c r="Q98" t="inlineStr"/>
    </row>
    <row r="99">
      <c r="A99" t="inlineStr">
        <is>
          <t>GUGUN PUTRA</t>
        </is>
      </c>
      <c r="B99" t="inlineStr">
        <is>
          <t>Kab. Ciamis</t>
        </is>
      </c>
      <c r="C99" t="inlineStr">
        <is>
          <t>085223735948</t>
        </is>
      </c>
      <c r="D99" t="inlineStr">
        <is>
          <t>cv.gugunputra@yahoo.co.id</t>
        </is>
      </c>
      <c r="E99" t="inlineStr">
        <is>
          <t>https://lpjk.pu.go.id/search-badan-usaha-detail/OFNQbkd5ZUJRQy9VdnUwaE41OStYdz09</t>
        </is>
      </c>
      <c r="F99" t="n">
        <v>2</v>
      </c>
      <c r="G99" t="inlineStr">
        <is>
          <t>BS001, BS004</t>
        </is>
      </c>
      <c r="H99" t="inlineStr">
        <is>
          <t>14 Maret 1984</t>
        </is>
      </c>
      <c r="I99" s="2" t="n">
        <v>46237</v>
      </c>
      <c r="J99" t="inlineStr">
        <is>
          <t>Disetujui</t>
        </is>
      </c>
      <c r="K99" t="n">
        <v>30</v>
      </c>
      <c r="L99" t="inlineStr">
        <is>
          <t>3 Agustus 2026</t>
        </is>
      </c>
      <c r="M99" t="inlineStr">
        <is>
          <t>Konstruksi Bangunan Sipil Jalan, Konstruksi Jaringan Irigasi dan Drainase</t>
        </is>
      </c>
      <c r="N99" t="inlineStr">
        <is>
          <t>K</t>
        </is>
      </c>
      <c r="O99" t="inlineStr">
        <is>
          <t>20230731</t>
        </is>
      </c>
      <c r="P99" t="inlineStr">
        <is>
          <t>Jawa Barat</t>
        </is>
      </c>
      <c r="Q99" t="inlineStr"/>
    </row>
    <row r="100">
      <c r="A100" t="inlineStr">
        <is>
          <t>HADI PRADIGNA UTAMA</t>
        </is>
      </c>
      <c r="B100" t="inlineStr">
        <is>
          <t>Kota Medan</t>
        </is>
      </c>
      <c r="C100" t="inlineStr">
        <is>
          <t>081360500043</t>
        </is>
      </c>
      <c r="D100" t="inlineStr">
        <is>
          <t>suharto.hadipradigna@yahoo.com</t>
        </is>
      </c>
      <c r="E100" t="inlineStr">
        <is>
          <t>https://lpjk.pu.go.id/search-badan-usaha-detail/Y0JrV2JQbjh3Ym9UbW55c1N4ZXJIUT09</t>
        </is>
      </c>
      <c r="F100" t="n">
        <v>1</v>
      </c>
      <c r="G100" t="inlineStr">
        <is>
          <t>PB009</t>
        </is>
      </c>
      <c r="H100" t="inlineStr">
        <is>
          <t>13 April 1998</t>
        </is>
      </c>
      <c r="I100" s="2" t="n">
        <v>46237</v>
      </c>
      <c r="J100" t="inlineStr">
        <is>
          <t>Pencabutan</t>
        </is>
      </c>
      <c r="K100" t="n">
        <v>30</v>
      </c>
      <c r="L100" t="inlineStr">
        <is>
          <t>3 Agustus 2026</t>
        </is>
      </c>
      <c r="M100" t="inlineStr">
        <is>
          <t>Pembersihan dan Perapihan Bangunan Gedung dan/atau Bangunan Sipil</t>
        </is>
      </c>
      <c r="N100" t="inlineStr">
        <is>
          <t>Spesialis</t>
        </is>
      </c>
      <c r="O100" t="inlineStr">
        <is>
          <t>20230731</t>
        </is>
      </c>
      <c r="P100" t="inlineStr">
        <is>
          <t>Sumatera Utara</t>
        </is>
      </c>
      <c r="Q100" t="inlineStr"/>
    </row>
    <row r="101">
      <c r="A101" t="inlineStr">
        <is>
          <t>HAMASAT PRIMA</t>
        </is>
      </c>
      <c r="B101" t="inlineStr">
        <is>
          <t>Kab. Karawang</t>
        </is>
      </c>
      <c r="C101" t="inlineStr">
        <is>
          <t>-</t>
        </is>
      </c>
      <c r="D101" t="inlineStr">
        <is>
          <t>hamasatprima@gmail.com</t>
        </is>
      </c>
      <c r="E101" t="inlineStr">
        <is>
          <t>https://lpjk.pu.go.id/search-badan-usaha-detail/Z09PTDV5dWxYL1FlamhPSjRiVEsxZz09</t>
        </is>
      </c>
      <c r="F101" t="n">
        <v>2</v>
      </c>
      <c r="G101" t="inlineStr">
        <is>
          <t>BG006, BG009</t>
        </is>
      </c>
      <c r="H101" t="inlineStr">
        <is>
          <t>23 Desember 2009</t>
        </is>
      </c>
      <c r="I101" s="2" t="n">
        <v>46237</v>
      </c>
      <c r="J101" t="inlineStr">
        <is>
          <t>Disetujui</t>
        </is>
      </c>
      <c r="K101" t="n">
        <v>30</v>
      </c>
      <c r="L101" t="inlineStr">
        <is>
          <t>3 Agustus 2026</t>
        </is>
      </c>
      <c r="M101" t="inlineStr">
        <is>
          <t>Konstruksi Gedung Lainnya, Konstruksi Gedung Pendidikan</t>
        </is>
      </c>
      <c r="N101" t="inlineStr">
        <is>
          <t>K</t>
        </is>
      </c>
      <c r="O101" t="inlineStr">
        <is>
          <t>20230704, 20230728</t>
        </is>
      </c>
      <c r="P101" t="inlineStr">
        <is>
          <t>Jawa Barat</t>
        </is>
      </c>
      <c r="Q101" t="inlineStr"/>
    </row>
    <row r="102">
      <c r="A102" t="inlineStr">
        <is>
          <t>HANIN KONSTRUKSI</t>
        </is>
      </c>
      <c r="B102" t="inlineStr">
        <is>
          <t>Kab. Luwu Timur</t>
        </is>
      </c>
      <c r="C102" t="inlineStr">
        <is>
          <t>082343426550</t>
        </is>
      </c>
      <c r="D102" t="inlineStr">
        <is>
          <t>konstruksihanin@gmail.com</t>
        </is>
      </c>
      <c r="E102" t="inlineStr">
        <is>
          <t>https://lpjk.pu.go.id/search-badan-usaha-detail/UVFScS9JRi9KVUcyK3Y1dGN2NTIvUT09</t>
        </is>
      </c>
      <c r="F102" t="n">
        <v>1</v>
      </c>
      <c r="G102" t="inlineStr">
        <is>
          <t>BS004</t>
        </is>
      </c>
      <c r="H102" t="inlineStr">
        <is>
          <t>5 Juli 2023</t>
        </is>
      </c>
      <c r="I102" s="2" t="n">
        <v>46237</v>
      </c>
      <c r="J102" t="inlineStr">
        <is>
          <t>Disetujui</t>
        </is>
      </c>
      <c r="K102" t="n">
        <v>30</v>
      </c>
      <c r="L102" t="inlineStr">
        <is>
          <t>3 Agustus 2026</t>
        </is>
      </c>
      <c r="M102" t="inlineStr">
        <is>
          <t>Konstruksi Jaringan Irigasi dan Drainase</t>
        </is>
      </c>
      <c r="N102" t="inlineStr">
        <is>
          <t>K</t>
        </is>
      </c>
      <c r="O102" t="inlineStr">
        <is>
          <t>20230711</t>
        </is>
      </c>
      <c r="P102" t="inlineStr">
        <is>
          <t>Sulawesi Selatan</t>
        </is>
      </c>
      <c r="Q102" t="inlineStr"/>
    </row>
    <row r="103">
      <c r="A103" t="inlineStr">
        <is>
          <t>HARTA DJAYA KARYA</t>
        </is>
      </c>
      <c r="B103" t="inlineStr">
        <is>
          <t>Kota Adm. Jakarta Selatan</t>
        </is>
      </c>
      <c r="C103" t="inlineStr">
        <is>
          <t>02129721678</t>
        </is>
      </c>
      <c r="D103" t="inlineStr">
        <is>
          <t>hartadjayakarya@gmail.com</t>
        </is>
      </c>
      <c r="E103" t="inlineStr">
        <is>
          <t>https://lpjk.pu.go.id/search-badan-usaha-detail/T2czVnY2SFdkNXgzdGRxTk5rY2J4QT09</t>
        </is>
      </c>
      <c r="F103" t="n">
        <v>4</v>
      </c>
      <c r="G103" t="inlineStr">
        <is>
          <t>BG001, BG002, BG006, BG009</t>
        </is>
      </c>
      <c r="H103" t="inlineStr">
        <is>
          <t>21 November 2012</t>
        </is>
      </c>
      <c r="I103" s="2" t="n">
        <v>46237</v>
      </c>
      <c r="J103" t="inlineStr">
        <is>
          <t>Pencabutan</t>
        </is>
      </c>
      <c r="K103" t="n">
        <v>30</v>
      </c>
      <c r="L103" t="inlineStr">
        <is>
          <t>3 Agustus 2026</t>
        </is>
      </c>
      <c r="M103" t="inlineStr">
        <is>
          <t>Konstruksi Gedung Hunian, Konstruksi Gedung Lainnya, Konstruksi Gedung Pendidikan, Konstruksi Gedung Perkantoran</t>
        </is>
      </c>
      <c r="N103" t="inlineStr">
        <is>
          <t>K</t>
        </is>
      </c>
      <c r="O103" t="inlineStr">
        <is>
          <t>20230801</t>
        </is>
      </c>
      <c r="P103" t="inlineStr">
        <is>
          <t>DKI Jakarta</t>
        </is>
      </c>
      <c r="Q103" t="inlineStr"/>
    </row>
    <row r="104">
      <c r="A104" t="inlineStr">
        <is>
          <t>INDAH MUSTIKA</t>
        </is>
      </c>
      <c r="B104" t="inlineStr">
        <is>
          <t>Kota Malang</t>
        </is>
      </c>
      <c r="C104" t="inlineStr">
        <is>
          <t>085785889858</t>
        </is>
      </c>
      <c r="D104" t="inlineStr">
        <is>
          <t>indahpal7@gmail.com</t>
        </is>
      </c>
      <c r="E104" t="inlineStr">
        <is>
          <t>https://lpjk.pu.go.id/search-badan-usaha-detail/dGw1ZnJvS1ErZ1JxUkpuTmRhZWJYQT09</t>
        </is>
      </c>
      <c r="F104" t="n">
        <v>1</v>
      </c>
      <c r="G104" t="inlineStr">
        <is>
          <t>BG006</t>
        </is>
      </c>
      <c r="H104" t="inlineStr">
        <is>
          <t>6 Desember 1994</t>
        </is>
      </c>
      <c r="I104" s="2" t="n">
        <v>46237</v>
      </c>
      <c r="J104" t="inlineStr">
        <is>
          <t>Disetujui</t>
        </is>
      </c>
      <c r="K104" t="n">
        <v>30</v>
      </c>
      <c r="L104" t="inlineStr">
        <is>
          <t>3 Agustus 2026</t>
        </is>
      </c>
      <c r="M104" t="inlineStr">
        <is>
          <t>Konstruksi Gedung Pendidikan</t>
        </is>
      </c>
      <c r="N104" t="inlineStr">
        <is>
          <t>K</t>
        </is>
      </c>
      <c r="O104" t="inlineStr">
        <is>
          <t>20230705</t>
        </is>
      </c>
      <c r="P104" t="inlineStr">
        <is>
          <t>Jawa Timur</t>
        </is>
      </c>
      <c r="Q104" t="inlineStr"/>
    </row>
    <row r="105">
      <c r="A105" t="inlineStr">
        <is>
          <t>JANUR KUNING SENTOSA</t>
        </is>
      </c>
      <c r="B105" t="inlineStr">
        <is>
          <t>Kab. Jombang</t>
        </is>
      </c>
      <c r="C105" t="inlineStr">
        <is>
          <t>081335017770</t>
        </is>
      </c>
      <c r="D105" t="inlineStr">
        <is>
          <t>wicaksonoariiii02@gmail.com</t>
        </is>
      </c>
      <c r="E105" t="inlineStr">
        <is>
          <t>https://lpjk.pu.go.id/search-badan-usaha-detail/enBJVHluTjBxYjFkU0JnNUdVa2d6Zz09</t>
        </is>
      </c>
      <c r="F105" t="n">
        <v>1</v>
      </c>
      <c r="G105" t="inlineStr">
        <is>
          <t>BS003</t>
        </is>
      </c>
      <c r="H105" t="inlineStr">
        <is>
          <t>3 April 2023</t>
        </is>
      </c>
      <c r="I105" s="2" t="n">
        <v>46237</v>
      </c>
      <c r="J105" t="inlineStr">
        <is>
          <t>Pencabutan</t>
        </is>
      </c>
      <c r="K105" t="n">
        <v>30</v>
      </c>
      <c r="L105" t="inlineStr">
        <is>
          <t>3 Agustus 2026</t>
        </is>
      </c>
      <c r="M105" t="inlineStr">
        <is>
          <t>Konstruksi Jalan Rel</t>
        </is>
      </c>
      <c r="N105" t="inlineStr">
        <is>
          <t>K</t>
        </is>
      </c>
      <c r="O105" t="inlineStr">
        <is>
          <t>20230801</t>
        </is>
      </c>
      <c r="P105" t="inlineStr">
        <is>
          <t>Jawa Timur</t>
        </is>
      </c>
      <c r="Q105" t="inlineStr"/>
    </row>
    <row r="106">
      <c r="A106" t="inlineStr">
        <is>
          <t>KAKASAMU ENGINEER</t>
        </is>
      </c>
      <c r="B106" t="inlineStr">
        <is>
          <t>Kota Bandar Lampung</t>
        </is>
      </c>
      <c r="C106" t="inlineStr">
        <is>
          <t>085382240044</t>
        </is>
      </c>
      <c r="D106" t="inlineStr">
        <is>
          <t>samukaka28@gmail.com</t>
        </is>
      </c>
      <c r="E106" t="inlineStr">
        <is>
          <t>https://lpjk.pu.go.id/search-badan-usaha-detail/cWRPTGdneENUTUYxd1VuMU5rU0tvdz09</t>
        </is>
      </c>
      <c r="F106" t="n">
        <v>2</v>
      </c>
      <c r="G106" t="inlineStr">
        <is>
          <t>RK001, RK003</t>
        </is>
      </c>
      <c r="H106" t="inlineStr">
        <is>
          <t>4 Januari 2017</t>
        </is>
      </c>
      <c r="I106" s="2" t="n">
        <v>46237</v>
      </c>
      <c r="J106" t="inlineStr">
        <is>
          <t>Disetujui</t>
        </is>
      </c>
      <c r="K106" t="n">
        <v>30</v>
      </c>
      <c r="L106" t="inlineStr">
        <is>
          <t>3 Agustus 2026</t>
        </is>
      </c>
      <c r="M106" t="inlineStr">
        <is>
          <t>Jasa Rekayasa Konstruksi Bangunan Gedung Hunian dan Non Hunian, Jasa Rekayasa Pekerjaan Teknik Sipil Transportasi</t>
        </is>
      </c>
      <c r="N106" t="inlineStr">
        <is>
          <t>K</t>
        </is>
      </c>
      <c r="O106" t="inlineStr">
        <is>
          <t>20230724</t>
        </is>
      </c>
      <c r="P106" t="inlineStr">
        <is>
          <t>Lampung</t>
        </is>
      </c>
      <c r="Q106" t="inlineStr"/>
    </row>
    <row r="107">
      <c r="A107" t="inlineStr">
        <is>
          <t>KARANG PRIMA NUSANTARA</t>
        </is>
      </c>
      <c r="B107" t="inlineStr">
        <is>
          <t>Kota Padang</t>
        </is>
      </c>
      <c r="C107" t="inlineStr">
        <is>
          <t>0811662214</t>
        </is>
      </c>
      <c r="D107" t="inlineStr">
        <is>
          <t>KARANGPRIMANUSANTARA@YAHOO.COM</t>
        </is>
      </c>
      <c r="E107" t="inlineStr">
        <is>
          <t>https://lpjk.pu.go.id/search-badan-usaha-detail/OG9wa3lNNURCZ2k3VUJMQ3l3Mkw3QT09</t>
        </is>
      </c>
      <c r="F107" t="n">
        <v>3</v>
      </c>
      <c r="G107" t="inlineStr">
        <is>
          <t>BG001</t>
        </is>
      </c>
      <c r="H107" t="inlineStr">
        <is>
          <t>19 Agustus 2011</t>
        </is>
      </c>
      <c r="I107" s="2" t="n">
        <v>46237</v>
      </c>
      <c r="J107" t="inlineStr">
        <is>
          <t>Disetujui</t>
        </is>
      </c>
      <c r="K107" t="n">
        <v>30</v>
      </c>
      <c r="L107" t="inlineStr">
        <is>
          <t>3 Agustus 2026</t>
        </is>
      </c>
      <c r="M107" t="inlineStr">
        <is>
          <t>Konstruksi Gedung Hunian</t>
        </is>
      </c>
      <c r="N107" t="inlineStr">
        <is>
          <t>K</t>
        </is>
      </c>
      <c r="O107" t="inlineStr">
        <is>
          <t>20230801</t>
        </is>
      </c>
      <c r="P107" t="inlineStr">
        <is>
          <t>Sumatera Barat</t>
        </is>
      </c>
      <c r="Q107" t="inlineStr"/>
    </row>
    <row r="108">
      <c r="A108" t="inlineStr">
        <is>
          <t>KARUNIA</t>
        </is>
      </c>
      <c r="B108" t="inlineStr">
        <is>
          <t>Kota Palembang</t>
        </is>
      </c>
      <c r="C108" t="inlineStr">
        <is>
          <t>081273352112</t>
        </is>
      </c>
      <c r="D108" t="inlineStr">
        <is>
          <t>cvkarunia01@yahoo.co.id</t>
        </is>
      </c>
      <c r="E108" t="inlineStr">
        <is>
          <t>https://lpjk.pu.go.id/search-badan-usaha-detail/Qm0vLzFJQzJBWUZGZ3NxOEdNTEFydz09</t>
        </is>
      </c>
      <c r="F108" t="n">
        <v>3</v>
      </c>
      <c r="G108" t="inlineStr">
        <is>
          <t>BG002, BG006, BG009</t>
        </is>
      </c>
      <c r="H108" t="inlineStr">
        <is>
          <t>6 Desember 2013</t>
        </is>
      </c>
      <c r="I108" s="2" t="n">
        <v>46237</v>
      </c>
      <c r="J108" t="inlineStr">
        <is>
          <t>Disetujui</t>
        </is>
      </c>
      <c r="K108" t="n">
        <v>30</v>
      </c>
      <c r="L108" t="inlineStr">
        <is>
          <t>3 Agustus 2026</t>
        </is>
      </c>
      <c r="M108" t="inlineStr">
        <is>
          <t>Konstruksi Gedung Lainnya, Konstruksi Gedung Pendidikan, Konstruksi Gedung Perkantoran</t>
        </is>
      </c>
      <c r="N108" t="inlineStr">
        <is>
          <t>K</t>
        </is>
      </c>
      <c r="O108" t="inlineStr">
        <is>
          <t>20230802</t>
        </is>
      </c>
      <c r="P108" t="inlineStr">
        <is>
          <t>Sumatera Selatan</t>
        </is>
      </c>
      <c r="Q108" t="inlineStr"/>
    </row>
    <row r="109">
      <c r="A109" t="inlineStr">
        <is>
          <t>KARYA BUANA TEKNIK</t>
        </is>
      </c>
      <c r="B109" t="inlineStr">
        <is>
          <t>Kota Bandung</t>
        </is>
      </c>
      <c r="C109" t="inlineStr">
        <is>
          <t>08122300844</t>
        </is>
      </c>
      <c r="D109" t="inlineStr">
        <is>
          <t>kirana399@gmail.com</t>
        </is>
      </c>
      <c r="E109" t="inlineStr">
        <is>
          <t>https://lpjk.pu.go.id/search-badan-usaha-detail/Ry92NGMwWk5aYTRhbEsxblo3RllUdz09</t>
        </is>
      </c>
      <c r="F109" t="n">
        <v>4</v>
      </c>
      <c r="G109" t="inlineStr">
        <is>
          <t>BG002, BG005, BG006, BG009</t>
        </is>
      </c>
      <c r="H109" t="inlineStr">
        <is>
          <t>19 Oktober 2010</t>
        </is>
      </c>
      <c r="I109" s="2" t="n">
        <v>46237</v>
      </c>
      <c r="J109" t="inlineStr">
        <is>
          <t>Pencabutan</t>
        </is>
      </c>
      <c r="K109" t="n">
        <v>30</v>
      </c>
      <c r="L109" t="inlineStr">
        <is>
          <t>3 Agustus 2026</t>
        </is>
      </c>
      <c r="M109" t="inlineStr">
        <is>
          <t>Konstruksi Gedung Kesehatan, Konstruksi Gedung Lainnya, Konstruksi Gedung Pendidikan, Konstruksi Gedung Perkantoran</t>
        </is>
      </c>
      <c r="N109" t="inlineStr">
        <is>
          <t>K</t>
        </is>
      </c>
      <c r="O109" t="inlineStr">
        <is>
          <t>20230802, 20230803</t>
        </is>
      </c>
      <c r="P109" t="inlineStr">
        <is>
          <t>Jawa Barat</t>
        </is>
      </c>
      <c r="Q109" t="inlineStr"/>
    </row>
    <row r="110">
      <c r="A110" t="inlineStr">
        <is>
          <t>KARYA MANDIRI</t>
        </is>
      </c>
      <c r="B110" t="inlineStr">
        <is>
          <t>Kab. Magetan</t>
        </is>
      </c>
      <c r="C110" t="inlineStr">
        <is>
          <t>082211222175</t>
        </is>
      </c>
      <c r="D110" t="inlineStr">
        <is>
          <t>mandirikarya155@gmail.com</t>
        </is>
      </c>
      <c r="E110" t="inlineStr">
        <is>
          <t>https://lpjk.pu.go.id/search-badan-usaha-detail/THZxYTIzS29ya3pyZHViSWhqam1Fdz09</t>
        </is>
      </c>
      <c r="F110" t="n">
        <v>1</v>
      </c>
      <c r="G110" t="inlineStr">
        <is>
          <t>BG006</t>
        </is>
      </c>
      <c r="H110" t="inlineStr">
        <is>
          <t>11 April 2008</t>
        </is>
      </c>
      <c r="I110" s="2" t="n">
        <v>46237</v>
      </c>
      <c r="J110" t="inlineStr">
        <is>
          <t>Disetujui</t>
        </is>
      </c>
      <c r="K110" t="n">
        <v>30</v>
      </c>
      <c r="L110" t="inlineStr">
        <is>
          <t>3 Agustus 2026</t>
        </is>
      </c>
      <c r="M110" t="inlineStr">
        <is>
          <t>Konstruksi Gedung Pendidikan</t>
        </is>
      </c>
      <c r="N110" t="inlineStr">
        <is>
          <t>K</t>
        </is>
      </c>
      <c r="O110" t="inlineStr">
        <is>
          <t>20230801</t>
        </is>
      </c>
      <c r="P110" t="inlineStr">
        <is>
          <t>Jawa Timur</t>
        </is>
      </c>
      <c r="Q110" t="inlineStr"/>
    </row>
    <row r="111">
      <c r="A111" t="inlineStr">
        <is>
          <t>KARYA NATAMA</t>
        </is>
      </c>
      <c r="B111" t="inlineStr">
        <is>
          <t>Kota Medan</t>
        </is>
      </c>
      <c r="C111" t="inlineStr">
        <is>
          <t>082279856026</t>
        </is>
      </c>
      <c r="D111" t="inlineStr">
        <is>
          <t>ckaryanatama@gmail.com</t>
        </is>
      </c>
      <c r="E111" t="inlineStr">
        <is>
          <t>https://lpjk.pu.go.id/search-badan-usaha-detail/UUp3TFVQRzRyV3Y1WlJQb29hV2p6QT09</t>
        </is>
      </c>
      <c r="F111" t="n">
        <v>1</v>
      </c>
      <c r="G111" t="inlineStr">
        <is>
          <t>BG006</t>
        </is>
      </c>
      <c r="H111" t="inlineStr">
        <is>
          <t>17 September 2019</t>
        </is>
      </c>
      <c r="I111" s="2" t="n">
        <v>46237</v>
      </c>
      <c r="J111" t="inlineStr">
        <is>
          <t>Disetujui</t>
        </is>
      </c>
      <c r="K111" t="n">
        <v>30</v>
      </c>
      <c r="L111" t="inlineStr">
        <is>
          <t>3 Agustus 2026</t>
        </is>
      </c>
      <c r="M111" t="inlineStr">
        <is>
          <t>Konstruksi Gedung Pendidikan</t>
        </is>
      </c>
      <c r="N111" t="inlineStr">
        <is>
          <t>K</t>
        </is>
      </c>
      <c r="O111" t="inlineStr">
        <is>
          <t>20230730</t>
        </is>
      </c>
      <c r="P111" t="inlineStr">
        <is>
          <t>Sumatera Utara</t>
        </is>
      </c>
      <c r="Q111" t="inlineStr"/>
    </row>
    <row r="112">
      <c r="A112" t="inlineStr">
        <is>
          <t>KARYA PRATAMA PRAYA</t>
        </is>
      </c>
      <c r="B112" t="inlineStr">
        <is>
          <t>Kab. Lombok Tengah</t>
        </is>
      </c>
      <c r="C112" t="inlineStr">
        <is>
          <t>0818052297356</t>
        </is>
      </c>
      <c r="D112" t="inlineStr">
        <is>
          <t>kpratamajaya3@gmail.com</t>
        </is>
      </c>
      <c r="E112" t="inlineStr">
        <is>
          <t>https://lpjk.pu.go.id/search-badan-usaha-detail/U2ZGTTVwcHUzaDZQK1hYQ0RzV1R1QT09</t>
        </is>
      </c>
      <c r="F112" t="n">
        <v>2</v>
      </c>
      <c r="G112" t="inlineStr">
        <is>
          <t>BG005, BG006</t>
        </is>
      </c>
      <c r="H112" t="inlineStr">
        <is>
          <t>3 Desember 2018</t>
        </is>
      </c>
      <c r="I112" s="2" t="n">
        <v>46237</v>
      </c>
      <c r="J112" t="inlineStr">
        <is>
          <t>Disetujui</t>
        </is>
      </c>
      <c r="K112" t="n">
        <v>30</v>
      </c>
      <c r="L112" t="inlineStr">
        <is>
          <t>3 Agustus 2026</t>
        </is>
      </c>
      <c r="M112" t="inlineStr">
        <is>
          <t>Konstruksi Gedung Kesehatan, Konstruksi Gedung Pendidikan</t>
        </is>
      </c>
      <c r="N112" t="inlineStr">
        <is>
          <t>K</t>
        </is>
      </c>
      <c r="O112" t="inlineStr">
        <is>
          <t>20230724, 20230728</t>
        </is>
      </c>
      <c r="P112" t="inlineStr">
        <is>
          <t>Nusa Tenggara Barat</t>
        </is>
      </c>
      <c r="Q112" t="inlineStr"/>
    </row>
    <row r="113">
      <c r="A113" t="inlineStr">
        <is>
          <t>KARYA SANTOSO</t>
        </is>
      </c>
      <c r="B113" t="inlineStr">
        <is>
          <t>Kab. Kotawaringin Timur</t>
        </is>
      </c>
      <c r="C113" t="inlineStr">
        <is>
          <t>081251593291</t>
        </is>
      </c>
      <c r="D113" t="inlineStr">
        <is>
          <t>cvkaryasantoso@gmail.com</t>
        </is>
      </c>
      <c r="E113" t="inlineStr">
        <is>
          <t>https://lpjk.pu.go.id/search-badan-usaha-detail/cmlKMTBSVWE1VXVnYWFKbW10R1Q1dz09</t>
        </is>
      </c>
      <c r="F113" t="n">
        <v>3</v>
      </c>
      <c r="G113" t="inlineStr">
        <is>
          <t>BG002, BG006, BG009</t>
        </is>
      </c>
      <c r="H113" t="inlineStr">
        <is>
          <t>16 November 2015</t>
        </is>
      </c>
      <c r="I113" s="2" t="n">
        <v>46237</v>
      </c>
      <c r="J113" t="inlineStr">
        <is>
          <t>Pencabutan</t>
        </is>
      </c>
      <c r="K113" t="n">
        <v>30</v>
      </c>
      <c r="L113" t="inlineStr">
        <is>
          <t>3 Agustus 2026</t>
        </is>
      </c>
      <c r="M113" t="inlineStr">
        <is>
          <t>Konstruksi Gedung Lainnya, Konstruksi Gedung Pendidikan, Konstruksi Gedung Perkantoran</t>
        </is>
      </c>
      <c r="N113" t="inlineStr">
        <is>
          <t>K</t>
        </is>
      </c>
      <c r="O113" t="inlineStr">
        <is>
          <t>20230802</t>
        </is>
      </c>
      <c r="P113" t="inlineStr">
        <is>
          <t>Kalimantan Tengah</t>
        </is>
      </c>
      <c r="Q113" t="inlineStr"/>
    </row>
    <row r="114">
      <c r="A114" t="inlineStr">
        <is>
          <t>KARYA SEJAHTERA PRIMA ABADI</t>
        </is>
      </c>
      <c r="B114" t="inlineStr">
        <is>
          <t>Kota Medan</t>
        </is>
      </c>
      <c r="C114" t="inlineStr">
        <is>
          <t>081361673671</t>
        </is>
      </c>
      <c r="D114" t="inlineStr">
        <is>
          <t>Karyasejahteraprimaabadi@gmail.com</t>
        </is>
      </c>
      <c r="E114" t="inlineStr">
        <is>
          <t>https://lpjk.pu.go.id/search-badan-usaha-detail/MmRnak1CYmV1MlVFU2h3KzVIZXBSQT09</t>
        </is>
      </c>
      <c r="F114" t="n">
        <v>1</v>
      </c>
      <c r="G114" t="inlineStr">
        <is>
          <t>BG003</t>
        </is>
      </c>
      <c r="H114" t="inlineStr">
        <is>
          <t>26 Juni 2023</t>
        </is>
      </c>
      <c r="I114" s="2" t="n">
        <v>46237</v>
      </c>
      <c r="J114" t="inlineStr">
        <is>
          <t>Disetujui</t>
        </is>
      </c>
      <c r="K114" t="n">
        <v>30</v>
      </c>
      <c r="L114" t="inlineStr">
        <is>
          <t>3 Agustus 2026</t>
        </is>
      </c>
      <c r="M114" t="inlineStr">
        <is>
          <t>Konstruksi Gedung Industri</t>
        </is>
      </c>
      <c r="N114" t="inlineStr">
        <is>
          <t>K</t>
        </is>
      </c>
      <c r="O114" t="inlineStr">
        <is>
          <t>20230802</t>
        </is>
      </c>
      <c r="P114" t="inlineStr">
        <is>
          <t>Sumatera Utara</t>
        </is>
      </c>
      <c r="Q114" t="inlineStr"/>
    </row>
    <row r="115">
      <c r="A115" t="inlineStr">
        <is>
          <t>KARYA UTAMA MANDIRI</t>
        </is>
      </c>
      <c r="B115" t="inlineStr">
        <is>
          <t>Kab. Sukabumi</t>
        </is>
      </c>
      <c r="C115" t="inlineStr">
        <is>
          <t>081563393800</t>
        </is>
      </c>
      <c r="D115" t="inlineStr">
        <is>
          <t>cv.karyautamamandiri251191@yahoo.com</t>
        </is>
      </c>
      <c r="E115" t="inlineStr">
        <is>
          <t>https://lpjk.pu.go.id/search-badan-usaha-detail/ZkVCYm5zZGtlMGtVeTc4bWx1RVRjQT09</t>
        </is>
      </c>
      <c r="F115" t="n">
        <v>1</v>
      </c>
      <c r="G115" t="inlineStr">
        <is>
          <t>BG006</t>
        </is>
      </c>
      <c r="H115" t="inlineStr">
        <is>
          <t>13 Desember 2006</t>
        </is>
      </c>
      <c r="I115" s="2" t="n">
        <v>46237</v>
      </c>
      <c r="J115" t="inlineStr">
        <is>
          <t>Disetujui</t>
        </is>
      </c>
      <c r="K115" t="n">
        <v>30</v>
      </c>
      <c r="L115" t="inlineStr">
        <is>
          <t>3 Agustus 2026</t>
        </is>
      </c>
      <c r="M115" t="inlineStr">
        <is>
          <t>Konstruksi Gedung Pendidikan</t>
        </is>
      </c>
      <c r="N115" t="inlineStr">
        <is>
          <t>K</t>
        </is>
      </c>
      <c r="O115" t="inlineStr">
        <is>
          <t>20230626</t>
        </is>
      </c>
      <c r="P115" t="inlineStr">
        <is>
          <t>Jawa Barat</t>
        </is>
      </c>
      <c r="Q115" t="inlineStr"/>
    </row>
    <row r="116">
      <c r="A116" t="inlineStr">
        <is>
          <t>KASIH KARYA SEJAHTERA</t>
        </is>
      </c>
      <c r="B116" t="inlineStr">
        <is>
          <t>Kab. Muara Enim</t>
        </is>
      </c>
      <c r="C116" t="inlineStr">
        <is>
          <t>082210964266</t>
        </is>
      </c>
      <c r="D116" t="inlineStr">
        <is>
          <t>ptkasihkaryasejahtera@gmail.com</t>
        </is>
      </c>
      <c r="E116" t="inlineStr">
        <is>
          <t>https://lpjk.pu.go.id/search-badan-usaha-detail/QjhBY0pkQU1VOFZUYXRWa0tkL3FCZz09</t>
        </is>
      </c>
      <c r="F116" t="n">
        <v>2</v>
      </c>
      <c r="G116" t="inlineStr">
        <is>
          <t>BG002, BG009</t>
        </is>
      </c>
      <c r="H116" t="inlineStr">
        <is>
          <t>31 Maret 2023</t>
        </is>
      </c>
      <c r="I116" s="2" t="n">
        <v>46237</v>
      </c>
      <c r="J116" t="inlineStr">
        <is>
          <t>Pencabutan</t>
        </is>
      </c>
      <c r="K116" t="n">
        <v>30</v>
      </c>
      <c r="L116" t="inlineStr">
        <is>
          <t>3 Agustus 2026</t>
        </is>
      </c>
      <c r="M116" t="inlineStr">
        <is>
          <t>Konstruksi Gedung Lainnya, Konstruksi Gedung Perkantoran</t>
        </is>
      </c>
      <c r="N116" t="inlineStr">
        <is>
          <t>K</t>
        </is>
      </c>
      <c r="O116" t="inlineStr">
        <is>
          <t>20230802, 20230803</t>
        </is>
      </c>
      <c r="P116" t="inlineStr">
        <is>
          <t>Sumatera Selatan</t>
        </is>
      </c>
      <c r="Q116" t="inlineStr"/>
    </row>
    <row r="117">
      <c r="A117" t="inlineStr">
        <is>
          <t>KASIH WIDODO MANDIRI</t>
        </is>
      </c>
      <c r="B117" t="inlineStr">
        <is>
          <t>Kab. Cirebon</t>
        </is>
      </c>
      <c r="C117" t="inlineStr">
        <is>
          <t>081395333076</t>
        </is>
      </c>
      <c r="D117" t="inlineStr">
        <is>
          <t>cv.kasihwidodomandiri@gmail.com</t>
        </is>
      </c>
      <c r="E117" t="inlineStr">
        <is>
          <t>https://lpjk.pu.go.id/search-badan-usaha-detail/dVU0WnF6RXNjUkgzR0hwaGdXbXFydz09</t>
        </is>
      </c>
      <c r="F117" t="n">
        <v>1</v>
      </c>
      <c r="G117" t="inlineStr">
        <is>
          <t>BS001</t>
        </is>
      </c>
      <c r="H117" t="inlineStr">
        <is>
          <t>3 Mei 2023</t>
        </is>
      </c>
      <c r="I117" s="2" t="n">
        <v>46237</v>
      </c>
      <c r="J117" t="inlineStr">
        <is>
          <t>Disetujui</t>
        </is>
      </c>
      <c r="K117" t="n">
        <v>30</v>
      </c>
      <c r="L117" t="inlineStr">
        <is>
          <t>3 Agustus 2026</t>
        </is>
      </c>
      <c r="M117" t="inlineStr">
        <is>
          <t>Konstruksi Bangunan Sipil Jalan</t>
        </is>
      </c>
      <c r="N117" t="inlineStr">
        <is>
          <t>K</t>
        </is>
      </c>
      <c r="O117" t="inlineStr">
        <is>
          <t>20230802</t>
        </is>
      </c>
      <c r="P117" t="inlineStr">
        <is>
          <t>Jawa Barat</t>
        </is>
      </c>
      <c r="Q117" t="inlineStr"/>
    </row>
    <row r="118">
      <c r="A118" t="inlineStr">
        <is>
          <t>KAYAMA</t>
        </is>
      </c>
      <c r="B118" t="inlineStr">
        <is>
          <t>Kab. Aceh Utara</t>
        </is>
      </c>
      <c r="C118" t="inlineStr">
        <is>
          <t>085361205043</t>
        </is>
      </c>
      <c r="D118" t="inlineStr">
        <is>
          <t>kayama_engineering@ymail.com</t>
        </is>
      </c>
      <c r="E118" t="inlineStr">
        <is>
          <t>https://lpjk.pu.go.id/search-badan-usaha-detail/aVRINzFpUGlJOWJtRm1Gd2kyeS9PZz09</t>
        </is>
      </c>
      <c r="F118" t="n">
        <v>1</v>
      </c>
      <c r="G118" t="inlineStr">
        <is>
          <t>BG009</t>
        </is>
      </c>
      <c r="H118" t="inlineStr">
        <is>
          <t>11 Januari 2011</t>
        </is>
      </c>
      <c r="I118" s="2" t="n">
        <v>46237</v>
      </c>
      <c r="J118" t="inlineStr">
        <is>
          <t>Disetujui</t>
        </is>
      </c>
      <c r="K118" t="n">
        <v>30</v>
      </c>
      <c r="L118" t="inlineStr">
        <is>
          <t>3 Agustus 2026</t>
        </is>
      </c>
      <c r="M118" t="inlineStr">
        <is>
          <t>Konstruksi Gedung Lainnya</t>
        </is>
      </c>
      <c r="N118" t="inlineStr">
        <is>
          <t>K</t>
        </is>
      </c>
      <c r="O118" t="inlineStr">
        <is>
          <t>20230803</t>
        </is>
      </c>
      <c r="P118" t="inlineStr">
        <is>
          <t>Aceh</t>
        </is>
      </c>
      <c r="Q118" t="inlineStr"/>
    </row>
    <row r="119">
      <c r="A119" t="inlineStr">
        <is>
          <t>KEMBANG JALA</t>
        </is>
      </c>
      <c r="B119" t="inlineStr">
        <is>
          <t>Kota Batam</t>
        </is>
      </c>
      <c r="C119" t="inlineStr">
        <is>
          <t>082389313573</t>
        </is>
      </c>
      <c r="D119" t="inlineStr">
        <is>
          <t>cvkembangjala@gmail.com</t>
        </is>
      </c>
      <c r="E119" t="inlineStr">
        <is>
          <t>https://lpjk.pu.go.id/search-badan-usaha-detail/RU9JUXJNWUdSS0p2SzZtZUo4QkkyZz09</t>
        </is>
      </c>
      <c r="F119" t="n">
        <v>2</v>
      </c>
      <c r="G119" t="inlineStr">
        <is>
          <t>RK001, RK003</t>
        </is>
      </c>
      <c r="H119" t="inlineStr">
        <is>
          <t>29 Juli 2009</t>
        </is>
      </c>
      <c r="I119" s="2" t="n">
        <v>46237</v>
      </c>
      <c r="J119" t="inlineStr">
        <is>
          <t>Disetujui</t>
        </is>
      </c>
      <c r="K119" t="n">
        <v>30</v>
      </c>
      <c r="L119" t="inlineStr">
        <is>
          <t>3 Agustus 2026</t>
        </is>
      </c>
      <c r="M119" t="inlineStr">
        <is>
          <t>Jasa Rekayasa Konstruksi Bangunan Gedung Hunian dan Non Hunian, Jasa Rekayasa Pekerjaan Teknik Sipil Transportasi</t>
        </is>
      </c>
      <c r="N119" t="inlineStr">
        <is>
          <t>K</t>
        </is>
      </c>
      <c r="O119" t="inlineStr">
        <is>
          <t>20230718</t>
        </is>
      </c>
      <c r="P119" t="inlineStr">
        <is>
          <t>Kepulauan Riau</t>
        </is>
      </c>
      <c r="Q119" t="inlineStr"/>
    </row>
    <row r="120">
      <c r="A120" t="inlineStr">
        <is>
          <t>KURNIA BROTHER</t>
        </is>
      </c>
      <c r="B120" t="inlineStr">
        <is>
          <t>Kab. Musi Rawas Utara</t>
        </is>
      </c>
      <c r="C120" t="inlineStr">
        <is>
          <t>081364919091</t>
        </is>
      </c>
      <c r="D120" t="inlineStr">
        <is>
          <t>kurniabrother7@gmail.com</t>
        </is>
      </c>
      <c r="E120" t="inlineStr">
        <is>
          <t>https://lpjk.pu.go.id/search-badan-usaha-detail/QVJoVmJHQ1A3ZDdlWUVnRk1STENtZz09</t>
        </is>
      </c>
      <c r="F120" t="n">
        <v>2</v>
      </c>
      <c r="G120" t="inlineStr">
        <is>
          <t>BG005, BS001</t>
        </is>
      </c>
      <c r="H120" t="inlineStr">
        <is>
          <t>11 November 2014</t>
        </is>
      </c>
      <c r="I120" s="2" t="n">
        <v>46237</v>
      </c>
      <c r="J120" t="inlineStr">
        <is>
          <t>Disetujui</t>
        </is>
      </c>
      <c r="K120" t="n">
        <v>30</v>
      </c>
      <c r="L120" t="inlineStr">
        <is>
          <t>3 Agustus 2026</t>
        </is>
      </c>
      <c r="M120" t="inlineStr">
        <is>
          <t>Konstruksi Bangunan Sipil Jalan, Konstruksi Gedung Kesehatan</t>
        </is>
      </c>
      <c r="N120" t="inlineStr">
        <is>
          <t>K</t>
        </is>
      </c>
      <c r="O120" t="inlineStr">
        <is>
          <t>20230801, 20230802</t>
        </is>
      </c>
      <c r="P120" t="inlineStr">
        <is>
          <t>Sumatera Selatan</t>
        </is>
      </c>
      <c r="Q120" t="inlineStr"/>
    </row>
    <row r="121">
      <c r="A121" t="inlineStr">
        <is>
          <t>LOKA MERCU BUANA</t>
        </is>
      </c>
      <c r="B121" t="inlineStr">
        <is>
          <t>Kab. Gianyar</t>
        </is>
      </c>
      <c r="C121" t="inlineStr">
        <is>
          <t>081236831486</t>
        </is>
      </c>
      <c r="D121" t="inlineStr">
        <is>
          <t>lokamercubuana20@gmail.com</t>
        </is>
      </c>
      <c r="E121" t="inlineStr">
        <is>
          <t>https://lpjk.pu.go.id/search-badan-usaha-detail/TDh6djVXS25Pd0dPOWhrQ0V4VFRjZz09</t>
        </is>
      </c>
      <c r="F121" t="n">
        <v>1</v>
      </c>
      <c r="G121" t="inlineStr">
        <is>
          <t>RK003</t>
        </is>
      </c>
      <c r="H121" t="inlineStr">
        <is>
          <t>10 November 2020</t>
        </is>
      </c>
      <c r="I121" s="2" t="n">
        <v>46237</v>
      </c>
      <c r="J121" t="inlineStr">
        <is>
          <t>Disetujui</t>
        </is>
      </c>
      <c r="K121" t="n">
        <v>30</v>
      </c>
      <c r="L121" t="inlineStr">
        <is>
          <t>3 Agustus 2026</t>
        </is>
      </c>
      <c r="M121" t="inlineStr">
        <is>
          <t>Jasa Rekayasa Pekerjaan Teknik Sipil Transportasi</t>
        </is>
      </c>
      <c r="N121" t="inlineStr">
        <is>
          <t>K</t>
        </is>
      </c>
      <c r="O121" t="inlineStr">
        <is>
          <t>20230726</t>
        </is>
      </c>
      <c r="P121" t="inlineStr">
        <is>
          <t>Bali</t>
        </is>
      </c>
      <c r="Q121" t="inlineStr"/>
    </row>
    <row r="122">
      <c r="A122" t="inlineStr">
        <is>
          <t>MAHA KARYA CIPTA PERKASA</t>
        </is>
      </c>
      <c r="B122" t="inlineStr">
        <is>
          <t>Kota Pare Pare</t>
        </is>
      </c>
      <c r="C122" t="inlineStr">
        <is>
          <t>0852 9980 6435</t>
        </is>
      </c>
      <c r="D122" t="inlineStr">
        <is>
          <t>cv.mahakarya2016@gmail.com</t>
        </is>
      </c>
      <c r="E122" t="inlineStr">
        <is>
          <t>https://lpjk.pu.go.id/search-badan-usaha-detail/RjBRTlRyUVUweVR4MU5YdlBnNzlwZz09</t>
        </is>
      </c>
      <c r="F122" t="n">
        <v>1</v>
      </c>
      <c r="G122" t="inlineStr">
        <is>
          <t>BS001</t>
        </is>
      </c>
      <c r="H122" t="inlineStr">
        <is>
          <t>14 Maret 2012</t>
        </is>
      </c>
      <c r="I122" s="2" t="n">
        <v>46237</v>
      </c>
      <c r="J122" t="inlineStr">
        <is>
          <t>Disetujui</t>
        </is>
      </c>
      <c r="K122" t="n">
        <v>30</v>
      </c>
      <c r="L122" t="inlineStr">
        <is>
          <t>3 Agustus 2026</t>
        </is>
      </c>
      <c r="M122" t="inlineStr">
        <is>
          <t>Konstruksi Bangunan Sipil Jalan</t>
        </is>
      </c>
      <c r="N122" t="inlineStr">
        <is>
          <t>K</t>
        </is>
      </c>
      <c r="O122" t="inlineStr">
        <is>
          <t>20230803</t>
        </is>
      </c>
      <c r="P122" t="inlineStr">
        <is>
          <t>Sulawesi Selatan</t>
        </is>
      </c>
      <c r="Q122" t="inlineStr"/>
    </row>
    <row r="123">
      <c r="A123" t="inlineStr">
        <is>
          <t>MAHARDIKA</t>
        </is>
      </c>
      <c r="B123" t="inlineStr">
        <is>
          <t>Kota Palu</t>
        </is>
      </c>
      <c r="C123" t="inlineStr">
        <is>
          <t>081354570050</t>
        </is>
      </c>
      <c r="D123" t="inlineStr">
        <is>
          <t>mahardikapt@ymail.com</t>
        </is>
      </c>
      <c r="E123" t="inlineStr">
        <is>
          <t>https://lpjk.pu.go.id/search-badan-usaha-detail/SGp4Tmh3TVYrd0pwU0tkdUR1VTJoQT09</t>
        </is>
      </c>
      <c r="F123" t="n">
        <v>2</v>
      </c>
      <c r="G123" t="inlineStr">
        <is>
          <t>BS010</t>
        </is>
      </c>
      <c r="H123" t="inlineStr">
        <is>
          <t>9 Maret 2006</t>
        </is>
      </c>
      <c r="I123" s="2" t="n">
        <v>46237</v>
      </c>
      <c r="J123" t="inlineStr">
        <is>
          <t>Disetujui</t>
        </is>
      </c>
      <c r="K123" t="n">
        <v>30</v>
      </c>
      <c r="L123" t="inlineStr">
        <is>
          <t>3 Agustus 2026</t>
        </is>
      </c>
      <c r="M123" t="inlineStr">
        <is>
          <t>Konstruksi Bangunan Prasarana Sumber Daya Air</t>
        </is>
      </c>
      <c r="N123" t="inlineStr">
        <is>
          <t>M</t>
        </is>
      </c>
      <c r="O123" t="inlineStr">
        <is>
          <t>20230801</t>
        </is>
      </c>
      <c r="P123" t="inlineStr">
        <is>
          <t>Sulawesi Tengah</t>
        </is>
      </c>
      <c r="Q123" t="inlineStr"/>
    </row>
    <row r="124">
      <c r="A124" t="inlineStr">
        <is>
          <t>MALIKA TEKNIK</t>
        </is>
      </c>
      <c r="B124" t="inlineStr">
        <is>
          <t>Kota Mataram</t>
        </is>
      </c>
      <c r="C124" t="inlineStr">
        <is>
          <t>081911285189</t>
        </is>
      </c>
      <c r="D124" t="inlineStr">
        <is>
          <t>malikateknik@gmail.com</t>
        </is>
      </c>
      <c r="E124" t="inlineStr">
        <is>
          <t>https://lpjk.pu.go.id/search-badan-usaha-detail/TkVIYkhFOFpMSCtrTEVlOExsVzNCZz09</t>
        </is>
      </c>
      <c r="F124" t="n">
        <v>4</v>
      </c>
      <c r="G124" t="inlineStr">
        <is>
          <t>BS001, BS004</t>
        </is>
      </c>
      <c r="H124" t="inlineStr">
        <is>
          <t>14 November 2016</t>
        </is>
      </c>
      <c r="I124" s="2" t="n">
        <v>46237</v>
      </c>
      <c r="J124" t="inlineStr">
        <is>
          <t>Disetujui</t>
        </is>
      </c>
      <c r="K124" t="n">
        <v>30</v>
      </c>
      <c r="L124" t="inlineStr">
        <is>
          <t>3 Agustus 2026</t>
        </is>
      </c>
      <c r="M124" t="inlineStr">
        <is>
          <t>Konstruksi Bangunan Sipil Jalan, Konstruksi Jaringan Irigasi dan Drainase</t>
        </is>
      </c>
      <c r="N124" t="inlineStr">
        <is>
          <t>K</t>
        </is>
      </c>
      <c r="O124" t="inlineStr">
        <is>
          <t>20230801</t>
        </is>
      </c>
      <c r="P124" t="inlineStr">
        <is>
          <t>Nusa Tenggara Barat</t>
        </is>
      </c>
      <c r="Q124" t="inlineStr"/>
    </row>
    <row r="125">
      <c r="A125" t="inlineStr">
        <is>
          <t>MANDIRI JAYA</t>
        </is>
      </c>
      <c r="B125" t="inlineStr">
        <is>
          <t>Kab. Kulon Progo</t>
        </is>
      </c>
      <c r="C125" t="inlineStr">
        <is>
          <t>0274 - 775221</t>
        </is>
      </c>
      <c r="D125" t="inlineStr">
        <is>
          <t>cvmandirijayakp@gmail.com</t>
        </is>
      </c>
      <c r="E125" t="inlineStr">
        <is>
          <t>https://lpjk.pu.go.id/search-badan-usaha-detail/UDgxejd1T3RlTHJoMVA4MUFLbjkxZz09</t>
        </is>
      </c>
      <c r="F125" t="n">
        <v>1</v>
      </c>
      <c r="G125" t="inlineStr">
        <is>
          <t>BS001</t>
        </is>
      </c>
      <c r="H125" t="inlineStr">
        <is>
          <t>7 April 2004</t>
        </is>
      </c>
      <c r="I125" s="2" t="n">
        <v>46237</v>
      </c>
      <c r="J125" t="inlineStr">
        <is>
          <t>Disetujui</t>
        </is>
      </c>
      <c r="K125" t="n">
        <v>30</v>
      </c>
      <c r="L125" t="inlineStr">
        <is>
          <t>3 Agustus 2026</t>
        </is>
      </c>
      <c r="M125" t="inlineStr">
        <is>
          <t>Konstruksi Bangunan Sipil Jalan</t>
        </is>
      </c>
      <c r="N125" t="inlineStr">
        <is>
          <t>K</t>
        </is>
      </c>
      <c r="O125" t="inlineStr">
        <is>
          <t>20230731</t>
        </is>
      </c>
      <c r="P125" t="inlineStr">
        <is>
          <t>DI Yogyakarta</t>
        </is>
      </c>
      <c r="Q125" t="inlineStr"/>
    </row>
    <row r="126">
      <c r="A126" t="inlineStr">
        <is>
          <t>MEGA BERKAH UTAMA</t>
        </is>
      </c>
      <c r="B126" t="inlineStr">
        <is>
          <t>Kab. Paser</t>
        </is>
      </c>
      <c r="C126" t="inlineStr">
        <is>
          <t>0812248988880</t>
        </is>
      </c>
      <c r="D126" t="inlineStr">
        <is>
          <t>megaberkahutama@gmail.com</t>
        </is>
      </c>
      <c r="E126" t="inlineStr">
        <is>
          <t>https://lpjk.pu.go.id/search-badan-usaha-detail/ZGs3aFhmUWxtOWFvcnNKK3orLzZLZz09</t>
        </is>
      </c>
      <c r="F126" t="n">
        <v>2</v>
      </c>
      <c r="G126" t="inlineStr">
        <is>
          <t>BG002, BS004</t>
        </is>
      </c>
      <c r="H126" t="inlineStr">
        <is>
          <t>16 September 2022</t>
        </is>
      </c>
      <c r="I126" s="2" t="n">
        <v>46237</v>
      </c>
      <c r="J126" t="inlineStr">
        <is>
          <t>Disetujui</t>
        </is>
      </c>
      <c r="K126" t="n">
        <v>30</v>
      </c>
      <c r="L126" t="inlineStr">
        <is>
          <t>3 Agustus 2026</t>
        </is>
      </c>
      <c r="M126" t="inlineStr">
        <is>
          <t>Konstruksi Gedung Perkantoran, Konstruksi Jaringan Irigasi dan Drainase</t>
        </is>
      </c>
      <c r="N126" t="inlineStr">
        <is>
          <t>K</t>
        </is>
      </c>
      <c r="O126" t="inlineStr">
        <is>
          <t>20230803</t>
        </is>
      </c>
      <c r="P126" t="inlineStr">
        <is>
          <t>Kalimantan Timur</t>
        </is>
      </c>
      <c r="Q126" t="inlineStr"/>
    </row>
    <row r="127">
      <c r="A127" t="inlineStr">
        <is>
          <t>MEGAH JAYA SEJAHTERA</t>
        </is>
      </c>
      <c r="B127" t="inlineStr">
        <is>
          <t>Kota Ambon</t>
        </is>
      </c>
      <c r="C127" t="inlineStr">
        <is>
          <t>085230001231</t>
        </is>
      </c>
      <c r="D127" t="inlineStr">
        <is>
          <t>Jaya.sejahtera18@yahoo.com</t>
        </is>
      </c>
      <c r="E127" t="inlineStr">
        <is>
          <t>https://lpjk.pu.go.id/search-badan-usaha-detail/WHp5b3QwaEw2bVZrWnYzK1V1Zzd1Zz09</t>
        </is>
      </c>
      <c r="F127" t="n">
        <v>2</v>
      </c>
      <c r="G127" t="inlineStr">
        <is>
          <t>BS004</t>
        </is>
      </c>
      <c r="H127" t="inlineStr">
        <is>
          <t>26 Januari 2015</t>
        </is>
      </c>
      <c r="I127" s="2" t="n">
        <v>46237</v>
      </c>
      <c r="J127" t="inlineStr">
        <is>
          <t>Disetujui</t>
        </is>
      </c>
      <c r="K127" t="n">
        <v>30</v>
      </c>
      <c r="L127" t="inlineStr">
        <is>
          <t>3 Agustus 2026</t>
        </is>
      </c>
      <c r="M127" t="inlineStr">
        <is>
          <t>Konstruksi Jaringan Irigasi dan Drainase</t>
        </is>
      </c>
      <c r="N127" t="inlineStr">
        <is>
          <t>K</t>
        </is>
      </c>
      <c r="O127" t="inlineStr">
        <is>
          <t>20230802</t>
        </is>
      </c>
      <c r="P127" t="inlineStr">
        <is>
          <t>Maluku</t>
        </is>
      </c>
      <c r="Q127" t="inlineStr"/>
    </row>
    <row r="128">
      <c r="A128" t="inlineStr">
        <is>
          <t>MENTARI PAGI SEMESTA</t>
        </is>
      </c>
      <c r="B128" t="inlineStr">
        <is>
          <t>Kab. Jember</t>
        </is>
      </c>
      <c r="C128" t="inlineStr">
        <is>
          <t>081217254468</t>
        </is>
      </c>
      <c r="D128" t="inlineStr">
        <is>
          <t>mentaripagisemestacv@gmail.com</t>
        </is>
      </c>
      <c r="E128" t="inlineStr">
        <is>
          <t>https://lpjk.pu.go.id/search-badan-usaha-detail/ZGp0aElVUGpsU1ppNHVad013MHYydz09</t>
        </is>
      </c>
      <c r="F128" t="n">
        <v>4</v>
      </c>
      <c r="G128" t="inlineStr">
        <is>
          <t>BG004, BG006, BG009, BS001</t>
        </is>
      </c>
      <c r="H128" t="inlineStr">
        <is>
          <t>11 Februari 2022</t>
        </is>
      </c>
      <c r="I128" s="2" t="n">
        <v>46237</v>
      </c>
      <c r="J128" t="inlineStr">
        <is>
          <t>Disetujui, Pencabutan</t>
        </is>
      </c>
      <c r="K128" t="n">
        <v>30</v>
      </c>
      <c r="L128" t="inlineStr">
        <is>
          <t>3 Agustus 2026</t>
        </is>
      </c>
      <c r="M128" t="inlineStr">
        <is>
          <t>Konstruksi Bangunan Sipil Jalan, Konstruksi Gedung Lainnya, Konstruksi Gedung Pendidikan, Konstruksi Gedung Perbelanjaan</t>
        </is>
      </c>
      <c r="N128" t="inlineStr">
        <is>
          <t>K</t>
        </is>
      </c>
      <c r="O128" t="inlineStr">
        <is>
          <t>20230725, 20230731</t>
        </is>
      </c>
      <c r="P128" t="inlineStr">
        <is>
          <t>Jawa Timur</t>
        </is>
      </c>
      <c r="Q128" t="inlineStr"/>
    </row>
    <row r="129">
      <c r="A129" t="inlineStr">
        <is>
          <t>MITRA</t>
        </is>
      </c>
      <c r="B129" t="inlineStr">
        <is>
          <t>Kab. Pasuruan</t>
        </is>
      </c>
      <c r="C129" t="inlineStr">
        <is>
          <t>08123211366</t>
        </is>
      </c>
      <c r="D129" t="inlineStr">
        <is>
          <t>cvmitra@yahoo.com</t>
        </is>
      </c>
      <c r="E129" t="inlineStr">
        <is>
          <t>https://lpjk.pu.go.id/search-badan-usaha-detail/a002dkdyR056KzdyODdQTVc1a3hHQT09</t>
        </is>
      </c>
      <c r="F129" t="n">
        <v>1</v>
      </c>
      <c r="G129" t="inlineStr">
        <is>
          <t>BG005</t>
        </is>
      </c>
      <c r="H129" t="inlineStr">
        <is>
          <t>12 Juli 1995</t>
        </is>
      </c>
      <c r="I129" s="2" t="n">
        <v>46237</v>
      </c>
      <c r="J129" t="inlineStr">
        <is>
          <t>Pencabutan</t>
        </is>
      </c>
      <c r="K129" t="n">
        <v>30</v>
      </c>
      <c r="L129" t="inlineStr">
        <is>
          <t>3 Agustus 2026</t>
        </is>
      </c>
      <c r="M129" t="inlineStr">
        <is>
          <t>Konstruksi Gedung Kesehatan</t>
        </is>
      </c>
      <c r="N129" t="inlineStr">
        <is>
          <t>K</t>
        </is>
      </c>
      <c r="O129" t="inlineStr">
        <is>
          <t>20230801</t>
        </is>
      </c>
      <c r="P129" t="inlineStr">
        <is>
          <t>Jawa Timur</t>
        </is>
      </c>
      <c r="Q129" t="inlineStr"/>
    </row>
    <row r="130">
      <c r="A130" t="inlineStr">
        <is>
          <t>MITRA BANGUNAN MUKOK</t>
        </is>
      </c>
      <c r="B130" t="inlineStr">
        <is>
          <t>Kab. Sanggau</t>
        </is>
      </c>
      <c r="C130" t="inlineStr">
        <is>
          <t>085705797717</t>
        </is>
      </c>
      <c r="D130" t="inlineStr">
        <is>
          <t>Mitrabangunanmukok@gmail.com</t>
        </is>
      </c>
      <c r="E130" t="inlineStr">
        <is>
          <t>https://lpjk.pu.go.id/search-badan-usaha-detail/TTU0cDhkN0RiRW1hUjhPK2VBUnUwZz09</t>
        </is>
      </c>
      <c r="F130" t="n">
        <v>1</v>
      </c>
      <c r="G130" t="inlineStr">
        <is>
          <t>BG009</t>
        </is>
      </c>
      <c r="H130" t="inlineStr">
        <is>
          <t>3 Oktober 2022</t>
        </is>
      </c>
      <c r="I130" s="2" t="n">
        <v>46237</v>
      </c>
      <c r="J130" t="inlineStr">
        <is>
          <t>Disetujui</t>
        </is>
      </c>
      <c r="K130" t="n">
        <v>30</v>
      </c>
      <c r="L130" t="inlineStr">
        <is>
          <t>3 Agustus 2026</t>
        </is>
      </c>
      <c r="M130" t="inlineStr">
        <is>
          <t>Konstruksi Gedung Lainnya</t>
        </is>
      </c>
      <c r="N130" t="inlineStr">
        <is>
          <t>K</t>
        </is>
      </c>
      <c r="O130" t="inlineStr">
        <is>
          <t>20230803</t>
        </is>
      </c>
      <c r="P130" t="inlineStr">
        <is>
          <t>Kalimantan Barat</t>
        </is>
      </c>
      <c r="Q130" t="inlineStr"/>
    </row>
    <row r="131">
      <c r="A131" t="inlineStr">
        <is>
          <t>MITRA BERSAUDARA BEUJAYA</t>
        </is>
      </c>
      <c r="B131" t="inlineStr">
        <is>
          <t>Kota Lhokseumawe</t>
        </is>
      </c>
      <c r="C131" t="inlineStr">
        <is>
          <t>085297908056</t>
        </is>
      </c>
      <c r="D131" t="inlineStr">
        <is>
          <t>ayimitrabersaudara95@gmail.com</t>
        </is>
      </c>
      <c r="E131" t="inlineStr">
        <is>
          <t>https://lpjk.pu.go.id/search-badan-usaha-detail/R2QyYjJrOTRYVzZSREI1d3FoOVUyQT09</t>
        </is>
      </c>
      <c r="F131" t="n">
        <v>1</v>
      </c>
      <c r="G131" t="inlineStr">
        <is>
          <t>BG002</t>
        </is>
      </c>
      <c r="H131" t="inlineStr">
        <is>
          <t>28 Februari 2019</t>
        </is>
      </c>
      <c r="I131" s="2" t="n">
        <v>46237</v>
      </c>
      <c r="J131" t="inlineStr">
        <is>
          <t>Pencabutan</t>
        </is>
      </c>
      <c r="K131" t="n">
        <v>30</v>
      </c>
      <c r="L131" t="inlineStr">
        <is>
          <t>3 Agustus 2026</t>
        </is>
      </c>
      <c r="M131" t="inlineStr">
        <is>
          <t>Konstruksi Gedung Perkantoran</t>
        </is>
      </c>
      <c r="N131" t="inlineStr">
        <is>
          <t>K</t>
        </is>
      </c>
      <c r="O131" t="inlineStr">
        <is>
          <t>20230729</t>
        </is>
      </c>
      <c r="P131" t="inlineStr">
        <is>
          <t>Aceh</t>
        </is>
      </c>
      <c r="Q131" t="inlineStr"/>
    </row>
    <row r="132">
      <c r="A132" t="inlineStr">
        <is>
          <t>MITRA CIPTA SARANATAMA</t>
        </is>
      </c>
      <c r="B132" t="inlineStr">
        <is>
          <t>Kab. Magelang</t>
        </is>
      </c>
      <c r="C132" t="inlineStr">
        <is>
          <t>081904116285</t>
        </is>
      </c>
      <c r="D132" t="inlineStr">
        <is>
          <t>mitraciptasaranatama@gmail.com</t>
        </is>
      </c>
      <c r="E132" t="inlineStr">
        <is>
          <t>https://lpjk.pu.go.id/search-badan-usaha-detail/azJmNGdUTVRPcGdNbjdjRWpNUm1WUT09</t>
        </is>
      </c>
      <c r="F132" t="n">
        <v>3</v>
      </c>
      <c r="G132" t="inlineStr">
        <is>
          <t>BG002, BG005, BG006</t>
        </is>
      </c>
      <c r="H132" t="inlineStr">
        <is>
          <t>18 Februari 2020</t>
        </is>
      </c>
      <c r="I132" s="2" t="n">
        <v>46237</v>
      </c>
      <c r="J132" t="inlineStr">
        <is>
          <t>Disetujui</t>
        </is>
      </c>
      <c r="K132" t="n">
        <v>30</v>
      </c>
      <c r="L132" t="inlineStr">
        <is>
          <t>3 Agustus 2026</t>
        </is>
      </c>
      <c r="M132" t="inlineStr">
        <is>
          <t>Konstruksi Gedung Kesehatan, Konstruksi Gedung Pendidikan, Konstruksi Gedung Perkantoran</t>
        </is>
      </c>
      <c r="N132" t="inlineStr">
        <is>
          <t>K</t>
        </is>
      </c>
      <c r="O132" t="inlineStr">
        <is>
          <t>20230730</t>
        </is>
      </c>
      <c r="P132" t="inlineStr">
        <is>
          <t>Jawa Tengah</t>
        </is>
      </c>
      <c r="Q132" t="inlineStr"/>
    </row>
    <row r="133">
      <c r="A133" t="inlineStr">
        <is>
          <t>MITRA UTAMA LANSEKAP</t>
        </is>
      </c>
      <c r="B133" t="inlineStr">
        <is>
          <t>Kota Adm. Jakarta Barat</t>
        </is>
      </c>
      <c r="C133" t="inlineStr">
        <is>
          <t>02158908361</t>
        </is>
      </c>
      <c r="D133" t="inlineStr">
        <is>
          <t>mitrautama.landscape@gmail.com</t>
        </is>
      </c>
      <c r="E133" t="inlineStr">
        <is>
          <t>https://lpjk.pu.go.id/search-badan-usaha-detail/cERLb3czUmRsbnFTUVdVYkp6RUtSQT09</t>
        </is>
      </c>
      <c r="F133" t="n">
        <v>1</v>
      </c>
      <c r="G133" t="inlineStr">
        <is>
          <t>BG002</t>
        </is>
      </c>
      <c r="H133" t="inlineStr">
        <is>
          <t>22 Desember 2020</t>
        </is>
      </c>
      <c r="I133" s="2" t="n">
        <v>46237</v>
      </c>
      <c r="J133" t="inlineStr">
        <is>
          <t>Disetujui</t>
        </is>
      </c>
      <c r="K133" t="n">
        <v>30</v>
      </c>
      <c r="L133" t="inlineStr">
        <is>
          <t>3 Agustus 2026</t>
        </is>
      </c>
      <c r="M133" t="inlineStr">
        <is>
          <t>Konstruksi Gedung Perkantoran</t>
        </is>
      </c>
      <c r="N133" t="inlineStr">
        <is>
          <t>K</t>
        </is>
      </c>
      <c r="O133" t="inlineStr">
        <is>
          <t>20230726</t>
        </is>
      </c>
      <c r="P133" t="inlineStr">
        <is>
          <t>DKI Jakarta</t>
        </is>
      </c>
      <c r="Q133" t="inlineStr"/>
    </row>
    <row r="134">
      <c r="A134" t="inlineStr">
        <is>
          <t>MORADO SUKSES ABADI</t>
        </is>
      </c>
      <c r="B134" t="inlineStr">
        <is>
          <t>Kota Balikpapan</t>
        </is>
      </c>
      <c r="C134" t="inlineStr">
        <is>
          <t>085210227722</t>
        </is>
      </c>
      <c r="D134" t="inlineStr">
        <is>
          <t>moradosuksesabadi11@gmail.com</t>
        </is>
      </c>
      <c r="E134" t="inlineStr">
        <is>
          <t>https://lpjk.pu.go.id/search-badan-usaha-detail/cHNacW9TaGlzMVpyaVIvUkZ4Q3QvQT09</t>
        </is>
      </c>
      <c r="F134" t="n">
        <v>2</v>
      </c>
      <c r="G134" t="inlineStr">
        <is>
          <t>BG002, BG006</t>
        </is>
      </c>
      <c r="H134" t="inlineStr">
        <is>
          <t>10 Juli 2023</t>
        </is>
      </c>
      <c r="I134" s="2" t="n">
        <v>46237</v>
      </c>
      <c r="J134" t="inlineStr">
        <is>
          <t>Disetujui</t>
        </is>
      </c>
      <c r="K134" t="n">
        <v>30</v>
      </c>
      <c r="L134" t="inlineStr">
        <is>
          <t>3 Agustus 2026</t>
        </is>
      </c>
      <c r="M134" t="inlineStr">
        <is>
          <t>Konstruksi Gedung Pendidikan, Konstruksi Gedung Perkantoran</t>
        </is>
      </c>
      <c r="N134" t="inlineStr">
        <is>
          <t>K</t>
        </is>
      </c>
      <c r="O134" t="inlineStr">
        <is>
          <t>20230804</t>
        </is>
      </c>
      <c r="P134" t="inlineStr">
        <is>
          <t>Kalimantan Timur</t>
        </is>
      </c>
      <c r="Q134" t="inlineStr"/>
    </row>
    <row r="135">
      <c r="A135" t="inlineStr">
        <is>
          <t>MORISON BATAM PERKASA</t>
        </is>
      </c>
      <c r="B135" t="inlineStr">
        <is>
          <t>Kota Batam</t>
        </is>
      </c>
      <c r="C135" t="inlineStr">
        <is>
          <t>081364755433</t>
        </is>
      </c>
      <c r="D135" t="inlineStr">
        <is>
          <t>mitraserasijaya@yahoo.com</t>
        </is>
      </c>
      <c r="E135" t="inlineStr">
        <is>
          <t>https://lpjk.pu.go.id/search-badan-usaha-detail/M2NPYVZXSUJXeit5VnZhcG1BQ1lXUT09</t>
        </is>
      </c>
      <c r="F135" t="n">
        <v>1</v>
      </c>
      <c r="G135" t="inlineStr">
        <is>
          <t>BG001</t>
        </is>
      </c>
      <c r="H135" t="inlineStr">
        <is>
          <t>6 Februari 2015</t>
        </is>
      </c>
      <c r="I135" s="2" t="n">
        <v>46237</v>
      </c>
      <c r="J135" t="inlineStr">
        <is>
          <t>Disetujui</t>
        </is>
      </c>
      <c r="K135" t="n">
        <v>30</v>
      </c>
      <c r="L135" t="inlineStr">
        <is>
          <t>3 Agustus 2026</t>
        </is>
      </c>
      <c r="M135" t="inlineStr">
        <is>
          <t>Konstruksi Gedung Hunian</t>
        </is>
      </c>
      <c r="N135" t="inlineStr">
        <is>
          <t>K</t>
        </is>
      </c>
      <c r="O135" t="inlineStr">
        <is>
          <t>20230720</t>
        </is>
      </c>
      <c r="P135" t="inlineStr">
        <is>
          <t>Kepulauan Riau</t>
        </is>
      </c>
      <c r="Q135" t="inlineStr"/>
    </row>
    <row r="136">
      <c r="A136" t="inlineStr">
        <is>
          <t>MUARA DESIGN</t>
        </is>
      </c>
      <c r="B136" t="inlineStr">
        <is>
          <t>Kab. Jayawijaya</t>
        </is>
      </c>
      <c r="C136" t="inlineStr">
        <is>
          <t>082238273737</t>
        </is>
      </c>
      <c r="D136" t="inlineStr">
        <is>
          <t>muaradesign.md@gmail.com</t>
        </is>
      </c>
      <c r="E136" t="inlineStr">
        <is>
          <t>https://lpjk.pu.go.id/search-badan-usaha-detail/Z0xiT3pJbytRVXQxUjlicHRSWDNFQT09</t>
        </is>
      </c>
      <c r="F136" t="n">
        <v>2</v>
      </c>
      <c r="G136" t="inlineStr">
        <is>
          <t>RK002, RK003</t>
        </is>
      </c>
      <c r="H136" t="inlineStr">
        <is>
          <t>7 Agustus 2019</t>
        </is>
      </c>
      <c r="I136" s="2" t="n">
        <v>46237</v>
      </c>
      <c r="J136" t="inlineStr">
        <is>
          <t>Disetujui</t>
        </is>
      </c>
      <c r="K136" t="n">
        <v>30</v>
      </c>
      <c r="L136" t="inlineStr">
        <is>
          <t>3 Agustus 2026</t>
        </is>
      </c>
      <c r="M136" t="inlineStr">
        <is>
          <t>Jasa Rekayasa Pekerjaan Teknik Sipil Sumber Daya Air, Jasa Rekayasa Pekerjaan Teknik Sipil Transportasi</t>
        </is>
      </c>
      <c r="N136" t="inlineStr">
        <is>
          <t>K</t>
        </is>
      </c>
      <c r="O136" t="inlineStr">
        <is>
          <t>20230720, 20230724</t>
        </is>
      </c>
      <c r="P136" t="inlineStr">
        <is>
          <t>Papua</t>
        </is>
      </c>
      <c r="Q136" t="inlineStr"/>
    </row>
    <row r="137">
      <c r="A137" t="inlineStr">
        <is>
          <t>MULTI KARYA PRIMATAMA</t>
        </is>
      </c>
      <c r="B137" t="inlineStr">
        <is>
          <t>Kota Adm. Jakarta Barat</t>
        </is>
      </c>
      <c r="C137" t="inlineStr">
        <is>
          <t>0215871853</t>
        </is>
      </c>
      <c r="D137" t="inlineStr">
        <is>
          <t>ptmkp@cbn.net.id</t>
        </is>
      </c>
      <c r="E137" t="inlineStr">
        <is>
          <t>https://lpjk.pu.go.id/search-badan-usaha-detail/QzZxSy91dEMzTFBoTUVxaWxGcUUxQT09</t>
        </is>
      </c>
      <c r="F137" t="n">
        <v>2</v>
      </c>
      <c r="G137" t="inlineStr">
        <is>
          <t>BG002, BG009</t>
        </is>
      </c>
      <c r="H137" t="inlineStr">
        <is>
          <t>3 Juli 1995</t>
        </is>
      </c>
      <c r="I137" s="2" t="n">
        <v>46237</v>
      </c>
      <c r="J137" t="inlineStr">
        <is>
          <t>Disetujui</t>
        </is>
      </c>
      <c r="K137" t="n">
        <v>30</v>
      </c>
      <c r="L137" t="inlineStr">
        <is>
          <t>3 Agustus 2026</t>
        </is>
      </c>
      <c r="M137" t="inlineStr">
        <is>
          <t>Konstruksi Gedung Lainnya, Konstruksi Gedung Perkantoran</t>
        </is>
      </c>
      <c r="N137" t="inlineStr">
        <is>
          <t>M</t>
        </is>
      </c>
      <c r="O137" t="inlineStr">
        <is>
          <t>20230725</t>
        </is>
      </c>
      <c r="P137" t="inlineStr">
        <is>
          <t>DKI Jakarta</t>
        </is>
      </c>
      <c r="Q137" t="inlineStr"/>
    </row>
    <row r="138">
      <c r="A138" t="inlineStr">
        <is>
          <t>NADIA PUTRI MANDIRI</t>
        </is>
      </c>
      <c r="B138" t="inlineStr">
        <is>
          <t>Kota Ternate</t>
        </is>
      </c>
      <c r="C138" t="inlineStr">
        <is>
          <t>082291212508</t>
        </is>
      </c>
      <c r="D138" t="inlineStr">
        <is>
          <t>mandiri.nadiaputri@gmail.com</t>
        </is>
      </c>
      <c r="E138" t="inlineStr">
        <is>
          <t>https://lpjk.pu.go.id/search-badan-usaha-detail/cGdtT1FVMjBGWGFuVDdOd2lEUmg0UT09</t>
        </is>
      </c>
      <c r="F138" t="n">
        <v>1</v>
      </c>
      <c r="G138" t="inlineStr">
        <is>
          <t>BS001</t>
        </is>
      </c>
      <c r="H138" t="inlineStr">
        <is>
          <t>30 Januari 2020</t>
        </is>
      </c>
      <c r="I138" s="2" t="n">
        <v>46237</v>
      </c>
      <c r="J138" t="inlineStr">
        <is>
          <t>Disetujui</t>
        </is>
      </c>
      <c r="K138" t="n">
        <v>30</v>
      </c>
      <c r="L138" t="inlineStr">
        <is>
          <t>3 Agustus 2026</t>
        </is>
      </c>
      <c r="M138" t="inlineStr">
        <is>
          <t>Konstruksi Bangunan Sipil Jalan</t>
        </is>
      </c>
      <c r="N138" t="inlineStr">
        <is>
          <t>K</t>
        </is>
      </c>
      <c r="O138" t="inlineStr">
        <is>
          <t>20230801</t>
        </is>
      </c>
      <c r="P138" t="inlineStr">
        <is>
          <t>Maluku Utara</t>
        </is>
      </c>
      <c r="Q138" t="inlineStr"/>
    </row>
    <row r="139">
      <c r="A139" t="inlineStr">
        <is>
          <t>NAZARI CIPTA DESAIN</t>
        </is>
      </c>
      <c r="B139" t="inlineStr">
        <is>
          <t>Kota Pontianak</t>
        </is>
      </c>
      <c r="C139" t="inlineStr">
        <is>
          <t>081250144248</t>
        </is>
      </c>
      <c r="D139" t="inlineStr">
        <is>
          <t>cv.nazariciptadesain@gmail.com</t>
        </is>
      </c>
      <c r="E139" t="inlineStr">
        <is>
          <t>https://lpjk.pu.go.id/search-badan-usaha-detail/aXh0eFFTVk4vdG9MSk9Fd3pTclM1QT09</t>
        </is>
      </c>
      <c r="F139" t="n">
        <v>1</v>
      </c>
      <c r="G139" t="inlineStr">
        <is>
          <t>RK001</t>
        </is>
      </c>
      <c r="H139" t="inlineStr">
        <is>
          <t>24 Januari 2023</t>
        </is>
      </c>
      <c r="I139" s="2" t="n">
        <v>46237</v>
      </c>
      <c r="J139" t="inlineStr">
        <is>
          <t>Disetujui</t>
        </is>
      </c>
      <c r="K139" t="n">
        <v>30</v>
      </c>
      <c r="L139" t="inlineStr">
        <is>
          <t>3 Agustus 2026</t>
        </is>
      </c>
      <c r="M139" t="inlineStr">
        <is>
          <t>Jasa Rekayasa Konstruksi Bangunan Gedung Hunian dan Non Hunian</t>
        </is>
      </c>
      <c r="N139" t="inlineStr">
        <is>
          <t>K</t>
        </is>
      </c>
      <c r="O139" t="inlineStr">
        <is>
          <t>20230727</t>
        </is>
      </c>
      <c r="P139" t="inlineStr">
        <is>
          <t>Kalimantan Barat</t>
        </is>
      </c>
      <c r="Q139" t="inlineStr"/>
    </row>
    <row r="140">
      <c r="A140" t="inlineStr">
        <is>
          <t>NUR AINI</t>
        </is>
      </c>
      <c r="B140" t="inlineStr">
        <is>
          <t>Kab. Kediri</t>
        </is>
      </c>
      <c r="C140" t="inlineStr">
        <is>
          <t>085733237617</t>
        </is>
      </c>
      <c r="D140" t="inlineStr">
        <is>
          <t>nuraini_cv@yahoo.com</t>
        </is>
      </c>
      <c r="E140" t="inlineStr">
        <is>
          <t>https://lpjk.pu.go.id/search-badan-usaha-detail/NWxRT25vOWhJcFRueTNpaWdmWUZNQT09</t>
        </is>
      </c>
      <c r="F140" t="n">
        <v>3</v>
      </c>
      <c r="G140" t="inlineStr">
        <is>
          <t>BG006, BG008, BS004</t>
        </is>
      </c>
      <c r="H140" t="inlineStr">
        <is>
          <t>5 Juli 2007</t>
        </is>
      </c>
      <c r="I140" s="2" t="n">
        <v>46237</v>
      </c>
      <c r="J140" t="inlineStr">
        <is>
          <t>Disetujui</t>
        </is>
      </c>
      <c r="K140" t="n">
        <v>30</v>
      </c>
      <c r="L140" t="inlineStr">
        <is>
          <t>3 Agustus 2026</t>
        </is>
      </c>
      <c r="M140" t="inlineStr">
        <is>
          <t>Konstruksi Gedung Pendidikan, Konstruksi Gedung Tempat Hiburan dan Olahraga, Konstruksi Jaringan Irigasi dan Drainase</t>
        </is>
      </c>
      <c r="N140" t="inlineStr">
        <is>
          <t>K</t>
        </is>
      </c>
      <c r="O140" t="inlineStr">
        <is>
          <t>20230727, 20230731</t>
        </is>
      </c>
      <c r="P140" t="inlineStr">
        <is>
          <t>Jawa Timur</t>
        </is>
      </c>
      <c r="Q140" t="inlineStr"/>
    </row>
    <row r="141">
      <c r="A141" t="inlineStr">
        <is>
          <t>NURUL RAKHMAD</t>
        </is>
      </c>
      <c r="B141" t="inlineStr">
        <is>
          <t>Kab. Probolinggo</t>
        </is>
      </c>
      <c r="C141" t="inlineStr">
        <is>
          <t>0</t>
        </is>
      </c>
      <c r="D141" t="inlineStr">
        <is>
          <t>cv.nurulrakhmad.rba2@gmail.com</t>
        </is>
      </c>
      <c r="E141" t="inlineStr">
        <is>
          <t>https://lpjk.pu.go.id/search-badan-usaha-detail/bmlpQlhKSTltU1hhYzNsQUhnUG5IQT09</t>
        </is>
      </c>
      <c r="F141" t="n">
        <v>1</v>
      </c>
      <c r="G141" t="inlineStr">
        <is>
          <t>BS004</t>
        </is>
      </c>
      <c r="H141" t="inlineStr">
        <is>
          <t>22 Januari 1986</t>
        </is>
      </c>
      <c r="I141" s="2" t="n">
        <v>46237</v>
      </c>
      <c r="J141" t="inlineStr">
        <is>
          <t>Disetujui</t>
        </is>
      </c>
      <c r="K141" t="n">
        <v>30</v>
      </c>
      <c r="L141" t="inlineStr">
        <is>
          <t>3 Agustus 2026</t>
        </is>
      </c>
      <c r="M141" t="inlineStr">
        <is>
          <t>Konstruksi Jaringan Irigasi dan Drainase</t>
        </is>
      </c>
      <c r="N141" t="inlineStr">
        <is>
          <t>K</t>
        </is>
      </c>
      <c r="O141" t="inlineStr">
        <is>
          <t>20230730</t>
        </is>
      </c>
      <c r="P141" t="inlineStr">
        <is>
          <t>Jawa Timur</t>
        </is>
      </c>
      <c r="Q141" t="inlineStr"/>
    </row>
    <row r="142">
      <c r="A142" t="inlineStr">
        <is>
          <t>NUSA ONAP</t>
        </is>
      </c>
      <c r="B142" t="inlineStr">
        <is>
          <t>Kab. Melawi</t>
        </is>
      </c>
      <c r="C142" t="inlineStr">
        <is>
          <t>089531809497</t>
        </is>
      </c>
      <c r="D142" t="inlineStr">
        <is>
          <t>ekarni96@gmail.com</t>
        </is>
      </c>
      <c r="E142" t="inlineStr">
        <is>
          <t>https://lpjk.pu.go.id/search-badan-usaha-detail/S0hLUXZ4a2ZURmNJbm9GRFp5ZmJIUT09</t>
        </is>
      </c>
      <c r="F142" t="n">
        <v>1</v>
      </c>
      <c r="G142" t="inlineStr">
        <is>
          <t>BS001</t>
        </is>
      </c>
      <c r="H142" t="inlineStr">
        <is>
          <t>5 Mei 2023</t>
        </is>
      </c>
      <c r="I142" s="2" t="n">
        <v>46237</v>
      </c>
      <c r="J142" t="inlineStr">
        <is>
          <t>Disetujui</t>
        </is>
      </c>
      <c r="K142" t="n">
        <v>30</v>
      </c>
      <c r="L142" t="inlineStr">
        <is>
          <t>3 Agustus 2026</t>
        </is>
      </c>
      <c r="M142" t="inlineStr">
        <is>
          <t>Konstruksi Bangunan Sipil Jalan</t>
        </is>
      </c>
      <c r="N142" t="inlineStr">
        <is>
          <t>K</t>
        </is>
      </c>
      <c r="O142" t="inlineStr">
        <is>
          <t>20230803</t>
        </is>
      </c>
      <c r="P142" t="inlineStr">
        <is>
          <t>Kalimantan Barat</t>
        </is>
      </c>
      <c r="Q142" t="inlineStr"/>
    </row>
    <row r="143">
      <c r="A143" t="inlineStr">
        <is>
          <t>PERMATA GODANG</t>
        </is>
      </c>
      <c r="B143" t="inlineStr">
        <is>
          <t>Kota Medan</t>
        </is>
      </c>
      <c r="C143" t="inlineStr">
        <is>
          <t>+6282166778505</t>
        </is>
      </c>
      <c r="D143" t="inlineStr">
        <is>
          <t>cvpermatagodang2020@gmail.com</t>
        </is>
      </c>
      <c r="E143" t="inlineStr">
        <is>
          <t>https://lpjk.pu.go.id/search-badan-usaha-detail/Mk9ROUVhaHpHZWNwMytjdmNxVEFmQT09</t>
        </is>
      </c>
      <c r="F143" t="n">
        <v>1</v>
      </c>
      <c r="G143" t="inlineStr">
        <is>
          <t>BS001</t>
        </is>
      </c>
      <c r="H143" t="inlineStr">
        <is>
          <t>20 Juli 2020</t>
        </is>
      </c>
      <c r="I143" s="2" t="n">
        <v>46237</v>
      </c>
      <c r="J143" t="inlineStr">
        <is>
          <t>Disetujui</t>
        </is>
      </c>
      <c r="K143" t="n">
        <v>30</v>
      </c>
      <c r="L143" t="inlineStr">
        <is>
          <t>3 Agustus 2026</t>
        </is>
      </c>
      <c r="M143" t="inlineStr">
        <is>
          <t>Konstruksi Bangunan Sipil Jalan</t>
        </is>
      </c>
      <c r="N143" t="inlineStr">
        <is>
          <t>K</t>
        </is>
      </c>
      <c r="O143" t="inlineStr">
        <is>
          <t>20230802</t>
        </is>
      </c>
      <c r="P143" t="inlineStr">
        <is>
          <t>Sumatera Utara</t>
        </is>
      </c>
      <c r="Q143" t="inlineStr"/>
    </row>
    <row r="144">
      <c r="A144" t="inlineStr">
        <is>
          <t>PLATINUM TECH</t>
        </is>
      </c>
      <c r="B144" t="inlineStr">
        <is>
          <t>Kab. Tegal</t>
        </is>
      </c>
      <c r="C144" t="inlineStr">
        <is>
          <t>085742097741</t>
        </is>
      </c>
      <c r="D144" t="inlineStr">
        <is>
          <t>platinum_tech@yahoo.com</t>
        </is>
      </c>
      <c r="E144" t="inlineStr">
        <is>
          <t>https://lpjk.pu.go.id/search-badan-usaha-detail/UUhweFZCRjRmVHMraGZKRDhZell6Zz09</t>
        </is>
      </c>
      <c r="F144" t="n">
        <v>3</v>
      </c>
      <c r="G144" t="inlineStr">
        <is>
          <t>BG002, BG004, BG009</t>
        </is>
      </c>
      <c r="H144" t="inlineStr">
        <is>
          <t>22 Februari 2022</t>
        </is>
      </c>
      <c r="I144" s="2" t="n">
        <v>46237</v>
      </c>
      <c r="J144" t="inlineStr">
        <is>
          <t>Pencabutan</t>
        </is>
      </c>
      <c r="K144" t="n">
        <v>30</v>
      </c>
      <c r="L144" t="inlineStr">
        <is>
          <t>3 Agustus 2026</t>
        </is>
      </c>
      <c r="M144" t="inlineStr">
        <is>
          <t>Konstruksi Gedung Lainnya, Konstruksi Gedung Perbelanjaan, Konstruksi Gedung Perkantoran</t>
        </is>
      </c>
      <c r="N144" t="inlineStr">
        <is>
          <t>K</t>
        </is>
      </c>
      <c r="O144" t="inlineStr">
        <is>
          <t>20230729</t>
        </is>
      </c>
      <c r="P144" t="inlineStr">
        <is>
          <t>Jawa Tengah</t>
        </is>
      </c>
      <c r="Q144" t="inlineStr"/>
    </row>
    <row r="145">
      <c r="A145" t="inlineStr">
        <is>
          <t>PRIMA KARYA UTAMA</t>
        </is>
      </c>
      <c r="B145" t="inlineStr">
        <is>
          <t>Kota Solok</t>
        </is>
      </c>
      <c r="C145" t="inlineStr">
        <is>
          <t>085263804893</t>
        </is>
      </c>
      <c r="D145" t="inlineStr">
        <is>
          <t>primautamaslk@gmail.com</t>
        </is>
      </c>
      <c r="E145" t="inlineStr">
        <is>
          <t>https://lpjk.pu.go.id/search-badan-usaha-detail/MmxvR05LNUZVdjdUalFoRmVHOVlwUT09</t>
        </is>
      </c>
      <c r="F145" t="n">
        <v>2</v>
      </c>
      <c r="G145" t="inlineStr">
        <is>
          <t>BG002, BG006</t>
        </is>
      </c>
      <c r="H145" t="inlineStr">
        <is>
          <t>10 Februari 2006</t>
        </is>
      </c>
      <c r="I145" s="2" t="n">
        <v>46237</v>
      </c>
      <c r="J145" t="inlineStr">
        <is>
          <t>Disetujui</t>
        </is>
      </c>
      <c r="K145" t="n">
        <v>30</v>
      </c>
      <c r="L145" t="inlineStr">
        <is>
          <t>3 Agustus 2026</t>
        </is>
      </c>
      <c r="M145" t="inlineStr">
        <is>
          <t>Konstruksi Gedung Pendidikan, Konstruksi Gedung Perkantoran</t>
        </is>
      </c>
      <c r="N145" t="inlineStr">
        <is>
          <t>K</t>
        </is>
      </c>
      <c r="O145" t="inlineStr">
        <is>
          <t>20230602, 20230722</t>
        </is>
      </c>
      <c r="P145" t="inlineStr">
        <is>
          <t>Sumatera Barat</t>
        </is>
      </c>
      <c r="Q145" t="inlineStr"/>
    </row>
    <row r="146">
      <c r="A146" t="inlineStr">
        <is>
          <t>PURI'S</t>
        </is>
      </c>
      <c r="B146" t="inlineStr">
        <is>
          <t>Kota Bandung</t>
        </is>
      </c>
      <c r="C146" t="inlineStr">
        <is>
          <t>085720282820</t>
        </is>
      </c>
      <c r="D146" t="inlineStr">
        <is>
          <t>puris.cv@gmail.com</t>
        </is>
      </c>
      <c r="E146" t="inlineStr">
        <is>
          <t>https://lpjk.pu.go.id/search-badan-usaha-detail/WGExK2VrbVJFUGtMR3E3bEJhckVnQT09</t>
        </is>
      </c>
      <c r="F146" t="n">
        <v>1</v>
      </c>
      <c r="G146" t="inlineStr">
        <is>
          <t>RK002</t>
        </is>
      </c>
      <c r="H146" t="inlineStr">
        <is>
          <t>23 Desember 2004</t>
        </is>
      </c>
      <c r="I146" s="2" t="n">
        <v>46237</v>
      </c>
      <c r="J146" t="inlineStr">
        <is>
          <t>Disetujui</t>
        </is>
      </c>
      <c r="K146" t="n">
        <v>30</v>
      </c>
      <c r="L146" t="inlineStr">
        <is>
          <t>3 Agustus 2026</t>
        </is>
      </c>
      <c r="M146" t="inlineStr">
        <is>
          <t>Jasa Rekayasa Pekerjaan Teknik Sipil Sumber Daya Air</t>
        </is>
      </c>
      <c r="N146" t="inlineStr">
        <is>
          <t>K</t>
        </is>
      </c>
      <c r="O146" t="inlineStr">
        <is>
          <t>20230724</t>
        </is>
      </c>
      <c r="P146" t="inlineStr">
        <is>
          <t>Jawa Barat</t>
        </is>
      </c>
      <c r="Q146" t="inlineStr"/>
    </row>
    <row r="147">
      <c r="A147" t="inlineStr">
        <is>
          <t>PUSAKA TANI</t>
        </is>
      </c>
      <c r="B147" t="inlineStr">
        <is>
          <t>Kab. Garut</t>
        </is>
      </c>
      <c r="C147" t="inlineStr">
        <is>
          <t>087802500034</t>
        </is>
      </c>
      <c r="D147" t="inlineStr">
        <is>
          <t>cv.pusakatani2019@gmail.com</t>
        </is>
      </c>
      <c r="E147" t="inlineStr">
        <is>
          <t>https://lpjk.pu.go.id/search-badan-usaha-detail/WkFINENKQW94NXlkR2MrS2pSRWRFZz09</t>
        </is>
      </c>
      <c r="F147" t="n">
        <v>1</v>
      </c>
      <c r="G147" t="inlineStr">
        <is>
          <t>BS001</t>
        </is>
      </c>
      <c r="H147" t="inlineStr">
        <is>
          <t>6 Februari 2019</t>
        </is>
      </c>
      <c r="I147" s="2" t="n">
        <v>46237</v>
      </c>
      <c r="J147" t="inlineStr">
        <is>
          <t>Disetujui</t>
        </is>
      </c>
      <c r="K147" t="n">
        <v>30</v>
      </c>
      <c r="L147" t="inlineStr">
        <is>
          <t>3 Agustus 2026</t>
        </is>
      </c>
      <c r="M147" t="inlineStr">
        <is>
          <t>Konstruksi Bangunan Sipil Jalan</t>
        </is>
      </c>
      <c r="N147" t="inlineStr">
        <is>
          <t>K</t>
        </is>
      </c>
      <c r="O147" t="inlineStr">
        <is>
          <t>20230803</t>
        </is>
      </c>
      <c r="P147" t="inlineStr">
        <is>
          <t>Jawa Barat</t>
        </is>
      </c>
      <c r="Q147" t="inlineStr"/>
    </row>
    <row r="148">
      <c r="A148" t="inlineStr">
        <is>
          <t>PUTRA DEWATA</t>
        </is>
      </c>
      <c r="B148" t="inlineStr">
        <is>
          <t>Kota Blitar</t>
        </is>
      </c>
      <c r="C148" t="inlineStr">
        <is>
          <t>0</t>
        </is>
      </c>
      <c r="D148" t="inlineStr">
        <is>
          <t>putradewata_cv@yahoo.co.id</t>
        </is>
      </c>
      <c r="E148" t="inlineStr">
        <is>
          <t>https://lpjk.pu.go.id/search-badan-usaha-detail/SDkzTHJ6YVFjcm9DamJuWDVaVkNldz09</t>
        </is>
      </c>
      <c r="F148" t="n">
        <v>1</v>
      </c>
      <c r="G148" t="inlineStr">
        <is>
          <t>BG009</t>
        </is>
      </c>
      <c r="H148" t="inlineStr">
        <is>
          <t>10 April 2001</t>
        </is>
      </c>
      <c r="I148" s="2" t="n">
        <v>46237</v>
      </c>
      <c r="J148" t="inlineStr">
        <is>
          <t>Disetujui</t>
        </is>
      </c>
      <c r="K148" t="n">
        <v>30</v>
      </c>
      <c r="L148" t="inlineStr">
        <is>
          <t>3 Agustus 2026</t>
        </is>
      </c>
      <c r="M148" t="inlineStr">
        <is>
          <t>Konstruksi Gedung Lainnya</t>
        </is>
      </c>
      <c r="N148" t="inlineStr">
        <is>
          <t>K</t>
        </is>
      </c>
      <c r="O148" t="inlineStr">
        <is>
          <t>20230724</t>
        </is>
      </c>
      <c r="P148" t="inlineStr">
        <is>
          <t>Jawa Timur</t>
        </is>
      </c>
      <c r="Q148" t="inlineStr"/>
    </row>
    <row r="149">
      <c r="A149" t="inlineStr">
        <is>
          <t>PUTRA KEMBAR BERJAYA</t>
        </is>
      </c>
      <c r="B149" t="inlineStr">
        <is>
          <t>Kab. Kutai Kartanegara</t>
        </is>
      </c>
      <c r="C149" t="inlineStr">
        <is>
          <t>081351562638</t>
        </is>
      </c>
      <c r="D149" t="inlineStr">
        <is>
          <t>putrakembarberjaya.cv@gmail.com</t>
        </is>
      </c>
      <c r="E149" t="inlineStr">
        <is>
          <t>https://lpjk.pu.go.id/search-badan-usaha-detail/QldXWHNKdnJNa2Y2UDNwdGxsRjdQUT09</t>
        </is>
      </c>
      <c r="F149" t="n">
        <v>2</v>
      </c>
      <c r="G149" t="inlineStr">
        <is>
          <t>BS001, BS004</t>
        </is>
      </c>
      <c r="H149" t="inlineStr">
        <is>
          <t>9 Januari 2020</t>
        </is>
      </c>
      <c r="I149" s="2" t="n">
        <v>46237</v>
      </c>
      <c r="J149" t="inlineStr">
        <is>
          <t>Disetujui</t>
        </is>
      </c>
      <c r="K149" t="n">
        <v>30</v>
      </c>
      <c r="L149" t="inlineStr">
        <is>
          <t>3 Agustus 2026</t>
        </is>
      </c>
      <c r="M149" t="inlineStr">
        <is>
          <t>Konstruksi Bangunan Sipil Jalan, Konstruksi Jaringan Irigasi dan Drainase</t>
        </is>
      </c>
      <c r="N149" t="inlineStr">
        <is>
          <t>K</t>
        </is>
      </c>
      <c r="O149" t="inlineStr">
        <is>
          <t>20230802</t>
        </is>
      </c>
      <c r="P149" t="inlineStr">
        <is>
          <t>Kalimantan Timur</t>
        </is>
      </c>
      <c r="Q149" t="inlineStr"/>
    </row>
    <row r="150">
      <c r="A150" t="inlineStr">
        <is>
          <t>PUTRA MERDEKA KONSTRUKSI</t>
        </is>
      </c>
      <c r="B150" t="inlineStr">
        <is>
          <t>Kab. Maros</t>
        </is>
      </c>
      <c r="C150" t="inlineStr">
        <is>
          <t>082292624555</t>
        </is>
      </c>
      <c r="D150" t="inlineStr">
        <is>
          <t>putramerdekakonstruksi@gmail.com</t>
        </is>
      </c>
      <c r="E150" t="inlineStr">
        <is>
          <t>https://lpjk.pu.go.id/search-badan-usaha-detail/NWJmdkgvdUZzaXNEUFgzRWVUOVFEdz09</t>
        </is>
      </c>
      <c r="F150" t="n">
        <v>1</v>
      </c>
      <c r="G150" t="inlineStr">
        <is>
          <t>BS004</t>
        </is>
      </c>
      <c r="H150" t="inlineStr">
        <is>
          <t>21 November 2022</t>
        </is>
      </c>
      <c r="I150" s="2" t="n">
        <v>46237</v>
      </c>
      <c r="J150" t="inlineStr">
        <is>
          <t>Disetujui</t>
        </is>
      </c>
      <c r="K150" t="n">
        <v>30</v>
      </c>
      <c r="L150" t="inlineStr">
        <is>
          <t>3 Agustus 2026</t>
        </is>
      </c>
      <c r="M150" t="inlineStr">
        <is>
          <t>Konstruksi Jaringan Irigasi dan Drainase</t>
        </is>
      </c>
      <c r="N150" t="inlineStr">
        <is>
          <t>K</t>
        </is>
      </c>
      <c r="O150" t="inlineStr">
        <is>
          <t>20230801</t>
        </is>
      </c>
      <c r="P150" t="inlineStr">
        <is>
          <t>Sulawesi Selatan</t>
        </is>
      </c>
      <c r="Q150" t="inlineStr"/>
    </row>
    <row r="151">
      <c r="A151" t="inlineStr">
        <is>
          <t>PUTRA SULTAN GEMILANG</t>
        </is>
      </c>
      <c r="B151" t="inlineStr">
        <is>
          <t>Kota Banda Aceh</t>
        </is>
      </c>
      <c r="C151" t="inlineStr">
        <is>
          <t>082363848767</t>
        </is>
      </c>
      <c r="D151" t="inlineStr">
        <is>
          <t>putrasultangemilang@gmail.com</t>
        </is>
      </c>
      <c r="E151" t="inlineStr">
        <is>
          <t>https://lpjk.pu.go.id/search-badan-usaha-detail/K1E5Uk5MdldKbXBkUnB4QzBxVDJSdz09</t>
        </is>
      </c>
      <c r="F151" t="n">
        <v>2</v>
      </c>
      <c r="G151" t="inlineStr">
        <is>
          <t>BG004, BG006</t>
        </is>
      </c>
      <c r="H151" t="inlineStr">
        <is>
          <t>7 Januari 2021</t>
        </is>
      </c>
      <c r="I151" s="2" t="n">
        <v>46237</v>
      </c>
      <c r="J151" t="inlineStr">
        <is>
          <t>Pencabutan</t>
        </is>
      </c>
      <c r="K151" t="n">
        <v>30</v>
      </c>
      <c r="L151" t="inlineStr">
        <is>
          <t>3 Agustus 2026</t>
        </is>
      </c>
      <c r="M151" t="inlineStr">
        <is>
          <t>Konstruksi Gedung Pendidikan, Konstruksi Gedung Perbelanjaan</t>
        </is>
      </c>
      <c r="N151" t="inlineStr">
        <is>
          <t>K</t>
        </is>
      </c>
      <c r="O151" t="inlineStr">
        <is>
          <t>20230726</t>
        </is>
      </c>
      <c r="P151" t="inlineStr">
        <is>
          <t>Aceh</t>
        </is>
      </c>
      <c r="Q151" t="inlineStr"/>
    </row>
    <row r="152">
      <c r="A152" t="inlineStr">
        <is>
          <t>RAFA AZKA KONSULTAN</t>
        </is>
      </c>
      <c r="B152" t="inlineStr">
        <is>
          <t>Kota Makassar</t>
        </is>
      </c>
      <c r="C152" t="inlineStr">
        <is>
          <t>085399876088</t>
        </is>
      </c>
      <c r="D152" t="inlineStr">
        <is>
          <t>rafaazka.konsultan@gmail.com</t>
        </is>
      </c>
      <c r="E152" t="inlineStr">
        <is>
          <t>https://lpjk.pu.go.id/search-badan-usaha-detail/akNQaUVFd2xmamdnMkEyNEQwVlVsZz09</t>
        </is>
      </c>
      <c r="F152" t="n">
        <v>4</v>
      </c>
      <c r="G152" t="inlineStr">
        <is>
          <t>AR001, AR002, AR003, RK001</t>
        </is>
      </c>
      <c r="H152" t="inlineStr">
        <is>
          <t>22 Juni 2012</t>
        </is>
      </c>
      <c r="I152" s="2" t="n">
        <v>46237</v>
      </c>
      <c r="J152" t="inlineStr">
        <is>
          <t>Disetujui</t>
        </is>
      </c>
      <c r="K152" t="n">
        <v>30</v>
      </c>
      <c r="L152" t="inlineStr">
        <is>
          <t>3 Agustus 2026</t>
        </is>
      </c>
      <c r="M152" t="inlineStr">
        <is>
          <t>Jasa Arsitektural Bangunan Gedung Hunian dan Non Hunian, Jasa Arsitektural Lainnya, Jasa Desain Interior pada Bangunan Gedung dan Bangunan Sipil, Jasa Rekayasa Konstruksi Bangunan Gedung Hunian dan Non Hunian</t>
        </is>
      </c>
      <c r="N152" t="inlineStr">
        <is>
          <t>K</t>
        </is>
      </c>
      <c r="O152" t="inlineStr">
        <is>
          <t>20230801</t>
        </is>
      </c>
      <c r="P152" t="inlineStr">
        <is>
          <t>Sulawesi Selatan</t>
        </is>
      </c>
      <c r="Q152" t="inlineStr"/>
    </row>
    <row r="153">
      <c r="A153" t="inlineStr">
        <is>
          <t>RAHMATIA INDAH</t>
        </is>
      </c>
      <c r="B153" t="inlineStr">
        <is>
          <t>Kota Bau Bau</t>
        </is>
      </c>
      <c r="C153" t="inlineStr">
        <is>
          <t>081341599690</t>
        </is>
      </c>
      <c r="D153" t="inlineStr">
        <is>
          <t>cvrahmatiaindah@gmail.com</t>
        </is>
      </c>
      <c r="E153" t="inlineStr">
        <is>
          <t>https://lpjk.pu.go.id/search-badan-usaha-detail/dUIxZG1YYU9mZDc4Mi9teEdnRkluQT09</t>
        </is>
      </c>
      <c r="F153" t="n">
        <v>2</v>
      </c>
      <c r="G153" t="inlineStr">
        <is>
          <t>BS004</t>
        </is>
      </c>
      <c r="H153" t="inlineStr">
        <is>
          <t>10 Juli 2023</t>
        </is>
      </c>
      <c r="I153" s="2" t="n">
        <v>46237</v>
      </c>
      <c r="J153" t="inlineStr">
        <is>
          <t>Disetujui</t>
        </is>
      </c>
      <c r="K153" t="n">
        <v>30</v>
      </c>
      <c r="L153" t="inlineStr">
        <is>
          <t>3 Agustus 2026</t>
        </is>
      </c>
      <c r="M153" t="inlineStr">
        <is>
          <t>Konstruksi Jaringan Irigasi dan Drainase</t>
        </is>
      </c>
      <c r="N153" t="inlineStr">
        <is>
          <t>K</t>
        </is>
      </c>
      <c r="O153" t="inlineStr">
        <is>
          <t>20230802</t>
        </is>
      </c>
      <c r="P153" t="inlineStr">
        <is>
          <t>Sulawesi Tenggara</t>
        </is>
      </c>
      <c r="Q153" t="inlineStr"/>
    </row>
    <row r="154">
      <c r="A154" t="inlineStr">
        <is>
          <t>RANULE ADE KAKA</t>
        </is>
      </c>
      <c r="B154" t="inlineStr">
        <is>
          <t>Kab. Halmahera Tengah</t>
        </is>
      </c>
      <c r="C154" t="inlineStr">
        <is>
          <t>081244391711</t>
        </is>
      </c>
      <c r="D154" t="inlineStr">
        <is>
          <t>cv.ranuleadekaka@gmail.com</t>
        </is>
      </c>
      <c r="E154" t="inlineStr">
        <is>
          <t>https://lpjk.pu.go.id/search-badan-usaha-detail/WE4rbGE5dFprTHNPcGdqcjRQU3VtUT09</t>
        </is>
      </c>
      <c r="F154" t="n">
        <v>2</v>
      </c>
      <c r="G154" t="inlineStr">
        <is>
          <t>BG004, BS004</t>
        </is>
      </c>
      <c r="H154" t="inlineStr">
        <is>
          <t>16 Juli 2020</t>
        </is>
      </c>
      <c r="I154" s="2" t="n">
        <v>46237</v>
      </c>
      <c r="J154" t="inlineStr">
        <is>
          <t>Disetujui</t>
        </is>
      </c>
      <c r="K154" t="n">
        <v>30</v>
      </c>
      <c r="L154" t="inlineStr">
        <is>
          <t>3 Agustus 2026</t>
        </is>
      </c>
      <c r="M154" t="inlineStr">
        <is>
          <t>Konstruksi Gedung Perbelanjaan, Konstruksi Jaringan Irigasi dan Drainase</t>
        </is>
      </c>
      <c r="N154" t="inlineStr">
        <is>
          <t>K</t>
        </is>
      </c>
      <c r="O154" t="inlineStr">
        <is>
          <t>20230726</t>
        </is>
      </c>
      <c r="P154" t="inlineStr">
        <is>
          <t>Maluku Utara</t>
        </is>
      </c>
      <c r="Q154" t="inlineStr"/>
    </row>
    <row r="155">
      <c r="A155" t="inlineStr">
        <is>
          <t>REMAJA BANGUN KENCANA KONTRAKTOR</t>
        </is>
      </c>
      <c r="B155" t="inlineStr">
        <is>
          <t>Kota Adm. Jakarta Barat</t>
        </is>
      </c>
      <c r="C155" t="inlineStr">
        <is>
          <t>0215669808</t>
        </is>
      </c>
      <c r="D155" t="inlineStr">
        <is>
          <t>headoff@rabana.famili.com</t>
        </is>
      </c>
      <c r="E155" t="inlineStr">
        <is>
          <t>https://lpjk.pu.go.id/search-badan-usaha-detail/ZzVlaWZPU0MzUTI4ZXNGdHpHNGROZz09</t>
        </is>
      </c>
      <c r="F155" t="n">
        <v>1</v>
      </c>
      <c r="G155" t="inlineStr">
        <is>
          <t>ST006</t>
        </is>
      </c>
      <c r="H155" t="inlineStr">
        <is>
          <t>16 Mei 1991</t>
        </is>
      </c>
      <c r="I155" s="2" t="n">
        <v>46237</v>
      </c>
      <c r="J155" t="inlineStr">
        <is>
          <t>Disetujui</t>
        </is>
      </c>
      <c r="K155" t="n">
        <v>30</v>
      </c>
      <c r="L155" t="inlineStr">
        <is>
          <t>3 Agustus 2026</t>
        </is>
      </c>
      <c r="M155" t="inlineStr">
        <is>
          <t>Konstruksi Bangunan Sipil Minyak dan Gas Bumi</t>
        </is>
      </c>
      <c r="N155" t="inlineStr">
        <is>
          <t>B</t>
        </is>
      </c>
      <c r="O155" t="inlineStr">
        <is>
          <t>20230725</t>
        </is>
      </c>
      <c r="P155" t="inlineStr">
        <is>
          <t>DKI Jakarta</t>
        </is>
      </c>
      <c r="Q155" t="inlineStr"/>
    </row>
    <row r="156">
      <c r="A156" t="inlineStr">
        <is>
          <t>RESPATI BIMANTARA</t>
        </is>
      </c>
      <c r="B156" t="inlineStr">
        <is>
          <t>Kab. Jember</t>
        </is>
      </c>
      <c r="C156" t="inlineStr">
        <is>
          <t>085749314849</t>
        </is>
      </c>
      <c r="D156" t="inlineStr">
        <is>
          <t>respatibimantara04@gmail.com</t>
        </is>
      </c>
      <c r="E156" t="inlineStr">
        <is>
          <t>https://lpjk.pu.go.id/search-badan-usaha-detail/VFdQQldkdXdFa09wS1Q4OXVEOG11QT09</t>
        </is>
      </c>
      <c r="F156" t="n">
        <v>1</v>
      </c>
      <c r="G156" t="inlineStr">
        <is>
          <t>BG009</t>
        </is>
      </c>
      <c r="H156" t="inlineStr">
        <is>
          <t>16 Juni 2022</t>
        </is>
      </c>
      <c r="I156" s="2" t="n">
        <v>46237</v>
      </c>
      <c r="J156" t="inlineStr">
        <is>
          <t>Disetujui</t>
        </is>
      </c>
      <c r="K156" t="n">
        <v>30</v>
      </c>
      <c r="L156" t="inlineStr">
        <is>
          <t>3 Agustus 2026</t>
        </is>
      </c>
      <c r="M156" t="inlineStr">
        <is>
          <t>Konstruksi Gedung Lainnya</t>
        </is>
      </c>
      <c r="N156" t="inlineStr">
        <is>
          <t>K</t>
        </is>
      </c>
      <c r="O156" t="inlineStr">
        <is>
          <t>20230614</t>
        </is>
      </c>
      <c r="P156" t="inlineStr">
        <is>
          <t>Jawa Timur</t>
        </is>
      </c>
      <c r="Q156" t="inlineStr"/>
    </row>
    <row r="157">
      <c r="A157" t="inlineStr">
        <is>
          <t>REZA TEKNIK MANDIRI</t>
        </is>
      </c>
      <c r="B157" t="inlineStr">
        <is>
          <t>Kota Jambi</t>
        </is>
      </c>
      <c r="C157" t="inlineStr">
        <is>
          <t>081260199262</t>
        </is>
      </c>
      <c r="D157" t="inlineStr">
        <is>
          <t>081260199262</t>
        </is>
      </c>
      <c r="E157" t="inlineStr">
        <is>
          <t>https://lpjk.pu.go.id/search-badan-usaha-detail/RHpja1YwSzRTZkpwalNHWWdQSUVaZz09</t>
        </is>
      </c>
      <c r="F157" t="n">
        <v>2</v>
      </c>
      <c r="G157" t="inlineStr">
        <is>
          <t>BS002, BS010</t>
        </is>
      </c>
      <c r="H157" t="inlineStr">
        <is>
          <t>9 Februari 2015</t>
        </is>
      </c>
      <c r="I157" s="2" t="n">
        <v>46237</v>
      </c>
      <c r="J157" t="inlineStr">
        <is>
          <t>Disetujui</t>
        </is>
      </c>
      <c r="K157" t="n">
        <v>30</v>
      </c>
      <c r="L157" t="inlineStr">
        <is>
          <t>3 Agustus 2026</t>
        </is>
      </c>
      <c r="M157" t="inlineStr">
        <is>
          <t>Bangunan Sipil Jembatan, Jalan Layang, Fly Over, dan Underpass, Konstruksi Bangunan Prasarana Sumber Daya Air</t>
        </is>
      </c>
      <c r="N157" t="inlineStr">
        <is>
          <t>K</t>
        </is>
      </c>
      <c r="O157" t="inlineStr">
        <is>
          <t>20230804</t>
        </is>
      </c>
      <c r="P157" t="inlineStr">
        <is>
          <t>Jambi</t>
        </is>
      </c>
      <c r="Q157" t="inlineStr"/>
    </row>
    <row r="158">
      <c r="A158" t="inlineStr">
        <is>
          <t>RISYA EMPAT LIMA</t>
        </is>
      </c>
      <c r="B158" t="inlineStr">
        <is>
          <t>Kab. Pasangkayu</t>
        </is>
      </c>
      <c r="C158" t="inlineStr">
        <is>
          <t>082290505931</t>
        </is>
      </c>
      <c r="D158" t="inlineStr">
        <is>
          <t>cv.risyamaulida45@gmail.com</t>
        </is>
      </c>
      <c r="E158" t="inlineStr">
        <is>
          <t>https://lpjk.pu.go.id/search-badan-usaha-detail/bUx5K3FydHNrQ0FZSGtsNG1WbFpMUT09</t>
        </is>
      </c>
      <c r="F158" t="n">
        <v>5</v>
      </c>
      <c r="G158" t="inlineStr">
        <is>
          <t>BG006, BG009, BS001</t>
        </is>
      </c>
      <c r="H158" t="inlineStr">
        <is>
          <t>28 Januari 2020</t>
        </is>
      </c>
      <c r="I158" s="2" t="n">
        <v>46237</v>
      </c>
      <c r="J158" t="inlineStr">
        <is>
          <t>Pencabutan</t>
        </is>
      </c>
      <c r="K158" t="n">
        <v>30</v>
      </c>
      <c r="L158" t="inlineStr">
        <is>
          <t>3 Agustus 2026</t>
        </is>
      </c>
      <c r="M158" t="inlineStr">
        <is>
          <t>Konstruksi Bangunan Sipil Jalan, Konstruksi Gedung Lainnya, Konstruksi Gedung Pendidikan</t>
        </is>
      </c>
      <c r="N158" t="inlineStr">
        <is>
          <t>K</t>
        </is>
      </c>
      <c r="O158" t="inlineStr">
        <is>
          <t>20230729, 20230803</t>
        </is>
      </c>
      <c r="P158" t="inlineStr">
        <is>
          <t>Sulawesi Barat</t>
        </is>
      </c>
      <c r="Q158" t="inlineStr"/>
    </row>
    <row r="159">
      <c r="A159" t="inlineStr">
        <is>
          <t>RIZKY ANUGERAH SEMESTA</t>
        </is>
      </c>
      <c r="B159" t="inlineStr">
        <is>
          <t>Kab. Karawang</t>
        </is>
      </c>
      <c r="C159" t="inlineStr">
        <is>
          <t>08995946464</t>
        </is>
      </c>
      <c r="D159" t="inlineStr">
        <is>
          <t>cv.rizkyanugerahsemesta@gmail.com</t>
        </is>
      </c>
      <c r="E159" t="inlineStr">
        <is>
          <t>https://lpjk.pu.go.id/search-badan-usaha-detail/eTZVQUs0V2Q0dElUY1J1TjJqUjZJQT09</t>
        </is>
      </c>
      <c r="F159" t="n">
        <v>1</v>
      </c>
      <c r="G159" t="inlineStr">
        <is>
          <t>BG009</t>
        </is>
      </c>
      <c r="H159" t="inlineStr">
        <is>
          <t>26 Januari 2018</t>
        </is>
      </c>
      <c r="I159" s="2" t="n">
        <v>46237</v>
      </c>
      <c r="J159" t="inlineStr">
        <is>
          <t>Disetujui</t>
        </is>
      </c>
      <c r="K159" t="n">
        <v>30</v>
      </c>
      <c r="L159" t="inlineStr">
        <is>
          <t>3 Agustus 2026</t>
        </is>
      </c>
      <c r="M159" t="inlineStr">
        <is>
          <t>Konstruksi Gedung Lainnya</t>
        </is>
      </c>
      <c r="N159" t="inlineStr">
        <is>
          <t>K</t>
        </is>
      </c>
      <c r="O159" t="inlineStr">
        <is>
          <t>20230802</t>
        </is>
      </c>
      <c r="P159" t="inlineStr">
        <is>
          <t>Jawa Barat</t>
        </is>
      </c>
      <c r="Q159" t="inlineStr"/>
    </row>
    <row r="160">
      <c r="A160" t="inlineStr">
        <is>
          <t>RIZKY PUTRA</t>
        </is>
      </c>
      <c r="B160" t="inlineStr">
        <is>
          <t>Kab. Jember</t>
        </is>
      </c>
      <c r="C160" t="inlineStr">
        <is>
          <t>08123498793</t>
        </is>
      </c>
      <c r="D160" t="inlineStr">
        <is>
          <t>satriagung99@gmail.com</t>
        </is>
      </c>
      <c r="E160" t="inlineStr">
        <is>
          <t>https://lpjk.pu.go.id/search-badan-usaha-detail/RUJXZTZuMUYvTFJWQTc5Q2RINTlwZz09</t>
        </is>
      </c>
      <c r="F160" t="n">
        <v>1</v>
      </c>
      <c r="G160" t="inlineStr">
        <is>
          <t>BG004</t>
        </is>
      </c>
      <c r="H160" t="inlineStr">
        <is>
          <t>30 Desember 2005</t>
        </is>
      </c>
      <c r="I160" s="2" t="n">
        <v>46237</v>
      </c>
      <c r="J160" t="inlineStr">
        <is>
          <t>Disetujui</t>
        </is>
      </c>
      <c r="K160" t="n">
        <v>30</v>
      </c>
      <c r="L160" t="inlineStr">
        <is>
          <t>3 Agustus 2026</t>
        </is>
      </c>
      <c r="M160" t="inlineStr">
        <is>
          <t>Konstruksi Gedung Perbelanjaan</t>
        </is>
      </c>
      <c r="N160" t="inlineStr">
        <is>
          <t>K</t>
        </is>
      </c>
      <c r="O160" t="inlineStr">
        <is>
          <t>20230802</t>
        </is>
      </c>
      <c r="P160" t="inlineStr">
        <is>
          <t>Jawa Timur</t>
        </is>
      </c>
      <c r="Q160" t="inlineStr"/>
    </row>
    <row r="161">
      <c r="A161" t="inlineStr">
        <is>
          <t>RUKUN JAYA MADURA GROUP</t>
        </is>
      </c>
      <c r="B161" t="inlineStr">
        <is>
          <t>Kab. Sampang</t>
        </is>
      </c>
      <c r="C161" t="inlineStr">
        <is>
          <t>081937292440</t>
        </is>
      </c>
      <c r="D161" t="inlineStr">
        <is>
          <t>khoirulumam.pt@yandex.com</t>
        </is>
      </c>
      <c r="E161" t="inlineStr">
        <is>
          <t>https://lpjk.pu.go.id/search-badan-usaha-detail/cTNFT003OWdmcUhiT0UzNlU2NGErQT09</t>
        </is>
      </c>
      <c r="F161" t="n">
        <v>1</v>
      </c>
      <c r="G161" t="inlineStr">
        <is>
          <t>BG005</t>
        </is>
      </c>
      <c r="H161" t="inlineStr">
        <is>
          <t>2 Juli 2007</t>
        </is>
      </c>
      <c r="I161" s="2" t="n">
        <v>46237</v>
      </c>
      <c r="J161" t="inlineStr">
        <is>
          <t>Disetujui</t>
        </is>
      </c>
      <c r="K161" t="n">
        <v>30</v>
      </c>
      <c r="L161" t="inlineStr">
        <is>
          <t>3 Agustus 2026</t>
        </is>
      </c>
      <c r="M161" t="inlineStr">
        <is>
          <t>Konstruksi Gedung Kesehatan</t>
        </is>
      </c>
      <c r="N161" t="inlineStr">
        <is>
          <t>M</t>
        </is>
      </c>
      <c r="O161" t="inlineStr">
        <is>
          <t>20230728</t>
        </is>
      </c>
      <c r="P161" t="inlineStr">
        <is>
          <t>Jawa Timur</t>
        </is>
      </c>
      <c r="Q161" t="inlineStr"/>
    </row>
    <row r="162">
      <c r="A162" t="inlineStr">
        <is>
          <t>SAMO LOKAK REZEKI</t>
        </is>
      </c>
      <c r="B162" t="inlineStr">
        <is>
          <t>Kota Palembang</t>
        </is>
      </c>
      <c r="C162" t="inlineStr">
        <is>
          <t>082183052136</t>
        </is>
      </c>
      <c r="D162" t="inlineStr">
        <is>
          <t>samolokakrezeki@gmail.com</t>
        </is>
      </c>
      <c r="E162" t="inlineStr">
        <is>
          <t>https://lpjk.pu.go.id/search-badan-usaha-detail/VTVvMzBVaUJVLzBzWnNMNldkS2t5UT09</t>
        </is>
      </c>
      <c r="F162" t="n">
        <v>1</v>
      </c>
      <c r="G162" t="inlineStr">
        <is>
          <t>BS002</t>
        </is>
      </c>
      <c r="H162" t="inlineStr">
        <is>
          <t>26 Juni 2020</t>
        </is>
      </c>
      <c r="I162" s="2" t="n">
        <v>46237</v>
      </c>
      <c r="J162" t="inlineStr">
        <is>
          <t>Pencabutan</t>
        </is>
      </c>
      <c r="K162" t="n">
        <v>30</v>
      </c>
      <c r="L162" t="inlineStr">
        <is>
          <t>3 Agustus 2026</t>
        </is>
      </c>
      <c r="M162" t="inlineStr">
        <is>
          <t>Bangunan Sipil Jembatan, Jalan Layang, Fly Over, dan Underpass</t>
        </is>
      </c>
      <c r="N162" t="inlineStr">
        <is>
          <t>M</t>
        </is>
      </c>
      <c r="O162" t="inlineStr">
        <is>
          <t>20230722</t>
        </is>
      </c>
      <c r="P162" t="inlineStr">
        <is>
          <t>Sumatera Selatan</t>
        </is>
      </c>
      <c r="Q162" t="inlineStr"/>
    </row>
    <row r="163">
      <c r="A163" t="inlineStr">
        <is>
          <t>SAMPURNA PUTRA ABADI</t>
        </is>
      </c>
      <c r="B163" t="inlineStr">
        <is>
          <t>Kota Adm. Jakarta Utara</t>
        </is>
      </c>
      <c r="C163" t="inlineStr">
        <is>
          <t>02145847811</t>
        </is>
      </c>
      <c r="D163" t="inlineStr">
        <is>
          <t>sampurnaputraabadi@gmail.com</t>
        </is>
      </c>
      <c r="E163" t="inlineStr">
        <is>
          <t>https://lpjk.pu.go.id/search-badan-usaha-detail/aExHNlRGcjhIbHpRZkZMaW00UEdEQT09</t>
        </is>
      </c>
      <c r="F163" t="n">
        <v>2</v>
      </c>
      <c r="G163" t="inlineStr">
        <is>
          <t>BG002, BG003</t>
        </is>
      </c>
      <c r="H163" t="inlineStr">
        <is>
          <t>1 Januari 2018</t>
        </is>
      </c>
      <c r="I163" s="2" t="n">
        <v>46237</v>
      </c>
      <c r="J163" t="inlineStr">
        <is>
          <t>Disetujui</t>
        </is>
      </c>
      <c r="K163" t="n">
        <v>30</v>
      </c>
      <c r="L163" t="inlineStr">
        <is>
          <t>3 Agustus 2026</t>
        </is>
      </c>
      <c r="M163" t="inlineStr">
        <is>
          <t>Konstruksi Gedung Industri, Konstruksi Gedung Perkantoran</t>
        </is>
      </c>
      <c r="N163" t="inlineStr">
        <is>
          <t>K</t>
        </is>
      </c>
      <c r="O163" t="inlineStr">
        <is>
          <t>20230731</t>
        </is>
      </c>
      <c r="P163" t="inlineStr">
        <is>
          <t>DKI Jakarta</t>
        </is>
      </c>
      <c r="Q163" t="inlineStr"/>
    </row>
    <row r="164">
      <c r="A164" t="inlineStr">
        <is>
          <t>SANCITA</t>
        </is>
      </c>
      <c r="B164" t="inlineStr">
        <is>
          <t>Kab. Kuningan</t>
        </is>
      </c>
      <c r="C164" t="inlineStr">
        <is>
          <t>082318758881</t>
        </is>
      </c>
      <c r="D164" t="inlineStr">
        <is>
          <t>sancitacv@gmail.com</t>
        </is>
      </c>
      <c r="E164" t="inlineStr">
        <is>
          <t>https://lpjk.pu.go.id/search-badan-usaha-detail/V1J3MXRiNUl0Ym5pMHA4Z0Rad1hyQT09</t>
        </is>
      </c>
      <c r="F164" t="n">
        <v>1</v>
      </c>
      <c r="G164" t="inlineStr">
        <is>
          <t>BS005</t>
        </is>
      </c>
      <c r="H164" t="inlineStr">
        <is>
          <t>14 Juni 2006</t>
        </is>
      </c>
      <c r="I164" s="2" t="n">
        <v>46237</v>
      </c>
      <c r="J164" t="inlineStr">
        <is>
          <t>Disetujui</t>
        </is>
      </c>
      <c r="K164" t="n">
        <v>30</v>
      </c>
      <c r="L164" t="inlineStr">
        <is>
          <t>3 Agustus 2026</t>
        </is>
      </c>
      <c r="M164" t="inlineStr">
        <is>
          <t>Konstruksi Bangunan Sipil Pengolahan Air Bersih</t>
        </is>
      </c>
      <c r="N164" t="inlineStr">
        <is>
          <t>K</t>
        </is>
      </c>
      <c r="O164" t="inlineStr">
        <is>
          <t>20230731</t>
        </is>
      </c>
      <c r="P164" t="inlineStr">
        <is>
          <t>Jawa Barat</t>
        </is>
      </c>
      <c r="Q164" t="inlineStr"/>
    </row>
    <row r="165">
      <c r="A165" t="inlineStr">
        <is>
          <t>SEGERA SEJAHTERA</t>
        </is>
      </c>
      <c r="B165" t="inlineStr">
        <is>
          <t>Kab. Sukabumi</t>
        </is>
      </c>
      <c r="C165" t="inlineStr">
        <is>
          <t>085219539377</t>
        </is>
      </c>
      <c r="D165" t="inlineStr">
        <is>
          <t>cv.segerasejahtera@gmail.com</t>
        </is>
      </c>
      <c r="E165" t="inlineStr">
        <is>
          <t>https://lpjk.pu.go.id/search-badan-usaha-detail/TzRBdy83UmdwY2pGdUFiNWtrL2Fndz09</t>
        </is>
      </c>
      <c r="F165" t="n">
        <v>1</v>
      </c>
      <c r="G165" t="inlineStr">
        <is>
          <t>BS001</t>
        </is>
      </c>
      <c r="H165" t="inlineStr">
        <is>
          <t>26 Juni 2023</t>
        </is>
      </c>
      <c r="I165" s="2" t="n">
        <v>46237</v>
      </c>
      <c r="J165" t="inlineStr">
        <is>
          <t>Disetujui</t>
        </is>
      </c>
      <c r="K165" t="n">
        <v>30</v>
      </c>
      <c r="L165" t="inlineStr">
        <is>
          <t>3 Agustus 2026</t>
        </is>
      </c>
      <c r="M165" t="inlineStr">
        <is>
          <t>Konstruksi Bangunan Sipil Jalan</t>
        </is>
      </c>
      <c r="N165" t="inlineStr">
        <is>
          <t>K</t>
        </is>
      </c>
      <c r="O165" t="inlineStr">
        <is>
          <t>20230801</t>
        </is>
      </c>
      <c r="P165" t="inlineStr">
        <is>
          <t>Jawa Barat</t>
        </is>
      </c>
      <c r="Q165" t="inlineStr"/>
    </row>
    <row r="166">
      <c r="A166" t="inlineStr">
        <is>
          <t>SEKAR BAROKAH</t>
        </is>
      </c>
      <c r="B166" t="inlineStr">
        <is>
          <t>Kota Tasikmalaya</t>
        </is>
      </c>
      <c r="C166" t="inlineStr">
        <is>
          <t>085322990960</t>
        </is>
      </c>
      <c r="D166" t="inlineStr">
        <is>
          <t>cvsekarbarokah@gmail.com</t>
        </is>
      </c>
      <c r="E166" t="inlineStr">
        <is>
          <t>https://lpjk.pu.go.id/search-badan-usaha-detail/bm83YUhEeUVHYTBEODhHekczUy91UT09</t>
        </is>
      </c>
      <c r="F166" t="n">
        <v>4</v>
      </c>
      <c r="G166" t="inlineStr">
        <is>
          <t>BS004</t>
        </is>
      </c>
      <c r="H166" t="inlineStr">
        <is>
          <t>3 Juni 2023</t>
        </is>
      </c>
      <c r="I166" s="2" t="n">
        <v>46237</v>
      </c>
      <c r="J166" t="inlineStr">
        <is>
          <t>Disetujui</t>
        </is>
      </c>
      <c r="K166" t="n">
        <v>30</v>
      </c>
      <c r="L166" t="inlineStr">
        <is>
          <t>3 Agustus 2026</t>
        </is>
      </c>
      <c r="M166" t="inlineStr">
        <is>
          <t>Konstruksi Jaringan Irigasi dan Drainase</t>
        </is>
      </c>
      <c r="N166" t="inlineStr">
        <is>
          <t>K</t>
        </is>
      </c>
      <c r="O166" t="inlineStr">
        <is>
          <t>20230731</t>
        </is>
      </c>
      <c r="P166" t="inlineStr">
        <is>
          <t>Jawa Barat</t>
        </is>
      </c>
      <c r="Q166" t="inlineStr"/>
    </row>
    <row r="167">
      <c r="A167" t="inlineStr">
        <is>
          <t>SEKAR FAJAR TIMUR</t>
        </is>
      </c>
      <c r="B167" t="inlineStr">
        <is>
          <t>Kab. Sumenep</t>
        </is>
      </c>
      <c r="C167" t="inlineStr">
        <is>
          <t>0813-3370-8059</t>
        </is>
      </c>
      <c r="D167" t="inlineStr">
        <is>
          <t>sekarfajartimur.2020@gmail.com</t>
        </is>
      </c>
      <c r="E167" t="inlineStr">
        <is>
          <t>https://lpjk.pu.go.id/search-badan-usaha-detail/L20weWVxREc4VFc0alhMOHZhVDllQT09</t>
        </is>
      </c>
      <c r="F167" t="n">
        <v>1</v>
      </c>
      <c r="G167" t="inlineStr">
        <is>
          <t>RK001</t>
        </is>
      </c>
      <c r="H167" t="inlineStr">
        <is>
          <t>9 September 1988</t>
        </is>
      </c>
      <c r="I167" s="2" t="n">
        <v>46237</v>
      </c>
      <c r="J167" t="inlineStr">
        <is>
          <t>Disetujui</t>
        </is>
      </c>
      <c r="K167" t="n">
        <v>30</v>
      </c>
      <c r="L167" t="inlineStr">
        <is>
          <t>3 Agustus 2026</t>
        </is>
      </c>
      <c r="M167" t="inlineStr">
        <is>
          <t>Jasa Rekayasa Konstruksi Bangunan Gedung Hunian dan Non Hunian</t>
        </is>
      </c>
      <c r="N167" t="inlineStr">
        <is>
          <t>K</t>
        </is>
      </c>
      <c r="O167" t="inlineStr">
        <is>
          <t>20230725</t>
        </is>
      </c>
      <c r="P167" t="inlineStr">
        <is>
          <t>Jawa Timur</t>
        </is>
      </c>
      <c r="Q167" t="inlineStr"/>
    </row>
    <row r="168">
      <c r="A168" t="inlineStr">
        <is>
          <t>SEKATA</t>
        </is>
      </c>
      <c r="B168" t="inlineStr">
        <is>
          <t>Kab. Labuhanbatu</t>
        </is>
      </c>
      <c r="C168" t="inlineStr">
        <is>
          <t>0812 6223 659_</t>
        </is>
      </c>
      <c r="D168" t="inlineStr">
        <is>
          <t>sekatakontraktor@yahoo.com</t>
        </is>
      </c>
      <c r="E168" t="inlineStr">
        <is>
          <t>https://lpjk.pu.go.id/search-badan-usaha-detail/Y1BYLzVvTkpvR2NzOXVWRmtIeFcyQT09</t>
        </is>
      </c>
      <c r="F168" t="n">
        <v>1</v>
      </c>
      <c r="G168" t="inlineStr">
        <is>
          <t>BS001</t>
        </is>
      </c>
      <c r="H168" t="inlineStr">
        <is>
          <t>17 November 1993</t>
        </is>
      </c>
      <c r="I168" s="2" t="n">
        <v>46237</v>
      </c>
      <c r="J168" t="inlineStr">
        <is>
          <t>Disetujui</t>
        </is>
      </c>
      <c r="K168" t="n">
        <v>30</v>
      </c>
      <c r="L168" t="inlineStr">
        <is>
          <t>3 Agustus 2026</t>
        </is>
      </c>
      <c r="M168" t="inlineStr">
        <is>
          <t>Konstruksi Bangunan Sipil Jalan</t>
        </is>
      </c>
      <c r="N168" t="inlineStr">
        <is>
          <t>K</t>
        </is>
      </c>
      <c r="O168" t="inlineStr">
        <is>
          <t>20230729</t>
        </is>
      </c>
      <c r="P168" t="inlineStr">
        <is>
          <t>Sumatera Utara</t>
        </is>
      </c>
      <c r="Q168" t="inlineStr"/>
    </row>
    <row r="169">
      <c r="A169" t="inlineStr">
        <is>
          <t>SELAMAT KARYA BERSAMA</t>
        </is>
      </c>
      <c r="B169" t="inlineStr">
        <is>
          <t>Kab. Kutai Timur</t>
        </is>
      </c>
      <c r="C169" t="inlineStr">
        <is>
          <t>082148347685</t>
        </is>
      </c>
      <c r="D169" t="inlineStr">
        <is>
          <t>cv.selamatkaryabersama@gmail.com</t>
        </is>
      </c>
      <c r="E169" t="inlineStr">
        <is>
          <t>https://lpjk.pu.go.id/search-badan-usaha-detail/Y3kzem9zUXJvUkxWS1oxaUQ3MUFKUT09</t>
        </is>
      </c>
      <c r="F169" t="n">
        <v>1</v>
      </c>
      <c r="G169" t="inlineStr">
        <is>
          <t>BS004</t>
        </is>
      </c>
      <c r="H169" t="inlineStr">
        <is>
          <t>24 Juli 2023</t>
        </is>
      </c>
      <c r="I169" s="2" t="n">
        <v>46237</v>
      </c>
      <c r="J169" t="inlineStr">
        <is>
          <t>Disetujui</t>
        </is>
      </c>
      <c r="K169" t="n">
        <v>30</v>
      </c>
      <c r="L169" t="inlineStr">
        <is>
          <t>3 Agustus 2026</t>
        </is>
      </c>
      <c r="M169" t="inlineStr">
        <is>
          <t>Konstruksi Jaringan Irigasi dan Drainase</t>
        </is>
      </c>
      <c r="N169" t="inlineStr">
        <is>
          <t>K</t>
        </is>
      </c>
      <c r="O169" t="inlineStr">
        <is>
          <t>20230727</t>
        </is>
      </c>
      <c r="P169" t="inlineStr">
        <is>
          <t>Kalimantan Timur</t>
        </is>
      </c>
      <c r="Q169" t="inlineStr"/>
    </row>
    <row r="170">
      <c r="A170" t="inlineStr">
        <is>
          <t>SELARAS KARYA</t>
        </is>
      </c>
      <c r="B170" t="inlineStr">
        <is>
          <t>Kota Padang</t>
        </is>
      </c>
      <c r="C170" t="inlineStr">
        <is>
          <t>085363481516</t>
        </is>
      </c>
      <c r="D170" t="inlineStr">
        <is>
          <t>cvselaraskarya@gmail.com</t>
        </is>
      </c>
      <c r="E170" t="inlineStr">
        <is>
          <t>https://lpjk.pu.go.id/search-badan-usaha-detail/dVFmNnFnQjZJWTlxMTZxSnJ3SEpBQT09</t>
        </is>
      </c>
      <c r="F170" t="n">
        <v>3</v>
      </c>
      <c r="G170" t="inlineStr">
        <is>
          <t>BG005, BG006, BG009</t>
        </is>
      </c>
      <c r="H170" t="inlineStr">
        <is>
          <t>6 Januari 2020</t>
        </is>
      </c>
      <c r="I170" s="2" t="n">
        <v>46237</v>
      </c>
      <c r="J170" t="inlineStr">
        <is>
          <t>Disetujui</t>
        </is>
      </c>
      <c r="K170" t="n">
        <v>30</v>
      </c>
      <c r="L170" t="inlineStr">
        <is>
          <t>3 Agustus 2026</t>
        </is>
      </c>
      <c r="M170" t="inlineStr">
        <is>
          <t>Konstruksi Gedung Kesehatan, Konstruksi Gedung Lainnya, Konstruksi Gedung Pendidikan</t>
        </is>
      </c>
      <c r="N170" t="inlineStr">
        <is>
          <t>K</t>
        </is>
      </c>
      <c r="O170" t="inlineStr">
        <is>
          <t>20230605, 20230802</t>
        </is>
      </c>
      <c r="P170" t="inlineStr">
        <is>
          <t>Sumatera Barat</t>
        </is>
      </c>
      <c r="Q170" t="inlineStr"/>
    </row>
    <row r="171">
      <c r="A171" t="inlineStr">
        <is>
          <t>SHAFIR WIRA SEJAHTERA</t>
        </is>
      </c>
      <c r="B171" t="inlineStr">
        <is>
          <t>Kab. Lamongan</t>
        </is>
      </c>
      <c r="C171" t="inlineStr">
        <is>
          <t>081334333081</t>
        </is>
      </c>
      <c r="D171" t="inlineStr">
        <is>
          <t>cv_shafirwirasejahtera@yahoo.com</t>
        </is>
      </c>
      <c r="E171" t="inlineStr">
        <is>
          <t>https://lpjk.pu.go.id/search-badan-usaha-detail/THJYOHNYd2FsMjBxenJ6RmJUWUtEUT09</t>
        </is>
      </c>
      <c r="F171" t="n">
        <v>2</v>
      </c>
      <c r="G171" t="inlineStr">
        <is>
          <t>BS001, BS004</t>
        </is>
      </c>
      <c r="H171" t="inlineStr">
        <is>
          <t>13 Maret 2017</t>
        </is>
      </c>
      <c r="I171" s="2" t="n">
        <v>46237</v>
      </c>
      <c r="J171" t="inlineStr">
        <is>
          <t>Disetujui</t>
        </is>
      </c>
      <c r="K171" t="n">
        <v>30</v>
      </c>
      <c r="L171" t="inlineStr">
        <is>
          <t>3 Agustus 2026</t>
        </is>
      </c>
      <c r="M171" t="inlineStr">
        <is>
          <t>Konstruksi Bangunan Sipil Jalan, Konstruksi Jaringan Irigasi dan Drainase</t>
        </is>
      </c>
      <c r="N171" t="inlineStr">
        <is>
          <t>K</t>
        </is>
      </c>
      <c r="O171" t="inlineStr">
        <is>
          <t>20230801</t>
        </is>
      </c>
      <c r="P171" t="inlineStr">
        <is>
          <t>Jawa Timur</t>
        </is>
      </c>
      <c r="Q171" t="inlineStr"/>
    </row>
    <row r="172">
      <c r="A172" t="inlineStr">
        <is>
          <t>SINAR ARSYA SANGATTA</t>
        </is>
      </c>
      <c r="B172" t="inlineStr">
        <is>
          <t>Kab. Kutai Timur</t>
        </is>
      </c>
      <c r="C172" t="inlineStr">
        <is>
          <t>081372184888</t>
        </is>
      </c>
      <c r="D172" t="inlineStr">
        <is>
          <t>sinararsyasangatta@gmail.com</t>
        </is>
      </c>
      <c r="E172" t="inlineStr">
        <is>
          <t>https://lpjk.pu.go.id/search-badan-usaha-detail/ZkE3c2F2d054d3poZkZQVUFlazUvZz09</t>
        </is>
      </c>
      <c r="F172" t="n">
        <v>2</v>
      </c>
      <c r="G172" t="inlineStr">
        <is>
          <t>BG002, BG009</t>
        </is>
      </c>
      <c r="H172" t="inlineStr">
        <is>
          <t>15 November 2019</t>
        </is>
      </c>
      <c r="I172" s="2" t="n">
        <v>46237</v>
      </c>
      <c r="J172" t="inlineStr">
        <is>
          <t>Disetujui</t>
        </is>
      </c>
      <c r="K172" t="n">
        <v>30</v>
      </c>
      <c r="L172" t="inlineStr">
        <is>
          <t>3 Agustus 2026</t>
        </is>
      </c>
      <c r="M172" t="inlineStr">
        <is>
          <t>Konstruksi Gedung Lainnya, Konstruksi Gedung Perkantoran</t>
        </is>
      </c>
      <c r="N172" t="inlineStr">
        <is>
          <t>K</t>
        </is>
      </c>
      <c r="O172" t="inlineStr">
        <is>
          <t>20230801</t>
        </is>
      </c>
      <c r="P172" t="inlineStr">
        <is>
          <t>Kalimantan Timur</t>
        </is>
      </c>
      <c r="Q172" t="inlineStr"/>
    </row>
    <row r="173">
      <c r="A173" t="inlineStr">
        <is>
          <t>SINAR INDAH PERKASA</t>
        </is>
      </c>
      <c r="B173" t="inlineStr">
        <is>
          <t>Kab. Ponorogo</t>
        </is>
      </c>
      <c r="C173" t="inlineStr">
        <is>
          <t>081259715384</t>
        </is>
      </c>
      <c r="D173" t="inlineStr">
        <is>
          <t>sinarindah990@gmail.com</t>
        </is>
      </c>
      <c r="E173" t="inlineStr">
        <is>
          <t>https://lpjk.pu.go.id/search-badan-usaha-detail/QWVtSXZuTUhpNTUrRGdJT1dMUFhxZz09</t>
        </is>
      </c>
      <c r="F173" t="n">
        <v>3</v>
      </c>
      <c r="G173" t="inlineStr">
        <is>
          <t>BG005, BG006, BG009</t>
        </is>
      </c>
      <c r="H173" t="inlineStr">
        <is>
          <t>2 Juli 2003</t>
        </is>
      </c>
      <c r="I173" s="2" t="n">
        <v>46237</v>
      </c>
      <c r="J173" t="inlineStr">
        <is>
          <t>Disetujui</t>
        </is>
      </c>
      <c r="K173" t="n">
        <v>30</v>
      </c>
      <c r="L173" t="inlineStr">
        <is>
          <t>3 Agustus 2026</t>
        </is>
      </c>
      <c r="M173" t="inlineStr">
        <is>
          <t>Konstruksi Gedung Kesehatan, Konstruksi Gedung Lainnya, Konstruksi Gedung Pendidikan</t>
        </is>
      </c>
      <c r="N173" t="inlineStr">
        <is>
          <t>K</t>
        </is>
      </c>
      <c r="O173" t="inlineStr">
        <is>
          <t>20230801</t>
        </is>
      </c>
      <c r="P173" t="inlineStr">
        <is>
          <t>Jawa Timur</t>
        </is>
      </c>
      <c r="Q173" t="inlineStr"/>
    </row>
    <row r="174">
      <c r="A174" t="inlineStr">
        <is>
          <t>SINAR KEDAWUNG PERKASA</t>
        </is>
      </c>
      <c r="B174" t="inlineStr">
        <is>
          <t>Kota Cilegon</t>
        </is>
      </c>
      <c r="C174" t="inlineStr">
        <is>
          <t>085939938444</t>
        </is>
      </c>
      <c r="D174" t="inlineStr">
        <is>
          <t>sinarkedawungperkasa@gmail.com</t>
        </is>
      </c>
      <c r="E174" t="inlineStr">
        <is>
          <t>https://lpjk.pu.go.id/search-badan-usaha-detail/ZmVRV3RkNWphWWZxVnlnV3RvWTM5UT09</t>
        </is>
      </c>
      <c r="F174" t="n">
        <v>4</v>
      </c>
      <c r="G174" t="inlineStr">
        <is>
          <t>BG005, BG006, BG009, BS004</t>
        </is>
      </c>
      <c r="H174" t="inlineStr">
        <is>
          <t>21 Mei 2015</t>
        </is>
      </c>
      <c r="I174" s="2" t="n">
        <v>46237</v>
      </c>
      <c r="J174" t="inlineStr">
        <is>
          <t>Disetujui</t>
        </is>
      </c>
      <c r="K174" t="n">
        <v>30</v>
      </c>
      <c r="L174" t="inlineStr">
        <is>
          <t>3 Agustus 2026</t>
        </is>
      </c>
      <c r="M174" t="inlineStr">
        <is>
          <t>Konstruksi Gedung Kesehatan, Konstruksi Gedung Lainnya, Konstruksi Gedung Pendidikan, Konstruksi Jaringan Irigasi dan Drainase</t>
        </is>
      </c>
      <c r="N174" t="inlineStr">
        <is>
          <t>K</t>
        </is>
      </c>
      <c r="O174" t="inlineStr">
        <is>
          <t>20230801</t>
        </is>
      </c>
      <c r="P174" t="inlineStr">
        <is>
          <t>Banten</t>
        </is>
      </c>
      <c r="Q174" t="inlineStr"/>
    </row>
    <row r="175">
      <c r="A175" t="inlineStr">
        <is>
          <t>SRIKANDI NAWASENA PAPUA</t>
        </is>
      </c>
      <c r="B175" t="inlineStr">
        <is>
          <t>Kab. Merauke</t>
        </is>
      </c>
      <c r="C175" t="inlineStr">
        <is>
          <t>082250688488</t>
        </is>
      </c>
      <c r="D175" t="inlineStr">
        <is>
          <t>cvsrikandinawasenapapua@gmail.com</t>
        </is>
      </c>
      <c r="E175" t="inlineStr">
        <is>
          <t>https://lpjk.pu.go.id/search-badan-usaha-detail/ZEZSVGdERzdqeUJUYUMrQklEU2dGQT09</t>
        </is>
      </c>
      <c r="F175" t="n">
        <v>2</v>
      </c>
      <c r="G175" t="inlineStr">
        <is>
          <t>BG005, BG006</t>
        </is>
      </c>
      <c r="H175" t="inlineStr">
        <is>
          <t>26 Juli 2023</t>
        </is>
      </c>
      <c r="I175" s="2" t="n">
        <v>46237</v>
      </c>
      <c r="J175" t="inlineStr">
        <is>
          <t>Disetujui</t>
        </is>
      </c>
      <c r="K175" t="n">
        <v>30</v>
      </c>
      <c r="L175" t="inlineStr">
        <is>
          <t>3 Agustus 2026</t>
        </is>
      </c>
      <c r="M175" t="inlineStr">
        <is>
          <t>Konstruksi Gedung Kesehatan, Konstruksi Gedung Pendidikan</t>
        </is>
      </c>
      <c r="N175" t="inlineStr">
        <is>
          <t>K</t>
        </is>
      </c>
      <c r="O175" t="inlineStr">
        <is>
          <t>20230802</t>
        </is>
      </c>
      <c r="P175" t="inlineStr">
        <is>
          <t>Papua Selatan</t>
        </is>
      </c>
      <c r="Q175" t="inlineStr"/>
    </row>
    <row r="176">
      <c r="A176" t="inlineStr">
        <is>
          <t>SUMBER BENING KONSTRUKSI</t>
        </is>
      </c>
      <c r="B176" t="inlineStr">
        <is>
          <t>Kab. Banyuwangi</t>
        </is>
      </c>
      <c r="C176" t="inlineStr">
        <is>
          <t>085936163353</t>
        </is>
      </c>
      <c r="D176" t="inlineStr">
        <is>
          <t>beningsumber077@gmail.com</t>
        </is>
      </c>
      <c r="E176" t="inlineStr">
        <is>
          <t>https://lpjk.pu.go.id/search-badan-usaha-detail/b3U5bktCR3dnSis4ZU1sWkdvaTYxZz09</t>
        </is>
      </c>
      <c r="F176" t="n">
        <v>1</v>
      </c>
      <c r="G176" t="inlineStr">
        <is>
          <t>BS004</t>
        </is>
      </c>
      <c r="H176" t="inlineStr">
        <is>
          <t>2 Juni 2023</t>
        </is>
      </c>
      <c r="I176" s="2" t="n">
        <v>46237</v>
      </c>
      <c r="J176" t="inlineStr">
        <is>
          <t>Disetujui</t>
        </is>
      </c>
      <c r="K176" t="n">
        <v>30</v>
      </c>
      <c r="L176" t="inlineStr">
        <is>
          <t>3 Agustus 2026</t>
        </is>
      </c>
      <c r="M176" t="inlineStr">
        <is>
          <t>Konstruksi Jaringan Irigasi dan Drainase</t>
        </is>
      </c>
      <c r="N176" t="inlineStr">
        <is>
          <t>K</t>
        </is>
      </c>
      <c r="O176" t="inlineStr">
        <is>
          <t>20230802</t>
        </is>
      </c>
      <c r="P176" t="inlineStr">
        <is>
          <t>Jawa Timur</t>
        </is>
      </c>
      <c r="Q176" t="inlineStr"/>
    </row>
    <row r="177">
      <c r="A177" t="inlineStr">
        <is>
          <t>SUMBER LUMINTU</t>
        </is>
      </c>
      <c r="B177" t="inlineStr">
        <is>
          <t>Kab. Lumajang</t>
        </is>
      </c>
      <c r="C177" t="inlineStr">
        <is>
          <t>085335800020</t>
        </is>
      </c>
      <c r="D177" t="inlineStr">
        <is>
          <t>cvsumberlumintu001_lmj@yahoo.co.id</t>
        </is>
      </c>
      <c r="E177" t="inlineStr">
        <is>
          <t>https://lpjk.pu.go.id/search-badan-usaha-detail/RmVxbFZqWmY5a0JraEIrQ3dRS3lRdz09</t>
        </is>
      </c>
      <c r="F177" t="n">
        <v>1</v>
      </c>
      <c r="G177" t="inlineStr">
        <is>
          <t>BG002</t>
        </is>
      </c>
      <c r="H177" t="inlineStr">
        <is>
          <t>12 Agustus 1981</t>
        </is>
      </c>
      <c r="I177" s="2" t="n">
        <v>46237</v>
      </c>
      <c r="J177" t="inlineStr">
        <is>
          <t>Disetujui</t>
        </is>
      </c>
      <c r="K177" t="n">
        <v>30</v>
      </c>
      <c r="L177" t="inlineStr">
        <is>
          <t>3 Agustus 2026</t>
        </is>
      </c>
      <c r="M177" t="inlineStr">
        <is>
          <t>Konstruksi Gedung Perkantoran</t>
        </is>
      </c>
      <c r="N177" t="inlineStr">
        <is>
          <t>K</t>
        </is>
      </c>
      <c r="O177" t="inlineStr">
        <is>
          <t>20230518</t>
        </is>
      </c>
      <c r="P177" t="inlineStr">
        <is>
          <t>Jawa Timur</t>
        </is>
      </c>
      <c r="Q177" t="inlineStr"/>
    </row>
    <row r="178">
      <c r="A178" t="inlineStr">
        <is>
          <t>SUMBER REZEKI</t>
        </is>
      </c>
      <c r="B178" t="inlineStr">
        <is>
          <t>Kab. Tapin</t>
        </is>
      </c>
      <c r="C178" t="inlineStr">
        <is>
          <t>082152480999</t>
        </is>
      </c>
      <c r="D178" t="inlineStr">
        <is>
          <t>cv.sr@yahoo.com</t>
        </is>
      </c>
      <c r="E178" t="inlineStr">
        <is>
          <t>https://lpjk.pu.go.id/search-badan-usaha-detail/MWhqZXNuSExIbW95ZnE5UXNvb3I5UT09</t>
        </is>
      </c>
      <c r="F178" t="n">
        <v>2</v>
      </c>
      <c r="G178" t="inlineStr">
        <is>
          <t>BS001, BS010</t>
        </is>
      </c>
      <c r="H178" t="inlineStr">
        <is>
          <t>29 Agustus 2007</t>
        </is>
      </c>
      <c r="I178" s="2" t="n">
        <v>46237</v>
      </c>
      <c r="J178" t="inlineStr">
        <is>
          <t>Disetujui</t>
        </is>
      </c>
      <c r="K178" t="n">
        <v>30</v>
      </c>
      <c r="L178" t="inlineStr">
        <is>
          <t>3 Agustus 2026</t>
        </is>
      </c>
      <c r="M178" t="inlineStr">
        <is>
          <t>Konstruksi Bangunan Prasarana Sumber Daya Air, Konstruksi Bangunan Sipil Jalan</t>
        </is>
      </c>
      <c r="N178" t="inlineStr">
        <is>
          <t>K</t>
        </is>
      </c>
      <c r="O178" t="inlineStr">
        <is>
          <t>20230803</t>
        </is>
      </c>
      <c r="P178" t="inlineStr">
        <is>
          <t>Kalimantan Selatan</t>
        </is>
      </c>
      <c r="Q178" t="inlineStr"/>
    </row>
    <row r="179">
      <c r="A179" t="inlineStr">
        <is>
          <t>SUMBER REZEKI TEGAR JAYA</t>
        </is>
      </c>
      <c r="B179" t="inlineStr">
        <is>
          <t>Kab. Langkat</t>
        </is>
      </c>
      <c r="C179" t="inlineStr">
        <is>
          <t>081397057371</t>
        </is>
      </c>
      <c r="D179" t="inlineStr">
        <is>
          <t>pt.sumberrezekitegarjaya@yahoo.com</t>
        </is>
      </c>
      <c r="E179" t="inlineStr">
        <is>
          <t>https://lpjk.pu.go.id/search-badan-usaha-detail/YTFZSjJKZGFkMWc4MDFSRmQ0YmZ6Zz09</t>
        </is>
      </c>
      <c r="F179" t="n">
        <v>2</v>
      </c>
      <c r="G179" t="inlineStr">
        <is>
          <t>BS001, BS004</t>
        </is>
      </c>
      <c r="H179" t="inlineStr">
        <is>
          <t>15 Juli 2011</t>
        </is>
      </c>
      <c r="I179" s="2" t="n">
        <v>46237</v>
      </c>
      <c r="J179" t="inlineStr">
        <is>
          <t>Disetujui</t>
        </is>
      </c>
      <c r="K179" t="n">
        <v>30</v>
      </c>
      <c r="L179" t="inlineStr">
        <is>
          <t>3 Agustus 2026</t>
        </is>
      </c>
      <c r="M179" t="inlineStr">
        <is>
          <t>Konstruksi Bangunan Sipil Jalan, Konstruksi Jaringan Irigasi dan Drainase</t>
        </is>
      </c>
      <c r="N179" t="inlineStr">
        <is>
          <t>K</t>
        </is>
      </c>
      <c r="O179" t="inlineStr">
        <is>
          <t>20230726</t>
        </is>
      </c>
      <c r="P179" t="inlineStr">
        <is>
          <t>Sumatera Utara</t>
        </is>
      </c>
      <c r="Q179" t="inlineStr"/>
    </row>
    <row r="180">
      <c r="A180" t="inlineStr">
        <is>
          <t>SUPRA SAKTI</t>
        </is>
      </c>
      <c r="B180" t="inlineStr">
        <is>
          <t>Kab. Lombok Barat</t>
        </is>
      </c>
      <c r="C180" t="inlineStr">
        <is>
          <t>0818366718</t>
        </is>
      </c>
      <c r="D180" t="inlineStr">
        <is>
          <t>kokojanuari01@gmail.com</t>
        </is>
      </c>
      <c r="E180" t="inlineStr">
        <is>
          <t>https://lpjk.pu.go.id/search-badan-usaha-detail/dHZ5SU5zREtqYmdjbDFsN0E4a0FLQT09</t>
        </is>
      </c>
      <c r="F180" t="n">
        <v>1</v>
      </c>
      <c r="G180" t="inlineStr">
        <is>
          <t>BS004</t>
        </is>
      </c>
      <c r="H180" t="inlineStr">
        <is>
          <t>15 Februari 2013</t>
        </is>
      </c>
      <c r="I180" s="2" t="n">
        <v>46237</v>
      </c>
      <c r="J180" t="inlineStr">
        <is>
          <t>Disetujui</t>
        </is>
      </c>
      <c r="K180" t="n">
        <v>30</v>
      </c>
      <c r="L180" t="inlineStr">
        <is>
          <t>3 Agustus 2026</t>
        </is>
      </c>
      <c r="M180" t="inlineStr">
        <is>
          <t>Konstruksi Jaringan Irigasi dan Drainase</t>
        </is>
      </c>
      <c r="N180" t="inlineStr">
        <is>
          <t>K</t>
        </is>
      </c>
      <c r="O180" t="inlineStr">
        <is>
          <t>20230801</t>
        </is>
      </c>
      <c r="P180" t="inlineStr">
        <is>
          <t>Nusa Tenggara Barat</t>
        </is>
      </c>
      <c r="Q180" t="inlineStr"/>
    </row>
    <row r="181">
      <c r="A181" t="inlineStr">
        <is>
          <t>TANJUNGSARI TIGA</t>
        </is>
      </c>
      <c r="B181" t="inlineStr">
        <is>
          <t>Kota Bandung</t>
        </is>
      </c>
      <c r="C181" t="inlineStr">
        <is>
          <t>-</t>
        </is>
      </c>
      <c r="D181" t="inlineStr">
        <is>
          <t>tanjungsaritiga.cv@gmail.com</t>
        </is>
      </c>
      <c r="E181" t="inlineStr">
        <is>
          <t>https://lpjk.pu.go.id/search-badan-usaha-detail/WWlZVVowOC83eG5kNXU0ZFJWdnZhUT09</t>
        </is>
      </c>
      <c r="F181" t="n">
        <v>2</v>
      </c>
      <c r="G181" t="inlineStr">
        <is>
          <t>BS004</t>
        </is>
      </c>
      <c r="H181" t="inlineStr">
        <is>
          <t>6 Januari 2012</t>
        </is>
      </c>
      <c r="I181" s="2" t="n">
        <v>46237</v>
      </c>
      <c r="J181" t="inlineStr">
        <is>
          <t>Disetujui</t>
        </is>
      </c>
      <c r="K181" t="n">
        <v>30</v>
      </c>
      <c r="L181" t="inlineStr">
        <is>
          <t>3 Agustus 2026</t>
        </is>
      </c>
      <c r="M181" t="inlineStr">
        <is>
          <t>Konstruksi Jaringan Irigasi dan Drainase</t>
        </is>
      </c>
      <c r="N181" t="inlineStr">
        <is>
          <t>K</t>
        </is>
      </c>
      <c r="O181" t="inlineStr">
        <is>
          <t>20230803</t>
        </is>
      </c>
      <c r="P181" t="inlineStr">
        <is>
          <t>Jawa Barat</t>
        </is>
      </c>
      <c r="Q181" t="inlineStr"/>
    </row>
    <row r="182">
      <c r="A182" t="inlineStr">
        <is>
          <t>TARAKANI ENGINEERING</t>
        </is>
      </c>
      <c r="B182" t="inlineStr">
        <is>
          <t>Kota Ternate</t>
        </is>
      </c>
      <c r="C182" t="inlineStr">
        <is>
          <t>081288044836</t>
        </is>
      </c>
      <c r="D182" t="inlineStr">
        <is>
          <t>cvtarakani2019@gmail.com</t>
        </is>
      </c>
      <c r="E182" t="inlineStr">
        <is>
          <t>https://lpjk.pu.go.id/search-badan-usaha-detail/SHkvMk9XclZ4MFYyMmdFQlNiKzZpZz09</t>
        </is>
      </c>
      <c r="F182" t="n">
        <v>1</v>
      </c>
      <c r="G182" t="inlineStr">
        <is>
          <t>BS001</t>
        </is>
      </c>
      <c r="H182" t="inlineStr">
        <is>
          <t>6 Februari 2019</t>
        </is>
      </c>
      <c r="I182" s="2" t="n">
        <v>46237</v>
      </c>
      <c r="J182" t="inlineStr">
        <is>
          <t>Disetujui</t>
        </is>
      </c>
      <c r="K182" t="n">
        <v>30</v>
      </c>
      <c r="L182" t="inlineStr">
        <is>
          <t>3 Agustus 2026</t>
        </is>
      </c>
      <c r="M182" t="inlineStr">
        <is>
          <t>Konstruksi Bangunan Sipil Jalan</t>
        </is>
      </c>
      <c r="N182" t="inlineStr">
        <is>
          <t>K</t>
        </is>
      </c>
      <c r="O182" t="inlineStr">
        <is>
          <t>20230721</t>
        </is>
      </c>
      <c r="P182" t="inlineStr">
        <is>
          <t>Maluku Utara</t>
        </is>
      </c>
      <c r="Q182" t="inlineStr"/>
    </row>
    <row r="183">
      <c r="A183" t="inlineStr">
        <is>
          <t>TEGAR</t>
        </is>
      </c>
      <c r="B183" t="inlineStr">
        <is>
          <t>Kab. Sukabumi</t>
        </is>
      </c>
      <c r="C183" t="inlineStr">
        <is>
          <t>085721880444</t>
        </is>
      </c>
      <c r="D183" t="inlineStr">
        <is>
          <t>cvtegar@gmail.com</t>
        </is>
      </c>
      <c r="E183" t="inlineStr">
        <is>
          <t>https://lpjk.pu.go.id/search-badan-usaha-detail/SGF1SkhSTUk3UCtzalNIdmVoY1Q2QT09</t>
        </is>
      </c>
      <c r="F183" t="n">
        <v>1</v>
      </c>
      <c r="G183" t="inlineStr">
        <is>
          <t>BG005</t>
        </is>
      </c>
      <c r="H183" t="inlineStr">
        <is>
          <t>13 November 2001</t>
        </is>
      </c>
      <c r="I183" s="2" t="n">
        <v>46237</v>
      </c>
      <c r="J183" t="inlineStr">
        <is>
          <t>Disetujui</t>
        </is>
      </c>
      <c r="K183" t="n">
        <v>30</v>
      </c>
      <c r="L183" t="inlineStr">
        <is>
          <t>3 Agustus 2026</t>
        </is>
      </c>
      <c r="M183" t="inlineStr">
        <is>
          <t>Konstruksi Gedung Kesehatan</t>
        </is>
      </c>
      <c r="N183" t="inlineStr">
        <is>
          <t>K</t>
        </is>
      </c>
      <c r="O183" t="inlineStr">
        <is>
          <t>20230621</t>
        </is>
      </c>
      <c r="P183" t="inlineStr">
        <is>
          <t>Jawa Barat</t>
        </is>
      </c>
      <c r="Q183" t="inlineStr"/>
    </row>
    <row r="184">
      <c r="A184" t="inlineStr">
        <is>
          <t>TEKNIK OLAH SARANA</t>
        </is>
      </c>
      <c r="B184" t="inlineStr">
        <is>
          <t>Kota Surabaya</t>
        </is>
      </c>
      <c r="C184" t="inlineStr">
        <is>
          <t>0822 1401 4912</t>
        </is>
      </c>
      <c r="D184" t="inlineStr">
        <is>
          <t>cvteknikolahsarana@gmail.com</t>
        </is>
      </c>
      <c r="E184" t="inlineStr">
        <is>
          <t>https://lpjk.pu.go.id/search-badan-usaha-detail/RlhWSU1QTXVSc3dKbksveHpDRHo1Zz09</t>
        </is>
      </c>
      <c r="F184" t="n">
        <v>1</v>
      </c>
      <c r="G184" t="inlineStr">
        <is>
          <t>BG002</t>
        </is>
      </c>
      <c r="H184" t="inlineStr">
        <is>
          <t>19 September 2005</t>
        </is>
      </c>
      <c r="I184" s="2" t="n">
        <v>46237</v>
      </c>
      <c r="J184" t="inlineStr">
        <is>
          <t>Disetujui</t>
        </is>
      </c>
      <c r="K184" t="n">
        <v>30</v>
      </c>
      <c r="L184" t="inlineStr">
        <is>
          <t>3 Agustus 2026</t>
        </is>
      </c>
      <c r="M184" t="inlineStr">
        <is>
          <t>Konstruksi Gedung Perkantoran</t>
        </is>
      </c>
      <c r="N184" t="inlineStr">
        <is>
          <t>K</t>
        </is>
      </c>
      <c r="O184" t="inlineStr">
        <is>
          <t>20230802</t>
        </is>
      </c>
      <c r="P184" t="inlineStr">
        <is>
          <t>Jawa Timur</t>
        </is>
      </c>
      <c r="Q184" t="inlineStr"/>
    </row>
    <row r="185">
      <c r="A185" t="inlineStr">
        <is>
          <t>TELAGA AGUNG JAYA PERKASA</t>
        </is>
      </c>
      <c r="B185" t="inlineStr">
        <is>
          <t>Kab. Kebumen</t>
        </is>
      </c>
      <c r="C185" t="inlineStr">
        <is>
          <t>08122222748</t>
        </is>
      </c>
      <c r="D185" t="inlineStr">
        <is>
          <t>cvtelagaagung@gmail.com</t>
        </is>
      </c>
      <c r="E185" t="inlineStr">
        <is>
          <t>https://lpjk.pu.go.id/search-badan-usaha-detail/Tkc3c3dPRHNaTmhiSEVBUTdEVEVEUT09</t>
        </is>
      </c>
      <c r="F185" t="n">
        <v>1</v>
      </c>
      <c r="G185" t="inlineStr">
        <is>
          <t>BS004</t>
        </is>
      </c>
      <c r="H185" t="inlineStr">
        <is>
          <t>28 Juli 2022</t>
        </is>
      </c>
      <c r="I185" s="2" t="n">
        <v>46237</v>
      </c>
      <c r="J185" t="inlineStr">
        <is>
          <t>Disetujui</t>
        </is>
      </c>
      <c r="K185" t="n">
        <v>30</v>
      </c>
      <c r="L185" t="inlineStr">
        <is>
          <t>3 Agustus 2026</t>
        </is>
      </c>
      <c r="M185" t="inlineStr">
        <is>
          <t>Konstruksi Jaringan Irigasi dan Drainase</t>
        </is>
      </c>
      <c r="N185" t="inlineStr">
        <is>
          <t>K</t>
        </is>
      </c>
      <c r="O185" t="inlineStr">
        <is>
          <t>20230731</t>
        </is>
      </c>
      <c r="P185" t="inlineStr">
        <is>
          <t>Jawa Tengah</t>
        </is>
      </c>
      <c r="Q185" t="inlineStr"/>
    </row>
    <row r="186">
      <c r="A186" t="inlineStr">
        <is>
          <t>TERATAI</t>
        </is>
      </c>
      <c r="B186" t="inlineStr">
        <is>
          <t>Kab. Belitung</t>
        </is>
      </c>
      <c r="C186" t="inlineStr">
        <is>
          <t>082185619675</t>
        </is>
      </c>
      <c r="D186" t="inlineStr">
        <is>
          <t>udintampan200@gmail.com</t>
        </is>
      </c>
      <c r="E186" t="inlineStr">
        <is>
          <t>https://lpjk.pu.go.id/search-badan-usaha-detail/TEZKSFRxQUNBOVVKWGlVLytJaThtZz09</t>
        </is>
      </c>
      <c r="F186" t="n">
        <v>2</v>
      </c>
      <c r="G186" t="inlineStr">
        <is>
          <t>BG009, BS001</t>
        </is>
      </c>
      <c r="H186" t="inlineStr">
        <is>
          <t>19 April 2012</t>
        </is>
      </c>
      <c r="I186" s="2" t="n">
        <v>46237</v>
      </c>
      <c r="J186" t="inlineStr">
        <is>
          <t>Disetujui</t>
        </is>
      </c>
      <c r="K186" t="n">
        <v>30</v>
      </c>
      <c r="L186" t="inlineStr">
        <is>
          <t>3 Agustus 2026</t>
        </is>
      </c>
      <c r="M186" t="inlineStr">
        <is>
          <t>Konstruksi Bangunan Sipil Jalan, Konstruksi Gedung Lainnya</t>
        </is>
      </c>
      <c r="N186" t="inlineStr">
        <is>
          <t>K</t>
        </is>
      </c>
      <c r="O186" t="inlineStr">
        <is>
          <t>20230731</t>
        </is>
      </c>
      <c r="P186" t="inlineStr">
        <is>
          <t>Kepulauan Bangka Belitung</t>
        </is>
      </c>
      <c r="Q186" t="inlineStr"/>
    </row>
    <row r="187">
      <c r="A187" t="inlineStr">
        <is>
          <t>TIGA LAKSANA</t>
        </is>
      </c>
      <c r="B187" t="inlineStr">
        <is>
          <t>Kab. Kediri</t>
        </is>
      </c>
      <c r="C187" t="inlineStr">
        <is>
          <t>085259008572</t>
        </is>
      </c>
      <c r="D187" t="inlineStr">
        <is>
          <t>cvtigalaksanasukses@gmail.com</t>
        </is>
      </c>
      <c r="E187" t="inlineStr">
        <is>
          <t>https://lpjk.pu.go.id/search-badan-usaha-detail/aG1YM2tEMmFSRTZrZEhQTnFoNUtMdz09</t>
        </is>
      </c>
      <c r="F187" t="n">
        <v>2</v>
      </c>
      <c r="G187" t="inlineStr">
        <is>
          <t>BS001, BS004</t>
        </is>
      </c>
      <c r="H187" t="inlineStr">
        <is>
          <t>5 Februari 2020</t>
        </is>
      </c>
      <c r="I187" s="2" t="n">
        <v>46237</v>
      </c>
      <c r="J187" t="inlineStr">
        <is>
          <t>Disetujui</t>
        </is>
      </c>
      <c r="K187" t="n">
        <v>30</v>
      </c>
      <c r="L187" t="inlineStr">
        <is>
          <t>3 Agustus 2026</t>
        </is>
      </c>
      <c r="M187" t="inlineStr">
        <is>
          <t>Konstruksi Bangunan Sipil Jalan, Konstruksi Jaringan Irigasi dan Drainase</t>
        </is>
      </c>
      <c r="N187" t="inlineStr">
        <is>
          <t>K</t>
        </is>
      </c>
      <c r="O187" t="inlineStr">
        <is>
          <t>20230801</t>
        </is>
      </c>
      <c r="P187" t="inlineStr">
        <is>
          <t>Jawa Timur</t>
        </is>
      </c>
      <c r="Q187" t="inlineStr"/>
    </row>
    <row r="188">
      <c r="A188" t="inlineStr">
        <is>
          <t>TIGA PILAR BERSATU</t>
        </is>
      </c>
      <c r="B188" t="inlineStr">
        <is>
          <t>Kota Pekalongan</t>
        </is>
      </c>
      <c r="C188" t="inlineStr">
        <is>
          <t>081575231297</t>
        </is>
      </c>
      <c r="D188" t="inlineStr">
        <is>
          <t>tigapilarbersatu@yahoo.com</t>
        </is>
      </c>
      <c r="E188" t="inlineStr">
        <is>
          <t>https://lpjk.pu.go.id/search-badan-usaha-detail/RlZkcFdQaXYzUU5oQ3dVSEdPdUhOZz09</t>
        </is>
      </c>
      <c r="F188" t="n">
        <v>1</v>
      </c>
      <c r="G188" t="inlineStr">
        <is>
          <t>BS004</t>
        </is>
      </c>
      <c r="H188" t="inlineStr">
        <is>
          <t>19 September 2012</t>
        </is>
      </c>
      <c r="I188" s="2" t="n">
        <v>46237</v>
      </c>
      <c r="J188" t="inlineStr">
        <is>
          <t>Disetujui</t>
        </is>
      </c>
      <c r="K188" t="n">
        <v>30</v>
      </c>
      <c r="L188" t="inlineStr">
        <is>
          <t>3 Agustus 2026</t>
        </is>
      </c>
      <c r="M188" t="inlineStr">
        <is>
          <t>Konstruksi Jaringan Irigasi dan Drainase</t>
        </is>
      </c>
      <c r="N188" t="inlineStr">
        <is>
          <t>K</t>
        </is>
      </c>
      <c r="O188" t="inlineStr">
        <is>
          <t>20230802</t>
        </is>
      </c>
      <c r="P188" t="inlineStr">
        <is>
          <t>Jawa Tengah</t>
        </is>
      </c>
      <c r="Q188" t="inlineStr"/>
    </row>
    <row r="189">
      <c r="A189" t="inlineStr">
        <is>
          <t>TIGA PUTRA MANDIRI</t>
        </is>
      </c>
      <c r="B189" t="inlineStr">
        <is>
          <t>Kota Madiun</t>
        </is>
      </c>
      <c r="C189" t="inlineStr">
        <is>
          <t>081259638008</t>
        </is>
      </c>
      <c r="D189" t="inlineStr">
        <is>
          <t>cv.tigaputramandiri@gmail.com</t>
        </is>
      </c>
      <c r="E189" t="inlineStr">
        <is>
          <t>https://lpjk.pu.go.id/search-badan-usaha-detail/VUdJNE16cXlzNHkrUjJzdHNlV0Y5Zz09</t>
        </is>
      </c>
      <c r="F189" t="n">
        <v>4</v>
      </c>
      <c r="G189" t="inlineStr">
        <is>
          <t>BG005, BG006, BG009, BS004</t>
        </is>
      </c>
      <c r="H189" t="inlineStr">
        <is>
          <t>22 Juni 2012</t>
        </is>
      </c>
      <c r="I189" s="2" t="n">
        <v>46237</v>
      </c>
      <c r="J189" t="inlineStr">
        <is>
          <t>Disetujui</t>
        </is>
      </c>
      <c r="K189" t="n">
        <v>30</v>
      </c>
      <c r="L189" t="inlineStr">
        <is>
          <t>3 Agustus 2026</t>
        </is>
      </c>
      <c r="M189" t="inlineStr">
        <is>
          <t>Konstruksi Gedung Kesehatan, Konstruksi Gedung Lainnya, Konstruksi Gedung Pendidikan, Konstruksi Jaringan Irigasi dan Drainase</t>
        </is>
      </c>
      <c r="N189" t="inlineStr">
        <is>
          <t>K</t>
        </is>
      </c>
      <c r="O189" t="inlineStr">
        <is>
          <t>20220310, 20230803</t>
        </is>
      </c>
      <c r="P189" t="inlineStr">
        <is>
          <t>Jawa Timur</t>
        </is>
      </c>
      <c r="Q189" t="inlineStr"/>
    </row>
    <row r="190">
      <c r="A190" t="inlineStr">
        <is>
          <t>TIGA SAUDARA KARYA</t>
        </is>
      </c>
      <c r="B190" t="inlineStr">
        <is>
          <t>Kab. Pesisir Selatan</t>
        </is>
      </c>
      <c r="C190" t="inlineStr">
        <is>
          <t>085355790579</t>
        </is>
      </c>
      <c r="D190" t="inlineStr">
        <is>
          <t>cvtigasaudarakarya11@gmail.com</t>
        </is>
      </c>
      <c r="E190" t="inlineStr">
        <is>
          <t>https://lpjk.pu.go.id/search-badan-usaha-detail/SVhWeXV1cGVUU2gyT2g3UHd6TXNkUT09</t>
        </is>
      </c>
      <c r="F190" t="n">
        <v>1</v>
      </c>
      <c r="G190" t="inlineStr">
        <is>
          <t>BG004</t>
        </is>
      </c>
      <c r="H190" t="inlineStr">
        <is>
          <t>28 September 1992</t>
        </is>
      </c>
      <c r="I190" s="2" t="n">
        <v>46237</v>
      </c>
      <c r="J190" t="inlineStr">
        <is>
          <t>Disetujui</t>
        </is>
      </c>
      <c r="K190" t="n">
        <v>30</v>
      </c>
      <c r="L190" t="inlineStr">
        <is>
          <t>3 Agustus 2026</t>
        </is>
      </c>
      <c r="M190" t="inlineStr">
        <is>
          <t>Konstruksi Gedung Perbelanjaan</t>
        </is>
      </c>
      <c r="N190" t="inlineStr">
        <is>
          <t>K</t>
        </is>
      </c>
      <c r="O190" t="inlineStr">
        <is>
          <t>20230803</t>
        </is>
      </c>
      <c r="P190" t="inlineStr">
        <is>
          <t>Sumatera Barat</t>
        </is>
      </c>
      <c r="Q190" t="inlineStr"/>
    </row>
    <row r="191">
      <c r="A191" t="inlineStr">
        <is>
          <t>TIGANNA MANDIRI KONSULTAN</t>
        </is>
      </c>
      <c r="B191" t="inlineStr">
        <is>
          <t>Kota Sorong</t>
        </is>
      </c>
      <c r="C191" t="inlineStr">
        <is>
          <t>085244789075</t>
        </is>
      </c>
      <c r="D191" t="inlineStr">
        <is>
          <t>tiganna_mandiri@outlook.com</t>
        </is>
      </c>
      <c r="E191" t="inlineStr">
        <is>
          <t>https://lpjk.pu.go.id/search-badan-usaha-detail/aGFkb2dqdTdOTDhrcVZBZSs0NDNNQT09</t>
        </is>
      </c>
      <c r="F191" t="n">
        <v>1</v>
      </c>
      <c r="G191" t="inlineStr">
        <is>
          <t>AR001</t>
        </is>
      </c>
      <c r="H191" t="inlineStr">
        <is>
          <t>17 Februari 2016</t>
        </is>
      </c>
      <c r="I191" s="2" t="n">
        <v>46237</v>
      </c>
      <c r="J191" t="inlineStr">
        <is>
          <t>Disetujui</t>
        </is>
      </c>
      <c r="K191" t="n">
        <v>30</v>
      </c>
      <c r="L191" t="inlineStr">
        <is>
          <t>3 Agustus 2026</t>
        </is>
      </c>
      <c r="M191" t="inlineStr">
        <is>
          <t>Jasa Arsitektural Bangunan Gedung Hunian dan Non Hunian</t>
        </is>
      </c>
      <c r="N191" t="inlineStr">
        <is>
          <t>K</t>
        </is>
      </c>
      <c r="O191" t="inlineStr">
        <is>
          <t>20230728</t>
        </is>
      </c>
      <c r="P191" t="inlineStr">
        <is>
          <t>Papua Barat</t>
        </is>
      </c>
      <c r="Q191" t="inlineStr"/>
    </row>
    <row r="192">
      <c r="A192" t="inlineStr">
        <is>
          <t>TIMAS SUPLINDO</t>
        </is>
      </c>
      <c r="B192" t="inlineStr">
        <is>
          <t>Kota Adm. Jakarta Pusat</t>
        </is>
      </c>
      <c r="C192" t="inlineStr">
        <is>
          <t>0213522828</t>
        </is>
      </c>
      <c r="D192" t="inlineStr">
        <is>
          <t>hrga@timas.com</t>
        </is>
      </c>
      <c r="E192" t="inlineStr">
        <is>
          <t>https://lpjk.pu.go.id/search-badan-usaha-detail/T3VYVXVLSzd5WkRCd3M2RDRQUnp1UT09</t>
        </is>
      </c>
      <c r="F192" t="n">
        <v>1</v>
      </c>
      <c r="G192" t="inlineStr">
        <is>
          <t>BG003</t>
        </is>
      </c>
      <c r="H192" t="inlineStr">
        <is>
          <t>21 November 1989</t>
        </is>
      </c>
      <c r="I192" s="2" t="n">
        <v>46237</v>
      </c>
      <c r="J192" t="inlineStr">
        <is>
          <t>Disetujui</t>
        </is>
      </c>
      <c r="K192" t="n">
        <v>30</v>
      </c>
      <c r="L192" t="inlineStr">
        <is>
          <t>3 Agustus 2026</t>
        </is>
      </c>
      <c r="M192" t="inlineStr">
        <is>
          <t>Konstruksi Gedung Industri</t>
        </is>
      </c>
      <c r="N192" t="inlineStr">
        <is>
          <t>B</t>
        </is>
      </c>
      <c r="O192" t="inlineStr">
        <is>
          <t>20230710</t>
        </is>
      </c>
      <c r="P192" t="inlineStr">
        <is>
          <t>DKI Jakarta</t>
        </is>
      </c>
      <c r="Q192" t="inlineStr"/>
    </row>
    <row r="193">
      <c r="A193" t="inlineStr">
        <is>
          <t>TIRTA BARATA</t>
        </is>
      </c>
      <c r="B193" t="inlineStr">
        <is>
          <t>Kab. Dompu</t>
        </is>
      </c>
      <c r="C193" t="inlineStr">
        <is>
          <t>085378507114</t>
        </is>
      </c>
      <c r="D193" t="inlineStr">
        <is>
          <t>cv.tirtabarata@gmail.com</t>
        </is>
      </c>
      <c r="E193" t="inlineStr">
        <is>
          <t>https://lpjk.pu.go.id/search-badan-usaha-detail/WEVDYnRjT2xLOE4xSzJpQVdRU2NkZz09</t>
        </is>
      </c>
      <c r="F193" t="n">
        <v>1</v>
      </c>
      <c r="G193" t="inlineStr">
        <is>
          <t>BS001</t>
        </is>
      </c>
      <c r="H193" t="inlineStr">
        <is>
          <t>23 Juni 2021</t>
        </is>
      </c>
      <c r="I193" s="2" t="n">
        <v>46237</v>
      </c>
      <c r="J193" t="inlineStr">
        <is>
          <t>Disetujui</t>
        </is>
      </c>
      <c r="K193" t="n">
        <v>30</v>
      </c>
      <c r="L193" t="inlineStr">
        <is>
          <t>3 Agustus 2026</t>
        </is>
      </c>
      <c r="M193" t="inlineStr">
        <is>
          <t>Konstruksi Bangunan Sipil Jalan</t>
        </is>
      </c>
      <c r="N193" t="inlineStr">
        <is>
          <t>K</t>
        </is>
      </c>
      <c r="O193" t="inlineStr">
        <is>
          <t>20230801</t>
        </is>
      </c>
      <c r="P193" t="inlineStr">
        <is>
          <t>Nusa Tenggara Barat</t>
        </is>
      </c>
      <c r="Q193" t="inlineStr"/>
    </row>
    <row r="194">
      <c r="A194" t="inlineStr">
        <is>
          <t>TRANSINDO CAKRAWALA</t>
        </is>
      </c>
      <c r="B194" t="inlineStr">
        <is>
          <t>Kab. Mojokerto</t>
        </is>
      </c>
      <c r="C194" t="inlineStr">
        <is>
          <t>081333358898</t>
        </is>
      </c>
      <c r="D194" t="inlineStr">
        <is>
          <t>transcakrawala21@gmail.com</t>
        </is>
      </c>
      <c r="E194" t="inlineStr">
        <is>
          <t>https://lpjk.pu.go.id/search-badan-usaha-detail/UnBtYUJYK2Rwb0RRaDBzaHNCMllyUT09</t>
        </is>
      </c>
      <c r="F194" t="n">
        <v>2</v>
      </c>
      <c r="G194" t="inlineStr">
        <is>
          <t>BS001</t>
        </is>
      </c>
      <c r="H194" t="inlineStr">
        <is>
          <t>27 Oktober 2021</t>
        </is>
      </c>
      <c r="I194" s="2" t="n">
        <v>46237</v>
      </c>
      <c r="J194" t="inlineStr">
        <is>
          <t>Disetujui</t>
        </is>
      </c>
      <c r="K194" t="n">
        <v>30</v>
      </c>
      <c r="L194" t="inlineStr">
        <is>
          <t>3 Agustus 2026</t>
        </is>
      </c>
      <c r="M194" t="inlineStr">
        <is>
          <t>Konstruksi Bangunan Sipil Jalan</t>
        </is>
      </c>
      <c r="N194" t="inlineStr">
        <is>
          <t>K</t>
        </is>
      </c>
      <c r="O194" t="inlineStr">
        <is>
          <t>20230717</t>
        </is>
      </c>
      <c r="P194" t="inlineStr">
        <is>
          <t>Jawa Timur</t>
        </is>
      </c>
      <c r="Q194" t="inlineStr"/>
    </row>
    <row r="195">
      <c r="A195" t="inlineStr">
        <is>
          <t>TRI INTI KONSTRUKSI</t>
        </is>
      </c>
      <c r="B195" t="inlineStr">
        <is>
          <t>Kab. Kubu Raya</t>
        </is>
      </c>
      <c r="C195" t="inlineStr">
        <is>
          <t>08115789111</t>
        </is>
      </c>
      <c r="D195" t="inlineStr">
        <is>
          <t>triinti_konstruksi@yahoo.co.id</t>
        </is>
      </c>
      <c r="E195" t="inlineStr">
        <is>
          <t>https://lpjk.pu.go.id/search-badan-usaha-detail/QTVjei95Y1RiWUo2MElLNCtzTEsvdz09</t>
        </is>
      </c>
      <c r="F195" t="n">
        <v>2</v>
      </c>
      <c r="G195" t="inlineStr">
        <is>
          <t>BS001, BS002</t>
        </is>
      </c>
      <c r="H195" t="inlineStr">
        <is>
          <t>12 Februari 2008</t>
        </is>
      </c>
      <c r="I195" s="2" t="n">
        <v>46237</v>
      </c>
      <c r="J195" t="inlineStr">
        <is>
          <t>Disetujui</t>
        </is>
      </c>
      <c r="K195" t="n">
        <v>30</v>
      </c>
      <c r="L195" t="inlineStr">
        <is>
          <t>3 Agustus 2026</t>
        </is>
      </c>
      <c r="M195" t="inlineStr">
        <is>
          <t>Bangunan Sipil Jembatan, Jalan Layang, Fly Over, dan Underpass, Konstruksi Bangunan Sipil Jalan</t>
        </is>
      </c>
      <c r="N195" t="inlineStr">
        <is>
          <t>K</t>
        </is>
      </c>
      <c r="O195" t="inlineStr">
        <is>
          <t>20230803</t>
        </is>
      </c>
      <c r="P195" t="inlineStr">
        <is>
          <t>Kalimantan Barat</t>
        </is>
      </c>
      <c r="Q195" t="inlineStr"/>
    </row>
    <row r="196">
      <c r="A196" t="inlineStr">
        <is>
          <t>TRI PUTERA JATI</t>
        </is>
      </c>
      <c r="B196" t="inlineStr">
        <is>
          <t>Kab. Kebumen</t>
        </is>
      </c>
      <c r="C196" t="inlineStr">
        <is>
          <t>08122786673</t>
        </is>
      </c>
      <c r="D196" t="inlineStr">
        <is>
          <t>triputerajaticv2015@gmail.com</t>
        </is>
      </c>
      <c r="E196" t="inlineStr">
        <is>
          <t>https://lpjk.pu.go.id/search-badan-usaha-detail/Ri8yUy9zcDdzMUJoVTdPQjc1c3EwZz09</t>
        </is>
      </c>
      <c r="F196" t="n">
        <v>1</v>
      </c>
      <c r="G196" t="inlineStr">
        <is>
          <t>BS001</t>
        </is>
      </c>
      <c r="H196" t="inlineStr">
        <is>
          <t>22 Juni 2012</t>
        </is>
      </c>
      <c r="I196" s="2" t="n">
        <v>46237</v>
      </c>
      <c r="J196" t="inlineStr">
        <is>
          <t>Disetujui</t>
        </is>
      </c>
      <c r="K196" t="n">
        <v>30</v>
      </c>
      <c r="L196" t="inlineStr">
        <is>
          <t>3 Agustus 2026</t>
        </is>
      </c>
      <c r="M196" t="inlineStr">
        <is>
          <t>Konstruksi Bangunan Sipil Jalan</t>
        </is>
      </c>
      <c r="N196" t="inlineStr">
        <is>
          <t>K</t>
        </is>
      </c>
      <c r="O196" t="inlineStr">
        <is>
          <t>20230727</t>
        </is>
      </c>
      <c r="P196" t="inlineStr">
        <is>
          <t>Jawa Tengah</t>
        </is>
      </c>
      <c r="Q196" t="inlineStr"/>
    </row>
    <row r="197">
      <c r="A197" t="inlineStr">
        <is>
          <t>TRI TUNGGAL GROUP</t>
        </is>
      </c>
      <c r="B197" t="inlineStr">
        <is>
          <t>Kab. Lahat</t>
        </is>
      </c>
      <c r="C197" t="inlineStr">
        <is>
          <t>082181787754</t>
        </is>
      </c>
      <c r="D197" t="inlineStr">
        <is>
          <t>tritunggalgroup633@gmail.com</t>
        </is>
      </c>
      <c r="E197" t="inlineStr">
        <is>
          <t>https://lpjk.pu.go.id/search-badan-usaha-detail/TmVLUTEwNHEvanVFa2lVY2FHU0JhQT09</t>
        </is>
      </c>
      <c r="F197" t="n">
        <v>1</v>
      </c>
      <c r="G197" t="inlineStr">
        <is>
          <t>BS001</t>
        </is>
      </c>
      <c r="H197" t="inlineStr">
        <is>
          <t>22 Juni 2012</t>
        </is>
      </c>
      <c r="I197" s="2" t="n">
        <v>46237</v>
      </c>
      <c r="J197" t="inlineStr">
        <is>
          <t>Disetujui</t>
        </is>
      </c>
      <c r="K197" t="n">
        <v>30</v>
      </c>
      <c r="L197" t="inlineStr">
        <is>
          <t>3 Agustus 2026</t>
        </is>
      </c>
      <c r="M197" t="inlineStr">
        <is>
          <t>Konstruksi Bangunan Sipil Jalan</t>
        </is>
      </c>
      <c r="N197" t="inlineStr">
        <is>
          <t>K</t>
        </is>
      </c>
      <c r="O197" t="inlineStr">
        <is>
          <t>20230802</t>
        </is>
      </c>
      <c r="P197" t="inlineStr">
        <is>
          <t>Sumatera Selatan</t>
        </is>
      </c>
      <c r="Q197" t="inlineStr"/>
    </row>
    <row r="198">
      <c r="A198" t="inlineStr">
        <is>
          <t>TRI TUNGGAL JAYA</t>
        </is>
      </c>
      <c r="B198" t="inlineStr">
        <is>
          <t>Kota Jayapura</t>
        </is>
      </c>
      <c r="C198" t="inlineStr">
        <is>
          <t>082349992513</t>
        </is>
      </c>
      <c r="D198" t="inlineStr">
        <is>
          <t>tri_tunggal_jaya.papua@yahoo.com</t>
        </is>
      </c>
      <c r="E198" t="inlineStr">
        <is>
          <t>https://lpjk.pu.go.id/search-badan-usaha-detail/YmZNVlNkMS9xMm9YZ1RRTTBZT2ZjZz09</t>
        </is>
      </c>
      <c r="F198" t="n">
        <v>4</v>
      </c>
      <c r="G198" t="inlineStr">
        <is>
          <t>BG001, BG002, BG005, BG006</t>
        </is>
      </c>
      <c r="H198" t="inlineStr">
        <is>
          <t>28 Desember 2005</t>
        </is>
      </c>
      <c r="I198" s="2" t="n">
        <v>46237</v>
      </c>
      <c r="J198" t="inlineStr">
        <is>
          <t>Disetujui</t>
        </is>
      </c>
      <c r="K198" t="n">
        <v>30</v>
      </c>
      <c r="L198" t="inlineStr">
        <is>
          <t>3 Agustus 2026</t>
        </is>
      </c>
      <c r="M198" t="inlineStr">
        <is>
          <t>Konstruksi Gedung Hunian, Konstruksi Gedung Kesehatan, Konstruksi Gedung Pendidikan, Konstruksi Gedung Perkantoran</t>
        </is>
      </c>
      <c r="N198" t="inlineStr">
        <is>
          <t>K</t>
        </is>
      </c>
      <c r="O198" t="inlineStr">
        <is>
          <t>20230804</t>
        </is>
      </c>
      <c r="P198" t="inlineStr">
        <is>
          <t>Papua</t>
        </is>
      </c>
      <c r="Q198" t="inlineStr"/>
    </row>
    <row r="199">
      <c r="A199" t="inlineStr">
        <is>
          <t>TRIANTAMA PRIMA</t>
        </is>
      </c>
      <c r="B199" t="inlineStr">
        <is>
          <t>Kota Palembang</t>
        </is>
      </c>
      <c r="C199" t="inlineStr">
        <is>
          <t>085758328435</t>
        </is>
      </c>
      <c r="D199" t="inlineStr">
        <is>
          <t>cv.triantamaprima@gmail.com</t>
        </is>
      </c>
      <c r="E199" t="inlineStr">
        <is>
          <t>https://lpjk.pu.go.id/search-badan-usaha-detail/Wjc3eldvMDlKdkgzNEplUVZVdElWdz09</t>
        </is>
      </c>
      <c r="F199" t="n">
        <v>1</v>
      </c>
      <c r="G199" t="inlineStr">
        <is>
          <t>BG006</t>
        </is>
      </c>
      <c r="H199" t="inlineStr">
        <is>
          <t>5 Januari 2021</t>
        </is>
      </c>
      <c r="I199" s="2" t="n">
        <v>46237</v>
      </c>
      <c r="J199" t="inlineStr">
        <is>
          <t>Disetujui</t>
        </is>
      </c>
      <c r="K199" t="n">
        <v>30</v>
      </c>
      <c r="L199" t="inlineStr">
        <is>
          <t>3 Agustus 2026</t>
        </is>
      </c>
      <c r="M199" t="inlineStr">
        <is>
          <t>Konstruksi Gedung Pendidikan</t>
        </is>
      </c>
      <c r="N199" t="inlineStr">
        <is>
          <t>K</t>
        </is>
      </c>
      <c r="O199" t="inlineStr">
        <is>
          <t>20230222</t>
        </is>
      </c>
      <c r="P199" t="inlineStr">
        <is>
          <t>Sumatera Selatan</t>
        </is>
      </c>
      <c r="Q199" t="inlineStr"/>
    </row>
    <row r="200">
      <c r="A200" t="inlineStr">
        <is>
          <t>TRIAS ERISKO KONSULTAN</t>
        </is>
      </c>
      <c r="B200" t="inlineStr">
        <is>
          <t>Kota Pontianak</t>
        </is>
      </c>
      <c r="C200" t="inlineStr">
        <is>
          <t>05618103451</t>
        </is>
      </c>
      <c r="D200" t="inlineStr">
        <is>
          <t>pt_triaseriskokonsultan@yahoo.co.id</t>
        </is>
      </c>
      <c r="E200" t="inlineStr">
        <is>
          <t>https://lpjk.pu.go.id/search-badan-usaha-detail/VFJVVDlBaFpFTTJQK29iTXRHamNtdz09</t>
        </is>
      </c>
      <c r="F200" t="n">
        <v>4</v>
      </c>
      <c r="G200" t="inlineStr">
        <is>
          <t>AL003, AL004</t>
        </is>
      </c>
      <c r="H200" t="inlineStr">
        <is>
          <t>26 Januari 2015</t>
        </is>
      </c>
      <c r="I200" s="2" t="n">
        <v>46237</v>
      </c>
      <c r="J200" t="inlineStr">
        <is>
          <t>Verifikasi Pembayaran</t>
        </is>
      </c>
      <c r="K200" t="n">
        <v>30</v>
      </c>
      <c r="L200" t="inlineStr">
        <is>
          <t>3 Agustus 2026</t>
        </is>
      </c>
      <c r="M200" t="inlineStr">
        <is>
          <t>Jasa Pengembangan Lingkungan Bangunan dan Lanskap, Jasa Pengembangan Perkotaan</t>
        </is>
      </c>
      <c r="N200" t="inlineStr">
        <is>
          <t>K</t>
        </is>
      </c>
      <c r="O200" t="inlineStr">
        <is>
          <t>20230714, 20230726</t>
        </is>
      </c>
      <c r="P200" t="inlineStr">
        <is>
          <t>Kalimantan Barat</t>
        </is>
      </c>
      <c r="Q200" t="inlineStr"/>
    </row>
    <row r="201">
      <c r="A201" t="inlineStr">
        <is>
          <t>TRIJAYA MUDA PERKASA</t>
        </is>
      </c>
      <c r="B201" t="inlineStr">
        <is>
          <t>Kab. Pangandaran</t>
        </is>
      </c>
      <c r="C201" t="inlineStr">
        <is>
          <t>081222232684</t>
        </is>
      </c>
      <c r="D201" t="inlineStr">
        <is>
          <t>cv.trijayamudaperkasa@gmail.com</t>
        </is>
      </c>
      <c r="E201" t="inlineStr">
        <is>
          <t>https://lpjk.pu.go.id/search-badan-usaha-detail/VTFTVEQ4cGg0NHRPZzN2YnRKd3phZz09</t>
        </is>
      </c>
      <c r="F201" t="n">
        <v>1</v>
      </c>
      <c r="G201" t="inlineStr">
        <is>
          <t>BS005</t>
        </is>
      </c>
      <c r="H201" t="inlineStr">
        <is>
          <t>20 April 2022</t>
        </is>
      </c>
      <c r="I201" s="2" t="n">
        <v>46237</v>
      </c>
      <c r="J201" t="inlineStr">
        <is>
          <t>Disetujui</t>
        </is>
      </c>
      <c r="K201" t="n">
        <v>30</v>
      </c>
      <c r="L201" t="inlineStr">
        <is>
          <t>3 Agustus 2026</t>
        </is>
      </c>
      <c r="M201" t="inlineStr">
        <is>
          <t>Konstruksi Bangunan Sipil Pengolahan Air Bersih</t>
        </is>
      </c>
      <c r="N201" t="inlineStr">
        <is>
          <t>K</t>
        </is>
      </c>
      <c r="O201" t="inlineStr">
        <is>
          <t>20230801</t>
        </is>
      </c>
      <c r="P201" t="inlineStr">
        <is>
          <t>Jawa Barat</t>
        </is>
      </c>
      <c r="Q201" t="inlineStr"/>
    </row>
    <row r="202">
      <c r="A202" t="inlineStr">
        <is>
          <t>TRIJAYA TUNGGAL</t>
        </is>
      </c>
      <c r="B202" t="inlineStr">
        <is>
          <t>Kab. Kampar</t>
        </is>
      </c>
      <c r="C202" t="inlineStr">
        <is>
          <t>081260199262</t>
        </is>
      </c>
      <c r="D202" t="inlineStr">
        <is>
          <t>cv.trijayatunggal@yahoo.com</t>
        </is>
      </c>
      <c r="E202" t="inlineStr">
        <is>
          <t>https://lpjk.pu.go.id/search-badan-usaha-detail/T09FVnk0U3B1ZFFpZ1Bidldsbjl3UT09</t>
        </is>
      </c>
      <c r="F202" t="n">
        <v>1</v>
      </c>
      <c r="G202" t="inlineStr">
        <is>
          <t>BS002</t>
        </is>
      </c>
      <c r="H202" t="inlineStr">
        <is>
          <t>14 Januari 2021</t>
        </is>
      </c>
      <c r="I202" s="2" t="n">
        <v>46237</v>
      </c>
      <c r="J202" t="inlineStr">
        <is>
          <t>Disetujui</t>
        </is>
      </c>
      <c r="K202" t="n">
        <v>30</v>
      </c>
      <c r="L202" t="inlineStr">
        <is>
          <t>3 Agustus 2026</t>
        </is>
      </c>
      <c r="M202" t="inlineStr">
        <is>
          <t>Bangunan Sipil Jembatan, Jalan Layang, Fly Over, dan Underpass</t>
        </is>
      </c>
      <c r="N202" t="inlineStr">
        <is>
          <t>K</t>
        </is>
      </c>
      <c r="O202" t="inlineStr">
        <is>
          <t>20230801</t>
        </is>
      </c>
      <c r="P202" t="inlineStr">
        <is>
          <t>Riau</t>
        </is>
      </c>
      <c r="Q202" t="inlineStr"/>
    </row>
    <row r="203">
      <c r="A203" t="inlineStr">
        <is>
          <t>TRIMITRA ARTA KONSTRUKSI ASIA</t>
        </is>
      </c>
      <c r="B203" t="inlineStr">
        <is>
          <t>Kota Adm. Jakarta Barat</t>
        </is>
      </c>
      <c r="C203" t="inlineStr">
        <is>
          <t>0816832819</t>
        </is>
      </c>
      <c r="D203" t="inlineStr">
        <is>
          <t>trimitraarta.asia@gmail.com</t>
        </is>
      </c>
      <c r="E203" t="inlineStr">
        <is>
          <t>https://lpjk.pu.go.id/search-badan-usaha-detail/aTdjeVE2T2RoV0dJUk5FWjlid0YyUT09</t>
        </is>
      </c>
      <c r="F203" t="n">
        <v>6</v>
      </c>
      <c r="G203" t="inlineStr">
        <is>
          <t>BG001, BG006, BG009</t>
        </is>
      </c>
      <c r="H203" t="inlineStr">
        <is>
          <t>24 September 2018</t>
        </is>
      </c>
      <c r="I203" s="2" t="n">
        <v>46237</v>
      </c>
      <c r="J203" t="inlineStr">
        <is>
          <t>Disetujui</t>
        </is>
      </c>
      <c r="K203" t="n">
        <v>30</v>
      </c>
      <c r="L203" t="inlineStr">
        <is>
          <t>3 Agustus 2026</t>
        </is>
      </c>
      <c r="M203" t="inlineStr">
        <is>
          <t>Konstruksi Gedung Hunian, Konstruksi Gedung Lainnya, Konstruksi Gedung Pendidikan</t>
        </is>
      </c>
      <c r="N203" t="inlineStr">
        <is>
          <t>K</t>
        </is>
      </c>
      <c r="O203" t="inlineStr">
        <is>
          <t>20230713, 20230802</t>
        </is>
      </c>
      <c r="P203" t="inlineStr">
        <is>
          <t>DKI Jakarta</t>
        </is>
      </c>
      <c r="Q203" t="inlineStr"/>
    </row>
    <row r="204">
      <c r="A204" t="inlineStr">
        <is>
          <t>TRIMITRA PUTERA TEKINDO</t>
        </is>
      </c>
      <c r="B204" t="inlineStr">
        <is>
          <t>Kota Adm. Jakarta Barat</t>
        </is>
      </c>
      <c r="C204" t="inlineStr">
        <is>
          <t>0215602411</t>
        </is>
      </c>
      <c r="D204" t="inlineStr">
        <is>
          <t>trimitraputeratekindo@gmail.com</t>
        </is>
      </c>
      <c r="E204" t="inlineStr">
        <is>
          <t>https://lpjk.pu.go.id/search-badan-usaha-detail/N3ZDVWszY0VTS0wvT1F0Vis0YTNrdz09</t>
        </is>
      </c>
      <c r="F204" t="n">
        <v>2</v>
      </c>
      <c r="G204" t="inlineStr">
        <is>
          <t>BS001</t>
        </is>
      </c>
      <c r="H204" t="inlineStr">
        <is>
          <t>26 Agustus 2022</t>
        </is>
      </c>
      <c r="I204" s="2" t="n">
        <v>46237</v>
      </c>
      <c r="J204" t="inlineStr">
        <is>
          <t>Disetujui</t>
        </is>
      </c>
      <c r="K204" t="n">
        <v>30</v>
      </c>
      <c r="L204" t="inlineStr">
        <is>
          <t>3 Agustus 2026</t>
        </is>
      </c>
      <c r="M204" t="inlineStr">
        <is>
          <t>Konstruksi Bangunan Sipil Jalan</t>
        </is>
      </c>
      <c r="N204" t="inlineStr">
        <is>
          <t>K</t>
        </is>
      </c>
      <c r="O204" t="inlineStr">
        <is>
          <t>20230725</t>
        </is>
      </c>
      <c r="P204" t="inlineStr">
        <is>
          <t>DKI Jakarta</t>
        </is>
      </c>
      <c r="Q204" t="inlineStr"/>
    </row>
    <row r="205">
      <c r="A205" t="inlineStr">
        <is>
          <t>TRIPLE ASEJAHTERA</t>
        </is>
      </c>
      <c r="B205" t="inlineStr">
        <is>
          <t>Kab. Lamongan</t>
        </is>
      </c>
      <c r="C205" t="inlineStr">
        <is>
          <t>0895378792255</t>
        </is>
      </c>
      <c r="D205" t="inlineStr">
        <is>
          <t>hj.musjrifah@gmail.com</t>
        </is>
      </c>
      <c r="E205" t="inlineStr">
        <is>
          <t>https://lpjk.pu.go.id/search-badan-usaha-detail/TWNqS0VUYUZMaW02TWRhdFJOR3ZwQT09</t>
        </is>
      </c>
      <c r="F205" t="n">
        <v>1</v>
      </c>
      <c r="G205" t="inlineStr">
        <is>
          <t>BS001</t>
        </is>
      </c>
      <c r="H205" t="inlineStr">
        <is>
          <t>23 Juli 2018</t>
        </is>
      </c>
      <c r="I205" s="2" t="n">
        <v>46237</v>
      </c>
      <c r="J205" t="inlineStr">
        <is>
          <t>Disetujui</t>
        </is>
      </c>
      <c r="K205" t="n">
        <v>30</v>
      </c>
      <c r="L205" t="inlineStr">
        <is>
          <t>3 Agustus 2026</t>
        </is>
      </c>
      <c r="M205" t="inlineStr">
        <is>
          <t>Konstruksi Bangunan Sipil Jalan</t>
        </is>
      </c>
      <c r="N205" t="inlineStr">
        <is>
          <t>K</t>
        </is>
      </c>
      <c r="O205" t="inlineStr">
        <is>
          <t>20230731</t>
        </is>
      </c>
      <c r="P205" t="inlineStr">
        <is>
          <t>Jawa Timur</t>
        </is>
      </c>
      <c r="Q205" t="inlineStr"/>
    </row>
    <row r="206">
      <c r="A206" t="inlineStr">
        <is>
          <t>TUNAS MANDIRI</t>
        </is>
      </c>
      <c r="B206" t="inlineStr">
        <is>
          <t>Kab. Sumenep</t>
        </is>
      </c>
      <c r="C206" t="inlineStr">
        <is>
          <t>087850170017</t>
        </is>
      </c>
      <c r="D206" t="inlineStr">
        <is>
          <t>cvtunasmandiri63@gmail.com</t>
        </is>
      </c>
      <c r="E206" t="inlineStr">
        <is>
          <t>https://lpjk.pu.go.id/search-badan-usaha-detail/TnRNbmFtdWxjeGNJMWN2UG9XK01UUT09</t>
        </is>
      </c>
      <c r="F206" t="n">
        <v>1</v>
      </c>
      <c r="G206" t="inlineStr">
        <is>
          <t>BG009</t>
        </is>
      </c>
      <c r="H206" t="inlineStr">
        <is>
          <t>11 Maret 2002</t>
        </is>
      </c>
      <c r="I206" s="2" t="n">
        <v>46237</v>
      </c>
      <c r="J206" t="inlineStr">
        <is>
          <t>Disetujui</t>
        </is>
      </c>
      <c r="K206" t="n">
        <v>30</v>
      </c>
      <c r="L206" t="inlineStr">
        <is>
          <t>3 Agustus 2026</t>
        </is>
      </c>
      <c r="M206" t="inlineStr">
        <is>
          <t>Konstruksi Gedung Lainnya</t>
        </is>
      </c>
      <c r="N206" t="inlineStr">
        <is>
          <t>K</t>
        </is>
      </c>
      <c r="O206" t="inlineStr">
        <is>
          <t>20230801</t>
        </is>
      </c>
      <c r="P206" t="inlineStr">
        <is>
          <t>Jawa Timur</t>
        </is>
      </c>
      <c r="Q206" t="inlineStr"/>
    </row>
    <row r="207">
      <c r="A207" t="inlineStr">
        <is>
          <t>UNIVERSAL INTI KONSTRUKSI</t>
        </is>
      </c>
      <c r="B207" t="inlineStr">
        <is>
          <t>Kab. Bantul</t>
        </is>
      </c>
      <c r="C207" t="inlineStr">
        <is>
          <t>0817745423</t>
        </is>
      </c>
      <c r="D207" t="inlineStr">
        <is>
          <t>unikoncv@gmail.com</t>
        </is>
      </c>
      <c r="E207" t="inlineStr">
        <is>
          <t>https://lpjk.pu.go.id/search-badan-usaha-detail/R3RCZkkvTkZKV3djSTdXbzJ3QldmQT09</t>
        </is>
      </c>
      <c r="F207" t="n">
        <v>2</v>
      </c>
      <c r="G207" t="inlineStr">
        <is>
          <t>BS001</t>
        </is>
      </c>
      <c r="H207" t="inlineStr">
        <is>
          <t>6 Februari 2023</t>
        </is>
      </c>
      <c r="I207" s="2" t="n">
        <v>46237</v>
      </c>
      <c r="J207" t="inlineStr">
        <is>
          <t>Disetujui</t>
        </is>
      </c>
      <c r="K207" t="n">
        <v>30</v>
      </c>
      <c r="L207" t="inlineStr">
        <is>
          <t>3 Agustus 2026</t>
        </is>
      </c>
      <c r="M207" t="inlineStr">
        <is>
          <t>Konstruksi Bangunan Sipil Jalan</t>
        </is>
      </c>
      <c r="N207" t="inlineStr">
        <is>
          <t>K</t>
        </is>
      </c>
      <c r="O207" t="inlineStr">
        <is>
          <t>20230728</t>
        </is>
      </c>
      <c r="P207" t="inlineStr">
        <is>
          <t>DI Yogyakarta</t>
        </is>
      </c>
      <c r="Q207" t="inlineStr"/>
    </row>
    <row r="208">
      <c r="A208" t="inlineStr">
        <is>
          <t>UTAMA MULTI KREASINDO</t>
        </is>
      </c>
      <c r="B208" t="inlineStr">
        <is>
          <t>Kab. Kebumen</t>
        </is>
      </c>
      <c r="C208" t="inlineStr">
        <is>
          <t>081327667634</t>
        </is>
      </c>
      <c r="D208" t="inlineStr">
        <is>
          <t>cvutamamultikreasindo@gmail.com</t>
        </is>
      </c>
      <c r="E208" t="inlineStr">
        <is>
          <t>https://lpjk.pu.go.id/search-badan-usaha-detail/alBwQkFuL3E5dnlqaVB6UHUyaW1EQT09</t>
        </is>
      </c>
      <c r="F208" t="n">
        <v>2</v>
      </c>
      <c r="G208" t="inlineStr">
        <is>
          <t>BS001, BS004</t>
        </is>
      </c>
      <c r="H208" t="inlineStr">
        <is>
          <t>21 Juni 2023</t>
        </is>
      </c>
      <c r="I208" s="2" t="n">
        <v>46237</v>
      </c>
      <c r="J208" t="inlineStr">
        <is>
          <t>Disetujui</t>
        </is>
      </c>
      <c r="K208" t="n">
        <v>30</v>
      </c>
      <c r="L208" t="inlineStr">
        <is>
          <t>3 Agustus 2026</t>
        </is>
      </c>
      <c r="M208" t="inlineStr">
        <is>
          <t>Konstruksi Bangunan Sipil Jalan, Konstruksi Jaringan Irigasi dan Drainase</t>
        </is>
      </c>
      <c r="N208" t="inlineStr">
        <is>
          <t>K</t>
        </is>
      </c>
      <c r="O208" t="inlineStr">
        <is>
          <t>20230801</t>
        </is>
      </c>
      <c r="P208" t="inlineStr">
        <is>
          <t>Jawa Tengah</t>
        </is>
      </c>
      <c r="Q208" t="inlineStr"/>
    </row>
    <row r="209">
      <c r="A209" t="inlineStr">
        <is>
          <t>VIDYA IMAJI PHIHASTA</t>
        </is>
      </c>
      <c r="B209" t="inlineStr">
        <is>
          <t>Kota Bandung</t>
        </is>
      </c>
      <c r="C209" t="inlineStr">
        <is>
          <t>02273280775</t>
        </is>
      </c>
      <c r="D209" t="inlineStr">
        <is>
          <t>vidyaimajiphihasta@yahoo.com</t>
        </is>
      </c>
      <c r="E209" t="inlineStr">
        <is>
          <t>https://lpjk.pu.go.id/search-badan-usaha-detail/SjJveGFGUmhtbjU4THhpelpPM0ZvQT09</t>
        </is>
      </c>
      <c r="F209" t="n">
        <v>2</v>
      </c>
      <c r="G209" t="inlineStr">
        <is>
          <t>AR001, AR002</t>
        </is>
      </c>
      <c r="H209" t="inlineStr">
        <is>
          <t>27 Februari 2020</t>
        </is>
      </c>
      <c r="I209" s="2" t="n">
        <v>46237</v>
      </c>
      <c r="J209" t="inlineStr">
        <is>
          <t>Disetujui</t>
        </is>
      </c>
      <c r="K209" t="n">
        <v>30</v>
      </c>
      <c r="L209" t="inlineStr">
        <is>
          <t>3 Agustus 2026</t>
        </is>
      </c>
      <c r="M209" t="inlineStr">
        <is>
          <t>Jasa Arsitektural Bangunan Gedung Hunian dan Non Hunian, Jasa Arsitektural Lainnya</t>
        </is>
      </c>
      <c r="N209" t="inlineStr">
        <is>
          <t>K</t>
        </is>
      </c>
      <c r="O209" t="inlineStr">
        <is>
          <t>20230720</t>
        </is>
      </c>
      <c r="P209" t="inlineStr">
        <is>
          <t>Jawa Barat</t>
        </is>
      </c>
      <c r="Q209" t="inlineStr"/>
    </row>
    <row r="210">
      <c r="A210" t="inlineStr">
        <is>
          <t>WAHANA MULTI WIGUNA</t>
        </is>
      </c>
      <c r="B210" t="inlineStr">
        <is>
          <t>Kab. Kebumen</t>
        </is>
      </c>
      <c r="C210" t="inlineStr">
        <is>
          <t>081328037079</t>
        </is>
      </c>
      <c r="D210" t="inlineStr">
        <is>
          <t>wahanamultiwiguna.kbm@gmail.com</t>
        </is>
      </c>
      <c r="E210" t="inlineStr">
        <is>
          <t>https://lpjk.pu.go.id/search-badan-usaha-detail/amZqWTc2UG5CUGZUTStLQUQ4QmUxdz09</t>
        </is>
      </c>
      <c r="F210" t="n">
        <v>1</v>
      </c>
      <c r="G210" t="inlineStr">
        <is>
          <t>BS001</t>
        </is>
      </c>
      <c r="H210" t="inlineStr">
        <is>
          <t>21 Januari 2016</t>
        </is>
      </c>
      <c r="I210" s="2" t="n">
        <v>46237</v>
      </c>
      <c r="J210" t="inlineStr">
        <is>
          <t>Disetujui</t>
        </is>
      </c>
      <c r="K210" t="n">
        <v>30</v>
      </c>
      <c r="L210" t="inlineStr">
        <is>
          <t>3 Agustus 2026</t>
        </is>
      </c>
      <c r="M210" t="inlineStr">
        <is>
          <t>Konstruksi Bangunan Sipil Jalan</t>
        </is>
      </c>
      <c r="N210" t="inlineStr">
        <is>
          <t>K</t>
        </is>
      </c>
      <c r="O210" t="inlineStr">
        <is>
          <t>20230728</t>
        </is>
      </c>
      <c r="P210" t="inlineStr">
        <is>
          <t>Jawa Tengah</t>
        </is>
      </c>
      <c r="Q210" t="inlineStr"/>
    </row>
    <row r="211">
      <c r="A211" t="inlineStr">
        <is>
          <t>WAHYU MITRA MANDIRI</t>
        </is>
      </c>
      <c r="B211" t="inlineStr">
        <is>
          <t>Kab. Luwu Utara</t>
        </is>
      </c>
      <c r="C211" t="inlineStr">
        <is>
          <t>082347994799</t>
        </is>
      </c>
      <c r="D211" t="inlineStr">
        <is>
          <t>cv.wahyumitramandiri@gmail.com</t>
        </is>
      </c>
      <c r="E211" t="inlineStr">
        <is>
          <t>https://lpjk.pu.go.id/search-badan-usaha-detail/TnFFeEhiSm0wSFlMVnNobWhUTE1HZz09</t>
        </is>
      </c>
      <c r="F211" t="n">
        <v>3</v>
      </c>
      <c r="G211" t="inlineStr">
        <is>
          <t>BG006, BS001, BS004</t>
        </is>
      </c>
      <c r="H211" t="inlineStr">
        <is>
          <t>12 April 2022</t>
        </is>
      </c>
      <c r="I211" s="2" t="n">
        <v>46237</v>
      </c>
      <c r="J211" t="inlineStr">
        <is>
          <t>Pencabutan</t>
        </is>
      </c>
      <c r="K211" t="n">
        <v>30</v>
      </c>
      <c r="L211" t="inlineStr">
        <is>
          <t>3 Agustus 2026</t>
        </is>
      </c>
      <c r="M211" t="inlineStr">
        <is>
          <t>Konstruksi Bangunan Sipil Jalan, Konstruksi Gedung Pendidikan, Konstruksi Jaringan Irigasi dan Drainase</t>
        </is>
      </c>
      <c r="N211" t="inlineStr">
        <is>
          <t>K</t>
        </is>
      </c>
      <c r="O211" t="inlineStr">
        <is>
          <t>20230802</t>
        </is>
      </c>
      <c r="P211" t="inlineStr">
        <is>
          <t>Sulawesi Selatan</t>
        </is>
      </c>
      <c r="Q211" t="inlineStr"/>
    </row>
    <row r="212">
      <c r="A212" t="inlineStr">
        <is>
          <t>WAHYU PRATAMA</t>
        </is>
      </c>
      <c r="B212" t="inlineStr">
        <is>
          <t>Kab. Blitar</t>
        </is>
      </c>
      <c r="C212" t="inlineStr">
        <is>
          <t>085649334867</t>
        </is>
      </c>
      <c r="D212" t="inlineStr">
        <is>
          <t>yudipurnomo.wp18@gmail.com</t>
        </is>
      </c>
      <c r="E212" t="inlineStr">
        <is>
          <t>https://lpjk.pu.go.id/search-badan-usaha-detail/encvWGpBakhEZXQrb2hUUW1OdTF0QT09</t>
        </is>
      </c>
      <c r="F212" t="n">
        <v>1</v>
      </c>
      <c r="G212" t="inlineStr">
        <is>
          <t>BS004</t>
        </is>
      </c>
      <c r="H212" t="inlineStr">
        <is>
          <t>28 Juni 2006</t>
        </is>
      </c>
      <c r="I212" s="2" t="n">
        <v>46237</v>
      </c>
      <c r="J212" t="inlineStr">
        <is>
          <t>Disetujui</t>
        </is>
      </c>
      <c r="K212" t="n">
        <v>30</v>
      </c>
      <c r="L212" t="inlineStr">
        <is>
          <t>3 Agustus 2026</t>
        </is>
      </c>
      <c r="M212" t="inlineStr">
        <is>
          <t>Konstruksi Jaringan Irigasi dan Drainase</t>
        </is>
      </c>
      <c r="N212" t="inlineStr">
        <is>
          <t>K</t>
        </is>
      </c>
      <c r="O212" t="inlineStr">
        <is>
          <t>20230802</t>
        </is>
      </c>
      <c r="P212" t="inlineStr">
        <is>
          <t>Jawa Timur</t>
        </is>
      </c>
      <c r="Q212" t="inlineStr"/>
    </row>
    <row r="213">
      <c r="A213" t="inlineStr">
        <is>
          <t>WALUYA</t>
        </is>
      </c>
      <c r="B213" t="inlineStr">
        <is>
          <t>Kab. Banjarnegara</t>
        </is>
      </c>
      <c r="C213" t="inlineStr">
        <is>
          <t>085215597770</t>
        </is>
      </c>
      <c r="D213" t="inlineStr">
        <is>
          <t>cvwaluya43@gmail.com</t>
        </is>
      </c>
      <c r="E213" t="inlineStr">
        <is>
          <t>https://lpjk.pu.go.id/search-badan-usaha-detail/U25YZmtpb3JSNTRUMHNXMEhKWmRtQT09</t>
        </is>
      </c>
      <c r="F213" t="n">
        <v>5</v>
      </c>
      <c r="G213" t="inlineStr">
        <is>
          <t>BG002, BG003, BG007, BG008, BG009</t>
        </is>
      </c>
      <c r="H213" t="inlineStr">
        <is>
          <t>14 Juli 2009</t>
        </is>
      </c>
      <c r="I213" s="2" t="n">
        <v>46237</v>
      </c>
      <c r="J213" t="inlineStr">
        <is>
          <t>Disetujui</t>
        </is>
      </c>
      <c r="K213" t="n">
        <v>30</v>
      </c>
      <c r="L213" t="inlineStr">
        <is>
          <t>3 Agustus 2026</t>
        </is>
      </c>
      <c r="M213" t="inlineStr">
        <is>
          <t>Konstruksi Gedung Industri, Konstruksi Gedung Lainnya, Konstruksi Gedung Penginapan, Konstruksi Gedung Perkantoran, Konstruksi Gedung Tempat Hiburan dan Olahraga</t>
        </is>
      </c>
      <c r="N213" t="inlineStr">
        <is>
          <t>K</t>
        </is>
      </c>
      <c r="O213" t="inlineStr">
        <is>
          <t>20230801</t>
        </is>
      </c>
      <c r="P213" t="inlineStr">
        <is>
          <t>Jawa Tengah</t>
        </is>
      </c>
      <c r="Q213" t="inlineStr"/>
    </row>
    <row r="214">
      <c r="A214" t="inlineStr">
        <is>
          <t>WANA DIRGA NUSANTARA</t>
        </is>
      </c>
      <c r="B214" t="inlineStr">
        <is>
          <t>Kota Adm. Jakarta Selatan</t>
        </is>
      </c>
      <c r="C214" t="inlineStr">
        <is>
          <t>08119412560</t>
        </is>
      </c>
      <c r="D214" t="inlineStr">
        <is>
          <t>wana.dirga.nusantara@gmail.com</t>
        </is>
      </c>
      <c r="E214" t="inlineStr">
        <is>
          <t>https://lpjk.pu.go.id/search-badan-usaha-detail/UERHUlU0Y3FzSmpEd04yZzNMaXdiUT09</t>
        </is>
      </c>
      <c r="F214" t="n">
        <v>1</v>
      </c>
      <c r="G214" t="inlineStr">
        <is>
          <t>IN004</t>
        </is>
      </c>
      <c r="H214" t="inlineStr">
        <is>
          <t>6 Februari 2015</t>
        </is>
      </c>
      <c r="I214" s="2" t="n">
        <v>46237</v>
      </c>
      <c r="J214" t="inlineStr">
        <is>
          <t>Pembekuan</t>
        </is>
      </c>
      <c r="K214" t="n">
        <v>30</v>
      </c>
      <c r="L214" t="inlineStr">
        <is>
          <t>3 Agustus 2026</t>
        </is>
      </c>
      <c r="M214" t="inlineStr">
        <is>
          <t>Instalasi Minyak dan Gas</t>
        </is>
      </c>
      <c r="N214" t="inlineStr">
        <is>
          <t>Spesialis</t>
        </is>
      </c>
      <c r="O214" t="inlineStr">
        <is>
          <t>20230803</t>
        </is>
      </c>
      <c r="P214" t="inlineStr">
        <is>
          <t>DKI Jakarta</t>
        </is>
      </c>
      <c r="Q214" t="inlineStr"/>
    </row>
    <row r="215">
      <c r="A215" t="inlineStr">
        <is>
          <t>WILLY KARYA</t>
        </is>
      </c>
      <c r="B215" t="inlineStr">
        <is>
          <t>Kota Kupang</t>
        </is>
      </c>
      <c r="C215" t="inlineStr">
        <is>
          <t>081338466777</t>
        </is>
      </c>
      <c r="D215" t="inlineStr">
        <is>
          <t>karya.willy@gmail.com</t>
        </is>
      </c>
      <c r="E215" t="inlineStr">
        <is>
          <t>https://lpjk.pu.go.id/search-badan-usaha-detail/eDFDSGEzVEJ2dFRDbFFrYXJaS0wyZz09</t>
        </is>
      </c>
      <c r="F215" t="n">
        <v>1</v>
      </c>
      <c r="G215" t="inlineStr">
        <is>
          <t>BS001</t>
        </is>
      </c>
      <c r="H215" t="inlineStr">
        <is>
          <t>5 Januari 2015</t>
        </is>
      </c>
      <c r="I215" s="2" t="n">
        <v>46237</v>
      </c>
      <c r="J215" t="inlineStr">
        <is>
          <t>Disetujui</t>
        </is>
      </c>
      <c r="K215" t="n">
        <v>30</v>
      </c>
      <c r="L215" t="inlineStr">
        <is>
          <t>3 Agustus 2026</t>
        </is>
      </c>
      <c r="M215" t="inlineStr">
        <is>
          <t>Konstruksi Bangunan Sipil Jalan</t>
        </is>
      </c>
      <c r="N215" t="inlineStr">
        <is>
          <t>K</t>
        </is>
      </c>
      <c r="O215" t="inlineStr">
        <is>
          <t>20230426</t>
        </is>
      </c>
      <c r="P215" t="inlineStr">
        <is>
          <t>Nusa Tenggara Timur</t>
        </is>
      </c>
      <c r="Q215" t="inlineStr"/>
    </row>
    <row r="216">
      <c r="A216" t="inlineStr">
        <is>
          <t>WIRATHA JASA</t>
        </is>
      </c>
      <c r="B216" t="inlineStr">
        <is>
          <t>Kab. Indramayu</t>
        </is>
      </c>
      <c r="C216" t="inlineStr">
        <is>
          <t>081312008232</t>
        </is>
      </c>
      <c r="D216" t="inlineStr">
        <is>
          <t>wirathajasa.cv@yahoo.com</t>
        </is>
      </c>
      <c r="E216" t="inlineStr">
        <is>
          <t>https://lpjk.pu.go.id/search-badan-usaha-detail/NG5PaVFSYXBrdzJSSk5pZjFsQ25zZz09</t>
        </is>
      </c>
      <c r="F216" t="n">
        <v>4</v>
      </c>
      <c r="G216" t="inlineStr">
        <is>
          <t>BS002, BS004</t>
        </is>
      </c>
      <c r="H216" t="inlineStr">
        <is>
          <t>25 Mei 1993</t>
        </is>
      </c>
      <c r="I216" s="2" t="n">
        <v>46237</v>
      </c>
      <c r="J216" t="inlineStr">
        <is>
          <t>Disetujui</t>
        </is>
      </c>
      <c r="K216" t="n">
        <v>30</v>
      </c>
      <c r="L216" t="inlineStr">
        <is>
          <t>3 Agustus 2026</t>
        </is>
      </c>
      <c r="M216" t="inlineStr">
        <is>
          <t>Bangunan Sipil Jembatan, Jalan Layang, Fly Over, dan Underpass, Konstruksi Jaringan Irigasi dan Drainase</t>
        </is>
      </c>
      <c r="N216" t="inlineStr">
        <is>
          <t>K</t>
        </is>
      </c>
      <c r="O216" t="inlineStr">
        <is>
          <t>20230731</t>
        </is>
      </c>
      <c r="P216" t="inlineStr">
        <is>
          <t>Jawa Barat</t>
        </is>
      </c>
      <c r="Q216" t="inlineStr"/>
    </row>
    <row r="217">
      <c r="A217" t="inlineStr">
        <is>
          <t>YANARI PUTRA</t>
        </is>
      </c>
      <c r="B217" t="inlineStr">
        <is>
          <t>Kab. Serang</t>
        </is>
      </c>
      <c r="C217" t="inlineStr">
        <is>
          <t>087877333133</t>
        </is>
      </c>
      <c r="D217" t="inlineStr">
        <is>
          <t>putrayanari@yahoo.com</t>
        </is>
      </c>
      <c r="E217" t="inlineStr">
        <is>
          <t>https://lpjk.pu.go.id/search-badan-usaha-detail/RkNCMnpxWGtFQkVVbkFiY0NscTladz09</t>
        </is>
      </c>
      <c r="F217" t="n">
        <v>1</v>
      </c>
      <c r="G217" t="inlineStr">
        <is>
          <t>PB009</t>
        </is>
      </c>
      <c r="H217" t="inlineStr">
        <is>
          <t>18 April 2000</t>
        </is>
      </c>
      <c r="I217" s="2" t="n">
        <v>46237</v>
      </c>
      <c r="J217" t="inlineStr">
        <is>
          <t>Pencabutan</t>
        </is>
      </c>
      <c r="K217" t="n">
        <v>30</v>
      </c>
      <c r="L217" t="inlineStr">
        <is>
          <t>3 Agustus 2026</t>
        </is>
      </c>
      <c r="M217" t="inlineStr">
        <is>
          <t>Pembersihan dan Perapihan Bangunan Gedung dan/atau Bangunan Sipil</t>
        </is>
      </c>
      <c r="N217" t="inlineStr">
        <is>
          <t>Spesialis</t>
        </is>
      </c>
      <c r="O217" t="inlineStr">
        <is>
          <t>20230804</t>
        </is>
      </c>
      <c r="P217" t="inlineStr">
        <is>
          <t>Banten</t>
        </is>
      </c>
      <c r="Q217" t="inlineStr"/>
    </row>
    <row r="218">
      <c r="A218" t="inlineStr">
        <is>
          <t>ZONA MULTI KARYA</t>
        </is>
      </c>
      <c r="B218" t="inlineStr">
        <is>
          <t>Kab. Tangerang</t>
        </is>
      </c>
      <c r="C218" t="inlineStr">
        <is>
          <t>085880729148</t>
        </is>
      </c>
      <c r="D218" t="inlineStr">
        <is>
          <t>zona.multikarya18@gmail.com</t>
        </is>
      </c>
      <c r="E218" t="inlineStr">
        <is>
          <t>https://lpjk.pu.go.id/search-badan-usaha-detail/WFk0YldHTmNTbUI1M2JGMzhma1JYZz09</t>
        </is>
      </c>
      <c r="F218" t="n">
        <v>1</v>
      </c>
      <c r="G218" t="inlineStr">
        <is>
          <t>BS004</t>
        </is>
      </c>
      <c r="H218" t="inlineStr">
        <is>
          <t>19 Mei 2023</t>
        </is>
      </c>
      <c r="I218" s="2" t="n">
        <v>46237</v>
      </c>
      <c r="J218" t="inlineStr">
        <is>
          <t>Disetujui</t>
        </is>
      </c>
      <c r="K218" t="n">
        <v>30</v>
      </c>
      <c r="L218" t="inlineStr">
        <is>
          <t>3 Agustus 2026</t>
        </is>
      </c>
      <c r="M218" t="inlineStr">
        <is>
          <t>Konstruksi Jaringan Irigasi dan Drainase</t>
        </is>
      </c>
      <c r="N218" t="inlineStr">
        <is>
          <t>K</t>
        </is>
      </c>
      <c r="O218" t="inlineStr">
        <is>
          <t>20230713</t>
        </is>
      </c>
      <c r="P218" t="inlineStr">
        <is>
          <t>Banten</t>
        </is>
      </c>
      <c r="Q2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2026-07-03T10:15:28Z</dcterms:created>
  <dcterms:modified xsi:type="dcterms:W3CDTF">2026-07-03T10:15:28Z</dcterms:modified>
</cp:coreProperties>
</file>