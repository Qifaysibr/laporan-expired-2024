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6"/>
  <sheetViews>
    <sheetView workbookViewId="0">
      <selection activeCell="A1" sqref="A1"/>
    </sheetView>
  </sheetViews>
  <sheetFormatPr baseColWidth="8" defaultRowHeight="15"/>
  <cols>
    <col width="41" customWidth="1" min="1" max="1"/>
    <col width="27" customWidth="1" min="2" max="2"/>
    <col width="15" customWidth="1" min="3" max="3"/>
    <col width="42"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ALPHA PRIMA PUTRA</t>
        </is>
      </c>
      <c r="B2" t="inlineStr">
        <is>
          <t>Kab. Bekasi</t>
        </is>
      </c>
      <c r="C2" t="inlineStr">
        <is>
          <t>0811112651</t>
        </is>
      </c>
      <c r="D2" t="inlineStr">
        <is>
          <t>office@ptalphaprima.co.id</t>
        </is>
      </c>
      <c r="E2" t="inlineStr">
        <is>
          <t>https://lpjk.pu.go.id/search-badan-usaha-detail/em13R1U2eVFJdjFBWVhXRnpIajBmUT09</t>
        </is>
      </c>
      <c r="F2" t="n">
        <v>2</v>
      </c>
      <c r="G2" t="inlineStr">
        <is>
          <t>BG003, BG009</t>
        </is>
      </c>
      <c r="H2" t="inlineStr">
        <is>
          <t>13 Desember 2023</t>
        </is>
      </c>
      <c r="I2" s="2" t="n">
        <v>46370</v>
      </c>
      <c r="J2" t="inlineStr">
        <is>
          <t>Pencabutan</t>
        </is>
      </c>
      <c r="K2" t="n">
        <v>87</v>
      </c>
      <c r="L2" t="inlineStr">
        <is>
          <t>14 Desember 2026</t>
        </is>
      </c>
      <c r="M2" t="inlineStr">
        <is>
          <t>Konstruksi Gedung Industri, Konstruksi Gedung Lainnya</t>
        </is>
      </c>
      <c r="N2" t="inlineStr">
        <is>
          <t>K</t>
        </is>
      </c>
      <c r="O2" t="inlineStr">
        <is>
          <t>20231213</t>
        </is>
      </c>
      <c r="P2" t="inlineStr">
        <is>
          <t>Jawa Barat</t>
        </is>
      </c>
      <c r="Q2" s="3">
        <f>HYPERLINK("https://wa.me/62811112651?text=Selamat siang Bapak/Ibu pimpinan ALPHA PRIMA PUTRA,%0A%0ASemoga Bapak/Ibu dalam keadaan baik.%0ABerdasarkan data LPJK, masa berlaku SBU perusahaan Bapak/Ibu akan berakhir sekitar 3 bulan lagi (pada 14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BINA MUDA SEJAHTERA</t>
        </is>
      </c>
      <c r="B3" t="inlineStr">
        <is>
          <t>Kota Depok</t>
        </is>
      </c>
      <c r="C3" t="inlineStr">
        <is>
          <t>02122779859</t>
        </is>
      </c>
      <c r="D3" t="inlineStr">
        <is>
          <t>ptbima2@gmail.com</t>
        </is>
      </c>
      <c r="E3" t="inlineStr">
        <is>
          <t>https://lpjk.pu.go.id/search-badan-usaha-detail/dUwzazBpSDB3TGlOdCs5d2k0aTBvczIwaE4rWndxNGNUZk1qNXpSaFdvaz0</t>
        </is>
      </c>
      <c r="F3" t="n">
        <v>1</v>
      </c>
      <c r="G3" t="inlineStr">
        <is>
          <t>BG002</t>
        </is>
      </c>
      <c r="H3" t="inlineStr">
        <is>
          <t>16 Agustus 2021</t>
        </is>
      </c>
      <c r="I3" s="2" t="n">
        <v>46370</v>
      </c>
      <c r="J3" t="inlineStr">
        <is>
          <t>Disetujui</t>
        </is>
      </c>
      <c r="K3" t="n">
        <v>87</v>
      </c>
      <c r="L3" t="inlineStr">
        <is>
          <t>14 Desember 2026</t>
        </is>
      </c>
      <c r="M3" t="inlineStr">
        <is>
          <t>Konstruksi Gedung Perkantoran</t>
        </is>
      </c>
      <c r="N3" t="inlineStr">
        <is>
          <t>K</t>
        </is>
      </c>
      <c r="O3" t="inlineStr">
        <is>
          <t>20231214</t>
        </is>
      </c>
      <c r="P3" t="inlineStr">
        <is>
          <t>Jawa Barat</t>
        </is>
      </c>
      <c r="Q3" t="inlineStr"/>
    </row>
    <row r="4">
      <c r="A4" t="inlineStr">
        <is>
          <t>BUMI CAHAYA UNGGUL</t>
        </is>
      </c>
      <c r="B4" t="inlineStr">
        <is>
          <t>Kota Adm. Jakarta Timur</t>
        </is>
      </c>
      <c r="C4" t="inlineStr">
        <is>
          <t>02129558400</t>
        </is>
      </c>
      <c r="D4" t="inlineStr">
        <is>
          <t>info@bcupt.id</t>
        </is>
      </c>
      <c r="E4" t="inlineStr">
        <is>
          <t>https://lpjk.pu.go.id/search-badan-usaha-detail/bVhzNEdkY3FIZ1ZUbWZWQmNubWFHdz09</t>
        </is>
      </c>
      <c r="F4" t="n">
        <v>1</v>
      </c>
      <c r="G4" t="inlineStr">
        <is>
          <t>IN004</t>
        </is>
      </c>
      <c r="H4" t="inlineStr">
        <is>
          <t>29 September 1984</t>
        </is>
      </c>
      <c r="I4" s="2" t="n">
        <v>46370</v>
      </c>
      <c r="J4" t="inlineStr">
        <is>
          <t>Pembekuan</t>
        </is>
      </c>
      <c r="K4" t="n">
        <v>87</v>
      </c>
      <c r="L4" t="inlineStr">
        <is>
          <t>14 Desember 2026</t>
        </is>
      </c>
      <c r="M4" t="inlineStr">
        <is>
          <t>Instalasi Minyak dan Gas</t>
        </is>
      </c>
      <c r="N4" t="inlineStr">
        <is>
          <t>Spesialis</t>
        </is>
      </c>
      <c r="O4" t="inlineStr">
        <is>
          <t>20231206</t>
        </is>
      </c>
      <c r="P4" t="inlineStr">
        <is>
          <t>DKI Jakarta</t>
        </is>
      </c>
      <c r="Q4" t="inlineStr"/>
    </row>
    <row r="5">
      <c r="A5" t="inlineStr">
        <is>
          <t>CAHAYA SURYA IMANI</t>
        </is>
      </c>
      <c r="B5" t="inlineStr">
        <is>
          <t>Kab. Bekasi</t>
        </is>
      </c>
      <c r="C5" t="inlineStr">
        <is>
          <t>081219070622</t>
        </is>
      </c>
      <c r="D5" t="inlineStr">
        <is>
          <t>cvcahayasuryaimani@gmail.com</t>
        </is>
      </c>
      <c r="E5" t="inlineStr">
        <is>
          <t>https://lpjk.pu.go.id/search-badan-usaha-detail/THNsYVk1dExWeUFiTFlaM3J3RkpVQT09</t>
        </is>
      </c>
      <c r="F5" t="n">
        <v>5</v>
      </c>
      <c r="G5" t="inlineStr">
        <is>
          <t>BG006, BG008, BG009, BS001, BS004</t>
        </is>
      </c>
      <c r="H5" t="inlineStr">
        <is>
          <t>6 September 2016</t>
        </is>
      </c>
      <c r="I5" s="2" t="n">
        <v>46370</v>
      </c>
      <c r="J5" t="inlineStr">
        <is>
          <t>Disetujui</t>
        </is>
      </c>
      <c r="K5" t="n">
        <v>87</v>
      </c>
      <c r="L5" t="inlineStr">
        <is>
          <t>14 Desember 2026</t>
        </is>
      </c>
      <c r="M5" t="inlineStr">
        <is>
          <t>Konstruksi Bangunan Sipil Jalan, Konstruksi Gedung Lainnya, Konstruksi Gedung Pendidikan, Konstruksi Gedung Tempat Hiburan dan Olahraga, Konstruksi Jaringan Irigasi dan Drainase</t>
        </is>
      </c>
      <c r="N5" t="inlineStr">
        <is>
          <t>K</t>
        </is>
      </c>
      <c r="O5" t="inlineStr">
        <is>
          <t>20231214</t>
        </is>
      </c>
      <c r="P5" t="inlineStr">
        <is>
          <t>Jawa Barat</t>
        </is>
      </c>
      <c r="Q5" s="3">
        <f>HYPERLINK("https://wa.me/6281219070622?text=Selamat siang Bapak/Ibu pimpinan CAHAYA SURYA IMANI,%0A%0ASemoga Bapak/Ibu dalam keadaan baik.%0ABerdasarkan data LPJK, masa berlaku SBU perusahaan Bapak/Ibu akan berakhir sekitar 3 bulan lagi (pada 14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CIPTA PERKASA PRIMA</t>
        </is>
      </c>
      <c r="B6" t="inlineStr">
        <is>
          <t>Kota Adm. Jakarta Timur</t>
        </is>
      </c>
      <c r="C6" t="inlineStr">
        <is>
          <t>08111471569</t>
        </is>
      </c>
      <c r="D6" t="inlineStr">
        <is>
          <t>ptciptaperkasaprima@yahoo.co.id</t>
        </is>
      </c>
      <c r="E6" t="inlineStr">
        <is>
          <t>https://lpjk.pu.go.id/search-badan-usaha-detail/dm9jeVN5QytaSkVXcUN0RFBKa2FHdz09</t>
        </is>
      </c>
      <c r="F6" t="n">
        <v>2</v>
      </c>
      <c r="G6" t="inlineStr">
        <is>
          <t>BS016</t>
        </is>
      </c>
      <c r="H6" t="inlineStr">
        <is>
          <t>25 Januari 2006</t>
        </is>
      </c>
      <c r="I6" s="2" t="n">
        <v>46370</v>
      </c>
      <c r="J6" t="inlineStr">
        <is>
          <t>Disetujui</t>
        </is>
      </c>
      <c r="K6" t="n">
        <v>87</v>
      </c>
      <c r="L6" t="inlineStr">
        <is>
          <t>14 Desember 2026</t>
        </is>
      </c>
      <c r="M6" t="inlineStr">
        <is>
          <t>Konstruksi Bangunan Sipil Fasilitas Olah Raga</t>
        </is>
      </c>
      <c r="N6" t="inlineStr">
        <is>
          <t>M</t>
        </is>
      </c>
      <c r="O6" t="inlineStr">
        <is>
          <t>20231128</t>
        </is>
      </c>
      <c r="P6" t="inlineStr">
        <is>
          <t>DKI Jakarta</t>
        </is>
      </c>
      <c r="Q6" s="3">
        <f>HYPERLINK("https://wa.me/628111471569?text=Selamat siang Bapak/Ibu pimpinan CIPTA PERKASA PRIMA,%0A%0ASemoga Bapak/Ibu dalam keadaan baik.%0ABerdasarkan data LPJK, masa berlaku SBU perusahaan Bapak/Ibu akan berakhir sekitar 3 bulan lagi (pada 14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MITRA MINA SAN</t>
        </is>
      </c>
      <c r="B7" t="inlineStr">
        <is>
          <t>Kab. Bekasi</t>
        </is>
      </c>
      <c r="C7" t="inlineStr">
        <is>
          <t>081315146477</t>
        </is>
      </c>
      <c r="D7" t="inlineStr">
        <is>
          <t>mitra777@mitraminasan.com</t>
        </is>
      </c>
      <c r="E7" t="inlineStr">
        <is>
          <t>https://lpjk.pu.go.id/search-badan-usaha-detail/WjlZZzBkSTZWdFhWaDRRMFdTbXdXUT09</t>
        </is>
      </c>
      <c r="F7" t="n">
        <v>1</v>
      </c>
      <c r="G7" t="inlineStr">
        <is>
          <t>KK016</t>
        </is>
      </c>
      <c r="H7" t="inlineStr">
        <is>
          <t>9 April 2015</t>
        </is>
      </c>
      <c r="I7" s="2" t="n">
        <v>46370</v>
      </c>
      <c r="J7" t="inlineStr">
        <is>
          <t>Disetujui</t>
        </is>
      </c>
      <c r="K7" t="n">
        <v>87</v>
      </c>
      <c r="L7" t="inlineStr">
        <is>
          <t>14 Desember 2026</t>
        </is>
      </c>
      <c r="M7" t="inlineStr">
        <is>
          <t>Pemasangan Kerangka Baja</t>
        </is>
      </c>
      <c r="N7" t="inlineStr">
        <is>
          <t>Spesialis</t>
        </is>
      </c>
      <c r="O7" t="inlineStr">
        <is>
          <t>20231129</t>
        </is>
      </c>
      <c r="P7" t="inlineStr">
        <is>
          <t>Jawa Barat</t>
        </is>
      </c>
      <c r="Q7" s="3">
        <f>HYPERLINK("https://wa.me/6281315146477?text=Selamat siang Bapak/Ibu pimpinan MITRA MINA SAN,%0A%0ASemoga Bapak/Ibu dalam keadaan baik.%0ABerdasarkan data LPJK, masa berlaku SBU perusahaan Bapak/Ibu akan berakhir sekitar 3 bulan lagi (pada 14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MITRA SADORA PRATAMA</t>
        </is>
      </c>
      <c r="B8" t="inlineStr">
        <is>
          <t>Kota Bekasi</t>
        </is>
      </c>
      <c r="C8" t="inlineStr">
        <is>
          <t>0218482349</t>
        </is>
      </c>
      <c r="D8" t="inlineStr">
        <is>
          <t>jonny_dof@yahoo.co.id</t>
        </is>
      </c>
      <c r="E8" t="inlineStr">
        <is>
          <t>https://lpjk.pu.go.id/search-badan-usaha-detail/bWVvcnNOWjU4U0EzaHN1WXBsY0ZXZz09</t>
        </is>
      </c>
      <c r="F8" t="n">
        <v>1</v>
      </c>
      <c r="G8" t="inlineStr">
        <is>
          <t>IN007</t>
        </is>
      </c>
      <c r="H8" t="inlineStr">
        <is>
          <t>25 Juli 2013</t>
        </is>
      </c>
      <c r="I8" s="2" t="n">
        <v>46370</v>
      </c>
      <c r="J8" t="inlineStr">
        <is>
          <t>Pembekuan</t>
        </is>
      </c>
      <c r="K8" t="n">
        <v>87</v>
      </c>
      <c r="L8" t="inlineStr">
        <is>
          <t>14 Desember 2026</t>
        </is>
      </c>
      <c r="M8" t="inlineStr">
        <is>
          <t>Instalasi Saluran Air (Plambing)</t>
        </is>
      </c>
      <c r="N8" t="inlineStr">
        <is>
          <t>Spesialis</t>
        </is>
      </c>
      <c r="O8" t="inlineStr">
        <is>
          <t>20231214</t>
        </is>
      </c>
      <c r="P8" t="inlineStr">
        <is>
          <t>Jawa Barat</t>
        </is>
      </c>
      <c r="Q8" t="inlineStr"/>
    </row>
    <row r="9">
      <c r="A9" t="inlineStr">
        <is>
          <t>MUARA LIMA PERKASA</t>
        </is>
      </c>
      <c r="B9" t="inlineStr">
        <is>
          <t>Kota Depok</t>
        </is>
      </c>
      <c r="C9" t="inlineStr">
        <is>
          <t>081285919128</t>
        </is>
      </c>
      <c r="D9" t="inlineStr">
        <is>
          <t>muaralimaperkasa@gmail.com</t>
        </is>
      </c>
      <c r="E9" t="inlineStr">
        <is>
          <t>https://lpjk.pu.go.id/search-badan-usaha-detail/MXF5cmt6TjFFYXZDYVlJcXBsUi9Jdz09</t>
        </is>
      </c>
      <c r="F9" t="n">
        <v>1</v>
      </c>
      <c r="G9" t="inlineStr">
        <is>
          <t>BG001</t>
        </is>
      </c>
      <c r="H9" t="inlineStr">
        <is>
          <t>19 September 2023</t>
        </is>
      </c>
      <c r="I9" s="2" t="n">
        <v>46370</v>
      </c>
      <c r="J9" t="inlineStr">
        <is>
          <t>Pencabutan</t>
        </is>
      </c>
      <c r="K9" t="n">
        <v>87</v>
      </c>
      <c r="L9" t="inlineStr">
        <is>
          <t>14 Desember 2026</t>
        </is>
      </c>
      <c r="M9" t="inlineStr">
        <is>
          <t>Konstruksi Gedung Hunian</t>
        </is>
      </c>
      <c r="N9" t="inlineStr">
        <is>
          <t>K</t>
        </is>
      </c>
      <c r="O9" t="inlineStr">
        <is>
          <t>20231211</t>
        </is>
      </c>
      <c r="P9" t="inlineStr">
        <is>
          <t>Jawa Barat</t>
        </is>
      </c>
      <c r="Q9" s="3">
        <f>HYPERLINK("https://wa.me/6281285919128?text=Selamat siang Bapak/Ibu pimpinan MUARA LIMA PERKASA,%0A%0ASemoga Bapak/Ibu dalam keadaan baik.%0ABerdasarkan data LPJK, masa berlaku SBU perusahaan Bapak/Ibu akan berakhir sekitar 3 bulan lagi (pada 14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MUTIARA KARYA UTAMA</t>
        </is>
      </c>
      <c r="B10" t="inlineStr">
        <is>
          <t>Kota Adm. Jakarta Timur</t>
        </is>
      </c>
      <c r="C10" t="inlineStr">
        <is>
          <t>0214890787</t>
        </is>
      </c>
      <c r="D10" t="inlineStr">
        <is>
          <t>cv.mutiara_karyautama@yahoo.com</t>
        </is>
      </c>
      <c r="E10" t="inlineStr">
        <is>
          <t>https://lpjk.pu.go.id/search-badan-usaha-detail/SXBZRGhRUW92QjlWWDlxZWFOMVRMUT09</t>
        </is>
      </c>
      <c r="F10" t="n">
        <v>2</v>
      </c>
      <c r="G10" t="inlineStr">
        <is>
          <t>BS002</t>
        </is>
      </c>
      <c r="H10" t="inlineStr">
        <is>
          <t>10 Maret 2009</t>
        </is>
      </c>
      <c r="I10" s="2" t="n">
        <v>46370</v>
      </c>
      <c r="J10" t="inlineStr">
        <is>
          <t>Disetujui</t>
        </is>
      </c>
      <c r="K10" t="n">
        <v>87</v>
      </c>
      <c r="L10" t="inlineStr">
        <is>
          <t>14 Desember 2026</t>
        </is>
      </c>
      <c r="M10" t="inlineStr">
        <is>
          <t>Bangunan Sipil Jembatan, Jalan Layang, Fly Over, dan Underpass</t>
        </is>
      </c>
      <c r="N10" t="inlineStr">
        <is>
          <t>K</t>
        </is>
      </c>
      <c r="O10" t="inlineStr">
        <is>
          <t>20231208</t>
        </is>
      </c>
      <c r="P10" t="inlineStr">
        <is>
          <t>DKI Jakarta</t>
        </is>
      </c>
      <c r="Q10" t="inlineStr"/>
    </row>
    <row r="11">
      <c r="A11" t="inlineStr">
        <is>
          <t>SAVA BINTANG PADANG</t>
        </is>
      </c>
      <c r="B11" t="inlineStr">
        <is>
          <t>Kota Bekasi</t>
        </is>
      </c>
      <c r="C11" t="inlineStr">
        <is>
          <t>02182744783</t>
        </is>
      </c>
      <c r="D11" t="inlineStr">
        <is>
          <t>ptsavabintangpadang@gmail.com</t>
        </is>
      </c>
      <c r="E11" t="inlineStr">
        <is>
          <t>https://lpjk.pu.go.id/search-badan-usaha-detail/TG1ZNHNydWV0bVRhZjVYaFRBeGVZdz09</t>
        </is>
      </c>
      <c r="F11" t="n">
        <v>5</v>
      </c>
      <c r="G11" t="inlineStr">
        <is>
          <t>AL001, AL002, AL003, AL004, RK002</t>
        </is>
      </c>
      <c r="H11" t="inlineStr">
        <is>
          <t>4 Januari 2012</t>
        </is>
      </c>
      <c r="I11" s="2" t="n">
        <v>46370</v>
      </c>
      <c r="J11" t="inlineStr">
        <is>
          <t>Disetujui</t>
        </is>
      </c>
      <c r="K11" t="n">
        <v>87</v>
      </c>
      <c r="L11" t="inlineStr">
        <is>
          <t>14 Desember 2026</t>
        </is>
      </c>
      <c r="M11" t="inlineStr">
        <is>
          <t>Jasa Pengembangan Lingkungan Bangunan dan Lanskap, Jasa Pengembangan Pemanfaatan Ruang, Jasa Pengembangan Perkotaan, Jasa Pengembangan Wilayah, Jasa Rekayasa Pekerjaan Teknik Sipil Sumber Daya Air</t>
        </is>
      </c>
      <c r="N11" t="inlineStr">
        <is>
          <t>K</t>
        </is>
      </c>
      <c r="O11" t="inlineStr">
        <is>
          <t>20231130, 20231206, 20231207</t>
        </is>
      </c>
      <c r="P11" t="inlineStr">
        <is>
          <t>Jawa Barat</t>
        </is>
      </c>
      <c r="Q11" t="inlineStr"/>
    </row>
    <row r="12">
      <c r="A12" t="inlineStr">
        <is>
          <t>SIFA JAYA LESTARI</t>
        </is>
      </c>
      <c r="B12" t="inlineStr">
        <is>
          <t>Kota Bekasi</t>
        </is>
      </c>
      <c r="C12" t="inlineStr">
        <is>
          <t>081395743631</t>
        </is>
      </c>
      <c r="D12" t="inlineStr">
        <is>
          <t>sifajayalestari@gmail.com</t>
        </is>
      </c>
      <c r="E12" t="inlineStr">
        <is>
          <t>https://lpjk.pu.go.id/search-badan-usaha-detail/RGFZbGU0OFBaK3l0WDB0TlN1RCsyZz09</t>
        </is>
      </c>
      <c r="F12" t="n">
        <v>1</v>
      </c>
      <c r="G12" t="inlineStr">
        <is>
          <t>BG008</t>
        </is>
      </c>
      <c r="H12" t="inlineStr">
        <is>
          <t>23 Agustus 2023</t>
        </is>
      </c>
      <c r="I12" s="2" t="n">
        <v>46370</v>
      </c>
      <c r="J12" t="inlineStr">
        <is>
          <t>Disetujui</t>
        </is>
      </c>
      <c r="K12" t="n">
        <v>87</v>
      </c>
      <c r="L12" t="inlineStr">
        <is>
          <t>14 Desember 2026</t>
        </is>
      </c>
      <c r="M12" t="inlineStr">
        <is>
          <t>Konstruksi Gedung Tempat Hiburan dan Olahraga</t>
        </is>
      </c>
      <c r="N12" t="inlineStr">
        <is>
          <t>K</t>
        </is>
      </c>
      <c r="O12" t="inlineStr">
        <is>
          <t>20231212</t>
        </is>
      </c>
      <c r="P12" t="inlineStr">
        <is>
          <t>Jawa Barat</t>
        </is>
      </c>
      <c r="Q12" s="3">
        <f>HYPERLINK("https://wa.me/6281395743631?text=Selamat siang Bapak/Ibu pimpinan SIFA JAYA LESTARI,%0A%0ASemoga Bapak/Ibu dalam keadaan baik.%0ABerdasarkan data LPJK, masa berlaku SBU perusahaan Bapak/Ibu akan berakhir sekitar 3 bulan lagi (pada 14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SULTAN</t>
        </is>
      </c>
      <c r="B13" t="inlineStr">
        <is>
          <t>Kota Bogor</t>
        </is>
      </c>
      <c r="C13" t="inlineStr">
        <is>
          <t>087721877844</t>
        </is>
      </c>
      <c r="D13" t="inlineStr">
        <is>
          <t>cvsultan294@yahoo.com</t>
        </is>
      </c>
      <c r="E13" t="inlineStr">
        <is>
          <t>https://lpjk.pu.go.id/search-badan-usaha-detail/Tk5YZk5QUWZHU2V1Nm9ZNmI1TytvZz09</t>
        </is>
      </c>
      <c r="F13" t="n">
        <v>3</v>
      </c>
      <c r="G13" t="inlineStr">
        <is>
          <t>BS001, BS004, BS010</t>
        </is>
      </c>
      <c r="H13" t="inlineStr">
        <is>
          <t>6 Februari 2015</t>
        </is>
      </c>
      <c r="I13" s="2" t="n">
        <v>46370</v>
      </c>
      <c r="J13" t="inlineStr">
        <is>
          <t>Disetujui</t>
        </is>
      </c>
      <c r="K13" t="n">
        <v>87</v>
      </c>
      <c r="L13" t="inlineStr">
        <is>
          <t>14 Desember 2026</t>
        </is>
      </c>
      <c r="M13" t="inlineStr">
        <is>
          <t>Konstruksi Bangunan Prasarana Sumber Daya Air, Konstruksi Bangunan Sipil Jalan, Konstruksi Jaringan Irigasi dan Drainase</t>
        </is>
      </c>
      <c r="N13" t="inlineStr">
        <is>
          <t>K</t>
        </is>
      </c>
      <c r="O13" t="inlineStr">
        <is>
          <t>20231208, 20231214</t>
        </is>
      </c>
      <c r="P13" t="inlineStr">
        <is>
          <t>Jawa Barat</t>
        </is>
      </c>
      <c r="Q13" s="3">
        <f>HYPERLINK("https://wa.me/6287721877844?text=Selamat siang Bapak/Ibu pimpinan SULTAN,%0A%0ASemoga Bapak/Ibu dalam keadaan baik.%0ABerdasarkan data LPJK, masa berlaku SBU perusahaan Bapak/Ibu akan berakhir sekitar 3 bulan lagi (pada 14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SURYA ANUGRAH JAYA ABADI</t>
        </is>
      </c>
      <c r="B14" t="inlineStr">
        <is>
          <t>Kota Bekasi</t>
        </is>
      </c>
      <c r="C14" t="inlineStr">
        <is>
          <t>N/A</t>
        </is>
      </c>
      <c r="D14" t="inlineStr">
        <is>
          <t>N/A</t>
        </is>
      </c>
      <c r="E14" t="inlineStr">
        <is>
          <t>https://lpjk.pu.go.id/search-badan-usaha-detail/VjR5SlBWVmxjdFI0K2FIaEJsYytHUT09</t>
        </is>
      </c>
      <c r="F14" t="n">
        <v>2</v>
      </c>
      <c r="G14" t="inlineStr">
        <is>
          <t>BG002, BS001</t>
        </is>
      </c>
      <c r="H14" t="inlineStr"/>
      <c r="I14" s="2" t="n">
        <v>46370</v>
      </c>
      <c r="J14" t="inlineStr">
        <is>
          <t>Pencabutan</t>
        </is>
      </c>
      <c r="K14" t="n">
        <v>87</v>
      </c>
      <c r="L14" t="inlineStr">
        <is>
          <t>14 Desember 2026</t>
        </is>
      </c>
      <c r="M14" t="inlineStr">
        <is>
          <t>Konstruksi Bangunan Sipil Jalan, Konstruksi Gedung Perkantoran</t>
        </is>
      </c>
      <c r="N14" t="inlineStr">
        <is>
          <t>K</t>
        </is>
      </c>
      <c r="O14" t="inlineStr">
        <is>
          <t>20231208, 20231218</t>
        </is>
      </c>
      <c r="P14" t="inlineStr">
        <is>
          <t>Jawa Barat</t>
        </is>
      </c>
      <c r="Q14" t="inlineStr"/>
    </row>
    <row r="15">
      <c r="A15" t="inlineStr">
        <is>
          <t>ABHITAMA EKA INTI PERSADA</t>
        </is>
      </c>
      <c r="B15" t="inlineStr">
        <is>
          <t>Kota Denpasar</t>
        </is>
      </c>
      <c r="C15" t="inlineStr">
        <is>
          <t>08573857583</t>
        </is>
      </c>
      <c r="D15" t="inlineStr">
        <is>
          <t>ptabhitamaekaintipersada@gmail.com</t>
        </is>
      </c>
      <c r="E15" t="inlineStr">
        <is>
          <t>https://lpjk.pu.go.id/search-badan-usaha-detail/Qi9DdFhFMjFRekF4MllJV1lhSG82QT09</t>
        </is>
      </c>
      <c r="F15" t="n">
        <v>5</v>
      </c>
      <c r="G15" t="inlineStr">
        <is>
          <t>BG004, BG005, BG006, BG007, BG009</t>
        </is>
      </c>
      <c r="H15" t="inlineStr">
        <is>
          <t>30 November 2023</t>
        </is>
      </c>
      <c r="I15" s="2" t="n">
        <v>46370</v>
      </c>
      <c r="J15" t="inlineStr">
        <is>
          <t>Disetujui</t>
        </is>
      </c>
      <c r="K15" t="n">
        <v>87</v>
      </c>
      <c r="L15" t="inlineStr">
        <is>
          <t>14 Desember 2026</t>
        </is>
      </c>
      <c r="M15" t="inlineStr">
        <is>
          <t>Konstruksi Gedung Kesehatan, Konstruksi Gedung Lainnya, Konstruksi Gedung Pendidikan, Konstruksi Gedung Penginapan, Konstruksi Gedung Perbelanjaan</t>
        </is>
      </c>
      <c r="N15" t="inlineStr">
        <is>
          <t>K</t>
        </is>
      </c>
      <c r="O15" t="inlineStr">
        <is>
          <t>20231212</t>
        </is>
      </c>
      <c r="P15" t="inlineStr">
        <is>
          <t>Bali</t>
        </is>
      </c>
      <c r="Q15" t="inlineStr"/>
    </row>
    <row r="16">
      <c r="A16" t="inlineStr">
        <is>
          <t>ADHI PERSADA GEDUNG</t>
        </is>
      </c>
      <c r="B16" t="inlineStr">
        <is>
          <t>Kota Adm. Jakarta Selatan</t>
        </is>
      </c>
      <c r="C16" t="inlineStr">
        <is>
          <t>02122783888</t>
        </is>
      </c>
      <c r="D16" t="inlineStr">
        <is>
          <t>estimating@adhigedung.co.id</t>
        </is>
      </c>
      <c r="E16" t="inlineStr">
        <is>
          <t>https://lpjk.pu.go.id/search-badan-usaha-detail/QklVNEhrSEJVTVZCWFVxaUFSeW1tenRaL1pJbDVkUjZFRzNaTGY3aTlrcz0</t>
        </is>
      </c>
      <c r="F16" t="n">
        <v>1</v>
      </c>
      <c r="G16" t="inlineStr">
        <is>
          <t>GT002</t>
        </is>
      </c>
      <c r="H16" t="inlineStr">
        <is>
          <t>9 Desember 2025</t>
        </is>
      </c>
      <c r="I16" s="2" t="n">
        <v>46370</v>
      </c>
      <c r="J16" t="inlineStr">
        <is>
          <t>Disetujui</t>
        </is>
      </c>
      <c r="K16" t="n">
        <v>87</v>
      </c>
      <c r="L16" t="inlineStr">
        <is>
          <t>14 Desember 2026</t>
        </is>
      </c>
      <c r="M16" t="inlineStr">
        <is>
          <t>Konstruksi Gedung Perkantoran</t>
        </is>
      </c>
      <c r="N16" t="inlineStr">
        <is>
          <t>B</t>
        </is>
      </c>
      <c r="O16" t="inlineStr">
        <is>
          <t>20231207</t>
        </is>
      </c>
      <c r="P16" t="inlineStr">
        <is>
          <t>DKI Jakarta</t>
        </is>
      </c>
      <c r="Q16" t="inlineStr"/>
    </row>
    <row r="17">
      <c r="A17" t="inlineStr">
        <is>
          <t>AGUNG BAYU PERDANA</t>
        </is>
      </c>
      <c r="B17" t="inlineStr">
        <is>
          <t>Kab. Kepulauan Meranti</t>
        </is>
      </c>
      <c r="C17" t="inlineStr">
        <is>
          <t>082315309999</t>
        </is>
      </c>
      <c r="D17" t="inlineStr">
        <is>
          <t>ptagungbayuperdana@gmail.com</t>
        </is>
      </c>
      <c r="E17" t="inlineStr">
        <is>
          <t>https://lpjk.pu.go.id/search-badan-usaha-detail/VDV3ekROTW1IblJudzZTODVKMHJ2Zz09</t>
        </is>
      </c>
      <c r="F17" t="n">
        <v>6</v>
      </c>
      <c r="G17" t="inlineStr">
        <is>
          <t>BG001, BG009, BS001</t>
        </is>
      </c>
      <c r="H17" t="inlineStr">
        <is>
          <t>27 Februari 2020</t>
        </is>
      </c>
      <c r="I17" s="2" t="n">
        <v>46370</v>
      </c>
      <c r="J17" t="inlineStr">
        <is>
          <t>Disetujui</t>
        </is>
      </c>
      <c r="K17" t="n">
        <v>87</v>
      </c>
      <c r="L17" t="inlineStr">
        <is>
          <t>14 Desember 2026</t>
        </is>
      </c>
      <c r="M17" t="inlineStr">
        <is>
          <t>Konstruksi Bangunan Sipil Jalan, Konstruksi Gedung Hunian, Konstruksi Gedung Lainnya</t>
        </is>
      </c>
      <c r="N17" t="inlineStr">
        <is>
          <t>K</t>
        </is>
      </c>
      <c r="O17" t="inlineStr">
        <is>
          <t>20231211</t>
        </is>
      </c>
      <c r="P17" t="inlineStr">
        <is>
          <t>Riau</t>
        </is>
      </c>
      <c r="Q17" t="inlineStr"/>
    </row>
    <row r="18">
      <c r="A18" t="inlineStr">
        <is>
          <t>ALAM SURYA UNGGUL NUSANTARA</t>
        </is>
      </c>
      <c r="B18" t="inlineStr">
        <is>
          <t>Kota Pekanbaru</t>
        </is>
      </c>
      <c r="C18" t="inlineStr">
        <is>
          <t>082174360111</t>
        </is>
      </c>
      <c r="D18" t="inlineStr">
        <is>
          <t>klick.pt.asun@gmail.com</t>
        </is>
      </c>
      <c r="E18" t="inlineStr">
        <is>
          <t>https://lpjk.pu.go.id/search-badan-usaha-detail/ZTlFZlY5L3lHeUhGZGQxMngwUEFWZz09</t>
        </is>
      </c>
      <c r="F18" t="n">
        <v>1</v>
      </c>
      <c r="G18" t="inlineStr">
        <is>
          <t>BG002</t>
        </is>
      </c>
      <c r="H18" t="inlineStr">
        <is>
          <t>26 Maret 2014</t>
        </is>
      </c>
      <c r="I18" s="2" t="n">
        <v>46370</v>
      </c>
      <c r="J18" t="inlineStr">
        <is>
          <t>Pembekuan</t>
        </is>
      </c>
      <c r="K18" t="n">
        <v>87</v>
      </c>
      <c r="L18" t="inlineStr">
        <is>
          <t>14 Desember 2026</t>
        </is>
      </c>
      <c r="M18" t="inlineStr">
        <is>
          <t>Konstruksi Gedung Perkantoran</t>
        </is>
      </c>
      <c r="N18" t="inlineStr">
        <is>
          <t>M</t>
        </is>
      </c>
      <c r="O18" t="inlineStr">
        <is>
          <t>20231214</t>
        </is>
      </c>
      <c r="P18" t="inlineStr">
        <is>
          <t>Riau</t>
        </is>
      </c>
      <c r="Q18" t="inlineStr"/>
    </row>
    <row r="19">
      <c r="A19" t="inlineStr">
        <is>
          <t>ALEXANDRIA GLORY STAR</t>
        </is>
      </c>
      <c r="B19" t="inlineStr">
        <is>
          <t>Kota Balikpapan</t>
        </is>
      </c>
      <c r="C19" t="inlineStr">
        <is>
          <t>081350357009</t>
        </is>
      </c>
      <c r="D19" t="inlineStr">
        <is>
          <t>alexandria.glorystar@gmail.com</t>
        </is>
      </c>
      <c r="E19" t="inlineStr">
        <is>
          <t>https://lpjk.pu.go.id/search-badan-usaha-detail/YlR4dEtlU3lQNTY4RC9seDFUOTFrQT09</t>
        </is>
      </c>
      <c r="F19" t="n">
        <v>2</v>
      </c>
      <c r="G19" t="inlineStr">
        <is>
          <t>BS001</t>
        </is>
      </c>
      <c r="H19" t="inlineStr">
        <is>
          <t>25 April 2022</t>
        </is>
      </c>
      <c r="I19" s="2" t="n">
        <v>46370</v>
      </c>
      <c r="J19" t="inlineStr">
        <is>
          <t>Disetujui</t>
        </is>
      </c>
      <c r="K19" t="n">
        <v>87</v>
      </c>
      <c r="L19" t="inlineStr">
        <is>
          <t>14 Desember 2026</t>
        </is>
      </c>
      <c r="M19" t="inlineStr">
        <is>
          <t>Konstruksi Bangunan Sipil Jalan</t>
        </is>
      </c>
      <c r="N19" t="inlineStr">
        <is>
          <t>K</t>
        </is>
      </c>
      <c r="O19" t="inlineStr">
        <is>
          <t>20231211</t>
        </is>
      </c>
      <c r="P19" t="inlineStr">
        <is>
          <t>Kalimantan Timur</t>
        </is>
      </c>
      <c r="Q19" t="inlineStr"/>
    </row>
    <row r="20">
      <c r="A20" t="inlineStr">
        <is>
          <t>ANUGERAH ABADI</t>
        </is>
      </c>
      <c r="B20" t="inlineStr">
        <is>
          <t>Kab. Dompu</t>
        </is>
      </c>
      <c r="C20" t="inlineStr">
        <is>
          <t>085338079655</t>
        </is>
      </c>
      <c r="D20" t="inlineStr">
        <is>
          <t>cvanugerahabadidompu@gmail.com</t>
        </is>
      </c>
      <c r="E20" t="inlineStr">
        <is>
          <t>https://lpjk.pu.go.id/search-badan-usaha-detail/MmRJNC82dXhLNnNnL0pGY3l4M1Y1Zz09</t>
        </is>
      </c>
      <c r="F20" t="n">
        <v>1</v>
      </c>
      <c r="G20" t="inlineStr">
        <is>
          <t>BG006</t>
        </is>
      </c>
      <c r="H20" t="inlineStr">
        <is>
          <t>4 Januari 2001</t>
        </is>
      </c>
      <c r="I20" s="2" t="n">
        <v>46370</v>
      </c>
      <c r="J20" t="inlineStr">
        <is>
          <t>Disetujui</t>
        </is>
      </c>
      <c r="K20" t="n">
        <v>87</v>
      </c>
      <c r="L20" t="inlineStr">
        <is>
          <t>14 Desember 2026</t>
        </is>
      </c>
      <c r="M20" t="inlineStr">
        <is>
          <t>Konstruksi Gedung Pendidikan</t>
        </is>
      </c>
      <c r="N20" t="inlineStr">
        <is>
          <t>K</t>
        </is>
      </c>
      <c r="O20" t="inlineStr">
        <is>
          <t>20231214</t>
        </is>
      </c>
      <c r="P20" t="inlineStr">
        <is>
          <t>Nusa Tenggara Barat</t>
        </is>
      </c>
      <c r="Q20" t="inlineStr"/>
    </row>
    <row r="21">
      <c r="A21" t="inlineStr">
        <is>
          <t>ANUGERAH VISATAMA GEMILANG</t>
        </is>
      </c>
      <c r="B21" t="inlineStr">
        <is>
          <t>Kota Palembang</t>
        </is>
      </c>
      <c r="C21" t="inlineStr">
        <is>
          <t>0811714049</t>
        </is>
      </c>
      <c r="D21" t="inlineStr">
        <is>
          <t>ptanugerahvisatamagemilang@gmail.com</t>
        </is>
      </c>
      <c r="E21" t="inlineStr">
        <is>
          <t>https://lpjk.pu.go.id/search-badan-usaha-detail/NXFhb3RzcTFWZUw5VzR0ckJGVDluQT09</t>
        </is>
      </c>
      <c r="F21" t="n">
        <v>2</v>
      </c>
      <c r="G21" t="inlineStr">
        <is>
          <t>BS001, BS002</t>
        </is>
      </c>
      <c r="H21" t="inlineStr">
        <is>
          <t>31 Mei 1989</t>
        </is>
      </c>
      <c r="I21" s="2" t="n">
        <v>46370</v>
      </c>
      <c r="J21" t="inlineStr">
        <is>
          <t>Pembekuan</t>
        </is>
      </c>
      <c r="K21" t="n">
        <v>87</v>
      </c>
      <c r="L21" t="inlineStr">
        <is>
          <t>14 Desember 2026</t>
        </is>
      </c>
      <c r="M21" t="inlineStr">
        <is>
          <t>Bangunan Sipil Jembatan, Jalan Layang, Fly Over, dan Underpass, Konstruksi Bangunan Sipil Jalan</t>
        </is>
      </c>
      <c r="N21" t="inlineStr">
        <is>
          <t>M</t>
        </is>
      </c>
      <c r="O21" t="inlineStr">
        <is>
          <t>20231215</t>
        </is>
      </c>
      <c r="P21" t="inlineStr">
        <is>
          <t>Sumatera Selatan</t>
        </is>
      </c>
      <c r="Q21" t="inlineStr"/>
    </row>
    <row r="22">
      <c r="A22" t="inlineStr">
        <is>
          <t>ANUGRAH KARYA SENTOSA</t>
        </is>
      </c>
      <c r="B22" t="inlineStr">
        <is>
          <t>Kab. Cilacap</t>
        </is>
      </c>
      <c r="C22" t="inlineStr">
        <is>
          <t>08567589100</t>
        </is>
      </c>
      <c r="D22" t="inlineStr">
        <is>
          <t>anugrah.ks58@gmail.com</t>
        </is>
      </c>
      <c r="E22" t="inlineStr">
        <is>
          <t>https://lpjk.pu.go.id/search-badan-usaha-detail/K2x3KzBJTXdWd1dOSlRMMS9aOUFIdz09</t>
        </is>
      </c>
      <c r="F22" t="n">
        <v>4</v>
      </c>
      <c r="G22" t="inlineStr">
        <is>
          <t>BG005, BG006</t>
        </is>
      </c>
      <c r="H22" t="inlineStr">
        <is>
          <t>31 Maret 1993</t>
        </is>
      </c>
      <c r="I22" s="2" t="n">
        <v>46370</v>
      </c>
      <c r="J22" t="inlineStr">
        <is>
          <t>Disetujui</t>
        </is>
      </c>
      <c r="K22" t="n">
        <v>87</v>
      </c>
      <c r="L22" t="inlineStr">
        <is>
          <t>14 Desember 2026</t>
        </is>
      </c>
      <c r="M22" t="inlineStr">
        <is>
          <t>Konstruksi Gedung Kesehatan, Konstruksi Gedung Pendidikan</t>
        </is>
      </c>
      <c r="N22" t="inlineStr">
        <is>
          <t>K</t>
        </is>
      </c>
      <c r="O22" t="inlineStr">
        <is>
          <t>20231211, 20231216</t>
        </is>
      </c>
      <c r="P22" t="inlineStr">
        <is>
          <t>Jawa Tengah</t>
        </is>
      </c>
      <c r="Q22" t="inlineStr"/>
    </row>
    <row r="23">
      <c r="A23" t="inlineStr">
        <is>
          <t>ARIELDO</t>
        </is>
      </c>
      <c r="B23" t="inlineStr">
        <is>
          <t>Kab. Manggarai</t>
        </is>
      </c>
      <c r="C23" t="inlineStr">
        <is>
          <t>081353135818</t>
        </is>
      </c>
      <c r="D23" t="inlineStr">
        <is>
          <t>cv.arieldo30@gmail.com</t>
        </is>
      </c>
      <c r="E23" t="inlineStr">
        <is>
          <t>https://lpjk.pu.go.id/search-badan-usaha-detail/QWhWWEV3aUdqRjRuV1BYUlJ5WWxOQT09</t>
        </is>
      </c>
      <c r="F23" t="n">
        <v>6</v>
      </c>
      <c r="G23" t="inlineStr">
        <is>
          <t>BG006, BS001, BS004</t>
        </is>
      </c>
      <c r="H23" t="inlineStr">
        <is>
          <t>10 Februari 2017</t>
        </is>
      </c>
      <c r="I23" s="2" t="n">
        <v>46370</v>
      </c>
      <c r="J23" t="inlineStr">
        <is>
          <t>Disetujui</t>
        </is>
      </c>
      <c r="K23" t="n">
        <v>87</v>
      </c>
      <c r="L23" t="inlineStr">
        <is>
          <t>14 Desember 2026</t>
        </is>
      </c>
      <c r="M23" t="inlineStr">
        <is>
          <t>Konstruksi Bangunan Sipil Jalan, Konstruksi Gedung Pendidikan, Konstruksi Jaringan Irigasi dan Drainase</t>
        </is>
      </c>
      <c r="N23" t="inlineStr">
        <is>
          <t>K</t>
        </is>
      </c>
      <c r="O23" t="inlineStr">
        <is>
          <t>20231213</t>
        </is>
      </c>
      <c r="P23" t="inlineStr">
        <is>
          <t>Nusa Tenggara Timur</t>
        </is>
      </c>
      <c r="Q23" t="inlineStr"/>
    </row>
    <row r="24">
      <c r="A24" t="inlineStr">
        <is>
          <t>BERKAH KHARISMA JAYA</t>
        </is>
      </c>
      <c r="B24" t="inlineStr">
        <is>
          <t>Kab. Sukamara</t>
        </is>
      </c>
      <c r="C24" t="inlineStr">
        <is>
          <t>081257568875</t>
        </is>
      </c>
      <c r="D24" t="inlineStr">
        <is>
          <t>berkahkharismajaya@gmail.com</t>
        </is>
      </c>
      <c r="E24" t="inlineStr">
        <is>
          <t>https://lpjk.pu.go.id/search-badan-usaha-detail/M0dVMExrSVErdVN6TkhvU09DWFJDZz09</t>
        </is>
      </c>
      <c r="F24" t="n">
        <v>6</v>
      </c>
      <c r="G24" t="inlineStr">
        <is>
          <t>BG001, BG002, BS001</t>
        </is>
      </c>
      <c r="H24" t="inlineStr">
        <is>
          <t>26 Juni 2023</t>
        </is>
      </c>
      <c r="I24" s="2" t="n">
        <v>46370</v>
      </c>
      <c r="J24" t="inlineStr">
        <is>
          <t>Disetujui</t>
        </is>
      </c>
      <c r="K24" t="n">
        <v>87</v>
      </c>
      <c r="L24" t="inlineStr">
        <is>
          <t>14 Desember 2026</t>
        </is>
      </c>
      <c r="M24" t="inlineStr">
        <is>
          <t>Konstruksi Bangunan Sipil Jalan, Konstruksi Gedung Hunian, Konstruksi Gedung Perkantoran</t>
        </is>
      </c>
      <c r="N24" t="inlineStr">
        <is>
          <t>K</t>
        </is>
      </c>
      <c r="O24" t="inlineStr">
        <is>
          <t>20231212, 20231213</t>
        </is>
      </c>
      <c r="P24" t="inlineStr">
        <is>
          <t>Kalimantan Tengah</t>
        </is>
      </c>
      <c r="Q24" t="inlineStr"/>
    </row>
    <row r="25">
      <c r="A25" t="inlineStr">
        <is>
          <t>BERKAH RAMBANG MENDAYUN</t>
        </is>
      </c>
      <c r="B25" t="inlineStr">
        <is>
          <t>Kota Prabumulih</t>
        </is>
      </c>
      <c r="C25" t="inlineStr">
        <is>
          <t>085267890662</t>
        </is>
      </c>
      <c r="D25" t="inlineStr">
        <is>
          <t>cv.berayun@gmail.com</t>
        </is>
      </c>
      <c r="E25" t="inlineStr">
        <is>
          <t>https://lpjk.pu.go.id/search-badan-usaha-detail/eVlGZGhCbzFNR2o5NnNhV1duNFk0dz09</t>
        </is>
      </c>
      <c r="F25" t="n">
        <v>2</v>
      </c>
      <c r="G25" t="inlineStr">
        <is>
          <t>BG001</t>
        </is>
      </c>
      <c r="H25" t="inlineStr">
        <is>
          <t>26 April 2019</t>
        </is>
      </c>
      <c r="I25" s="2" t="n">
        <v>46370</v>
      </c>
      <c r="J25" t="inlineStr">
        <is>
          <t>Disetujui</t>
        </is>
      </c>
      <c r="K25" t="n">
        <v>87</v>
      </c>
      <c r="L25" t="inlineStr">
        <is>
          <t>14 Desember 2026</t>
        </is>
      </c>
      <c r="M25" t="inlineStr">
        <is>
          <t>Konstruksi Gedung Hunian</t>
        </is>
      </c>
      <c r="N25" t="inlineStr">
        <is>
          <t>K</t>
        </is>
      </c>
      <c r="O25" t="inlineStr">
        <is>
          <t>20231213</t>
        </is>
      </c>
      <c r="P25" t="inlineStr">
        <is>
          <t>Sumatera Selatan</t>
        </is>
      </c>
      <c r="Q25" t="inlineStr"/>
    </row>
    <row r="26">
      <c r="A26" t="inlineStr">
        <is>
          <t>BESTA REKANDA</t>
        </is>
      </c>
      <c r="B26" t="inlineStr">
        <is>
          <t>Kota Adm. Jakarta Barat</t>
        </is>
      </c>
      <c r="C26" t="inlineStr">
        <is>
          <t>0215828169</t>
        </is>
      </c>
      <c r="D26" t="inlineStr">
        <is>
          <t>adm3besta@gmail.com</t>
        </is>
      </c>
      <c r="E26" t="inlineStr">
        <is>
          <t>https://lpjk.pu.go.id/search-badan-usaha-detail/bUk1MzQzcXJIcUZKSWduc3pXRVIydz09</t>
        </is>
      </c>
      <c r="F26" t="n">
        <v>1</v>
      </c>
      <c r="G26" t="inlineStr">
        <is>
          <t>BG009</t>
        </is>
      </c>
      <c r="H26" t="inlineStr">
        <is>
          <t>25 April 2012</t>
        </is>
      </c>
      <c r="I26" s="2" t="n">
        <v>46370</v>
      </c>
      <c r="J26" t="inlineStr">
        <is>
          <t>Pencabutan</t>
        </is>
      </c>
      <c r="K26" t="n">
        <v>87</v>
      </c>
      <c r="L26" t="inlineStr">
        <is>
          <t>14 Desember 2026</t>
        </is>
      </c>
      <c r="M26" t="inlineStr">
        <is>
          <t>Konstruksi Gedung Lainnya</t>
        </is>
      </c>
      <c r="N26" t="inlineStr">
        <is>
          <t>K</t>
        </is>
      </c>
      <c r="O26" t="inlineStr">
        <is>
          <t>20231213</t>
        </is>
      </c>
      <c r="P26" t="inlineStr">
        <is>
          <t>DKI Jakarta</t>
        </is>
      </c>
      <c r="Q26" t="inlineStr"/>
    </row>
    <row r="27">
      <c r="A27" t="inlineStr">
        <is>
          <t>BETON ELEMEN PERSADA</t>
        </is>
      </c>
      <c r="B27" t="inlineStr">
        <is>
          <t>Kab. Bandung Barat</t>
        </is>
      </c>
      <c r="C27" t="inlineStr">
        <is>
          <t>0226868000</t>
        </is>
      </c>
      <c r="D27" t="inlineStr">
        <is>
          <t>hrd@leibel.co.id</t>
        </is>
      </c>
      <c r="E27" t="inlineStr">
        <is>
          <t>https://lpjk.pu.go.id/search-badan-usaha-detail/eEY1MFFkTjVtbENkazRldGxtVTV6QT09</t>
        </is>
      </c>
      <c r="F27" t="n">
        <v>1</v>
      </c>
      <c r="G27" t="inlineStr">
        <is>
          <t>KP001</t>
        </is>
      </c>
      <c r="H27" t="inlineStr">
        <is>
          <t>18 Februari 2012</t>
        </is>
      </c>
      <c r="I27" s="2" t="n">
        <v>46370</v>
      </c>
      <c r="J27" t="inlineStr">
        <is>
          <t>Pembekuan</t>
        </is>
      </c>
      <c r="K27" t="n">
        <v>87</v>
      </c>
      <c r="L27" t="inlineStr">
        <is>
          <t>14 Desember 2026</t>
        </is>
      </c>
      <c r="M27" t="inlineStr">
        <is>
          <t>Pekerjaan Konstruksi Prapabrikasi Bangunan Gedung</t>
        </is>
      </c>
      <c r="N27" t="inlineStr">
        <is>
          <t>Spesialis</t>
        </is>
      </c>
      <c r="O27" t="inlineStr">
        <is>
          <t>20231107</t>
        </is>
      </c>
      <c r="P27" t="inlineStr">
        <is>
          <t>Jawa Barat</t>
        </is>
      </c>
      <c r="Q27" t="inlineStr"/>
    </row>
    <row r="28">
      <c r="A28" t="inlineStr">
        <is>
          <t>BINAKARYA ABADI SELARAS</t>
        </is>
      </c>
      <c r="B28" t="inlineStr">
        <is>
          <t>Kota Pekanbaru</t>
        </is>
      </c>
      <c r="C28" t="inlineStr">
        <is>
          <t>081270930811</t>
        </is>
      </c>
      <c r="D28" t="inlineStr">
        <is>
          <t>binakarya_abadi@yahoo.co.id</t>
        </is>
      </c>
      <c r="E28" t="inlineStr">
        <is>
          <t>https://lpjk.pu.go.id/search-badan-usaha-detail/YWczblZ2S2lQNWJPRDdjWU5MUzJzUT09</t>
        </is>
      </c>
      <c r="F28" t="n">
        <v>1</v>
      </c>
      <c r="G28" t="inlineStr">
        <is>
          <t>BS001</t>
        </is>
      </c>
      <c r="H28" t="inlineStr">
        <is>
          <t>10 Oktober 2014</t>
        </is>
      </c>
      <c r="I28" s="2" t="n">
        <v>46370</v>
      </c>
      <c r="J28" t="inlineStr">
        <is>
          <t>Pembekuan</t>
        </is>
      </c>
      <c r="K28" t="n">
        <v>87</v>
      </c>
      <c r="L28" t="inlineStr">
        <is>
          <t>14 Desember 2026</t>
        </is>
      </c>
      <c r="M28" t="inlineStr">
        <is>
          <t>Konstruksi Bangunan Sipil Jalan</t>
        </is>
      </c>
      <c r="N28" t="inlineStr">
        <is>
          <t>M</t>
        </is>
      </c>
      <c r="O28" t="inlineStr">
        <is>
          <t>20231206</t>
        </is>
      </c>
      <c r="P28" t="inlineStr">
        <is>
          <t>Riau</t>
        </is>
      </c>
      <c r="Q28" t="inlineStr"/>
    </row>
    <row r="29">
      <c r="A29" t="inlineStr">
        <is>
          <t>BINTANG KLAMBIR SEJAHTERA</t>
        </is>
      </c>
      <c r="B29" t="inlineStr">
        <is>
          <t>Kab. Deli Serdang</t>
        </is>
      </c>
      <c r="C29" t="inlineStr">
        <is>
          <t>08116081974</t>
        </is>
      </c>
      <c r="D29" t="inlineStr">
        <is>
          <t>bintangklambirsejahtera@gmail.com</t>
        </is>
      </c>
      <c r="E29" t="inlineStr">
        <is>
          <t>https://lpjk.pu.go.id/search-badan-usaha-detail/MDVId2IyN3V0SUNCd3hEb0NGamVydz09</t>
        </is>
      </c>
      <c r="F29" t="n">
        <v>2</v>
      </c>
      <c r="G29" t="inlineStr">
        <is>
          <t>BS002</t>
        </is>
      </c>
      <c r="H29" t="inlineStr">
        <is>
          <t>1 November 2023</t>
        </is>
      </c>
      <c r="I29" s="2" t="n">
        <v>46370</v>
      </c>
      <c r="J29" t="inlineStr">
        <is>
          <t>Pencabutan</t>
        </is>
      </c>
      <c r="K29" t="n">
        <v>87</v>
      </c>
      <c r="L29" t="inlineStr">
        <is>
          <t>14 Desember 2026</t>
        </is>
      </c>
      <c r="M29" t="inlineStr">
        <is>
          <t>Bangunan Sipil Jembatan, Jalan Layang, Fly Over, dan Underpass</t>
        </is>
      </c>
      <c r="N29" t="inlineStr">
        <is>
          <t>K</t>
        </is>
      </c>
      <c r="O29" t="inlineStr">
        <is>
          <t>20231215</t>
        </is>
      </c>
      <c r="P29" t="inlineStr">
        <is>
          <t>Sumatera Utara</t>
        </is>
      </c>
      <c r="Q29" t="inlineStr"/>
    </row>
    <row r="30">
      <c r="A30" t="inlineStr">
        <is>
          <t>BINTANG SEMBILAN</t>
        </is>
      </c>
      <c r="B30" t="inlineStr">
        <is>
          <t>Kab. Banyuwangi</t>
        </is>
      </c>
      <c r="C30" t="inlineStr">
        <is>
          <t>081233106985</t>
        </is>
      </c>
      <c r="D30" t="inlineStr">
        <is>
          <t>gasimbaharmi22@gmail.com</t>
        </is>
      </c>
      <c r="E30" t="inlineStr">
        <is>
          <t>https://lpjk.pu.go.id/search-badan-usaha-detail/bkc2VVRXdzluZk56N3pDeVhINEM5QT09</t>
        </is>
      </c>
      <c r="F30" t="n">
        <v>2</v>
      </c>
      <c r="G30" t="inlineStr">
        <is>
          <t>BG006</t>
        </is>
      </c>
      <c r="H30" t="inlineStr">
        <is>
          <t>31 Maret 2016</t>
        </is>
      </c>
      <c r="I30" s="2" t="n">
        <v>46370</v>
      </c>
      <c r="J30" t="inlineStr">
        <is>
          <t>Disetujui</t>
        </is>
      </c>
      <c r="K30" t="n">
        <v>87</v>
      </c>
      <c r="L30" t="inlineStr">
        <is>
          <t>14 Desember 2026</t>
        </is>
      </c>
      <c r="M30" t="inlineStr">
        <is>
          <t>Konstruksi Gedung Pendidikan</t>
        </is>
      </c>
      <c r="N30" t="inlineStr">
        <is>
          <t>K</t>
        </is>
      </c>
      <c r="O30" t="inlineStr">
        <is>
          <t>20231213</t>
        </is>
      </c>
      <c r="P30" t="inlineStr">
        <is>
          <t>Jawa Timur</t>
        </is>
      </c>
      <c r="Q30" t="inlineStr"/>
    </row>
    <row r="31">
      <c r="A31" t="inlineStr">
        <is>
          <t>BINTANG TIMOER PENDJURU</t>
        </is>
      </c>
      <c r="B31" t="inlineStr">
        <is>
          <t>Kota Palangkaraya</t>
        </is>
      </c>
      <c r="C31" t="inlineStr">
        <is>
          <t>085349536931</t>
        </is>
      </c>
      <c r="D31" t="inlineStr">
        <is>
          <t>cv.btp.raya46@gmail.com</t>
        </is>
      </c>
      <c r="E31" t="inlineStr">
        <is>
          <t>https://lpjk.pu.go.id/search-badan-usaha-detail/YzF6Y0tvZmZIa1FaTndkY2dSRUx1dz09</t>
        </is>
      </c>
      <c r="F31" t="n">
        <v>8</v>
      </c>
      <c r="G31" t="inlineStr">
        <is>
          <t>BG002, BG005, BG006, BG009</t>
        </is>
      </c>
      <c r="H31" t="inlineStr">
        <is>
          <t>2 Maret 2023</t>
        </is>
      </c>
      <c r="I31" s="2" t="n">
        <v>46370</v>
      </c>
      <c r="J31" t="inlineStr">
        <is>
          <t>Disetujui</t>
        </is>
      </c>
      <c r="K31" t="n">
        <v>87</v>
      </c>
      <c r="L31" t="inlineStr">
        <is>
          <t>14 Desember 2026</t>
        </is>
      </c>
      <c r="M31" t="inlineStr">
        <is>
          <t>Konstruksi Gedung Kesehatan, Konstruksi Gedung Lainnya, Konstruksi Gedung Pendidikan, Konstruksi Gedung Perkantoran</t>
        </is>
      </c>
      <c r="N31" t="inlineStr">
        <is>
          <t>K</t>
        </is>
      </c>
      <c r="O31" t="inlineStr">
        <is>
          <t>20231215</t>
        </is>
      </c>
      <c r="P31" t="inlineStr">
        <is>
          <t>Kalimantan Tengah</t>
        </is>
      </c>
      <c r="Q31" t="inlineStr"/>
    </row>
    <row r="32">
      <c r="A32" t="inlineStr">
        <is>
          <t>BORNEO NYATU PUTRA</t>
        </is>
      </c>
      <c r="B32" t="inlineStr">
        <is>
          <t>Kab. Sanggau</t>
        </is>
      </c>
      <c r="C32" t="inlineStr">
        <is>
          <t>085252295873</t>
        </is>
      </c>
      <c r="D32" t="inlineStr">
        <is>
          <t>cvborneonyatuputra@gmail.com</t>
        </is>
      </c>
      <c r="E32" t="inlineStr">
        <is>
          <t>https://lpjk.pu.go.id/search-badan-usaha-detail/MkkxaFNjbTg5RXQ4ckVhQ21YOXZvdz09</t>
        </is>
      </c>
      <c r="F32" t="n">
        <v>2</v>
      </c>
      <c r="G32" t="inlineStr">
        <is>
          <t>BG001, BG006</t>
        </is>
      </c>
      <c r="H32" t="inlineStr">
        <is>
          <t>5 Mei 2015</t>
        </is>
      </c>
      <c r="I32" s="2" t="n">
        <v>46370</v>
      </c>
      <c r="J32" t="inlineStr">
        <is>
          <t>Disetujui</t>
        </is>
      </c>
      <c r="K32" t="n">
        <v>87</v>
      </c>
      <c r="L32" t="inlineStr">
        <is>
          <t>14 Desember 2026</t>
        </is>
      </c>
      <c r="M32" t="inlineStr">
        <is>
          <t>Konstruksi Gedung Hunian, Konstruksi Gedung Pendidikan</t>
        </is>
      </c>
      <c r="N32" t="inlineStr">
        <is>
          <t>K</t>
        </is>
      </c>
      <c r="O32" t="inlineStr">
        <is>
          <t>20231212</t>
        </is>
      </c>
      <c r="P32" t="inlineStr">
        <is>
          <t>Kalimantan Barat</t>
        </is>
      </c>
      <c r="Q32" t="inlineStr"/>
    </row>
    <row r="33">
      <c r="A33" t="inlineStr">
        <is>
          <t>BUMI PRATAMA</t>
        </is>
      </c>
      <c r="B33" t="inlineStr">
        <is>
          <t>Kota Bandar Lampung</t>
        </is>
      </c>
      <c r="C33" t="inlineStr">
        <is>
          <t>081379608833</t>
        </is>
      </c>
      <c r="D33" t="inlineStr">
        <is>
          <t>bumipratama0@gmail.com</t>
        </is>
      </c>
      <c r="E33" t="inlineStr">
        <is>
          <t>https://lpjk.pu.go.id/search-badan-usaha-detail/Y0JEUkN6WUs4TzRweWFmb2U0RHRGZz09</t>
        </is>
      </c>
      <c r="F33" t="n">
        <v>3</v>
      </c>
      <c r="G33" t="inlineStr">
        <is>
          <t>BG002, BG006, BG009</t>
        </is>
      </c>
      <c r="H33" t="inlineStr">
        <is>
          <t>9 September 1999</t>
        </is>
      </c>
      <c r="I33" s="2" t="n">
        <v>46370</v>
      </c>
      <c r="J33" t="inlineStr">
        <is>
          <t>Disetujui</t>
        </is>
      </c>
      <c r="K33" t="n">
        <v>87</v>
      </c>
      <c r="L33" t="inlineStr">
        <is>
          <t>14 Desember 2026</t>
        </is>
      </c>
      <c r="M33" t="inlineStr">
        <is>
          <t>Konstruksi Gedung Lainnya, Konstruksi Gedung Pendidikan, Konstruksi Gedung Perkantoran</t>
        </is>
      </c>
      <c r="N33" t="inlineStr">
        <is>
          <t>K</t>
        </is>
      </c>
      <c r="O33" t="inlineStr">
        <is>
          <t>20231212</t>
        </is>
      </c>
      <c r="P33" t="inlineStr">
        <is>
          <t>Lampung</t>
        </is>
      </c>
      <c r="Q33" t="inlineStr"/>
    </row>
    <row r="34">
      <c r="A34" t="inlineStr">
        <is>
          <t>BUMI WAHYU UTAMA</t>
        </is>
      </c>
      <c r="B34" t="inlineStr">
        <is>
          <t>Kab. Banjar</t>
        </is>
      </c>
      <c r="C34" t="inlineStr">
        <is>
          <t>0</t>
        </is>
      </c>
      <c r="D34" t="inlineStr">
        <is>
          <t>ptbumiwahyuutama7@gmail.com</t>
        </is>
      </c>
      <c r="E34" t="inlineStr">
        <is>
          <t>https://lpjk.pu.go.id/search-badan-usaha-detail/aHJBYkdEZDlEUm00R2FWL3VNYm9sZz09</t>
        </is>
      </c>
      <c r="F34" t="n">
        <v>1</v>
      </c>
      <c r="G34" t="inlineStr">
        <is>
          <t>BS001</t>
        </is>
      </c>
      <c r="H34" t="inlineStr">
        <is>
          <t>20 Maret 2013</t>
        </is>
      </c>
      <c r="I34" s="2" t="n">
        <v>46370</v>
      </c>
      <c r="J34" t="inlineStr">
        <is>
          <t>Disetujui</t>
        </is>
      </c>
      <c r="K34" t="n">
        <v>87</v>
      </c>
      <c r="L34" t="inlineStr">
        <is>
          <t>14 Desember 2026</t>
        </is>
      </c>
      <c r="M34" t="inlineStr">
        <is>
          <t>Konstruksi Bangunan Sipil Jalan</t>
        </is>
      </c>
      <c r="N34" t="inlineStr">
        <is>
          <t>K</t>
        </is>
      </c>
      <c r="O34" t="inlineStr">
        <is>
          <t>20231214</t>
        </is>
      </c>
      <c r="P34" t="inlineStr">
        <is>
          <t>Kalimantan Selatan</t>
        </is>
      </c>
      <c r="Q34" t="inlineStr"/>
    </row>
    <row r="35">
      <c r="A35" t="inlineStr">
        <is>
          <t>CAHAYA DWIMITRA KONSTRUKSI</t>
        </is>
      </c>
      <c r="B35" t="inlineStr">
        <is>
          <t>Kota Adm. Jakarta Barat</t>
        </is>
      </c>
      <c r="C35" t="inlineStr">
        <is>
          <t>081295469945</t>
        </is>
      </c>
      <c r="D35" t="inlineStr">
        <is>
          <t>cahayadwimitrakonstruksi@gmail.com</t>
        </is>
      </c>
      <c r="E35" t="inlineStr">
        <is>
          <t>https://lpjk.pu.go.id/search-badan-usaha-detail/NUZlcTFRSG13eit0NlVLcnhySko2QT09</t>
        </is>
      </c>
      <c r="F35" t="n">
        <v>2</v>
      </c>
      <c r="G35" t="inlineStr">
        <is>
          <t>BG001, BG003</t>
        </is>
      </c>
      <c r="H35" t="inlineStr">
        <is>
          <t>3 Agustus 2023</t>
        </is>
      </c>
      <c r="I35" s="2" t="n">
        <v>46370</v>
      </c>
      <c r="J35" t="inlineStr">
        <is>
          <t>Disetujui</t>
        </is>
      </c>
      <c r="K35" t="n">
        <v>87</v>
      </c>
      <c r="L35" t="inlineStr">
        <is>
          <t>14 Desember 2026</t>
        </is>
      </c>
      <c r="M35" t="inlineStr">
        <is>
          <t>Konstruksi Gedung Hunian, Konstruksi Gedung Industri</t>
        </is>
      </c>
      <c r="N35" t="inlineStr">
        <is>
          <t>K</t>
        </is>
      </c>
      <c r="O35" t="inlineStr">
        <is>
          <t>20231027, 20231213</t>
        </is>
      </c>
      <c r="P35" t="inlineStr">
        <is>
          <t>DKI Jakarta</t>
        </is>
      </c>
      <c r="Q35" t="inlineStr"/>
    </row>
    <row r="36">
      <c r="A36" t="inlineStr">
        <is>
          <t>CAHAYA GEMILANG SUKSES NUSANTARA</t>
        </is>
      </c>
      <c r="B36" t="inlineStr">
        <is>
          <t>Kota Medan</t>
        </is>
      </c>
      <c r="C36" t="inlineStr">
        <is>
          <t>08116338333</t>
        </is>
      </c>
      <c r="D36" t="inlineStr">
        <is>
          <t>cahayagemilangsuksesnusantara@gmail.com</t>
        </is>
      </c>
      <c r="E36" t="inlineStr">
        <is>
          <t>https://lpjk.pu.go.id/search-badan-usaha-detail/bmdRQ3BFMS96SW9GNENhdXdzb3VOUT09</t>
        </is>
      </c>
      <c r="F36" t="n">
        <v>1</v>
      </c>
      <c r="G36" t="inlineStr">
        <is>
          <t>BG001</t>
        </is>
      </c>
      <c r="H36" t="inlineStr">
        <is>
          <t>23 Mei 2023</t>
        </is>
      </c>
      <c r="I36" s="2" t="n">
        <v>46370</v>
      </c>
      <c r="J36" t="inlineStr">
        <is>
          <t>Disetujui</t>
        </is>
      </c>
      <c r="K36" t="n">
        <v>87</v>
      </c>
      <c r="L36" t="inlineStr">
        <is>
          <t>14 Desember 2026</t>
        </is>
      </c>
      <c r="M36" t="inlineStr">
        <is>
          <t>Konstruksi Gedung Hunian</t>
        </is>
      </c>
      <c r="N36" t="inlineStr">
        <is>
          <t>K</t>
        </is>
      </c>
      <c r="O36" t="inlineStr">
        <is>
          <t>20231214</t>
        </is>
      </c>
      <c r="P36" t="inlineStr">
        <is>
          <t>Sumatera Utara</t>
        </is>
      </c>
      <c r="Q36" t="inlineStr"/>
    </row>
    <row r="37">
      <c r="A37" t="inlineStr">
        <is>
          <t>CAHAYA SELATAN MANDIRI</t>
        </is>
      </c>
      <c r="B37" t="inlineStr">
        <is>
          <t>Kota Palembang</t>
        </is>
      </c>
      <c r="C37" t="inlineStr">
        <is>
          <t>082307789284</t>
        </is>
      </c>
      <c r="D37" t="inlineStr">
        <is>
          <t>cahayaselatanmandiri@yahoo.com</t>
        </is>
      </c>
      <c r="E37" t="inlineStr">
        <is>
          <t>https://lpjk.pu.go.id/search-badan-usaha-detail/bVZiRzNGdFRId0Jzc0lLZWZ4UFQrdzNkVnN5aEgzaGVxbGNIMWRCYTdwbz0</t>
        </is>
      </c>
      <c r="F37" t="n">
        <v>2</v>
      </c>
      <c r="G37" t="inlineStr">
        <is>
          <t>BG005, BG006</t>
        </is>
      </c>
      <c r="H37" t="inlineStr">
        <is>
          <t>4 Juli 2012</t>
        </is>
      </c>
      <c r="I37" s="2" t="n">
        <v>46370</v>
      </c>
      <c r="J37" t="inlineStr">
        <is>
          <t>Disetujui</t>
        </is>
      </c>
      <c r="K37" t="n">
        <v>87</v>
      </c>
      <c r="L37" t="inlineStr">
        <is>
          <t>14 Desember 2026</t>
        </is>
      </c>
      <c r="M37" t="inlineStr">
        <is>
          <t>Konstruksi Gedung Kesehatan, Konstruksi Gedung Pendidikan</t>
        </is>
      </c>
      <c r="N37" t="inlineStr">
        <is>
          <t>K</t>
        </is>
      </c>
      <c r="O37" t="inlineStr">
        <is>
          <t>20231214</t>
        </is>
      </c>
      <c r="P37" t="inlineStr">
        <is>
          <t>Sumatera Selatan</t>
        </is>
      </c>
      <c r="Q37" t="inlineStr"/>
    </row>
    <row r="38">
      <c r="A38" t="inlineStr">
        <is>
          <t>CAKRAWALA NUSINDO</t>
        </is>
      </c>
      <c r="B38" t="inlineStr">
        <is>
          <t>Kota Pekanbaru</t>
        </is>
      </c>
      <c r="C38" t="inlineStr">
        <is>
          <t>N/A</t>
        </is>
      </c>
      <c r="D38" t="inlineStr">
        <is>
          <t>N/A</t>
        </is>
      </c>
      <c r="E38" t="inlineStr">
        <is>
          <t>https://lpjk.pu.go.id/search-badan-usaha-detail/WERZalFVanFGR05KSXZmQStGYk9kUT09</t>
        </is>
      </c>
      <c r="F38" t="n">
        <v>1</v>
      </c>
      <c r="G38" t="inlineStr">
        <is>
          <t>BG002</t>
        </is>
      </c>
      <c r="H38" t="inlineStr"/>
      <c r="I38" s="2" t="n">
        <v>46370</v>
      </c>
      <c r="J38" t="inlineStr">
        <is>
          <t>Pencabutan</t>
        </is>
      </c>
      <c r="K38" t="n">
        <v>87</v>
      </c>
      <c r="L38" t="inlineStr">
        <is>
          <t>14 Desember 2026</t>
        </is>
      </c>
      <c r="M38" t="inlineStr">
        <is>
          <t>Konstruksi Gedung Perkantoran</t>
        </is>
      </c>
      <c r="N38" t="inlineStr">
        <is>
          <t>M</t>
        </is>
      </c>
      <c r="O38" t="inlineStr">
        <is>
          <t>20231214</t>
        </is>
      </c>
      <c r="P38" t="inlineStr">
        <is>
          <t>Riau</t>
        </is>
      </c>
      <c r="Q38" t="inlineStr"/>
    </row>
    <row r="39">
      <c r="A39" t="inlineStr">
        <is>
          <t>CEMPAKA</t>
        </is>
      </c>
      <c r="B39" t="inlineStr">
        <is>
          <t>Kab. Garut</t>
        </is>
      </c>
      <c r="C39" t="inlineStr">
        <is>
          <t>081323286447</t>
        </is>
      </c>
      <c r="D39" t="inlineStr">
        <is>
          <t>cv.cempaka059@gmail.com</t>
        </is>
      </c>
      <c r="E39" t="inlineStr">
        <is>
          <t>https://lpjk.pu.go.id/search-badan-usaha-detail/T1JiZUFjS3lFOVpGanpDVG5BZlpQUT09</t>
        </is>
      </c>
      <c r="F39" t="n">
        <v>2</v>
      </c>
      <c r="G39" t="inlineStr">
        <is>
          <t>BS001, BS004</t>
        </is>
      </c>
      <c r="H39" t="inlineStr">
        <is>
          <t>26 April 1999</t>
        </is>
      </c>
      <c r="I39" s="2" t="n">
        <v>46370</v>
      </c>
      <c r="J39" t="inlineStr">
        <is>
          <t>Disetujui</t>
        </is>
      </c>
      <c r="K39" t="n">
        <v>87</v>
      </c>
      <c r="L39" t="inlineStr">
        <is>
          <t>14 Desember 2026</t>
        </is>
      </c>
      <c r="M39" t="inlineStr">
        <is>
          <t>Konstruksi Bangunan Sipil Jalan, Konstruksi Jaringan Irigasi dan Drainase</t>
        </is>
      </c>
      <c r="N39" t="inlineStr">
        <is>
          <t>K</t>
        </is>
      </c>
      <c r="O39" t="inlineStr">
        <is>
          <t>20230409, 20231212</t>
        </is>
      </c>
      <c r="P39" t="inlineStr">
        <is>
          <t>Jawa Barat</t>
        </is>
      </c>
      <c r="Q39" t="inlineStr"/>
    </row>
    <row r="40">
      <c r="A40" t="inlineStr">
        <is>
          <t>CENTRAL PRATAMA</t>
        </is>
      </c>
      <c r="B40" t="inlineStr">
        <is>
          <t>Kab. Sikka</t>
        </is>
      </c>
      <c r="C40" t="inlineStr">
        <is>
          <t>08123607474</t>
        </is>
      </c>
      <c r="D40" t="inlineStr">
        <is>
          <t>cv.centralpratama@gmail.com</t>
        </is>
      </c>
      <c r="E40" t="inlineStr">
        <is>
          <t>https://lpjk.pu.go.id/search-badan-usaha-detail/YWc4VEd0b1VoUGE0WnI1S2swUUdOdz09</t>
        </is>
      </c>
      <c r="F40" t="n">
        <v>4</v>
      </c>
      <c r="G40" t="inlineStr">
        <is>
          <t>BS001, BS010</t>
        </is>
      </c>
      <c r="H40" t="inlineStr">
        <is>
          <t>28 Maret 2023</t>
        </is>
      </c>
      <c r="I40" s="2" t="n">
        <v>46370</v>
      </c>
      <c r="J40" t="inlineStr">
        <is>
          <t>Disetujui</t>
        </is>
      </c>
      <c r="K40" t="n">
        <v>87</v>
      </c>
      <c r="L40" t="inlineStr">
        <is>
          <t>14 Desember 2026</t>
        </is>
      </c>
      <c r="M40" t="inlineStr">
        <is>
          <t>Konstruksi Bangunan Prasarana Sumber Daya Air, Konstruksi Bangunan Sipil Jalan</t>
        </is>
      </c>
      <c r="N40" t="inlineStr">
        <is>
          <t>K</t>
        </is>
      </c>
      <c r="O40" t="inlineStr">
        <is>
          <t>20231213</t>
        </is>
      </c>
      <c r="P40" t="inlineStr">
        <is>
          <t>Nusa Tenggara Timur</t>
        </is>
      </c>
      <c r="Q40" t="inlineStr"/>
    </row>
    <row r="41">
      <c r="A41" t="inlineStr">
        <is>
          <t>CHANDRA JAYA INDOKORESA</t>
        </is>
      </c>
      <c r="B41" t="inlineStr">
        <is>
          <t>Kota Batam</t>
        </is>
      </c>
      <c r="C41" t="inlineStr">
        <is>
          <t>0778327648</t>
        </is>
      </c>
      <c r="D41" t="inlineStr">
        <is>
          <t>cjayaindokoresa@gmail.com</t>
        </is>
      </c>
      <c r="E41" t="inlineStr">
        <is>
          <t>https://lpjk.pu.go.id/search-badan-usaha-detail/WkZhRUtPN2NRTkZiZ0E5NFNpRmpXdz09</t>
        </is>
      </c>
      <c r="F41" t="n">
        <v>1</v>
      </c>
      <c r="G41" t="inlineStr">
        <is>
          <t>BS001</t>
        </is>
      </c>
      <c r="H41" t="inlineStr">
        <is>
          <t>22 April 2015</t>
        </is>
      </c>
      <c r="I41" s="2" t="n">
        <v>46370</v>
      </c>
      <c r="J41" t="inlineStr">
        <is>
          <t>Disetujui</t>
        </is>
      </c>
      <c r="K41" t="n">
        <v>87</v>
      </c>
      <c r="L41" t="inlineStr">
        <is>
          <t>14 Desember 2026</t>
        </is>
      </c>
      <c r="M41" t="inlineStr">
        <is>
          <t>Konstruksi Bangunan Sipil Jalan</t>
        </is>
      </c>
      <c r="N41" t="inlineStr">
        <is>
          <t>M</t>
        </is>
      </c>
      <c r="O41" t="inlineStr">
        <is>
          <t>20231031</t>
        </is>
      </c>
      <c r="P41" t="inlineStr">
        <is>
          <t>Kepulauan Riau</t>
        </is>
      </c>
      <c r="Q41" t="inlineStr"/>
    </row>
    <row r="42">
      <c r="A42" t="inlineStr">
        <is>
          <t>CIPTA KARYA HIDAYAT</t>
        </is>
      </c>
      <c r="B42" t="inlineStr">
        <is>
          <t>Kab. Mempawah</t>
        </is>
      </c>
      <c r="C42" t="inlineStr">
        <is>
          <t>089691816767</t>
        </is>
      </c>
      <c r="D42" t="inlineStr">
        <is>
          <t>cv.ciptakaryahidayat@gmail.com</t>
        </is>
      </c>
      <c r="E42" t="inlineStr">
        <is>
          <t>https://lpjk.pu.go.id/search-badan-usaha-detail/Tnk3dDI2dGpTQThqOTBMWW1zNmVyQT09</t>
        </is>
      </c>
      <c r="F42" t="n">
        <v>2</v>
      </c>
      <c r="G42" t="inlineStr">
        <is>
          <t>BS002</t>
        </is>
      </c>
      <c r="H42" t="inlineStr">
        <is>
          <t>27 Desember 2019</t>
        </is>
      </c>
      <c r="I42" s="2" t="n">
        <v>46370</v>
      </c>
      <c r="J42" t="inlineStr">
        <is>
          <t>Disetujui</t>
        </is>
      </c>
      <c r="K42" t="n">
        <v>87</v>
      </c>
      <c r="L42" t="inlineStr">
        <is>
          <t>14 Desember 2026</t>
        </is>
      </c>
      <c r="M42" t="inlineStr">
        <is>
          <t>Bangunan Sipil Jembatan, Jalan Layang, Fly Over, dan Underpass</t>
        </is>
      </c>
      <c r="N42" t="inlineStr">
        <is>
          <t>K</t>
        </is>
      </c>
      <c r="O42" t="inlineStr">
        <is>
          <t>20231213</t>
        </is>
      </c>
      <c r="P42" t="inlineStr">
        <is>
          <t>Kalimantan Barat</t>
        </is>
      </c>
      <c r="Q42" t="inlineStr"/>
    </row>
    <row r="43">
      <c r="A43" t="inlineStr">
        <is>
          <t>CITRA PERKASA</t>
        </is>
      </c>
      <c r="B43" t="inlineStr">
        <is>
          <t>Kab. Kulon Progo</t>
        </is>
      </c>
      <c r="C43" t="inlineStr">
        <is>
          <t>081215540298</t>
        </is>
      </c>
      <c r="D43" t="inlineStr">
        <is>
          <t>ervinsofiana77@gmail.com</t>
        </is>
      </c>
      <c r="E43" t="inlineStr">
        <is>
          <t>https://lpjk.pu.go.id/search-badan-usaha-detail/UHo2VlkwazIvRkJCTFBNclpjOFYwQT09</t>
        </is>
      </c>
      <c r="F43" t="n">
        <v>1</v>
      </c>
      <c r="G43" t="inlineStr">
        <is>
          <t>BG001</t>
        </is>
      </c>
      <c r="H43" t="inlineStr">
        <is>
          <t>22 Juni 2011</t>
        </is>
      </c>
      <c r="I43" s="2" t="n">
        <v>46370</v>
      </c>
      <c r="J43" t="inlineStr">
        <is>
          <t>Disetujui</t>
        </is>
      </c>
      <c r="K43" t="n">
        <v>87</v>
      </c>
      <c r="L43" t="inlineStr">
        <is>
          <t>14 Desember 2026</t>
        </is>
      </c>
      <c r="M43" t="inlineStr">
        <is>
          <t>Konstruksi Gedung Hunian</t>
        </is>
      </c>
      <c r="N43" t="inlineStr">
        <is>
          <t>K</t>
        </is>
      </c>
      <c r="O43" t="inlineStr">
        <is>
          <t>20231214</t>
        </is>
      </c>
      <c r="P43" t="inlineStr">
        <is>
          <t>DI Yogyakarta</t>
        </is>
      </c>
      <c r="Q43" t="inlineStr"/>
    </row>
    <row r="44">
      <c r="A44" t="inlineStr">
        <is>
          <t>DAKSA HANASTA BAWANA</t>
        </is>
      </c>
      <c r="B44" t="inlineStr">
        <is>
          <t>Kota Yogyakarta</t>
        </is>
      </c>
      <c r="C44" t="inlineStr">
        <is>
          <t>085865934447</t>
        </is>
      </c>
      <c r="D44" t="inlineStr">
        <is>
          <t>daksahanastabawana@gmail.com</t>
        </is>
      </c>
      <c r="E44" t="inlineStr">
        <is>
          <t>https://lpjk.pu.go.id/search-badan-usaha-detail/WkNsa1M1Qk9qZFBGRTJybko0Uy9mUT09</t>
        </is>
      </c>
      <c r="F44" t="n">
        <v>1</v>
      </c>
      <c r="G44" t="inlineStr">
        <is>
          <t>RK003</t>
        </is>
      </c>
      <c r="H44" t="inlineStr">
        <is>
          <t>2 Februari 2018</t>
        </is>
      </c>
      <c r="I44" s="2" t="n">
        <v>46370</v>
      </c>
      <c r="J44" t="inlineStr">
        <is>
          <t>Disetujui</t>
        </is>
      </c>
      <c r="K44" t="n">
        <v>87</v>
      </c>
      <c r="L44" t="inlineStr">
        <is>
          <t>14 Desember 2026</t>
        </is>
      </c>
      <c r="M44" t="inlineStr">
        <is>
          <t>Jasa Rekayasa Pekerjaan Teknik Sipil Transportasi</t>
        </is>
      </c>
      <c r="N44" t="inlineStr">
        <is>
          <t>K</t>
        </is>
      </c>
      <c r="O44" t="inlineStr">
        <is>
          <t>20231124</t>
        </is>
      </c>
      <c r="P44" t="inlineStr">
        <is>
          <t>DI Yogyakarta</t>
        </is>
      </c>
      <c r="Q44" t="inlineStr"/>
    </row>
    <row r="45">
      <c r="A45" t="inlineStr">
        <is>
          <t>DAMAI HARMONI MAKMUR RAHAYU</t>
        </is>
      </c>
      <c r="B45" t="inlineStr">
        <is>
          <t>Kota Bandung</t>
        </is>
      </c>
      <c r="C45" t="inlineStr">
        <is>
          <t>0222013055</t>
        </is>
      </c>
      <c r="D45" t="inlineStr">
        <is>
          <t>fad.ptdhamara@gmail.com</t>
        </is>
      </c>
      <c r="E45" t="inlineStr">
        <is>
          <t>https://lpjk.pu.go.id/search-badan-usaha-detail/WXYvVjd5UC9LSS85Q0x1a3UwdlBFdz09</t>
        </is>
      </c>
      <c r="F45" t="n">
        <v>2</v>
      </c>
      <c r="G45" t="inlineStr">
        <is>
          <t>BG009</t>
        </is>
      </c>
      <c r="H45" t="inlineStr">
        <is>
          <t>14 Desember 2020</t>
        </is>
      </c>
      <c r="I45" s="2" t="n">
        <v>46370</v>
      </c>
      <c r="J45" t="inlineStr">
        <is>
          <t>Disetujui</t>
        </is>
      </c>
      <c r="K45" t="n">
        <v>87</v>
      </c>
      <c r="L45" t="inlineStr">
        <is>
          <t>14 Desember 2026</t>
        </is>
      </c>
      <c r="M45" t="inlineStr">
        <is>
          <t>Konstruksi Gedung Lainnya</t>
        </is>
      </c>
      <c r="N45" t="inlineStr">
        <is>
          <t>K</t>
        </is>
      </c>
      <c r="O45" t="inlineStr">
        <is>
          <t>20231212</t>
        </is>
      </c>
      <c r="P45" t="inlineStr">
        <is>
          <t>Jawa Barat</t>
        </is>
      </c>
      <c r="Q45" t="inlineStr"/>
    </row>
    <row r="46">
      <c r="A46" t="inlineStr">
        <is>
          <t>DELI PERKASA MANDIRI</t>
        </is>
      </c>
      <c r="B46" t="inlineStr">
        <is>
          <t>Kota Balikpapan</t>
        </is>
      </c>
      <c r="C46" t="inlineStr">
        <is>
          <t>08126508822</t>
        </is>
      </c>
      <c r="D46" t="inlineStr">
        <is>
          <t>deliperkasamandiri@gmail.com</t>
        </is>
      </c>
      <c r="E46" t="inlineStr">
        <is>
          <t>https://lpjk.pu.go.id/search-badan-usaha-detail/ZlBXeUVNL1Jsc0xnZXJJR2xTWGVkQT09</t>
        </is>
      </c>
      <c r="F46" t="n">
        <v>1</v>
      </c>
      <c r="G46" t="inlineStr">
        <is>
          <t>BG003</t>
        </is>
      </c>
      <c r="H46" t="inlineStr">
        <is>
          <t>22 September 2023</t>
        </is>
      </c>
      <c r="I46" s="2" t="n">
        <v>46370</v>
      </c>
      <c r="J46" t="inlineStr">
        <is>
          <t>Disetujui</t>
        </is>
      </c>
      <c r="K46" t="n">
        <v>87</v>
      </c>
      <c r="L46" t="inlineStr">
        <is>
          <t>14 Desember 2026</t>
        </is>
      </c>
      <c r="M46" t="inlineStr">
        <is>
          <t>Konstruksi Gedung Industri</t>
        </is>
      </c>
      <c r="N46" t="inlineStr">
        <is>
          <t>K</t>
        </is>
      </c>
      <c r="O46" t="inlineStr">
        <is>
          <t>20231122</t>
        </is>
      </c>
      <c r="P46" t="inlineStr">
        <is>
          <t>Kalimantan Timur</t>
        </is>
      </c>
      <c r="Q46" t="inlineStr"/>
    </row>
    <row r="47">
      <c r="A47" t="inlineStr">
        <is>
          <t>DIANSINDO SEGORO ARTHO</t>
        </is>
      </c>
      <c r="B47" t="inlineStr">
        <is>
          <t>Kota Semarang</t>
        </is>
      </c>
      <c r="C47" t="inlineStr">
        <is>
          <t>02470044242</t>
        </is>
      </c>
      <c r="D47" t="inlineStr">
        <is>
          <t>segoroartho.diansindopt@gmail.com</t>
        </is>
      </c>
      <c r="E47" t="inlineStr">
        <is>
          <t>https://lpjk.pu.go.id/search-badan-usaha-detail/R3Qrd2R6Vkd4UGNxdERTMlh0SlFZZz09</t>
        </is>
      </c>
      <c r="F47" t="n">
        <v>1</v>
      </c>
      <c r="G47" t="inlineStr">
        <is>
          <t>BS012</t>
        </is>
      </c>
      <c r="H47" t="inlineStr">
        <is>
          <t>7 Desember 2011</t>
        </is>
      </c>
      <c r="I47" s="2" t="n">
        <v>46370</v>
      </c>
      <c r="J47" t="inlineStr">
        <is>
          <t>Disetujui</t>
        </is>
      </c>
      <c r="K47" t="n">
        <v>87</v>
      </c>
      <c r="L47" t="inlineStr">
        <is>
          <t>14 Desember 2026</t>
        </is>
      </c>
      <c r="M47" t="inlineStr">
        <is>
          <t>Konstruksi Bangunan Pelabuhan Perikanan</t>
        </is>
      </c>
      <c r="N47" t="inlineStr">
        <is>
          <t>K</t>
        </is>
      </c>
      <c r="O47" t="inlineStr">
        <is>
          <t>20231212</t>
        </is>
      </c>
      <c r="P47" t="inlineStr">
        <is>
          <t>Jawa Tengah</t>
        </is>
      </c>
      <c r="Q47" t="inlineStr"/>
    </row>
    <row r="48">
      <c r="A48" t="inlineStr">
        <is>
          <t>DINI ASTAKA</t>
        </is>
      </c>
      <c r="B48" t="inlineStr">
        <is>
          <t>Kota Balikpapan</t>
        </is>
      </c>
      <c r="C48" t="inlineStr">
        <is>
          <t>08115410475</t>
        </is>
      </c>
      <c r="D48" t="inlineStr">
        <is>
          <t>cv.diniastaka@gmail.com</t>
        </is>
      </c>
      <c r="E48" t="inlineStr">
        <is>
          <t>https://lpjk.pu.go.id/search-badan-usaha-detail/QmdBWlcvWk55cENHVjFZQW9JRmwrZz09</t>
        </is>
      </c>
      <c r="F48" t="n">
        <v>3</v>
      </c>
      <c r="G48" t="inlineStr">
        <is>
          <t>BG002, BG003, BG004</t>
        </is>
      </c>
      <c r="H48" t="inlineStr">
        <is>
          <t>13 April 2021</t>
        </is>
      </c>
      <c r="I48" s="2" t="n">
        <v>46370</v>
      </c>
      <c r="J48" t="inlineStr">
        <is>
          <t>Disetujui</t>
        </is>
      </c>
      <c r="K48" t="n">
        <v>87</v>
      </c>
      <c r="L48" t="inlineStr">
        <is>
          <t>14 Desember 2026</t>
        </is>
      </c>
      <c r="M48" t="inlineStr">
        <is>
          <t>Konstruksi Gedung Industri, Konstruksi Gedung Perbelanjaan, Konstruksi Gedung Perkantoran</t>
        </is>
      </c>
      <c r="N48" t="inlineStr">
        <is>
          <t>K</t>
        </is>
      </c>
      <c r="O48" t="inlineStr">
        <is>
          <t>20231215, 20231220</t>
        </is>
      </c>
      <c r="P48" t="inlineStr">
        <is>
          <t>Kalimantan Timur</t>
        </is>
      </c>
      <c r="Q48" t="inlineStr"/>
    </row>
    <row r="49">
      <c r="A49" t="inlineStr">
        <is>
          <t>DUA PUTRA KONSULTAN</t>
        </is>
      </c>
      <c r="B49" t="inlineStr">
        <is>
          <t>Kota Mataram</t>
        </is>
      </c>
      <c r="C49" t="inlineStr">
        <is>
          <t>087864040675</t>
        </is>
      </c>
      <c r="D49" t="inlineStr">
        <is>
          <t>duaputra6217@gmail.com</t>
        </is>
      </c>
      <c r="E49" t="inlineStr">
        <is>
          <t>https://lpjk.pu.go.id/search-badan-usaha-detail/dVoyRVVrbm1BcGFWOWliTGNsUm5GQT09</t>
        </is>
      </c>
      <c r="F49" t="n">
        <v>2</v>
      </c>
      <c r="G49" t="inlineStr">
        <is>
          <t>RK001, RK002</t>
        </is>
      </c>
      <c r="H49" t="inlineStr">
        <is>
          <t>6 Februari 2017</t>
        </is>
      </c>
      <c r="I49" s="2" t="n">
        <v>46370</v>
      </c>
      <c r="J49" t="inlineStr">
        <is>
          <t>Disetujui</t>
        </is>
      </c>
      <c r="K49" t="n">
        <v>87</v>
      </c>
      <c r="L49" t="inlineStr">
        <is>
          <t>14 Desember 2026</t>
        </is>
      </c>
      <c r="M49" t="inlineStr">
        <is>
          <t>Jasa Rekayasa Konstruksi Bangunan Gedung Hunian dan Non Hunian, Jasa Rekayasa Pekerjaan Teknik Sipil Sumber Daya Air</t>
        </is>
      </c>
      <c r="N49" t="inlineStr">
        <is>
          <t>K</t>
        </is>
      </c>
      <c r="O49" t="inlineStr">
        <is>
          <t>20231211</t>
        </is>
      </c>
      <c r="P49" t="inlineStr">
        <is>
          <t>Nusa Tenggara Barat</t>
        </is>
      </c>
      <c r="Q49" t="inlineStr"/>
    </row>
    <row r="50">
      <c r="A50" t="inlineStr">
        <is>
          <t>FAJAR AWANG MANDIRI</t>
        </is>
      </c>
      <c r="B50" t="inlineStr">
        <is>
          <t>Kab. Lampung Selatan</t>
        </is>
      </c>
      <c r="C50" t="inlineStr">
        <is>
          <t>-</t>
        </is>
      </c>
      <c r="D50" t="inlineStr">
        <is>
          <t>fajarawangmandiri@gmail.com</t>
        </is>
      </c>
      <c r="E50" t="inlineStr">
        <is>
          <t>https://lpjk.pu.go.id/search-badan-usaha-detail/UlIrQmNIT0dFa2VQeUxSVDhOYWNVUT09</t>
        </is>
      </c>
      <c r="F50" t="n">
        <v>2</v>
      </c>
      <c r="G50" t="inlineStr">
        <is>
          <t>BG009, BS004</t>
        </is>
      </c>
      <c r="H50" t="inlineStr">
        <is>
          <t>6 Januari 2014</t>
        </is>
      </c>
      <c r="I50" s="2" t="n">
        <v>46370</v>
      </c>
      <c r="J50" t="inlineStr">
        <is>
          <t>Disetujui</t>
        </is>
      </c>
      <c r="K50" t="n">
        <v>87</v>
      </c>
      <c r="L50" t="inlineStr">
        <is>
          <t>14 Desember 2026</t>
        </is>
      </c>
      <c r="M50" t="inlineStr">
        <is>
          <t>Konstruksi Gedung Lainnya, Konstruksi Jaringan Irigasi dan Drainase</t>
        </is>
      </c>
      <c r="N50" t="inlineStr">
        <is>
          <t>K</t>
        </is>
      </c>
      <c r="O50" t="inlineStr">
        <is>
          <t>20231211, 20231218</t>
        </is>
      </c>
      <c r="P50" t="inlineStr">
        <is>
          <t>Lampung</t>
        </is>
      </c>
      <c r="Q50" t="inlineStr"/>
    </row>
    <row r="51">
      <c r="A51" t="inlineStr">
        <is>
          <t>GAGAS RANCANG AKSATA</t>
        </is>
      </c>
      <c r="B51" t="inlineStr">
        <is>
          <t>Kota Semarang</t>
        </is>
      </c>
      <c r="C51" t="inlineStr">
        <is>
          <t>08157773939</t>
        </is>
      </c>
      <c r="D51" t="inlineStr">
        <is>
          <t>Gagasrancangaksata@gmail.com</t>
        </is>
      </c>
      <c r="E51" t="inlineStr">
        <is>
          <t>https://lpjk.pu.go.id/search-badan-usaha-detail/alhaaHVxczhDNVIra1VCNU5oOFRkdz09</t>
        </is>
      </c>
      <c r="F51" t="n">
        <v>2</v>
      </c>
      <c r="G51" t="inlineStr">
        <is>
          <t>AR001, AR002</t>
        </is>
      </c>
      <c r="H51" t="inlineStr">
        <is>
          <t>15 Juli 2021</t>
        </is>
      </c>
      <c r="I51" s="2" t="n">
        <v>46370</v>
      </c>
      <c r="J51" t="inlineStr">
        <is>
          <t>Disetujui</t>
        </is>
      </c>
      <c r="K51" t="n">
        <v>87</v>
      </c>
      <c r="L51" t="inlineStr">
        <is>
          <t>14 Desember 2026</t>
        </is>
      </c>
      <c r="M51" t="inlineStr">
        <is>
          <t>Jasa Arsitektural Bangunan Gedung Hunian dan Non Hunian, Jasa Arsitektural Lainnya</t>
        </is>
      </c>
      <c r="N51" t="inlineStr">
        <is>
          <t>K</t>
        </is>
      </c>
      <c r="O51" t="inlineStr">
        <is>
          <t>20231205</t>
        </is>
      </c>
      <c r="P51" t="inlineStr">
        <is>
          <t>Jawa Tengah</t>
        </is>
      </c>
      <c r="Q51" t="inlineStr"/>
    </row>
    <row r="52">
      <c r="A52" t="inlineStr">
        <is>
          <t>GAJAH MAS TANJUNG</t>
        </is>
      </c>
      <c r="B52" t="inlineStr">
        <is>
          <t>Kab. Tabalong</t>
        </is>
      </c>
      <c r="C52" t="inlineStr">
        <is>
          <t>081351953676</t>
        </is>
      </c>
      <c r="D52" t="inlineStr">
        <is>
          <t>pt.gajahmastanjung@gmail.com</t>
        </is>
      </c>
      <c r="E52" t="inlineStr">
        <is>
          <t>https://lpjk.pu.go.id/search-badan-usaha-detail/WEljKzRQL1ZZbEJkakkrZDZqREZtdz09</t>
        </is>
      </c>
      <c r="F52" t="n">
        <v>1</v>
      </c>
      <c r="G52" t="inlineStr">
        <is>
          <t>BG003</t>
        </is>
      </c>
      <c r="H52" t="inlineStr">
        <is>
          <t>28 September 2012</t>
        </is>
      </c>
      <c r="I52" s="2" t="n">
        <v>46370</v>
      </c>
      <c r="J52" t="inlineStr">
        <is>
          <t>Pembekuan</t>
        </is>
      </c>
      <c r="K52" t="n">
        <v>87</v>
      </c>
      <c r="L52" t="inlineStr">
        <is>
          <t>14 Desember 2026</t>
        </is>
      </c>
      <c r="M52" t="inlineStr">
        <is>
          <t>Konstruksi Gedung Industri</t>
        </is>
      </c>
      <c r="N52" t="inlineStr">
        <is>
          <t>M</t>
        </is>
      </c>
      <c r="O52" t="inlineStr">
        <is>
          <t>20231204</t>
        </is>
      </c>
      <c r="P52" t="inlineStr">
        <is>
          <t>Kalimantan Selatan</t>
        </is>
      </c>
      <c r="Q52" t="inlineStr"/>
    </row>
    <row r="53">
      <c r="A53" t="inlineStr">
        <is>
          <t>GALUH RAMADHITA</t>
        </is>
      </c>
      <c r="B53" t="inlineStr">
        <is>
          <t>Kota Bandung</t>
        </is>
      </c>
      <c r="C53" t="inlineStr">
        <is>
          <t>082262244624</t>
        </is>
      </c>
      <c r="D53" t="inlineStr">
        <is>
          <t>galuhramadhita@yahoo.com</t>
        </is>
      </c>
      <c r="E53" t="inlineStr">
        <is>
          <t>https://lpjk.pu.go.id/search-badan-usaha-detail/N0IxMXQ2cSswcHZhL0RHQXEzK1pkUT09</t>
        </is>
      </c>
      <c r="F53" t="n">
        <v>1</v>
      </c>
      <c r="G53" t="inlineStr">
        <is>
          <t>BS001</t>
        </is>
      </c>
      <c r="H53" t="inlineStr">
        <is>
          <t>22 Juni 2012</t>
        </is>
      </c>
      <c r="I53" s="2" t="n">
        <v>46370</v>
      </c>
      <c r="J53" t="inlineStr">
        <is>
          <t>Disetujui</t>
        </is>
      </c>
      <c r="K53" t="n">
        <v>87</v>
      </c>
      <c r="L53" t="inlineStr">
        <is>
          <t>14 Desember 2026</t>
        </is>
      </c>
      <c r="M53" t="inlineStr">
        <is>
          <t>Konstruksi Bangunan Sipil Jalan</t>
        </is>
      </c>
      <c r="N53" t="inlineStr">
        <is>
          <t>K</t>
        </is>
      </c>
      <c r="O53" t="inlineStr">
        <is>
          <t>20231214</t>
        </is>
      </c>
      <c r="P53" t="inlineStr">
        <is>
          <t>Jawa Barat</t>
        </is>
      </c>
      <c r="Q53" t="inlineStr"/>
    </row>
    <row r="54">
      <c r="A54" t="inlineStr">
        <is>
          <t>GARUDA MANDIRI PRATAMA</t>
        </is>
      </c>
      <c r="B54" t="inlineStr">
        <is>
          <t>Kota Palu</t>
        </is>
      </c>
      <c r="C54" t="inlineStr">
        <is>
          <t>085399059877</t>
        </is>
      </c>
      <c r="D54" t="inlineStr">
        <is>
          <t>pt.garuda.mp@gmail.com</t>
        </is>
      </c>
      <c r="E54" t="inlineStr">
        <is>
          <t>https://lpjk.pu.go.id/search-badan-usaha-detail/M0lFdFdpWFpIeHlmRGR6bGpRWmRyZz09</t>
        </is>
      </c>
      <c r="F54" t="n">
        <v>3</v>
      </c>
      <c r="G54" t="inlineStr">
        <is>
          <t>BS001, BS004, BS010</t>
        </is>
      </c>
      <c r="H54" t="inlineStr">
        <is>
          <t>15 Februari 2010</t>
        </is>
      </c>
      <c r="I54" s="2" t="n">
        <v>46370</v>
      </c>
      <c r="J54" t="inlineStr">
        <is>
          <t>Disetujui</t>
        </is>
      </c>
      <c r="K54" t="n">
        <v>87</v>
      </c>
      <c r="L54" t="inlineStr">
        <is>
          <t>14 Desember 2026</t>
        </is>
      </c>
      <c r="M54" t="inlineStr">
        <is>
          <t>Konstruksi Bangunan Prasarana Sumber Daya Air, Konstruksi Bangunan Sipil Jalan, Konstruksi Jaringan Irigasi dan Drainase</t>
        </is>
      </c>
      <c r="N54" t="inlineStr">
        <is>
          <t>K</t>
        </is>
      </c>
      <c r="O54" t="inlineStr">
        <is>
          <t>20231211, 20231215</t>
        </is>
      </c>
      <c r="P54" t="inlineStr">
        <is>
          <t>Sulawesi Tengah</t>
        </is>
      </c>
      <c r="Q54" t="inlineStr"/>
    </row>
    <row r="55">
      <c r="A55" t="inlineStr">
        <is>
          <t>GRAHA CIPTA BOJONEGORO</t>
        </is>
      </c>
      <c r="B55" t="inlineStr">
        <is>
          <t>Kab. Bojonegoro</t>
        </is>
      </c>
      <c r="C55" t="inlineStr">
        <is>
          <t>081232929990</t>
        </is>
      </c>
      <c r="D55" t="inlineStr">
        <is>
          <t>Grahaciptaku@gmail.com</t>
        </is>
      </c>
      <c r="E55" t="inlineStr">
        <is>
          <t>https://lpjk.pu.go.id/search-badan-usaha-detail/OUhXemVTS24yZDRQaGVwaGc2dHBWQT09</t>
        </is>
      </c>
      <c r="F55" t="n">
        <v>1</v>
      </c>
      <c r="G55" t="inlineStr">
        <is>
          <t>BG001</t>
        </is>
      </c>
      <c r="H55" t="inlineStr">
        <is>
          <t>28 Maret 2008</t>
        </is>
      </c>
      <c r="I55" s="2" t="n">
        <v>46370</v>
      </c>
      <c r="J55" t="inlineStr">
        <is>
          <t>Disetujui</t>
        </is>
      </c>
      <c r="K55" t="n">
        <v>87</v>
      </c>
      <c r="L55" t="inlineStr">
        <is>
          <t>14 Desember 2026</t>
        </is>
      </c>
      <c r="M55" t="inlineStr">
        <is>
          <t>Konstruksi Gedung Hunian</t>
        </is>
      </c>
      <c r="N55" t="inlineStr">
        <is>
          <t>K</t>
        </is>
      </c>
      <c r="O55" t="inlineStr">
        <is>
          <t>20231211</t>
        </is>
      </c>
      <c r="P55" t="inlineStr">
        <is>
          <t>Jawa Timur</t>
        </is>
      </c>
      <c r="Q55" t="inlineStr"/>
    </row>
    <row r="56">
      <c r="A56" t="inlineStr">
        <is>
          <t>HANARA CEMERLANG INDONESIA</t>
        </is>
      </c>
      <c r="B56" t="inlineStr">
        <is>
          <t>Kota Adm. Jakarta Barat</t>
        </is>
      </c>
      <c r="C56" t="inlineStr">
        <is>
          <t>081254991878</t>
        </is>
      </c>
      <c r="D56" t="inlineStr">
        <is>
          <t>hanara.cemerlang@gmail.com</t>
        </is>
      </c>
      <c r="E56" t="inlineStr">
        <is>
          <t>https://lpjk.pu.go.id/search-badan-usaha-detail/MzRQMTg2WHJEemhUc3c0Y0o3L2pndz09</t>
        </is>
      </c>
      <c r="F56" t="n">
        <v>1</v>
      </c>
      <c r="G56" t="inlineStr">
        <is>
          <t>KK016</t>
        </is>
      </c>
      <c r="H56" t="inlineStr">
        <is>
          <t>27 Januari 2021</t>
        </is>
      </c>
      <c r="I56" s="2" t="n">
        <v>46370</v>
      </c>
      <c r="J56" t="inlineStr">
        <is>
          <t>Disetujui</t>
        </is>
      </c>
      <c r="K56" t="n">
        <v>87</v>
      </c>
      <c r="L56" t="inlineStr">
        <is>
          <t>14 Desember 2026</t>
        </is>
      </c>
      <c r="M56" t="inlineStr">
        <is>
          <t>Pemasangan Kerangka Baja</t>
        </is>
      </c>
      <c r="N56" t="inlineStr">
        <is>
          <t>Spesialis</t>
        </is>
      </c>
      <c r="O56" t="inlineStr">
        <is>
          <t>20231213</t>
        </is>
      </c>
      <c r="P56" t="inlineStr">
        <is>
          <t>DKI Jakarta</t>
        </is>
      </c>
      <c r="Q56" t="inlineStr"/>
    </row>
    <row r="57">
      <c r="A57" t="inlineStr">
        <is>
          <t>HIKMAH MADANI FATIMAH</t>
        </is>
      </c>
      <c r="B57" t="inlineStr">
        <is>
          <t>Kab. Kotawaringin Timur</t>
        </is>
      </c>
      <c r="C57" t="inlineStr">
        <is>
          <t>081398218808</t>
        </is>
      </c>
      <c r="D57" t="inlineStr">
        <is>
          <t>hikmahmadanifatimah1@gmail.com</t>
        </is>
      </c>
      <c r="E57" t="inlineStr">
        <is>
          <t>https://lpjk.pu.go.id/search-badan-usaha-detail/NUw5cFNyblBkeEtRcVN4NU1YelRzQT09</t>
        </is>
      </c>
      <c r="F57" t="n">
        <v>6</v>
      </c>
      <c r="G57" t="inlineStr">
        <is>
          <t>BG001, BG009, BS001</t>
        </is>
      </c>
      <c r="H57" t="inlineStr">
        <is>
          <t>11 Oktober 2023</t>
        </is>
      </c>
      <c r="I57" s="2" t="n">
        <v>46370</v>
      </c>
      <c r="J57" t="inlineStr">
        <is>
          <t>Disetujui</t>
        </is>
      </c>
      <c r="K57" t="n">
        <v>87</v>
      </c>
      <c r="L57" t="inlineStr">
        <is>
          <t>14 Desember 2026</t>
        </is>
      </c>
      <c r="M57" t="inlineStr">
        <is>
          <t>Konstruksi Bangunan Sipil Jalan, Konstruksi Gedung Hunian, Konstruksi Gedung Lainnya</t>
        </is>
      </c>
      <c r="N57" t="inlineStr">
        <is>
          <t>K</t>
        </is>
      </c>
      <c r="O57" t="inlineStr">
        <is>
          <t>20231213, 20231214</t>
        </is>
      </c>
      <c r="P57" t="inlineStr">
        <is>
          <t>Kalimantan Tengah</t>
        </is>
      </c>
      <c r="Q57" t="inlineStr"/>
    </row>
    <row r="58">
      <c r="A58" t="inlineStr">
        <is>
          <t>INDAHJAYA KARYA ABADI</t>
        </is>
      </c>
      <c r="B58" t="inlineStr">
        <is>
          <t>Kota Manado</t>
        </is>
      </c>
      <c r="C58" t="inlineStr">
        <is>
          <t>0895802952714</t>
        </is>
      </c>
      <c r="D58" t="inlineStr">
        <is>
          <t>indahjayakaryaabadi@gmail.com</t>
        </is>
      </c>
      <c r="E58" t="inlineStr">
        <is>
          <t>https://lpjk.pu.go.id/search-badan-usaha-detail/MVgzaGtXWU4walphZmJVaCtpZ3dPdz09</t>
        </is>
      </c>
      <c r="F58" t="n">
        <v>1</v>
      </c>
      <c r="G58" t="inlineStr">
        <is>
          <t>BS010</t>
        </is>
      </c>
      <c r="H58" t="inlineStr">
        <is>
          <t>22 Juni 2012</t>
        </is>
      </c>
      <c r="I58" s="2" t="n">
        <v>46370</v>
      </c>
      <c r="J58" t="inlineStr">
        <is>
          <t>Pembekuan</t>
        </is>
      </c>
      <c r="K58" t="n">
        <v>87</v>
      </c>
      <c r="L58" t="inlineStr">
        <is>
          <t>14 Desember 2026</t>
        </is>
      </c>
      <c r="M58" t="inlineStr">
        <is>
          <t>Konstruksi Bangunan Prasarana Sumber Daya Air</t>
        </is>
      </c>
      <c r="N58" t="inlineStr">
        <is>
          <t>M</t>
        </is>
      </c>
      <c r="O58" t="inlineStr">
        <is>
          <t>20231123</t>
        </is>
      </c>
      <c r="P58" t="inlineStr">
        <is>
          <t>Sulawesi Utara</t>
        </is>
      </c>
      <c r="Q58" t="inlineStr"/>
    </row>
    <row r="59">
      <c r="A59" t="inlineStr">
        <is>
          <t>INDI DAYA REKAPRATAMA</t>
        </is>
      </c>
      <c r="B59" t="inlineStr">
        <is>
          <t>Kota Adm. Jakarta Selatan</t>
        </is>
      </c>
      <c r="C59" t="inlineStr">
        <is>
          <t>02122529970</t>
        </is>
      </c>
      <c r="D59" t="inlineStr">
        <is>
          <t>info@indidayarekapratama.com</t>
        </is>
      </c>
      <c r="E59" t="inlineStr">
        <is>
          <t>https://lpjk.pu.go.id/search-badan-usaha-detail/U0FWb0czcmpyMTh5ZDlGaisyOFBYUT09</t>
        </is>
      </c>
      <c r="F59" t="n">
        <v>2</v>
      </c>
      <c r="G59" t="inlineStr">
        <is>
          <t>BG001, BG005</t>
        </is>
      </c>
      <c r="H59" t="inlineStr">
        <is>
          <t>2 Maret 2020</t>
        </is>
      </c>
      <c r="I59" s="2" t="n">
        <v>46370</v>
      </c>
      <c r="J59" t="inlineStr">
        <is>
          <t>Pembekuan</t>
        </is>
      </c>
      <c r="K59" t="n">
        <v>87</v>
      </c>
      <c r="L59" t="inlineStr">
        <is>
          <t>14 Desember 2026</t>
        </is>
      </c>
      <c r="M59" t="inlineStr">
        <is>
          <t>Konstruksi Gedung Hunian, Konstruksi Gedung Kesehatan</t>
        </is>
      </c>
      <c r="N59" t="inlineStr">
        <is>
          <t>M</t>
        </is>
      </c>
      <c r="O59" t="inlineStr">
        <is>
          <t>20231214, 20231220</t>
        </is>
      </c>
      <c r="P59" t="inlineStr">
        <is>
          <t>DKI Jakarta</t>
        </is>
      </c>
      <c r="Q59" t="inlineStr"/>
    </row>
    <row r="60">
      <c r="A60" t="inlineStr">
        <is>
          <t>INDO RIAU PERKASA</t>
        </is>
      </c>
      <c r="B60" t="inlineStr">
        <is>
          <t>Kota Pekanbaru</t>
        </is>
      </c>
      <c r="C60" t="inlineStr">
        <is>
          <t>0761856338</t>
        </is>
      </c>
      <c r="D60" t="inlineStr">
        <is>
          <t>admin@indoriauperkasa.com</t>
        </is>
      </c>
      <c r="E60" t="inlineStr">
        <is>
          <t>https://lpjk.pu.go.id/search-badan-usaha-detail/OE5SeElNS2pOektrMHNFVjh0YzUxbStHejV2cnNFODBnNHcvY1ZPOGpXST0</t>
        </is>
      </c>
      <c r="F60" t="n">
        <v>1</v>
      </c>
      <c r="G60" t="inlineStr">
        <is>
          <t>IN004</t>
        </is>
      </c>
      <c r="H60" t="inlineStr">
        <is>
          <t>18 Juli 2025</t>
        </is>
      </c>
      <c r="I60" s="2" t="n">
        <v>46370</v>
      </c>
      <c r="J60" t="inlineStr">
        <is>
          <t>Disetujui</t>
        </is>
      </c>
      <c r="K60" t="n">
        <v>87</v>
      </c>
      <c r="L60" t="inlineStr">
        <is>
          <t>14 Desember 2026</t>
        </is>
      </c>
      <c r="M60" t="inlineStr">
        <is>
          <t>Instalasi Minyak dan Gas</t>
        </is>
      </c>
      <c r="N60" t="inlineStr">
        <is>
          <t>Spesialis</t>
        </is>
      </c>
      <c r="O60" t="inlineStr">
        <is>
          <t>20231214</t>
        </is>
      </c>
      <c r="P60" t="inlineStr">
        <is>
          <t>Riau</t>
        </is>
      </c>
      <c r="Q60" t="inlineStr"/>
    </row>
    <row r="61">
      <c r="A61" t="inlineStr">
        <is>
          <t>INTAN NOSA CONSULTANT</t>
        </is>
      </c>
      <c r="B61" t="inlineStr">
        <is>
          <t>Kota Bukittinggi</t>
        </is>
      </c>
      <c r="C61" t="inlineStr">
        <is>
          <t>082283098894</t>
        </is>
      </c>
      <c r="D61" t="inlineStr">
        <is>
          <t>cvintannosaconsultant@gmail.com</t>
        </is>
      </c>
      <c r="E61" t="inlineStr">
        <is>
          <t>https://lpjk.pu.go.id/search-badan-usaha-detail/M2R4SUVQKzlMVUdhczBQTHZ1WHdDdz09</t>
        </is>
      </c>
      <c r="F61" t="n">
        <v>1</v>
      </c>
      <c r="G61" t="inlineStr">
        <is>
          <t>RK002</t>
        </is>
      </c>
      <c r="H61" t="inlineStr">
        <is>
          <t>31 Maret 2023</t>
        </is>
      </c>
      <c r="I61" s="2" t="n">
        <v>46370</v>
      </c>
      <c r="J61" t="inlineStr">
        <is>
          <t>Disetujui</t>
        </is>
      </c>
      <c r="K61" t="n">
        <v>87</v>
      </c>
      <c r="L61" t="inlineStr">
        <is>
          <t>14 Desember 2026</t>
        </is>
      </c>
      <c r="M61" t="inlineStr">
        <is>
          <t>Jasa Rekayasa Pekerjaan Teknik Sipil Sumber Daya Air</t>
        </is>
      </c>
      <c r="N61" t="inlineStr">
        <is>
          <t>K</t>
        </is>
      </c>
      <c r="O61" t="inlineStr">
        <is>
          <t>20231121</t>
        </is>
      </c>
      <c r="P61" t="inlineStr">
        <is>
          <t>Sumatera Barat</t>
        </is>
      </c>
      <c r="Q61" t="inlineStr"/>
    </row>
    <row r="62">
      <c r="A62" t="inlineStr">
        <is>
          <t>JALA JAYA</t>
        </is>
      </c>
      <c r="B62" t="inlineStr">
        <is>
          <t>Kab. Brebes</t>
        </is>
      </c>
      <c r="C62" t="inlineStr">
        <is>
          <t>08157771651</t>
        </is>
      </c>
      <c r="D62" t="inlineStr">
        <is>
          <t>sofiefiejalajaya@gmail.com</t>
        </is>
      </c>
      <c r="E62" t="inlineStr">
        <is>
          <t>https://lpjk.pu.go.id/search-badan-usaha-detail/S05wazdTYkJCYzVUZTArQ2RjYW1tZz09</t>
        </is>
      </c>
      <c r="F62" t="n">
        <v>3</v>
      </c>
      <c r="G62" t="inlineStr">
        <is>
          <t>BG006, BS001, BS004</t>
        </is>
      </c>
      <c r="H62" t="inlineStr">
        <is>
          <t>25 Mei 2001</t>
        </is>
      </c>
      <c r="I62" s="2" t="n">
        <v>46370</v>
      </c>
      <c r="J62" t="inlineStr">
        <is>
          <t>Disetujui</t>
        </is>
      </c>
      <c r="K62" t="n">
        <v>87</v>
      </c>
      <c r="L62" t="inlineStr">
        <is>
          <t>14 Desember 2026</t>
        </is>
      </c>
      <c r="M62" t="inlineStr">
        <is>
          <t>Konstruksi Bangunan Sipil Jalan, Konstruksi Gedung Pendidikan, Konstruksi Jaringan Irigasi dan Drainase</t>
        </is>
      </c>
      <c r="N62" t="inlineStr">
        <is>
          <t>K</t>
        </is>
      </c>
      <c r="O62" t="inlineStr">
        <is>
          <t>20230828, 20231130</t>
        </is>
      </c>
      <c r="P62" t="inlineStr">
        <is>
          <t>Jawa Tengah</t>
        </is>
      </c>
      <c r="Q62" t="inlineStr"/>
    </row>
    <row r="63">
      <c r="A63" t="inlineStr">
        <is>
          <t>JASA KONSTRUKSI</t>
        </is>
      </c>
      <c r="B63" t="inlineStr">
        <is>
          <t>Kab. Banjarnegara</t>
        </is>
      </c>
      <c r="C63" t="inlineStr">
        <is>
          <t>082243792596</t>
        </is>
      </c>
      <c r="D63" t="inlineStr">
        <is>
          <t>cv.jasakonstruksii@gmail.com</t>
        </is>
      </c>
      <c r="E63" t="inlineStr">
        <is>
          <t>https://lpjk.pu.go.id/search-badan-usaha-detail/OTNIcWRyRTVzV2FTREluWXp2Y0h3UT09</t>
        </is>
      </c>
      <c r="F63" t="n">
        <v>1</v>
      </c>
      <c r="G63" t="inlineStr">
        <is>
          <t>BG009</t>
        </is>
      </c>
      <c r="H63" t="inlineStr">
        <is>
          <t>16 Juli 2017</t>
        </is>
      </c>
      <c r="I63" s="2" t="n">
        <v>46370</v>
      </c>
      <c r="J63" t="inlineStr">
        <is>
          <t>Disetujui</t>
        </is>
      </c>
      <c r="K63" t="n">
        <v>87</v>
      </c>
      <c r="L63" t="inlineStr">
        <is>
          <t>14 Desember 2026</t>
        </is>
      </c>
      <c r="M63" t="inlineStr">
        <is>
          <t>Konstruksi Gedung Lainnya</t>
        </is>
      </c>
      <c r="N63" t="inlineStr">
        <is>
          <t>K</t>
        </is>
      </c>
      <c r="O63" t="inlineStr">
        <is>
          <t>20231211</t>
        </is>
      </c>
      <c r="P63" t="inlineStr">
        <is>
          <t>Jawa Tengah</t>
        </is>
      </c>
      <c r="Q63" t="inlineStr"/>
    </row>
    <row r="64">
      <c r="A64" t="inlineStr">
        <is>
          <t>JAVA BIMA CITRA</t>
        </is>
      </c>
      <c r="B64" t="inlineStr">
        <is>
          <t>Kota Pontianak</t>
        </is>
      </c>
      <c r="C64" t="inlineStr">
        <is>
          <t>082288121199</t>
        </is>
      </c>
      <c r="D64" t="inlineStr">
        <is>
          <t>javabimacitra@yahoo.com</t>
        </is>
      </c>
      <c r="E64" t="inlineStr">
        <is>
          <t>https://lpjk.pu.go.id/search-badan-usaha-detail/blVoOExsc3RFMWhJekduQmtNVDQydz09</t>
        </is>
      </c>
      <c r="F64" t="n">
        <v>6</v>
      </c>
      <c r="G64" t="inlineStr">
        <is>
          <t>AR001, AR002, RK001, RK002, RK003, RK005</t>
        </is>
      </c>
      <c r="H64" t="inlineStr">
        <is>
          <t>25 Januari 2007</t>
        </is>
      </c>
      <c r="I64" s="2" t="n">
        <v>46370</v>
      </c>
      <c r="J64" t="inlineStr">
        <is>
          <t>Disetujui</t>
        </is>
      </c>
      <c r="K64" t="n">
        <v>87</v>
      </c>
      <c r="L64" t="inlineStr">
        <is>
          <t>14 Desember 2026</t>
        </is>
      </c>
      <c r="M64" t="inlineStr">
        <is>
          <t>Jasa Arsitektural Bangunan Gedung Hunian dan Non Hunian, Jasa Arsitektural Lainnya, Jasa Rekayasa Konstruksi Bangunan Gedung Hunian dan Non Hunian, Jasa Rekayasa Lainnya, Jasa Rekayasa Pekerjaan Teknik Sipil Sumber Daya Air, Jasa Rekayasa Pekerjaan Teknik Sipil Transportasi</t>
        </is>
      </c>
      <c r="N64" t="inlineStr">
        <is>
          <t>K</t>
        </is>
      </c>
      <c r="O64" t="inlineStr">
        <is>
          <t>20231207</t>
        </is>
      </c>
      <c r="P64" t="inlineStr">
        <is>
          <t>Kalimantan Barat</t>
        </is>
      </c>
      <c r="Q64" t="inlineStr"/>
    </row>
    <row r="65">
      <c r="A65" t="inlineStr">
        <is>
          <t>JAYA KONSTRUKSI NASIONAL</t>
        </is>
      </c>
      <c r="B65" t="inlineStr">
        <is>
          <t>Kota Surabaya</t>
        </is>
      </c>
      <c r="C65" t="inlineStr">
        <is>
          <t>03182531715</t>
        </is>
      </c>
      <c r="D65" t="inlineStr">
        <is>
          <t>jknkonstruksi20@gmail.com</t>
        </is>
      </c>
      <c r="E65" t="inlineStr">
        <is>
          <t>https://lpjk.pu.go.id/search-badan-usaha-detail/REhndEFmdFBUMDgvRTNVWnE1ak1DUT09</t>
        </is>
      </c>
      <c r="F65" t="n">
        <v>7</v>
      </c>
      <c r="G65" t="inlineStr">
        <is>
          <t>BG001, BG002, BG005, BG006, BG009, BS004, BS005</t>
        </is>
      </c>
      <c r="H65" t="inlineStr">
        <is>
          <t>31 Mei 2019</t>
        </is>
      </c>
      <c r="I65" s="2" t="n">
        <v>46370</v>
      </c>
      <c r="J65" t="inlineStr">
        <is>
          <t>Disetujui</t>
        </is>
      </c>
      <c r="K65" t="n">
        <v>87</v>
      </c>
      <c r="L65" t="inlineStr">
        <is>
          <t>14 Desember 2026</t>
        </is>
      </c>
      <c r="M65" t="inlineStr">
        <is>
          <t>Konstruksi Bangunan Sipil Pengolahan Air Bersih, Konstruksi Gedung Hunian, Konstruksi Gedung Kesehatan, Konstruksi Gedung Lainnya, Konstruksi Gedung Pendidikan, Konstruksi Gedung Perkantoran, Konstruksi Jaringan Irigasi dan Drainase</t>
        </is>
      </c>
      <c r="N65" t="inlineStr">
        <is>
          <t>K</t>
        </is>
      </c>
      <c r="O65" t="inlineStr">
        <is>
          <t>20231212</t>
        </is>
      </c>
      <c r="P65" t="inlineStr">
        <is>
          <t>Jawa Timur</t>
        </is>
      </c>
      <c r="Q65" t="inlineStr"/>
    </row>
    <row r="66">
      <c r="A66" t="inlineStr">
        <is>
          <t>JAYA MAKMUR</t>
        </is>
      </c>
      <c r="B66" t="inlineStr">
        <is>
          <t>Kab. Indramayu</t>
        </is>
      </c>
      <c r="C66" t="inlineStr">
        <is>
          <t>0895331877871</t>
        </is>
      </c>
      <c r="D66" t="inlineStr">
        <is>
          <t>jayamakmuecv44@gmail.com</t>
        </is>
      </c>
      <c r="E66" t="inlineStr">
        <is>
          <t>https://lpjk.pu.go.id/search-badan-usaha-detail/ay9tdFVDOFhZRUxLS0VoZ2NYMGxPZz09</t>
        </is>
      </c>
      <c r="F66" t="n">
        <v>1</v>
      </c>
      <c r="G66" t="inlineStr">
        <is>
          <t>BS004</t>
        </is>
      </c>
      <c r="H66" t="inlineStr">
        <is>
          <t>14 September 2010</t>
        </is>
      </c>
      <c r="I66" s="2" t="n">
        <v>46370</v>
      </c>
      <c r="J66" t="inlineStr">
        <is>
          <t>Disetujui</t>
        </is>
      </c>
      <c r="K66" t="n">
        <v>87</v>
      </c>
      <c r="L66" t="inlineStr">
        <is>
          <t>14 Desember 2026</t>
        </is>
      </c>
      <c r="M66" t="inlineStr">
        <is>
          <t>Konstruksi Jaringan Irigasi dan Drainase</t>
        </is>
      </c>
      <c r="N66" t="inlineStr">
        <is>
          <t>K</t>
        </is>
      </c>
      <c r="O66" t="inlineStr">
        <is>
          <t>20231201</t>
        </is>
      </c>
      <c r="P66" t="inlineStr">
        <is>
          <t>Jawa Barat</t>
        </is>
      </c>
      <c r="Q66" t="inlineStr"/>
    </row>
    <row r="67">
      <c r="A67" t="inlineStr">
        <is>
          <t>JAYA MAKMUR BERSAMA</t>
        </is>
      </c>
      <c r="B67" t="inlineStr">
        <is>
          <t>Kota Bandung</t>
        </is>
      </c>
      <c r="C67" t="inlineStr">
        <is>
          <t>081901185888</t>
        </is>
      </c>
      <c r="D67" t="inlineStr">
        <is>
          <t>jmb.bandung@gmail.com</t>
        </is>
      </c>
      <c r="E67" t="inlineStr">
        <is>
          <t>https://lpjk.pu.go.id/search-badan-usaha-detail/VzNwa1VsK1lROHlDUlFKK3haM1dvUT09</t>
        </is>
      </c>
      <c r="F67" t="n">
        <v>2</v>
      </c>
      <c r="G67" t="inlineStr">
        <is>
          <t>BG006, BG009</t>
        </is>
      </c>
      <c r="H67" t="inlineStr">
        <is>
          <t>7 Juni 2014</t>
        </is>
      </c>
      <c r="I67" s="2" t="n">
        <v>46370</v>
      </c>
      <c r="J67" t="inlineStr">
        <is>
          <t>Disetujui</t>
        </is>
      </c>
      <c r="K67" t="n">
        <v>87</v>
      </c>
      <c r="L67" t="inlineStr">
        <is>
          <t>14 Desember 2026</t>
        </is>
      </c>
      <c r="M67" t="inlineStr">
        <is>
          <t>Konstruksi Gedung Lainnya, Konstruksi Gedung Pendidikan</t>
        </is>
      </c>
      <c r="N67" t="inlineStr">
        <is>
          <t>K</t>
        </is>
      </c>
      <c r="O67" t="inlineStr">
        <is>
          <t>20231212</t>
        </is>
      </c>
      <c r="P67" t="inlineStr">
        <is>
          <t>Jawa Barat</t>
        </is>
      </c>
      <c r="Q67" t="inlineStr"/>
    </row>
    <row r="68">
      <c r="A68" t="inlineStr">
        <is>
          <t>JAYA MUBAROK CONSTRUCTION</t>
        </is>
      </c>
      <c r="B68" t="inlineStr">
        <is>
          <t>Kab. Demak</t>
        </is>
      </c>
      <c r="C68" t="inlineStr">
        <is>
          <t>082241405450</t>
        </is>
      </c>
      <c r="D68" t="inlineStr">
        <is>
          <t>pt.jmc99@gmail.com</t>
        </is>
      </c>
      <c r="E68" t="inlineStr">
        <is>
          <t>https://lpjk.pu.go.id/search-badan-usaha-detail/RGJmdzg1dkNGeXFzdXNlVVdiejdwdz09</t>
        </is>
      </c>
      <c r="F68" t="n">
        <v>5</v>
      </c>
      <c r="G68" t="inlineStr">
        <is>
          <t>BG001, BG002, BG005, BG006, BG009</t>
        </is>
      </c>
      <c r="H68" t="inlineStr">
        <is>
          <t>2 Oktober 2023</t>
        </is>
      </c>
      <c r="I68" s="2" t="n">
        <v>46370</v>
      </c>
      <c r="J68" t="inlineStr">
        <is>
          <t>Disetujui</t>
        </is>
      </c>
      <c r="K68" t="n">
        <v>87</v>
      </c>
      <c r="L68" t="inlineStr">
        <is>
          <t>14 Desember 2026</t>
        </is>
      </c>
      <c r="M68" t="inlineStr">
        <is>
          <t>Konstruksi Gedung Hunian, Konstruksi Gedung Kesehatan, Konstruksi Gedung Lainnya, Konstruksi Gedung Pendidikan, Konstruksi Gedung Perkantoran</t>
        </is>
      </c>
      <c r="N68" t="inlineStr">
        <is>
          <t>K</t>
        </is>
      </c>
      <c r="O68" t="inlineStr">
        <is>
          <t>20231019, 20231214</t>
        </is>
      </c>
      <c r="P68" t="inlineStr">
        <is>
          <t>Jawa Tengah</t>
        </is>
      </c>
      <c r="Q68" t="inlineStr"/>
    </row>
    <row r="69">
      <c r="A69" t="inlineStr">
        <is>
          <t>KARINDA DAYA PERKASA</t>
        </is>
      </c>
      <c r="B69" t="inlineStr">
        <is>
          <t>Kota Adm. Jakarta Selatan</t>
        </is>
      </c>
      <c r="C69" t="inlineStr">
        <is>
          <t>8292177</t>
        </is>
      </c>
      <c r="D69" t="inlineStr">
        <is>
          <t>mail@pt-kdp.com</t>
        </is>
      </c>
      <c r="E69" t="inlineStr">
        <is>
          <t>https://lpjk.pu.go.id/search-badan-usaha-detail/R2htWFdHZDh1UWxXVExmcWtFWnFXUT09</t>
        </is>
      </c>
      <c r="F69" t="n">
        <v>1</v>
      </c>
      <c r="G69" t="inlineStr">
        <is>
          <t>BG003</t>
        </is>
      </c>
      <c r="H69" t="inlineStr">
        <is>
          <t>24 Oktober 2000</t>
        </is>
      </c>
      <c r="I69" s="2" t="n">
        <v>46370</v>
      </c>
      <c r="J69" t="inlineStr">
        <is>
          <t>Disetujui</t>
        </is>
      </c>
      <c r="K69" t="n">
        <v>87</v>
      </c>
      <c r="L69" t="inlineStr">
        <is>
          <t>14 Desember 2026</t>
        </is>
      </c>
      <c r="M69" t="inlineStr">
        <is>
          <t>Konstruksi Gedung Industri</t>
        </is>
      </c>
      <c r="N69" t="inlineStr">
        <is>
          <t>M</t>
        </is>
      </c>
      <c r="O69" t="inlineStr">
        <is>
          <t>20230317</t>
        </is>
      </c>
      <c r="P69" t="inlineStr">
        <is>
          <t>DKI Jakarta</t>
        </is>
      </c>
      <c r="Q69" t="inlineStr"/>
    </row>
    <row r="70">
      <c r="A70" t="inlineStr">
        <is>
          <t>KARTIKA SARI</t>
        </is>
      </c>
      <c r="B70" t="inlineStr">
        <is>
          <t>Kota Kediri</t>
        </is>
      </c>
      <c r="C70" t="inlineStr">
        <is>
          <t>08125945541</t>
        </is>
      </c>
      <c r="D70" t="inlineStr">
        <is>
          <t>cv.kartikasarikdr@gmail.com</t>
        </is>
      </c>
      <c r="E70" t="inlineStr">
        <is>
          <t>https://lpjk.pu.go.id/search-badan-usaha-detail/Nm1NMkhPYmpzOVVPQnA5MFVXV3ZlZz09</t>
        </is>
      </c>
      <c r="F70" t="n">
        <v>5</v>
      </c>
      <c r="G70" t="inlineStr">
        <is>
          <t>BG005, BG006, BS001, BS002, BS004</t>
        </is>
      </c>
      <c r="H70" t="inlineStr">
        <is>
          <t>22 Oktober 1993</t>
        </is>
      </c>
      <c r="I70" s="2" t="n">
        <v>46370</v>
      </c>
      <c r="J70" t="inlineStr">
        <is>
          <t>Disetujui</t>
        </is>
      </c>
      <c r="K70" t="n">
        <v>87</v>
      </c>
      <c r="L70" t="inlineStr">
        <is>
          <t>14 Desember 2026</t>
        </is>
      </c>
      <c r="M70" t="inlineStr">
        <is>
          <t>Bangunan Sipil Jembatan, Jalan Layang, Fly Over, dan Underpass, Konstruksi Bangunan Sipil Jalan, Konstruksi Gedung Kesehatan, Konstruksi Gedung Pendidikan, Konstruksi Jaringan Irigasi dan Drainase</t>
        </is>
      </c>
      <c r="N70" t="inlineStr">
        <is>
          <t>K</t>
        </is>
      </c>
      <c r="O70" t="inlineStr">
        <is>
          <t>20231212, 20231213, 20231214</t>
        </is>
      </c>
      <c r="P70" t="inlineStr">
        <is>
          <t>Jawa Timur</t>
        </is>
      </c>
      <c r="Q70" t="inlineStr"/>
    </row>
    <row r="71">
      <c r="A71" t="inlineStr">
        <is>
          <t>KARYA CIPTA PERSADA</t>
        </is>
      </c>
      <c r="B71" t="inlineStr">
        <is>
          <t>Kota Adm. Jakarta Selatan</t>
        </is>
      </c>
      <c r="C71" t="inlineStr">
        <is>
          <t>02183787434</t>
        </is>
      </c>
      <c r="D71" t="inlineStr">
        <is>
          <t>karyaciptapersadacv@gmail.com</t>
        </is>
      </c>
      <c r="E71" t="inlineStr">
        <is>
          <t>https://lpjk.pu.go.id/search-badan-usaha-detail/VFpwaGdPQnJrYlcxUm4vL212dlhUQT09</t>
        </is>
      </c>
      <c r="F71" t="n">
        <v>1</v>
      </c>
      <c r="G71" t="inlineStr">
        <is>
          <t>IN001</t>
        </is>
      </c>
      <c r="H71" t="inlineStr">
        <is>
          <t>16 Maret 2009</t>
        </is>
      </c>
      <c r="I71" s="2" t="n">
        <v>46370</v>
      </c>
      <c r="J71" t="inlineStr">
        <is>
          <t>Disetujui</t>
        </is>
      </c>
      <c r="K71" t="n">
        <v>87</v>
      </c>
      <c r="L71" t="inlineStr">
        <is>
          <t>14 Desember 2026</t>
        </is>
      </c>
      <c r="M71" t="inlineStr">
        <is>
          <t>Instalasi Mekanikal</t>
        </is>
      </c>
      <c r="N71" t="inlineStr">
        <is>
          <t>Spesialis</t>
        </is>
      </c>
      <c r="O71" t="inlineStr">
        <is>
          <t>20230406</t>
        </is>
      </c>
      <c r="P71" t="inlineStr">
        <is>
          <t>DKI Jakarta</t>
        </is>
      </c>
      <c r="Q71" t="inlineStr"/>
    </row>
    <row r="72">
      <c r="A72" t="inlineStr">
        <is>
          <t>KARYA SAKTI KONSTRUKSI</t>
        </is>
      </c>
      <c r="B72" t="inlineStr">
        <is>
          <t>Kab. Ogan Ilir</t>
        </is>
      </c>
      <c r="C72" t="inlineStr">
        <is>
          <t>085273422255</t>
        </is>
      </c>
      <c r="D72" t="inlineStr">
        <is>
          <t>karyasaktikonstruksi@gmail.com</t>
        </is>
      </c>
      <c r="E72" t="inlineStr">
        <is>
          <t>https://lpjk.pu.go.id/search-badan-usaha-detail/bWY3elp5OHN0S1JweVNNZXFxNmlSQT09</t>
        </is>
      </c>
      <c r="F72" t="n">
        <v>2</v>
      </c>
      <c r="G72" t="inlineStr">
        <is>
          <t>BG006, BG009</t>
        </is>
      </c>
      <c r="H72" t="inlineStr">
        <is>
          <t>1 November 2023</t>
        </is>
      </c>
      <c r="I72" s="2" t="n">
        <v>46370</v>
      </c>
      <c r="J72" t="inlineStr">
        <is>
          <t>Disetujui</t>
        </is>
      </c>
      <c r="K72" t="n">
        <v>87</v>
      </c>
      <c r="L72" t="inlineStr">
        <is>
          <t>14 Desember 2026</t>
        </is>
      </c>
      <c r="M72" t="inlineStr">
        <is>
          <t>Konstruksi Gedung Lainnya, Konstruksi Gedung Pendidikan</t>
        </is>
      </c>
      <c r="N72" t="inlineStr">
        <is>
          <t>K</t>
        </is>
      </c>
      <c r="O72" t="inlineStr">
        <is>
          <t>20231214</t>
        </is>
      </c>
      <c r="P72" t="inlineStr">
        <is>
          <t>Sumatera Selatan</t>
        </is>
      </c>
      <c r="Q72" t="inlineStr"/>
    </row>
    <row r="73">
      <c r="A73" t="inlineStr">
        <is>
          <t>KOPERASI KONSUMEN KARYAWAN TIRTA DHARMA</t>
        </is>
      </c>
      <c r="B73" t="inlineStr">
        <is>
          <t>Kota Pontianak</t>
        </is>
      </c>
      <c r="C73" t="inlineStr">
        <is>
          <t>0561761179</t>
        </is>
      </c>
      <c r="D73" t="inlineStr">
        <is>
          <t>kopkartirtadharma@yahoo.com</t>
        </is>
      </c>
      <c r="E73" t="inlineStr">
        <is>
          <t>https://lpjk.pu.go.id/search-badan-usaha-detail/cXpnM0FzN3Y5VnorK0ZscVo5UHBrUGhTUXdBektVZ29qajMvRlFERGtxbz0</t>
        </is>
      </c>
      <c r="F73" t="n">
        <v>1</v>
      </c>
      <c r="G73" t="inlineStr">
        <is>
          <t>BS005</t>
        </is>
      </c>
      <c r="H73" t="inlineStr">
        <is>
          <t>23 April 2024</t>
        </is>
      </c>
      <c r="I73" s="2" t="n">
        <v>46370</v>
      </c>
      <c r="J73" t="inlineStr">
        <is>
          <t>Disetujui</t>
        </is>
      </c>
      <c r="K73" t="n">
        <v>87</v>
      </c>
      <c r="L73" t="inlineStr">
        <is>
          <t>14 Desember 2026</t>
        </is>
      </c>
      <c r="M73" t="inlineStr">
        <is>
          <t>Konstruksi Bangunan Sipil Pengolahan Air Bersih</t>
        </is>
      </c>
      <c r="N73" t="inlineStr">
        <is>
          <t>K</t>
        </is>
      </c>
      <c r="O73" t="inlineStr">
        <is>
          <t>20231214</t>
        </is>
      </c>
      <c r="P73" t="inlineStr">
        <is>
          <t>Kalimantan Barat</t>
        </is>
      </c>
      <c r="Q73" t="inlineStr"/>
    </row>
    <row r="74">
      <c r="A74" t="inlineStr">
        <is>
          <t>LANCARJAYA KARYA ABADI GROUP</t>
        </is>
      </c>
      <c r="B74" t="inlineStr">
        <is>
          <t>Kota Surabaya</t>
        </is>
      </c>
      <c r="C74" t="inlineStr">
        <is>
          <t>03182518704</t>
        </is>
      </c>
      <c r="D74" t="inlineStr">
        <is>
          <t>lka.lansekap@gmail.com</t>
        </is>
      </c>
      <c r="E74" t="inlineStr">
        <is>
          <t>https://lpjk.pu.go.id/search-badan-usaha-detail/a09Xc2xSVmZ6M3BGRGNKY1JuWHY0dz09</t>
        </is>
      </c>
      <c r="F74" t="n">
        <v>2</v>
      </c>
      <c r="G74" t="inlineStr">
        <is>
          <t>BS001</t>
        </is>
      </c>
      <c r="H74" t="inlineStr">
        <is>
          <t>6 Maret 2014</t>
        </is>
      </c>
      <c r="I74" s="2" t="n">
        <v>46370</v>
      </c>
      <c r="J74" t="inlineStr">
        <is>
          <t>Disetujui</t>
        </is>
      </c>
      <c r="K74" t="n">
        <v>87</v>
      </c>
      <c r="L74" t="inlineStr">
        <is>
          <t>14 Desember 2026</t>
        </is>
      </c>
      <c r="M74" t="inlineStr">
        <is>
          <t>Konstruksi Bangunan Sipil Jalan</t>
        </is>
      </c>
      <c r="N74" t="inlineStr">
        <is>
          <t>K</t>
        </is>
      </c>
      <c r="O74" t="inlineStr">
        <is>
          <t>20231129</t>
        </is>
      </c>
      <c r="P74" t="inlineStr">
        <is>
          <t>Jawa Timur</t>
        </is>
      </c>
      <c r="Q74" t="inlineStr"/>
    </row>
    <row r="75">
      <c r="A75" t="inlineStr">
        <is>
          <t>LINTAS SAKTI TIMUR</t>
        </is>
      </c>
      <c r="B75" t="inlineStr">
        <is>
          <t>Kab. Tangerang</t>
        </is>
      </c>
      <c r="C75" t="inlineStr">
        <is>
          <t>08158999899</t>
        </is>
      </c>
      <c r="D75" t="inlineStr">
        <is>
          <t>pt.lintas.sakti.timur@gmail.com</t>
        </is>
      </c>
      <c r="E75" t="inlineStr">
        <is>
          <t>https://lpjk.pu.go.id/search-badan-usaha-detail/QllHeXlCbDdjemt2dWQyTklhUk85UT09</t>
        </is>
      </c>
      <c r="F75" t="n">
        <v>2</v>
      </c>
      <c r="G75" t="inlineStr">
        <is>
          <t>BG001, BG007</t>
        </is>
      </c>
      <c r="H75" t="inlineStr">
        <is>
          <t>20 Juli 2020</t>
        </is>
      </c>
      <c r="I75" s="2" t="n">
        <v>46370</v>
      </c>
      <c r="J75" t="inlineStr">
        <is>
          <t>Disetujui</t>
        </is>
      </c>
      <c r="K75" t="n">
        <v>87</v>
      </c>
      <c r="L75" t="inlineStr">
        <is>
          <t>14 Desember 2026</t>
        </is>
      </c>
      <c r="M75" t="inlineStr">
        <is>
          <t>Konstruksi Gedung Hunian, Konstruksi Gedung Penginapan</t>
        </is>
      </c>
      <c r="N75" t="inlineStr">
        <is>
          <t>K</t>
        </is>
      </c>
      <c r="O75" t="inlineStr">
        <is>
          <t>20231207</t>
        </is>
      </c>
      <c r="P75" t="inlineStr">
        <is>
          <t>Banten</t>
        </is>
      </c>
      <c r="Q75" t="inlineStr"/>
    </row>
    <row r="76">
      <c r="A76" t="inlineStr">
        <is>
          <t>MAGNA ANUGERAH PRATAMA</t>
        </is>
      </c>
      <c r="B76" t="inlineStr">
        <is>
          <t>Kota Adm. Jakarta Barat</t>
        </is>
      </c>
      <c r="C76" t="inlineStr">
        <is>
          <t>0811169393</t>
        </is>
      </c>
      <c r="D76" t="inlineStr">
        <is>
          <t>contact@ptmagna.com</t>
        </is>
      </c>
      <c r="E76" t="inlineStr">
        <is>
          <t>https://lpjk.pu.go.id/search-badan-usaha-detail/bnFydEF6ZDhJR0JHeHlXeHo2bW80Zz09</t>
        </is>
      </c>
      <c r="F76" t="n">
        <v>1</v>
      </c>
      <c r="G76" t="inlineStr">
        <is>
          <t>BG006</t>
        </is>
      </c>
      <c r="H76" t="inlineStr">
        <is>
          <t>8 Mei 2023</t>
        </is>
      </c>
      <c r="I76" s="2" t="n">
        <v>46370</v>
      </c>
      <c r="J76" t="inlineStr">
        <is>
          <t>Disetujui</t>
        </is>
      </c>
      <c r="K76" t="n">
        <v>87</v>
      </c>
      <c r="L76" t="inlineStr">
        <is>
          <t>14 Desember 2026</t>
        </is>
      </c>
      <c r="M76" t="inlineStr">
        <is>
          <t>Konstruksi Gedung Pendidikan</t>
        </is>
      </c>
      <c r="N76" t="inlineStr">
        <is>
          <t>K</t>
        </is>
      </c>
      <c r="O76" t="inlineStr">
        <is>
          <t>20231214</t>
        </is>
      </c>
      <c r="P76" t="inlineStr">
        <is>
          <t>DKI Jakarta</t>
        </is>
      </c>
      <c r="Q76" t="inlineStr"/>
    </row>
    <row r="77">
      <c r="A77" t="inlineStr">
        <is>
          <t>MALINDO JAYA</t>
        </is>
      </c>
      <c r="B77" t="inlineStr">
        <is>
          <t>Kab. Sampang</t>
        </is>
      </c>
      <c r="C77" t="inlineStr">
        <is>
          <t>0817331158</t>
        </is>
      </c>
      <c r="D77" t="inlineStr">
        <is>
          <t>malindojayarobatal@gmail.com</t>
        </is>
      </c>
      <c r="E77" t="inlineStr">
        <is>
          <t>https://lpjk.pu.go.id/search-badan-usaha-detail/Z2pnSTNpTk85L3JGbzdYV0ZqSDZFZz09</t>
        </is>
      </c>
      <c r="F77" t="n">
        <v>1</v>
      </c>
      <c r="G77" t="inlineStr">
        <is>
          <t>BS001</t>
        </is>
      </c>
      <c r="H77" t="inlineStr">
        <is>
          <t>18 April 2005</t>
        </is>
      </c>
      <c r="I77" s="2" t="n">
        <v>46370</v>
      </c>
      <c r="J77" t="inlineStr">
        <is>
          <t>Disetujui</t>
        </is>
      </c>
      <c r="K77" t="n">
        <v>87</v>
      </c>
      <c r="L77" t="inlineStr">
        <is>
          <t>14 Desember 2026</t>
        </is>
      </c>
      <c r="M77" t="inlineStr">
        <is>
          <t>Konstruksi Bangunan Sipil Jalan</t>
        </is>
      </c>
      <c r="N77" t="inlineStr">
        <is>
          <t>K</t>
        </is>
      </c>
      <c r="O77" t="inlineStr">
        <is>
          <t>20231213</t>
        </is>
      </c>
      <c r="P77" t="inlineStr">
        <is>
          <t>Jawa Timur</t>
        </is>
      </c>
      <c r="Q77" t="inlineStr"/>
    </row>
    <row r="78">
      <c r="A78" t="inlineStr">
        <is>
          <t>MEDIA TELEMATIKA JAYA</t>
        </is>
      </c>
      <c r="B78" t="inlineStr">
        <is>
          <t>Kota Adm. Jakarta Utara</t>
        </is>
      </c>
      <c r="C78" t="inlineStr">
        <is>
          <t>081281839178</t>
        </is>
      </c>
      <c r="D78" t="inlineStr">
        <is>
          <t>pt.mediatelematika@gmail.com</t>
        </is>
      </c>
      <c r="E78" t="inlineStr">
        <is>
          <t>https://lpjk.pu.go.id/search-badan-usaha-detail/bTluZGtEdmdrL1crSkdsNjJ0MjFzUT09</t>
        </is>
      </c>
      <c r="F78" t="n">
        <v>1</v>
      </c>
      <c r="G78" t="inlineStr">
        <is>
          <t>BG009</t>
        </is>
      </c>
      <c r="H78" t="inlineStr">
        <is>
          <t>8 Februari 2011</t>
        </is>
      </c>
      <c r="I78" s="2" t="n">
        <v>46370</v>
      </c>
      <c r="J78" t="inlineStr">
        <is>
          <t>Pembekuan</t>
        </is>
      </c>
      <c r="K78" t="n">
        <v>87</v>
      </c>
      <c r="L78" t="inlineStr">
        <is>
          <t>14 Desember 2026</t>
        </is>
      </c>
      <c r="M78" t="inlineStr">
        <is>
          <t>Konstruksi Gedung Lainnya</t>
        </is>
      </c>
      <c r="N78" t="inlineStr">
        <is>
          <t>M</t>
        </is>
      </c>
      <c r="O78" t="inlineStr">
        <is>
          <t>20231214</t>
        </is>
      </c>
      <c r="P78" t="inlineStr">
        <is>
          <t>DKI Jakarta</t>
        </is>
      </c>
      <c r="Q78" t="inlineStr"/>
    </row>
    <row r="79">
      <c r="A79" t="inlineStr">
        <is>
          <t>MEDIAKARYA ASLITAMA</t>
        </is>
      </c>
      <c r="B79" t="inlineStr">
        <is>
          <t>Kab. Halmahera Tengah</t>
        </is>
      </c>
      <c r="C79" t="inlineStr">
        <is>
          <t>81241330106</t>
        </is>
      </c>
      <c r="D79" t="inlineStr">
        <is>
          <t>mediakaryaslitama2023@gmail.com</t>
        </is>
      </c>
      <c r="E79" t="inlineStr">
        <is>
          <t>https://lpjk.pu.go.id/search-badan-usaha-detail/dVFYWTdPYjVadytjcTFnZ3YrTnZzZz09</t>
        </is>
      </c>
      <c r="F79" t="n">
        <v>2</v>
      </c>
      <c r="G79" t="inlineStr">
        <is>
          <t>BG001, BG009</t>
        </is>
      </c>
      <c r="H79" t="inlineStr">
        <is>
          <t>10 Maret 2023</t>
        </is>
      </c>
      <c r="I79" s="2" t="n">
        <v>46370</v>
      </c>
      <c r="J79" t="inlineStr">
        <is>
          <t>Disetujui</t>
        </is>
      </c>
      <c r="K79" t="n">
        <v>87</v>
      </c>
      <c r="L79" t="inlineStr">
        <is>
          <t>14 Desember 2026</t>
        </is>
      </c>
      <c r="M79" t="inlineStr">
        <is>
          <t>Konstruksi Gedung Hunian, Konstruksi Gedung Lainnya</t>
        </is>
      </c>
      <c r="N79" t="inlineStr">
        <is>
          <t>K</t>
        </is>
      </c>
      <c r="O79" t="inlineStr">
        <is>
          <t>20231213</t>
        </is>
      </c>
      <c r="P79" t="inlineStr">
        <is>
          <t>Maluku Utara</t>
        </is>
      </c>
      <c r="Q79" t="inlineStr"/>
    </row>
    <row r="80">
      <c r="A80" t="inlineStr">
        <is>
          <t>MENARA SUKSES ABADI</t>
        </is>
      </c>
      <c r="B80" t="inlineStr">
        <is>
          <t>Kota Sorong</t>
        </is>
      </c>
      <c r="C80" t="inlineStr">
        <is>
          <t>0951326500</t>
        </is>
      </c>
      <c r="D80" t="inlineStr">
        <is>
          <t>m.suksesabadi@gmail.com</t>
        </is>
      </c>
      <c r="E80" t="inlineStr">
        <is>
          <t>https://lpjk.pu.go.id/search-badan-usaha-detail/TVdyR3U3cUZQdGYrK0hKUHZVVm9VQT09</t>
        </is>
      </c>
      <c r="F80" t="n">
        <v>2</v>
      </c>
      <c r="G80" t="inlineStr">
        <is>
          <t>BG002, BG003</t>
        </is>
      </c>
      <c r="H80" t="inlineStr">
        <is>
          <t>6 Mei 2010</t>
        </is>
      </c>
      <c r="I80" s="2" t="n">
        <v>46370</v>
      </c>
      <c r="J80" t="inlineStr">
        <is>
          <t>Disetujui</t>
        </is>
      </c>
      <c r="K80" t="n">
        <v>87</v>
      </c>
      <c r="L80" t="inlineStr">
        <is>
          <t>14 Desember 2026</t>
        </is>
      </c>
      <c r="M80" t="inlineStr">
        <is>
          <t>Konstruksi Gedung Industri, Konstruksi Gedung Perkantoran</t>
        </is>
      </c>
      <c r="N80" t="inlineStr">
        <is>
          <t>K</t>
        </is>
      </c>
      <c r="O80" t="inlineStr">
        <is>
          <t>20231207, 20231214</t>
        </is>
      </c>
      <c r="P80" t="inlineStr">
        <is>
          <t>Papua Barat Daya</t>
        </is>
      </c>
      <c r="Q80" t="inlineStr"/>
    </row>
    <row r="81">
      <c r="A81" t="inlineStr">
        <is>
          <t>MERAH BATA MEMBARA</t>
        </is>
      </c>
      <c r="B81" t="inlineStr">
        <is>
          <t>Kota Cilegon</t>
        </is>
      </c>
      <c r="C81" t="inlineStr">
        <is>
          <t>089629963853</t>
        </is>
      </c>
      <c r="D81" t="inlineStr">
        <is>
          <t>merahbatamembara@gmail.com</t>
        </is>
      </c>
      <c r="E81" t="inlineStr">
        <is>
          <t>https://lpjk.pu.go.id/search-badan-usaha-detail/OEM4aXRjNDZ2bnFEcTJVSi9MMi9IUT09</t>
        </is>
      </c>
      <c r="F81" t="n">
        <v>1</v>
      </c>
      <c r="G81" t="inlineStr">
        <is>
          <t>BG002</t>
        </is>
      </c>
      <c r="H81" t="inlineStr">
        <is>
          <t>7 November 2022</t>
        </is>
      </c>
      <c r="I81" s="2" t="n">
        <v>46370</v>
      </c>
      <c r="J81" t="inlineStr">
        <is>
          <t>Disetujui</t>
        </is>
      </c>
      <c r="K81" t="n">
        <v>87</v>
      </c>
      <c r="L81" t="inlineStr">
        <is>
          <t>14 Desember 2026</t>
        </is>
      </c>
      <c r="M81" t="inlineStr">
        <is>
          <t>Konstruksi Gedung Perkantoran</t>
        </is>
      </c>
      <c r="N81" t="inlineStr">
        <is>
          <t>K</t>
        </is>
      </c>
      <c r="O81" t="inlineStr">
        <is>
          <t>20231213</t>
        </is>
      </c>
      <c r="P81" t="inlineStr">
        <is>
          <t>Banten</t>
        </is>
      </c>
      <c r="Q81" t="inlineStr"/>
    </row>
    <row r="82">
      <c r="A82" t="inlineStr">
        <is>
          <t>MITRA SEJATI</t>
        </is>
      </c>
      <c r="B82" t="inlineStr">
        <is>
          <t>Kab. Kudus</t>
        </is>
      </c>
      <c r="C82" t="inlineStr">
        <is>
          <t>081228686218</t>
        </is>
      </c>
      <c r="D82" t="inlineStr">
        <is>
          <t>cvmitrasejati50@gmail.com</t>
        </is>
      </c>
      <c r="E82" t="inlineStr">
        <is>
          <t>https://lpjk.pu.go.id/search-badan-usaha-detail/UEhvZnVTVmZVaC96T0lyVnRMcWNwQT09</t>
        </is>
      </c>
      <c r="F82" t="n">
        <v>1</v>
      </c>
      <c r="G82" t="inlineStr">
        <is>
          <t>BG006</t>
        </is>
      </c>
      <c r="H82" t="inlineStr">
        <is>
          <t>10 Februari 2010</t>
        </is>
      </c>
      <c r="I82" s="2" t="n">
        <v>46370</v>
      </c>
      <c r="J82" t="inlineStr">
        <is>
          <t>Disetujui</t>
        </is>
      </c>
      <c r="K82" t="n">
        <v>87</v>
      </c>
      <c r="L82" t="inlineStr">
        <is>
          <t>14 Desember 2026</t>
        </is>
      </c>
      <c r="M82" t="inlineStr">
        <is>
          <t>Konstruksi Gedung Pendidikan</t>
        </is>
      </c>
      <c r="N82" t="inlineStr">
        <is>
          <t>K</t>
        </is>
      </c>
      <c r="O82" t="inlineStr">
        <is>
          <t>20231214</t>
        </is>
      </c>
      <c r="P82" t="inlineStr">
        <is>
          <t>Jawa Tengah</t>
        </is>
      </c>
      <c r="Q82" t="inlineStr"/>
    </row>
    <row r="83">
      <c r="A83" t="inlineStr">
        <is>
          <t>MULTIKARYA INTERPLAN KONSULTAN</t>
        </is>
      </c>
      <c r="B83" t="inlineStr">
        <is>
          <t>Kota Padang</t>
        </is>
      </c>
      <c r="C83" t="inlineStr">
        <is>
          <t>075140451</t>
        </is>
      </c>
      <c r="D83" t="inlineStr">
        <is>
          <t>pt.multikaryainterplan@gmail.com</t>
        </is>
      </c>
      <c r="E83" t="inlineStr">
        <is>
          <t>https://lpjk.pu.go.id/search-badan-usaha-detail/NitIcWhqYU5ET1VJOGRjbVU1NGV3UT09</t>
        </is>
      </c>
      <c r="F83" t="n">
        <v>2</v>
      </c>
      <c r="G83" t="inlineStr">
        <is>
          <t>AL004</t>
        </is>
      </c>
      <c r="H83" t="inlineStr">
        <is>
          <t>2 Februari 2007</t>
        </is>
      </c>
      <c r="I83" s="2" t="n">
        <v>46370</v>
      </c>
      <c r="J83" t="inlineStr">
        <is>
          <t>Disetujui</t>
        </is>
      </c>
      <c r="K83" t="n">
        <v>87</v>
      </c>
      <c r="L83" t="inlineStr">
        <is>
          <t>14 Desember 2026</t>
        </is>
      </c>
      <c r="M83" t="inlineStr">
        <is>
          <t>Jasa Pengembangan Lingkungan Bangunan dan Lanskap</t>
        </is>
      </c>
      <c r="N83" t="inlineStr">
        <is>
          <t>K</t>
        </is>
      </c>
      <c r="O83" t="inlineStr">
        <is>
          <t>20231201</t>
        </is>
      </c>
      <c r="P83" t="inlineStr">
        <is>
          <t>Sumatera Barat</t>
        </is>
      </c>
      <c r="Q83" t="inlineStr"/>
    </row>
    <row r="84">
      <c r="A84" t="inlineStr">
        <is>
          <t>NAFA UTAMA CONTRUCTION</t>
        </is>
      </c>
      <c r="B84" t="inlineStr">
        <is>
          <t>Kota Malang</t>
        </is>
      </c>
      <c r="C84" t="inlineStr">
        <is>
          <t>085655525047</t>
        </is>
      </c>
      <c r="D84" t="inlineStr">
        <is>
          <t>nafautama.c@gmail.com</t>
        </is>
      </c>
      <c r="E84" t="inlineStr">
        <is>
          <t>https://lpjk.pu.go.id/search-badan-usaha-detail/ZGZPT1VyNlRjbTVGakM0eVV4QWJZUT09</t>
        </is>
      </c>
      <c r="F84" t="n">
        <v>4</v>
      </c>
      <c r="G84" t="inlineStr">
        <is>
          <t>BG002, BG005, BG006, BG009</t>
        </is>
      </c>
      <c r="H84" t="inlineStr">
        <is>
          <t>10 Mei 2017</t>
        </is>
      </c>
      <c r="I84" s="2" t="n">
        <v>46370</v>
      </c>
      <c r="J84" t="inlineStr">
        <is>
          <t>Disetujui</t>
        </is>
      </c>
      <c r="K84" t="n">
        <v>87</v>
      </c>
      <c r="L84" t="inlineStr">
        <is>
          <t>14 Desember 2026</t>
        </is>
      </c>
      <c r="M84" t="inlineStr">
        <is>
          <t>Konstruksi Gedung Kesehatan, Konstruksi Gedung Lainnya, Konstruksi Gedung Pendidikan, Konstruksi Gedung Perkantoran</t>
        </is>
      </c>
      <c r="N84" t="inlineStr">
        <is>
          <t>K</t>
        </is>
      </c>
      <c r="O84" t="inlineStr">
        <is>
          <t>20230809, 20231214, 20231215</t>
        </is>
      </c>
      <c r="P84" t="inlineStr">
        <is>
          <t>Jawa Timur</t>
        </is>
      </c>
      <c r="Q84" t="inlineStr"/>
    </row>
    <row r="85">
      <c r="A85" t="inlineStr">
        <is>
          <t>NAILA SALSABILA AZZAHRA</t>
        </is>
      </c>
      <c r="B85" t="inlineStr">
        <is>
          <t>Kab. Sidenreng Rappang</t>
        </is>
      </c>
      <c r="C85" t="inlineStr">
        <is>
          <t>081242769844</t>
        </is>
      </c>
      <c r="D85" t="inlineStr">
        <is>
          <t>ptnailasalsabilaazzahraazzahra@gmail.com</t>
        </is>
      </c>
      <c r="E85" t="inlineStr">
        <is>
          <t>https://lpjk.pu.go.id/search-badan-usaha-detail/aE9yaUE0aFc1anVNbFJCeU9FYjZUUT09</t>
        </is>
      </c>
      <c r="F85" t="n">
        <v>2</v>
      </c>
      <c r="G85" t="inlineStr">
        <is>
          <t>BG001, BG009</t>
        </is>
      </c>
      <c r="H85" t="inlineStr">
        <is>
          <t>3 Desember 2018</t>
        </is>
      </c>
      <c r="I85" s="2" t="n">
        <v>46370</v>
      </c>
      <c r="J85" t="inlineStr">
        <is>
          <t>Disetujui</t>
        </is>
      </c>
      <c r="K85" t="n">
        <v>87</v>
      </c>
      <c r="L85" t="inlineStr">
        <is>
          <t>14 Desember 2026</t>
        </is>
      </c>
      <c r="M85" t="inlineStr">
        <is>
          <t>Konstruksi Gedung Hunian, Konstruksi Gedung Lainnya</t>
        </is>
      </c>
      <c r="N85" t="inlineStr">
        <is>
          <t>K</t>
        </is>
      </c>
      <c r="O85" t="inlineStr">
        <is>
          <t>20231214</t>
        </is>
      </c>
      <c r="P85" t="inlineStr">
        <is>
          <t>Sulawesi Selatan</t>
        </is>
      </c>
      <c r="Q85" t="inlineStr"/>
    </row>
    <row r="86">
      <c r="A86" t="inlineStr">
        <is>
          <t>PANTOMASA CEMERLANG</t>
        </is>
      </c>
      <c r="B86" t="inlineStr">
        <is>
          <t>Kota Adm. Jakarta Selatan</t>
        </is>
      </c>
      <c r="C86" t="inlineStr">
        <is>
          <t>02175818748</t>
        </is>
      </c>
      <c r="D86" t="inlineStr">
        <is>
          <t>pantomasacemerlangpt@gmail.com</t>
        </is>
      </c>
      <c r="E86" t="inlineStr">
        <is>
          <t>https://lpjk.pu.go.id/search-badan-usaha-detail/RndDQlBLcWZCVUFoay8zWGpkUVNDdz09</t>
        </is>
      </c>
      <c r="F86" t="n">
        <v>2</v>
      </c>
      <c r="G86" t="inlineStr">
        <is>
          <t>BG005, BG009</t>
        </is>
      </c>
      <c r="H86" t="inlineStr">
        <is>
          <t>17 Oktober 1990</t>
        </is>
      </c>
      <c r="I86" s="2" t="n">
        <v>46370</v>
      </c>
      <c r="J86" t="inlineStr">
        <is>
          <t>Disetujui</t>
        </is>
      </c>
      <c r="K86" t="n">
        <v>87</v>
      </c>
      <c r="L86" t="inlineStr">
        <is>
          <t>14 Desember 2026</t>
        </is>
      </c>
      <c r="M86" t="inlineStr">
        <is>
          <t>Konstruksi Gedung Kesehatan, Konstruksi Gedung Lainnya</t>
        </is>
      </c>
      <c r="N86" t="inlineStr">
        <is>
          <t>K</t>
        </is>
      </c>
      <c r="O86" t="inlineStr">
        <is>
          <t>20231115, 20231215</t>
        </is>
      </c>
      <c r="P86" t="inlineStr">
        <is>
          <t>DKI Jakarta</t>
        </is>
      </c>
      <c r="Q86" t="inlineStr"/>
    </row>
    <row r="87">
      <c r="A87" t="inlineStr">
        <is>
          <t>PARADIGMA NUSANTARA</t>
        </is>
      </c>
      <c r="B87" t="inlineStr">
        <is>
          <t>Kota Pekanbaru</t>
        </is>
      </c>
      <c r="C87" t="inlineStr">
        <is>
          <t>0811764433</t>
        </is>
      </c>
      <c r="D87" t="inlineStr">
        <is>
          <t>cv.paradigma1993@gmail.com</t>
        </is>
      </c>
      <c r="E87" t="inlineStr">
        <is>
          <t>https://lpjk.pu.go.id/search-badan-usaha-detail/U0R1VFRyRnZRZjFYWDRlNnlWclArUT09</t>
        </is>
      </c>
      <c r="F87" t="n">
        <v>3</v>
      </c>
      <c r="G87" t="inlineStr">
        <is>
          <t>BG002, BG005, BG006</t>
        </is>
      </c>
      <c r="H87" t="inlineStr">
        <is>
          <t>22 Juni 2012</t>
        </is>
      </c>
      <c r="I87" s="2" t="n">
        <v>46370</v>
      </c>
      <c r="J87" t="inlineStr">
        <is>
          <t>Disetujui</t>
        </is>
      </c>
      <c r="K87" t="n">
        <v>87</v>
      </c>
      <c r="L87" t="inlineStr">
        <is>
          <t>14 Desember 2026</t>
        </is>
      </c>
      <c r="M87" t="inlineStr">
        <is>
          <t>Konstruksi Gedung Kesehatan, Konstruksi Gedung Pendidikan, Konstruksi Gedung Perkantoran</t>
        </is>
      </c>
      <c r="N87" t="inlineStr">
        <is>
          <t>K</t>
        </is>
      </c>
      <c r="O87" t="inlineStr">
        <is>
          <t>20231214</t>
        </is>
      </c>
      <c r="P87" t="inlineStr">
        <is>
          <t>Riau</t>
        </is>
      </c>
      <c r="Q87" t="inlineStr"/>
    </row>
    <row r="88">
      <c r="A88" t="inlineStr">
        <is>
          <t>PARSA MEMBANGUN</t>
        </is>
      </c>
      <c r="B88" t="inlineStr">
        <is>
          <t>Kota Palu</t>
        </is>
      </c>
      <c r="C88" t="inlineStr">
        <is>
          <t>081341570911</t>
        </is>
      </c>
      <c r="D88" t="inlineStr">
        <is>
          <t>parsamembanguncv@gmail.com</t>
        </is>
      </c>
      <c r="E88" t="inlineStr">
        <is>
          <t>https://lpjk.pu.go.id/search-badan-usaha-detail/QXBydjBVdkI2NktXYkpHNDRkUVJvZz09</t>
        </is>
      </c>
      <c r="F88" t="n">
        <v>2</v>
      </c>
      <c r="G88" t="inlineStr">
        <is>
          <t>BS004, BS011</t>
        </is>
      </c>
      <c r="H88" t="inlineStr">
        <is>
          <t>13 Desember 2018</t>
        </is>
      </c>
      <c r="I88" s="2" t="n">
        <v>46370</v>
      </c>
      <c r="J88" t="inlineStr">
        <is>
          <t>Pencabutan</t>
        </is>
      </c>
      <c r="K88" t="n">
        <v>87</v>
      </c>
      <c r="L88" t="inlineStr">
        <is>
          <t>14 Desember 2026</t>
        </is>
      </c>
      <c r="M88" t="inlineStr">
        <is>
          <t>Konstruksi Bangunan Pelabuhan Bukan Perikanan, Konstruksi Jaringan Irigasi dan Drainase</t>
        </is>
      </c>
      <c r="N88" t="inlineStr">
        <is>
          <t>K</t>
        </is>
      </c>
      <c r="O88" t="inlineStr">
        <is>
          <t>20231030, 20231213</t>
        </is>
      </c>
      <c r="P88" t="inlineStr">
        <is>
          <t>Sulawesi Tengah</t>
        </is>
      </c>
      <c r="Q88" t="inlineStr"/>
    </row>
    <row r="89">
      <c r="A89" t="inlineStr">
        <is>
          <t>PARTA JAYA ALBAKER</t>
        </is>
      </c>
      <c r="B89" t="inlineStr">
        <is>
          <t>Kota Serang</t>
        </is>
      </c>
      <c r="C89" t="inlineStr">
        <is>
          <t>085959451614</t>
        </is>
      </c>
      <c r="D89" t="inlineStr">
        <is>
          <t>cvpartajayaalbaker@gmail.com</t>
        </is>
      </c>
      <c r="E89" t="inlineStr">
        <is>
          <t>https://lpjk.pu.go.id/search-badan-usaha-detail/UXFrb25WL0x3ZDlUT1Zpa2kycXRRdz09</t>
        </is>
      </c>
      <c r="F89" t="n">
        <v>1</v>
      </c>
      <c r="G89" t="inlineStr">
        <is>
          <t>BG006</t>
        </is>
      </c>
      <c r="H89" t="inlineStr">
        <is>
          <t>20 November 2023</t>
        </is>
      </c>
      <c r="I89" s="2" t="n">
        <v>46370</v>
      </c>
      <c r="J89" t="inlineStr">
        <is>
          <t>Pencabutan</t>
        </is>
      </c>
      <c r="K89" t="n">
        <v>87</v>
      </c>
      <c r="L89" t="inlineStr">
        <is>
          <t>14 Desember 2026</t>
        </is>
      </c>
      <c r="M89" t="inlineStr">
        <is>
          <t>Konstruksi Gedung Pendidikan</t>
        </is>
      </c>
      <c r="N89" t="inlineStr">
        <is>
          <t>K</t>
        </is>
      </c>
      <c r="O89" t="inlineStr">
        <is>
          <t>20231212</t>
        </is>
      </c>
      <c r="P89" t="inlineStr">
        <is>
          <t>Banten</t>
        </is>
      </c>
      <c r="Q89" t="inlineStr"/>
    </row>
    <row r="90">
      <c r="A90" t="inlineStr">
        <is>
          <t>PERMATA ENERGI BORNEO</t>
        </is>
      </c>
      <c r="B90" t="inlineStr">
        <is>
          <t>Kab. Kotawaringin Timur</t>
        </is>
      </c>
      <c r="C90" t="inlineStr">
        <is>
          <t>08115188808</t>
        </is>
      </c>
      <c r="D90" t="inlineStr">
        <is>
          <t>permataenergiborneo@gmail.com</t>
        </is>
      </c>
      <c r="E90" t="inlineStr">
        <is>
          <t>https://lpjk.pu.go.id/search-badan-usaha-detail/N2ZOVnpNV1ZLWlZjTkw1S3ltOVJXdz09</t>
        </is>
      </c>
      <c r="F90" t="n">
        <v>1</v>
      </c>
      <c r="G90" t="inlineStr">
        <is>
          <t>BG002</t>
        </is>
      </c>
      <c r="H90" t="inlineStr">
        <is>
          <t>23 Oktober 2023</t>
        </is>
      </c>
      <c r="I90" s="2" t="n">
        <v>46370</v>
      </c>
      <c r="J90" t="inlineStr">
        <is>
          <t>Disetujui</t>
        </is>
      </c>
      <c r="K90" t="n">
        <v>87</v>
      </c>
      <c r="L90" t="inlineStr">
        <is>
          <t>14 Desember 2026</t>
        </is>
      </c>
      <c r="M90" t="inlineStr">
        <is>
          <t>Konstruksi Gedung Perkantoran</t>
        </is>
      </c>
      <c r="N90" t="inlineStr">
        <is>
          <t>K</t>
        </is>
      </c>
      <c r="O90" t="inlineStr">
        <is>
          <t>20231213</t>
        </is>
      </c>
      <c r="P90" t="inlineStr">
        <is>
          <t>Kalimantan Tengah</t>
        </is>
      </c>
      <c r="Q90" t="inlineStr"/>
    </row>
    <row r="91">
      <c r="A91" t="inlineStr">
        <is>
          <t>PRIMALANE SUKSES MANDIRI</t>
        </is>
      </c>
      <c r="B91" t="inlineStr">
        <is>
          <t>Kota Balikpapan</t>
        </is>
      </c>
      <c r="C91" t="inlineStr">
        <is>
          <t>08115426868</t>
        </is>
      </c>
      <c r="D91" t="inlineStr">
        <is>
          <t>primalanesby@gmail.com</t>
        </is>
      </c>
      <c r="E91" t="inlineStr">
        <is>
          <t>https://lpjk.pu.go.id/search-badan-usaha-detail/cXVWZzJkTXpqZUw4WlN2MWZOcUJmUT09</t>
        </is>
      </c>
      <c r="F91" t="n">
        <v>3</v>
      </c>
      <c r="G91" t="inlineStr">
        <is>
          <t>BG001, BG003, BG004</t>
        </is>
      </c>
      <c r="H91" t="inlineStr">
        <is>
          <t>7 Januari 2015</t>
        </is>
      </c>
      <c r="I91" s="2" t="n">
        <v>46370</v>
      </c>
      <c r="J91" t="inlineStr">
        <is>
          <t>Disetujui</t>
        </is>
      </c>
      <c r="K91" t="n">
        <v>87</v>
      </c>
      <c r="L91" t="inlineStr">
        <is>
          <t>14 Desember 2026</t>
        </is>
      </c>
      <c r="M91" t="inlineStr">
        <is>
          <t>Konstruksi Gedung Hunian, Konstruksi Gedung Industri, Konstruksi Gedung Perbelanjaan</t>
        </is>
      </c>
      <c r="N91" t="inlineStr">
        <is>
          <t>K</t>
        </is>
      </c>
      <c r="O91" t="inlineStr">
        <is>
          <t>20231211, 20231214, 20231219</t>
        </is>
      </c>
      <c r="P91" t="inlineStr">
        <is>
          <t>Kalimantan Timur</t>
        </is>
      </c>
      <c r="Q91" t="inlineStr"/>
    </row>
    <row r="92">
      <c r="A92" t="inlineStr">
        <is>
          <t>PROMISCO SINERGI INDONESIA</t>
        </is>
      </c>
      <c r="B92" t="inlineStr">
        <is>
          <t>Kota Bandung</t>
        </is>
      </c>
      <c r="C92" t="inlineStr">
        <is>
          <t>0222536666</t>
        </is>
      </c>
      <c r="D92" t="inlineStr">
        <is>
          <t>office@promisco.com</t>
        </is>
      </c>
      <c r="E92" t="inlineStr">
        <is>
          <t>https://lpjk.pu.go.id/search-badan-usaha-detail/UHk0SXNsblRtS2Fic1R6QlhGc0NRUT09</t>
        </is>
      </c>
      <c r="F92" t="n">
        <v>1</v>
      </c>
      <c r="G92" t="inlineStr">
        <is>
          <t>IT002</t>
        </is>
      </c>
      <c r="H92" t="inlineStr">
        <is>
          <t>8 Oktober 2012</t>
        </is>
      </c>
      <c r="I92" s="2" t="n">
        <v>46370</v>
      </c>
      <c r="J92" t="inlineStr">
        <is>
          <t>Disetujui</t>
        </is>
      </c>
      <c r="K92" t="n">
        <v>87</v>
      </c>
      <c r="L92" t="inlineStr">
        <is>
          <t>14 Desember 2026</t>
        </is>
      </c>
      <c r="M92" t="inlineStr">
        <is>
          <t>Jasa Konsultansi Ilmiah dan Teknis Bawah Tanah</t>
        </is>
      </c>
      <c r="N92" t="inlineStr">
        <is>
          <t>Spesialis</t>
        </is>
      </c>
      <c r="O92" t="inlineStr">
        <is>
          <t>20231017</t>
        </is>
      </c>
      <c r="P92" t="inlineStr">
        <is>
          <t>Jawa Barat</t>
        </is>
      </c>
      <c r="Q92" t="inlineStr"/>
    </row>
    <row r="93">
      <c r="A93" t="inlineStr">
        <is>
          <t>PUJA PERKASA</t>
        </is>
      </c>
      <c r="B93" t="inlineStr">
        <is>
          <t>Kab. Grobogan</t>
        </is>
      </c>
      <c r="C93" t="inlineStr">
        <is>
          <t>081327255796</t>
        </is>
      </c>
      <c r="D93" t="inlineStr">
        <is>
          <t>pujaperkasa@gmail.com</t>
        </is>
      </c>
      <c r="E93" t="inlineStr">
        <is>
          <t>https://lpjk.pu.go.id/search-badan-usaha-detail/TmxhYnE1bUZQdFM0MnRHemtSdWE4Zz09</t>
        </is>
      </c>
      <c r="F93" t="n">
        <v>2</v>
      </c>
      <c r="G93" t="inlineStr">
        <is>
          <t>BS001, BS002</t>
        </is>
      </c>
      <c r="H93" t="inlineStr">
        <is>
          <t>22 Agustus 2007</t>
        </is>
      </c>
      <c r="I93" s="2" t="n">
        <v>46370</v>
      </c>
      <c r="J93" t="inlineStr">
        <is>
          <t>Disetujui</t>
        </is>
      </c>
      <c r="K93" t="n">
        <v>87</v>
      </c>
      <c r="L93" t="inlineStr">
        <is>
          <t>14 Desember 2026</t>
        </is>
      </c>
      <c r="M93" t="inlineStr">
        <is>
          <t>Bangunan Sipil Jembatan, Jalan Layang, Fly Over, dan Underpass, Konstruksi Bangunan Sipil Jalan</t>
        </is>
      </c>
      <c r="N93" t="inlineStr">
        <is>
          <t>B</t>
        </is>
      </c>
      <c r="O93" t="inlineStr">
        <is>
          <t>20231213, 20231214</t>
        </is>
      </c>
      <c r="P93" t="inlineStr">
        <is>
          <t>Jawa Tengah</t>
        </is>
      </c>
      <c r="Q93" t="inlineStr"/>
    </row>
    <row r="94">
      <c r="A94" t="inlineStr">
        <is>
          <t>PURNAMA JAYA KONSULTAN</t>
        </is>
      </c>
      <c r="B94" t="inlineStr">
        <is>
          <t>Kab. Sijunjung</t>
        </is>
      </c>
      <c r="C94" t="inlineStr">
        <is>
          <t>082169016518</t>
        </is>
      </c>
      <c r="D94" t="inlineStr">
        <is>
          <t>oonzekrisjj18@gmail.com</t>
        </is>
      </c>
      <c r="E94" t="inlineStr">
        <is>
          <t>https://lpjk.pu.go.id/search-badan-usaha-detail/OUZtRzNZTzlCZG52Ry9XYW9ickZHUT09</t>
        </is>
      </c>
      <c r="F94" t="n">
        <v>4</v>
      </c>
      <c r="G94" t="inlineStr">
        <is>
          <t>RK002, RK005</t>
        </is>
      </c>
      <c r="H94" t="inlineStr">
        <is>
          <t>9 Oktober 2018</t>
        </is>
      </c>
      <c r="I94" s="2" t="n">
        <v>46370</v>
      </c>
      <c r="J94" t="inlineStr">
        <is>
          <t>Disetujui</t>
        </is>
      </c>
      <c r="K94" t="n">
        <v>87</v>
      </c>
      <c r="L94" t="inlineStr">
        <is>
          <t>14 Desember 2026</t>
        </is>
      </c>
      <c r="M94" t="inlineStr">
        <is>
          <t>Jasa Rekayasa Lainnya, Jasa Rekayasa Pekerjaan Teknik Sipil Sumber Daya Air</t>
        </is>
      </c>
      <c r="N94" t="inlineStr">
        <is>
          <t>K</t>
        </is>
      </c>
      <c r="O94" t="inlineStr">
        <is>
          <t>20231124</t>
        </is>
      </c>
      <c r="P94" t="inlineStr">
        <is>
          <t>Sumatera Barat</t>
        </is>
      </c>
      <c r="Q94" t="inlineStr"/>
    </row>
    <row r="95">
      <c r="A95" t="inlineStr">
        <is>
          <t>PUTRA PADJADJARAN</t>
        </is>
      </c>
      <c r="B95" t="inlineStr">
        <is>
          <t>Kab. Mojokerto</t>
        </is>
      </c>
      <c r="C95" t="inlineStr">
        <is>
          <t>081332222252</t>
        </is>
      </c>
      <c r="D95" t="inlineStr">
        <is>
          <t>putrapadjadjaran@hotmail.com</t>
        </is>
      </c>
      <c r="E95" t="inlineStr">
        <is>
          <t>https://lpjk.pu.go.id/search-badan-usaha-detail/SEhuSnNGcUczbWlubWRQZGVXQU1WQT09</t>
        </is>
      </c>
      <c r="F95" t="n">
        <v>3</v>
      </c>
      <c r="G95" t="inlineStr">
        <is>
          <t>BG005, BG006, BS001</t>
        </is>
      </c>
      <c r="H95" t="inlineStr">
        <is>
          <t>10 Mei 2007</t>
        </is>
      </c>
      <c r="I95" s="2" t="n">
        <v>46370</v>
      </c>
      <c r="J95" t="inlineStr">
        <is>
          <t>Disetujui</t>
        </is>
      </c>
      <c r="K95" t="n">
        <v>87</v>
      </c>
      <c r="L95" t="inlineStr">
        <is>
          <t>14 Desember 2026</t>
        </is>
      </c>
      <c r="M95" t="inlineStr">
        <is>
          <t>Konstruksi Bangunan Sipil Jalan, Konstruksi Gedung Kesehatan, Konstruksi Gedung Pendidikan</t>
        </is>
      </c>
      <c r="N95" t="inlineStr">
        <is>
          <t>K</t>
        </is>
      </c>
      <c r="O95" t="inlineStr">
        <is>
          <t>20231206, 20231213</t>
        </is>
      </c>
      <c r="P95" t="inlineStr">
        <is>
          <t>Jawa Timur</t>
        </is>
      </c>
      <c r="Q95" t="inlineStr"/>
    </row>
    <row r="96">
      <c r="A96" t="inlineStr">
        <is>
          <t>PUTRA PARMA</t>
        </is>
      </c>
      <c r="B96" t="inlineStr">
        <is>
          <t>Kota Bandar Lampung</t>
        </is>
      </c>
      <c r="C96" t="inlineStr">
        <is>
          <t>082377177777</t>
        </is>
      </c>
      <c r="D96" t="inlineStr">
        <is>
          <t>cv_putraparma@yahoo.com</t>
        </is>
      </c>
      <c r="E96" t="inlineStr">
        <is>
          <t>https://lpjk.pu.go.id/search-badan-usaha-detail/K0tFMkY5K0pjNzI4czJJaWFDeTBlZz09</t>
        </is>
      </c>
      <c r="F96" t="n">
        <v>1</v>
      </c>
      <c r="G96" t="inlineStr">
        <is>
          <t>BS001</t>
        </is>
      </c>
      <c r="H96" t="inlineStr">
        <is>
          <t>19 Februari 2008</t>
        </is>
      </c>
      <c r="I96" s="2" t="n">
        <v>46370</v>
      </c>
      <c r="J96" t="inlineStr">
        <is>
          <t>Disetujui</t>
        </is>
      </c>
      <c r="K96" t="n">
        <v>87</v>
      </c>
      <c r="L96" t="inlineStr">
        <is>
          <t>14 Desember 2026</t>
        </is>
      </c>
      <c r="M96" t="inlineStr">
        <is>
          <t>Konstruksi Bangunan Sipil Jalan</t>
        </is>
      </c>
      <c r="N96" t="inlineStr">
        <is>
          <t>K</t>
        </is>
      </c>
      <c r="O96" t="inlineStr">
        <is>
          <t>20231208</t>
        </is>
      </c>
      <c r="P96" t="inlineStr">
        <is>
          <t>Lampung</t>
        </is>
      </c>
      <c r="Q96" t="inlineStr"/>
    </row>
    <row r="97">
      <c r="A97" t="inlineStr">
        <is>
          <t>PUTRA ZEN</t>
        </is>
      </c>
      <c r="B97" t="inlineStr">
        <is>
          <t>Kota Medan</t>
        </is>
      </c>
      <c r="C97" t="inlineStr">
        <is>
          <t>081378357518</t>
        </is>
      </c>
      <c r="D97" t="inlineStr">
        <is>
          <t>cv.putrazen2023@gmail.com</t>
        </is>
      </c>
      <c r="E97" t="inlineStr">
        <is>
          <t>https://lpjk.pu.go.id/search-badan-usaha-detail/YzhZb3lDREtVV1EzVGhKZVo1UDQwdz09</t>
        </is>
      </c>
      <c r="F97" t="n">
        <v>2</v>
      </c>
      <c r="G97" t="inlineStr">
        <is>
          <t>BG003, BG004</t>
        </is>
      </c>
      <c r="H97" t="inlineStr">
        <is>
          <t>22 Juni 2012</t>
        </is>
      </c>
      <c r="I97" s="2" t="n">
        <v>46370</v>
      </c>
      <c r="J97" t="inlineStr">
        <is>
          <t>Disetujui</t>
        </is>
      </c>
      <c r="K97" t="n">
        <v>87</v>
      </c>
      <c r="L97" t="inlineStr">
        <is>
          <t>14 Desember 2026</t>
        </is>
      </c>
      <c r="M97" t="inlineStr">
        <is>
          <t>Konstruksi Gedung Industri, Konstruksi Gedung Perbelanjaan</t>
        </is>
      </c>
      <c r="N97" t="inlineStr">
        <is>
          <t>K</t>
        </is>
      </c>
      <c r="O97" t="inlineStr">
        <is>
          <t>20231214</t>
        </is>
      </c>
      <c r="P97" t="inlineStr">
        <is>
          <t>Sumatera Utara</t>
        </is>
      </c>
      <c r="Q97" t="inlineStr"/>
    </row>
    <row r="98">
      <c r="A98" t="inlineStr">
        <is>
          <t>RAHMAT PONDASI UTAMA</t>
        </is>
      </c>
      <c r="B98" t="inlineStr">
        <is>
          <t>Kab. Deli Serdang</t>
        </is>
      </c>
      <c r="C98" t="inlineStr">
        <is>
          <t>082234756665</t>
        </is>
      </c>
      <c r="D98" t="inlineStr">
        <is>
          <t>rahmatpondasiutama88@gmail.com</t>
        </is>
      </c>
      <c r="E98" t="inlineStr">
        <is>
          <t>https://lpjk.pu.go.id/search-badan-usaha-detail/czV2RmlBR1FnaENueFJORHpWQUhPQT09</t>
        </is>
      </c>
      <c r="F98" t="n">
        <v>6</v>
      </c>
      <c r="G98" t="inlineStr">
        <is>
          <t>BG001, BG002, BG003</t>
        </is>
      </c>
      <c r="H98" t="inlineStr">
        <is>
          <t>23 Mei 2019</t>
        </is>
      </c>
      <c r="I98" s="2" t="n">
        <v>46370</v>
      </c>
      <c r="J98" t="inlineStr">
        <is>
          <t>Disetujui</t>
        </is>
      </c>
      <c r="K98" t="n">
        <v>87</v>
      </c>
      <c r="L98" t="inlineStr">
        <is>
          <t>14 Desember 2026</t>
        </is>
      </c>
      <c r="M98" t="inlineStr">
        <is>
          <t>Konstruksi Gedung Hunian, Konstruksi Gedung Industri, Konstruksi Gedung Perkantoran</t>
        </is>
      </c>
      <c r="N98" t="inlineStr">
        <is>
          <t>K</t>
        </is>
      </c>
      <c r="O98" t="inlineStr">
        <is>
          <t>20231213, 20231214</t>
        </is>
      </c>
      <c r="P98" t="inlineStr">
        <is>
          <t>Sumatera Utara</t>
        </is>
      </c>
      <c r="Q98" t="inlineStr"/>
    </row>
    <row r="99">
      <c r="A99" t="inlineStr">
        <is>
          <t>SAPTA PUTRA WIJAYA</t>
        </is>
      </c>
      <c r="B99" t="inlineStr">
        <is>
          <t>Kab. Bandung Barat</t>
        </is>
      </c>
      <c r="C99" t="inlineStr">
        <is>
          <t>02129631606</t>
        </is>
      </c>
      <c r="D99" t="inlineStr">
        <is>
          <t>admin@saptaputrawijaya.com</t>
        </is>
      </c>
      <c r="E99" t="inlineStr">
        <is>
          <t>https://lpjk.pu.go.id/search-badan-usaha-detail/bmoreklLL1lEblllOTBkMUx1N0srdz09</t>
        </is>
      </c>
      <c r="F99" t="n">
        <v>2</v>
      </c>
      <c r="G99" t="inlineStr">
        <is>
          <t>BG001, BG002</t>
        </is>
      </c>
      <c r="H99" t="inlineStr">
        <is>
          <t>8 November 2022</t>
        </is>
      </c>
      <c r="I99" s="2" t="n">
        <v>46370</v>
      </c>
      <c r="J99" t="inlineStr">
        <is>
          <t>Pencabutan</t>
        </is>
      </c>
      <c r="K99" t="n">
        <v>87</v>
      </c>
      <c r="L99" t="inlineStr">
        <is>
          <t>14 Desember 2026</t>
        </is>
      </c>
      <c r="M99" t="inlineStr">
        <is>
          <t>Konstruksi Gedung Hunian, Konstruksi Gedung Perkantoran</t>
        </is>
      </c>
      <c r="N99" t="inlineStr">
        <is>
          <t>K</t>
        </is>
      </c>
      <c r="O99" t="inlineStr">
        <is>
          <t>20231124, 20231212</t>
        </is>
      </c>
      <c r="P99" t="inlineStr">
        <is>
          <t>Jawa Barat</t>
        </is>
      </c>
      <c r="Q99" t="inlineStr"/>
    </row>
    <row r="100">
      <c r="A100" t="inlineStr">
        <is>
          <t>SARANA STRUCTUR CONSULTANT</t>
        </is>
      </c>
      <c r="B100" t="inlineStr">
        <is>
          <t>Kota Palu</t>
        </is>
      </c>
      <c r="C100" t="inlineStr">
        <is>
          <t>085240451258</t>
        </is>
      </c>
      <c r="D100" t="inlineStr">
        <is>
          <t>cv_ss_konsultan@yahoo.co.id</t>
        </is>
      </c>
      <c r="E100" t="inlineStr">
        <is>
          <t>https://lpjk.pu.go.id/search-badan-usaha-detail/bVhEZ01jVjdTTnRFMUR1YkpaRkVCUT09</t>
        </is>
      </c>
      <c r="F100" t="n">
        <v>1</v>
      </c>
      <c r="G100" t="inlineStr">
        <is>
          <t>RK003</t>
        </is>
      </c>
      <c r="H100" t="inlineStr">
        <is>
          <t>30 Januari 1995</t>
        </is>
      </c>
      <c r="I100" s="2" t="n">
        <v>46370</v>
      </c>
      <c r="J100" t="inlineStr">
        <is>
          <t>Disetujui</t>
        </is>
      </c>
      <c r="K100" t="n">
        <v>87</v>
      </c>
      <c r="L100" t="inlineStr">
        <is>
          <t>14 Desember 2026</t>
        </is>
      </c>
      <c r="M100" t="inlineStr">
        <is>
          <t>Jasa Rekayasa Pekerjaan Teknik Sipil Transportasi</t>
        </is>
      </c>
      <c r="N100" t="inlineStr">
        <is>
          <t>K</t>
        </is>
      </c>
      <c r="O100" t="inlineStr">
        <is>
          <t>20231201</t>
        </is>
      </c>
      <c r="P100" t="inlineStr">
        <is>
          <t>Sulawesi Tengah</t>
        </is>
      </c>
      <c r="Q100" t="inlineStr"/>
    </row>
    <row r="101">
      <c r="A101" t="inlineStr">
        <is>
          <t>SELARAS INDAH SENTOSA</t>
        </is>
      </c>
      <c r="B101" t="inlineStr">
        <is>
          <t>Kota Adm. Jakarta Barat</t>
        </is>
      </c>
      <c r="C101" t="inlineStr">
        <is>
          <t>02129725192</t>
        </is>
      </c>
      <c r="D101" t="inlineStr">
        <is>
          <t>pt.selarasindahsentosa@hotmail.com</t>
        </is>
      </c>
      <c r="E101" t="inlineStr">
        <is>
          <t>https://lpjk.pu.go.id/search-badan-usaha-detail/RG04OXdSTEY1dUczUElXVW85bHdZdz09</t>
        </is>
      </c>
      <c r="F101" t="n">
        <v>1</v>
      </c>
      <c r="G101" t="inlineStr">
        <is>
          <t>BG003</t>
        </is>
      </c>
      <c r="H101" t="inlineStr">
        <is>
          <t>10 November 2012</t>
        </is>
      </c>
      <c r="I101" s="2" t="n">
        <v>46370</v>
      </c>
      <c r="J101" t="inlineStr">
        <is>
          <t>Disetujui</t>
        </is>
      </c>
      <c r="K101" t="n">
        <v>87</v>
      </c>
      <c r="L101" t="inlineStr">
        <is>
          <t>14 Desember 2026</t>
        </is>
      </c>
      <c r="M101" t="inlineStr">
        <is>
          <t>Konstruksi Gedung Industri</t>
        </is>
      </c>
      <c r="N101" t="inlineStr">
        <is>
          <t>K</t>
        </is>
      </c>
      <c r="O101" t="inlineStr">
        <is>
          <t>20231211</t>
        </is>
      </c>
      <c r="P101" t="inlineStr">
        <is>
          <t>DKI Jakarta</t>
        </is>
      </c>
      <c r="Q101" t="inlineStr"/>
    </row>
    <row r="102">
      <c r="A102" t="inlineStr">
        <is>
          <t>SINAR ABADI KENCANA</t>
        </is>
      </c>
      <c r="B102" t="inlineStr">
        <is>
          <t>Kab. Langkat</t>
        </is>
      </c>
      <c r="C102" t="inlineStr">
        <is>
          <t>0811646969</t>
        </is>
      </c>
      <c r="D102" t="inlineStr">
        <is>
          <t>ptsinarabadikencana23@gmail.com</t>
        </is>
      </c>
      <c r="E102" t="inlineStr">
        <is>
          <t>https://lpjk.pu.go.id/search-badan-usaha-detail/R3pTOHg5ZXFOaGNxS0dXOVB3YlFOUT09</t>
        </is>
      </c>
      <c r="F102" t="n">
        <v>2</v>
      </c>
      <c r="G102" t="inlineStr">
        <is>
          <t>IN001, IN004</t>
        </is>
      </c>
      <c r="H102" t="inlineStr">
        <is>
          <t>30 Mei 2011</t>
        </is>
      </c>
      <c r="I102" s="2" t="n">
        <v>46370</v>
      </c>
      <c r="J102" t="inlineStr">
        <is>
          <t>Pembekuan, Pencabutan</t>
        </is>
      </c>
      <c r="K102" t="n">
        <v>87</v>
      </c>
      <c r="L102" t="inlineStr">
        <is>
          <t>14 Desember 2026</t>
        </is>
      </c>
      <c r="M102" t="inlineStr">
        <is>
          <t>Instalasi Mekanikal, Instalasi Minyak dan Gas</t>
        </is>
      </c>
      <c r="N102" t="inlineStr">
        <is>
          <t>Spesialis</t>
        </is>
      </c>
      <c r="O102" t="inlineStr">
        <is>
          <t>20231214</t>
        </is>
      </c>
      <c r="P102" t="inlineStr">
        <is>
          <t>Sumatera Utara</t>
        </is>
      </c>
      <c r="Q102" t="inlineStr"/>
    </row>
    <row r="103">
      <c r="A103" t="inlineStr">
        <is>
          <t>SUMBER DAYA TEKSINDO</t>
        </is>
      </c>
      <c r="B103" t="inlineStr">
        <is>
          <t>Kota Bandar Lampung</t>
        </is>
      </c>
      <c r="C103" t="inlineStr">
        <is>
          <t>08127972760</t>
        </is>
      </c>
      <c r="D103" t="inlineStr">
        <is>
          <t>sumberdayateknik7@gmail.com</t>
        </is>
      </c>
      <c r="E103" t="inlineStr">
        <is>
          <t>https://lpjk.pu.go.id/search-badan-usaha-detail/VHhHa3grbWV3aXAxVEJHbk5zYkxLUT09</t>
        </is>
      </c>
      <c r="F103" t="n">
        <v>2</v>
      </c>
      <c r="G103" t="inlineStr">
        <is>
          <t>AL001, AL003</t>
        </is>
      </c>
      <c r="H103" t="inlineStr">
        <is>
          <t>12 September 1994</t>
        </is>
      </c>
      <c r="I103" s="2" t="n">
        <v>46370</v>
      </c>
      <c r="J103" t="inlineStr">
        <is>
          <t>Disetujui</t>
        </is>
      </c>
      <c r="K103" t="n">
        <v>87</v>
      </c>
      <c r="L103" t="inlineStr">
        <is>
          <t>14 Desember 2026</t>
        </is>
      </c>
      <c r="M103" t="inlineStr">
        <is>
          <t>Jasa Pengembangan Pemanfaatan Ruang, Jasa Pengembangan Perkotaan</t>
        </is>
      </c>
      <c r="N103" t="inlineStr">
        <is>
          <t>K</t>
        </is>
      </c>
      <c r="O103" t="inlineStr">
        <is>
          <t>20231117, 20231128</t>
        </is>
      </c>
      <c r="P103" t="inlineStr">
        <is>
          <t>Lampung</t>
        </is>
      </c>
      <c r="Q103" t="inlineStr"/>
    </row>
    <row r="104">
      <c r="A104" t="inlineStr">
        <is>
          <t>SUMBER JAYA PERKASA RAYA</t>
        </is>
      </c>
      <c r="B104" t="inlineStr">
        <is>
          <t>Kab. Blora</t>
        </is>
      </c>
      <c r="C104" t="inlineStr">
        <is>
          <t>081225137779</t>
        </is>
      </c>
      <c r="D104" t="inlineStr">
        <is>
          <t>sumberjayapr03@gmail.com</t>
        </is>
      </c>
      <c r="E104" t="inlineStr">
        <is>
          <t>https://lpjk.pu.go.id/search-badan-usaha-detail/SHltVnluMlpWbjlTS1p2eVlpMDNRdz09</t>
        </is>
      </c>
      <c r="F104" t="n">
        <v>1</v>
      </c>
      <c r="G104" t="inlineStr">
        <is>
          <t>BG006</t>
        </is>
      </c>
      <c r="H104" t="inlineStr">
        <is>
          <t>21 Oktober 2019</t>
        </is>
      </c>
      <c r="I104" s="2" t="n">
        <v>46370</v>
      </c>
      <c r="J104" t="inlineStr">
        <is>
          <t>Disetujui</t>
        </is>
      </c>
      <c r="K104" t="n">
        <v>87</v>
      </c>
      <c r="L104" t="inlineStr">
        <is>
          <t>14 Desember 2026</t>
        </is>
      </c>
      <c r="M104" t="inlineStr">
        <is>
          <t>Konstruksi Gedung Pendidikan</t>
        </is>
      </c>
      <c r="N104" t="inlineStr">
        <is>
          <t>K</t>
        </is>
      </c>
      <c r="O104" t="inlineStr">
        <is>
          <t>20231212</t>
        </is>
      </c>
      <c r="P104" t="inlineStr">
        <is>
          <t>Jawa Tengah</t>
        </is>
      </c>
      <c r="Q104" t="inlineStr"/>
    </row>
    <row r="105">
      <c r="A105" t="inlineStr">
        <is>
          <t>SUMBERDAYA ANDALAN MANDIRI</t>
        </is>
      </c>
      <c r="B105" t="inlineStr">
        <is>
          <t>Kota Adm. Jakarta Selatan</t>
        </is>
      </c>
      <c r="C105" t="inlineStr">
        <is>
          <t>085891067803</t>
        </is>
      </c>
      <c r="D105" t="inlineStr">
        <is>
          <t>ptsumberdayaandalanmandiri@gmail.com</t>
        </is>
      </c>
      <c r="E105" t="inlineStr">
        <is>
          <t>https://lpjk.pu.go.id/search-badan-usaha-detail/MTg3Ny9xYUszb3dlenVPb00vMVc2dz09</t>
        </is>
      </c>
      <c r="F105" t="n">
        <v>1</v>
      </c>
      <c r="G105" t="inlineStr">
        <is>
          <t>BG002</t>
        </is>
      </c>
      <c r="H105" t="inlineStr">
        <is>
          <t>29 Juni 2016</t>
        </is>
      </c>
      <c r="I105" s="2" t="n">
        <v>46370</v>
      </c>
      <c r="J105" t="inlineStr">
        <is>
          <t>Disetujui</t>
        </is>
      </c>
      <c r="K105" t="n">
        <v>87</v>
      </c>
      <c r="L105" t="inlineStr">
        <is>
          <t>14 Desember 2026</t>
        </is>
      </c>
      <c r="M105" t="inlineStr">
        <is>
          <t>Konstruksi Gedung Perkantoran</t>
        </is>
      </c>
      <c r="N105" t="inlineStr">
        <is>
          <t>M</t>
        </is>
      </c>
      <c r="O105" t="inlineStr">
        <is>
          <t>20231212</t>
        </is>
      </c>
      <c r="P105" t="inlineStr">
        <is>
          <t>DKI Jakarta</t>
        </is>
      </c>
      <c r="Q105" t="inlineStr"/>
    </row>
    <row r="106">
      <c r="A106" t="inlineStr">
        <is>
          <t>TELAGA NUSANTARA</t>
        </is>
      </c>
      <c r="B106" t="inlineStr">
        <is>
          <t>Kota Banda Aceh</t>
        </is>
      </c>
      <c r="C106" t="inlineStr">
        <is>
          <t>085314084433</t>
        </is>
      </c>
      <c r="D106" t="inlineStr">
        <is>
          <t>telaganusantara.cv@gmail.com</t>
        </is>
      </c>
      <c r="E106" t="inlineStr">
        <is>
          <t>https://lpjk.pu.go.id/search-badan-usaha-detail/QUluNkZXSldDTXk1ajZNUzJOME9kdz09</t>
        </is>
      </c>
      <c r="F106" t="n">
        <v>4</v>
      </c>
      <c r="G106" t="inlineStr">
        <is>
          <t>BG001, BG005, BG006, BG009</t>
        </is>
      </c>
      <c r="H106" t="inlineStr">
        <is>
          <t>25 April 2019</t>
        </is>
      </c>
      <c r="I106" s="2" t="n">
        <v>46370</v>
      </c>
      <c r="J106" t="inlineStr">
        <is>
          <t>Disetujui</t>
        </is>
      </c>
      <c r="K106" t="n">
        <v>87</v>
      </c>
      <c r="L106" t="inlineStr">
        <is>
          <t>14 Desember 2026</t>
        </is>
      </c>
      <c r="M106" t="inlineStr">
        <is>
          <t>Konstruksi Gedung Hunian, Konstruksi Gedung Kesehatan, Konstruksi Gedung Lainnya, Konstruksi Gedung Pendidikan</t>
        </is>
      </c>
      <c r="N106" t="inlineStr">
        <is>
          <t>K</t>
        </is>
      </c>
      <c r="O106" t="inlineStr">
        <is>
          <t>20231120, 20231212, 20231214</t>
        </is>
      </c>
      <c r="P106" t="inlineStr">
        <is>
          <t>Aceh</t>
        </is>
      </c>
      <c r="Q106" t="inlineStr"/>
    </row>
    <row r="107">
      <c r="A107" t="inlineStr">
        <is>
          <t>TIARA TEKNIK</t>
        </is>
      </c>
      <c r="B107" t="inlineStr">
        <is>
          <t>Kota Makassar</t>
        </is>
      </c>
      <c r="C107" t="inlineStr">
        <is>
          <t>085397578199</t>
        </is>
      </c>
      <c r="D107" t="inlineStr">
        <is>
          <t>zdavirmuhammad@gmail.com</t>
        </is>
      </c>
      <c r="E107" t="inlineStr">
        <is>
          <t>https://lpjk.pu.go.id/search-badan-usaha-detail/VFFYeGtDV1ZRN1hIQjZKOWw0cEE4UT09</t>
        </is>
      </c>
      <c r="F107" t="n">
        <v>1</v>
      </c>
      <c r="G107" t="inlineStr">
        <is>
          <t>BS004</t>
        </is>
      </c>
      <c r="H107" t="inlineStr">
        <is>
          <t>14 Agustus 2007</t>
        </is>
      </c>
      <c r="I107" s="2" t="n">
        <v>46370</v>
      </c>
      <c r="J107" t="inlineStr">
        <is>
          <t>Pembekuan</t>
        </is>
      </c>
      <c r="K107" t="n">
        <v>87</v>
      </c>
      <c r="L107" t="inlineStr">
        <is>
          <t>14 Desember 2026</t>
        </is>
      </c>
      <c r="M107" t="inlineStr">
        <is>
          <t>Konstruksi Jaringan Irigasi dan Drainase</t>
        </is>
      </c>
      <c r="N107" t="inlineStr">
        <is>
          <t>M</t>
        </is>
      </c>
      <c r="O107" t="inlineStr">
        <is>
          <t>20231213</t>
        </is>
      </c>
      <c r="P107" t="inlineStr">
        <is>
          <t>Sulawesi Selatan</t>
        </is>
      </c>
      <c r="Q107" t="inlineStr"/>
    </row>
    <row r="108">
      <c r="A108" t="inlineStr">
        <is>
          <t>TIGA JUANDA BERSAUDARA</t>
        </is>
      </c>
      <c r="B108" t="inlineStr">
        <is>
          <t>Kota Palembang</t>
        </is>
      </c>
      <c r="C108" t="inlineStr">
        <is>
          <t>085273287182</t>
        </is>
      </c>
      <c r="D108" t="inlineStr">
        <is>
          <t>tigajuandabersaudaracv@gmail.com</t>
        </is>
      </c>
      <c r="E108" t="inlineStr">
        <is>
          <t>https://lpjk.pu.go.id/search-badan-usaha-detail/a0NTUCtzWUNRVmU5Q1ZMbmxjeGJLZz09</t>
        </is>
      </c>
      <c r="F108" t="n">
        <v>1</v>
      </c>
      <c r="G108" t="inlineStr">
        <is>
          <t>BG002</t>
        </is>
      </c>
      <c r="H108" t="inlineStr">
        <is>
          <t>23 Desember 2019</t>
        </is>
      </c>
      <c r="I108" s="2" t="n">
        <v>46370</v>
      </c>
      <c r="J108" t="inlineStr">
        <is>
          <t>Disetujui</t>
        </is>
      </c>
      <c r="K108" t="n">
        <v>87</v>
      </c>
      <c r="L108" t="inlineStr">
        <is>
          <t>14 Desember 2026</t>
        </is>
      </c>
      <c r="M108" t="inlineStr">
        <is>
          <t>Konstruksi Gedung Perkantoran</t>
        </is>
      </c>
      <c r="N108" t="inlineStr">
        <is>
          <t>K</t>
        </is>
      </c>
      <c r="O108" t="inlineStr">
        <is>
          <t>20231205</t>
        </is>
      </c>
      <c r="P108" t="inlineStr">
        <is>
          <t>Sumatera Selatan</t>
        </is>
      </c>
      <c r="Q108" t="inlineStr"/>
    </row>
    <row r="109">
      <c r="A109" t="inlineStr">
        <is>
          <t>TUNAS CALIF</t>
        </is>
      </c>
      <c r="B109" t="inlineStr">
        <is>
          <t>Kota Manado</t>
        </is>
      </c>
      <c r="C109" t="inlineStr">
        <is>
          <t>0895615285621</t>
        </is>
      </c>
      <c r="D109" t="inlineStr">
        <is>
          <t>tunas.calif@gmail.com</t>
        </is>
      </c>
      <c r="E109" t="inlineStr">
        <is>
          <t>https://lpjk.pu.go.id/search-badan-usaha-detail/MzdOU1VjNW00cmRrZ082MXo1QkpSQT09</t>
        </is>
      </c>
      <c r="F109" t="n">
        <v>4</v>
      </c>
      <c r="G109" t="inlineStr">
        <is>
          <t>BG002, BG005, BG006, BG009</t>
        </is>
      </c>
      <c r="H109" t="inlineStr">
        <is>
          <t>25 Oktober 2023</t>
        </is>
      </c>
      <c r="I109" s="2" t="n">
        <v>46370</v>
      </c>
      <c r="J109" t="inlineStr">
        <is>
          <t>Pencabutan</t>
        </is>
      </c>
      <c r="K109" t="n">
        <v>87</v>
      </c>
      <c r="L109" t="inlineStr">
        <is>
          <t>14 Desember 2026</t>
        </is>
      </c>
      <c r="M109" t="inlineStr">
        <is>
          <t>Konstruksi Gedung Kesehatan, Konstruksi Gedung Lainnya, Konstruksi Gedung Pendidikan, Konstruksi Gedung Perkantoran</t>
        </is>
      </c>
      <c r="N109" t="inlineStr">
        <is>
          <t>K</t>
        </is>
      </c>
      <c r="O109" t="inlineStr">
        <is>
          <t>20231212</t>
        </is>
      </c>
      <c r="P109" t="inlineStr">
        <is>
          <t>Sulawesi Utara</t>
        </is>
      </c>
      <c r="Q109" t="inlineStr"/>
    </row>
    <row r="110">
      <c r="A110" t="inlineStr">
        <is>
          <t>VITOM JAYA</t>
        </is>
      </c>
      <c r="B110" t="inlineStr">
        <is>
          <t>Kab. Banggai</t>
        </is>
      </c>
      <c r="C110" t="inlineStr">
        <is>
          <t>085299373333</t>
        </is>
      </c>
      <c r="D110" t="inlineStr">
        <is>
          <t>agusprima06@yahoo.co.id</t>
        </is>
      </c>
      <c r="E110" t="inlineStr">
        <is>
          <t>https://lpjk.pu.go.id/search-badan-usaha-detail/bDVSNnl3UXphVlRXY0NWeks3ZWxZdz09</t>
        </is>
      </c>
      <c r="F110" t="n">
        <v>4</v>
      </c>
      <c r="G110" t="inlineStr">
        <is>
          <t>BG002, BG005, BG006, BG009</t>
        </is>
      </c>
      <c r="H110" t="inlineStr">
        <is>
          <t>11 Februari 2006</t>
        </is>
      </c>
      <c r="I110" s="2" t="n">
        <v>46370</v>
      </c>
      <c r="J110" t="inlineStr">
        <is>
          <t>Disetujui</t>
        </is>
      </c>
      <c r="K110" t="n">
        <v>87</v>
      </c>
      <c r="L110" t="inlineStr">
        <is>
          <t>14 Desember 2026</t>
        </is>
      </c>
      <c r="M110" t="inlineStr">
        <is>
          <t>Konstruksi Gedung Kesehatan, Konstruksi Gedung Lainnya, Konstruksi Gedung Pendidikan, Konstruksi Gedung Perkantoran</t>
        </is>
      </c>
      <c r="N110" t="inlineStr">
        <is>
          <t>K</t>
        </is>
      </c>
      <c r="O110" t="inlineStr">
        <is>
          <t>20231212</t>
        </is>
      </c>
      <c r="P110" t="inlineStr">
        <is>
          <t>Sulawesi Tengah</t>
        </is>
      </c>
      <c r="Q110" t="inlineStr"/>
    </row>
    <row r="111">
      <c r="A111" t="inlineStr">
        <is>
          <t>WAHANA MITRA ABADI</t>
        </is>
      </c>
      <c r="B111" t="inlineStr">
        <is>
          <t>Kab. Muaro Jambi</t>
        </is>
      </c>
      <c r="C111" t="inlineStr">
        <is>
          <t>085268509536</t>
        </is>
      </c>
      <c r="D111" t="inlineStr">
        <is>
          <t>wmajambi@yahoo.com</t>
        </is>
      </c>
      <c r="E111" t="inlineStr">
        <is>
          <t>https://lpjk.pu.go.id/search-badan-usaha-detail/ZnovZ2MxMm1yTmNVOVJ4UXZQME0zdz09</t>
        </is>
      </c>
      <c r="F111" t="n">
        <v>2</v>
      </c>
      <c r="G111" t="inlineStr">
        <is>
          <t>BG001, BG002</t>
        </is>
      </c>
      <c r="H111" t="inlineStr">
        <is>
          <t>14 Agustus 2019</t>
        </is>
      </c>
      <c r="I111" s="2" t="n">
        <v>46370</v>
      </c>
      <c r="J111" t="inlineStr">
        <is>
          <t>Disetujui</t>
        </is>
      </c>
      <c r="K111" t="n">
        <v>87</v>
      </c>
      <c r="L111" t="inlineStr">
        <is>
          <t>14 Desember 2026</t>
        </is>
      </c>
      <c r="M111" t="inlineStr">
        <is>
          <t>Konstruksi Gedung Hunian, Konstruksi Gedung Perkantoran</t>
        </is>
      </c>
      <c r="N111" t="inlineStr">
        <is>
          <t>K</t>
        </is>
      </c>
      <c r="O111" t="inlineStr">
        <is>
          <t>20231213, 20231214</t>
        </is>
      </c>
      <c r="P111" t="inlineStr">
        <is>
          <t>Jambi</t>
        </is>
      </c>
      <c r="Q111" t="inlineStr"/>
    </row>
    <row r="112">
      <c r="A112" t="inlineStr">
        <is>
          <t>WIJA MASAGENA</t>
        </is>
      </c>
      <c r="B112" t="inlineStr">
        <is>
          <t>Kab. Majene</t>
        </is>
      </c>
      <c r="C112" t="inlineStr">
        <is>
          <t>082271584191</t>
        </is>
      </c>
      <c r="D112" t="inlineStr">
        <is>
          <t>wijamasagena@gmail.com</t>
        </is>
      </c>
      <c r="E112" t="inlineStr">
        <is>
          <t>https://lpjk.pu.go.id/search-badan-usaha-detail/anhqU0dTek9ueCt2UzJaK3N0SFdwdz09</t>
        </is>
      </c>
      <c r="F112" t="n">
        <v>1</v>
      </c>
      <c r="G112" t="inlineStr">
        <is>
          <t>BS010</t>
        </is>
      </c>
      <c r="H112" t="inlineStr">
        <is>
          <t>14 Juli 2023</t>
        </is>
      </c>
      <c r="I112" s="2" t="n">
        <v>46370</v>
      </c>
      <c r="J112" t="inlineStr">
        <is>
          <t>Disetujui</t>
        </is>
      </c>
      <c r="K112" t="n">
        <v>87</v>
      </c>
      <c r="L112" t="inlineStr">
        <is>
          <t>14 Desember 2026</t>
        </is>
      </c>
      <c r="M112" t="inlineStr">
        <is>
          <t>Konstruksi Bangunan Prasarana Sumber Daya Air</t>
        </is>
      </c>
      <c r="N112" t="inlineStr">
        <is>
          <t>K</t>
        </is>
      </c>
      <c r="O112" t="inlineStr">
        <is>
          <t>20231213</t>
        </is>
      </c>
      <c r="P112" t="inlineStr">
        <is>
          <t>Sulawesi Barat</t>
        </is>
      </c>
      <c r="Q112" t="inlineStr"/>
    </row>
    <row r="113">
      <c r="A113" t="inlineStr">
        <is>
          <t>WIJAYA KARYA ANUGRAH</t>
        </is>
      </c>
      <c r="B113" t="inlineStr">
        <is>
          <t>Kota Samarinda</t>
        </is>
      </c>
      <c r="C113" t="inlineStr">
        <is>
          <t>0811585828</t>
        </is>
      </c>
      <c r="D113" t="inlineStr">
        <is>
          <t>sales.wka@gmail.com</t>
        </is>
      </c>
      <c r="E113" t="inlineStr">
        <is>
          <t>https://lpjk.pu.go.id/search-badan-usaha-detail/TXE0TGZRb1BUMFUvajNSNnJSeHNMQT09</t>
        </is>
      </c>
      <c r="F113" t="n">
        <v>2</v>
      </c>
      <c r="G113" t="inlineStr">
        <is>
          <t>IN002</t>
        </is>
      </c>
      <c r="H113" t="inlineStr">
        <is>
          <t>17 Maret 2011</t>
        </is>
      </c>
      <c r="I113" s="2" t="n">
        <v>46370</v>
      </c>
      <c r="J113" t="inlineStr">
        <is>
          <t>Pembekuan</t>
        </is>
      </c>
      <c r="K113" t="n">
        <v>87</v>
      </c>
      <c r="L113" t="inlineStr">
        <is>
          <t>14 Desember 2026</t>
        </is>
      </c>
      <c r="M113" t="inlineStr">
        <is>
          <t>Instalasi Telekomunikasi</t>
        </is>
      </c>
      <c r="N113" t="inlineStr">
        <is>
          <t>Spesialis</t>
        </is>
      </c>
      <c r="O113" t="inlineStr">
        <is>
          <t>20231021</t>
        </is>
      </c>
      <c r="P113" t="inlineStr">
        <is>
          <t>Kalimantan Timur</t>
        </is>
      </c>
      <c r="Q113" t="inlineStr"/>
    </row>
    <row r="114">
      <c r="A114" t="inlineStr">
        <is>
          <t>ZAHIRA CIPTA KONSULTAN</t>
        </is>
      </c>
      <c r="B114" t="inlineStr">
        <is>
          <t>Kota Serang</t>
        </is>
      </c>
      <c r="C114" t="inlineStr">
        <is>
          <t>087772214527</t>
        </is>
      </c>
      <c r="D114" t="inlineStr">
        <is>
          <t>zahiraciptakonsultan@gmail.com</t>
        </is>
      </c>
      <c r="E114" t="inlineStr">
        <is>
          <t>https://lpjk.pu.go.id/search-badan-usaha-detail/eHBKMG1tL0Z5NDltM3ROWTRmNFV4dz09</t>
        </is>
      </c>
      <c r="F114" t="n">
        <v>1</v>
      </c>
      <c r="G114" t="inlineStr">
        <is>
          <t>RK002</t>
        </is>
      </c>
      <c r="H114" t="inlineStr">
        <is>
          <t>27 Februari 2023</t>
        </is>
      </c>
      <c r="I114" s="2" t="n">
        <v>46370</v>
      </c>
      <c r="J114" t="inlineStr">
        <is>
          <t>Disetujui</t>
        </is>
      </c>
      <c r="K114" t="n">
        <v>87</v>
      </c>
      <c r="L114" t="inlineStr">
        <is>
          <t>14 Desember 2026</t>
        </is>
      </c>
      <c r="M114" t="inlineStr">
        <is>
          <t>Jasa Rekayasa Pekerjaan Teknik Sipil Sumber Daya Air</t>
        </is>
      </c>
      <c r="N114" t="inlineStr">
        <is>
          <t>K</t>
        </is>
      </c>
      <c r="O114" t="inlineStr">
        <is>
          <t>20231207</t>
        </is>
      </c>
      <c r="P114" t="inlineStr">
        <is>
          <t>Banten</t>
        </is>
      </c>
      <c r="Q114" t="inlineStr"/>
    </row>
    <row r="115">
      <c r="A115" t="inlineStr">
        <is>
          <t>ZENITH ABADI PUTRA</t>
        </is>
      </c>
      <c r="B115" t="inlineStr">
        <is>
          <t>Kota Ternate</t>
        </is>
      </c>
      <c r="C115" t="inlineStr">
        <is>
          <t>081331100309</t>
        </is>
      </c>
      <c r="D115" t="inlineStr">
        <is>
          <t>pt.zenithabadiputra@gmail.com</t>
        </is>
      </c>
      <c r="E115" t="inlineStr">
        <is>
          <t>https://lpjk.pu.go.id/search-badan-usaha-detail/NjNzMmdlODhGQ1VMN3JkZGNnek5xZz09</t>
        </is>
      </c>
      <c r="F115" t="n">
        <v>1</v>
      </c>
      <c r="G115" t="inlineStr">
        <is>
          <t>AR002</t>
        </is>
      </c>
      <c r="H115" t="inlineStr">
        <is>
          <t>10 November 2023</t>
        </is>
      </c>
      <c r="I115" s="2" t="n">
        <v>46370</v>
      </c>
      <c r="J115" t="inlineStr">
        <is>
          <t>Disetujui</t>
        </is>
      </c>
      <c r="K115" t="n">
        <v>87</v>
      </c>
      <c r="L115" t="inlineStr">
        <is>
          <t>14 Desember 2026</t>
        </is>
      </c>
      <c r="M115" t="inlineStr">
        <is>
          <t>Jasa Arsitektural Lainnya</t>
        </is>
      </c>
      <c r="N115" t="inlineStr">
        <is>
          <t>K</t>
        </is>
      </c>
      <c r="O115" t="inlineStr">
        <is>
          <t>20231130</t>
        </is>
      </c>
      <c r="P115" t="inlineStr">
        <is>
          <t>Maluku Utara</t>
        </is>
      </c>
      <c r="Q115" t="inlineStr"/>
    </row>
    <row r="116">
      <c r="A116" t="inlineStr">
        <is>
          <t>ZENITH KARYA KONSTRUKSI</t>
        </is>
      </c>
      <c r="B116" t="inlineStr">
        <is>
          <t>Kota Pontianak</t>
        </is>
      </c>
      <c r="C116" t="inlineStr">
        <is>
          <t>0816212390</t>
        </is>
      </c>
      <c r="D116" t="inlineStr">
        <is>
          <t>zenithkaryakonstruksi@gmail.com</t>
        </is>
      </c>
      <c r="E116" t="inlineStr">
        <is>
          <t>https://lpjk.pu.go.id/search-badan-usaha-detail/TTlyaWg1MEx0bjBrNVl0eWliYWpRZz09</t>
        </is>
      </c>
      <c r="F116" t="n">
        <v>2</v>
      </c>
      <c r="G116" t="inlineStr">
        <is>
          <t>RK001, RK003</t>
        </is>
      </c>
      <c r="H116" t="inlineStr">
        <is>
          <t>29 Agustus 2020</t>
        </is>
      </c>
      <c r="I116" s="2" t="n">
        <v>46370</v>
      </c>
      <c r="J116" t="inlineStr">
        <is>
          <t>Disetujui</t>
        </is>
      </c>
      <c r="K116" t="n">
        <v>87</v>
      </c>
      <c r="L116" t="inlineStr">
        <is>
          <t>14 Desember 2026</t>
        </is>
      </c>
      <c r="M116" t="inlineStr">
        <is>
          <t>Jasa Rekayasa Konstruksi Bangunan Gedung Hunian dan Non Hunian, Jasa Rekayasa Pekerjaan Teknik Sipil Transportasi</t>
        </is>
      </c>
      <c r="N116" t="inlineStr">
        <is>
          <t>K</t>
        </is>
      </c>
      <c r="O116" t="inlineStr">
        <is>
          <t>20231204</t>
        </is>
      </c>
      <c r="P116" t="inlineStr">
        <is>
          <t>Kalimantan Barat</t>
        </is>
      </c>
      <c r="Q1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cols>
    <col width="50" customWidth="1" min="1" max="1"/>
    <col width="27" customWidth="1" min="2" max="2"/>
    <col width="16" customWidth="1" min="3" max="3"/>
    <col width="40"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4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ARMINDO CAHYA</t>
        </is>
      </c>
      <c r="B2" t="inlineStr">
        <is>
          <t>Kota Bogor</t>
        </is>
      </c>
      <c r="C2" t="inlineStr">
        <is>
          <t>087874084323</t>
        </is>
      </c>
      <c r="D2" t="inlineStr">
        <is>
          <t>cvarmindo2018@yahoo.com</t>
        </is>
      </c>
      <c r="E2" t="inlineStr">
        <is>
          <t>https://lpjk.pu.go.id/search-badan-usaha-detail/VEx2K1VUbkx5ZHpHZVA1czVoSlJMQT09</t>
        </is>
      </c>
      <c r="F2" t="n">
        <v>8</v>
      </c>
      <c r="G2" t="inlineStr">
        <is>
          <t>BG005, BG006, BG009, BS004</t>
        </is>
      </c>
      <c r="H2" t="inlineStr">
        <is>
          <t>28 Februari 1996</t>
        </is>
      </c>
      <c r="I2" s="2" t="n">
        <v>46343</v>
      </c>
      <c r="J2" t="inlineStr">
        <is>
          <t>Disetujui</t>
        </is>
      </c>
      <c r="K2" t="n">
        <v>60</v>
      </c>
      <c r="L2" t="inlineStr">
        <is>
          <t>17 November 2026</t>
        </is>
      </c>
      <c r="M2" t="inlineStr">
        <is>
          <t>Konstruksi Gedung Kesehatan, Konstruksi Gedung Lainnya, Konstruksi Gedung Pendidikan, Konstruksi Jaringan Irigasi dan Drainase</t>
        </is>
      </c>
      <c r="N2" t="inlineStr">
        <is>
          <t>K</t>
        </is>
      </c>
      <c r="O2" t="inlineStr">
        <is>
          <t>20231115, 20231120</t>
        </is>
      </c>
      <c r="P2" t="inlineStr">
        <is>
          <t>Jawa Barat</t>
        </is>
      </c>
      <c r="Q2" s="3">
        <f>HYPERLINK("https://wa.me/6287874084323?text=*[PENGINGAT MASA BERLAKU SBU ARMINDO CAHYA]*%0A%0AYth. Pimpinan ARMINDO CAHYA,%0AMohon izin menginformasikan status SBU Anda di sistem LPJK:%0A%0A📄 SBU: BG005, BG006, BG009, BS004%0A📅 Expired: 17 November 2026 (60 Hari Lagi)%0A%0AKami tim PT. ESDEA Assistance Management siap men-support proses perpanjangan segera agar administrasi proyek tidak terhambat%0A%0AApakah boleh saya bantu siapkan estimasi biaya dan waktu pengerjaannya?.", "Hubungi")</f>
        <v/>
      </c>
    </row>
    <row r="3">
      <c r="A3" t="inlineStr">
        <is>
          <t>BERDAYA BERSAMA SENTOSA</t>
        </is>
      </c>
      <c r="B3" t="inlineStr">
        <is>
          <t>Kab. Bogor</t>
        </is>
      </c>
      <c r="C3" t="inlineStr">
        <is>
          <t>085694451982</t>
        </is>
      </c>
      <c r="D3" t="inlineStr">
        <is>
          <t>ptberdayabersamasentosa@gmail.com</t>
        </is>
      </c>
      <c r="E3" t="inlineStr">
        <is>
          <t>https://lpjk.pu.go.id/search-badan-usaha-detail/dnJCMWQrRGVtNzJZblhaWlNUcFh3QT09</t>
        </is>
      </c>
      <c r="F3" t="n">
        <v>3</v>
      </c>
      <c r="G3" t="inlineStr">
        <is>
          <t>BG006, BS001, BS004</t>
        </is>
      </c>
      <c r="H3" t="inlineStr">
        <is>
          <t>18 Februari 2022</t>
        </is>
      </c>
      <c r="I3" s="2" t="n">
        <v>46343</v>
      </c>
      <c r="J3" t="inlineStr">
        <is>
          <t>Disetujui</t>
        </is>
      </c>
      <c r="K3" t="n">
        <v>60</v>
      </c>
      <c r="L3" t="inlineStr">
        <is>
          <t>17 November 2026</t>
        </is>
      </c>
      <c r="M3" t="inlineStr">
        <is>
          <t>Konstruksi Bangunan Sipil Jalan, Konstruksi Gedung Pendidikan, Konstruksi Jaringan Irigasi dan Drainase</t>
        </is>
      </c>
      <c r="N3" t="inlineStr">
        <is>
          <t>K</t>
        </is>
      </c>
      <c r="O3" t="inlineStr">
        <is>
          <t>20231115</t>
        </is>
      </c>
      <c r="P3" t="inlineStr">
        <is>
          <t>Jawa Barat</t>
        </is>
      </c>
      <c r="Q3" s="3">
        <f>HYPERLINK("https://wa.me/6285694451982?text=*[PENGINGAT MASA BERLAKU SBU BERDAYA BERSAMA SENTOSA]*%0A%0AYth. Pimpinan BERDAYA BERSAMA SENTOSA,%0AMohon izin menginformasikan status SBU Anda di sistem LPJK:%0A%0A📄 SBU: BG006, BS001, BS004%0A📅 Expired: 17 November 2026 (60 Hari Lagi)%0A%0AKami tim PT. ESDEA Assistance Management siap men-support proses perpanjangan segera agar administrasi proyek tidak terhambat%0A%0AApakah boleh saya bantu siapkan estimasi biaya dan waktu pengerjaannya?.", "Hubungi")</f>
        <v/>
      </c>
    </row>
    <row r="4">
      <c r="A4" t="inlineStr">
        <is>
          <t>MURGUNG NUSA PARAMA</t>
        </is>
      </c>
      <c r="B4" t="inlineStr">
        <is>
          <t>Kota Bogor</t>
        </is>
      </c>
      <c r="C4" t="inlineStr">
        <is>
          <t>02518373188</t>
        </is>
      </c>
      <c r="D4" t="inlineStr">
        <is>
          <t>murgungnusaparama@gmail.com</t>
        </is>
      </c>
      <c r="E4" t="inlineStr">
        <is>
          <t>https://lpjk.pu.go.id/search-badan-usaha-detail/YVJEbzgyMFJMdWYwVjVMUDRDL0ROeWljN081dVhhT0tLaEwvdG42a3B5cz0</t>
        </is>
      </c>
      <c r="F4" t="n">
        <v>5</v>
      </c>
      <c r="G4" t="inlineStr">
        <is>
          <t>BG003, BG004, BG005, BG006, BG009</t>
        </is>
      </c>
      <c r="H4" t="inlineStr">
        <is>
          <t>24 Februari 2025</t>
        </is>
      </c>
      <c r="I4" s="2" t="n">
        <v>46343</v>
      </c>
      <c r="J4" t="inlineStr">
        <is>
          <t>Disetujui</t>
        </is>
      </c>
      <c r="K4" t="n">
        <v>60</v>
      </c>
      <c r="L4" t="inlineStr">
        <is>
          <t>17 November 2026</t>
        </is>
      </c>
      <c r="M4" t="inlineStr">
        <is>
          <t>Konstruksi Gedung Industri, Konstruksi Gedung Kesehatan, Konstruksi Gedung Lainnya, Konstruksi Gedung Pendidikan, Konstruksi Gedung Perbelanjaan</t>
        </is>
      </c>
      <c r="N4" t="inlineStr">
        <is>
          <t>K</t>
        </is>
      </c>
      <c r="O4" t="inlineStr">
        <is>
          <t>20231116</t>
        </is>
      </c>
      <c r="P4" t="inlineStr">
        <is>
          <t>Jawa Barat</t>
        </is>
      </c>
      <c r="Q4" s="3">
        <f>HYPERLINK("https://wa.me/622518373188?text=*[PENGINGAT MASA BERLAKU SBU MURGUNG NUSA PARAMA]*%0A%0AYth. Pimpinan MURGUNG NUSA PARAMA,%0AMohon izin menginformasikan status SBU Anda di sistem LPJK:%0A%0A📄 SBU: BG003, BG004, BG005, BG006, BG009%0A📅 Expired: 17 November 2026 (60 Hari Lagi)%0A%0AKami tim PT. ESDEA Assistance Management siap men-support proses perpanjangan segera agar administrasi proyek tidak terhambat%0A%0AApakah boleh saya bantu siapkan estimasi biaya dan waktu pengerjaannya?.", "Hubungi")</f>
        <v/>
      </c>
    </row>
    <row r="5">
      <c r="A5" t="inlineStr">
        <is>
          <t>ADIKA PUTRA MANDIRI</t>
        </is>
      </c>
      <c r="B5" t="inlineStr">
        <is>
          <t>Kota Semarang</t>
        </is>
      </c>
      <c r="C5" t="inlineStr">
        <is>
          <t>02476671108</t>
        </is>
      </c>
      <c r="D5" t="inlineStr">
        <is>
          <t>adikaputramandiri@gmail.com</t>
        </is>
      </c>
      <c r="E5" t="inlineStr">
        <is>
          <t>https://lpjk.pu.go.id/search-badan-usaha-detail/bmRlbm8vN0VUbStlV3NRYlYvbWQ1QT09</t>
        </is>
      </c>
      <c r="F5" t="n">
        <v>1</v>
      </c>
      <c r="G5" t="inlineStr">
        <is>
          <t>BS007</t>
        </is>
      </c>
      <c r="H5" t="inlineStr">
        <is>
          <t>15 Januari 2007</t>
        </is>
      </c>
      <c r="I5" s="2" t="n">
        <v>46343</v>
      </c>
      <c r="J5" t="inlineStr">
        <is>
          <t>Disetujui</t>
        </is>
      </c>
      <c r="K5" t="n">
        <v>60</v>
      </c>
      <c r="L5" t="inlineStr">
        <is>
          <t>17 November 2026</t>
        </is>
      </c>
      <c r="M5" t="inlineStr">
        <is>
          <t>Konstruksi Bangunan Sipil Elektrikal</t>
        </is>
      </c>
      <c r="N5" t="inlineStr">
        <is>
          <t>K</t>
        </is>
      </c>
      <c r="O5" t="inlineStr">
        <is>
          <t>20231117</t>
        </is>
      </c>
      <c r="P5" t="inlineStr">
        <is>
          <t>Jawa Tengah</t>
        </is>
      </c>
      <c r="Q5" t="inlineStr"/>
    </row>
    <row r="6">
      <c r="A6" t="inlineStr">
        <is>
          <t>ANANDA UTAMA</t>
        </is>
      </c>
      <c r="B6" t="inlineStr">
        <is>
          <t>Kota Palopo</t>
        </is>
      </c>
      <c r="C6" t="inlineStr">
        <is>
          <t>08124285377</t>
        </is>
      </c>
      <c r="D6" t="inlineStr">
        <is>
          <t>anandautama55@yahoo.com</t>
        </is>
      </c>
      <c r="E6" t="inlineStr">
        <is>
          <t>https://lpjk.pu.go.id/search-badan-usaha-detail/azduUDNxTFhtR21adjI3dXNiQllmZz09</t>
        </is>
      </c>
      <c r="F6" t="n">
        <v>2</v>
      </c>
      <c r="G6" t="inlineStr">
        <is>
          <t>BS004</t>
        </is>
      </c>
      <c r="H6" t="inlineStr">
        <is>
          <t>28 Desember 1993</t>
        </is>
      </c>
      <c r="I6" s="2" t="n">
        <v>46343</v>
      </c>
      <c r="J6" t="inlineStr">
        <is>
          <t>Disetujui</t>
        </is>
      </c>
      <c r="K6" t="n">
        <v>60</v>
      </c>
      <c r="L6" t="inlineStr">
        <is>
          <t>17 November 2026</t>
        </is>
      </c>
      <c r="M6" t="inlineStr">
        <is>
          <t>Konstruksi Jaringan Irigasi dan Drainase</t>
        </is>
      </c>
      <c r="N6" t="inlineStr">
        <is>
          <t>K</t>
        </is>
      </c>
      <c r="O6" t="inlineStr">
        <is>
          <t>20231114</t>
        </is>
      </c>
      <c r="P6" t="inlineStr">
        <is>
          <t>Sulawesi Selatan</t>
        </is>
      </c>
      <c r="Q6" t="inlineStr"/>
    </row>
    <row r="7">
      <c r="A7" t="inlineStr">
        <is>
          <t>ANUGERAH</t>
        </is>
      </c>
      <c r="B7" t="inlineStr">
        <is>
          <t>Kab. Sampang</t>
        </is>
      </c>
      <c r="C7" t="inlineStr">
        <is>
          <t>087761510897</t>
        </is>
      </c>
      <c r="D7" t="inlineStr">
        <is>
          <t>cv.anugerah2023@yahoo.com</t>
        </is>
      </c>
      <c r="E7" t="inlineStr">
        <is>
          <t>https://lpjk.pu.go.id/search-badan-usaha-detail/TU5sWjcvMklXdm9zODBicUpITlpqQT09</t>
        </is>
      </c>
      <c r="F7" t="n">
        <v>1</v>
      </c>
      <c r="G7" t="inlineStr">
        <is>
          <t>BG009</t>
        </is>
      </c>
      <c r="H7" t="inlineStr">
        <is>
          <t>15 September 2003</t>
        </is>
      </c>
      <c r="I7" s="2" t="n">
        <v>46343</v>
      </c>
      <c r="J7" t="inlineStr">
        <is>
          <t>Disetujui</t>
        </is>
      </c>
      <c r="K7" t="n">
        <v>60</v>
      </c>
      <c r="L7" t="inlineStr">
        <is>
          <t>17 November 2026</t>
        </is>
      </c>
      <c r="M7" t="inlineStr">
        <is>
          <t>Konstruksi Gedung Lainnya</t>
        </is>
      </c>
      <c r="N7" t="inlineStr">
        <is>
          <t>K</t>
        </is>
      </c>
      <c r="O7" t="inlineStr">
        <is>
          <t>20231115</t>
        </is>
      </c>
      <c r="P7" t="inlineStr">
        <is>
          <t>Jawa Timur</t>
        </is>
      </c>
      <c r="Q7" t="inlineStr"/>
    </row>
    <row r="8">
      <c r="A8" t="inlineStr">
        <is>
          <t>ANUGERAH DIGOEL</t>
        </is>
      </c>
      <c r="B8" t="inlineStr">
        <is>
          <t>Kab. Mappi</t>
        </is>
      </c>
      <c r="C8" t="inlineStr">
        <is>
          <t>085219534094</t>
        </is>
      </c>
      <c r="D8" t="inlineStr">
        <is>
          <t>cv.anugerahdigoel@gmail.com</t>
        </is>
      </c>
      <c r="E8" t="inlineStr">
        <is>
          <t>https://lpjk.pu.go.id/search-badan-usaha-detail/emZ2bXpwN1RNQitCZU05SENwdjJXQT09</t>
        </is>
      </c>
      <c r="F8" t="n">
        <v>3</v>
      </c>
      <c r="G8" t="inlineStr">
        <is>
          <t>BG005, BG006, BG009</t>
        </is>
      </c>
      <c r="H8" t="inlineStr">
        <is>
          <t>5 Agustus 2020</t>
        </is>
      </c>
      <c r="I8" s="2" t="n">
        <v>46343</v>
      </c>
      <c r="J8" t="inlineStr">
        <is>
          <t>Disetujui</t>
        </is>
      </c>
      <c r="K8" t="n">
        <v>60</v>
      </c>
      <c r="L8" t="inlineStr">
        <is>
          <t>17 November 2026</t>
        </is>
      </c>
      <c r="M8" t="inlineStr">
        <is>
          <t>Konstruksi Gedung Kesehatan, Konstruksi Gedung Lainnya, Konstruksi Gedung Pendidikan</t>
        </is>
      </c>
      <c r="N8" t="inlineStr">
        <is>
          <t>K</t>
        </is>
      </c>
      <c r="O8" t="inlineStr">
        <is>
          <t>20230921, 20230922</t>
        </is>
      </c>
      <c r="P8" t="inlineStr">
        <is>
          <t>Papua Selatan</t>
        </is>
      </c>
      <c r="Q8" t="inlineStr"/>
    </row>
    <row r="9">
      <c r="A9" t="inlineStr">
        <is>
          <t>ANUGERAH KREASI BERSAMA</t>
        </is>
      </c>
      <c r="B9" t="inlineStr">
        <is>
          <t>Kab. Karawang</t>
        </is>
      </c>
      <c r="C9" t="inlineStr">
        <is>
          <t>082111283777</t>
        </is>
      </c>
      <c r="D9" t="inlineStr">
        <is>
          <t>anugerah_kreasi@yahoo.com</t>
        </is>
      </c>
      <c r="E9" t="inlineStr">
        <is>
          <t>https://lpjk.pu.go.id/search-badan-usaha-detail/Vzl0Y3ladFZTc21BTTRFYWFjcmZaQT09</t>
        </is>
      </c>
      <c r="F9" t="n">
        <v>1</v>
      </c>
      <c r="G9" t="inlineStr">
        <is>
          <t>BS004</t>
        </is>
      </c>
      <c r="H9" t="inlineStr">
        <is>
          <t>21 Oktober 2015</t>
        </is>
      </c>
      <c r="I9" s="2" t="n">
        <v>46343</v>
      </c>
      <c r="J9" t="inlineStr">
        <is>
          <t>Disetujui</t>
        </is>
      </c>
      <c r="K9" t="n">
        <v>60</v>
      </c>
      <c r="L9" t="inlineStr">
        <is>
          <t>17 November 2026</t>
        </is>
      </c>
      <c r="M9" t="inlineStr">
        <is>
          <t>Konstruksi Jaringan Irigasi dan Drainase</t>
        </is>
      </c>
      <c r="N9" t="inlineStr">
        <is>
          <t>K</t>
        </is>
      </c>
      <c r="O9" t="inlineStr">
        <is>
          <t>20231117</t>
        </is>
      </c>
      <c r="P9" t="inlineStr">
        <is>
          <t>Jawa Barat</t>
        </is>
      </c>
      <c r="Q9" t="inlineStr"/>
    </row>
    <row r="10">
      <c r="A10" t="inlineStr">
        <is>
          <t>ASMARA KARYA</t>
        </is>
      </c>
      <c r="B10" t="inlineStr">
        <is>
          <t>Kab. Sidoarjo</t>
        </is>
      </c>
      <c r="C10" t="inlineStr">
        <is>
          <t>081357147967</t>
        </is>
      </c>
      <c r="D10" t="inlineStr">
        <is>
          <t>asmara.karya@gmail.com</t>
        </is>
      </c>
      <c r="E10" t="inlineStr">
        <is>
          <t>https://lpjk.pu.go.id/search-badan-usaha-detail/QnVjRUVtbk5ndFBKRWl1TW14Y3o2QT09</t>
        </is>
      </c>
      <c r="F10" t="n">
        <v>1</v>
      </c>
      <c r="G10" t="inlineStr">
        <is>
          <t>BS001</t>
        </is>
      </c>
      <c r="H10" t="inlineStr">
        <is>
          <t>12 September 1991</t>
        </is>
      </c>
      <c r="I10" s="2" t="n">
        <v>46343</v>
      </c>
      <c r="J10" t="inlineStr">
        <is>
          <t>Disetujui</t>
        </is>
      </c>
      <c r="K10" t="n">
        <v>60</v>
      </c>
      <c r="L10" t="inlineStr">
        <is>
          <t>17 November 2026</t>
        </is>
      </c>
      <c r="M10" t="inlineStr">
        <is>
          <t>Konstruksi Bangunan Sipil Jalan</t>
        </is>
      </c>
      <c r="N10" t="inlineStr">
        <is>
          <t>K</t>
        </is>
      </c>
      <c r="O10" t="inlineStr">
        <is>
          <t>20231115</t>
        </is>
      </c>
      <c r="P10" t="inlineStr">
        <is>
          <t>Jawa Timur</t>
        </is>
      </c>
      <c r="Q10" t="inlineStr"/>
    </row>
    <row r="11">
      <c r="A11" t="inlineStr">
        <is>
          <t>BANGUN MITRA PERSADA</t>
        </is>
      </c>
      <c r="B11" t="inlineStr">
        <is>
          <t>Kota Surabaya</t>
        </is>
      </c>
      <c r="C11" t="inlineStr">
        <is>
          <t>08123119397</t>
        </is>
      </c>
      <c r="D11" t="inlineStr">
        <is>
          <t>bangunmitrapersada.bmp@gmail.com</t>
        </is>
      </c>
      <c r="E11" t="inlineStr">
        <is>
          <t>https://lpjk.pu.go.id/search-badan-usaha-detail/TkRuRkEwZFFUMHdMSE55R3RCdHFDdz09</t>
        </is>
      </c>
      <c r="F11" t="n">
        <v>1</v>
      </c>
      <c r="G11" t="inlineStr">
        <is>
          <t>BG002</t>
        </is>
      </c>
      <c r="H11" t="inlineStr">
        <is>
          <t>18 Februari 2010</t>
        </is>
      </c>
      <c r="I11" s="2" t="n">
        <v>46343</v>
      </c>
      <c r="J11" t="inlineStr">
        <is>
          <t>Disetujui</t>
        </is>
      </c>
      <c r="K11" t="n">
        <v>60</v>
      </c>
      <c r="L11" t="inlineStr">
        <is>
          <t>17 November 2026</t>
        </is>
      </c>
      <c r="M11" t="inlineStr">
        <is>
          <t>Konstruksi Gedung Perkantoran</t>
        </is>
      </c>
      <c r="N11" t="inlineStr">
        <is>
          <t>M</t>
        </is>
      </c>
      <c r="O11" t="inlineStr">
        <is>
          <t>20230906</t>
        </is>
      </c>
      <c r="P11" t="inlineStr">
        <is>
          <t>Jawa Timur</t>
        </is>
      </c>
      <c r="Q11" t="inlineStr"/>
    </row>
    <row r="12">
      <c r="A12" t="inlineStr">
        <is>
          <t>BATARA KARYA</t>
        </is>
      </c>
      <c r="B12" t="inlineStr">
        <is>
          <t>Kota Makassar</t>
        </is>
      </c>
      <c r="C12" t="inlineStr">
        <is>
          <t>0895800566191</t>
        </is>
      </c>
      <c r="D12" t="inlineStr">
        <is>
          <t>karyacvbatara@gmail.com</t>
        </is>
      </c>
      <c r="E12" t="inlineStr">
        <is>
          <t>https://lpjk.pu.go.id/search-badan-usaha-detail/amhWU2pDNjc0NkN5Tk9Za09ycWlIQT09</t>
        </is>
      </c>
      <c r="F12" t="n">
        <v>1</v>
      </c>
      <c r="G12" t="inlineStr">
        <is>
          <t>BS001</t>
        </is>
      </c>
      <c r="H12" t="inlineStr">
        <is>
          <t>27 Februari 2023</t>
        </is>
      </c>
      <c r="I12" s="2" t="n">
        <v>46343</v>
      </c>
      <c r="J12" t="inlineStr">
        <is>
          <t>Disetujui</t>
        </is>
      </c>
      <c r="K12" t="n">
        <v>60</v>
      </c>
      <c r="L12" t="inlineStr">
        <is>
          <t>17 November 2026</t>
        </is>
      </c>
      <c r="M12" t="inlineStr">
        <is>
          <t>Konstruksi Bangunan Sipil Jalan</t>
        </is>
      </c>
      <c r="N12" t="inlineStr">
        <is>
          <t>K</t>
        </is>
      </c>
      <c r="O12" t="inlineStr">
        <is>
          <t>20231117</t>
        </is>
      </c>
      <c r="P12" t="inlineStr">
        <is>
          <t>Sulawesi Selatan</t>
        </is>
      </c>
      <c r="Q12" t="inlineStr"/>
    </row>
    <row r="13">
      <c r="A13" t="inlineStr">
        <is>
          <t>BERKAH KARYA KONSTRUKSI</t>
        </is>
      </c>
      <c r="B13" t="inlineStr">
        <is>
          <t>Kab. Gresik</t>
        </is>
      </c>
      <c r="C13" t="inlineStr">
        <is>
          <t>081334336622</t>
        </is>
      </c>
      <c r="D13" t="inlineStr">
        <is>
          <t>berkahkaryakonstruksi@gmail.com</t>
        </is>
      </c>
      <c r="E13" t="inlineStr">
        <is>
          <t>https://lpjk.pu.go.id/search-badan-usaha-detail/RnJiZkdWZ0N0Z3dBakFXZ1JlQjcvUT09</t>
        </is>
      </c>
      <c r="F13" t="n">
        <v>8</v>
      </c>
      <c r="G13" t="inlineStr">
        <is>
          <t>BG002, BG005, BG006, BG009</t>
        </is>
      </c>
      <c r="H13" t="inlineStr">
        <is>
          <t>12 Agustus 2020</t>
        </is>
      </c>
      <c r="I13" s="2" t="n">
        <v>46343</v>
      </c>
      <c r="J13" t="inlineStr">
        <is>
          <t>Disetujui</t>
        </is>
      </c>
      <c r="K13" t="n">
        <v>60</v>
      </c>
      <c r="L13" t="inlineStr">
        <is>
          <t>17 November 2026</t>
        </is>
      </c>
      <c r="M13" t="inlineStr">
        <is>
          <t>Konstruksi Gedung Kesehatan, Konstruksi Gedung Lainnya, Konstruksi Gedung Pendidikan, Konstruksi Gedung Perkantoran</t>
        </is>
      </c>
      <c r="N13" t="inlineStr">
        <is>
          <t>K</t>
        </is>
      </c>
      <c r="O13" t="inlineStr">
        <is>
          <t>20231106, 20231117, 20231120, 20231121</t>
        </is>
      </c>
      <c r="P13" t="inlineStr">
        <is>
          <t>Jawa Timur</t>
        </is>
      </c>
      <c r="Q13" t="inlineStr"/>
    </row>
    <row r="14">
      <c r="A14" t="inlineStr">
        <is>
          <t>BUMI PAGUNTAKA UTAMA</t>
        </is>
      </c>
      <c r="B14" t="inlineStr">
        <is>
          <t>Kota Tarakan</t>
        </is>
      </c>
      <c r="C14" t="inlineStr">
        <is>
          <t>081222112244</t>
        </is>
      </c>
      <c r="D14" t="inlineStr">
        <is>
          <t>bumipaguntakautama@gmail.com</t>
        </is>
      </c>
      <c r="E14" t="inlineStr">
        <is>
          <t>https://lpjk.pu.go.id/search-badan-usaha-detail/NXNHZXdNS0xqQkNMQ21udXRlNGN2UT09</t>
        </is>
      </c>
      <c r="F14" t="n">
        <v>2</v>
      </c>
      <c r="G14" t="inlineStr">
        <is>
          <t>BS001, BS004</t>
        </is>
      </c>
      <c r="H14" t="inlineStr">
        <is>
          <t>9 Oktober 2019</t>
        </is>
      </c>
      <c r="I14" s="2" t="n">
        <v>46343</v>
      </c>
      <c r="J14" t="inlineStr">
        <is>
          <t>Disetujui</t>
        </is>
      </c>
      <c r="K14" t="n">
        <v>60</v>
      </c>
      <c r="L14" t="inlineStr">
        <is>
          <t>17 November 2026</t>
        </is>
      </c>
      <c r="M14" t="inlineStr">
        <is>
          <t>Konstruksi Bangunan Sipil Jalan, Konstruksi Jaringan Irigasi dan Drainase</t>
        </is>
      </c>
      <c r="N14" t="inlineStr">
        <is>
          <t>K</t>
        </is>
      </c>
      <c r="O14" t="inlineStr">
        <is>
          <t>20231114, 20231115</t>
        </is>
      </c>
      <c r="P14" t="inlineStr">
        <is>
          <t>Kalimantan Utara</t>
        </is>
      </c>
      <c r="Q14" t="inlineStr"/>
    </row>
    <row r="15">
      <c r="A15" t="inlineStr">
        <is>
          <t>CAHAYA ANGKASA UTAMA</t>
        </is>
      </c>
      <c r="B15" t="inlineStr">
        <is>
          <t>Kab. Muna Barat</t>
        </is>
      </c>
      <c r="C15" t="inlineStr">
        <is>
          <t>085398135328</t>
        </is>
      </c>
      <c r="D15" t="inlineStr">
        <is>
          <t>cahayaangkasautama@gmail.com</t>
        </is>
      </c>
      <c r="E15" t="inlineStr">
        <is>
          <t>https://lpjk.pu.go.id/search-badan-usaha-detail/VzY1N1JvZ3pwVTdySzVyOTM3QUZkQT09</t>
        </is>
      </c>
      <c r="F15" t="n">
        <v>2</v>
      </c>
      <c r="G15" t="inlineStr">
        <is>
          <t>BG005, BG006</t>
        </is>
      </c>
      <c r="H15" t="inlineStr">
        <is>
          <t>9 Juni 2022</t>
        </is>
      </c>
      <c r="I15" s="2" t="n">
        <v>46343</v>
      </c>
      <c r="J15" t="inlineStr">
        <is>
          <t>Disetujui</t>
        </is>
      </c>
      <c r="K15" t="n">
        <v>60</v>
      </c>
      <c r="L15" t="inlineStr">
        <is>
          <t>17 November 2026</t>
        </is>
      </c>
      <c r="M15" t="inlineStr">
        <is>
          <t>Konstruksi Gedung Kesehatan, Konstruksi Gedung Pendidikan</t>
        </is>
      </c>
      <c r="N15" t="inlineStr">
        <is>
          <t>K</t>
        </is>
      </c>
      <c r="O15" t="inlineStr">
        <is>
          <t>20231116, 20231118</t>
        </is>
      </c>
      <c r="P15" t="inlineStr">
        <is>
          <t>Sulawesi Tenggara</t>
        </is>
      </c>
      <c r="Q15" t="inlineStr"/>
    </row>
    <row r="16">
      <c r="A16" t="inlineStr">
        <is>
          <t>CIPANAS MULIA</t>
        </is>
      </c>
      <c r="B16" t="inlineStr">
        <is>
          <t>Kab. Kuningan</t>
        </is>
      </c>
      <c r="C16" t="inlineStr">
        <is>
          <t>085353790179</t>
        </is>
      </c>
      <c r="D16" t="inlineStr">
        <is>
          <t>cipanasmulia@gmail.com</t>
        </is>
      </c>
      <c r="E16" t="inlineStr">
        <is>
          <t>https://lpjk.pu.go.id/search-badan-usaha-detail/ZFd1RTJxVEt5ekZpdnB2RjZTNE84Zz09</t>
        </is>
      </c>
      <c r="F16" t="n">
        <v>2</v>
      </c>
      <c r="G16" t="inlineStr">
        <is>
          <t>BG006, BG009</t>
        </is>
      </c>
      <c r="H16" t="inlineStr">
        <is>
          <t>24 Juli 2014</t>
        </is>
      </c>
      <c r="I16" s="2" t="n">
        <v>46343</v>
      </c>
      <c r="J16" t="inlineStr">
        <is>
          <t>Disetujui</t>
        </is>
      </c>
      <c r="K16" t="n">
        <v>60</v>
      </c>
      <c r="L16" t="inlineStr">
        <is>
          <t>17 November 2026</t>
        </is>
      </c>
      <c r="M16" t="inlineStr">
        <is>
          <t>Konstruksi Gedung Lainnya, Konstruksi Gedung Pendidikan</t>
        </is>
      </c>
      <c r="N16" t="inlineStr">
        <is>
          <t>K</t>
        </is>
      </c>
      <c r="O16" t="inlineStr">
        <is>
          <t>20231117</t>
        </is>
      </c>
      <c r="P16" t="inlineStr">
        <is>
          <t>Jawa Barat</t>
        </is>
      </c>
      <c r="Q16" t="inlineStr"/>
    </row>
    <row r="17">
      <c r="A17" t="inlineStr">
        <is>
          <t>CITRA YUSIDA NUSANTARA</t>
        </is>
      </c>
      <c r="B17" t="inlineStr">
        <is>
          <t>Kota Adm. Jakarta Pusat</t>
        </is>
      </c>
      <c r="C17" t="inlineStr">
        <is>
          <t>082112570590</t>
        </is>
      </c>
      <c r="D17" t="inlineStr">
        <is>
          <t>cynusantara@gmail.com</t>
        </is>
      </c>
      <c r="E17" t="inlineStr">
        <is>
          <t>https://lpjk.pu.go.id/search-badan-usaha-detail/V3dkQThNVnFwaGYvUlRSSlBycU9Ydz09</t>
        </is>
      </c>
      <c r="F17" t="n">
        <v>2</v>
      </c>
      <c r="G17" t="inlineStr">
        <is>
          <t>BG001, BG006</t>
        </is>
      </c>
      <c r="H17" t="inlineStr">
        <is>
          <t>22 Juni 2016</t>
        </is>
      </c>
      <c r="I17" s="2" t="n">
        <v>46343</v>
      </c>
      <c r="J17" t="inlineStr">
        <is>
          <t>Disetujui</t>
        </is>
      </c>
      <c r="K17" t="n">
        <v>60</v>
      </c>
      <c r="L17" t="inlineStr">
        <is>
          <t>17 November 2026</t>
        </is>
      </c>
      <c r="M17" t="inlineStr">
        <is>
          <t>Konstruksi Gedung Hunian, Konstruksi Gedung Pendidikan</t>
        </is>
      </c>
      <c r="N17" t="inlineStr">
        <is>
          <t>K</t>
        </is>
      </c>
      <c r="O17" t="inlineStr">
        <is>
          <t>20231115</t>
        </is>
      </c>
      <c r="P17" t="inlineStr">
        <is>
          <t>DKI Jakarta</t>
        </is>
      </c>
      <c r="Q17" t="inlineStr"/>
    </row>
    <row r="18">
      <c r="A18" t="inlineStr">
        <is>
          <t>DUTA KELUD</t>
        </is>
      </c>
      <c r="B18" t="inlineStr">
        <is>
          <t>Kab. Kediri</t>
        </is>
      </c>
      <c r="C18" t="inlineStr">
        <is>
          <t>081335442161</t>
        </is>
      </c>
      <c r="D18" t="inlineStr">
        <is>
          <t>dutakelud78@gmail.com</t>
        </is>
      </c>
      <c r="E18" t="inlineStr">
        <is>
          <t>https://lpjk.pu.go.id/search-badan-usaha-detail/WW5uZlNGNkdYdXpNOXB5aEE4VmRmQT09</t>
        </is>
      </c>
      <c r="F18" t="n">
        <v>2</v>
      </c>
      <c r="G18" t="inlineStr">
        <is>
          <t>BG001, BG004</t>
        </is>
      </c>
      <c r="H18" t="inlineStr">
        <is>
          <t>3 Maret 2001</t>
        </is>
      </c>
      <c r="I18" s="2" t="n">
        <v>46343</v>
      </c>
      <c r="J18" t="inlineStr">
        <is>
          <t>Disetujui, Pencabutan</t>
        </is>
      </c>
      <c r="K18" t="n">
        <v>60</v>
      </c>
      <c r="L18" t="inlineStr">
        <is>
          <t>17 November 2026</t>
        </is>
      </c>
      <c r="M18" t="inlineStr">
        <is>
          <t>Konstruksi Gedung Hunian, Konstruksi Gedung Perbelanjaan</t>
        </is>
      </c>
      <c r="N18" t="inlineStr">
        <is>
          <t>K</t>
        </is>
      </c>
      <c r="O18" t="inlineStr">
        <is>
          <t>20231114, 20231120</t>
        </is>
      </c>
      <c r="P18" t="inlineStr">
        <is>
          <t>Jawa Timur</t>
        </is>
      </c>
      <c r="Q18" t="inlineStr"/>
    </row>
    <row r="19">
      <c r="A19" t="inlineStr">
        <is>
          <t>FALAH MULIA</t>
        </is>
      </c>
      <c r="B19" t="inlineStr">
        <is>
          <t>Kab. Kutai Timur</t>
        </is>
      </c>
      <c r="C19" t="inlineStr">
        <is>
          <t>08125816677</t>
        </is>
      </c>
      <c r="D19" t="inlineStr">
        <is>
          <t>falahmulia3@gmail.com</t>
        </is>
      </c>
      <c r="E19" t="inlineStr">
        <is>
          <t>https://lpjk.pu.go.id/search-badan-usaha-detail/ZXJoTG4vRk1IUFBuWlZRbm5tZXNvdz09</t>
        </is>
      </c>
      <c r="F19" t="n">
        <v>3</v>
      </c>
      <c r="G19" t="inlineStr">
        <is>
          <t>BG009, BS001, BS004</t>
        </is>
      </c>
      <c r="H19" t="inlineStr">
        <is>
          <t>25 Oktober 2023</t>
        </is>
      </c>
      <c r="I19" s="2" t="n">
        <v>46343</v>
      </c>
      <c r="J19" t="inlineStr">
        <is>
          <t>Disetujui</t>
        </is>
      </c>
      <c r="K19" t="n">
        <v>60</v>
      </c>
      <c r="L19" t="inlineStr">
        <is>
          <t>17 November 2026</t>
        </is>
      </c>
      <c r="M19" t="inlineStr">
        <is>
          <t>Konstruksi Bangunan Sipil Jalan, Konstruksi Gedung Lainnya, Konstruksi Jaringan Irigasi dan Drainase</t>
        </is>
      </c>
      <c r="N19" t="inlineStr">
        <is>
          <t>K</t>
        </is>
      </c>
      <c r="O19" t="inlineStr">
        <is>
          <t>20231113, 20231114</t>
        </is>
      </c>
      <c r="P19" t="inlineStr">
        <is>
          <t>Kalimantan Timur</t>
        </is>
      </c>
      <c r="Q19" t="inlineStr"/>
    </row>
    <row r="20">
      <c r="A20" t="inlineStr">
        <is>
          <t>GEMILANG</t>
        </is>
      </c>
      <c r="B20" t="inlineStr">
        <is>
          <t>Kab. Ponorogo</t>
        </is>
      </c>
      <c r="C20" t="inlineStr">
        <is>
          <t>085702819117</t>
        </is>
      </c>
      <c r="D20" t="inlineStr">
        <is>
          <t>gemilang.cv8@gmail.com</t>
        </is>
      </c>
      <c r="E20" t="inlineStr">
        <is>
          <t>https://lpjk.pu.go.id/search-badan-usaha-detail/V2FKSUhJMmRRZnh2WXFVQWpuSUZxUT09</t>
        </is>
      </c>
      <c r="F20" t="n">
        <v>2</v>
      </c>
      <c r="G20" t="inlineStr">
        <is>
          <t>BG006, BG009</t>
        </is>
      </c>
      <c r="H20" t="inlineStr">
        <is>
          <t>21 Agustus 1995</t>
        </is>
      </c>
      <c r="I20" s="2" t="n">
        <v>46343</v>
      </c>
      <c r="J20" t="inlineStr">
        <is>
          <t>Disetujui</t>
        </is>
      </c>
      <c r="K20" t="n">
        <v>60</v>
      </c>
      <c r="L20" t="inlineStr">
        <is>
          <t>17 November 2026</t>
        </is>
      </c>
      <c r="M20" t="inlineStr">
        <is>
          <t>Konstruksi Gedung Lainnya, Konstruksi Gedung Pendidikan</t>
        </is>
      </c>
      <c r="N20" t="inlineStr">
        <is>
          <t>K</t>
        </is>
      </c>
      <c r="O20" t="inlineStr">
        <is>
          <t>20231113</t>
        </is>
      </c>
      <c r="P20" t="inlineStr">
        <is>
          <t>Jawa Timur</t>
        </is>
      </c>
      <c r="Q20" t="inlineStr"/>
    </row>
    <row r="21">
      <c r="A21" t="inlineStr">
        <is>
          <t>GRAHA SAKTI UTAMA</t>
        </is>
      </c>
      <c r="B21" t="inlineStr">
        <is>
          <t>Kota Tangerang</t>
        </is>
      </c>
      <c r="C21" t="inlineStr">
        <is>
          <t>081366636356</t>
        </is>
      </c>
      <c r="D21" t="inlineStr">
        <is>
          <t>graha.sakti.utama@gmail.com</t>
        </is>
      </c>
      <c r="E21" t="inlineStr">
        <is>
          <t>https://lpjk.pu.go.id/search-badan-usaha-detail/NTY2cjBoMm9pVzlXdVVTSXhDcGsxQT09</t>
        </is>
      </c>
      <c r="F21" t="n">
        <v>3</v>
      </c>
      <c r="G21" t="inlineStr">
        <is>
          <t>BG006, BS001, BS004</t>
        </is>
      </c>
      <c r="H21" t="inlineStr">
        <is>
          <t>22 Januari 2001</t>
        </is>
      </c>
      <c r="I21" s="2" t="n">
        <v>46343</v>
      </c>
      <c r="J21" t="inlineStr">
        <is>
          <t>Disetujui</t>
        </is>
      </c>
      <c r="K21" t="n">
        <v>60</v>
      </c>
      <c r="L21" t="inlineStr">
        <is>
          <t>17 November 2026</t>
        </is>
      </c>
      <c r="M21" t="inlineStr">
        <is>
          <t>Konstruksi Bangunan Sipil Jalan, Konstruksi Gedung Pendidikan, Konstruksi Jaringan Irigasi dan Drainase</t>
        </is>
      </c>
      <c r="N21" t="inlineStr">
        <is>
          <t>K</t>
        </is>
      </c>
      <c r="O21" t="inlineStr">
        <is>
          <t>20231116, 20231119</t>
        </is>
      </c>
      <c r="P21" t="inlineStr">
        <is>
          <t>Banten</t>
        </is>
      </c>
      <c r="Q21" t="inlineStr"/>
    </row>
    <row r="22">
      <c r="A22" t="inlineStr">
        <is>
          <t>HARITA</t>
        </is>
      </c>
      <c r="B22" t="inlineStr">
        <is>
          <t>Kab. Ketapang</t>
        </is>
      </c>
      <c r="C22" t="inlineStr">
        <is>
          <t>085245093579</t>
        </is>
      </c>
      <c r="D22" t="inlineStr">
        <is>
          <t>cv.harita9999@gmail.com</t>
        </is>
      </c>
      <c r="E22" t="inlineStr">
        <is>
          <t>https://lpjk.pu.go.id/search-badan-usaha-detail/TlkvQkNkNmhkSFRIdVNGbEk2bmJ0UT09</t>
        </is>
      </c>
      <c r="F22" t="n">
        <v>1</v>
      </c>
      <c r="G22" t="inlineStr">
        <is>
          <t>BS012</t>
        </is>
      </c>
      <c r="H22" t="inlineStr">
        <is>
          <t>28 Februari 2011</t>
        </is>
      </c>
      <c r="I22" s="2" t="n">
        <v>46343</v>
      </c>
      <c r="J22" t="inlineStr">
        <is>
          <t>Pencabutan</t>
        </is>
      </c>
      <c r="K22" t="n">
        <v>60</v>
      </c>
      <c r="L22" t="inlineStr">
        <is>
          <t>17 November 2026</t>
        </is>
      </c>
      <c r="M22" t="inlineStr">
        <is>
          <t>Konstruksi Bangunan Pelabuhan Perikanan</t>
        </is>
      </c>
      <c r="N22" t="inlineStr">
        <is>
          <t>K</t>
        </is>
      </c>
      <c r="O22" t="inlineStr">
        <is>
          <t>20231117</t>
        </is>
      </c>
      <c r="P22" t="inlineStr">
        <is>
          <t>Kalimantan Barat</t>
        </is>
      </c>
      <c r="Q22" t="inlineStr"/>
    </row>
    <row r="23">
      <c r="A23" t="inlineStr">
        <is>
          <t>HIJRA KARYA MAKMUR</t>
        </is>
      </c>
      <c r="B23" t="inlineStr">
        <is>
          <t>Kota Samarinda</t>
        </is>
      </c>
      <c r="C23" t="inlineStr">
        <is>
          <t>0811445758</t>
        </is>
      </c>
      <c r="D23" t="inlineStr">
        <is>
          <t>cv.hijrakaryamakmur@outlook.com</t>
        </is>
      </c>
      <c r="E23" t="inlineStr">
        <is>
          <t>https://lpjk.pu.go.id/search-badan-usaha-detail/eXFtUTVSWXdES3FlbGU2TjlpZXdJdz09</t>
        </is>
      </c>
      <c r="F23" t="n">
        <v>1</v>
      </c>
      <c r="G23" t="inlineStr">
        <is>
          <t>BG002</t>
        </is>
      </c>
      <c r="H23" t="inlineStr">
        <is>
          <t>8 Agustus 2018</t>
        </is>
      </c>
      <c r="I23" s="2" t="n">
        <v>46343</v>
      </c>
      <c r="J23" t="inlineStr">
        <is>
          <t>Pencabutan</t>
        </is>
      </c>
      <c r="K23" t="n">
        <v>60</v>
      </c>
      <c r="L23" t="inlineStr">
        <is>
          <t>17 November 2026</t>
        </is>
      </c>
      <c r="M23" t="inlineStr">
        <is>
          <t>Konstruksi Gedung Perkantoran</t>
        </is>
      </c>
      <c r="N23" t="inlineStr">
        <is>
          <t>K</t>
        </is>
      </c>
      <c r="O23" t="inlineStr">
        <is>
          <t>20231030</t>
        </is>
      </c>
      <c r="P23" t="inlineStr">
        <is>
          <t>Kalimantan Timur</t>
        </is>
      </c>
      <c r="Q23" t="inlineStr"/>
    </row>
    <row r="24">
      <c r="A24" t="inlineStr">
        <is>
          <t>INTANTAMA</t>
        </is>
      </c>
      <c r="B24" t="inlineStr">
        <is>
          <t>Kota Pare Pare</t>
        </is>
      </c>
      <c r="C24" t="inlineStr">
        <is>
          <t>085255749621</t>
        </is>
      </c>
      <c r="D24" t="inlineStr">
        <is>
          <t>cvintantama9@gmail.com</t>
        </is>
      </c>
      <c r="E24" t="inlineStr">
        <is>
          <t>https://lpjk.pu.go.id/search-badan-usaha-detail/THF5SnNUZ0xGWmpCZTRhRFQ1Tmlidz09</t>
        </is>
      </c>
      <c r="F24" t="n">
        <v>1</v>
      </c>
      <c r="G24" t="inlineStr">
        <is>
          <t>BS004</t>
        </is>
      </c>
      <c r="H24" t="inlineStr">
        <is>
          <t>21 November 2005</t>
        </is>
      </c>
      <c r="I24" s="2" t="n">
        <v>46343</v>
      </c>
      <c r="J24" t="inlineStr">
        <is>
          <t>Disetujui</t>
        </is>
      </c>
      <c r="K24" t="n">
        <v>60</v>
      </c>
      <c r="L24" t="inlineStr">
        <is>
          <t>17 November 2026</t>
        </is>
      </c>
      <c r="M24" t="inlineStr">
        <is>
          <t>Konstruksi Jaringan Irigasi dan Drainase</t>
        </is>
      </c>
      <c r="N24" t="inlineStr">
        <is>
          <t>K</t>
        </is>
      </c>
      <c r="O24" t="inlineStr">
        <is>
          <t>20231107</t>
        </is>
      </c>
      <c r="P24" t="inlineStr">
        <is>
          <t>Sulawesi Selatan</t>
        </is>
      </c>
      <c r="Q24" t="inlineStr"/>
    </row>
    <row r="25">
      <c r="A25" t="inlineStr">
        <is>
          <t>KARTIKA JAYA PERSADA</t>
        </is>
      </c>
      <c r="B25" t="inlineStr">
        <is>
          <t>Kota Padang</t>
        </is>
      </c>
      <c r="C25" t="inlineStr">
        <is>
          <t>08116613334</t>
        </is>
      </c>
      <c r="D25" t="inlineStr">
        <is>
          <t>cvkartikajayapersada@gmail.com</t>
        </is>
      </c>
      <c r="E25" t="inlineStr">
        <is>
          <t>https://lpjk.pu.go.id/search-badan-usaha-detail/RUNlQldCbG9OWlFDOGJNYm42cmVGdz09</t>
        </is>
      </c>
      <c r="F25" t="n">
        <v>1</v>
      </c>
      <c r="G25" t="inlineStr">
        <is>
          <t>BS001</t>
        </is>
      </c>
      <c r="H25" t="inlineStr">
        <is>
          <t>6 Juli 2020</t>
        </is>
      </c>
      <c r="I25" s="2" t="n">
        <v>46343</v>
      </c>
      <c r="J25" t="inlineStr">
        <is>
          <t>Disetujui</t>
        </is>
      </c>
      <c r="K25" t="n">
        <v>60</v>
      </c>
      <c r="L25" t="inlineStr">
        <is>
          <t>17 November 2026</t>
        </is>
      </c>
      <c r="M25" t="inlineStr">
        <is>
          <t>Konstruksi Bangunan Sipil Jalan</t>
        </is>
      </c>
      <c r="N25" t="inlineStr">
        <is>
          <t>K</t>
        </is>
      </c>
      <c r="O25" t="inlineStr">
        <is>
          <t>20231118</t>
        </is>
      </c>
      <c r="P25" t="inlineStr">
        <is>
          <t>Sumatera Barat</t>
        </is>
      </c>
      <c r="Q25" t="inlineStr"/>
    </row>
    <row r="26">
      <c r="A26" t="inlineStr">
        <is>
          <t>KARYA BERSAUDARA</t>
        </is>
      </c>
      <c r="B26" t="inlineStr">
        <is>
          <t>Kab. Tabalong</t>
        </is>
      </c>
      <c r="C26" t="inlineStr">
        <is>
          <t>081347344241</t>
        </is>
      </c>
      <c r="D26" t="inlineStr">
        <is>
          <t>cvkaryabersaudara1@gmail.com</t>
        </is>
      </c>
      <c r="E26" t="inlineStr">
        <is>
          <t>https://lpjk.pu.go.id/search-badan-usaha-detail/QU1rd0hvU2ViYjBYRHJNMENZTndlUT09</t>
        </is>
      </c>
      <c r="F26" t="n">
        <v>1</v>
      </c>
      <c r="G26" t="inlineStr">
        <is>
          <t>BS001</t>
        </is>
      </c>
      <c r="H26" t="inlineStr">
        <is>
          <t>25 Januari 2017</t>
        </is>
      </c>
      <c r="I26" s="2" t="n">
        <v>46343</v>
      </c>
      <c r="J26" t="inlineStr">
        <is>
          <t>Pencabutan</t>
        </is>
      </c>
      <c r="K26" t="n">
        <v>60</v>
      </c>
      <c r="L26" t="inlineStr">
        <is>
          <t>17 November 2026</t>
        </is>
      </c>
      <c r="M26" t="inlineStr">
        <is>
          <t>Konstruksi Bangunan Sipil Jalan</t>
        </is>
      </c>
      <c r="N26" t="inlineStr">
        <is>
          <t>K</t>
        </is>
      </c>
      <c r="O26" t="inlineStr">
        <is>
          <t>20231109</t>
        </is>
      </c>
      <c r="P26" t="inlineStr">
        <is>
          <t>Kalimantan Selatan</t>
        </is>
      </c>
      <c r="Q26" t="inlineStr"/>
    </row>
    <row r="27">
      <c r="A27" t="inlineStr">
        <is>
          <t>KAUSA ARAH INDONESIA</t>
        </is>
      </c>
      <c r="B27" t="inlineStr">
        <is>
          <t>Kab. Polewali Mandar</t>
        </is>
      </c>
      <c r="C27" t="inlineStr">
        <is>
          <t>08114004005</t>
        </is>
      </c>
      <c r="D27" t="inlineStr">
        <is>
          <t>kausaarahindonesia@gmail.com</t>
        </is>
      </c>
      <c r="E27" t="inlineStr">
        <is>
          <t>https://lpjk.pu.go.id/search-badan-usaha-detail/d25nNEI3aDcyUVN0aVdGQkJibU50dz09</t>
        </is>
      </c>
      <c r="F27" t="n">
        <v>4</v>
      </c>
      <c r="G27" t="inlineStr">
        <is>
          <t>BG001, BG005, BG006, BG009</t>
        </is>
      </c>
      <c r="H27" t="inlineStr">
        <is>
          <t>28 September 2020</t>
        </is>
      </c>
      <c r="I27" s="2" t="n">
        <v>46343</v>
      </c>
      <c r="J27" t="inlineStr">
        <is>
          <t>Disetujui</t>
        </is>
      </c>
      <c r="K27" t="n">
        <v>60</v>
      </c>
      <c r="L27" t="inlineStr">
        <is>
          <t>17 November 2026</t>
        </is>
      </c>
      <c r="M27" t="inlineStr">
        <is>
          <t>Konstruksi Gedung Hunian, Konstruksi Gedung Kesehatan, Konstruksi Gedung Lainnya, Konstruksi Gedung Pendidikan</t>
        </is>
      </c>
      <c r="N27" t="inlineStr">
        <is>
          <t>K</t>
        </is>
      </c>
      <c r="O27" t="inlineStr">
        <is>
          <t>20231117</t>
        </is>
      </c>
      <c r="P27" t="inlineStr">
        <is>
          <t>Sulawesi Barat</t>
        </is>
      </c>
      <c r="Q27" t="inlineStr"/>
    </row>
    <row r="28">
      <c r="A28" t="inlineStr">
        <is>
          <t>KOPERASI PEGAWAI PERUMTEL KANTOR DAERAH TELEGRAP &amp; TELEPON PEKALONGAN</t>
        </is>
      </c>
      <c r="B28" t="inlineStr">
        <is>
          <t>Kota Pekalongan</t>
        </is>
      </c>
      <c r="C28" t="inlineStr">
        <is>
          <t>0285425525</t>
        </is>
      </c>
      <c r="D28" t="inlineStr">
        <is>
          <t>kopegtel.pk6@gmail.com</t>
        </is>
      </c>
      <c r="E28" t="inlineStr">
        <is>
          <t>https://lpjk.pu.go.id/search-badan-usaha-detail/eFFJT3ppZjVEUVZEUmpxa01pSVR6QT09</t>
        </is>
      </c>
      <c r="F28" t="n">
        <v>1</v>
      </c>
      <c r="G28" t="inlineStr">
        <is>
          <t>BS009</t>
        </is>
      </c>
      <c r="H28" t="inlineStr">
        <is>
          <t>29 April 1992</t>
        </is>
      </c>
      <c r="I28" s="2" t="n">
        <v>46343</v>
      </c>
      <c r="J28" t="inlineStr">
        <is>
          <t>Disetujui</t>
        </is>
      </c>
      <c r="K28" t="n">
        <v>60</v>
      </c>
      <c r="L28" t="inlineStr">
        <is>
          <t>17 November 2026</t>
        </is>
      </c>
      <c r="M28" t="inlineStr">
        <is>
          <t>Konstruksi Sentral Telekomunikasi</t>
        </is>
      </c>
      <c r="N28" t="inlineStr">
        <is>
          <t>K</t>
        </is>
      </c>
      <c r="O28" t="inlineStr">
        <is>
          <t>20231117</t>
        </is>
      </c>
      <c r="P28" t="inlineStr">
        <is>
          <t>Jawa Tengah</t>
        </is>
      </c>
      <c r="Q28" t="inlineStr"/>
    </row>
    <row r="29">
      <c r="A29" t="inlineStr">
        <is>
          <t>KREASI BANGUN PERSADA</t>
        </is>
      </c>
      <c r="B29" t="inlineStr">
        <is>
          <t>Kab. Aceh Tamiang</t>
        </is>
      </c>
      <c r="C29" t="inlineStr">
        <is>
          <t>081376255577</t>
        </is>
      </c>
      <c r="D29" t="inlineStr">
        <is>
          <t>cv.kreasibangunpersada@gmail.com</t>
        </is>
      </c>
      <c r="E29" t="inlineStr">
        <is>
          <t>https://lpjk.pu.go.id/search-badan-usaha-detail/TUd2YWczWEJScW9oQ2h4YVJYQ0IyZz09</t>
        </is>
      </c>
      <c r="F29" t="n">
        <v>4</v>
      </c>
      <c r="G29" t="inlineStr">
        <is>
          <t>BG005, BG006, BG009, BS001</t>
        </is>
      </c>
      <c r="H29" t="inlineStr">
        <is>
          <t>10 Februari 2020</t>
        </is>
      </c>
      <c r="I29" s="2" t="n">
        <v>46343</v>
      </c>
      <c r="J29" t="inlineStr">
        <is>
          <t>Disetujui</t>
        </is>
      </c>
      <c r="K29" t="n">
        <v>60</v>
      </c>
      <c r="L29" t="inlineStr">
        <is>
          <t>17 November 2026</t>
        </is>
      </c>
      <c r="M29" t="inlineStr">
        <is>
          <t>Konstruksi Bangunan Sipil Jalan, Konstruksi Gedung Kesehatan, Konstruksi Gedung Lainnya, Konstruksi Gedung Pendidikan</t>
        </is>
      </c>
      <c r="N29" t="inlineStr">
        <is>
          <t>K</t>
        </is>
      </c>
      <c r="O29" t="inlineStr">
        <is>
          <t>20231107, 20231118, 20231119</t>
        </is>
      </c>
      <c r="P29" t="inlineStr">
        <is>
          <t>Aceh</t>
        </is>
      </c>
      <c r="Q29" t="inlineStr"/>
    </row>
    <row r="30">
      <c r="A30" t="inlineStr">
        <is>
          <t>KUSUMA DEWI</t>
        </is>
      </c>
      <c r="B30" t="inlineStr">
        <is>
          <t>Kota Surabaya</t>
        </is>
      </c>
      <c r="C30" t="inlineStr">
        <is>
          <t>0315012363</t>
        </is>
      </c>
      <c r="D30" t="inlineStr">
        <is>
          <t>sbykusumadewi@gmail.com</t>
        </is>
      </c>
      <c r="E30" t="inlineStr">
        <is>
          <t>https://lpjk.pu.go.id/search-badan-usaha-detail/MXlmakh2TDVuZFFienJZcHk5emJrUT09</t>
        </is>
      </c>
      <c r="F30" t="n">
        <v>1</v>
      </c>
      <c r="G30" t="inlineStr">
        <is>
          <t>BG001</t>
        </is>
      </c>
      <c r="H30" t="inlineStr">
        <is>
          <t>8 Januari 2007</t>
        </is>
      </c>
      <c r="I30" s="2" t="n">
        <v>46343</v>
      </c>
      <c r="J30" t="inlineStr">
        <is>
          <t>Disetujui</t>
        </is>
      </c>
      <c r="K30" t="n">
        <v>60</v>
      </c>
      <c r="L30" t="inlineStr">
        <is>
          <t>17 November 2026</t>
        </is>
      </c>
      <c r="M30" t="inlineStr">
        <is>
          <t>Konstruksi Gedung Hunian</t>
        </is>
      </c>
      <c r="N30" t="inlineStr">
        <is>
          <t>K</t>
        </is>
      </c>
      <c r="O30" t="inlineStr">
        <is>
          <t>20231116</t>
        </is>
      </c>
      <c r="P30" t="inlineStr">
        <is>
          <t>Jawa Timur</t>
        </is>
      </c>
      <c r="Q30" t="inlineStr"/>
    </row>
    <row r="31">
      <c r="A31" t="inlineStr">
        <is>
          <t>MAHAKARYA TIGA BERLIAN</t>
        </is>
      </c>
      <c r="B31" t="inlineStr">
        <is>
          <t>Kota Padang</t>
        </is>
      </c>
      <c r="C31" t="inlineStr">
        <is>
          <t>081364786151</t>
        </is>
      </c>
      <c r="D31" t="inlineStr">
        <is>
          <t>mahakaryatigaberlian@gmail.com</t>
        </is>
      </c>
      <c r="E31" t="inlineStr">
        <is>
          <t>https://lpjk.pu.go.id/search-badan-usaha-detail/alJaeEo2ZWlKMld6bVBNNkhraEdwUT09</t>
        </is>
      </c>
      <c r="F31" t="n">
        <v>6</v>
      </c>
      <c r="G31" t="inlineStr">
        <is>
          <t>BS001, BS002</t>
        </is>
      </c>
      <c r="H31" t="inlineStr">
        <is>
          <t>7 September 2023</t>
        </is>
      </c>
      <c r="I31" s="2" t="n">
        <v>46343</v>
      </c>
      <c r="J31" t="inlineStr">
        <is>
          <t>Disetujui</t>
        </is>
      </c>
      <c r="K31" t="n">
        <v>60</v>
      </c>
      <c r="L31" t="inlineStr">
        <is>
          <t>17 November 2026</t>
        </is>
      </c>
      <c r="M31" t="inlineStr">
        <is>
          <t>Bangunan Sipil Jembatan, Jalan Layang, Fly Over, dan Underpass, Konstruksi Bangunan Sipil Jalan</t>
        </is>
      </c>
      <c r="N31" t="inlineStr">
        <is>
          <t>K</t>
        </is>
      </c>
      <c r="O31" t="inlineStr">
        <is>
          <t>20231115, 20231117</t>
        </is>
      </c>
      <c r="P31" t="inlineStr">
        <is>
          <t>Sumatera Barat</t>
        </is>
      </c>
      <c r="Q31" t="inlineStr"/>
    </row>
    <row r="32">
      <c r="A32" t="inlineStr">
        <is>
          <t>MITRA KARYA SEJATI</t>
        </is>
      </c>
      <c r="B32" t="inlineStr">
        <is>
          <t>Kab. Blitar</t>
        </is>
      </c>
      <c r="C32" t="inlineStr">
        <is>
          <t>082230516646</t>
        </is>
      </c>
      <c r="D32" t="inlineStr">
        <is>
          <t>cv.mitrakaryasejati1@gmail.com</t>
        </is>
      </c>
      <c r="E32" t="inlineStr">
        <is>
          <t>https://lpjk.pu.go.id/search-badan-usaha-detail/WndNVWNKL2UvZXRNOG0zRDVwRmFHUT09</t>
        </is>
      </c>
      <c r="F32" t="n">
        <v>8</v>
      </c>
      <c r="G32" t="inlineStr">
        <is>
          <t>BG001, BG002, BG006, BG009, BS001, BS002, BS004, BS005</t>
        </is>
      </c>
      <c r="H32" t="inlineStr">
        <is>
          <t>11 November 2014</t>
        </is>
      </c>
      <c r="I32" s="2" t="n">
        <v>46343</v>
      </c>
      <c r="J32" t="inlineStr">
        <is>
          <t>Disetujui</t>
        </is>
      </c>
      <c r="K32" t="n">
        <v>60</v>
      </c>
      <c r="L32" t="inlineStr">
        <is>
          <t>17 November 2026</t>
        </is>
      </c>
      <c r="M32" t="inlineStr">
        <is>
          <t>Bangunan Sipil Jembatan, Jalan Layang, Fly Over, dan Underpass, Konstruksi Bangunan Sipil Jalan, Konstruksi Bangunan Sipil Pengolahan Air Bersih, Konstruksi Gedung Hunian, Konstruksi Gedung Lainnya, Konstruksi Gedung Pendidikan, Konstruksi Gedung Perkantoran, Konstruksi Jaringan Irigasi dan Drainase</t>
        </is>
      </c>
      <c r="N32" t="inlineStr">
        <is>
          <t>K</t>
        </is>
      </c>
      <c r="O32" t="inlineStr">
        <is>
          <t>20231116, 20231117</t>
        </is>
      </c>
      <c r="P32" t="inlineStr">
        <is>
          <t>Jawa Timur</t>
        </is>
      </c>
      <c r="Q32" t="inlineStr"/>
    </row>
    <row r="33">
      <c r="A33" t="inlineStr">
        <is>
          <t>MITRA KITA UTAMA</t>
        </is>
      </c>
      <c r="B33" t="inlineStr">
        <is>
          <t>Kab. Asahan</t>
        </is>
      </c>
      <c r="C33" t="inlineStr">
        <is>
          <t>081315555152</t>
        </is>
      </c>
      <c r="D33" t="inlineStr">
        <is>
          <t>cv.mitrakitautama.consultant@gmail.com</t>
        </is>
      </c>
      <c r="E33" t="inlineStr">
        <is>
          <t>https://lpjk.pu.go.id/search-badan-usaha-detail/SUNDL2lOdDU1M1FFb3RVUDBRVHV5dz09</t>
        </is>
      </c>
      <c r="F33" t="n">
        <v>1</v>
      </c>
      <c r="G33" t="inlineStr">
        <is>
          <t>BG009</t>
        </is>
      </c>
      <c r="H33" t="inlineStr">
        <is>
          <t>22 Juni 2012</t>
        </is>
      </c>
      <c r="I33" s="2" t="n">
        <v>46343</v>
      </c>
      <c r="J33" t="inlineStr">
        <is>
          <t>Disetujui</t>
        </is>
      </c>
      <c r="K33" t="n">
        <v>60</v>
      </c>
      <c r="L33" t="inlineStr">
        <is>
          <t>17 November 2026</t>
        </is>
      </c>
      <c r="M33" t="inlineStr">
        <is>
          <t>Konstruksi Gedung Lainnya</t>
        </is>
      </c>
      <c r="N33" t="inlineStr">
        <is>
          <t>K</t>
        </is>
      </c>
      <c r="O33" t="inlineStr">
        <is>
          <t>20231111</t>
        </is>
      </c>
      <c r="P33" t="inlineStr">
        <is>
          <t>Sumatera Utara</t>
        </is>
      </c>
      <c r="Q33" t="inlineStr"/>
    </row>
    <row r="34">
      <c r="A34" t="inlineStr">
        <is>
          <t>MITRA PERMATA ECON</t>
        </is>
      </c>
      <c r="B34" t="inlineStr">
        <is>
          <t>Kota Adm. Jakarta Utara</t>
        </is>
      </c>
      <c r="C34" t="inlineStr">
        <is>
          <t>081806661885</t>
        </is>
      </c>
      <c r="D34" t="inlineStr">
        <is>
          <t>mpe.konstruksi@gmail.com</t>
        </is>
      </c>
      <c r="E34" t="inlineStr">
        <is>
          <t>https://lpjk.pu.go.id/search-badan-usaha-detail/aHZBK2JIWWJrRVI0MnZxY0R5YkQrZz09</t>
        </is>
      </c>
      <c r="F34" t="n">
        <v>1</v>
      </c>
      <c r="G34" t="inlineStr">
        <is>
          <t>BG009</t>
        </is>
      </c>
      <c r="H34" t="inlineStr">
        <is>
          <t>10 Maret 2022</t>
        </is>
      </c>
      <c r="I34" s="2" t="n">
        <v>46343</v>
      </c>
      <c r="J34" t="inlineStr">
        <is>
          <t>Disetujui</t>
        </is>
      </c>
      <c r="K34" t="n">
        <v>60</v>
      </c>
      <c r="L34" t="inlineStr">
        <is>
          <t>17 November 2026</t>
        </is>
      </c>
      <c r="M34" t="inlineStr">
        <is>
          <t>Konstruksi Gedung Lainnya</t>
        </is>
      </c>
      <c r="N34" t="inlineStr">
        <is>
          <t>K</t>
        </is>
      </c>
      <c r="O34" t="inlineStr">
        <is>
          <t>20231116</t>
        </is>
      </c>
      <c r="P34" t="inlineStr">
        <is>
          <t>DKI Jakarta</t>
        </is>
      </c>
      <c r="Q34" t="inlineStr"/>
    </row>
    <row r="35">
      <c r="A35" t="inlineStr">
        <is>
          <t>MULYA LESTARI</t>
        </is>
      </c>
      <c r="B35" t="inlineStr">
        <is>
          <t>Kab. Cilacap</t>
        </is>
      </c>
      <c r="C35" t="inlineStr">
        <is>
          <t>081327064487</t>
        </is>
      </c>
      <c r="D35" t="inlineStr">
        <is>
          <t>cvmulyalestari@yahoo.co.id</t>
        </is>
      </c>
      <c r="E35" t="inlineStr">
        <is>
          <t>https://lpjk.pu.go.id/search-badan-usaha-detail/OVltVTIrTUxvTjRPV2d5K29pRGJqQT09</t>
        </is>
      </c>
      <c r="F35" t="n">
        <v>6</v>
      </c>
      <c r="G35" t="inlineStr">
        <is>
          <t>BG001, BG005, BG006, BG009, BS001, BS004</t>
        </is>
      </c>
      <c r="H35" t="inlineStr">
        <is>
          <t>10 November 2000</t>
        </is>
      </c>
      <c r="I35" s="2" t="n">
        <v>46343</v>
      </c>
      <c r="J35" t="inlineStr">
        <is>
          <t>Disetujui</t>
        </is>
      </c>
      <c r="K35" t="n">
        <v>60</v>
      </c>
      <c r="L35" t="inlineStr">
        <is>
          <t>17 November 2026</t>
        </is>
      </c>
      <c r="M35" t="inlineStr">
        <is>
          <t>Konstruksi Bangunan Sipil Jalan, Konstruksi Gedung Hunian, Konstruksi Gedung Kesehatan, Konstruksi Gedung Lainnya, Konstruksi Gedung Pendidikan, Konstruksi Jaringan Irigasi dan Drainase</t>
        </is>
      </c>
      <c r="N35" t="inlineStr">
        <is>
          <t>K</t>
        </is>
      </c>
      <c r="O35" t="inlineStr">
        <is>
          <t>20231114, 20231115, 20231116</t>
        </is>
      </c>
      <c r="P35" t="inlineStr">
        <is>
          <t>Jawa Tengah</t>
        </is>
      </c>
      <c r="Q35" t="inlineStr"/>
    </row>
    <row r="36">
      <c r="A36" t="inlineStr">
        <is>
          <t>MUTIARA PRIMA</t>
        </is>
      </c>
      <c r="B36" t="inlineStr">
        <is>
          <t>Kota Surabaya</t>
        </is>
      </c>
      <c r="C36" t="inlineStr">
        <is>
          <t>08123182484</t>
        </is>
      </c>
      <c r="D36" t="inlineStr">
        <is>
          <t>khoirulmuhfidin@gmail.com</t>
        </is>
      </c>
      <c r="E36" t="inlineStr">
        <is>
          <t>https://lpjk.pu.go.id/search-badan-usaha-detail/dTFwYzlFQmJiVVFZd3V4Y2NhT0ZQZz09</t>
        </is>
      </c>
      <c r="F36" t="n">
        <v>4</v>
      </c>
      <c r="G36" t="inlineStr">
        <is>
          <t>BG005, BG006</t>
        </is>
      </c>
      <c r="H36" t="inlineStr">
        <is>
          <t>12 Juli 1995</t>
        </is>
      </c>
      <c r="I36" s="2" t="n">
        <v>46343</v>
      </c>
      <c r="J36" t="inlineStr">
        <is>
          <t>Disetujui</t>
        </is>
      </c>
      <c r="K36" t="n">
        <v>60</v>
      </c>
      <c r="L36" t="inlineStr">
        <is>
          <t>17 November 2026</t>
        </is>
      </c>
      <c r="M36" t="inlineStr">
        <is>
          <t>Konstruksi Gedung Kesehatan, Konstruksi Gedung Pendidikan</t>
        </is>
      </c>
      <c r="N36" t="inlineStr">
        <is>
          <t>K</t>
        </is>
      </c>
      <c r="O36" t="inlineStr">
        <is>
          <t>20231113, 20231119</t>
        </is>
      </c>
      <c r="P36" t="inlineStr">
        <is>
          <t>Jawa Timur</t>
        </is>
      </c>
      <c r="Q36" t="inlineStr"/>
    </row>
    <row r="37">
      <c r="A37" t="inlineStr">
        <is>
          <t>MUTIARA SELATAN</t>
        </is>
      </c>
      <c r="B37" t="inlineStr">
        <is>
          <t>Kab. Solok Selatan</t>
        </is>
      </c>
      <c r="C37" t="inlineStr">
        <is>
          <t>085263803500</t>
        </is>
      </c>
      <c r="D37" t="inlineStr">
        <is>
          <t>mutiaraselatan73@yahoo.co.id</t>
        </is>
      </c>
      <c r="E37" t="inlineStr">
        <is>
          <t>https://lpjk.pu.go.id/search-badan-usaha-detail/Z3pPVHF1bGFjSzFtNlkvdlpiY1pBQT09</t>
        </is>
      </c>
      <c r="F37" t="n">
        <v>2</v>
      </c>
      <c r="G37" t="inlineStr">
        <is>
          <t>BS004</t>
        </is>
      </c>
      <c r="H37" t="inlineStr">
        <is>
          <t>28 Februari 2004</t>
        </is>
      </c>
      <c r="I37" s="2" t="n">
        <v>46343</v>
      </c>
      <c r="J37" t="inlineStr">
        <is>
          <t>Disetujui</t>
        </is>
      </c>
      <c r="K37" t="n">
        <v>60</v>
      </c>
      <c r="L37" t="inlineStr">
        <is>
          <t>17 November 2026</t>
        </is>
      </c>
      <c r="M37" t="inlineStr">
        <is>
          <t>Konstruksi Jaringan Irigasi dan Drainase</t>
        </is>
      </c>
      <c r="N37" t="inlineStr">
        <is>
          <t>K</t>
        </is>
      </c>
      <c r="O37" t="inlineStr">
        <is>
          <t>20231115</t>
        </is>
      </c>
      <c r="P37" t="inlineStr">
        <is>
          <t>Sumatera Barat</t>
        </is>
      </c>
      <c r="Q37" t="inlineStr"/>
    </row>
    <row r="38">
      <c r="A38" t="inlineStr">
        <is>
          <t>NUR KURNIA ABADI</t>
        </is>
      </c>
      <c r="B38" t="inlineStr">
        <is>
          <t>Kab. Sumenep</t>
        </is>
      </c>
      <c r="C38" t="inlineStr">
        <is>
          <t>087846813411</t>
        </is>
      </c>
      <c r="D38" t="inlineStr">
        <is>
          <t>cvnurkurniaabadi@gmail.com</t>
        </is>
      </c>
      <c r="E38" t="inlineStr">
        <is>
          <t>https://lpjk.pu.go.id/search-badan-usaha-detail/MnRUWlhpRnJqOTZjR09sM0RaRk9OQT09</t>
        </is>
      </c>
      <c r="F38" t="n">
        <v>1</v>
      </c>
      <c r="G38" t="inlineStr">
        <is>
          <t>BS010</t>
        </is>
      </c>
      <c r="H38" t="inlineStr">
        <is>
          <t>7 Agustus 2023</t>
        </is>
      </c>
      <c r="I38" s="2" t="n">
        <v>46343</v>
      </c>
      <c r="J38" t="inlineStr">
        <is>
          <t>Disetujui</t>
        </is>
      </c>
      <c r="K38" t="n">
        <v>60</v>
      </c>
      <c r="L38" t="inlineStr">
        <is>
          <t>17 November 2026</t>
        </is>
      </c>
      <c r="M38" t="inlineStr">
        <is>
          <t>Konstruksi Bangunan Prasarana Sumber Daya Air</t>
        </is>
      </c>
      <c r="N38" t="inlineStr">
        <is>
          <t>K</t>
        </is>
      </c>
      <c r="O38" t="inlineStr">
        <is>
          <t>20231116</t>
        </is>
      </c>
      <c r="P38" t="inlineStr">
        <is>
          <t>Jawa Timur</t>
        </is>
      </c>
      <c r="Q38" t="inlineStr"/>
    </row>
    <row r="39">
      <c r="A39" t="inlineStr">
        <is>
          <t>NUR MIRANDA ZULTA</t>
        </is>
      </c>
      <c r="B39" t="inlineStr">
        <is>
          <t>Kab. Gowa</t>
        </is>
      </c>
      <c r="C39" t="inlineStr">
        <is>
          <t>081928300505</t>
        </is>
      </c>
      <c r="D39" t="inlineStr">
        <is>
          <t>nurmirandazulta@gmail.com</t>
        </is>
      </c>
      <c r="E39" t="inlineStr">
        <is>
          <t>https://lpjk.pu.go.id/search-badan-usaha-detail/UmZNUURYMTlLOHR5RzRUTWtPSWwzdz09</t>
        </is>
      </c>
      <c r="F39" t="n">
        <v>1</v>
      </c>
      <c r="G39" t="inlineStr">
        <is>
          <t>BS001</t>
        </is>
      </c>
      <c r="H39" t="inlineStr">
        <is>
          <t>19 Januari 2023</t>
        </is>
      </c>
      <c r="I39" s="2" t="n">
        <v>46343</v>
      </c>
      <c r="J39" t="inlineStr">
        <is>
          <t>Disetujui</t>
        </is>
      </c>
      <c r="K39" t="n">
        <v>60</v>
      </c>
      <c r="L39" t="inlineStr">
        <is>
          <t>17 November 2026</t>
        </is>
      </c>
      <c r="M39" t="inlineStr">
        <is>
          <t>Konstruksi Bangunan Sipil Jalan</t>
        </is>
      </c>
      <c r="N39" t="inlineStr">
        <is>
          <t>K</t>
        </is>
      </c>
      <c r="O39" t="inlineStr">
        <is>
          <t>20231117</t>
        </is>
      </c>
      <c r="P39" t="inlineStr">
        <is>
          <t>Sulawesi Selatan</t>
        </is>
      </c>
      <c r="Q39" t="inlineStr"/>
    </row>
    <row r="40">
      <c r="A40" t="inlineStr">
        <is>
          <t>PARAMA AGUNG KARYA</t>
        </is>
      </c>
      <c r="B40" t="inlineStr">
        <is>
          <t>Kota Adm. Jakarta Selatan</t>
        </is>
      </c>
      <c r="C40" t="inlineStr">
        <is>
          <t>081288449037</t>
        </is>
      </c>
      <c r="D40" t="inlineStr">
        <is>
          <t>paramaagungkarya@gmail.com</t>
        </is>
      </c>
      <c r="E40" t="inlineStr">
        <is>
          <t>https://lpjk.pu.go.id/search-badan-usaha-detail/dS9IZHlmSGVkWEs2TTFycFFQclREQT09</t>
        </is>
      </c>
      <c r="F40" t="n">
        <v>15</v>
      </c>
      <c r="G40" t="inlineStr">
        <is>
          <t>BG001, BG002, BG003, BG005, BG006</t>
        </is>
      </c>
      <c r="H40" t="inlineStr">
        <is>
          <t>20 Februari 2023</t>
        </is>
      </c>
      <c r="I40" s="2" t="n">
        <v>46343</v>
      </c>
      <c r="J40" t="inlineStr">
        <is>
          <t>Disetujui, Pencabutan</t>
        </is>
      </c>
      <c r="K40" t="n">
        <v>60</v>
      </c>
      <c r="L40" t="inlineStr">
        <is>
          <t>17 November 2026</t>
        </is>
      </c>
      <c r="M40" t="inlineStr">
        <is>
          <t>Konstruksi Gedung Hunian, Konstruksi Gedung Industri, Konstruksi Gedung Kesehatan, Konstruksi Gedung Pendidikan, Konstruksi Gedung Perkantoran</t>
        </is>
      </c>
      <c r="N40" t="inlineStr">
        <is>
          <t>K</t>
        </is>
      </c>
      <c r="O40" t="inlineStr">
        <is>
          <t>20231010</t>
        </is>
      </c>
      <c r="P40" t="inlineStr">
        <is>
          <t>DKI Jakarta</t>
        </is>
      </c>
      <c r="Q40" t="inlineStr"/>
    </row>
    <row r="41">
      <c r="A41" t="inlineStr">
        <is>
          <t>PEMUDA PERKASA JAYA</t>
        </is>
      </c>
      <c r="B41" t="inlineStr">
        <is>
          <t>Kab. Ogan Komering Ulu</t>
        </is>
      </c>
      <c r="C41" t="inlineStr">
        <is>
          <t>082134034508</t>
        </is>
      </c>
      <c r="D41" t="inlineStr">
        <is>
          <t>cvpemudaperkasajaya@gmail.com</t>
        </is>
      </c>
      <c r="E41" t="inlineStr">
        <is>
          <t>https://lpjk.pu.go.id/search-badan-usaha-detail/S281QmhJdk9DbmJhQVpCZm9hVmFzUT09</t>
        </is>
      </c>
      <c r="F41" t="n">
        <v>1</v>
      </c>
      <c r="G41" t="inlineStr">
        <is>
          <t>BG005</t>
        </is>
      </c>
      <c r="H41" t="inlineStr">
        <is>
          <t>31 Mei 2023</t>
        </is>
      </c>
      <c r="I41" s="2" t="n">
        <v>46343</v>
      </c>
      <c r="J41" t="inlineStr">
        <is>
          <t>Disetujui</t>
        </is>
      </c>
      <c r="K41" t="n">
        <v>60</v>
      </c>
      <c r="L41" t="inlineStr">
        <is>
          <t>17 November 2026</t>
        </is>
      </c>
      <c r="M41" t="inlineStr">
        <is>
          <t>Konstruksi Gedung Kesehatan</t>
        </is>
      </c>
      <c r="N41" t="inlineStr">
        <is>
          <t>K</t>
        </is>
      </c>
      <c r="O41" t="inlineStr">
        <is>
          <t>20231110</t>
        </is>
      </c>
      <c r="P41" t="inlineStr">
        <is>
          <t>Sumatera Selatan</t>
        </is>
      </c>
      <c r="Q41" t="inlineStr"/>
    </row>
    <row r="42">
      <c r="A42" t="inlineStr">
        <is>
          <t>PILAR MAS</t>
        </is>
      </c>
      <c r="B42" t="inlineStr">
        <is>
          <t>Kota Surabaya</t>
        </is>
      </c>
      <c r="C42" t="inlineStr">
        <is>
          <t>0315939641</t>
        </is>
      </c>
      <c r="D42" t="inlineStr">
        <is>
          <t>pilarmas2023@gmail.com</t>
        </is>
      </c>
      <c r="E42" t="inlineStr">
        <is>
          <t>https://lpjk.pu.go.id/search-badan-usaha-detail/OXMzZE04Y1F5OW93aTF4Uy9ucWQyUT09</t>
        </is>
      </c>
      <c r="F42" t="n">
        <v>4</v>
      </c>
      <c r="G42" t="inlineStr">
        <is>
          <t>BG001, BG002, BG005, BG009</t>
        </is>
      </c>
      <c r="H42" t="inlineStr">
        <is>
          <t>18 Desember 2008</t>
        </is>
      </c>
      <c r="I42" s="2" t="n">
        <v>46343</v>
      </c>
      <c r="J42" t="inlineStr">
        <is>
          <t>Disetujui</t>
        </is>
      </c>
      <c r="K42" t="n">
        <v>60</v>
      </c>
      <c r="L42" t="inlineStr">
        <is>
          <t>17 November 2026</t>
        </is>
      </c>
      <c r="M42" t="inlineStr">
        <is>
          <t>Konstruksi Gedung Hunian, Konstruksi Gedung Kesehatan, Konstruksi Gedung Lainnya, Konstruksi Gedung Perkantoran</t>
        </is>
      </c>
      <c r="N42" t="inlineStr">
        <is>
          <t>K</t>
        </is>
      </c>
      <c r="O42" t="inlineStr">
        <is>
          <t>20230619, 20231118, 20231120, 20231122</t>
        </is>
      </c>
      <c r="P42" t="inlineStr">
        <is>
          <t>Jawa Timur</t>
        </is>
      </c>
      <c r="Q42" t="inlineStr"/>
    </row>
    <row r="43">
      <c r="A43" t="inlineStr">
        <is>
          <t>PRIMA MEGAH IRSA</t>
        </is>
      </c>
      <c r="B43" t="inlineStr">
        <is>
          <t>Kab. Gresik</t>
        </is>
      </c>
      <c r="C43" t="inlineStr">
        <is>
          <t>0811125585</t>
        </is>
      </c>
      <c r="D43" t="inlineStr">
        <is>
          <t>makhrudy@yahoo.com</t>
        </is>
      </c>
      <c r="E43" t="inlineStr">
        <is>
          <t>https://lpjk.pu.go.id/search-badan-usaha-detail/VkFUdXhMSVY4R2VyVk43SUhzbkFoUT09</t>
        </is>
      </c>
      <c r="F43" t="n">
        <v>1</v>
      </c>
      <c r="G43" t="inlineStr">
        <is>
          <t>PL003</t>
        </is>
      </c>
      <c r="H43" t="inlineStr">
        <is>
          <t>13 Maret 2010</t>
        </is>
      </c>
      <c r="I43" s="2" t="n">
        <v>46343</v>
      </c>
      <c r="J43" t="inlineStr">
        <is>
          <t>Disetujui</t>
        </is>
      </c>
      <c r="K43" t="n">
        <v>60</v>
      </c>
      <c r="L43" t="inlineStr">
        <is>
          <t>17 November 2026</t>
        </is>
      </c>
      <c r="M43" t="inlineStr">
        <is>
          <t>Penyiapan Lahan Konstruksi</t>
        </is>
      </c>
      <c r="N43" t="inlineStr">
        <is>
          <t>Spesialis</t>
        </is>
      </c>
      <c r="O43" t="inlineStr">
        <is>
          <t>20231114</t>
        </is>
      </c>
      <c r="P43" t="inlineStr">
        <is>
          <t>Jawa Timur</t>
        </is>
      </c>
      <c r="Q43" t="inlineStr"/>
    </row>
    <row r="44">
      <c r="A44" t="inlineStr">
        <is>
          <t>PUSPA MULYA KARYA</t>
        </is>
      </c>
      <c r="B44" t="inlineStr">
        <is>
          <t>Kab. Tanah Laut</t>
        </is>
      </c>
      <c r="C44" t="inlineStr">
        <is>
          <t>081350036078</t>
        </is>
      </c>
      <c r="D44" t="inlineStr">
        <is>
          <t>nrahmad048@gmail.com</t>
        </is>
      </c>
      <c r="E44" t="inlineStr">
        <is>
          <t>https://lpjk.pu.go.id/search-badan-usaha-detail/RjAvNWZDbkErSDNsN2xjOEIvZWRRdz09</t>
        </is>
      </c>
      <c r="F44" t="n">
        <v>1</v>
      </c>
      <c r="G44" t="inlineStr">
        <is>
          <t>BS001</t>
        </is>
      </c>
      <c r="H44" t="inlineStr">
        <is>
          <t>5 Maret 2014</t>
        </is>
      </c>
      <c r="I44" s="2" t="n">
        <v>46343</v>
      </c>
      <c r="J44" t="inlineStr">
        <is>
          <t>Disetujui</t>
        </is>
      </c>
      <c r="K44" t="n">
        <v>60</v>
      </c>
      <c r="L44" t="inlineStr">
        <is>
          <t>17 November 2026</t>
        </is>
      </c>
      <c r="M44" t="inlineStr">
        <is>
          <t>Konstruksi Bangunan Sipil Jalan</t>
        </is>
      </c>
      <c r="N44" t="inlineStr">
        <is>
          <t>K</t>
        </is>
      </c>
      <c r="O44" t="inlineStr">
        <is>
          <t>20231114</t>
        </is>
      </c>
      <c r="P44" t="inlineStr">
        <is>
          <t>Kalimantan Selatan</t>
        </is>
      </c>
      <c r="Q44" t="inlineStr"/>
    </row>
    <row r="45">
      <c r="A45" t="inlineStr">
        <is>
          <t>PUTRA PRAJA GEMILANG</t>
        </is>
      </c>
      <c r="B45" t="inlineStr">
        <is>
          <t>Kota Salatiga</t>
        </is>
      </c>
      <c r="C45" t="inlineStr">
        <is>
          <t>085640023400</t>
        </is>
      </c>
      <c r="D45" t="inlineStr">
        <is>
          <t>putraprajagemilang@gmail.com</t>
        </is>
      </c>
      <c r="E45" t="inlineStr">
        <is>
          <t>https://lpjk.pu.go.id/search-badan-usaha-detail/bVhKUWgrKzlpSC9BYUNZTEhpNWl6QT09</t>
        </is>
      </c>
      <c r="F45" t="n">
        <v>2</v>
      </c>
      <c r="G45" t="inlineStr">
        <is>
          <t>BS004, BS006</t>
        </is>
      </c>
      <c r="H45" t="inlineStr">
        <is>
          <t>31 Juli 2023</t>
        </is>
      </c>
      <c r="I45" s="2" t="n">
        <v>46343</v>
      </c>
      <c r="J45" t="inlineStr">
        <is>
          <t>Disetujui</t>
        </is>
      </c>
      <c r="K45" t="n">
        <v>60</v>
      </c>
      <c r="L45" t="inlineStr">
        <is>
          <t>17 November 2026</t>
        </is>
      </c>
      <c r="M45" t="inlineStr">
        <is>
          <t>Konstruksi Bangunan Sipil Prasarana dan Sarana Sistem Pengolahan Limbah Padat, Cair, dan Gas, Konstruksi Jaringan Irigasi dan Drainase</t>
        </is>
      </c>
      <c r="N45" t="inlineStr">
        <is>
          <t>K</t>
        </is>
      </c>
      <c r="O45" t="inlineStr">
        <is>
          <t>20231113</t>
        </is>
      </c>
      <c r="P45" t="inlineStr">
        <is>
          <t>Jawa Tengah</t>
        </is>
      </c>
      <c r="Q45" t="inlineStr"/>
    </row>
    <row r="46">
      <c r="A46" t="inlineStr">
        <is>
          <t>RAIHAN PRIMA MANDIRI</t>
        </is>
      </c>
      <c r="B46" t="inlineStr">
        <is>
          <t>Kab. Kotawaringin Barat</t>
        </is>
      </c>
      <c r="C46" t="inlineStr">
        <is>
          <t>08125157941</t>
        </is>
      </c>
      <c r="D46" t="inlineStr">
        <is>
          <t>raihanprimamandiri@yahoo.co.id</t>
        </is>
      </c>
      <c r="E46" t="inlineStr">
        <is>
          <t>https://lpjk.pu.go.id/search-badan-usaha-detail/M1JjQVNWRDBJbW9DR0VMd1VIS1dUdz09</t>
        </is>
      </c>
      <c r="F46" t="n">
        <v>2</v>
      </c>
      <c r="G46" t="inlineStr">
        <is>
          <t>BG002</t>
        </is>
      </c>
      <c r="H46" t="inlineStr">
        <is>
          <t>21 Juni 2012</t>
        </is>
      </c>
      <c r="I46" s="2" t="n">
        <v>46343</v>
      </c>
      <c r="J46" t="inlineStr">
        <is>
          <t>Disetujui</t>
        </is>
      </c>
      <c r="K46" t="n">
        <v>60</v>
      </c>
      <c r="L46" t="inlineStr">
        <is>
          <t>17 November 2026</t>
        </is>
      </c>
      <c r="M46" t="inlineStr">
        <is>
          <t>Konstruksi Gedung Perkantoran</t>
        </is>
      </c>
      <c r="N46" t="inlineStr">
        <is>
          <t>K</t>
        </is>
      </c>
      <c r="O46" t="inlineStr">
        <is>
          <t>20231107</t>
        </is>
      </c>
      <c r="P46" t="inlineStr">
        <is>
          <t>Kalimantan Tengah</t>
        </is>
      </c>
      <c r="Q46" t="inlineStr"/>
    </row>
    <row r="47">
      <c r="A47" t="inlineStr">
        <is>
          <t>RAJA ANUGRAH INDONESIA</t>
        </is>
      </c>
      <c r="B47" t="inlineStr">
        <is>
          <t>Kota Palangkaraya</t>
        </is>
      </c>
      <c r="C47" t="inlineStr">
        <is>
          <t>085215511881</t>
        </is>
      </c>
      <c r="D47" t="inlineStr">
        <is>
          <t>cv.rai2019@gmail.com</t>
        </is>
      </c>
      <c r="E47" t="inlineStr">
        <is>
          <t>https://lpjk.pu.go.id/search-badan-usaha-detail/anl5Q0F5L1FWYk9VaGR1RVNyU05QbnhSbHhYZ3NkREZPZW90TUZhczZhcz0</t>
        </is>
      </c>
      <c r="F47" t="n">
        <v>3</v>
      </c>
      <c r="G47" t="inlineStr">
        <is>
          <t>BG001, BG009, BS010</t>
        </is>
      </c>
      <c r="H47" t="inlineStr">
        <is>
          <t>4 Februari 2026</t>
        </is>
      </c>
      <c r="I47" s="2" t="n">
        <v>46343</v>
      </c>
      <c r="J47" t="inlineStr">
        <is>
          <t>Disetujui</t>
        </is>
      </c>
      <c r="K47" t="n">
        <v>60</v>
      </c>
      <c r="L47" t="inlineStr">
        <is>
          <t>17 November 2026</t>
        </is>
      </c>
      <c r="M47" t="inlineStr">
        <is>
          <t>Konstruksi Bangunan Prasarana Sumber Daya Air, Konstruksi Gedung Hunian, Konstruksi Gedung Lainnya</t>
        </is>
      </c>
      <c r="N47" t="inlineStr">
        <is>
          <t>K</t>
        </is>
      </c>
      <c r="O47" t="inlineStr">
        <is>
          <t>20231117, 20231118</t>
        </is>
      </c>
      <c r="P47" t="inlineStr">
        <is>
          <t>Kalimantan Tengah</t>
        </is>
      </c>
      <c r="Q47" t="inlineStr"/>
    </row>
    <row r="48">
      <c r="A48" t="inlineStr">
        <is>
          <t>RAJENDRA CONTRUCTION</t>
        </is>
      </c>
      <c r="B48" t="inlineStr">
        <is>
          <t>Kota Salatiga</t>
        </is>
      </c>
      <c r="C48" t="inlineStr">
        <is>
          <t>081325258740</t>
        </is>
      </c>
      <c r="D48" t="inlineStr">
        <is>
          <t>rajendra.contruction@gmail.com</t>
        </is>
      </c>
      <c r="E48" t="inlineStr">
        <is>
          <t>https://lpjk.pu.go.id/search-badan-usaha-detail/dFRaTkZmVitvRE9QaXNtQWpvdUo0Zz09</t>
        </is>
      </c>
      <c r="F48" t="n">
        <v>1</v>
      </c>
      <c r="G48" t="inlineStr">
        <is>
          <t>BS001</t>
        </is>
      </c>
      <c r="H48" t="inlineStr">
        <is>
          <t>26 September 2016</t>
        </is>
      </c>
      <c r="I48" s="2" t="n">
        <v>46343</v>
      </c>
      <c r="J48" t="inlineStr">
        <is>
          <t>Pencabutan</t>
        </is>
      </c>
      <c r="K48" t="n">
        <v>60</v>
      </c>
      <c r="L48" t="inlineStr">
        <is>
          <t>17 November 2026</t>
        </is>
      </c>
      <c r="M48" t="inlineStr">
        <is>
          <t>Konstruksi Bangunan Sipil Jalan</t>
        </is>
      </c>
      <c r="N48" t="inlineStr">
        <is>
          <t>K</t>
        </is>
      </c>
      <c r="O48" t="inlineStr">
        <is>
          <t>20231113</t>
        </is>
      </c>
      <c r="P48" t="inlineStr">
        <is>
          <t>Jawa Tengah</t>
        </is>
      </c>
      <c r="Q48" t="inlineStr"/>
    </row>
    <row r="49">
      <c r="A49" t="inlineStr">
        <is>
          <t>RANCANG BANGUN MANDIRI</t>
        </is>
      </c>
      <c r="B49" t="inlineStr">
        <is>
          <t>Kota Adm. Jakarta Barat</t>
        </is>
      </c>
      <c r="C49" t="inlineStr">
        <is>
          <t>02154335020</t>
        </is>
      </c>
      <c r="D49" t="inlineStr">
        <is>
          <t>rancangbangunmandiri.rbm@gmail.com</t>
        </is>
      </c>
      <c r="E49" t="inlineStr">
        <is>
          <t>https://lpjk.pu.go.id/search-badan-usaha-detail/MTRPdk51bFZiV29MOFAxOTBvQ2dVQT09</t>
        </is>
      </c>
      <c r="F49" t="n">
        <v>4</v>
      </c>
      <c r="G49" t="inlineStr">
        <is>
          <t>BG006, BG009</t>
        </is>
      </c>
      <c r="H49" t="inlineStr">
        <is>
          <t>12 Desember 2013</t>
        </is>
      </c>
      <c r="I49" s="2" t="n">
        <v>46343</v>
      </c>
      <c r="J49" t="inlineStr">
        <is>
          <t>Disetujui</t>
        </is>
      </c>
      <c r="K49" t="n">
        <v>60</v>
      </c>
      <c r="L49" t="inlineStr">
        <is>
          <t>17 November 2026</t>
        </is>
      </c>
      <c r="M49" t="inlineStr">
        <is>
          <t>Konstruksi Gedung Lainnya, Konstruksi Gedung Pendidikan</t>
        </is>
      </c>
      <c r="N49" t="inlineStr">
        <is>
          <t>B</t>
        </is>
      </c>
      <c r="O49" t="inlineStr">
        <is>
          <t>20231107</t>
        </is>
      </c>
      <c r="P49" t="inlineStr">
        <is>
          <t>DKI Jakarta</t>
        </is>
      </c>
      <c r="Q49" t="inlineStr"/>
    </row>
    <row r="50">
      <c r="A50" t="inlineStr">
        <is>
          <t>RAZKA JAYA PRATAMA</t>
        </is>
      </c>
      <c r="B50" t="inlineStr">
        <is>
          <t>Kab. Muna Barat</t>
        </is>
      </c>
      <c r="C50" t="inlineStr">
        <is>
          <t>085398135328</t>
        </is>
      </c>
      <c r="D50" t="inlineStr">
        <is>
          <t>jumadinvivonusantara@gmail.com</t>
        </is>
      </c>
      <c r="E50" t="inlineStr">
        <is>
          <t>https://lpjk.pu.go.id/search-badan-usaha-detail/TlJRWHZpNzEycGM3blh6d1FUYzU3QT09</t>
        </is>
      </c>
      <c r="F50" t="n">
        <v>3</v>
      </c>
      <c r="G50" t="inlineStr">
        <is>
          <t>BS001, BS002, BS004</t>
        </is>
      </c>
      <c r="H50" t="inlineStr">
        <is>
          <t>18 Januari 2023</t>
        </is>
      </c>
      <c r="I50" s="2" t="n">
        <v>46343</v>
      </c>
      <c r="J50" t="inlineStr">
        <is>
          <t>Disetujui</t>
        </is>
      </c>
      <c r="K50" t="n">
        <v>60</v>
      </c>
      <c r="L50" t="inlineStr">
        <is>
          <t>17 November 2026</t>
        </is>
      </c>
      <c r="M50" t="inlineStr">
        <is>
          <t>Bangunan Sipil Jembatan, Jalan Layang, Fly Over, dan Underpass, Konstruksi Bangunan Sipil Jalan, Konstruksi Jaringan Irigasi dan Drainase</t>
        </is>
      </c>
      <c r="N50" t="inlineStr">
        <is>
          <t>K</t>
        </is>
      </c>
      <c r="O50" t="inlineStr">
        <is>
          <t>20231113, 20231116</t>
        </is>
      </c>
      <c r="P50" t="inlineStr">
        <is>
          <t>Sulawesi Tenggara</t>
        </is>
      </c>
      <c r="Q50" t="inlineStr"/>
    </row>
    <row r="51">
      <c r="A51" t="inlineStr">
        <is>
          <t>RIDHO ABADI APLIKATOR</t>
        </is>
      </c>
      <c r="B51" t="inlineStr">
        <is>
          <t>Kab. Deli Serdang</t>
        </is>
      </c>
      <c r="C51" t="inlineStr">
        <is>
          <t>081265758860</t>
        </is>
      </c>
      <c r="D51" t="inlineStr">
        <is>
          <t>ridhoabadiaplikator@yopmail.com</t>
        </is>
      </c>
      <c r="E51" t="inlineStr">
        <is>
          <t>https://lpjk.pu.go.id/search-badan-usaha-detail/QWhMVTlHOU1Hdks4bDgrdUFkOTM2UT09</t>
        </is>
      </c>
      <c r="F51" t="n">
        <v>1</v>
      </c>
      <c r="G51" t="inlineStr">
        <is>
          <t>BG009</t>
        </is>
      </c>
      <c r="H51" t="inlineStr">
        <is>
          <t>9 Februari 2013</t>
        </is>
      </c>
      <c r="I51" s="2" t="n">
        <v>46343</v>
      </c>
      <c r="J51" t="inlineStr">
        <is>
          <t>Disetujui</t>
        </is>
      </c>
      <c r="K51" t="n">
        <v>60</v>
      </c>
      <c r="L51" t="inlineStr">
        <is>
          <t>17 November 2026</t>
        </is>
      </c>
      <c r="M51" t="inlineStr">
        <is>
          <t>Konstruksi Gedung Lainnya</t>
        </is>
      </c>
      <c r="N51" t="inlineStr">
        <is>
          <t>K</t>
        </is>
      </c>
      <c r="O51" t="inlineStr">
        <is>
          <t>20231117</t>
        </is>
      </c>
      <c r="P51" t="inlineStr">
        <is>
          <t>Sumatera Utara</t>
        </is>
      </c>
      <c r="Q51" t="inlineStr"/>
    </row>
    <row r="52">
      <c r="A52" t="inlineStr">
        <is>
          <t>RIVACO PUTRA</t>
        </is>
      </c>
      <c r="B52" t="inlineStr">
        <is>
          <t>Kab. Sintang</t>
        </is>
      </c>
      <c r="C52" t="inlineStr">
        <is>
          <t>-</t>
        </is>
      </c>
      <c r="D52" t="inlineStr">
        <is>
          <t>rivacoputracv@yahoo.co.id</t>
        </is>
      </c>
      <c r="E52" t="inlineStr">
        <is>
          <t>https://lpjk.pu.go.id/search-badan-usaha-detail/ajlodVNBbU5vZXF2WmpndytOWmNIZz09</t>
        </is>
      </c>
      <c r="F52" t="n">
        <v>1</v>
      </c>
      <c r="G52" t="inlineStr">
        <is>
          <t>BS001</t>
        </is>
      </c>
      <c r="H52" t="inlineStr">
        <is>
          <t>18 September 1990</t>
        </is>
      </c>
      <c r="I52" s="2" t="n">
        <v>46343</v>
      </c>
      <c r="J52" t="inlineStr">
        <is>
          <t>Disetujui</t>
        </is>
      </c>
      <c r="K52" t="n">
        <v>60</v>
      </c>
      <c r="L52" t="inlineStr">
        <is>
          <t>17 November 2026</t>
        </is>
      </c>
      <c r="M52" t="inlineStr">
        <is>
          <t>Konstruksi Bangunan Sipil Jalan</t>
        </is>
      </c>
      <c r="N52" t="inlineStr">
        <is>
          <t>K</t>
        </is>
      </c>
      <c r="O52" t="inlineStr">
        <is>
          <t>20231115</t>
        </is>
      </c>
      <c r="P52" t="inlineStr">
        <is>
          <t>Kalimantan Barat</t>
        </is>
      </c>
      <c r="Q52" t="inlineStr"/>
    </row>
    <row r="53">
      <c r="A53" t="inlineStr">
        <is>
          <t>SAHABAT JAYA MANDIRI</t>
        </is>
      </c>
      <c r="B53" t="inlineStr">
        <is>
          <t>Kab. Lampung Utara</t>
        </is>
      </c>
      <c r="C53" t="inlineStr">
        <is>
          <t>085384442844</t>
        </is>
      </c>
      <c r="D53" t="inlineStr">
        <is>
          <t>cv.sahabatjayamandiri@gmail.com</t>
        </is>
      </c>
      <c r="E53" t="inlineStr">
        <is>
          <t>https://lpjk.pu.go.id/search-badan-usaha-detail/V1BneHE5R3FyMVBTTkIyQlRzWENPZz09</t>
        </is>
      </c>
      <c r="F53" t="n">
        <v>1</v>
      </c>
      <c r="G53" t="inlineStr">
        <is>
          <t>BS001</t>
        </is>
      </c>
      <c r="H53" t="inlineStr">
        <is>
          <t>21 Mei 2019</t>
        </is>
      </c>
      <c r="I53" s="2" t="n">
        <v>46343</v>
      </c>
      <c r="J53" t="inlineStr">
        <is>
          <t>Pencabutan</t>
        </is>
      </c>
      <c r="K53" t="n">
        <v>60</v>
      </c>
      <c r="L53" t="inlineStr">
        <is>
          <t>17 November 2026</t>
        </is>
      </c>
      <c r="M53" t="inlineStr">
        <is>
          <t>Konstruksi Bangunan Sipil Jalan</t>
        </is>
      </c>
      <c r="N53" t="inlineStr">
        <is>
          <t>K</t>
        </is>
      </c>
      <c r="O53" t="inlineStr">
        <is>
          <t>20231118</t>
        </is>
      </c>
      <c r="P53" t="inlineStr">
        <is>
          <t>Lampung</t>
        </is>
      </c>
      <c r="Q53" t="inlineStr"/>
    </row>
    <row r="54">
      <c r="A54" t="inlineStr">
        <is>
          <t>SANTOSA &amp; CO</t>
        </is>
      </c>
      <c r="B54" t="inlineStr">
        <is>
          <t>Kab. Banyumas</t>
        </is>
      </c>
      <c r="C54" t="inlineStr">
        <is>
          <t>082243560296</t>
        </is>
      </c>
      <c r="D54" t="inlineStr">
        <is>
          <t>co.santosa@yahoo.co.id</t>
        </is>
      </c>
      <c r="E54" t="inlineStr">
        <is>
          <t>https://lpjk.pu.go.id/search-badan-usaha-detail/clprZEhSU2FQMVdmUVk4SldoN1hhUT09</t>
        </is>
      </c>
      <c r="F54" t="n">
        <v>2</v>
      </c>
      <c r="G54" t="inlineStr">
        <is>
          <t>BG002, BG006</t>
        </is>
      </c>
      <c r="H54" t="inlineStr">
        <is>
          <t>23 Februari 1974</t>
        </is>
      </c>
      <c r="I54" s="2" t="n">
        <v>46343</v>
      </c>
      <c r="J54" t="inlineStr">
        <is>
          <t>Disetujui</t>
        </is>
      </c>
      <c r="K54" t="n">
        <v>60</v>
      </c>
      <c r="L54" t="inlineStr">
        <is>
          <t>17 November 2026</t>
        </is>
      </c>
      <c r="M54" t="inlineStr">
        <is>
          <t>Konstruksi Gedung Pendidikan, Konstruksi Gedung Perkantoran</t>
        </is>
      </c>
      <c r="N54" t="inlineStr">
        <is>
          <t>K</t>
        </is>
      </c>
      <c r="O54" t="inlineStr">
        <is>
          <t>20231113, 20231114</t>
        </is>
      </c>
      <c r="P54" t="inlineStr">
        <is>
          <t>Jawa Tengah</t>
        </is>
      </c>
      <c r="Q54" t="inlineStr"/>
    </row>
    <row r="55">
      <c r="A55" t="inlineStr">
        <is>
          <t>SARI TEHNIK</t>
        </is>
      </c>
      <c r="B55" t="inlineStr">
        <is>
          <t>Kab. Situbondo</t>
        </is>
      </c>
      <c r="C55" t="inlineStr">
        <is>
          <t>08123078586</t>
        </is>
      </c>
      <c r="D55" t="inlineStr">
        <is>
          <t>cvsaritehnik@yahoo.com</t>
        </is>
      </c>
      <c r="E55" t="inlineStr">
        <is>
          <t>https://lpjk.pu.go.id/search-badan-usaha-detail/V3k2ZWhOMisrbzRqZW5XSTdCYnRPZz09</t>
        </is>
      </c>
      <c r="F55" t="n">
        <v>4</v>
      </c>
      <c r="G55" t="inlineStr">
        <is>
          <t>BS001, BS002, BS004, BS005</t>
        </is>
      </c>
      <c r="H55" t="inlineStr">
        <is>
          <t>15 Januari 1986</t>
        </is>
      </c>
      <c r="I55" s="2" t="n">
        <v>46343</v>
      </c>
      <c r="J55" t="inlineStr">
        <is>
          <t>Disetujui</t>
        </is>
      </c>
      <c r="K55" t="n">
        <v>60</v>
      </c>
      <c r="L55" t="inlineStr">
        <is>
          <t>17 November 2026</t>
        </is>
      </c>
      <c r="M55" t="inlineStr">
        <is>
          <t>Bangunan Sipil Jembatan, Jalan Layang, Fly Over, dan Underpass, Konstruksi Bangunan Sipil Jalan, Konstruksi Bangunan Sipil Pengolahan Air Bersih, Konstruksi Jaringan Irigasi dan Drainase</t>
        </is>
      </c>
      <c r="N55" t="inlineStr">
        <is>
          <t>K</t>
        </is>
      </c>
      <c r="O55" t="inlineStr">
        <is>
          <t>20231114, 20231115</t>
        </is>
      </c>
      <c r="P55" t="inlineStr">
        <is>
          <t>Jawa Timur</t>
        </is>
      </c>
      <c r="Q55" t="inlineStr"/>
    </row>
    <row r="56">
      <c r="A56" t="inlineStr">
        <is>
          <t>SEKAWAN KOKOH BERSAMA</t>
        </is>
      </c>
      <c r="B56" t="inlineStr">
        <is>
          <t>Kota Serang</t>
        </is>
      </c>
      <c r="C56" t="inlineStr">
        <is>
          <t>081906200045</t>
        </is>
      </c>
      <c r="D56" t="inlineStr">
        <is>
          <t>ptsekawankokohbersama@gmail.com</t>
        </is>
      </c>
      <c r="E56" t="inlineStr">
        <is>
          <t>https://lpjk.pu.go.id/search-badan-usaha-detail/R1JmVU9SclZUcnVlMEtsTDJyZktKQT09</t>
        </is>
      </c>
      <c r="F56" t="n">
        <v>2</v>
      </c>
      <c r="G56" t="inlineStr">
        <is>
          <t>BS001</t>
        </is>
      </c>
      <c r="H56" t="inlineStr">
        <is>
          <t>15 Mei 2023</t>
        </is>
      </c>
      <c r="I56" s="2" t="n">
        <v>46343</v>
      </c>
      <c r="J56" t="inlineStr">
        <is>
          <t>Disetujui</t>
        </is>
      </c>
      <c r="K56" t="n">
        <v>60</v>
      </c>
      <c r="L56" t="inlineStr">
        <is>
          <t>17 November 2026</t>
        </is>
      </c>
      <c r="M56" t="inlineStr">
        <is>
          <t>Konstruksi Bangunan Sipil Jalan</t>
        </is>
      </c>
      <c r="N56" t="inlineStr">
        <is>
          <t>K</t>
        </is>
      </c>
      <c r="O56" t="inlineStr">
        <is>
          <t>20231117</t>
        </is>
      </c>
      <c r="P56" t="inlineStr">
        <is>
          <t>Banten</t>
        </is>
      </c>
      <c r="Q56" t="inlineStr"/>
    </row>
    <row r="57">
      <c r="A57" t="inlineStr">
        <is>
          <t>SELOGIRI SAMPURNA</t>
        </is>
      </c>
      <c r="B57" t="inlineStr">
        <is>
          <t>Kota Adm. Jakarta Selatan</t>
        </is>
      </c>
      <c r="C57" t="inlineStr">
        <is>
          <t>0215362402</t>
        </is>
      </c>
      <c r="D57" t="inlineStr">
        <is>
          <t>sgsmarketing@selogirigroup.com</t>
        </is>
      </c>
      <c r="E57" t="inlineStr">
        <is>
          <t>https://lpjk.pu.go.id/search-badan-usaha-detail/SjNYTzNGVmkrMzZ6NXp0TEI3aFRidz09</t>
        </is>
      </c>
      <c r="F57" t="n">
        <v>1</v>
      </c>
      <c r="G57" t="inlineStr">
        <is>
          <t>BG009</t>
        </is>
      </c>
      <c r="H57" t="inlineStr">
        <is>
          <t>17 Juli 1989</t>
        </is>
      </c>
      <c r="I57" s="2" t="n">
        <v>46343</v>
      </c>
      <c r="J57" t="inlineStr">
        <is>
          <t>Disetujui</t>
        </is>
      </c>
      <c r="K57" t="n">
        <v>60</v>
      </c>
      <c r="L57" t="inlineStr">
        <is>
          <t>17 November 2026</t>
        </is>
      </c>
      <c r="M57" t="inlineStr">
        <is>
          <t>Konstruksi Gedung Lainnya</t>
        </is>
      </c>
      <c r="N57" t="inlineStr">
        <is>
          <t>K</t>
        </is>
      </c>
      <c r="O57" t="inlineStr">
        <is>
          <t>20230522</t>
        </is>
      </c>
      <c r="P57" t="inlineStr">
        <is>
          <t>DKI Jakarta</t>
        </is>
      </c>
      <c r="Q57" t="inlineStr"/>
    </row>
    <row r="58">
      <c r="A58" t="inlineStr">
        <is>
          <t>SOLAGRATIA PAPUA</t>
        </is>
      </c>
      <c r="B58" t="inlineStr">
        <is>
          <t>Kab. Jayapura</t>
        </is>
      </c>
      <c r="C58" t="inlineStr">
        <is>
          <t>082137974477</t>
        </is>
      </c>
      <c r="D58" t="inlineStr">
        <is>
          <t>papuasolagratia@gmail.com</t>
        </is>
      </c>
      <c r="E58" t="inlineStr">
        <is>
          <t>https://lpjk.pu.go.id/search-badan-usaha-detail/bHNFRU91UDZMamxlWWhWM2ovblRyZz09</t>
        </is>
      </c>
      <c r="F58" t="n">
        <v>1</v>
      </c>
      <c r="G58" t="inlineStr">
        <is>
          <t>BG006</t>
        </is>
      </c>
      <c r="H58" t="inlineStr">
        <is>
          <t>14 Maret 2014</t>
        </is>
      </c>
      <c r="I58" s="2" t="n">
        <v>46343</v>
      </c>
      <c r="J58" t="inlineStr">
        <is>
          <t>Disetujui</t>
        </is>
      </c>
      <c r="K58" t="n">
        <v>60</v>
      </c>
      <c r="L58" t="inlineStr">
        <is>
          <t>17 November 2026</t>
        </is>
      </c>
      <c r="M58" t="inlineStr">
        <is>
          <t>Konstruksi Gedung Pendidikan</t>
        </is>
      </c>
      <c r="N58" t="inlineStr">
        <is>
          <t>K</t>
        </is>
      </c>
      <c r="O58" t="inlineStr">
        <is>
          <t>20231026</t>
        </is>
      </c>
      <c r="P58" t="inlineStr">
        <is>
          <t>Papua</t>
        </is>
      </c>
      <c r="Q58" t="inlineStr"/>
    </row>
    <row r="59">
      <c r="A59" t="inlineStr">
        <is>
          <t>SUMBER MAKMUR</t>
        </is>
      </c>
      <c r="B59" t="inlineStr">
        <is>
          <t>Kab. Semarang</t>
        </is>
      </c>
      <c r="C59" t="inlineStr">
        <is>
          <t>0821 3729 6449</t>
        </is>
      </c>
      <c r="D59" t="inlineStr">
        <is>
          <t>sumurbor307@gmail.com</t>
        </is>
      </c>
      <c r="E59" t="inlineStr">
        <is>
          <t>https://lpjk.pu.go.id/search-badan-usaha-detail/VENDV3llQk82MEhzQnNUVk5IcERQZz09</t>
        </is>
      </c>
      <c r="F59" t="n">
        <v>1</v>
      </c>
      <c r="G59" t="inlineStr">
        <is>
          <t>PL005</t>
        </is>
      </c>
      <c r="H59" t="inlineStr">
        <is>
          <t>2 Agustus 2017</t>
        </is>
      </c>
      <c r="I59" s="2" t="n">
        <v>46343</v>
      </c>
      <c r="J59" t="inlineStr">
        <is>
          <t>Pembekuan</t>
        </is>
      </c>
      <c r="K59" t="n">
        <v>60</v>
      </c>
      <c r="L59" t="inlineStr">
        <is>
          <t>17 November 2026</t>
        </is>
      </c>
      <c r="M59" t="inlineStr">
        <is>
          <t>Pembuatan/Pengeboran Sumur Air Tanah</t>
        </is>
      </c>
      <c r="N59" t="inlineStr">
        <is>
          <t>Spesialis</t>
        </is>
      </c>
      <c r="O59" t="inlineStr">
        <is>
          <t>20231117</t>
        </is>
      </c>
      <c r="P59" t="inlineStr">
        <is>
          <t>Jawa Tengah</t>
        </is>
      </c>
      <c r="Q59" t="inlineStr"/>
    </row>
    <row r="60">
      <c r="A60" t="inlineStr">
        <is>
          <t>TARADIPA PERSADA</t>
        </is>
      </c>
      <c r="B60" t="inlineStr">
        <is>
          <t>Kota Surabaya</t>
        </is>
      </c>
      <c r="C60" t="inlineStr">
        <is>
          <t>081230195002</t>
        </is>
      </c>
      <c r="D60" t="inlineStr">
        <is>
          <t>cvtaradipapersada@gmail.com</t>
        </is>
      </c>
      <c r="E60" t="inlineStr">
        <is>
          <t>https://lpjk.pu.go.id/search-badan-usaha-detail/V3lLK1F6N0VxK0trMFhSS1NUOUFJdz09</t>
        </is>
      </c>
      <c r="F60" t="n">
        <v>1</v>
      </c>
      <c r="G60" t="inlineStr">
        <is>
          <t>BS004</t>
        </is>
      </c>
      <c r="H60" t="inlineStr">
        <is>
          <t>26 Agustus 2019</t>
        </is>
      </c>
      <c r="I60" s="2" t="n">
        <v>46343</v>
      </c>
      <c r="J60" t="inlineStr">
        <is>
          <t>Disetujui</t>
        </is>
      </c>
      <c r="K60" t="n">
        <v>60</v>
      </c>
      <c r="L60" t="inlineStr">
        <is>
          <t>17 November 2026</t>
        </is>
      </c>
      <c r="M60" t="inlineStr">
        <is>
          <t>Konstruksi Jaringan Irigasi dan Drainase</t>
        </is>
      </c>
      <c r="N60" t="inlineStr">
        <is>
          <t>K</t>
        </is>
      </c>
      <c r="O60" t="inlineStr">
        <is>
          <t>20231114</t>
        </is>
      </c>
      <c r="P60" t="inlineStr">
        <is>
          <t>Jawa Timur</t>
        </is>
      </c>
      <c r="Q60" t="inlineStr"/>
    </row>
    <row r="61">
      <c r="A61" t="inlineStr">
        <is>
          <t>WAHYU SEJATI</t>
        </is>
      </c>
      <c r="B61" t="inlineStr">
        <is>
          <t>Kab. Ngawi</t>
        </is>
      </c>
      <c r="C61" t="inlineStr">
        <is>
          <t>082133111934</t>
        </is>
      </c>
      <c r="D61" t="inlineStr">
        <is>
          <t>cv.wahyu.sejati86@gmail.com</t>
        </is>
      </c>
      <c r="E61" t="inlineStr">
        <is>
          <t>https://lpjk.pu.go.id/search-badan-usaha-detail/Z0xQYm81VDYvV000R2wraWFWZWlTUT09</t>
        </is>
      </c>
      <c r="F61" t="n">
        <v>1</v>
      </c>
      <c r="G61" t="inlineStr">
        <is>
          <t>BG002</t>
        </is>
      </c>
      <c r="H61" t="inlineStr">
        <is>
          <t>17 Januari 1997</t>
        </is>
      </c>
      <c r="I61" s="2" t="n">
        <v>46343</v>
      </c>
      <c r="J61" t="inlineStr">
        <is>
          <t>Disetujui</t>
        </is>
      </c>
      <c r="K61" t="n">
        <v>60</v>
      </c>
      <c r="L61" t="inlineStr">
        <is>
          <t>17 November 2026</t>
        </is>
      </c>
      <c r="M61" t="inlineStr">
        <is>
          <t>Konstruksi Gedung Perkantoran</t>
        </is>
      </c>
      <c r="N61" t="inlineStr">
        <is>
          <t>K</t>
        </is>
      </c>
      <c r="O61" t="inlineStr">
        <is>
          <t>20231114</t>
        </is>
      </c>
      <c r="P61" t="inlineStr">
        <is>
          <t>Jawa Timur</t>
        </is>
      </c>
      <c r="Q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4"/>
  <sheetViews>
    <sheetView workbookViewId="0">
      <selection activeCell="A1" sqref="A1"/>
    </sheetView>
  </sheetViews>
  <sheetFormatPr baseColWidth="8" defaultRowHeight="15"/>
  <cols>
    <col width="39" customWidth="1" min="1" max="1"/>
    <col width="27" customWidth="1" min="2" max="2"/>
    <col width="22" customWidth="1" min="3" max="3"/>
    <col width="42"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ADIPATI KARYA NUSANTARA</t>
        </is>
      </c>
      <c r="B2" t="inlineStr">
        <is>
          <t>Kota Adm. Jakarta Timur</t>
        </is>
      </c>
      <c r="C2" t="inlineStr">
        <is>
          <t>02129368920</t>
        </is>
      </c>
      <c r="D2" t="inlineStr">
        <is>
          <t>ptadipatikaryanusantara@gmail.com</t>
        </is>
      </c>
      <c r="E2" t="inlineStr">
        <is>
          <t>https://lpjk.pu.go.id/search-badan-usaha-detail/WXZ1QzNCMW9Jcllta1crcU9maFZadz09</t>
        </is>
      </c>
      <c r="F2" t="n">
        <v>6</v>
      </c>
      <c r="G2" t="inlineStr">
        <is>
          <t>BG002, BG006, BG009, BS001, BS002, BS003</t>
        </is>
      </c>
      <c r="H2" t="inlineStr">
        <is>
          <t>21 Juni 2016</t>
        </is>
      </c>
      <c r="I2" s="2" t="n">
        <v>46313</v>
      </c>
      <c r="J2" t="inlineStr">
        <is>
          <t>Disetujui, Pencabutan</t>
        </is>
      </c>
      <c r="K2" t="n">
        <v>30</v>
      </c>
      <c r="L2" t="inlineStr">
        <is>
          <t>18 Oktober 2026</t>
        </is>
      </c>
      <c r="M2" t="inlineStr">
        <is>
          <t>Bangunan Sipil Jembatan, Jalan Layang, Fly Over, dan Underpass, Konstruksi Bangunan Sipil Jalan, Konstruksi Gedung Lainnya, Konstruksi Gedung Pendidikan, Konstruksi Gedung Perkantoran, Konstruksi Jalan Rel</t>
        </is>
      </c>
      <c r="N2" t="inlineStr">
        <is>
          <t>K</t>
        </is>
      </c>
      <c r="O2" t="inlineStr">
        <is>
          <t>20231018, 20231021</t>
        </is>
      </c>
      <c r="P2" t="inlineStr">
        <is>
          <t>DKI Jakarta</t>
        </is>
      </c>
      <c r="Q2" t="inlineStr"/>
    </row>
    <row r="3">
      <c r="A3" t="inlineStr">
        <is>
          <t>AKSARA BANJU MAS</t>
        </is>
      </c>
      <c r="B3" t="inlineStr">
        <is>
          <t>Kota Bekasi</t>
        </is>
      </c>
      <c r="C3" t="inlineStr">
        <is>
          <t>02184999094</t>
        </is>
      </c>
      <c r="D3" t="inlineStr">
        <is>
          <t>aksra.banjumas@gmail.com</t>
        </is>
      </c>
      <c r="E3" t="inlineStr">
        <is>
          <t>https://lpjk.pu.go.id/search-badan-usaha-detail/dG5jeHJFUUVSWlFUakg2RHRSVGU5Zz09</t>
        </is>
      </c>
      <c r="F3" t="n">
        <v>8</v>
      </c>
      <c r="G3" t="inlineStr">
        <is>
          <t>BG001, BG003, BG006, BG009</t>
        </is>
      </c>
      <c r="H3" t="inlineStr">
        <is>
          <t>13 Februari 2012</t>
        </is>
      </c>
      <c r="I3" s="2" t="n">
        <v>46313</v>
      </c>
      <c r="J3" t="inlineStr">
        <is>
          <t>Disetujui</t>
        </is>
      </c>
      <c r="K3" t="n">
        <v>30</v>
      </c>
      <c r="L3" t="inlineStr">
        <is>
          <t>18 Oktober 2026</t>
        </is>
      </c>
      <c r="M3" t="inlineStr">
        <is>
          <t>Konstruksi Gedung Hunian, Konstruksi Gedung Industri, Konstruksi Gedung Lainnya, Konstruksi Gedung Pendidikan</t>
        </is>
      </c>
      <c r="N3" t="inlineStr">
        <is>
          <t>K</t>
        </is>
      </c>
      <c r="O3" t="inlineStr">
        <is>
          <t>20230922, 20231018</t>
        </is>
      </c>
      <c r="P3" t="inlineStr">
        <is>
          <t>Jawa Barat</t>
        </is>
      </c>
      <c r="Q3" t="inlineStr"/>
    </row>
    <row r="4">
      <c r="A4" t="inlineStr">
        <is>
          <t>ALTAMAYA TEKNIK MANDIRI</t>
        </is>
      </c>
      <c r="B4" t="inlineStr">
        <is>
          <t>Kab. Bogor</t>
        </is>
      </c>
      <c r="C4" t="inlineStr">
        <is>
          <t>02518615933</t>
        </is>
      </c>
      <c r="D4" t="inlineStr">
        <is>
          <t>suhaidihs@yahoo.com</t>
        </is>
      </c>
      <c r="E4" t="inlineStr">
        <is>
          <t>https://lpjk.pu.go.id/search-badan-usaha-detail/UTFKcjdsOGQ5NVAxR2xUVXRNNjU5dz09</t>
        </is>
      </c>
      <c r="F4" t="n">
        <v>4</v>
      </c>
      <c r="G4" t="inlineStr">
        <is>
          <t>IN007, IN008</t>
        </is>
      </c>
      <c r="H4" t="inlineStr">
        <is>
          <t>6 September 2013</t>
        </is>
      </c>
      <c r="I4" s="2" t="n">
        <v>46313</v>
      </c>
      <c r="J4" t="inlineStr">
        <is>
          <t>Pembekuan</t>
        </is>
      </c>
      <c r="K4" t="n">
        <v>30</v>
      </c>
      <c r="L4" t="inlineStr">
        <is>
          <t>18 Oktober 2026</t>
        </is>
      </c>
      <c r="M4" t="inlineStr">
        <is>
          <t>Instalasi Pendingin Dan Ventilasi Udara, Instalasi Saluran Air (Plambing)</t>
        </is>
      </c>
      <c r="N4" t="inlineStr">
        <is>
          <t>Spesialis</t>
        </is>
      </c>
      <c r="O4" t="inlineStr">
        <is>
          <t>20231013</t>
        </is>
      </c>
      <c r="P4" t="inlineStr">
        <is>
          <t>Jawa Barat</t>
        </is>
      </c>
      <c r="Q4" s="3">
        <f>HYPERLINK("https://wa.me/622518615933?text=*[Pengingat Masa Berlaku SBU ALTAMAYA TEKNIK MANDIRI]*%0A%0AYth. Pimpinan ALTAMAYA TEKNIK MANDIRI,%0AMohon izin menginformasikan status SBU Anda:%0A%0A📄 SBU: IN007, IN008%0A📅 Expired: 18 Oktober 2026 (30 Hari Lagi)%0A%0AKami tim PT. ESDEA Assistance Management siap men-support proses perpanjangan segera agar administrasi proyek tidak terhambat%0A%0AApakah boleh saya bantu siapkan estimasi biaya dan waktu pengerjaannya?.", "Hubungi")</f>
        <v/>
      </c>
    </row>
    <row r="5">
      <c r="A5" t="inlineStr">
        <is>
          <t>ANDI EDWIN AMEL</t>
        </is>
      </c>
      <c r="B5" t="inlineStr">
        <is>
          <t>Kab. Bekasi</t>
        </is>
      </c>
      <c r="C5" t="inlineStr">
        <is>
          <t>02182582220</t>
        </is>
      </c>
      <c r="D5" t="inlineStr">
        <is>
          <t>edwineliann@gmail.com</t>
        </is>
      </c>
      <c r="E5" t="inlineStr">
        <is>
          <t>https://lpjk.pu.go.id/search-badan-usaha-detail/MlVaN3I4aGhmZXNFTFZZWGRpY2Q2UT09</t>
        </is>
      </c>
      <c r="F5" t="n">
        <v>5</v>
      </c>
      <c r="G5" t="inlineStr">
        <is>
          <t>BG001, BG003, BG005, BS001, BS002</t>
        </is>
      </c>
      <c r="H5" t="inlineStr">
        <is>
          <t>14 September 2023</t>
        </is>
      </c>
      <c r="I5" s="2" t="n">
        <v>46313</v>
      </c>
      <c r="J5" t="inlineStr">
        <is>
          <t>Disetujui</t>
        </is>
      </c>
      <c r="K5" t="n">
        <v>30</v>
      </c>
      <c r="L5" t="inlineStr">
        <is>
          <t>18 Oktober 2026</t>
        </is>
      </c>
      <c r="M5" t="inlineStr">
        <is>
          <t>Bangunan Sipil Jembatan, Jalan Layang, Fly Over, dan Underpass, Konstruksi Bangunan Sipil Jalan, Konstruksi Gedung Hunian, Konstruksi Gedung Industri, Konstruksi Gedung Kesehatan</t>
        </is>
      </c>
      <c r="N5" t="inlineStr">
        <is>
          <t>K</t>
        </is>
      </c>
      <c r="O5" t="inlineStr">
        <is>
          <t>20231003, 20231015</t>
        </is>
      </c>
      <c r="P5" t="inlineStr">
        <is>
          <t>Jawa Barat</t>
        </is>
      </c>
      <c r="Q5" t="inlineStr"/>
    </row>
    <row r="6">
      <c r="A6" t="inlineStr">
        <is>
          <t>ANUGRAH ANANDA</t>
        </is>
      </c>
      <c r="B6" t="inlineStr">
        <is>
          <t>Kab. Bekasi</t>
        </is>
      </c>
      <c r="C6" t="inlineStr">
        <is>
          <t>0895372219444</t>
        </is>
      </c>
      <c r="D6" t="inlineStr">
        <is>
          <t>anugrahananda@emailsaya.com</t>
        </is>
      </c>
      <c r="E6" t="inlineStr">
        <is>
          <t>https://lpjk.pu.go.id/search-badan-usaha-detail/aGVxYjFjSFdub3VJZXB3UWsyRmRiQT09</t>
        </is>
      </c>
      <c r="F6" t="n">
        <v>2</v>
      </c>
      <c r="G6" t="inlineStr">
        <is>
          <t>BS004</t>
        </is>
      </c>
      <c r="H6" t="inlineStr">
        <is>
          <t>20 September 2002</t>
        </is>
      </c>
      <c r="I6" s="2" t="n">
        <v>46313</v>
      </c>
      <c r="J6" t="inlineStr">
        <is>
          <t>Disetujui</t>
        </is>
      </c>
      <c r="K6" t="n">
        <v>30</v>
      </c>
      <c r="L6" t="inlineStr">
        <is>
          <t>18 Oktober 2026</t>
        </is>
      </c>
      <c r="M6" t="inlineStr">
        <is>
          <t>Konstruksi Jaringan Irigasi dan Drainase</t>
        </is>
      </c>
      <c r="N6" t="inlineStr">
        <is>
          <t>K</t>
        </is>
      </c>
      <c r="O6" t="inlineStr">
        <is>
          <t>20231017</t>
        </is>
      </c>
      <c r="P6" t="inlineStr">
        <is>
          <t>Jawa Barat</t>
        </is>
      </c>
      <c r="Q6" s="3">
        <f>HYPERLINK("https://wa.me/62895372219444?text=*[Pengingat Masa Berlaku SBU ANUGRAH ANANDA]*%0A%0AYth. Pimpinan ANUGRAH ANANDA,%0AMohon izin menginformasikan status SBU Anda:%0A%0A📄 SBU: BS004%0A📅 Expired: 18 Oktober 2026 (30 Hari Lagi)%0A%0AKami tim PT. ESDEA Assistance Management siap men-support proses perpanjangan segera agar administrasi proyek tidak terhambat%0A%0AApakah boleh saya bantu siapkan estimasi biaya dan waktu pengerjaannya?.", "Hubungi")</f>
        <v/>
      </c>
    </row>
    <row r="7">
      <c r="A7" t="inlineStr">
        <is>
          <t>ARIZNA JAYA</t>
        </is>
      </c>
      <c r="B7" t="inlineStr">
        <is>
          <t>Kota Depok</t>
        </is>
      </c>
      <c r="C7" t="inlineStr">
        <is>
          <t>081210066953</t>
        </is>
      </c>
      <c r="D7" t="inlineStr">
        <is>
          <t>jayaarizna@gmail.com</t>
        </is>
      </c>
      <c r="E7" t="inlineStr">
        <is>
          <t>https://lpjk.pu.go.id/search-badan-usaha-detail/YS9MMFJncGdZRWhEVEZCREgyKzZwUT09</t>
        </is>
      </c>
      <c r="F7" t="n">
        <v>2</v>
      </c>
      <c r="G7" t="inlineStr">
        <is>
          <t>BS001, BS004</t>
        </is>
      </c>
      <c r="H7" t="inlineStr">
        <is>
          <t>16 Oktober 2017</t>
        </is>
      </c>
      <c r="I7" s="2" t="n">
        <v>46313</v>
      </c>
      <c r="J7" t="inlineStr">
        <is>
          <t>Disetujui</t>
        </is>
      </c>
      <c r="K7" t="n">
        <v>30</v>
      </c>
      <c r="L7" t="inlineStr">
        <is>
          <t>18 Oktober 2026</t>
        </is>
      </c>
      <c r="M7" t="inlineStr">
        <is>
          <t>Konstruksi Bangunan Sipil Jalan, Konstruksi Jaringan Irigasi dan Drainase</t>
        </is>
      </c>
      <c r="N7" t="inlineStr">
        <is>
          <t>K</t>
        </is>
      </c>
      <c r="O7" t="inlineStr">
        <is>
          <t>20231008</t>
        </is>
      </c>
      <c r="P7" t="inlineStr">
        <is>
          <t>Jawa Barat</t>
        </is>
      </c>
      <c r="Q7" s="3">
        <f>HYPERLINK("https://wa.me/6281210066953?text=*[Pengingat Masa Berlaku SBU ARIZNA JAYA]*%0A%0AYth. Pimpinan ARIZNA JAYA,%0AMohon izin menginformasikan status SBU Anda:%0A%0A📄 SBU: BS001, BS004%0A📅 Expired: 18 Oktober 2026 (30 Hari Lagi)%0A%0AKami tim PT. ESDEA Assistance Management siap men-support proses perpanjangan segera agar administrasi proyek tidak terhambat%0A%0AApakah boleh saya bantu siapkan estimasi biaya dan waktu pengerjaannya?.", "Hubungi")</f>
        <v/>
      </c>
    </row>
    <row r="8">
      <c r="A8" t="inlineStr">
        <is>
          <t>BANGUN SUKSES BERKEMBANG</t>
        </is>
      </c>
      <c r="B8" t="inlineStr">
        <is>
          <t>Kab. Bekasi</t>
        </is>
      </c>
      <c r="C8" t="inlineStr">
        <is>
          <t>081386206879</t>
        </is>
      </c>
      <c r="D8" t="inlineStr">
        <is>
          <t>cvbangunsuksesberkembang@gmail.com</t>
        </is>
      </c>
      <c r="E8" t="inlineStr">
        <is>
          <t>https://lpjk.pu.go.id/search-badan-usaha-detail/VmF5QllQemJLK0pTSzhQNDB3cnJLZz09</t>
        </is>
      </c>
      <c r="F8" t="n">
        <v>2</v>
      </c>
      <c r="G8" t="inlineStr">
        <is>
          <t>BG006, BG009</t>
        </is>
      </c>
      <c r="H8" t="inlineStr">
        <is>
          <t>6 September 2023</t>
        </is>
      </c>
      <c r="I8" s="2" t="n">
        <v>46313</v>
      </c>
      <c r="J8" t="inlineStr">
        <is>
          <t>Disetujui</t>
        </is>
      </c>
      <c r="K8" t="n">
        <v>30</v>
      </c>
      <c r="L8" t="inlineStr">
        <is>
          <t>18 Oktober 2026</t>
        </is>
      </c>
      <c r="M8" t="inlineStr">
        <is>
          <t>Konstruksi Gedung Lainnya, Konstruksi Gedung Pendidikan</t>
        </is>
      </c>
      <c r="N8" t="inlineStr">
        <is>
          <t>K</t>
        </is>
      </c>
      <c r="O8" t="inlineStr">
        <is>
          <t>20231016</t>
        </is>
      </c>
      <c r="P8" t="inlineStr">
        <is>
          <t>Jawa Barat</t>
        </is>
      </c>
      <c r="Q8" s="3">
        <f>HYPERLINK("https://wa.me/6281386206879?text=*[Pengingat Masa Berlaku SBU BANGUN SUKSES BERKEMBANG]*%0A%0AYth. Pimpinan BANGUN SUKSES BERKEMBANG,%0AMohon izin menginformasikan status SBU Anda:%0A%0A📄 SBU: BG006, BG009%0A📅 Expired: 18 Oktober 2026 (30 Hari Lagi)%0A%0AKami tim PT. ESDEA Assistance Management siap men-support proses perpanjangan segera agar administrasi proyek tidak terhambat%0A%0AApakah boleh saya bantu siapkan estimasi biaya dan waktu pengerjaannya?.", "Hubungi")</f>
        <v/>
      </c>
    </row>
    <row r="9">
      <c r="A9" t="inlineStr">
        <is>
          <t>GUNUNG NUSANTARA</t>
        </is>
      </c>
      <c r="B9" t="inlineStr">
        <is>
          <t>Kab. Bekasi</t>
        </is>
      </c>
      <c r="C9" t="inlineStr">
        <is>
          <t>081317107329</t>
        </is>
      </c>
      <c r="D9" t="inlineStr">
        <is>
          <t>cv.gunungnusantara@gmail.com</t>
        </is>
      </c>
      <c r="E9" t="inlineStr">
        <is>
          <t>https://lpjk.pu.go.id/search-badan-usaha-detail/cm80VUloSW5ndldVQVNOOS9JQzVpdz09</t>
        </is>
      </c>
      <c r="F9" t="n">
        <v>2</v>
      </c>
      <c r="G9" t="inlineStr">
        <is>
          <t>BS001, BS004</t>
        </is>
      </c>
      <c r="H9" t="inlineStr">
        <is>
          <t>7 Mei 2021</t>
        </is>
      </c>
      <c r="I9" s="2" t="n">
        <v>46313</v>
      </c>
      <c r="J9" t="inlineStr">
        <is>
          <t>Disetujui</t>
        </is>
      </c>
      <c r="K9" t="n">
        <v>30</v>
      </c>
      <c r="L9" t="inlineStr">
        <is>
          <t>18 Oktober 2026</t>
        </is>
      </c>
      <c r="M9" t="inlineStr">
        <is>
          <t>Konstruksi Bangunan Sipil Jalan, Konstruksi Jaringan Irigasi dan Drainase</t>
        </is>
      </c>
      <c r="N9" t="inlineStr">
        <is>
          <t>K</t>
        </is>
      </c>
      <c r="O9" t="inlineStr">
        <is>
          <t>20231016</t>
        </is>
      </c>
      <c r="P9" t="inlineStr">
        <is>
          <t>Jawa Barat</t>
        </is>
      </c>
      <c r="Q9" s="3">
        <f>HYPERLINK("https://wa.me/6281317107329?text=*[Pengingat Masa Berlaku SBU GUNUNG NUSANTARA]*%0A%0AYth. Pimpinan GUNUNG NUSANTARA,%0AMohon izin menginformasikan status SBU Anda:%0A%0A📄 SBU: BS001, BS004%0A📅 Expired: 18 Oktober 2026 (30 Hari Lagi)%0A%0AKami tim PT. ESDEA Assistance Management siap men-support proses perpanjangan segera agar administrasi proyek tidak terhambat%0A%0AApakah boleh saya bantu siapkan estimasi biaya dan waktu pengerjaannya?.", "Hubungi")</f>
        <v/>
      </c>
    </row>
    <row r="10">
      <c r="A10" t="inlineStr">
        <is>
          <t>HANDA TEKNOLOGI INDONESIA</t>
        </is>
      </c>
      <c r="B10" t="inlineStr">
        <is>
          <t>Kota Adm. Jakarta Timur</t>
        </is>
      </c>
      <c r="C10" t="inlineStr">
        <is>
          <t>02122096645</t>
        </is>
      </c>
      <c r="D10" t="inlineStr">
        <is>
          <t>business.development@handateknologi.com</t>
        </is>
      </c>
      <c r="E10" t="inlineStr">
        <is>
          <t>https://lpjk.pu.go.id/search-badan-usaha-detail/UncraERFT0FWTFhPOTk1YWNXUWZhQT09</t>
        </is>
      </c>
      <c r="F10" t="n">
        <v>2</v>
      </c>
      <c r="G10" t="inlineStr">
        <is>
          <t>BG003, BG009</t>
        </is>
      </c>
      <c r="H10" t="inlineStr">
        <is>
          <t>19 April 2013</t>
        </is>
      </c>
      <c r="I10" s="2" t="n">
        <v>46313</v>
      </c>
      <c r="J10" t="inlineStr">
        <is>
          <t>Disetujui</t>
        </is>
      </c>
      <c r="K10" t="n">
        <v>30</v>
      </c>
      <c r="L10" t="inlineStr">
        <is>
          <t>18 Oktober 2026</t>
        </is>
      </c>
      <c r="M10" t="inlineStr">
        <is>
          <t>Konstruksi Gedung Industri, Konstruksi Gedung Lainnya</t>
        </is>
      </c>
      <c r="N10" t="inlineStr">
        <is>
          <t>K</t>
        </is>
      </c>
      <c r="O10" t="inlineStr">
        <is>
          <t>20231009, 20231014</t>
        </is>
      </c>
      <c r="P10" t="inlineStr">
        <is>
          <t>DKI Jakarta</t>
        </is>
      </c>
      <c r="Q10" t="inlineStr"/>
    </row>
    <row r="11">
      <c r="A11" t="inlineStr">
        <is>
          <t>HASTA DAYA LESTARI</t>
        </is>
      </c>
      <c r="B11" t="inlineStr">
        <is>
          <t>Kota Adm. Jakarta Timur</t>
        </is>
      </c>
      <c r="C11" t="inlineStr">
        <is>
          <t>0218609842</t>
        </is>
      </c>
      <c r="D11" t="inlineStr">
        <is>
          <t>pt.hastadayalestari@gmail.com</t>
        </is>
      </c>
      <c r="E11" t="inlineStr">
        <is>
          <t>https://lpjk.pu.go.id/search-badan-usaha-detail/UWl0dmFzQjZyTWlMd09FQVRWeVhRQT09</t>
        </is>
      </c>
      <c r="F11" t="n">
        <v>2</v>
      </c>
      <c r="G11" t="inlineStr">
        <is>
          <t>PL003, PL004</t>
        </is>
      </c>
      <c r="H11" t="inlineStr">
        <is>
          <t>10 November 2008</t>
        </is>
      </c>
      <c r="I11" s="2" t="n">
        <v>46313</v>
      </c>
      <c r="J11" t="inlineStr">
        <is>
          <t>Disetujui</t>
        </is>
      </c>
      <c r="K11" t="n">
        <v>30</v>
      </c>
      <c r="L11" t="inlineStr">
        <is>
          <t>18 Oktober 2026</t>
        </is>
      </c>
      <c r="M11" t="inlineStr">
        <is>
          <t>Pekerjaan Tanah, Penyiapan Lahan Konstruksi</t>
        </is>
      </c>
      <c r="N11" t="inlineStr">
        <is>
          <t>Spesialis</t>
        </is>
      </c>
      <c r="O11" t="inlineStr">
        <is>
          <t>20231010</t>
        </is>
      </c>
      <c r="P11" t="inlineStr">
        <is>
          <t>DKI Jakarta</t>
        </is>
      </c>
      <c r="Q11" t="inlineStr"/>
    </row>
    <row r="12">
      <c r="A12" t="inlineStr">
        <is>
          <t>KEIRA SURYA KENCANA</t>
        </is>
      </c>
      <c r="B12" t="inlineStr">
        <is>
          <t>Kota Bekasi</t>
        </is>
      </c>
      <c r="C12" t="inlineStr">
        <is>
          <t>02129489709</t>
        </is>
      </c>
      <c r="D12" t="inlineStr">
        <is>
          <t>keirasuryakencana@gmail.com</t>
        </is>
      </c>
      <c r="E12" t="inlineStr">
        <is>
          <t>https://lpjk.pu.go.id/search-badan-usaha-detail/RmZkbFl1bkxLQm5ZQVN2KzRSaktPQT09</t>
        </is>
      </c>
      <c r="F12" t="n">
        <v>1</v>
      </c>
      <c r="G12" t="inlineStr">
        <is>
          <t>BS008</t>
        </is>
      </c>
      <c r="H12" t="inlineStr">
        <is>
          <t>24 Februari 2016</t>
        </is>
      </c>
      <c r="I12" s="2" t="n">
        <v>46313</v>
      </c>
      <c r="J12" t="inlineStr">
        <is>
          <t>Disetujui</t>
        </is>
      </c>
      <c r="K12" t="n">
        <v>30</v>
      </c>
      <c r="L12" t="inlineStr">
        <is>
          <t>18 Oktober 2026</t>
        </is>
      </c>
      <c r="M12" t="inlineStr">
        <is>
          <t>Konstruksi Bangunan Sipil Telekomunikasi untuk Prasarana Transportasi</t>
        </is>
      </c>
      <c r="N12" t="inlineStr">
        <is>
          <t>K</t>
        </is>
      </c>
      <c r="O12" t="inlineStr">
        <is>
          <t>20231016</t>
        </is>
      </c>
      <c r="P12" t="inlineStr">
        <is>
          <t>Jawa Barat</t>
        </is>
      </c>
      <c r="Q12" t="inlineStr"/>
    </row>
    <row r="13">
      <c r="A13" t="inlineStr">
        <is>
          <t>NAYAKA WISHAKA ADHINATHA</t>
        </is>
      </c>
      <c r="B13" t="inlineStr">
        <is>
          <t>Kota Adm. Jakarta Timur</t>
        </is>
      </c>
      <c r="C13" t="inlineStr">
        <is>
          <t>08122232356</t>
        </is>
      </c>
      <c r="D13" t="inlineStr">
        <is>
          <t>pt.nayakawhisakaadhinatha@gmail.com</t>
        </is>
      </c>
      <c r="E13" t="inlineStr">
        <is>
          <t>https://lpjk.pu.go.id/search-badan-usaha-detail/a0prVGNranJPL0o1Z2JZY09vM1IzUT09</t>
        </is>
      </c>
      <c r="F13" t="n">
        <v>1</v>
      </c>
      <c r="G13" t="inlineStr">
        <is>
          <t>BS002</t>
        </is>
      </c>
      <c r="H13" t="inlineStr">
        <is>
          <t>6 Januari 2022</t>
        </is>
      </c>
      <c r="I13" s="2" t="n">
        <v>46313</v>
      </c>
      <c r="J13" t="inlineStr">
        <is>
          <t>Disetujui</t>
        </is>
      </c>
      <c r="K13" t="n">
        <v>30</v>
      </c>
      <c r="L13" t="inlineStr">
        <is>
          <t>18 Oktober 2026</t>
        </is>
      </c>
      <c r="M13" t="inlineStr">
        <is>
          <t>Bangunan Sipil Jembatan, Jalan Layang, Fly Over, dan Underpass</t>
        </is>
      </c>
      <c r="N13" t="inlineStr">
        <is>
          <t>K</t>
        </is>
      </c>
      <c r="O13" t="inlineStr">
        <is>
          <t>20231013</t>
        </is>
      </c>
      <c r="P13" t="inlineStr">
        <is>
          <t>DKI Jakarta</t>
        </is>
      </c>
      <c r="Q13" s="3">
        <f>HYPERLINK("https://wa.me/628122232356?text=*[Pengingat Masa Berlaku SBU NAYAKA WISHAKA ADHINATHA]*%0A%0AYth. Pimpinan NAYAKA WISHAKA ADHINATHA,%0AMohon izin menginformasikan status SBU Anda:%0A%0A📄 SBU: BS002%0A📅 Expired: 18 Oktober 2026 (30 Hari Lagi)%0A%0AKami tim PT. ESDEA Assistance Management siap men-support proses perpanjangan segera agar administrasi proyek tidak terhambat%0A%0AApakah boleh saya bantu siapkan estimasi biaya dan waktu pengerjaannya?.", "Hubungi")</f>
        <v/>
      </c>
    </row>
    <row r="14">
      <c r="A14" t="inlineStr">
        <is>
          <t>NUR ABADI PERKASA</t>
        </is>
      </c>
      <c r="B14" t="inlineStr">
        <is>
          <t>Kota Bekasi</t>
        </is>
      </c>
      <c r="C14" t="inlineStr">
        <is>
          <t>081285814912</t>
        </is>
      </c>
      <c r="D14" t="inlineStr">
        <is>
          <t>nurabadiperkasa@gmail.com</t>
        </is>
      </c>
      <c r="E14" t="inlineStr">
        <is>
          <t>https://lpjk.pu.go.id/search-badan-usaha-detail/N3FlSGdENGlaRjFjWHMwTXplZDRXdz09</t>
        </is>
      </c>
      <c r="F14" t="n">
        <v>2</v>
      </c>
      <c r="G14" t="inlineStr">
        <is>
          <t>BS001, BS004</t>
        </is>
      </c>
      <c r="H14" t="inlineStr">
        <is>
          <t>23 Januari 2020</t>
        </is>
      </c>
      <c r="I14" s="2" t="n">
        <v>46313</v>
      </c>
      <c r="J14" t="inlineStr">
        <is>
          <t>Disetujui</t>
        </is>
      </c>
      <c r="K14" t="n">
        <v>30</v>
      </c>
      <c r="L14" t="inlineStr">
        <is>
          <t>18 Oktober 2026</t>
        </is>
      </c>
      <c r="M14" t="inlineStr">
        <is>
          <t>Konstruksi Bangunan Sipil Jalan, Konstruksi Jaringan Irigasi dan Drainase</t>
        </is>
      </c>
      <c r="N14" t="inlineStr">
        <is>
          <t>K</t>
        </is>
      </c>
      <c r="O14" t="inlineStr">
        <is>
          <t>20231011, 20231019</t>
        </is>
      </c>
      <c r="P14" t="inlineStr">
        <is>
          <t>Jawa Barat</t>
        </is>
      </c>
      <c r="Q14" s="3">
        <f>HYPERLINK("https://wa.me/6281285814912?text=*[Pengingat Masa Berlaku SBU NUR ABADI PERKASA]*%0A%0AYth. Pimpinan NUR ABADI PERKASA,%0AMohon izin menginformasikan status SBU Anda:%0A%0A📄 SBU: BS001, BS004%0A📅 Expired: 18 Oktober 2026 (30 Hari Lagi)%0A%0AKami tim PT. ESDEA Assistance Management siap men-support proses perpanjangan segera agar administrasi proyek tidak terhambat%0A%0AApakah boleh saya bantu siapkan estimasi biaya dan waktu pengerjaannya?.", "Hubungi")</f>
        <v/>
      </c>
    </row>
    <row r="15">
      <c r="A15" t="inlineStr">
        <is>
          <t>RAYA JAYA ABADI</t>
        </is>
      </c>
      <c r="B15" t="inlineStr">
        <is>
          <t>Kota Bogor</t>
        </is>
      </c>
      <c r="C15" t="inlineStr">
        <is>
          <t>087711036880</t>
        </is>
      </c>
      <c r="D15" t="inlineStr">
        <is>
          <t>radenalpim@gmail.com</t>
        </is>
      </c>
      <c r="E15" t="inlineStr">
        <is>
          <t>https://lpjk.pu.go.id/search-badan-usaha-detail/VzN2bjl3NFVaUzM1Q3hTTGk2VzVpZz09</t>
        </is>
      </c>
      <c r="F15" t="n">
        <v>1</v>
      </c>
      <c r="G15" t="inlineStr">
        <is>
          <t>BG003</t>
        </is>
      </c>
      <c r="H15" t="inlineStr">
        <is>
          <t>1 Desember 2011</t>
        </is>
      </c>
      <c r="I15" s="2" t="n">
        <v>46313</v>
      </c>
      <c r="J15" t="inlineStr">
        <is>
          <t>Disetujui</t>
        </is>
      </c>
      <c r="K15" t="n">
        <v>30</v>
      </c>
      <c r="L15" t="inlineStr">
        <is>
          <t>18 Oktober 2026</t>
        </is>
      </c>
      <c r="M15" t="inlineStr">
        <is>
          <t>Konstruksi Gedung Industri</t>
        </is>
      </c>
      <c r="N15" t="inlineStr">
        <is>
          <t>K</t>
        </is>
      </c>
      <c r="O15" t="inlineStr">
        <is>
          <t>20231018</t>
        </is>
      </c>
      <c r="P15" t="inlineStr">
        <is>
          <t>Jawa Barat</t>
        </is>
      </c>
      <c r="Q15" s="3">
        <f>HYPERLINK("https://wa.me/6287711036880?text=*[Pengingat Masa Berlaku SBU RAYA JAYA ABADI]*%0A%0AYth. Pimpinan RAYA JAYA ABADI,%0AMohon izin menginformasikan status SBU Anda:%0A%0A📄 SBU: BG003%0A📅 Expired: 18 Oktober 2026 (30 Hari Lagi)%0A%0AKami tim PT. ESDEA Assistance Management siap men-support proses perpanjangan segera agar administrasi proyek tidak terhambat%0A%0AApakah boleh saya bantu siapkan estimasi biaya dan waktu pengerjaannya?.", "Hubungi")</f>
        <v/>
      </c>
    </row>
    <row r="16">
      <c r="A16" t="inlineStr">
        <is>
          <t>ABDI MULYA</t>
        </is>
      </c>
      <c r="B16" t="inlineStr">
        <is>
          <t>Kab. Tulungagung</t>
        </is>
      </c>
      <c r="C16" t="inlineStr">
        <is>
          <t>081335714899</t>
        </is>
      </c>
      <c r="D16" t="inlineStr">
        <is>
          <t>abdimulya_cv@yahoo.co.id</t>
        </is>
      </c>
      <c r="E16" t="inlineStr">
        <is>
          <t>https://lpjk.pu.go.id/search-badan-usaha-detail/U1Jkb09CUzRBV0QrbDRKdUNIN2paQT09</t>
        </is>
      </c>
      <c r="F16" t="n">
        <v>3</v>
      </c>
      <c r="G16" t="inlineStr">
        <is>
          <t>BG005, BG006, BG009</t>
        </is>
      </c>
      <c r="H16" t="inlineStr">
        <is>
          <t>27 November 1995</t>
        </is>
      </c>
      <c r="I16" s="2" t="n">
        <v>46313</v>
      </c>
      <c r="J16" t="inlineStr">
        <is>
          <t>Disetujui</t>
        </is>
      </c>
      <c r="K16" t="n">
        <v>30</v>
      </c>
      <c r="L16" t="inlineStr">
        <is>
          <t>18 Oktober 2026</t>
        </is>
      </c>
      <c r="M16" t="inlineStr">
        <is>
          <t>Konstruksi Gedung Kesehatan, Konstruksi Gedung Lainnya, Konstruksi Gedung Pendidikan</t>
        </is>
      </c>
      <c r="N16" t="inlineStr">
        <is>
          <t>K</t>
        </is>
      </c>
      <c r="O16" t="inlineStr">
        <is>
          <t>20231006, 20231010</t>
        </is>
      </c>
      <c r="P16" t="inlineStr">
        <is>
          <t>Jawa Timur</t>
        </is>
      </c>
      <c r="Q16" t="inlineStr"/>
    </row>
    <row r="17">
      <c r="A17" t="inlineStr">
        <is>
          <t>ADHIGANA JAYA SENTOSA</t>
        </is>
      </c>
      <c r="B17" t="inlineStr">
        <is>
          <t>Kota Tangerang Selatan</t>
        </is>
      </c>
      <c r="C17" t="inlineStr">
        <is>
          <t>02129030548</t>
        </is>
      </c>
      <c r="D17" t="inlineStr">
        <is>
          <t>adhigana.jaya.sentosa@gmail.com</t>
        </is>
      </c>
      <c r="E17" t="inlineStr">
        <is>
          <t>https://lpjk.pu.go.id/search-badan-usaha-detail/M01KWTREOGQvaEhGbHU5elkwaTZuQT09</t>
        </is>
      </c>
      <c r="F17" t="n">
        <v>10</v>
      </c>
      <c r="G17" t="inlineStr">
        <is>
          <t>BG001, BG002, BG003, BG005, BS001</t>
        </is>
      </c>
      <c r="H17" t="inlineStr">
        <is>
          <t>8 Desember 2014</t>
        </is>
      </c>
      <c r="I17" s="2" t="n">
        <v>46313</v>
      </c>
      <c r="J17" t="inlineStr">
        <is>
          <t>Disetujui</t>
        </is>
      </c>
      <c r="K17" t="n">
        <v>30</v>
      </c>
      <c r="L17" t="inlineStr">
        <is>
          <t>18 Oktober 2026</t>
        </is>
      </c>
      <c r="M17" t="inlineStr">
        <is>
          <t>Konstruksi Bangunan Sipil Jalan, Konstruksi Gedung Hunian, Konstruksi Gedung Industri, Konstruksi Gedung Kesehatan, Konstruksi Gedung Perkantoran</t>
        </is>
      </c>
      <c r="N17" t="inlineStr">
        <is>
          <t>K</t>
        </is>
      </c>
      <c r="O17" t="inlineStr">
        <is>
          <t>20230410, 20231011</t>
        </is>
      </c>
      <c r="P17" t="inlineStr">
        <is>
          <t>Banten</t>
        </is>
      </c>
      <c r="Q17" t="inlineStr"/>
    </row>
    <row r="18">
      <c r="A18" t="inlineStr">
        <is>
          <t>ADHIKARI RAYA</t>
        </is>
      </c>
      <c r="B18" t="inlineStr">
        <is>
          <t>Kab. Jember</t>
        </is>
      </c>
      <c r="C18" t="inlineStr">
        <is>
          <t>081332370919</t>
        </is>
      </c>
      <c r="D18" t="inlineStr">
        <is>
          <t>cv.adhikariraya@gmail.com</t>
        </is>
      </c>
      <c r="E18" t="inlineStr">
        <is>
          <t>https://lpjk.pu.go.id/search-badan-usaha-detail/MlJFRDVXak4xeXNYM3psMzlVVDFJZz09</t>
        </is>
      </c>
      <c r="F18" t="n">
        <v>2</v>
      </c>
      <c r="G18" t="inlineStr">
        <is>
          <t>BG009</t>
        </is>
      </c>
      <c r="H18" t="inlineStr">
        <is>
          <t>14 Desember 2022</t>
        </is>
      </c>
      <c r="I18" s="2" t="n">
        <v>46313</v>
      </c>
      <c r="J18" t="inlineStr">
        <is>
          <t>Disetujui</t>
        </is>
      </c>
      <c r="K18" t="n">
        <v>30</v>
      </c>
      <c r="L18" t="inlineStr">
        <is>
          <t>18 Oktober 2026</t>
        </is>
      </c>
      <c r="M18" t="inlineStr">
        <is>
          <t>Konstruksi Gedung Lainnya</t>
        </is>
      </c>
      <c r="N18" t="inlineStr">
        <is>
          <t>K</t>
        </is>
      </c>
      <c r="O18" t="inlineStr">
        <is>
          <t>20231018</t>
        </is>
      </c>
      <c r="P18" t="inlineStr">
        <is>
          <t>Jawa Timur</t>
        </is>
      </c>
      <c r="Q18" t="inlineStr"/>
    </row>
    <row r="19">
      <c r="A19" t="inlineStr">
        <is>
          <t>ADI PUTRA</t>
        </is>
      </c>
      <c r="B19" t="inlineStr">
        <is>
          <t>Kab. Buleleng</t>
        </is>
      </c>
      <c r="C19" t="inlineStr">
        <is>
          <t>087804639859</t>
        </is>
      </c>
      <c r="D19" t="inlineStr">
        <is>
          <t>cv.adiputra@gmail.com</t>
        </is>
      </c>
      <c r="E19" t="inlineStr">
        <is>
          <t>https://lpjk.pu.go.id/search-badan-usaha-detail/YUJ3WFBjaDBiS1NVZElxMFJiU0dzdz09</t>
        </is>
      </c>
      <c r="F19" t="n">
        <v>3</v>
      </c>
      <c r="G19" t="inlineStr">
        <is>
          <t>BG005, BG006, BG009</t>
        </is>
      </c>
      <c r="H19" t="inlineStr">
        <is>
          <t>16 Mei 2000</t>
        </is>
      </c>
      <c r="I19" s="2" t="n">
        <v>46313</v>
      </c>
      <c r="J19" t="inlineStr">
        <is>
          <t>Disetujui</t>
        </is>
      </c>
      <c r="K19" t="n">
        <v>30</v>
      </c>
      <c r="L19" t="inlineStr">
        <is>
          <t>18 Oktober 2026</t>
        </is>
      </c>
      <c r="M19" t="inlineStr">
        <is>
          <t>Konstruksi Gedung Kesehatan, Konstruksi Gedung Lainnya, Konstruksi Gedung Pendidikan</t>
        </is>
      </c>
      <c r="N19" t="inlineStr">
        <is>
          <t>K</t>
        </is>
      </c>
      <c r="O19" t="inlineStr">
        <is>
          <t>20231011</t>
        </is>
      </c>
      <c r="P19" t="inlineStr">
        <is>
          <t>Bali</t>
        </is>
      </c>
      <c r="Q19" t="inlineStr"/>
    </row>
    <row r="20">
      <c r="A20" t="inlineStr">
        <is>
          <t>ADJI MERTHA KARYA</t>
        </is>
      </c>
      <c r="B20" t="inlineStr">
        <is>
          <t>Kab. Pasuruan</t>
        </is>
      </c>
      <c r="C20" t="inlineStr">
        <is>
          <t>08125297937</t>
        </is>
      </c>
      <c r="D20" t="inlineStr">
        <is>
          <t>ajimerthakarya@gmail.com</t>
        </is>
      </c>
      <c r="E20" t="inlineStr">
        <is>
          <t>https://lpjk.pu.go.id/search-badan-usaha-detail/S1pYbHZXWElhVkoxdkxvOGI2anRlQT09</t>
        </is>
      </c>
      <c r="F20" t="n">
        <v>1</v>
      </c>
      <c r="G20" t="inlineStr">
        <is>
          <t>BS001</t>
        </is>
      </c>
      <c r="H20" t="inlineStr">
        <is>
          <t>6 Agustus 1982</t>
        </is>
      </c>
      <c r="I20" s="2" t="n">
        <v>46313</v>
      </c>
      <c r="J20" t="inlineStr">
        <is>
          <t>Disetujui</t>
        </is>
      </c>
      <c r="K20" t="n">
        <v>30</v>
      </c>
      <c r="L20" t="inlineStr">
        <is>
          <t>18 Oktober 2026</t>
        </is>
      </c>
      <c r="M20" t="inlineStr">
        <is>
          <t>Konstruksi Bangunan Sipil Jalan</t>
        </is>
      </c>
      <c r="N20" t="inlineStr">
        <is>
          <t>K</t>
        </is>
      </c>
      <c r="O20" t="inlineStr">
        <is>
          <t>20231006</t>
        </is>
      </c>
      <c r="P20" t="inlineStr">
        <is>
          <t>Jawa Timur</t>
        </is>
      </c>
      <c r="Q20" t="inlineStr"/>
    </row>
    <row r="21">
      <c r="A21" t="inlineStr">
        <is>
          <t>ADYATMA MAJU BERSAMA</t>
        </is>
      </c>
      <c r="B21" t="inlineStr">
        <is>
          <t>Kab. Lombok Barat</t>
        </is>
      </c>
      <c r="C21" t="inlineStr">
        <is>
          <t>081917449874</t>
        </is>
      </c>
      <c r="D21" t="inlineStr">
        <is>
          <t>junaidi79008@gmail.com</t>
        </is>
      </c>
      <c r="E21" t="inlineStr">
        <is>
          <t>https://lpjk.pu.go.id/search-badan-usaha-detail/WG9IWlZSWHJCUGVkR2dkREtwK1VzUT09</t>
        </is>
      </c>
      <c r="F21" t="n">
        <v>2</v>
      </c>
      <c r="G21" t="inlineStr">
        <is>
          <t>RK002</t>
        </is>
      </c>
      <c r="H21" t="inlineStr">
        <is>
          <t>27 Agustus 2012</t>
        </is>
      </c>
      <c r="I21" s="2" t="n">
        <v>46313</v>
      </c>
      <c r="J21" t="inlineStr">
        <is>
          <t>Disetujui</t>
        </is>
      </c>
      <c r="K21" t="n">
        <v>30</v>
      </c>
      <c r="L21" t="inlineStr">
        <is>
          <t>18 Oktober 2026</t>
        </is>
      </c>
      <c r="M21" t="inlineStr">
        <is>
          <t>Jasa Rekayasa Pekerjaan Teknik Sipil Sumber Daya Air</t>
        </is>
      </c>
      <c r="N21" t="inlineStr">
        <is>
          <t>K</t>
        </is>
      </c>
      <c r="O21" t="inlineStr">
        <is>
          <t>20230914</t>
        </is>
      </c>
      <c r="P21" t="inlineStr">
        <is>
          <t>Nusa Tenggara Barat</t>
        </is>
      </c>
      <c r="Q21" t="inlineStr"/>
    </row>
    <row r="22">
      <c r="A22" t="inlineStr">
        <is>
          <t>ALFA QAYS PERDANA</t>
        </is>
      </c>
      <c r="B22" t="inlineStr">
        <is>
          <t>Kab. Bengkayang</t>
        </is>
      </c>
      <c r="C22" t="inlineStr">
        <is>
          <t>082252338328</t>
        </is>
      </c>
      <c r="D22" t="inlineStr">
        <is>
          <t>alfaqaysperdana21@gmail.com</t>
        </is>
      </c>
      <c r="E22" t="inlineStr">
        <is>
          <t>https://lpjk.pu.go.id/search-badan-usaha-detail/ZjlBWHpNR3lFTkl6aUllQ0tzK2VHZz09</t>
        </is>
      </c>
      <c r="F22" t="n">
        <v>1</v>
      </c>
      <c r="G22" t="inlineStr">
        <is>
          <t>BS010</t>
        </is>
      </c>
      <c r="H22" t="inlineStr">
        <is>
          <t>12 Januari 2023</t>
        </is>
      </c>
      <c r="I22" s="2" t="n">
        <v>46313</v>
      </c>
      <c r="J22" t="inlineStr">
        <is>
          <t>Pencabutan</t>
        </is>
      </c>
      <c r="K22" t="n">
        <v>30</v>
      </c>
      <c r="L22" t="inlineStr">
        <is>
          <t>18 Oktober 2026</t>
        </is>
      </c>
      <c r="M22" t="inlineStr">
        <is>
          <t>Konstruksi Bangunan Prasarana Sumber Daya Air</t>
        </is>
      </c>
      <c r="N22" t="inlineStr">
        <is>
          <t>K</t>
        </is>
      </c>
      <c r="O22" t="inlineStr">
        <is>
          <t>20230129</t>
        </is>
      </c>
      <c r="P22" t="inlineStr">
        <is>
          <t>Kalimantan Barat</t>
        </is>
      </c>
      <c r="Q22" t="inlineStr"/>
    </row>
    <row r="23">
      <c r="A23" t="inlineStr">
        <is>
          <t>ALURA CONSULTING ENGINEERS</t>
        </is>
      </c>
      <c r="B23" t="inlineStr">
        <is>
          <t>Kab. Kutai Kartanegara</t>
        </is>
      </c>
      <c r="C23" t="inlineStr">
        <is>
          <t>081253379988</t>
        </is>
      </c>
      <c r="D23" t="inlineStr">
        <is>
          <t>cv.aluraconsultingengineers@gmail.com</t>
        </is>
      </c>
      <c r="E23" t="inlineStr">
        <is>
          <t>https://lpjk.pu.go.id/search-badan-usaha-detail/Z1R6VGd2bFpVOGw3bGxzSzZleHAwQT09</t>
        </is>
      </c>
      <c r="F23" t="n">
        <v>2</v>
      </c>
      <c r="G23" t="inlineStr">
        <is>
          <t>RK001, RK003</t>
        </is>
      </c>
      <c r="H23" t="inlineStr">
        <is>
          <t>5 September 2023</t>
        </is>
      </c>
      <c r="I23" s="2" t="n">
        <v>46313</v>
      </c>
      <c r="J23" t="inlineStr">
        <is>
          <t>Disetujui</t>
        </is>
      </c>
      <c r="K23" t="n">
        <v>30</v>
      </c>
      <c r="L23" t="inlineStr">
        <is>
          <t>18 Oktober 2026</t>
        </is>
      </c>
      <c r="M23" t="inlineStr">
        <is>
          <t>Jasa Rekayasa Konstruksi Bangunan Gedung Hunian dan Non Hunian, Jasa Rekayasa Pekerjaan Teknik Sipil Transportasi</t>
        </is>
      </c>
      <c r="N23" t="inlineStr">
        <is>
          <t>K</t>
        </is>
      </c>
      <c r="O23" t="inlineStr">
        <is>
          <t>20230927</t>
        </is>
      </c>
      <c r="P23" t="inlineStr">
        <is>
          <t>Kalimantan Timur</t>
        </is>
      </c>
      <c r="Q23" t="inlineStr"/>
    </row>
    <row r="24">
      <c r="A24" t="inlineStr">
        <is>
          <t>ANAGATA ABISATYA VISITAMA</t>
        </is>
      </c>
      <c r="B24" t="inlineStr">
        <is>
          <t>Kota Bandung</t>
        </is>
      </c>
      <c r="C24" t="inlineStr">
        <is>
          <t>08122004498</t>
        </is>
      </c>
      <c r="D24" t="inlineStr">
        <is>
          <t>anagataabivisitama.cv@gmail.com</t>
        </is>
      </c>
      <c r="E24" t="inlineStr">
        <is>
          <t>https://lpjk.pu.go.id/search-badan-usaha-detail/MDdLNmF4aTNWendHZEM1WUpDaGVyUT09</t>
        </is>
      </c>
      <c r="F24" t="n">
        <v>4</v>
      </c>
      <c r="G24" t="inlineStr">
        <is>
          <t>BG002, BG005, BG006, BG009</t>
        </is>
      </c>
      <c r="H24" t="inlineStr">
        <is>
          <t>11 November 2022</t>
        </is>
      </c>
      <c r="I24" s="2" t="n">
        <v>46313</v>
      </c>
      <c r="J24" t="inlineStr">
        <is>
          <t>Disetujui</t>
        </is>
      </c>
      <c r="K24" t="n">
        <v>30</v>
      </c>
      <c r="L24" t="inlineStr">
        <is>
          <t>18 Oktober 2026</t>
        </is>
      </c>
      <c r="M24" t="inlineStr">
        <is>
          <t>Konstruksi Gedung Kesehatan, Konstruksi Gedung Lainnya, Konstruksi Gedung Pendidikan, Konstruksi Gedung Perkantoran</t>
        </is>
      </c>
      <c r="N24" t="inlineStr">
        <is>
          <t>K</t>
        </is>
      </c>
      <c r="O24" t="inlineStr">
        <is>
          <t>20230829, 20230919, 20230920</t>
        </is>
      </c>
      <c r="P24" t="inlineStr">
        <is>
          <t>Jawa Barat</t>
        </is>
      </c>
      <c r="Q24" t="inlineStr"/>
    </row>
    <row r="25">
      <c r="A25" t="inlineStr">
        <is>
          <t>ANEKA ADIJASA</t>
        </is>
      </c>
      <c r="B25" t="inlineStr">
        <is>
          <t>Kab. Sleman</t>
        </is>
      </c>
      <c r="C25" t="inlineStr">
        <is>
          <t>08179427326</t>
        </is>
      </c>
      <c r="D25" t="inlineStr">
        <is>
          <t>aneka.adijasa@gmail.com</t>
        </is>
      </c>
      <c r="E25" t="inlineStr">
        <is>
          <t>https://lpjk.pu.go.id/search-badan-usaha-detail/NUlXR2xrWTE0MFhmZFBvUTQyUWVtdz09</t>
        </is>
      </c>
      <c r="F25" t="n">
        <v>2</v>
      </c>
      <c r="G25" t="inlineStr">
        <is>
          <t>BS005</t>
        </is>
      </c>
      <c r="H25" t="inlineStr">
        <is>
          <t>13 Februari 2014</t>
        </is>
      </c>
      <c r="I25" s="2" t="n">
        <v>46313</v>
      </c>
      <c r="J25" t="inlineStr">
        <is>
          <t>Disetujui</t>
        </is>
      </c>
      <c r="K25" t="n">
        <v>30</v>
      </c>
      <c r="L25" t="inlineStr">
        <is>
          <t>18 Oktober 2026</t>
        </is>
      </c>
      <c r="M25" t="inlineStr">
        <is>
          <t>Konstruksi Bangunan Sipil Pengolahan Air Bersih</t>
        </is>
      </c>
      <c r="N25" t="inlineStr">
        <is>
          <t>K</t>
        </is>
      </c>
      <c r="O25" t="inlineStr">
        <is>
          <t>20231017</t>
        </is>
      </c>
      <c r="P25" t="inlineStr">
        <is>
          <t>DI Yogyakarta</t>
        </is>
      </c>
      <c r="Q25" t="inlineStr"/>
    </row>
    <row r="26">
      <c r="A26" t="inlineStr">
        <is>
          <t>ANEMEROUS DWI REKAYASA DIGITAL</t>
        </is>
      </c>
      <c r="B26" t="inlineStr">
        <is>
          <t>Kota Sukabumi</t>
        </is>
      </c>
      <c r="C26" t="inlineStr">
        <is>
          <t>082123735741</t>
        </is>
      </c>
      <c r="D26" t="inlineStr">
        <is>
          <t>cvadrd@gmail.com</t>
        </is>
      </c>
      <c r="E26" t="inlineStr">
        <is>
          <t>https://lpjk.pu.go.id/search-badan-usaha-detail/d1pVT2Y0bmVXV0ppWkx1dGVtY29xUT09</t>
        </is>
      </c>
      <c r="F26" t="n">
        <v>2</v>
      </c>
      <c r="G26" t="inlineStr">
        <is>
          <t>BS001</t>
        </is>
      </c>
      <c r="H26" t="inlineStr">
        <is>
          <t>2 Maret 2023</t>
        </is>
      </c>
      <c r="I26" s="2" t="n">
        <v>46313</v>
      </c>
      <c r="J26" t="inlineStr">
        <is>
          <t>Disetujui</t>
        </is>
      </c>
      <c r="K26" t="n">
        <v>30</v>
      </c>
      <c r="L26" t="inlineStr">
        <is>
          <t>18 Oktober 2026</t>
        </is>
      </c>
      <c r="M26" t="inlineStr">
        <is>
          <t>Konstruksi Bangunan Sipil Jalan</t>
        </is>
      </c>
      <c r="N26" t="inlineStr">
        <is>
          <t>K</t>
        </is>
      </c>
      <c r="O26" t="inlineStr">
        <is>
          <t>20231018</t>
        </is>
      </c>
      <c r="P26" t="inlineStr">
        <is>
          <t>Jawa Barat</t>
        </is>
      </c>
      <c r="Q26" t="inlineStr"/>
    </row>
    <row r="27">
      <c r="A27" t="inlineStr">
        <is>
          <t>ANUGERAH PUTRA UTAMA</t>
        </is>
      </c>
      <c r="B27" t="inlineStr">
        <is>
          <t>Kota Medan</t>
        </is>
      </c>
      <c r="C27" t="inlineStr">
        <is>
          <t>085275045123</t>
        </is>
      </c>
      <c r="D27" t="inlineStr">
        <is>
          <t>cvanugerahputrautama@gmail.com</t>
        </is>
      </c>
      <c r="E27" t="inlineStr">
        <is>
          <t>https://lpjk.pu.go.id/search-badan-usaha-detail/RXdVdlV4dmx3RVVvRm4zcERkWi9Ydz09</t>
        </is>
      </c>
      <c r="F27" t="n">
        <v>4</v>
      </c>
      <c r="G27" t="inlineStr">
        <is>
          <t>BG002, BG009, BS001, BS004</t>
        </is>
      </c>
      <c r="H27" t="inlineStr">
        <is>
          <t>11 Oktober 2011</t>
        </is>
      </c>
      <c r="I27" s="2" t="n">
        <v>46313</v>
      </c>
      <c r="J27" t="inlineStr">
        <is>
          <t>Disetujui</t>
        </is>
      </c>
      <c r="K27" t="n">
        <v>30</v>
      </c>
      <c r="L27" t="inlineStr">
        <is>
          <t>18 Oktober 2026</t>
        </is>
      </c>
      <c r="M27" t="inlineStr">
        <is>
          <t>Konstruksi Bangunan Sipil Jalan, Konstruksi Gedung Lainnya, Konstruksi Gedung Perkantoran, Konstruksi Jaringan Irigasi dan Drainase</t>
        </is>
      </c>
      <c r="N27" t="inlineStr">
        <is>
          <t>K</t>
        </is>
      </c>
      <c r="O27" t="inlineStr">
        <is>
          <t>20231016, 20231017, 20231023</t>
        </is>
      </c>
      <c r="P27" t="inlineStr">
        <is>
          <t>Sumatera Utara</t>
        </is>
      </c>
      <c r="Q27" t="inlineStr"/>
    </row>
    <row r="28">
      <c r="A28" t="inlineStr">
        <is>
          <t>ANUGRAH INVESTAMA CONSULTANT</t>
        </is>
      </c>
      <c r="B28" t="inlineStr">
        <is>
          <t>Kab. Batang</t>
        </is>
      </c>
      <c r="C28" t="inlineStr">
        <is>
          <t>081228829623</t>
        </is>
      </c>
      <c r="D28" t="inlineStr">
        <is>
          <t>anugrahinvestamacons.aic@gmail.com</t>
        </is>
      </c>
      <c r="E28" t="inlineStr">
        <is>
          <t>https://lpjk.pu.go.id/search-badan-usaha-detail/VWwvdDV2MFByOHBZVWxkYk1Sb0JqQT09</t>
        </is>
      </c>
      <c r="F28" t="n">
        <v>2</v>
      </c>
      <c r="G28" t="inlineStr">
        <is>
          <t>RK003</t>
        </is>
      </c>
      <c r="H28" t="inlineStr">
        <is>
          <t>22 Juni 2012</t>
        </is>
      </c>
      <c r="I28" s="2" t="n">
        <v>46313</v>
      </c>
      <c r="J28" t="inlineStr">
        <is>
          <t>Disetujui</t>
        </is>
      </c>
      <c r="K28" t="n">
        <v>30</v>
      </c>
      <c r="L28" t="inlineStr">
        <is>
          <t>18 Oktober 2026</t>
        </is>
      </c>
      <c r="M28" t="inlineStr">
        <is>
          <t>Jasa Rekayasa Pekerjaan Teknik Sipil Transportasi</t>
        </is>
      </c>
      <c r="N28" t="inlineStr">
        <is>
          <t>K</t>
        </is>
      </c>
      <c r="O28" t="inlineStr">
        <is>
          <t>20230410</t>
        </is>
      </c>
      <c r="P28" t="inlineStr">
        <is>
          <t>Jawa Tengah</t>
        </is>
      </c>
      <c r="Q28" t="inlineStr"/>
    </row>
    <row r="29">
      <c r="A29" t="inlineStr">
        <is>
          <t>ARSINDO BAJA MANDIRI</t>
        </is>
      </c>
      <c r="B29" t="inlineStr">
        <is>
          <t>Kab. Tangerang</t>
        </is>
      </c>
      <c r="C29" t="inlineStr">
        <is>
          <t>082185249420</t>
        </is>
      </c>
      <c r="D29" t="inlineStr">
        <is>
          <t>wahyu.kbpi@gmail.com</t>
        </is>
      </c>
      <c r="E29" t="inlineStr">
        <is>
          <t>https://lpjk.pu.go.id/search-badan-usaha-detail/d205SXM0amJIakZIVjNnaitJQmpqZz09</t>
        </is>
      </c>
      <c r="F29" t="n">
        <v>1</v>
      </c>
      <c r="G29" t="inlineStr">
        <is>
          <t>BG003</t>
        </is>
      </c>
      <c r="H29" t="inlineStr">
        <is>
          <t>26 Februari 2020</t>
        </is>
      </c>
      <c r="I29" s="2" t="n">
        <v>46313</v>
      </c>
      <c r="J29" t="inlineStr">
        <is>
          <t>Disetujui</t>
        </is>
      </c>
      <c r="K29" t="n">
        <v>30</v>
      </c>
      <c r="L29" t="inlineStr">
        <is>
          <t>18 Oktober 2026</t>
        </is>
      </c>
      <c r="M29" t="inlineStr">
        <is>
          <t>Konstruksi Gedung Industri</t>
        </is>
      </c>
      <c r="N29" t="inlineStr">
        <is>
          <t>K</t>
        </is>
      </c>
      <c r="O29" t="inlineStr">
        <is>
          <t>20231018</t>
        </is>
      </c>
      <c r="P29" t="inlineStr">
        <is>
          <t>Banten</t>
        </is>
      </c>
      <c r="Q29" t="inlineStr"/>
    </row>
    <row r="30">
      <c r="A30" t="inlineStr">
        <is>
          <t>ARSITEKTUR DIRAJA PRATAMA</t>
        </is>
      </c>
      <c r="B30" t="inlineStr">
        <is>
          <t>Kota Pontianak</t>
        </is>
      </c>
      <c r="C30" t="inlineStr">
        <is>
          <t>081345877077</t>
        </is>
      </c>
      <c r="D30" t="inlineStr">
        <is>
          <t>diraja7077@gmail.com</t>
        </is>
      </c>
      <c r="E30" t="inlineStr">
        <is>
          <t>https://lpjk.pu.go.id/search-badan-usaha-detail/TUZuclZGenpXSmdBT2crRXdIUjQ1UT09</t>
        </is>
      </c>
      <c r="F30" t="n">
        <v>2</v>
      </c>
      <c r="G30" t="inlineStr">
        <is>
          <t>RK001, RK003</t>
        </is>
      </c>
      <c r="H30" t="inlineStr">
        <is>
          <t>23 November 2018</t>
        </is>
      </c>
      <c r="I30" s="2" t="n">
        <v>46313</v>
      </c>
      <c r="J30" t="inlineStr">
        <is>
          <t>Disetujui, Pencabutan</t>
        </is>
      </c>
      <c r="K30" t="n">
        <v>30</v>
      </c>
      <c r="L30" t="inlineStr">
        <is>
          <t>18 Oktober 2026</t>
        </is>
      </c>
      <c r="M30" t="inlineStr">
        <is>
          <t>Jasa Rekayasa Konstruksi Bangunan Gedung Hunian dan Non Hunian, Jasa Rekayasa Pekerjaan Teknik Sipil Transportasi</t>
        </is>
      </c>
      <c r="N30" t="inlineStr">
        <is>
          <t>K</t>
        </is>
      </c>
      <c r="O30" t="inlineStr">
        <is>
          <t>20231002, 20231003</t>
        </is>
      </c>
      <c r="P30" t="inlineStr">
        <is>
          <t>Kalimantan Barat</t>
        </is>
      </c>
      <c r="Q30" t="inlineStr"/>
    </row>
    <row r="31">
      <c r="A31" t="inlineStr">
        <is>
          <t>ARUM DAYA SENTAUSA</t>
        </is>
      </c>
      <c r="B31" t="inlineStr">
        <is>
          <t>Kota Adm. Jakarta Selatan</t>
        </is>
      </c>
      <c r="C31" t="inlineStr">
        <is>
          <t>081287843669</t>
        </is>
      </c>
      <c r="D31" t="inlineStr">
        <is>
          <t>arumdwima96@gmail.com</t>
        </is>
      </c>
      <c r="E31" t="inlineStr">
        <is>
          <t>https://lpjk.pu.go.id/search-badan-usaha-detail/dVQwcHlVWjZCZ0J0T2RodnBYOXNhUT09</t>
        </is>
      </c>
      <c r="F31" t="n">
        <v>4</v>
      </c>
      <c r="G31" t="inlineStr">
        <is>
          <t>BG001, BG002, BG005, BG007</t>
        </is>
      </c>
      <c r="H31" t="inlineStr">
        <is>
          <t>22 Desember 2022</t>
        </is>
      </c>
      <c r="I31" s="2" t="n">
        <v>46313</v>
      </c>
      <c r="J31" t="inlineStr">
        <is>
          <t>Pencabutan</t>
        </is>
      </c>
      <c r="K31" t="n">
        <v>30</v>
      </c>
      <c r="L31" t="inlineStr">
        <is>
          <t>18 Oktober 2026</t>
        </is>
      </c>
      <c r="M31" t="inlineStr">
        <is>
          <t>Konstruksi Gedung Hunian, Konstruksi Gedung Kesehatan, Konstruksi Gedung Penginapan, Konstruksi Gedung Perkantoran</t>
        </is>
      </c>
      <c r="N31" t="inlineStr">
        <is>
          <t>K</t>
        </is>
      </c>
      <c r="O31" t="inlineStr">
        <is>
          <t>20231015</t>
        </is>
      </c>
      <c r="P31" t="inlineStr">
        <is>
          <t>DKI Jakarta</t>
        </is>
      </c>
      <c r="Q31" t="inlineStr"/>
    </row>
    <row r="32">
      <c r="A32" t="inlineStr">
        <is>
          <t>ARYANDS UTAMA CONSULTAN</t>
        </is>
      </c>
      <c r="B32" t="inlineStr">
        <is>
          <t>Kab. Luwu Timur</t>
        </is>
      </c>
      <c r="C32" t="inlineStr">
        <is>
          <t>082290535077</t>
        </is>
      </c>
      <c r="D32" t="inlineStr">
        <is>
          <t>aryands@ymail.com</t>
        </is>
      </c>
      <c r="E32" t="inlineStr">
        <is>
          <t>https://lpjk.pu.go.id/search-badan-usaha-detail/YnZFYUl1YU5ocUFIM1kzR255a01CUT09</t>
        </is>
      </c>
      <c r="F32" t="n">
        <v>4</v>
      </c>
      <c r="G32" t="inlineStr">
        <is>
          <t>RK001, RK002, RK003, RK005</t>
        </is>
      </c>
      <c r="H32" t="inlineStr">
        <is>
          <t>21 September 2016</t>
        </is>
      </c>
      <c r="I32" s="2" t="n">
        <v>46313</v>
      </c>
      <c r="J32" t="inlineStr">
        <is>
          <t>Disetujui</t>
        </is>
      </c>
      <c r="K32" t="n">
        <v>30</v>
      </c>
      <c r="L32" t="inlineStr">
        <is>
          <t>18 Oktober 2026</t>
        </is>
      </c>
      <c r="M32" t="inlineStr">
        <is>
          <t>Jasa Rekayasa Konstruksi Bangunan Gedung Hunian dan Non Hunian, Jasa Rekayasa Lainnya, Jasa Rekayasa Pekerjaan Teknik Sipil Sumber Daya Air, Jasa Rekayasa Pekerjaan Teknik Sipil Transportasi</t>
        </is>
      </c>
      <c r="N32" t="inlineStr">
        <is>
          <t>K</t>
        </is>
      </c>
      <c r="O32" t="inlineStr">
        <is>
          <t>20230516, 20230627, 20231004</t>
        </is>
      </c>
      <c r="P32" t="inlineStr">
        <is>
          <t>Sulawesi Selatan</t>
        </is>
      </c>
      <c r="Q32" t="inlineStr"/>
    </row>
    <row r="33">
      <c r="A33" t="inlineStr">
        <is>
          <t>AWETTE</t>
        </is>
      </c>
      <c r="B33" t="inlineStr">
        <is>
          <t>Kab. Jember</t>
        </is>
      </c>
      <c r="C33" t="inlineStr">
        <is>
          <t>081234554355</t>
        </is>
      </c>
      <c r="D33" t="inlineStr">
        <is>
          <t>awettejember@yahoo.co.id</t>
        </is>
      </c>
      <c r="E33" t="inlineStr">
        <is>
          <t>https://lpjk.pu.go.id/search-badan-usaha-detail/NzdjdVdoZHpzWDI4d1E2K01YWkN4dz09</t>
        </is>
      </c>
      <c r="F33" t="n">
        <v>2</v>
      </c>
      <c r="G33" t="inlineStr">
        <is>
          <t>BS001, BS005</t>
        </is>
      </c>
      <c r="H33" t="inlineStr">
        <is>
          <t>7 April 2004</t>
        </is>
      </c>
      <c r="I33" s="2" t="n">
        <v>46313</v>
      </c>
      <c r="J33" t="inlineStr">
        <is>
          <t>Disetujui</t>
        </is>
      </c>
      <c r="K33" t="n">
        <v>30</v>
      </c>
      <c r="L33" t="inlineStr">
        <is>
          <t>18 Oktober 2026</t>
        </is>
      </c>
      <c r="M33" t="inlineStr">
        <is>
          <t>Konstruksi Bangunan Sipil Jalan, Konstruksi Bangunan Sipil Pengolahan Air Bersih</t>
        </is>
      </c>
      <c r="N33" t="inlineStr">
        <is>
          <t>K</t>
        </is>
      </c>
      <c r="O33" t="inlineStr">
        <is>
          <t>20231013</t>
        </is>
      </c>
      <c r="P33" t="inlineStr">
        <is>
          <t>Jawa Timur</t>
        </is>
      </c>
      <c r="Q33" t="inlineStr"/>
    </row>
    <row r="34">
      <c r="A34" t="inlineStr">
        <is>
          <t>BALONG AGUNG</t>
        </is>
      </c>
      <c r="B34" t="inlineStr">
        <is>
          <t>Kab. Nganjuk</t>
        </is>
      </c>
      <c r="C34" t="inlineStr">
        <is>
          <t>081336016667</t>
        </is>
      </c>
      <c r="D34" t="inlineStr">
        <is>
          <t>cvbalongagung@gmail.com</t>
        </is>
      </c>
      <c r="E34" t="inlineStr">
        <is>
          <t>https://lpjk.pu.go.id/search-badan-usaha-detail/RkNiYUhWTm94M3BvL1BJc0d2Znpkdz09</t>
        </is>
      </c>
      <c r="F34" t="n">
        <v>1</v>
      </c>
      <c r="G34" t="inlineStr">
        <is>
          <t>BG009</t>
        </is>
      </c>
      <c r="H34" t="inlineStr">
        <is>
          <t>11 Maret 1981</t>
        </is>
      </c>
      <c r="I34" s="2" t="n">
        <v>46313</v>
      </c>
      <c r="J34" t="inlineStr">
        <is>
          <t>Disetujui</t>
        </is>
      </c>
      <c r="K34" t="n">
        <v>30</v>
      </c>
      <c r="L34" t="inlineStr">
        <is>
          <t>18 Oktober 2026</t>
        </is>
      </c>
      <c r="M34" t="inlineStr">
        <is>
          <t>Konstruksi Gedung Lainnya</t>
        </is>
      </c>
      <c r="N34" t="inlineStr">
        <is>
          <t>K</t>
        </is>
      </c>
      <c r="O34" t="inlineStr">
        <is>
          <t>20231017</t>
        </is>
      </c>
      <c r="P34" t="inlineStr">
        <is>
          <t>Jawa Timur</t>
        </is>
      </c>
      <c r="Q34" t="inlineStr"/>
    </row>
    <row r="35">
      <c r="A35" t="inlineStr">
        <is>
          <t>BANGKIT SAPUTRA</t>
        </is>
      </c>
      <c r="B35" t="inlineStr">
        <is>
          <t>Kab. Brebes</t>
        </is>
      </c>
      <c r="C35" t="inlineStr">
        <is>
          <t>085866664547</t>
        </is>
      </c>
      <c r="D35" t="inlineStr">
        <is>
          <t>cvbangkit1@gmail.com</t>
        </is>
      </c>
      <c r="E35" t="inlineStr">
        <is>
          <t>https://lpjk.pu.go.id/search-badan-usaha-detail/UXNPeGxMaE9ISDkzZzUwSlo2bHRtUT09</t>
        </is>
      </c>
      <c r="F35" t="n">
        <v>2</v>
      </c>
      <c r="G35" t="inlineStr">
        <is>
          <t>BS001, BS004</t>
        </is>
      </c>
      <c r="H35" t="inlineStr">
        <is>
          <t>28 Maret 2003</t>
        </is>
      </c>
      <c r="I35" s="2" t="n">
        <v>46313</v>
      </c>
      <c r="J35" t="inlineStr">
        <is>
          <t>Disetujui</t>
        </is>
      </c>
      <c r="K35" t="n">
        <v>30</v>
      </c>
      <c r="L35" t="inlineStr">
        <is>
          <t>18 Oktober 2026</t>
        </is>
      </c>
      <c r="M35" t="inlineStr">
        <is>
          <t>Konstruksi Bangunan Sipil Jalan, Konstruksi Jaringan Irigasi dan Drainase</t>
        </is>
      </c>
      <c r="N35" t="inlineStr">
        <is>
          <t>K</t>
        </is>
      </c>
      <c r="O35" t="inlineStr">
        <is>
          <t>20231016</t>
        </is>
      </c>
      <c r="P35" t="inlineStr">
        <is>
          <t>Jawa Tengah</t>
        </is>
      </c>
      <c r="Q35" t="inlineStr"/>
    </row>
    <row r="36">
      <c r="A36" t="inlineStr">
        <is>
          <t>BANGKIT SENTOSA JAYA</t>
        </is>
      </c>
      <c r="B36" t="inlineStr">
        <is>
          <t>Kab. Bojonegoro</t>
        </is>
      </c>
      <c r="C36" t="inlineStr">
        <is>
          <t>081335271338</t>
        </is>
      </c>
      <c r="D36" t="inlineStr">
        <is>
          <t>cvbangkitsetosajaya@gmail.com</t>
        </is>
      </c>
      <c r="E36" t="inlineStr">
        <is>
          <t>https://lpjk.pu.go.id/search-badan-usaha-detail/S3ZHNTNOcWRjSUtzRVhla2Z6THNJZz09</t>
        </is>
      </c>
      <c r="F36" t="n">
        <v>5</v>
      </c>
      <c r="G36" t="inlineStr">
        <is>
          <t>BG001, BG006, BS002, BS004, BS010</t>
        </is>
      </c>
      <c r="H36" t="inlineStr">
        <is>
          <t>4 September 2023</t>
        </is>
      </c>
      <c r="I36" s="2" t="n">
        <v>46313</v>
      </c>
      <c r="J36" t="inlineStr">
        <is>
          <t>Disetujui</t>
        </is>
      </c>
      <c r="K36" t="n">
        <v>30</v>
      </c>
      <c r="L36" t="inlineStr">
        <is>
          <t>18 Oktober 2026</t>
        </is>
      </c>
      <c r="M36" t="inlineStr">
        <is>
          <t>Bangunan Sipil Jembatan, Jalan Layang, Fly Over, dan Underpass, Konstruksi Bangunan Prasarana Sumber Daya Air, Konstruksi Gedung Hunian, Konstruksi Gedung Pendidikan, Konstruksi Jaringan Irigasi dan Drainase</t>
        </is>
      </c>
      <c r="N36" t="inlineStr">
        <is>
          <t>K</t>
        </is>
      </c>
      <c r="O36" t="inlineStr">
        <is>
          <t>20231016, 20231018</t>
        </is>
      </c>
      <c r="P36" t="inlineStr">
        <is>
          <t>Jawa Timur</t>
        </is>
      </c>
      <c r="Q36" t="inlineStr"/>
    </row>
    <row r="37">
      <c r="A37" t="inlineStr">
        <is>
          <t>BANGUN RUANG UTAMA</t>
        </is>
      </c>
      <c r="B37" t="inlineStr">
        <is>
          <t>Kota Adm. Jakarta Utara</t>
        </is>
      </c>
      <c r="C37" t="inlineStr">
        <is>
          <t>02156983345</t>
        </is>
      </c>
      <c r="D37" t="inlineStr">
        <is>
          <t>bangunruangutama@gmail.com</t>
        </is>
      </c>
      <c r="E37" t="inlineStr">
        <is>
          <t>https://lpjk.pu.go.id/search-badan-usaha-detail/ZFN6dTk2UWs4UUVtNi8rRmcyRW5SQT09</t>
        </is>
      </c>
      <c r="F37" t="n">
        <v>1</v>
      </c>
      <c r="G37" t="inlineStr">
        <is>
          <t>BG007</t>
        </is>
      </c>
      <c r="H37" t="inlineStr">
        <is>
          <t>4 April 2023</t>
        </is>
      </c>
      <c r="I37" s="2" t="n">
        <v>46313</v>
      </c>
      <c r="J37" t="inlineStr">
        <is>
          <t>Pencabutan</t>
        </is>
      </c>
      <c r="K37" t="n">
        <v>30</v>
      </c>
      <c r="L37" t="inlineStr">
        <is>
          <t>18 Oktober 2026</t>
        </is>
      </c>
      <c r="M37" t="inlineStr">
        <is>
          <t>Konstruksi Gedung Penginapan</t>
        </is>
      </c>
      <c r="N37" t="inlineStr">
        <is>
          <t>K</t>
        </is>
      </c>
      <c r="O37" t="inlineStr">
        <is>
          <t>20231013</t>
        </is>
      </c>
      <c r="P37" t="inlineStr">
        <is>
          <t>DKI Jakarta</t>
        </is>
      </c>
      <c r="Q37" t="inlineStr"/>
    </row>
    <row r="38">
      <c r="A38" t="inlineStr">
        <is>
          <t>BAROKAH BANGUN TECHNIK</t>
        </is>
      </c>
      <c r="B38" t="inlineStr">
        <is>
          <t>Kota Samarinda</t>
        </is>
      </c>
      <c r="C38" t="inlineStr">
        <is>
          <t>081350186400</t>
        </is>
      </c>
      <c r="D38" t="inlineStr">
        <is>
          <t>barokahbangun_technik@yahoo.com</t>
        </is>
      </c>
      <c r="E38" t="inlineStr">
        <is>
          <t>https://lpjk.pu.go.id/search-badan-usaha-detail/YUxuZURvRGY4OVNIS1UwUUJLTVRSdz09</t>
        </is>
      </c>
      <c r="F38" t="n">
        <v>2</v>
      </c>
      <c r="G38" t="inlineStr">
        <is>
          <t>BS017</t>
        </is>
      </c>
      <c r="H38" t="inlineStr">
        <is>
          <t>14 Oktober 2016</t>
        </is>
      </c>
      <c r="I38" s="2" t="n">
        <v>46313</v>
      </c>
      <c r="J38" t="inlineStr">
        <is>
          <t>Disetujui</t>
        </is>
      </c>
      <c r="K38" t="n">
        <v>30</v>
      </c>
      <c r="L38" t="inlineStr">
        <is>
          <t>18 Oktober 2026</t>
        </is>
      </c>
      <c r="M38" t="inlineStr">
        <is>
          <t>Konstruksi Bangunan Sipil Lainnya Ytdl</t>
        </is>
      </c>
      <c r="N38" t="inlineStr">
        <is>
          <t>K</t>
        </is>
      </c>
      <c r="O38" t="inlineStr">
        <is>
          <t>20231017</t>
        </is>
      </c>
      <c r="P38" t="inlineStr">
        <is>
          <t>Kalimantan Timur</t>
        </is>
      </c>
      <c r="Q38" t="inlineStr"/>
    </row>
    <row r="39">
      <c r="A39" t="inlineStr">
        <is>
          <t>BERKAH GAWI ABADI</t>
        </is>
      </c>
      <c r="B39" t="inlineStr">
        <is>
          <t>Kab. Barito Kuala</t>
        </is>
      </c>
      <c r="C39" t="inlineStr">
        <is>
          <t>081351357099</t>
        </is>
      </c>
      <c r="D39" t="inlineStr">
        <is>
          <t>abd.berkahgawi@yahoo.com</t>
        </is>
      </c>
      <c r="E39" t="inlineStr">
        <is>
          <t>https://lpjk.pu.go.id/search-badan-usaha-detail/WkNLNk5OaDVtK3dRb2dheGFnS0F3QT09</t>
        </is>
      </c>
      <c r="F39" t="n">
        <v>2</v>
      </c>
      <c r="G39" t="inlineStr">
        <is>
          <t>BG009</t>
        </is>
      </c>
      <c r="H39" t="inlineStr">
        <is>
          <t>1 September 2023</t>
        </is>
      </c>
      <c r="I39" s="2" t="n">
        <v>46313</v>
      </c>
      <c r="J39" t="inlineStr">
        <is>
          <t>Pencabutan</t>
        </is>
      </c>
      <c r="K39" t="n">
        <v>30</v>
      </c>
      <c r="L39" t="inlineStr">
        <is>
          <t>18 Oktober 2026</t>
        </is>
      </c>
      <c r="M39" t="inlineStr">
        <is>
          <t>Konstruksi Gedung Lainnya</t>
        </is>
      </c>
      <c r="N39" t="inlineStr">
        <is>
          <t>K</t>
        </is>
      </c>
      <c r="O39" t="inlineStr">
        <is>
          <t>20231019</t>
        </is>
      </c>
      <c r="P39" t="inlineStr">
        <is>
          <t>Kalimantan Selatan</t>
        </is>
      </c>
      <c r="Q39" t="inlineStr"/>
    </row>
    <row r="40">
      <c r="A40" t="inlineStr">
        <is>
          <t>BERKAH ILAHI JAYATAMA</t>
        </is>
      </c>
      <c r="B40" t="inlineStr">
        <is>
          <t>Kab. Banjar</t>
        </is>
      </c>
      <c r="C40" t="inlineStr">
        <is>
          <t>083159532475</t>
        </is>
      </c>
      <c r="D40" t="inlineStr">
        <is>
          <t>mustikajayaprestasi74@gmail.com</t>
        </is>
      </c>
      <c r="E40" t="inlineStr">
        <is>
          <t>https://lpjk.pu.go.id/search-badan-usaha-detail/K0N5c0Y3Vml2N0I5TmJyZ054VW5DZz09</t>
        </is>
      </c>
      <c r="F40" t="n">
        <v>2</v>
      </c>
      <c r="G40" t="inlineStr">
        <is>
          <t>BG001</t>
        </is>
      </c>
      <c r="H40" t="inlineStr">
        <is>
          <t>28 Maret 2023</t>
        </is>
      </c>
      <c r="I40" s="2" t="n">
        <v>46313</v>
      </c>
      <c r="J40" t="inlineStr">
        <is>
          <t>Disetujui</t>
        </is>
      </c>
      <c r="K40" t="n">
        <v>30</v>
      </c>
      <c r="L40" t="inlineStr">
        <is>
          <t>18 Oktober 2026</t>
        </is>
      </c>
      <c r="M40" t="inlineStr">
        <is>
          <t>Konstruksi Gedung Hunian</t>
        </is>
      </c>
      <c r="N40" t="inlineStr">
        <is>
          <t>K</t>
        </is>
      </c>
      <c r="O40" t="inlineStr">
        <is>
          <t>20231016</t>
        </is>
      </c>
      <c r="P40" t="inlineStr">
        <is>
          <t>Kalimantan Selatan</t>
        </is>
      </c>
      <c r="Q40" t="inlineStr"/>
    </row>
    <row r="41">
      <c r="A41" t="inlineStr">
        <is>
          <t>BERKAT ANUGERAH GRIYA USAHA SEJAHTERA</t>
        </is>
      </c>
      <c r="B41" t="inlineStr">
        <is>
          <t>Kota Makassar</t>
        </is>
      </c>
      <c r="C41" t="inlineStr">
        <is>
          <t>0811174478</t>
        </is>
      </c>
      <c r="D41" t="inlineStr">
        <is>
          <t>sanmarijj1208@yahoo.co.id</t>
        </is>
      </c>
      <c r="E41" t="inlineStr">
        <is>
          <t>https://lpjk.pu.go.id/search-badan-usaha-detail/dUlwM1JBdlhmaGNFWTF6RzAvOWJwZz09</t>
        </is>
      </c>
      <c r="F41" t="n">
        <v>2</v>
      </c>
      <c r="G41" t="inlineStr">
        <is>
          <t>BG001</t>
        </is>
      </c>
      <c r="H41" t="inlineStr">
        <is>
          <t>23 Mei 2014</t>
        </is>
      </c>
      <c r="I41" s="2" t="n">
        <v>46313</v>
      </c>
      <c r="J41" t="inlineStr">
        <is>
          <t>Disetujui</t>
        </is>
      </c>
      <c r="K41" t="n">
        <v>30</v>
      </c>
      <c r="L41" t="inlineStr">
        <is>
          <t>18 Oktober 2026</t>
        </is>
      </c>
      <c r="M41" t="inlineStr">
        <is>
          <t>Konstruksi Gedung Hunian</t>
        </is>
      </c>
      <c r="N41" t="inlineStr">
        <is>
          <t>K</t>
        </is>
      </c>
      <c r="O41" t="inlineStr">
        <is>
          <t>20230922</t>
        </is>
      </c>
      <c r="P41" t="inlineStr">
        <is>
          <t>Sulawesi Selatan</t>
        </is>
      </c>
      <c r="Q41" t="inlineStr"/>
    </row>
    <row r="42">
      <c r="A42" t="inlineStr">
        <is>
          <t>BINTANG CREATIVE ALUMINIUM</t>
        </is>
      </c>
      <c r="B42" t="inlineStr">
        <is>
          <t>Kab. Bulungan</t>
        </is>
      </c>
      <c r="C42" t="inlineStr">
        <is>
          <t>082350049605</t>
        </is>
      </c>
      <c r="D42" t="inlineStr">
        <is>
          <t>bintangcreativealuminium@gmail.com</t>
        </is>
      </c>
      <c r="E42" t="inlineStr">
        <is>
          <t>https://lpjk.pu.go.id/search-badan-usaha-detail/SkRyYXpxdXBnMG5qWG1WSFpxcTNBZz09</t>
        </is>
      </c>
      <c r="F42" t="n">
        <v>6</v>
      </c>
      <c r="G42" t="inlineStr">
        <is>
          <t>BG002, BG004, BG009</t>
        </is>
      </c>
      <c r="H42" t="inlineStr">
        <is>
          <t>16 Oktober 2015</t>
        </is>
      </c>
      <c r="I42" s="2" t="n">
        <v>46313</v>
      </c>
      <c r="J42" t="inlineStr">
        <is>
          <t>Disetujui</t>
        </is>
      </c>
      <c r="K42" t="n">
        <v>30</v>
      </c>
      <c r="L42" t="inlineStr">
        <is>
          <t>18 Oktober 2026</t>
        </is>
      </c>
      <c r="M42" t="inlineStr">
        <is>
          <t>Konstruksi Gedung Lainnya, Konstruksi Gedung Perbelanjaan, Konstruksi Gedung Perkantoran</t>
        </is>
      </c>
      <c r="N42" t="inlineStr">
        <is>
          <t>K</t>
        </is>
      </c>
      <c r="O42" t="inlineStr">
        <is>
          <t>20231013, 20231017</t>
        </is>
      </c>
      <c r="P42" t="inlineStr">
        <is>
          <t>Kalimantan Utara</t>
        </is>
      </c>
      <c r="Q42" t="inlineStr"/>
    </row>
    <row r="43">
      <c r="A43" t="inlineStr">
        <is>
          <t>BINTANG PALAPA</t>
        </is>
      </c>
      <c r="B43" t="inlineStr">
        <is>
          <t>Kab. Nganjuk</t>
        </is>
      </c>
      <c r="C43" t="inlineStr">
        <is>
          <t>082139060994</t>
        </is>
      </c>
      <c r="D43" t="inlineStr">
        <is>
          <t>bintangpalapacv@gmail.com</t>
        </is>
      </c>
      <c r="E43" t="inlineStr">
        <is>
          <t>https://lpjk.pu.go.id/search-badan-usaha-detail/aXF1UktkMEM1NkNJS3FsemJpVkhhQT09</t>
        </is>
      </c>
      <c r="F43" t="n">
        <v>2</v>
      </c>
      <c r="G43" t="inlineStr">
        <is>
          <t>BG006</t>
        </is>
      </c>
      <c r="H43" t="inlineStr">
        <is>
          <t>1 Februari 1984</t>
        </is>
      </c>
      <c r="I43" s="2" t="n">
        <v>46313</v>
      </c>
      <c r="J43" t="inlineStr">
        <is>
          <t>Disetujui</t>
        </is>
      </c>
      <c r="K43" t="n">
        <v>30</v>
      </c>
      <c r="L43" t="inlineStr">
        <is>
          <t>18 Oktober 2026</t>
        </is>
      </c>
      <c r="M43" t="inlineStr">
        <is>
          <t>Konstruksi Gedung Pendidikan</t>
        </is>
      </c>
      <c r="N43" t="inlineStr">
        <is>
          <t>K</t>
        </is>
      </c>
      <c r="O43" t="inlineStr">
        <is>
          <t>20230919</t>
        </is>
      </c>
      <c r="P43" t="inlineStr">
        <is>
          <t>Jawa Timur</t>
        </is>
      </c>
      <c r="Q43" t="inlineStr"/>
    </row>
    <row r="44">
      <c r="A44" t="inlineStr">
        <is>
          <t>BINTANG SEJATI</t>
        </is>
      </c>
      <c r="B44" t="inlineStr">
        <is>
          <t>Kab. Wonogiri</t>
        </is>
      </c>
      <c r="C44" t="inlineStr">
        <is>
          <t>085290036000</t>
        </is>
      </c>
      <c r="D44" t="inlineStr">
        <is>
          <t>cv.bintangsejati23@gmail.com</t>
        </is>
      </c>
      <c r="E44" t="inlineStr">
        <is>
          <t>https://lpjk.pu.go.id/search-badan-usaha-detail/c2NYUU9aWXRVYnNMN21SdTNjck1kQT09</t>
        </is>
      </c>
      <c r="F44" t="n">
        <v>4</v>
      </c>
      <c r="G44" t="inlineStr">
        <is>
          <t>BG009, BS004</t>
        </is>
      </c>
      <c r="H44" t="inlineStr">
        <is>
          <t>30 Juni 2023</t>
        </is>
      </c>
      <c r="I44" s="2" t="n">
        <v>46313</v>
      </c>
      <c r="J44" t="inlineStr">
        <is>
          <t>Disetujui</t>
        </is>
      </c>
      <c r="K44" t="n">
        <v>30</v>
      </c>
      <c r="L44" t="inlineStr">
        <is>
          <t>18 Oktober 2026</t>
        </is>
      </c>
      <c r="M44" t="inlineStr">
        <is>
          <t>Konstruksi Gedung Lainnya, Konstruksi Jaringan Irigasi dan Drainase</t>
        </is>
      </c>
      <c r="N44" t="inlineStr">
        <is>
          <t>K</t>
        </is>
      </c>
      <c r="O44" t="inlineStr">
        <is>
          <t>20231016</t>
        </is>
      </c>
      <c r="P44" t="inlineStr">
        <is>
          <t>Jawa Tengah</t>
        </is>
      </c>
      <c r="Q44" t="inlineStr"/>
    </row>
    <row r="45">
      <c r="A45" t="inlineStr">
        <is>
          <t>BINTANG SIGIT JAYA</t>
        </is>
      </c>
      <c r="B45" t="inlineStr">
        <is>
          <t>Kab. Bandung</t>
        </is>
      </c>
      <c r="C45" t="inlineStr">
        <is>
          <t>082120053137</t>
        </is>
      </c>
      <c r="D45" t="inlineStr">
        <is>
          <t>bintangsigitjaya@gmail.com</t>
        </is>
      </c>
      <c r="E45" t="inlineStr">
        <is>
          <t>https://lpjk.pu.go.id/search-badan-usaha-detail/dmVoNmQ5NDk0aVV1WHg0SnBKMHRxQT09</t>
        </is>
      </c>
      <c r="F45" t="n">
        <v>2</v>
      </c>
      <c r="G45" t="inlineStr">
        <is>
          <t>BG003</t>
        </is>
      </c>
      <c r="H45" t="inlineStr">
        <is>
          <t>25 Agustus 2023</t>
        </is>
      </c>
      <c r="I45" s="2" t="n">
        <v>46313</v>
      </c>
      <c r="J45" t="inlineStr">
        <is>
          <t>Disetujui</t>
        </is>
      </c>
      <c r="K45" t="n">
        <v>30</v>
      </c>
      <c r="L45" t="inlineStr">
        <is>
          <t>18 Oktober 2026</t>
        </is>
      </c>
      <c r="M45" t="inlineStr">
        <is>
          <t>Konstruksi Gedung Industri</t>
        </is>
      </c>
      <c r="N45" t="inlineStr">
        <is>
          <t>K</t>
        </is>
      </c>
      <c r="O45" t="inlineStr">
        <is>
          <t>20231019</t>
        </is>
      </c>
      <c r="P45" t="inlineStr">
        <is>
          <t>Jawa Barat</t>
        </is>
      </c>
      <c r="Q45" t="inlineStr"/>
    </row>
    <row r="46">
      <c r="A46" t="inlineStr">
        <is>
          <t>BORNEO DZIBAN SEJAHTERA</t>
        </is>
      </c>
      <c r="B46" t="inlineStr">
        <is>
          <t>Kab. Kutai Timur</t>
        </is>
      </c>
      <c r="C46" t="inlineStr">
        <is>
          <t>081347400545</t>
        </is>
      </c>
      <c r="D46" t="inlineStr">
        <is>
          <t>cvborneods@gmail.com</t>
        </is>
      </c>
      <c r="E46" t="inlineStr">
        <is>
          <t>https://lpjk.pu.go.id/search-badan-usaha-detail/QkFIL0xLUFE4OE9ENjY1ZTE2R2JlZz09</t>
        </is>
      </c>
      <c r="F46" t="n">
        <v>1</v>
      </c>
      <c r="G46" t="inlineStr">
        <is>
          <t>BS001</t>
        </is>
      </c>
      <c r="H46" t="inlineStr">
        <is>
          <t>14 April 2023</t>
        </is>
      </c>
      <c r="I46" s="2" t="n">
        <v>46313</v>
      </c>
      <c r="J46" t="inlineStr">
        <is>
          <t>Disetujui</t>
        </is>
      </c>
      <c r="K46" t="n">
        <v>30</v>
      </c>
      <c r="L46" t="inlineStr">
        <is>
          <t>18 Oktober 2026</t>
        </is>
      </c>
      <c r="M46" t="inlineStr">
        <is>
          <t>Konstruksi Bangunan Sipil Jalan</t>
        </is>
      </c>
      <c r="N46" t="inlineStr">
        <is>
          <t>K</t>
        </is>
      </c>
      <c r="O46" t="inlineStr">
        <is>
          <t>20231016</t>
        </is>
      </c>
      <c r="P46" t="inlineStr">
        <is>
          <t>Kalimantan Timur</t>
        </is>
      </c>
      <c r="Q46" t="inlineStr"/>
    </row>
    <row r="47">
      <c r="A47" t="inlineStr">
        <is>
          <t>BORNEO KARYA KONSTRUKSI</t>
        </is>
      </c>
      <c r="B47" t="inlineStr">
        <is>
          <t>Kab. Kubu Raya</t>
        </is>
      </c>
      <c r="C47" t="inlineStr">
        <is>
          <t>08981331563</t>
        </is>
      </c>
      <c r="D47" t="inlineStr">
        <is>
          <t>borneokaryakonstruksi.2022@gmail.com</t>
        </is>
      </c>
      <c r="E47" t="inlineStr">
        <is>
          <t>https://lpjk.pu.go.id/search-badan-usaha-detail/ZjlXUFVIdlk5WHJKb2MrYkIxL0V3UT09</t>
        </is>
      </c>
      <c r="F47" t="n">
        <v>2</v>
      </c>
      <c r="G47" t="inlineStr">
        <is>
          <t>BG009, BS001</t>
        </is>
      </c>
      <c r="H47" t="inlineStr">
        <is>
          <t>23 Desember 2022</t>
        </is>
      </c>
      <c r="I47" s="2" t="n">
        <v>46313</v>
      </c>
      <c r="J47" t="inlineStr">
        <is>
          <t>Disetujui</t>
        </is>
      </c>
      <c r="K47" t="n">
        <v>30</v>
      </c>
      <c r="L47" t="inlineStr">
        <is>
          <t>18 Oktober 2026</t>
        </is>
      </c>
      <c r="M47" t="inlineStr">
        <is>
          <t>Konstruksi Bangunan Sipil Jalan, Konstruksi Gedung Lainnya</t>
        </is>
      </c>
      <c r="N47" t="inlineStr">
        <is>
          <t>K</t>
        </is>
      </c>
      <c r="O47" t="inlineStr">
        <is>
          <t>20231018</t>
        </is>
      </c>
      <c r="P47" t="inlineStr">
        <is>
          <t>Kalimantan Barat</t>
        </is>
      </c>
      <c r="Q47" t="inlineStr"/>
    </row>
    <row r="48">
      <c r="A48" t="inlineStr">
        <is>
          <t>BULAN PURNAMA</t>
        </is>
      </c>
      <c r="B48" t="inlineStr">
        <is>
          <t>Kab. Seruyan</t>
        </is>
      </c>
      <c r="C48" t="inlineStr">
        <is>
          <t>081225919662</t>
        </is>
      </c>
      <c r="D48" t="inlineStr">
        <is>
          <t>cvbulanpurnama18@gmail.com</t>
        </is>
      </c>
      <c r="E48" t="inlineStr">
        <is>
          <t>https://lpjk.pu.go.id/search-badan-usaha-detail/RStUbTMreDlPUUJwd0JjWENoRGNTQT09</t>
        </is>
      </c>
      <c r="F48" t="n">
        <v>1</v>
      </c>
      <c r="G48" t="inlineStr">
        <is>
          <t>BS001</t>
        </is>
      </c>
      <c r="H48" t="inlineStr">
        <is>
          <t>9 Oktober 2023</t>
        </is>
      </c>
      <c r="I48" s="2" t="n">
        <v>46313</v>
      </c>
      <c r="J48" t="inlineStr">
        <is>
          <t>Disetujui</t>
        </is>
      </c>
      <c r="K48" t="n">
        <v>30</v>
      </c>
      <c r="L48" t="inlineStr">
        <is>
          <t>18 Oktober 2026</t>
        </is>
      </c>
      <c r="M48" t="inlineStr">
        <is>
          <t>Konstruksi Bangunan Sipil Jalan</t>
        </is>
      </c>
      <c r="N48" t="inlineStr">
        <is>
          <t>K</t>
        </is>
      </c>
      <c r="O48" t="inlineStr">
        <is>
          <t>20231018</t>
        </is>
      </c>
      <c r="P48" t="inlineStr">
        <is>
          <t>Kalimantan Tengah</t>
        </is>
      </c>
      <c r="Q48" t="inlineStr"/>
    </row>
    <row r="49">
      <c r="A49" t="inlineStr">
        <is>
          <t>BUMI AMANTA WIJAYA</t>
        </is>
      </c>
      <c r="B49" t="inlineStr">
        <is>
          <t>Kab. Banyumas</t>
        </is>
      </c>
      <c r="C49" t="inlineStr">
        <is>
          <t>02816843205</t>
        </is>
      </c>
      <c r="D49" t="inlineStr">
        <is>
          <t>bumi_amanta@yahoo.com</t>
        </is>
      </c>
      <c r="E49" t="inlineStr">
        <is>
          <t>https://lpjk.pu.go.id/search-badan-usaha-detail/dXZ4cmwwV3NzN1p1OVE4SExtQXJ1QT09</t>
        </is>
      </c>
      <c r="F49" t="n">
        <v>3</v>
      </c>
      <c r="G49" t="inlineStr">
        <is>
          <t>BG005, BS005, BS006</t>
        </is>
      </c>
      <c r="H49" t="inlineStr">
        <is>
          <t>4 Februari 2009</t>
        </is>
      </c>
      <c r="I49" s="2" t="n">
        <v>46313</v>
      </c>
      <c r="J49" t="inlineStr">
        <is>
          <t>Disetujui</t>
        </is>
      </c>
      <c r="K49" t="n">
        <v>30</v>
      </c>
      <c r="L49" t="inlineStr">
        <is>
          <t>18 Oktober 2026</t>
        </is>
      </c>
      <c r="M49" t="inlineStr">
        <is>
          <t>Konstruksi Bangunan Sipil Pengolahan Air Bersih, Konstruksi Bangunan Sipil Prasarana dan Sarana Sistem Pengolahan Limbah Padat, Cair, dan Gas, Konstruksi Gedung Kesehatan</t>
        </is>
      </c>
      <c r="N49" t="inlineStr">
        <is>
          <t>K</t>
        </is>
      </c>
      <c r="O49" t="inlineStr">
        <is>
          <t>20231009, 20231018, 20231020</t>
        </is>
      </c>
      <c r="P49" t="inlineStr">
        <is>
          <t>Jawa Tengah</t>
        </is>
      </c>
      <c r="Q49" t="inlineStr"/>
    </row>
    <row r="50">
      <c r="A50" t="inlineStr">
        <is>
          <t>BUMI NUSANTARA HIJAU</t>
        </is>
      </c>
      <c r="B50" t="inlineStr">
        <is>
          <t>Kota Medan</t>
        </is>
      </c>
      <c r="C50" t="inlineStr">
        <is>
          <t>081361573845</t>
        </is>
      </c>
      <c r="D50" t="inlineStr">
        <is>
          <t>buminusantarahijaupt@gmail.com</t>
        </is>
      </c>
      <c r="E50" t="inlineStr">
        <is>
          <t>https://lpjk.pu.go.id/search-badan-usaha-detail/czZFTnF5QldqWHJXWS9rVEhYdlpHUT09</t>
        </is>
      </c>
      <c r="F50" t="n">
        <v>1</v>
      </c>
      <c r="G50" t="inlineStr">
        <is>
          <t>RK001</t>
        </is>
      </c>
      <c r="H50" t="inlineStr">
        <is>
          <t>23 Desember 2019</t>
        </is>
      </c>
      <c r="I50" s="2" t="n">
        <v>46313</v>
      </c>
      <c r="J50" t="inlineStr">
        <is>
          <t>Disetujui</t>
        </is>
      </c>
      <c r="K50" t="n">
        <v>30</v>
      </c>
      <c r="L50" t="inlineStr">
        <is>
          <t>18 Oktober 2026</t>
        </is>
      </c>
      <c r="M50" t="inlineStr">
        <is>
          <t>Jasa Rekayasa Konstruksi Bangunan Gedung Hunian dan Non Hunian</t>
        </is>
      </c>
      <c r="N50" t="inlineStr">
        <is>
          <t>K</t>
        </is>
      </c>
      <c r="O50" t="inlineStr">
        <is>
          <t>20231006</t>
        </is>
      </c>
      <c r="P50" t="inlineStr">
        <is>
          <t>Sumatera Utara</t>
        </is>
      </c>
      <c r="Q50" t="inlineStr"/>
    </row>
    <row r="51">
      <c r="A51" t="inlineStr">
        <is>
          <t>BUMI SEBIMBING SEKUNDANG</t>
        </is>
      </c>
      <c r="B51" t="inlineStr">
        <is>
          <t>Kab. Indragiri Hilir</t>
        </is>
      </c>
      <c r="C51" t="inlineStr">
        <is>
          <t>08124101085</t>
        </is>
      </c>
      <c r="D51" t="inlineStr">
        <is>
          <t>cvbss02@gmail.com</t>
        </is>
      </c>
      <c r="E51" t="inlineStr">
        <is>
          <t>https://lpjk.pu.go.id/search-badan-usaha-detail/NTR2R3FTeXhKa0o1bVFTUGowblo4QT09</t>
        </is>
      </c>
      <c r="F51" t="n">
        <v>2</v>
      </c>
      <c r="G51" t="inlineStr">
        <is>
          <t>BS001, BS004</t>
        </is>
      </c>
      <c r="H51" t="inlineStr">
        <is>
          <t>11 November 2021</t>
        </is>
      </c>
      <c r="I51" s="2" t="n">
        <v>46313</v>
      </c>
      <c r="J51" t="inlineStr">
        <is>
          <t>Pencabutan</t>
        </is>
      </c>
      <c r="K51" t="n">
        <v>30</v>
      </c>
      <c r="L51" t="inlineStr">
        <is>
          <t>18 Oktober 2026</t>
        </is>
      </c>
      <c r="M51" t="inlineStr">
        <is>
          <t>Konstruksi Bangunan Sipil Jalan, Konstruksi Jaringan Irigasi dan Drainase</t>
        </is>
      </c>
      <c r="N51" t="inlineStr">
        <is>
          <t>K</t>
        </is>
      </c>
      <c r="O51" t="inlineStr">
        <is>
          <t>20231018</t>
        </is>
      </c>
      <c r="P51" t="inlineStr">
        <is>
          <t>Riau</t>
        </is>
      </c>
      <c r="Q51" t="inlineStr"/>
    </row>
    <row r="52">
      <c r="A52" t="inlineStr">
        <is>
          <t>BUNGA KARYA KONSULTAN</t>
        </is>
      </c>
      <c r="B52" t="inlineStr">
        <is>
          <t>Kab. Bojonegoro</t>
        </is>
      </c>
      <c r="C52" t="inlineStr">
        <is>
          <t>08121606081</t>
        </is>
      </c>
      <c r="D52" t="inlineStr">
        <is>
          <t>bungakarya.konsultan01@gmail.com</t>
        </is>
      </c>
      <c r="E52" t="inlineStr">
        <is>
          <t>https://lpjk.pu.go.id/search-badan-usaha-detail/MStUWVpzZW1wTlp0Qmg3UU9wa1IyUT09</t>
        </is>
      </c>
      <c r="F52" t="n">
        <v>2</v>
      </c>
      <c r="G52" t="inlineStr">
        <is>
          <t>RK001, RK002</t>
        </is>
      </c>
      <c r="H52" t="inlineStr">
        <is>
          <t>27 Oktober 2022</t>
        </is>
      </c>
      <c r="I52" s="2" t="n">
        <v>46313</v>
      </c>
      <c r="J52" t="inlineStr">
        <is>
          <t>Disetujui</t>
        </is>
      </c>
      <c r="K52" t="n">
        <v>30</v>
      </c>
      <c r="L52" t="inlineStr">
        <is>
          <t>18 Oktober 2026</t>
        </is>
      </c>
      <c r="M52" t="inlineStr">
        <is>
          <t>Jasa Rekayasa Konstruksi Bangunan Gedung Hunian dan Non Hunian, Jasa Rekayasa Pekerjaan Teknik Sipil Sumber Daya Air</t>
        </is>
      </c>
      <c r="N52" t="inlineStr">
        <is>
          <t>K</t>
        </is>
      </c>
      <c r="O52" t="inlineStr">
        <is>
          <t>20231012</t>
        </is>
      </c>
      <c r="P52" t="inlineStr">
        <is>
          <t>Jawa Timur</t>
        </is>
      </c>
      <c r="Q52" t="inlineStr"/>
    </row>
    <row r="53">
      <c r="A53" t="inlineStr">
        <is>
          <t>CAHAYA ALAM JAYA MAKMUR</t>
        </is>
      </c>
      <c r="B53" t="inlineStr">
        <is>
          <t>Kota Bandar Lampung</t>
        </is>
      </c>
      <c r="C53" t="inlineStr">
        <is>
          <t>081369168686</t>
        </is>
      </c>
      <c r="D53" t="inlineStr">
        <is>
          <t>cvcahayaalamjayamakmur@gmail.com</t>
        </is>
      </c>
      <c r="E53" t="inlineStr">
        <is>
          <t>https://lpjk.pu.go.id/search-badan-usaha-detail/RGcxa3JyUGpVaGZmcmwrUDIyT3Jrdz09</t>
        </is>
      </c>
      <c r="F53" t="n">
        <v>1</v>
      </c>
      <c r="G53" t="inlineStr">
        <is>
          <t>BS005</t>
        </is>
      </c>
      <c r="H53" t="inlineStr">
        <is>
          <t>18 September 2023</t>
        </is>
      </c>
      <c r="I53" s="2" t="n">
        <v>46313</v>
      </c>
      <c r="J53" t="inlineStr">
        <is>
          <t>Disetujui</t>
        </is>
      </c>
      <c r="K53" t="n">
        <v>30</v>
      </c>
      <c r="L53" t="inlineStr">
        <is>
          <t>18 Oktober 2026</t>
        </is>
      </c>
      <c r="M53" t="inlineStr">
        <is>
          <t>Konstruksi Bangunan Sipil Pengolahan Air Bersih</t>
        </is>
      </c>
      <c r="N53" t="inlineStr">
        <is>
          <t>K</t>
        </is>
      </c>
      <c r="O53" t="inlineStr">
        <is>
          <t>20231017</t>
        </is>
      </c>
      <c r="P53" t="inlineStr">
        <is>
          <t>Lampung</t>
        </is>
      </c>
      <c r="Q53" t="inlineStr"/>
    </row>
    <row r="54">
      <c r="A54" t="inlineStr">
        <is>
          <t>CAHAYA AURORA</t>
        </is>
      </c>
      <c r="B54" t="inlineStr">
        <is>
          <t>Kota Solok</t>
        </is>
      </c>
      <c r="C54" t="inlineStr">
        <is>
          <t>082283594373</t>
        </is>
      </c>
      <c r="D54" t="inlineStr">
        <is>
          <t>auroracahaya05@gmail.com</t>
        </is>
      </c>
      <c r="E54" t="inlineStr">
        <is>
          <t>https://lpjk.pu.go.id/search-badan-usaha-detail/WkJaYk9pVWc5UjJmYkRXd1gvUXZEUT09</t>
        </is>
      </c>
      <c r="F54" t="n">
        <v>1</v>
      </c>
      <c r="G54" t="inlineStr">
        <is>
          <t>BG002</t>
        </is>
      </c>
      <c r="H54" t="inlineStr">
        <is>
          <t>29 Januari 2015</t>
        </is>
      </c>
      <c r="I54" s="2" t="n">
        <v>46313</v>
      </c>
      <c r="J54" t="inlineStr">
        <is>
          <t>Disetujui</t>
        </is>
      </c>
      <c r="K54" t="n">
        <v>30</v>
      </c>
      <c r="L54" t="inlineStr">
        <is>
          <t>18 Oktober 2026</t>
        </is>
      </c>
      <c r="M54" t="inlineStr">
        <is>
          <t>Konstruksi Gedung Perkantoran</t>
        </is>
      </c>
      <c r="N54" t="inlineStr">
        <is>
          <t>K</t>
        </is>
      </c>
      <c r="O54" t="inlineStr">
        <is>
          <t>20231019</t>
        </is>
      </c>
      <c r="P54" t="inlineStr">
        <is>
          <t>Sumatera Barat</t>
        </is>
      </c>
      <c r="Q54" t="inlineStr"/>
    </row>
    <row r="55">
      <c r="A55" t="inlineStr">
        <is>
          <t>CAHAYA KARTIKA</t>
        </is>
      </c>
      <c r="B55" t="inlineStr">
        <is>
          <t>Kab. Cilacap</t>
        </is>
      </c>
      <c r="C55" t="inlineStr">
        <is>
          <t>813027319575</t>
        </is>
      </c>
      <c r="D55" t="inlineStr">
        <is>
          <t>cahayakartika435@yahoo.co.id</t>
        </is>
      </c>
      <c r="E55" t="inlineStr">
        <is>
          <t>https://lpjk.pu.go.id/search-badan-usaha-detail/YVQxVTR5OFlYTmJiejVaNGpsdzN0dz09</t>
        </is>
      </c>
      <c r="F55" t="n">
        <v>1</v>
      </c>
      <c r="G55" t="inlineStr">
        <is>
          <t>BS001</t>
        </is>
      </c>
      <c r="H55" t="inlineStr">
        <is>
          <t>11 Februari 2005</t>
        </is>
      </c>
      <c r="I55" s="2" t="n">
        <v>46313</v>
      </c>
      <c r="J55" t="inlineStr">
        <is>
          <t>Disetujui</t>
        </is>
      </c>
      <c r="K55" t="n">
        <v>30</v>
      </c>
      <c r="L55" t="inlineStr">
        <is>
          <t>18 Oktober 2026</t>
        </is>
      </c>
      <c r="M55" t="inlineStr">
        <is>
          <t>Konstruksi Bangunan Sipil Jalan</t>
        </is>
      </c>
      <c r="N55" t="inlineStr">
        <is>
          <t>M</t>
        </is>
      </c>
      <c r="O55" t="inlineStr">
        <is>
          <t>20230919</t>
        </is>
      </c>
      <c r="P55" t="inlineStr">
        <is>
          <t>Jawa Tengah</t>
        </is>
      </c>
      <c r="Q55" t="inlineStr"/>
    </row>
    <row r="56">
      <c r="A56" t="inlineStr">
        <is>
          <t>CAHAYA SEMESTA</t>
        </is>
      </c>
      <c r="B56" t="inlineStr">
        <is>
          <t>Kota Surabaya</t>
        </is>
      </c>
      <c r="C56" t="inlineStr">
        <is>
          <t>085645012345</t>
        </is>
      </c>
      <c r="D56" t="inlineStr">
        <is>
          <t>cahayasemestarini2021@gmail.com</t>
        </is>
      </c>
      <c r="E56" t="inlineStr">
        <is>
          <t>https://lpjk.pu.go.id/search-badan-usaha-detail/WjYvVmFSM2ZPUXBaUE0rMy9nQmVIQT09</t>
        </is>
      </c>
      <c r="F56" t="n">
        <v>1</v>
      </c>
      <c r="G56" t="inlineStr">
        <is>
          <t>BG002</t>
        </is>
      </c>
      <c r="H56" t="inlineStr">
        <is>
          <t>8 April 2010</t>
        </is>
      </c>
      <c r="I56" s="2" t="n">
        <v>46313</v>
      </c>
      <c r="J56" t="inlineStr">
        <is>
          <t>Disetujui</t>
        </is>
      </c>
      <c r="K56" t="n">
        <v>30</v>
      </c>
      <c r="L56" t="inlineStr">
        <is>
          <t>18 Oktober 2026</t>
        </is>
      </c>
      <c r="M56" t="inlineStr">
        <is>
          <t>Konstruksi Gedung Perkantoran</t>
        </is>
      </c>
      <c r="N56" t="inlineStr">
        <is>
          <t>K</t>
        </is>
      </c>
      <c r="O56" t="inlineStr">
        <is>
          <t>20231003</t>
        </is>
      </c>
      <c r="P56" t="inlineStr">
        <is>
          <t>Jawa Timur</t>
        </is>
      </c>
      <c r="Q56" t="inlineStr"/>
    </row>
    <row r="57">
      <c r="A57" t="inlineStr">
        <is>
          <t>CIPTA BANGUN KAIRA</t>
        </is>
      </c>
      <c r="B57" t="inlineStr">
        <is>
          <t>Kota Adm. Jakarta Pusat</t>
        </is>
      </c>
      <c r="C57" t="inlineStr">
        <is>
          <t>0895383243551</t>
        </is>
      </c>
      <c r="D57" t="inlineStr">
        <is>
          <t>ciptabangunkaira@gmail.com</t>
        </is>
      </c>
      <c r="E57" t="inlineStr">
        <is>
          <t>https://lpjk.pu.go.id/search-badan-usaha-detail/c29zaWN2QlBpUWNOdkNJUzh1L2F2QT09</t>
        </is>
      </c>
      <c r="F57" t="n">
        <v>4</v>
      </c>
      <c r="G57" t="inlineStr">
        <is>
          <t>BG001, BG002</t>
        </is>
      </c>
      <c r="H57" t="inlineStr">
        <is>
          <t>11 Oktober 2023</t>
        </is>
      </c>
      <c r="I57" s="2" t="n">
        <v>46313</v>
      </c>
      <c r="J57" t="inlineStr">
        <is>
          <t>Disetujui, Pencabutan</t>
        </is>
      </c>
      <c r="K57" t="n">
        <v>30</v>
      </c>
      <c r="L57" t="inlineStr">
        <is>
          <t>18 Oktober 2026</t>
        </is>
      </c>
      <c r="M57" t="inlineStr">
        <is>
          <t>Konstruksi Gedung Hunian, Konstruksi Gedung Perkantoran</t>
        </is>
      </c>
      <c r="N57" t="inlineStr">
        <is>
          <t>K</t>
        </is>
      </c>
      <c r="O57" t="inlineStr">
        <is>
          <t>20231017</t>
        </is>
      </c>
      <c r="P57" t="inlineStr">
        <is>
          <t>DKI Jakarta</t>
        </is>
      </c>
      <c r="Q57" t="inlineStr"/>
    </row>
    <row r="58">
      <c r="A58" t="inlineStr">
        <is>
          <t>CIPTA TUNGGUL WILIS</t>
        </is>
      </c>
      <c r="B58" t="inlineStr">
        <is>
          <t>Kab. Nganjuk</t>
        </is>
      </c>
      <c r="C58" t="inlineStr">
        <is>
          <t>85649268460</t>
        </is>
      </c>
      <c r="D58" t="inlineStr">
        <is>
          <t>ciptatunggulwilis@gmail.com</t>
        </is>
      </c>
      <c r="E58" t="inlineStr">
        <is>
          <t>https://lpjk.pu.go.id/search-badan-usaha-detail/K2ppSjFoa2tlZStuQkFVdzJCbFd5QT09</t>
        </is>
      </c>
      <c r="F58" t="n">
        <v>4</v>
      </c>
      <c r="G58" t="inlineStr">
        <is>
          <t>BS004, BS010</t>
        </is>
      </c>
      <c r="H58" t="inlineStr">
        <is>
          <t>23 Oktober 2020</t>
        </is>
      </c>
      <c r="I58" s="2" t="n">
        <v>46313</v>
      </c>
      <c r="J58" t="inlineStr">
        <is>
          <t>Disetujui</t>
        </is>
      </c>
      <c r="K58" t="n">
        <v>30</v>
      </c>
      <c r="L58" t="inlineStr">
        <is>
          <t>18 Oktober 2026</t>
        </is>
      </c>
      <c r="M58" t="inlineStr">
        <is>
          <t>Konstruksi Bangunan Prasarana Sumber Daya Air, Konstruksi Jaringan Irigasi dan Drainase</t>
        </is>
      </c>
      <c r="N58" t="inlineStr">
        <is>
          <t>K</t>
        </is>
      </c>
      <c r="O58" t="inlineStr">
        <is>
          <t>20231018</t>
        </is>
      </c>
      <c r="P58" t="inlineStr">
        <is>
          <t>Jawa Timur</t>
        </is>
      </c>
      <c r="Q58" t="inlineStr"/>
    </row>
    <row r="59">
      <c r="A59" t="inlineStr">
        <is>
          <t>CITRA AGUNG</t>
        </is>
      </c>
      <c r="B59" t="inlineStr">
        <is>
          <t>Kab. Karawang</t>
        </is>
      </c>
      <c r="C59" t="inlineStr">
        <is>
          <t>081298470668</t>
        </is>
      </c>
      <c r="D59" t="inlineStr">
        <is>
          <t>cv.citraagung22@gmail.com</t>
        </is>
      </c>
      <c r="E59" t="inlineStr">
        <is>
          <t>https://lpjk.pu.go.id/search-badan-usaha-detail/YUtTWEorRkZUMmlmUDJxUUtQanNkQT09</t>
        </is>
      </c>
      <c r="F59" t="n">
        <v>8</v>
      </c>
      <c r="G59" t="inlineStr">
        <is>
          <t>BG002, BG005, BG006, BG009, BS001, BS002, BS004, BS005</t>
        </is>
      </c>
      <c r="H59" t="inlineStr">
        <is>
          <t>19 Juni 2000</t>
        </is>
      </c>
      <c r="I59" s="2" t="n">
        <v>46313</v>
      </c>
      <c r="J59" t="inlineStr">
        <is>
          <t>Disetujui</t>
        </is>
      </c>
      <c r="K59" t="n">
        <v>30</v>
      </c>
      <c r="L59" t="inlineStr">
        <is>
          <t>18 Oktober 2026</t>
        </is>
      </c>
      <c r="M59" t="inlineStr">
        <is>
          <t>Bangunan Sipil Jembatan, Jalan Layang, Fly Over, dan Underpass, Konstruksi Bangunan Sipil Jalan, Konstruksi Bangunan Sipil Pengolahan Air Bersih, Konstruksi Gedung Kesehatan, Konstruksi Gedung Lainnya, Konstruksi Gedung Pendidikan, Konstruksi Gedung Perkantoran, Konstruksi Jaringan Irigasi dan Drainase</t>
        </is>
      </c>
      <c r="N59" t="inlineStr">
        <is>
          <t>K</t>
        </is>
      </c>
      <c r="O59" t="inlineStr">
        <is>
          <t>20231016</t>
        </is>
      </c>
      <c r="P59" t="inlineStr">
        <is>
          <t>Jawa Barat</t>
        </is>
      </c>
      <c r="Q59" t="inlineStr"/>
    </row>
    <row r="60">
      <c r="A60" t="inlineStr">
        <is>
          <t>CITRA DWIDAYA CEMERLANG</t>
        </is>
      </c>
      <c r="B60" t="inlineStr">
        <is>
          <t>Kab. Blora</t>
        </is>
      </c>
      <c r="C60" t="inlineStr">
        <is>
          <t>02964271616</t>
        </is>
      </c>
      <c r="D60" t="inlineStr">
        <is>
          <t>cdc@petroce.com</t>
        </is>
      </c>
      <c r="E60" t="inlineStr">
        <is>
          <t>https://lpjk.pu.go.id/search-badan-usaha-detail/YzZzWVdkTVNjS2lHRnBjNjVvM3AwZz09</t>
        </is>
      </c>
      <c r="F60" t="n">
        <v>1</v>
      </c>
      <c r="G60" t="inlineStr">
        <is>
          <t>PL008</t>
        </is>
      </c>
      <c r="H60" t="inlineStr">
        <is>
          <t>9 Maret 2004</t>
        </is>
      </c>
      <c r="I60" s="2" t="n">
        <v>46313</v>
      </c>
      <c r="J60" t="inlineStr">
        <is>
          <t>Pembekuan</t>
        </is>
      </c>
      <c r="K60" t="n">
        <v>30</v>
      </c>
      <c r="L60" t="inlineStr">
        <is>
          <t>18 Oktober 2026</t>
        </is>
      </c>
      <c r="M60" t="inlineStr">
        <is>
          <t>Pemasangan Perancah (Steiger)</t>
        </is>
      </c>
      <c r="N60" t="inlineStr">
        <is>
          <t>Spesialis</t>
        </is>
      </c>
      <c r="O60" t="inlineStr">
        <is>
          <t>20231017</t>
        </is>
      </c>
      <c r="P60" t="inlineStr">
        <is>
          <t>Jawa Tengah</t>
        </is>
      </c>
      <c r="Q60" t="inlineStr"/>
    </row>
    <row r="61">
      <c r="A61" t="inlineStr">
        <is>
          <t>CITRA KARYA</t>
        </is>
      </c>
      <c r="B61" t="inlineStr">
        <is>
          <t>Kota Tanjung Pinang</t>
        </is>
      </c>
      <c r="C61" t="inlineStr">
        <is>
          <t>082363833698</t>
        </is>
      </c>
      <c r="D61" t="inlineStr">
        <is>
          <t>teguhgunawan33@yahoo.com</t>
        </is>
      </c>
      <c r="E61" t="inlineStr">
        <is>
          <t>https://lpjk.pu.go.id/search-badan-usaha-detail/ZGlWMFJYdytxeVpyelNLQ2FCcjBydz09</t>
        </is>
      </c>
      <c r="F61" t="n">
        <v>2</v>
      </c>
      <c r="G61" t="inlineStr">
        <is>
          <t>RK001, RK003</t>
        </is>
      </c>
      <c r="H61" t="inlineStr">
        <is>
          <t>22 Juni 2012</t>
        </is>
      </c>
      <c r="I61" s="2" t="n">
        <v>46313</v>
      </c>
      <c r="J61" t="inlineStr">
        <is>
          <t>Disetujui</t>
        </is>
      </c>
      <c r="K61" t="n">
        <v>30</v>
      </c>
      <c r="L61" t="inlineStr">
        <is>
          <t>18 Oktober 2026</t>
        </is>
      </c>
      <c r="M61" t="inlineStr">
        <is>
          <t>Jasa Rekayasa Konstruksi Bangunan Gedung Hunian dan Non Hunian, Jasa Rekayasa Pekerjaan Teknik Sipil Transportasi</t>
        </is>
      </c>
      <c r="N61" t="inlineStr">
        <is>
          <t>K</t>
        </is>
      </c>
      <c r="O61" t="inlineStr">
        <is>
          <t>20230927, 20231003</t>
        </is>
      </c>
      <c r="P61" t="inlineStr">
        <is>
          <t>Kepulauan Riau</t>
        </is>
      </c>
      <c r="Q61" t="inlineStr"/>
    </row>
    <row r="62">
      <c r="A62" t="inlineStr">
        <is>
          <t>CITRA SEJAHTERA MANDIRI</t>
        </is>
      </c>
      <c r="B62" t="inlineStr">
        <is>
          <t>Kota Medan</t>
        </is>
      </c>
      <c r="C62" t="inlineStr">
        <is>
          <t>08116391970</t>
        </is>
      </c>
      <c r="D62" t="inlineStr">
        <is>
          <t>citrasejahteramandiri_cv@yahoo.co.id</t>
        </is>
      </c>
      <c r="E62" t="inlineStr">
        <is>
          <t>https://lpjk.pu.go.id/search-badan-usaha-detail/S05OUS9kN2pKY3ZtSWdxVk92VTQ5Zz09</t>
        </is>
      </c>
      <c r="F62" t="n">
        <v>4</v>
      </c>
      <c r="G62" t="inlineStr">
        <is>
          <t>BG001, BG009, BS001, BS004</t>
        </is>
      </c>
      <c r="H62" t="inlineStr">
        <is>
          <t>15 Januari 2007</t>
        </is>
      </c>
      <c r="I62" s="2" t="n">
        <v>46313</v>
      </c>
      <c r="J62" t="inlineStr">
        <is>
          <t>Pencabutan</t>
        </is>
      </c>
      <c r="K62" t="n">
        <v>30</v>
      </c>
      <c r="L62" t="inlineStr">
        <is>
          <t>18 Oktober 2026</t>
        </is>
      </c>
      <c r="M62" t="inlineStr">
        <is>
          <t>Konstruksi Bangunan Sipil Jalan, Konstruksi Gedung Hunian, Konstruksi Gedung Lainnya, Konstruksi Jaringan Irigasi dan Drainase</t>
        </is>
      </c>
      <c r="N62" t="inlineStr">
        <is>
          <t>K</t>
        </is>
      </c>
      <c r="O62" t="inlineStr">
        <is>
          <t>20231017, 20231023</t>
        </is>
      </c>
      <c r="P62" t="inlineStr">
        <is>
          <t>Sumatera Utara</t>
        </is>
      </c>
      <c r="Q62" t="inlineStr"/>
    </row>
    <row r="63">
      <c r="A63" t="inlineStr">
        <is>
          <t>CONSTRUCTION INDONESIA</t>
        </is>
      </c>
      <c r="B63" t="inlineStr">
        <is>
          <t>Kab. Musi Banyuasin</t>
        </is>
      </c>
      <c r="C63" t="inlineStr">
        <is>
          <t>082183583993</t>
        </is>
      </c>
      <c r="D63" t="inlineStr">
        <is>
          <t>cvcontructionindonesiacontruct@gmail.com</t>
        </is>
      </c>
      <c r="E63" t="inlineStr">
        <is>
          <t>https://lpjk.pu.go.id/search-badan-usaha-detail/SkpKVUxod1h0MWttK3NiQ0RuOTM5UT09</t>
        </is>
      </c>
      <c r="F63" t="n">
        <v>1</v>
      </c>
      <c r="G63" t="inlineStr">
        <is>
          <t>BG004</t>
        </is>
      </c>
      <c r="H63" t="inlineStr">
        <is>
          <t>11 Januari 2015</t>
        </is>
      </c>
      <c r="I63" s="2" t="n">
        <v>46313</v>
      </c>
      <c r="J63" t="inlineStr">
        <is>
          <t>Disetujui</t>
        </is>
      </c>
      <c r="K63" t="n">
        <v>30</v>
      </c>
      <c r="L63" t="inlineStr">
        <is>
          <t>18 Oktober 2026</t>
        </is>
      </c>
      <c r="M63" t="inlineStr">
        <is>
          <t>Konstruksi Gedung Perbelanjaan</t>
        </is>
      </c>
      <c r="N63" t="inlineStr">
        <is>
          <t>K</t>
        </is>
      </c>
      <c r="O63" t="inlineStr">
        <is>
          <t>20231017</t>
        </is>
      </c>
      <c r="P63" t="inlineStr">
        <is>
          <t>Sumatera Selatan</t>
        </is>
      </c>
      <c r="Q63" t="inlineStr"/>
    </row>
    <row r="64">
      <c r="A64" t="inlineStr">
        <is>
          <t>CV. HANISSA PRATAMA</t>
        </is>
      </c>
      <c r="B64" t="inlineStr">
        <is>
          <t>Kab. Cirebon</t>
        </is>
      </c>
      <c r="C64" t="inlineStr">
        <is>
          <t>081395704155</t>
        </is>
      </c>
      <c r="D64" t="inlineStr">
        <is>
          <t>HANISSA.PRATAM55@GMAIL.COM</t>
        </is>
      </c>
      <c r="E64" t="inlineStr">
        <is>
          <t>https://lpjk.pu.go.id/search-badan-usaha-detail/aUJMc3hHVE12MzFuSDhqbk5PWU9HUT09</t>
        </is>
      </c>
      <c r="F64" t="n">
        <v>3</v>
      </c>
      <c r="G64" t="inlineStr">
        <is>
          <t>RK001, RK002, RK003</t>
        </is>
      </c>
      <c r="H64" t="inlineStr">
        <is>
          <t>8 November 2019</t>
        </is>
      </c>
      <c r="I64" s="2" t="n">
        <v>46313</v>
      </c>
      <c r="J64" t="inlineStr">
        <is>
          <t>Disetujui</t>
        </is>
      </c>
      <c r="K64" t="n">
        <v>30</v>
      </c>
      <c r="L64" t="inlineStr">
        <is>
          <t>18 Oktober 2026</t>
        </is>
      </c>
      <c r="M64" t="inlineStr">
        <is>
          <t>Jasa Rekayasa Konstruksi Bangunan Gedung Hunian dan Non Hunian, Jasa Rekayasa Pekerjaan Teknik Sipil Sumber Daya Air, Jasa Rekayasa Pekerjaan Teknik Sipil Transportasi</t>
        </is>
      </c>
      <c r="N64" t="inlineStr">
        <is>
          <t>K</t>
        </is>
      </c>
      <c r="O64" t="inlineStr">
        <is>
          <t>20231012</t>
        </is>
      </c>
      <c r="P64" t="inlineStr">
        <is>
          <t>Jawa Barat</t>
        </is>
      </c>
      <c r="Q64" t="inlineStr"/>
    </row>
    <row r="65">
      <c r="A65" t="inlineStr">
        <is>
          <t>DAMAR BIRAWA KARYA</t>
        </is>
      </c>
      <c r="B65" t="inlineStr">
        <is>
          <t>Kota Tangerang Selatan</t>
        </is>
      </c>
      <c r="C65" t="inlineStr">
        <is>
          <t>081291966737</t>
        </is>
      </c>
      <c r="D65" t="inlineStr">
        <is>
          <t>karyadamarbirawa@gmail.com</t>
        </is>
      </c>
      <c r="E65" t="inlineStr">
        <is>
          <t>https://lpjk.pu.go.id/search-badan-usaha-detail/bDkxaGVhRFlNeGJqUjhIdzlqQ1dvdz09</t>
        </is>
      </c>
      <c r="F65" t="n">
        <v>8</v>
      </c>
      <c r="G65" t="inlineStr">
        <is>
          <t>AR001, AR002, RK001, RK004</t>
        </is>
      </c>
      <c r="H65" t="inlineStr">
        <is>
          <t>14 Februari 2020</t>
        </is>
      </c>
      <c r="I65" s="2" t="n">
        <v>46313</v>
      </c>
      <c r="J65" t="inlineStr">
        <is>
          <t>Disetujui</t>
        </is>
      </c>
      <c r="K65" t="n">
        <v>30</v>
      </c>
      <c r="L65" t="inlineStr">
        <is>
          <t>18 Oktober 2026</t>
        </is>
      </c>
      <c r="M65" t="inlineStr">
        <is>
          <t>Jasa Arsitektural Bangunan Gedung Hunian dan Non Hunian, Jasa Arsitektural Lainnya, Jasa Rekayasa Konstruksi Bangunan Gedung Hunian dan Non Hunian, Jasa Rekayasa Pekerjaan Mekanikal Dalam Bangunan</t>
        </is>
      </c>
      <c r="N65" t="inlineStr">
        <is>
          <t>K</t>
        </is>
      </c>
      <c r="O65" t="inlineStr">
        <is>
          <t>20231012</t>
        </is>
      </c>
      <c r="P65" t="inlineStr">
        <is>
          <t>Banten</t>
        </is>
      </c>
      <c r="Q65" t="inlineStr"/>
    </row>
    <row r="66">
      <c r="A66" t="inlineStr">
        <is>
          <t>DAYARAYA KONSTRUKSI</t>
        </is>
      </c>
      <c r="B66" t="inlineStr">
        <is>
          <t>Kab. Kutai Kartanegara</t>
        </is>
      </c>
      <c r="C66" t="inlineStr">
        <is>
          <t>081347704347</t>
        </is>
      </c>
      <c r="D66" t="inlineStr">
        <is>
          <t>cvdayarayakonstruksi@gmail.com</t>
        </is>
      </c>
      <c r="E66" t="inlineStr">
        <is>
          <t>https://lpjk.pu.go.id/search-badan-usaha-detail/Y3RVQjJmaXNWaE4rcnl1ZnVuM2dKQT09</t>
        </is>
      </c>
      <c r="F66" t="n">
        <v>1</v>
      </c>
      <c r="G66" t="inlineStr">
        <is>
          <t>BS001</t>
        </is>
      </c>
      <c r="H66" t="inlineStr">
        <is>
          <t>1 September 2023</t>
        </is>
      </c>
      <c r="I66" s="2" t="n">
        <v>46313</v>
      </c>
      <c r="J66" t="inlineStr">
        <is>
          <t>Disetujui</t>
        </is>
      </c>
      <c r="K66" t="n">
        <v>30</v>
      </c>
      <c r="L66" t="inlineStr">
        <is>
          <t>18 Oktober 2026</t>
        </is>
      </c>
      <c r="M66" t="inlineStr">
        <is>
          <t>Konstruksi Bangunan Sipil Jalan</t>
        </is>
      </c>
      <c r="N66" t="inlineStr">
        <is>
          <t>K</t>
        </is>
      </c>
      <c r="O66" t="inlineStr">
        <is>
          <t>20231017</t>
        </is>
      </c>
      <c r="P66" t="inlineStr">
        <is>
          <t>Kalimantan Timur</t>
        </is>
      </c>
      <c r="Q66" t="inlineStr"/>
    </row>
    <row r="67">
      <c r="A67" t="inlineStr">
        <is>
          <t>DELINEASI RUPABUMI KONSULTAN</t>
        </is>
      </c>
      <c r="B67" t="inlineStr">
        <is>
          <t>Kota Makassar</t>
        </is>
      </c>
      <c r="C67" t="inlineStr">
        <is>
          <t>081355555976</t>
        </is>
      </c>
      <c r="D67" t="inlineStr">
        <is>
          <t>delineasirupabumikonsultan@yahoo.com</t>
        </is>
      </c>
      <c r="E67" t="inlineStr">
        <is>
          <t>https://lpjk.pu.go.id/search-badan-usaha-detail/bXk0T0t5Y29hbGNkUnNuYmJBMFBLUT09</t>
        </is>
      </c>
      <c r="F67" t="n">
        <v>1</v>
      </c>
      <c r="G67" t="inlineStr">
        <is>
          <t>AR001</t>
        </is>
      </c>
      <c r="H67" t="inlineStr">
        <is>
          <t>29 November 2016</t>
        </is>
      </c>
      <c r="I67" s="2" t="n">
        <v>46313</v>
      </c>
      <c r="J67" t="inlineStr">
        <is>
          <t>Disetujui</t>
        </is>
      </c>
      <c r="K67" t="n">
        <v>30</v>
      </c>
      <c r="L67" t="inlineStr">
        <is>
          <t>18 Oktober 2026</t>
        </is>
      </c>
      <c r="M67" t="inlineStr">
        <is>
          <t>Jasa Arsitektural Bangunan Gedung Hunian dan Non Hunian</t>
        </is>
      </c>
      <c r="N67" t="inlineStr">
        <is>
          <t>K</t>
        </is>
      </c>
      <c r="O67" t="inlineStr">
        <is>
          <t>20231009</t>
        </is>
      </c>
      <c r="P67" t="inlineStr">
        <is>
          <t>Sulawesi Selatan</t>
        </is>
      </c>
      <c r="Q67" t="inlineStr"/>
    </row>
    <row r="68">
      <c r="A68" t="inlineStr">
        <is>
          <t>DIAN KARYA PERDANA</t>
        </is>
      </c>
      <c r="B68" t="inlineStr">
        <is>
          <t>Kab. Kotawaringin Barat</t>
        </is>
      </c>
      <c r="C68" t="inlineStr">
        <is>
          <t>085332355200</t>
        </is>
      </c>
      <c r="D68" t="inlineStr">
        <is>
          <t>cvdiankaryaperdana@gmail.com</t>
        </is>
      </c>
      <c r="E68" t="inlineStr">
        <is>
          <t>https://lpjk.pu.go.id/search-badan-usaha-detail/N3VXTUs5OHVvdVB6a2VGeW54Z09nZz09</t>
        </is>
      </c>
      <c r="F68" t="n">
        <v>2</v>
      </c>
      <c r="G68" t="inlineStr">
        <is>
          <t>BG009, BS001</t>
        </is>
      </c>
      <c r="H68" t="inlineStr">
        <is>
          <t>26 Februari 2019</t>
        </is>
      </c>
      <c r="I68" s="2" t="n">
        <v>46313</v>
      </c>
      <c r="J68" t="inlineStr">
        <is>
          <t>Disetujui</t>
        </is>
      </c>
      <c r="K68" t="n">
        <v>30</v>
      </c>
      <c r="L68" t="inlineStr">
        <is>
          <t>18 Oktober 2026</t>
        </is>
      </c>
      <c r="M68" t="inlineStr">
        <is>
          <t>Konstruksi Bangunan Sipil Jalan, Konstruksi Gedung Lainnya</t>
        </is>
      </c>
      <c r="N68" t="inlineStr">
        <is>
          <t>K</t>
        </is>
      </c>
      <c r="O68" t="inlineStr">
        <is>
          <t>20231016</t>
        </is>
      </c>
      <c r="P68" t="inlineStr">
        <is>
          <t>Kalimantan Tengah</t>
        </is>
      </c>
      <c r="Q68" t="inlineStr"/>
    </row>
    <row r="69">
      <c r="A69" t="inlineStr">
        <is>
          <t>DIMENSI STATIKA</t>
        </is>
      </c>
      <c r="B69" t="inlineStr">
        <is>
          <t>Kota Jambi</t>
        </is>
      </c>
      <c r="C69" t="inlineStr">
        <is>
          <t>081274797872</t>
        </is>
      </c>
      <c r="D69" t="inlineStr">
        <is>
          <t>statika.dimensi@gmail.com</t>
        </is>
      </c>
      <c r="E69" t="inlineStr">
        <is>
          <t>https://lpjk.pu.go.id/search-badan-usaha-detail/Q2JQRWJPeTBWNjBKdjZpWko2cVN1Zz09</t>
        </is>
      </c>
      <c r="F69" t="n">
        <v>1</v>
      </c>
      <c r="G69" t="inlineStr">
        <is>
          <t>RK005</t>
        </is>
      </c>
      <c r="H69" t="inlineStr">
        <is>
          <t>20 Oktober 2009</t>
        </is>
      </c>
      <c r="I69" s="2" t="n">
        <v>46313</v>
      </c>
      <c r="J69" t="inlineStr">
        <is>
          <t>Disetujui</t>
        </is>
      </c>
      <c r="K69" t="n">
        <v>30</v>
      </c>
      <c r="L69" t="inlineStr">
        <is>
          <t>18 Oktober 2026</t>
        </is>
      </c>
      <c r="M69" t="inlineStr">
        <is>
          <t>Jasa Rekayasa Lainnya</t>
        </is>
      </c>
      <c r="N69" t="inlineStr">
        <is>
          <t>K</t>
        </is>
      </c>
      <c r="O69" t="inlineStr">
        <is>
          <t>20231011</t>
        </is>
      </c>
      <c r="P69" t="inlineStr">
        <is>
          <t>Jambi</t>
        </is>
      </c>
      <c r="Q69" t="inlineStr"/>
    </row>
    <row r="70">
      <c r="A70" t="inlineStr">
        <is>
          <t>DUA MAHKOTA ABADI</t>
        </is>
      </c>
      <c r="B70" t="inlineStr">
        <is>
          <t>Kab. Kutai Timur</t>
        </is>
      </c>
      <c r="C70" t="inlineStr">
        <is>
          <t>082153830383</t>
        </is>
      </c>
      <c r="D70" t="inlineStr">
        <is>
          <t>duamahkotaabadi@gmail.com</t>
        </is>
      </c>
      <c r="E70" t="inlineStr">
        <is>
          <t>https://lpjk.pu.go.id/search-badan-usaha-detail/Y2RZY3dxK1BrZHNMekphTUo5MTU5dz09</t>
        </is>
      </c>
      <c r="F70" t="n">
        <v>6</v>
      </c>
      <c r="G70" t="inlineStr">
        <is>
          <t>BG001, BG002, BG006, BG009, BS001, BS004</t>
        </is>
      </c>
      <c r="H70" t="inlineStr">
        <is>
          <t>4 September 2023</t>
        </is>
      </c>
      <c r="I70" s="2" t="n">
        <v>46313</v>
      </c>
      <c r="J70" t="inlineStr">
        <is>
          <t>Disetujui</t>
        </is>
      </c>
      <c r="K70" t="n">
        <v>30</v>
      </c>
      <c r="L70" t="inlineStr">
        <is>
          <t>18 Oktober 2026</t>
        </is>
      </c>
      <c r="M70" t="inlineStr">
        <is>
          <t>Konstruksi Bangunan Sipil Jalan, Konstruksi Gedung Hunian, Konstruksi Gedung Lainnya, Konstruksi Gedung Pendidikan, Konstruksi Gedung Perkantoran, Konstruksi Jaringan Irigasi dan Drainase</t>
        </is>
      </c>
      <c r="N70" t="inlineStr">
        <is>
          <t>K</t>
        </is>
      </c>
      <c r="O70" t="inlineStr">
        <is>
          <t>20231019</t>
        </is>
      </c>
      <c r="P70" t="inlineStr">
        <is>
          <t>Kalimantan Timur</t>
        </is>
      </c>
      <c r="Q70" t="inlineStr"/>
    </row>
    <row r="71">
      <c r="A71" t="inlineStr">
        <is>
          <t>DUTA DIWA MANDIRI</t>
        </is>
      </c>
      <c r="B71" t="inlineStr">
        <is>
          <t>Kota Tangerang Selatan</t>
        </is>
      </c>
      <c r="C71" t="inlineStr">
        <is>
          <t>02127598708</t>
        </is>
      </c>
      <c r="D71" t="inlineStr">
        <is>
          <t>dutadiwa@gmail.com</t>
        </is>
      </c>
      <c r="E71" t="inlineStr">
        <is>
          <t>https://lpjk.pu.go.id/search-badan-usaha-detail/b085Vmg4b3dndWY4NzJtQVAxR3lQQT09</t>
        </is>
      </c>
      <c r="F71" t="n">
        <v>4</v>
      </c>
      <c r="G71" t="inlineStr">
        <is>
          <t>BG002, BG009, BS001, BS004</t>
        </is>
      </c>
      <c r="H71" t="inlineStr">
        <is>
          <t>27 Januari 2016</t>
        </is>
      </c>
      <c r="I71" s="2" t="n">
        <v>46313</v>
      </c>
      <c r="J71" t="inlineStr">
        <is>
          <t>Disetujui</t>
        </is>
      </c>
      <c r="K71" t="n">
        <v>30</v>
      </c>
      <c r="L71" t="inlineStr">
        <is>
          <t>18 Oktober 2026</t>
        </is>
      </c>
      <c r="M71" t="inlineStr">
        <is>
          <t>Konstruksi Bangunan Sipil Jalan, Konstruksi Gedung Lainnya, Konstruksi Gedung Perkantoran, Konstruksi Jaringan Irigasi dan Drainase</t>
        </is>
      </c>
      <c r="N71" t="inlineStr">
        <is>
          <t>K</t>
        </is>
      </c>
      <c r="O71" t="inlineStr">
        <is>
          <t>20231005</t>
        </is>
      </c>
      <c r="P71" t="inlineStr">
        <is>
          <t>Banten</t>
        </is>
      </c>
      <c r="Q71" t="inlineStr"/>
    </row>
    <row r="72">
      <c r="A72" t="inlineStr">
        <is>
          <t>DUTAJAYA KONSTRUKSI</t>
        </is>
      </c>
      <c r="B72" t="inlineStr">
        <is>
          <t>Kab. Kutai Kartanegara</t>
        </is>
      </c>
      <c r="C72" t="inlineStr">
        <is>
          <t>082154316629</t>
        </is>
      </c>
      <c r="D72" t="inlineStr">
        <is>
          <t>cvdutajayakonstruksi@gmail.com</t>
        </is>
      </c>
      <c r="E72" t="inlineStr">
        <is>
          <t>https://lpjk.pu.go.id/search-badan-usaha-detail/VzBXemdxajNiaFRUVE9ySWdXd01qQT09</t>
        </is>
      </c>
      <c r="F72" t="n">
        <v>1</v>
      </c>
      <c r="G72" t="inlineStr">
        <is>
          <t>BS001</t>
        </is>
      </c>
      <c r="H72" t="inlineStr">
        <is>
          <t>1 September 2023</t>
        </is>
      </c>
      <c r="I72" s="2" t="n">
        <v>46313</v>
      </c>
      <c r="J72" t="inlineStr">
        <is>
          <t>Disetujui</t>
        </is>
      </c>
      <c r="K72" t="n">
        <v>30</v>
      </c>
      <c r="L72" t="inlineStr">
        <is>
          <t>18 Oktober 2026</t>
        </is>
      </c>
      <c r="M72" t="inlineStr">
        <is>
          <t>Konstruksi Bangunan Sipil Jalan</t>
        </is>
      </c>
      <c r="N72" t="inlineStr">
        <is>
          <t>K</t>
        </is>
      </c>
      <c r="O72" t="inlineStr">
        <is>
          <t>20231017</t>
        </is>
      </c>
      <c r="P72" t="inlineStr">
        <is>
          <t>Kalimantan Timur</t>
        </is>
      </c>
      <c r="Q72" t="inlineStr"/>
    </row>
    <row r="73">
      <c r="A73" t="inlineStr">
        <is>
          <t>EKA WIJAYA SURYA</t>
        </is>
      </c>
      <c r="B73" t="inlineStr">
        <is>
          <t>Kab. Karawang</t>
        </is>
      </c>
      <c r="C73" t="inlineStr">
        <is>
          <t>081384788666</t>
        </is>
      </c>
      <c r="D73" t="inlineStr">
        <is>
          <t>ekawijayasuryacv@gmail.com</t>
        </is>
      </c>
      <c r="E73" t="inlineStr">
        <is>
          <t>https://lpjk.pu.go.id/search-badan-usaha-detail/NUdrNmd3cW9RRU1uamczUkxKV21LZz09</t>
        </is>
      </c>
      <c r="F73" t="n">
        <v>1</v>
      </c>
      <c r="G73" t="inlineStr">
        <is>
          <t>BG009</t>
        </is>
      </c>
      <c r="H73" t="inlineStr">
        <is>
          <t>26 Maret 2015</t>
        </is>
      </c>
      <c r="I73" s="2" t="n">
        <v>46313</v>
      </c>
      <c r="J73" t="inlineStr">
        <is>
          <t>Disetujui</t>
        </is>
      </c>
      <c r="K73" t="n">
        <v>30</v>
      </c>
      <c r="L73" t="inlineStr">
        <is>
          <t>18 Oktober 2026</t>
        </is>
      </c>
      <c r="M73" t="inlineStr">
        <is>
          <t>Konstruksi Gedung Lainnya</t>
        </is>
      </c>
      <c r="N73" t="inlineStr">
        <is>
          <t>K</t>
        </is>
      </c>
      <c r="O73" t="inlineStr">
        <is>
          <t>20231019</t>
        </is>
      </c>
      <c r="P73" t="inlineStr">
        <is>
          <t>Jawa Barat</t>
        </is>
      </c>
      <c r="Q73" t="inlineStr"/>
    </row>
    <row r="74">
      <c r="A74" t="inlineStr">
        <is>
          <t>ELSA NUREGA</t>
        </is>
      </c>
      <c r="B74" t="inlineStr">
        <is>
          <t>Kab. Gunungkidul</t>
        </is>
      </c>
      <c r="C74" t="inlineStr">
        <is>
          <t>0882008379708</t>
        </is>
      </c>
      <c r="D74" t="inlineStr">
        <is>
          <t>enurega@yahoo.com</t>
        </is>
      </c>
      <c r="E74" t="inlineStr">
        <is>
          <t>https://lpjk.pu.go.id/search-badan-usaha-detail/eGxiYVc0M0xFMEJEWVhpNnpRcjg1QT09</t>
        </is>
      </c>
      <c r="F74" t="n">
        <v>1</v>
      </c>
      <c r="G74" t="inlineStr">
        <is>
          <t>PL003</t>
        </is>
      </c>
      <c r="H74" t="inlineStr">
        <is>
          <t>1 Mei 2007</t>
        </is>
      </c>
      <c r="I74" s="2" t="n">
        <v>46313</v>
      </c>
      <c r="J74" t="inlineStr">
        <is>
          <t>Disetujui</t>
        </is>
      </c>
      <c r="K74" t="n">
        <v>30</v>
      </c>
      <c r="L74" t="inlineStr">
        <is>
          <t>18 Oktober 2026</t>
        </is>
      </c>
      <c r="M74" t="inlineStr">
        <is>
          <t>Penyiapan Lahan Konstruksi</t>
        </is>
      </c>
      <c r="N74" t="inlineStr">
        <is>
          <t>Spesialis</t>
        </is>
      </c>
      <c r="O74" t="inlineStr">
        <is>
          <t>20220413</t>
        </is>
      </c>
      <c r="P74" t="inlineStr">
        <is>
          <t>DI Yogyakarta</t>
        </is>
      </c>
      <c r="Q74" t="inlineStr"/>
    </row>
    <row r="75">
      <c r="A75" t="inlineStr">
        <is>
          <t>ENERGI TRADA NUSANTARA</t>
        </is>
      </c>
      <c r="B75" t="inlineStr">
        <is>
          <t>Kota Adm. Jakarta Pusat</t>
        </is>
      </c>
      <c r="C75" t="inlineStr">
        <is>
          <t>02122394907</t>
        </is>
      </c>
      <c r="D75" t="inlineStr">
        <is>
          <t>info@energitrans.com</t>
        </is>
      </c>
      <c r="E75" t="inlineStr">
        <is>
          <t>https://lpjk.pu.go.id/search-badan-usaha-detail/K0dPUkhWUFJTL1RlZWxpM25kK1hLZz09</t>
        </is>
      </c>
      <c r="F75" t="n">
        <v>2</v>
      </c>
      <c r="G75" t="inlineStr">
        <is>
          <t>IN004, IN007</t>
        </is>
      </c>
      <c r="H75" t="inlineStr">
        <is>
          <t>18 September 2012</t>
        </is>
      </c>
      <c r="I75" s="2" t="n">
        <v>46313</v>
      </c>
      <c r="J75" t="inlineStr">
        <is>
          <t>Disetujui</t>
        </is>
      </c>
      <c r="K75" t="n">
        <v>30</v>
      </c>
      <c r="L75" t="inlineStr">
        <is>
          <t>18 Oktober 2026</t>
        </is>
      </c>
      <c r="M75" t="inlineStr">
        <is>
          <t>Instalasi Minyak dan Gas, Instalasi Saluran Air (Plambing)</t>
        </is>
      </c>
      <c r="N75" t="inlineStr">
        <is>
          <t>Spesialis</t>
        </is>
      </c>
      <c r="O75" t="inlineStr">
        <is>
          <t>20231010</t>
        </is>
      </c>
      <c r="P75" t="inlineStr">
        <is>
          <t>DKI Jakarta</t>
        </is>
      </c>
      <c r="Q75" t="inlineStr"/>
    </row>
    <row r="76">
      <c r="A76" t="inlineStr">
        <is>
          <t>ENVICON EKATAMA</t>
        </is>
      </c>
      <c r="B76" t="inlineStr">
        <is>
          <t>Kab. Karawang</t>
        </is>
      </c>
      <c r="C76" t="inlineStr">
        <is>
          <t>081514873003</t>
        </is>
      </c>
      <c r="D76" t="inlineStr">
        <is>
          <t>ndrtemas@gmail.com</t>
        </is>
      </c>
      <c r="E76" t="inlineStr">
        <is>
          <t>https://lpjk.pu.go.id/search-badan-usaha-detail/Ly9NYTlVenhsR2c2ZThoNmZPUklTQT09</t>
        </is>
      </c>
      <c r="F76" t="n">
        <v>2</v>
      </c>
      <c r="G76" t="inlineStr">
        <is>
          <t>IN001, IN004</t>
        </is>
      </c>
      <c r="H76" t="inlineStr">
        <is>
          <t>16 November 1990</t>
        </is>
      </c>
      <c r="I76" s="2" t="n">
        <v>46313</v>
      </c>
      <c r="J76" t="inlineStr">
        <is>
          <t>Disetujui</t>
        </is>
      </c>
      <c r="K76" t="n">
        <v>30</v>
      </c>
      <c r="L76" t="inlineStr">
        <is>
          <t>18 Oktober 2026</t>
        </is>
      </c>
      <c r="M76" t="inlineStr">
        <is>
          <t>Instalasi Mekanikal, Instalasi Minyak dan Gas</t>
        </is>
      </c>
      <c r="N76" t="inlineStr">
        <is>
          <t>Spesialis</t>
        </is>
      </c>
      <c r="O76" t="inlineStr">
        <is>
          <t>20231017</t>
        </is>
      </c>
      <c r="P76" t="inlineStr">
        <is>
          <t>Jawa Barat</t>
        </is>
      </c>
      <c r="Q76" t="inlineStr"/>
    </row>
    <row r="77">
      <c r="A77" t="inlineStr">
        <is>
          <t>ESA SWASTIKA SEMESTA</t>
        </is>
      </c>
      <c r="B77" t="inlineStr">
        <is>
          <t>Kota Denpasar</t>
        </is>
      </c>
      <c r="C77" t="inlineStr">
        <is>
          <t>0361487886</t>
        </is>
      </c>
      <c r="D77" t="inlineStr">
        <is>
          <t>ariekaryawati@gmail.com</t>
        </is>
      </c>
      <c r="E77" t="inlineStr">
        <is>
          <t>https://lpjk.pu.go.id/search-badan-usaha-detail/Ym53c2lUaGdFU09DSVd5K2xUdmlRQT09</t>
        </is>
      </c>
      <c r="F77" t="n">
        <v>1</v>
      </c>
      <c r="G77" t="inlineStr">
        <is>
          <t>AR001</t>
        </is>
      </c>
      <c r="H77" t="inlineStr">
        <is>
          <t>31 Mei 2022</t>
        </is>
      </c>
      <c r="I77" s="2" t="n">
        <v>46313</v>
      </c>
      <c r="J77" t="inlineStr">
        <is>
          <t>Disetujui</t>
        </is>
      </c>
      <c r="K77" t="n">
        <v>30</v>
      </c>
      <c r="L77" t="inlineStr">
        <is>
          <t>18 Oktober 2026</t>
        </is>
      </c>
      <c r="M77" t="inlineStr">
        <is>
          <t>Jasa Arsitektural Bangunan Gedung Hunian dan Non Hunian</t>
        </is>
      </c>
      <c r="N77" t="inlineStr">
        <is>
          <t>K</t>
        </is>
      </c>
      <c r="O77" t="inlineStr">
        <is>
          <t>20231010</t>
        </is>
      </c>
      <c r="P77" t="inlineStr">
        <is>
          <t>Bali</t>
        </is>
      </c>
      <c r="Q77" t="inlineStr"/>
    </row>
    <row r="78">
      <c r="A78" t="inlineStr">
        <is>
          <t>GENTAJAYA AGUNGKARYA</t>
        </is>
      </c>
      <c r="B78" t="inlineStr">
        <is>
          <t>Kota Adm. Jakarta Barat</t>
        </is>
      </c>
      <c r="C78" t="inlineStr">
        <is>
          <t>0215657738</t>
        </is>
      </c>
      <c r="D78" t="inlineStr">
        <is>
          <t>gentajayaagungkarya1@gmail.com</t>
        </is>
      </c>
      <c r="E78" t="inlineStr">
        <is>
          <t>https://lpjk.pu.go.id/search-badan-usaha-detail/MWttcXI4Tml6QlRKNGpqd2pCd20vdz09</t>
        </is>
      </c>
      <c r="F78" t="n">
        <v>1</v>
      </c>
      <c r="G78" t="inlineStr">
        <is>
          <t>BG002</t>
        </is>
      </c>
      <c r="H78" t="inlineStr">
        <is>
          <t>30 Juni 1992</t>
        </is>
      </c>
      <c r="I78" s="2" t="n">
        <v>46313</v>
      </c>
      <c r="J78" t="inlineStr">
        <is>
          <t>Disetujui</t>
        </is>
      </c>
      <c r="K78" t="n">
        <v>30</v>
      </c>
      <c r="L78" t="inlineStr">
        <is>
          <t>18 Oktober 2026</t>
        </is>
      </c>
      <c r="M78" t="inlineStr">
        <is>
          <t>Konstruksi Gedung Perkantoran</t>
        </is>
      </c>
      <c r="N78" t="inlineStr">
        <is>
          <t>K</t>
        </is>
      </c>
      <c r="O78" t="inlineStr">
        <is>
          <t>20231016</t>
        </is>
      </c>
      <c r="P78" t="inlineStr">
        <is>
          <t>DKI Jakarta</t>
        </is>
      </c>
      <c r="Q78" t="inlineStr"/>
    </row>
    <row r="79">
      <c r="A79" t="inlineStr">
        <is>
          <t>GRAHASINDO PRATAMA</t>
        </is>
      </c>
      <c r="B79" t="inlineStr">
        <is>
          <t>Kab. Bondowoso</t>
        </is>
      </c>
      <c r="C79" t="inlineStr">
        <is>
          <t>082228783413</t>
        </is>
      </c>
      <c r="D79" t="inlineStr">
        <is>
          <t>grahasindopratama@yahoo.com</t>
        </is>
      </c>
      <c r="E79" t="inlineStr">
        <is>
          <t>https://lpjk.pu.go.id/search-badan-usaha-detail/aEJkbFFlTXplQzBtN1VuZGhvbDNPQT09</t>
        </is>
      </c>
      <c r="F79" t="n">
        <v>1</v>
      </c>
      <c r="G79" t="inlineStr">
        <is>
          <t>BS005</t>
        </is>
      </c>
      <c r="H79" t="inlineStr">
        <is>
          <t>18 Oktober 2002</t>
        </is>
      </c>
      <c r="I79" s="2" t="n">
        <v>46313</v>
      </c>
      <c r="J79" t="inlineStr">
        <is>
          <t>Pencabutan</t>
        </is>
      </c>
      <c r="K79" t="n">
        <v>30</v>
      </c>
      <c r="L79" t="inlineStr">
        <is>
          <t>18 Oktober 2026</t>
        </is>
      </c>
      <c r="M79" t="inlineStr">
        <is>
          <t>Konstruksi Bangunan Sipil Pengolahan Air Bersih</t>
        </is>
      </c>
      <c r="N79" t="inlineStr">
        <is>
          <t>K</t>
        </is>
      </c>
      <c r="O79" t="inlineStr">
        <is>
          <t>20231017</t>
        </is>
      </c>
      <c r="P79" t="inlineStr">
        <is>
          <t>Jawa Timur</t>
        </is>
      </c>
      <c r="Q79" t="inlineStr"/>
    </row>
    <row r="80">
      <c r="A80" t="inlineStr">
        <is>
          <t>GRAND TIRTA TEKNIK</t>
        </is>
      </c>
      <c r="B80" t="inlineStr">
        <is>
          <t>Kab. Bantul</t>
        </is>
      </c>
      <c r="C80" t="inlineStr">
        <is>
          <t>081225247350</t>
        </is>
      </c>
      <c r="D80" t="inlineStr">
        <is>
          <t>gtt.teknik3@gmail.com</t>
        </is>
      </c>
      <c r="E80" t="inlineStr">
        <is>
          <t>https://lpjk.pu.go.id/search-badan-usaha-detail/VUJNM3lDOUo1cG9rNmhUeUExdWZtdz09</t>
        </is>
      </c>
      <c r="F80" t="n">
        <v>1</v>
      </c>
      <c r="G80" t="inlineStr">
        <is>
          <t>BG009</t>
        </is>
      </c>
      <c r="H80" t="inlineStr">
        <is>
          <t>6 Februari 2023</t>
        </is>
      </c>
      <c r="I80" s="2" t="n">
        <v>46313</v>
      </c>
      <c r="J80" t="inlineStr">
        <is>
          <t>Pencabutan</t>
        </is>
      </c>
      <c r="K80" t="n">
        <v>30</v>
      </c>
      <c r="L80" t="inlineStr">
        <is>
          <t>18 Oktober 2026</t>
        </is>
      </c>
      <c r="M80" t="inlineStr">
        <is>
          <t>Konstruksi Gedung Lainnya</t>
        </is>
      </c>
      <c r="N80" t="inlineStr">
        <is>
          <t>K</t>
        </is>
      </c>
      <c r="O80" t="inlineStr">
        <is>
          <t>20231019</t>
        </is>
      </c>
      <c r="P80" t="inlineStr">
        <is>
          <t>DI Yogyakarta</t>
        </is>
      </c>
      <c r="Q80" t="inlineStr"/>
    </row>
    <row r="81">
      <c r="A81" t="inlineStr">
        <is>
          <t>GUNA KARYA MANDIRI</t>
        </is>
      </c>
      <c r="B81" t="inlineStr">
        <is>
          <t>Kab. Gianyar</t>
        </is>
      </c>
      <c r="C81" t="inlineStr">
        <is>
          <t>081246893060</t>
        </is>
      </c>
      <c r="D81" t="inlineStr">
        <is>
          <t>cv.gunakaryamandiri22@gmail.com</t>
        </is>
      </c>
      <c r="E81" t="inlineStr">
        <is>
          <t>https://lpjk.pu.go.id/search-badan-usaha-detail/N2JYSjBSV3JZRnhBVU53S0dpR0VTQT09</t>
        </is>
      </c>
      <c r="F81" t="n">
        <v>2</v>
      </c>
      <c r="G81" t="inlineStr">
        <is>
          <t>BG006, BG009</t>
        </is>
      </c>
      <c r="H81" t="inlineStr">
        <is>
          <t>16 Agustus 2007</t>
        </is>
      </c>
      <c r="I81" s="2" t="n">
        <v>46313</v>
      </c>
      <c r="J81" t="inlineStr">
        <is>
          <t>Disetujui</t>
        </is>
      </c>
      <c r="K81" t="n">
        <v>30</v>
      </c>
      <c r="L81" t="inlineStr">
        <is>
          <t>18 Oktober 2026</t>
        </is>
      </c>
      <c r="M81" t="inlineStr">
        <is>
          <t>Konstruksi Gedung Lainnya, Konstruksi Gedung Pendidikan</t>
        </is>
      </c>
      <c r="N81" t="inlineStr">
        <is>
          <t>K</t>
        </is>
      </c>
      <c r="O81" t="inlineStr">
        <is>
          <t>20231007, 20231019</t>
        </is>
      </c>
      <c r="P81" t="inlineStr">
        <is>
          <t>Bali</t>
        </is>
      </c>
      <c r="Q81" t="inlineStr"/>
    </row>
    <row r="82">
      <c r="A82" t="inlineStr">
        <is>
          <t>HARAPAN KITA JAYA PERKASA</t>
        </is>
      </c>
      <c r="B82" t="inlineStr">
        <is>
          <t>Kota Surabaya</t>
        </is>
      </c>
      <c r="C82" t="inlineStr">
        <is>
          <t>0317388806</t>
        </is>
      </c>
      <c r="D82" t="inlineStr">
        <is>
          <t>harapankitajp@yahoo.com</t>
        </is>
      </c>
      <c r="E82" t="inlineStr">
        <is>
          <t>https://lpjk.pu.go.id/search-badan-usaha-detail/T01hZURLVWpYdzFVWlJ1Snovd0szZz09</t>
        </is>
      </c>
      <c r="F82" t="n">
        <v>4</v>
      </c>
      <c r="G82" t="inlineStr">
        <is>
          <t>BG002, BG003, BG007, BG009</t>
        </is>
      </c>
      <c r="H82" t="inlineStr">
        <is>
          <t>29 Oktober 2013</t>
        </is>
      </c>
      <c r="I82" s="2" t="n">
        <v>46313</v>
      </c>
      <c r="J82" t="inlineStr">
        <is>
          <t>Disetujui</t>
        </is>
      </c>
      <c r="K82" t="n">
        <v>30</v>
      </c>
      <c r="L82" t="inlineStr">
        <is>
          <t>18 Oktober 2026</t>
        </is>
      </c>
      <c r="M82" t="inlineStr">
        <is>
          <t>Konstruksi Gedung Industri, Konstruksi Gedung Lainnya, Konstruksi Gedung Penginapan, Konstruksi Gedung Perkantoran</t>
        </is>
      </c>
      <c r="N82" t="inlineStr">
        <is>
          <t>K</t>
        </is>
      </c>
      <c r="O82" t="inlineStr">
        <is>
          <t>20231019</t>
        </is>
      </c>
      <c r="P82" t="inlineStr">
        <is>
          <t>Jawa Timur</t>
        </is>
      </c>
      <c r="Q82" t="inlineStr"/>
    </row>
    <row r="83">
      <c r="A83" t="inlineStr">
        <is>
          <t>HIKARI TEKNOLOGI INDONESIA</t>
        </is>
      </c>
      <c r="B83" t="inlineStr">
        <is>
          <t>Kab. Gresik</t>
        </is>
      </c>
      <c r="C83" t="inlineStr">
        <is>
          <t>081131141150</t>
        </is>
      </c>
      <c r="D83" t="inlineStr">
        <is>
          <t>hrd@pt-hikari.com</t>
        </is>
      </c>
      <c r="E83" t="inlineStr">
        <is>
          <t>https://lpjk.pu.go.id/search-badan-usaha-detail/WFpENFRXZFphaWJoTWtOa2ZRUm5VQT09</t>
        </is>
      </c>
      <c r="F83" t="n">
        <v>1</v>
      </c>
      <c r="G83" t="inlineStr">
        <is>
          <t>BG009</t>
        </is>
      </c>
      <c r="H83" t="inlineStr">
        <is>
          <t>6 November 2014</t>
        </is>
      </c>
      <c r="I83" s="2" t="n">
        <v>46313</v>
      </c>
      <c r="J83" t="inlineStr">
        <is>
          <t>Disetujui</t>
        </is>
      </c>
      <c r="K83" t="n">
        <v>30</v>
      </c>
      <c r="L83" t="inlineStr">
        <is>
          <t>18 Oktober 2026</t>
        </is>
      </c>
      <c r="M83" t="inlineStr">
        <is>
          <t>Konstruksi Gedung Lainnya</t>
        </is>
      </c>
      <c r="N83" t="inlineStr">
        <is>
          <t>M</t>
        </is>
      </c>
      <c r="O83" t="inlineStr">
        <is>
          <t>20231006</t>
        </is>
      </c>
      <c r="P83" t="inlineStr">
        <is>
          <t>Jawa Timur</t>
        </is>
      </c>
      <c r="Q83" t="inlineStr"/>
    </row>
    <row r="84">
      <c r="A84" t="inlineStr">
        <is>
          <t>IKHLAS</t>
        </is>
      </c>
      <c r="B84" t="inlineStr">
        <is>
          <t>Kota Langsa</t>
        </is>
      </c>
      <c r="C84" t="inlineStr">
        <is>
          <t>082165348683</t>
        </is>
      </c>
      <c r="D84" t="inlineStr">
        <is>
          <t>Ikhlas.cv123@gmail.com</t>
        </is>
      </c>
      <c r="E84" t="inlineStr">
        <is>
          <t>https://lpjk.pu.go.id/search-badan-usaha-detail/UjcvVDlpVzBNR3BWWXlFM0IzeDBuQT09</t>
        </is>
      </c>
      <c r="F84" t="n">
        <v>1</v>
      </c>
      <c r="G84" t="inlineStr">
        <is>
          <t>PL005</t>
        </is>
      </c>
      <c r="H84" t="inlineStr">
        <is>
          <t>30 Mei 2014</t>
        </is>
      </c>
      <c r="I84" s="2" t="n">
        <v>46313</v>
      </c>
      <c r="J84" t="inlineStr">
        <is>
          <t>Disetujui</t>
        </is>
      </c>
      <c r="K84" t="n">
        <v>30</v>
      </c>
      <c r="L84" t="inlineStr">
        <is>
          <t>18 Oktober 2026</t>
        </is>
      </c>
      <c r="M84" t="inlineStr">
        <is>
          <t>Pembuatan/Pengeboran Sumur Air Tanah</t>
        </is>
      </c>
      <c r="N84" t="inlineStr">
        <is>
          <t>Spesialis</t>
        </is>
      </c>
      <c r="O84" t="inlineStr">
        <is>
          <t>20231011</t>
        </is>
      </c>
      <c r="P84" t="inlineStr">
        <is>
          <t>Aceh</t>
        </is>
      </c>
      <c r="Q84" t="inlineStr"/>
    </row>
    <row r="85">
      <c r="A85" t="inlineStr">
        <is>
          <t>INDOKACA MITRA FORTUNA</t>
        </is>
      </c>
      <c r="B85" t="inlineStr">
        <is>
          <t>Kota Batam</t>
        </is>
      </c>
      <c r="C85" t="inlineStr">
        <is>
          <t>0778455582</t>
        </is>
      </c>
      <c r="D85" t="inlineStr">
        <is>
          <t>indokaca.batam@gmail.com</t>
        </is>
      </c>
      <c r="E85" t="inlineStr">
        <is>
          <t>https://lpjk.pu.go.id/search-badan-usaha-detail/VjJ4NFkyenVIdVdYcnpqNmEzbjFmUT09</t>
        </is>
      </c>
      <c r="F85" t="n">
        <v>1</v>
      </c>
      <c r="G85" t="inlineStr">
        <is>
          <t>BG003</t>
        </is>
      </c>
      <c r="H85" t="inlineStr">
        <is>
          <t>3 Mei 2013</t>
        </is>
      </c>
      <c r="I85" s="2" t="n">
        <v>46313</v>
      </c>
      <c r="J85" t="inlineStr">
        <is>
          <t>Disetujui</t>
        </is>
      </c>
      <c r="K85" t="n">
        <v>30</v>
      </c>
      <c r="L85" t="inlineStr">
        <is>
          <t>18 Oktober 2026</t>
        </is>
      </c>
      <c r="M85" t="inlineStr">
        <is>
          <t>Konstruksi Gedung Industri</t>
        </is>
      </c>
      <c r="N85" t="inlineStr">
        <is>
          <t>K</t>
        </is>
      </c>
      <c r="O85" t="inlineStr">
        <is>
          <t>20231016</t>
        </is>
      </c>
      <c r="P85" t="inlineStr">
        <is>
          <t>Kepulauan Riau</t>
        </is>
      </c>
      <c r="Q85" t="inlineStr"/>
    </row>
    <row r="86">
      <c r="A86" t="inlineStr">
        <is>
          <t>JASA</t>
        </is>
      </c>
      <c r="B86" t="inlineStr">
        <is>
          <t>Kab. Grobogan</t>
        </is>
      </c>
      <c r="C86" t="inlineStr">
        <is>
          <t>081390660517</t>
        </is>
      </c>
      <c r="D86" t="inlineStr">
        <is>
          <t>cv.jasa@yahoo.com</t>
        </is>
      </c>
      <c r="E86" t="inlineStr">
        <is>
          <t>https://lpjk.pu.go.id/search-badan-usaha-detail/ZWVyV2U5NE84K1czVWZ3bmRMdk1IZz09</t>
        </is>
      </c>
      <c r="F86" t="n">
        <v>4</v>
      </c>
      <c r="G86" t="inlineStr">
        <is>
          <t>BG002, BG006, BS001, BS010</t>
        </is>
      </c>
      <c r="H86" t="inlineStr">
        <is>
          <t>17 Oktober 2001</t>
        </is>
      </c>
      <c r="I86" s="2" t="n">
        <v>46313</v>
      </c>
      <c r="J86" t="inlineStr">
        <is>
          <t>Disetujui</t>
        </is>
      </c>
      <c r="K86" t="n">
        <v>30</v>
      </c>
      <c r="L86" t="inlineStr">
        <is>
          <t>18 Oktober 2026</t>
        </is>
      </c>
      <c r="M86" t="inlineStr">
        <is>
          <t>Konstruksi Bangunan Prasarana Sumber Daya Air, Konstruksi Bangunan Sipil Jalan, Konstruksi Gedung Pendidikan, Konstruksi Gedung Perkantoran</t>
        </is>
      </c>
      <c r="N86" t="inlineStr">
        <is>
          <t>K</t>
        </is>
      </c>
      <c r="O86" t="inlineStr">
        <is>
          <t>20230611, 20231017</t>
        </is>
      </c>
      <c r="P86" t="inlineStr">
        <is>
          <t>Jawa Tengah</t>
        </is>
      </c>
      <c r="Q86" t="inlineStr"/>
    </row>
    <row r="87">
      <c r="A87" t="inlineStr">
        <is>
          <t>JASA ARTIFICIA KONSULTAN</t>
        </is>
      </c>
      <c r="B87" t="inlineStr">
        <is>
          <t>Kab. Tanah Bumbu</t>
        </is>
      </c>
      <c r="C87" t="inlineStr">
        <is>
          <t>082152865803</t>
        </is>
      </c>
      <c r="D87" t="inlineStr">
        <is>
          <t>cvjasaartificiakonsultan@gmail.com</t>
        </is>
      </c>
      <c r="E87" t="inlineStr">
        <is>
          <t>https://lpjk.pu.go.id/search-badan-usaha-detail/Nk5maGR5d090SWZSc2xUaXNESVM5Zz09</t>
        </is>
      </c>
      <c r="F87" t="n">
        <v>3</v>
      </c>
      <c r="G87" t="inlineStr">
        <is>
          <t>RK001, RK002, RK003</t>
        </is>
      </c>
      <c r="H87" t="inlineStr">
        <is>
          <t>4 September 2023</t>
        </is>
      </c>
      <c r="I87" s="2" t="n">
        <v>46313</v>
      </c>
      <c r="J87" t="inlineStr">
        <is>
          <t>Disetujui</t>
        </is>
      </c>
      <c r="K87" t="n">
        <v>30</v>
      </c>
      <c r="L87" t="inlineStr">
        <is>
          <t>18 Oktober 2026</t>
        </is>
      </c>
      <c r="M87" t="inlineStr">
        <is>
          <t>Jasa Rekayasa Konstruksi Bangunan Gedung Hunian dan Non Hunian, Jasa Rekayasa Pekerjaan Teknik Sipil Sumber Daya Air, Jasa Rekayasa Pekerjaan Teknik Sipil Transportasi</t>
        </is>
      </c>
      <c r="N87" t="inlineStr">
        <is>
          <t>K</t>
        </is>
      </c>
      <c r="O87" t="inlineStr">
        <is>
          <t>20230929</t>
        </is>
      </c>
      <c r="P87" t="inlineStr">
        <is>
          <t>Kalimantan Selatan</t>
        </is>
      </c>
      <c r="Q87" t="inlineStr"/>
    </row>
    <row r="88">
      <c r="A88" t="inlineStr">
        <is>
          <t>JAYA UTAMA CILEGON</t>
        </is>
      </c>
      <c r="B88" t="inlineStr">
        <is>
          <t>Kota Cilegon</t>
        </is>
      </c>
      <c r="C88" t="inlineStr">
        <is>
          <t>081906445322</t>
        </is>
      </c>
      <c r="D88" t="inlineStr">
        <is>
          <t>jayautamacilegon@gmail.com</t>
        </is>
      </c>
      <c r="E88" t="inlineStr">
        <is>
          <t>https://lpjk.pu.go.id/search-badan-usaha-detail/eDhsS3gzbE8vZnF1ay96N3B1MTRuZz09</t>
        </is>
      </c>
      <c r="F88" t="n">
        <v>1</v>
      </c>
      <c r="G88" t="inlineStr">
        <is>
          <t>BG009</t>
        </is>
      </c>
      <c r="H88" t="inlineStr">
        <is>
          <t>18 Juli 2019</t>
        </is>
      </c>
      <c r="I88" s="2" t="n">
        <v>46313</v>
      </c>
      <c r="J88" t="inlineStr">
        <is>
          <t>Pencabutan</t>
        </is>
      </c>
      <c r="K88" t="n">
        <v>30</v>
      </c>
      <c r="L88" t="inlineStr">
        <is>
          <t>18 Oktober 2026</t>
        </is>
      </c>
      <c r="M88" t="inlineStr">
        <is>
          <t>Konstruksi Gedung Lainnya</t>
        </is>
      </c>
      <c r="N88" t="inlineStr">
        <is>
          <t>K</t>
        </is>
      </c>
      <c r="O88" t="inlineStr">
        <is>
          <t>20231018</t>
        </is>
      </c>
      <c r="P88" t="inlineStr">
        <is>
          <t>Banten</t>
        </is>
      </c>
      <c r="Q88" t="inlineStr"/>
    </row>
    <row r="89">
      <c r="A89" t="inlineStr">
        <is>
          <t>KARTA JAYA ABADI</t>
        </is>
      </c>
      <c r="B89" t="inlineStr">
        <is>
          <t>Kota Bandar Lampung</t>
        </is>
      </c>
      <c r="C89" t="inlineStr">
        <is>
          <t>085357266666</t>
        </is>
      </c>
      <c r="D89" t="inlineStr">
        <is>
          <t>kartajayaabadi.cv@yahoo.com</t>
        </is>
      </c>
      <c r="E89" t="inlineStr">
        <is>
          <t>https://lpjk.pu.go.id/search-badan-usaha-detail/RndEWlpWMm10eGJXN1lXYTFkMkkxUT09</t>
        </is>
      </c>
      <c r="F89" t="n">
        <v>3</v>
      </c>
      <c r="G89" t="inlineStr">
        <is>
          <t>BG005, BG006, BG009</t>
        </is>
      </c>
      <c r="H89" t="inlineStr">
        <is>
          <t>21 November 2016</t>
        </is>
      </c>
      <c r="I89" s="2" t="n">
        <v>46313</v>
      </c>
      <c r="J89" t="inlineStr">
        <is>
          <t>Disetujui</t>
        </is>
      </c>
      <c r="K89" t="n">
        <v>30</v>
      </c>
      <c r="L89" t="inlineStr">
        <is>
          <t>18 Oktober 2026</t>
        </is>
      </c>
      <c r="M89" t="inlineStr">
        <is>
          <t>Konstruksi Gedung Kesehatan, Konstruksi Gedung Lainnya, Konstruksi Gedung Pendidikan</t>
        </is>
      </c>
      <c r="N89" t="inlineStr">
        <is>
          <t>K</t>
        </is>
      </c>
      <c r="O89" t="inlineStr">
        <is>
          <t>20231016, 20231017</t>
        </is>
      </c>
      <c r="P89" t="inlineStr">
        <is>
          <t>Lampung</t>
        </is>
      </c>
      <c r="Q89" t="inlineStr"/>
    </row>
    <row r="90">
      <c r="A90" t="inlineStr">
        <is>
          <t>KARUNIA LAND</t>
        </is>
      </c>
      <c r="B90" t="inlineStr">
        <is>
          <t>Kab. Sidoarjo</t>
        </is>
      </c>
      <c r="C90" t="inlineStr">
        <is>
          <t>0318674460</t>
        </is>
      </c>
      <c r="D90" t="inlineStr">
        <is>
          <t>karunialandlegal@gmail.com</t>
        </is>
      </c>
      <c r="E90" t="inlineStr">
        <is>
          <t>https://lpjk.pu.go.id/search-badan-usaha-detail/WGpxTXlBdjFlcktxZ1pxYTJTTzhIQT09</t>
        </is>
      </c>
      <c r="F90" t="n">
        <v>1</v>
      </c>
      <c r="G90" t="inlineStr">
        <is>
          <t>BG001</t>
        </is>
      </c>
      <c r="H90" t="inlineStr">
        <is>
          <t>18 Agustus 2021</t>
        </is>
      </c>
      <c r="I90" s="2" t="n">
        <v>46313</v>
      </c>
      <c r="J90" t="inlineStr">
        <is>
          <t>Disetujui</t>
        </is>
      </c>
      <c r="K90" t="n">
        <v>30</v>
      </c>
      <c r="L90" t="inlineStr">
        <is>
          <t>18 Oktober 2026</t>
        </is>
      </c>
      <c r="M90" t="inlineStr">
        <is>
          <t>Konstruksi Gedung Hunian</t>
        </is>
      </c>
      <c r="N90" t="inlineStr">
        <is>
          <t>K</t>
        </is>
      </c>
      <c r="O90" t="inlineStr">
        <is>
          <t>20231012</t>
        </is>
      </c>
      <c r="P90" t="inlineStr">
        <is>
          <t>Jawa Timur</t>
        </is>
      </c>
      <c r="Q90" t="inlineStr"/>
    </row>
    <row r="91">
      <c r="A91" t="inlineStr">
        <is>
          <t>KARYA BERSAUDARA</t>
        </is>
      </c>
      <c r="B91" t="inlineStr">
        <is>
          <t>Kab. Kolaka Timur</t>
        </is>
      </c>
      <c r="C91" t="inlineStr">
        <is>
          <t>085299343310</t>
        </is>
      </c>
      <c r="D91" t="inlineStr">
        <is>
          <t>karyabersaudara3@gmail.com</t>
        </is>
      </c>
      <c r="E91" t="inlineStr">
        <is>
          <t>https://lpjk.pu.go.id/search-badan-usaha-detail/VXJIdEFiTmlwK0k1Yk9iMDVKUmZ4dz09</t>
        </is>
      </c>
      <c r="F91" t="n">
        <v>1</v>
      </c>
      <c r="G91" t="inlineStr">
        <is>
          <t>BG008</t>
        </is>
      </c>
      <c r="H91" t="inlineStr">
        <is>
          <t>1 Januari 2018</t>
        </is>
      </c>
      <c r="I91" s="2" t="n">
        <v>46313</v>
      </c>
      <c r="J91" t="inlineStr">
        <is>
          <t>Disetujui</t>
        </is>
      </c>
      <c r="K91" t="n">
        <v>30</v>
      </c>
      <c r="L91" t="inlineStr">
        <is>
          <t>18 Oktober 2026</t>
        </is>
      </c>
      <c r="M91" t="inlineStr">
        <is>
          <t>Konstruksi Gedung Tempat Hiburan dan Olahraga</t>
        </is>
      </c>
      <c r="N91" t="inlineStr">
        <is>
          <t>K</t>
        </is>
      </c>
      <c r="O91" t="inlineStr">
        <is>
          <t>20231014</t>
        </is>
      </c>
      <c r="P91" t="inlineStr">
        <is>
          <t>Sulawesi Tenggara</t>
        </is>
      </c>
      <c r="Q91" t="inlineStr"/>
    </row>
    <row r="92">
      <c r="A92" t="inlineStr">
        <is>
          <t>KARYA MUKTI</t>
        </is>
      </c>
      <c r="B92" t="inlineStr">
        <is>
          <t>Kab. Bojonegoro</t>
        </is>
      </c>
      <c r="C92" t="inlineStr">
        <is>
          <t>082233729676</t>
        </is>
      </c>
      <c r="D92" t="inlineStr">
        <is>
          <t>karya_mukticv@yahoo.co.id</t>
        </is>
      </c>
      <c r="E92" t="inlineStr">
        <is>
          <t>https://lpjk.pu.go.id/search-badan-usaha-detail/SFVEdkVrYURScFd1ZXdQQzZiY2Mrdz09</t>
        </is>
      </c>
      <c r="F92" t="n">
        <v>6</v>
      </c>
      <c r="G92" t="inlineStr">
        <is>
          <t>BG001, BG006, BG009, BS001, BS002, BS004</t>
        </is>
      </c>
      <c r="H92" t="inlineStr">
        <is>
          <t>21 November 2012</t>
        </is>
      </c>
      <c r="I92" s="2" t="n">
        <v>46313</v>
      </c>
      <c r="J92" t="inlineStr">
        <is>
          <t>Disetujui, Pencabutan</t>
        </is>
      </c>
      <c r="K92" t="n">
        <v>30</v>
      </c>
      <c r="L92" t="inlineStr">
        <is>
          <t>18 Oktober 2026</t>
        </is>
      </c>
      <c r="M92" t="inlineStr">
        <is>
          <t>Bangunan Sipil Jembatan, Jalan Layang, Fly Over, dan Underpass, Konstruksi Bangunan Sipil Jalan, Konstruksi Gedung Hunian, Konstruksi Gedung Lainnya, Konstruksi Gedung Pendidikan, Konstruksi Jaringan Irigasi dan Drainase</t>
        </is>
      </c>
      <c r="N92" t="inlineStr">
        <is>
          <t>K</t>
        </is>
      </c>
      <c r="O92" t="inlineStr">
        <is>
          <t>20231019, 20231020, 20231023</t>
        </is>
      </c>
      <c r="P92" t="inlineStr">
        <is>
          <t>Jawa Timur</t>
        </is>
      </c>
      <c r="Q92" t="inlineStr"/>
    </row>
    <row r="93">
      <c r="A93" t="inlineStr">
        <is>
          <t>KHARISMAWIRA SURYAINTI</t>
        </is>
      </c>
      <c r="B93" t="inlineStr">
        <is>
          <t>Kota Adm. Jakarta Utara</t>
        </is>
      </c>
      <c r="C93" t="inlineStr">
        <is>
          <t>02145850709</t>
        </is>
      </c>
      <c r="D93" t="inlineStr">
        <is>
          <t>kharismawirasuryainti@gmail.com</t>
        </is>
      </c>
      <c r="E93" t="inlineStr">
        <is>
          <t>https://lpjk.pu.go.id/search-badan-usaha-detail/cWtLZ2k2NmZkcEFmR1h3WCtaWUM0dz09</t>
        </is>
      </c>
      <c r="F93" t="n">
        <v>6</v>
      </c>
      <c r="G93" t="inlineStr">
        <is>
          <t>BG001, BG004, BG009</t>
        </is>
      </c>
      <c r="H93" t="inlineStr">
        <is>
          <t>22 Desember 1990</t>
        </is>
      </c>
      <c r="I93" s="2" t="n">
        <v>46313</v>
      </c>
      <c r="J93" t="inlineStr">
        <is>
          <t>Disetujui</t>
        </is>
      </c>
      <c r="K93" t="n">
        <v>30</v>
      </c>
      <c r="L93" t="inlineStr">
        <is>
          <t>18 Oktober 2026</t>
        </is>
      </c>
      <c r="M93" t="inlineStr">
        <is>
          <t>Konstruksi Gedung Hunian, Konstruksi Gedung Lainnya, Konstruksi Gedung Perbelanjaan</t>
        </is>
      </c>
      <c r="N93" t="inlineStr">
        <is>
          <t>K</t>
        </is>
      </c>
      <c r="O93" t="inlineStr">
        <is>
          <t>20230915, 20231013</t>
        </is>
      </c>
      <c r="P93" t="inlineStr">
        <is>
          <t>DKI Jakarta</t>
        </is>
      </c>
      <c r="Q93" t="inlineStr"/>
    </row>
    <row r="94">
      <c r="A94" t="inlineStr">
        <is>
          <t>KREASI BANGUN SEJAHTERA</t>
        </is>
      </c>
      <c r="B94" t="inlineStr">
        <is>
          <t>Kota Kendari</t>
        </is>
      </c>
      <c r="C94" t="inlineStr">
        <is>
          <t>082367891442</t>
        </is>
      </c>
      <c r="D94" t="inlineStr">
        <is>
          <t>unifitland8@gmail.com</t>
        </is>
      </c>
      <c r="E94" t="inlineStr">
        <is>
          <t>https://lpjk.pu.go.id/search-badan-usaha-detail/VlZtNlFWOFJUN1cwSFlEcFhIc0t6Zz09</t>
        </is>
      </c>
      <c r="F94" t="n">
        <v>1</v>
      </c>
      <c r="G94" t="inlineStr">
        <is>
          <t>BS001</t>
        </is>
      </c>
      <c r="H94" t="inlineStr">
        <is>
          <t>3 Oktober 2023</t>
        </is>
      </c>
      <c r="I94" s="2" t="n">
        <v>46313</v>
      </c>
      <c r="J94" t="inlineStr">
        <is>
          <t>Disetujui</t>
        </is>
      </c>
      <c r="K94" t="n">
        <v>30</v>
      </c>
      <c r="L94" t="inlineStr">
        <is>
          <t>18 Oktober 2026</t>
        </is>
      </c>
      <c r="M94" t="inlineStr">
        <is>
          <t>Konstruksi Bangunan Sipil Jalan</t>
        </is>
      </c>
      <c r="N94" t="inlineStr">
        <is>
          <t>K</t>
        </is>
      </c>
      <c r="O94" t="inlineStr">
        <is>
          <t>20231011</t>
        </is>
      </c>
      <c r="P94" t="inlineStr">
        <is>
          <t>Sulawesi Tenggara</t>
        </is>
      </c>
      <c r="Q94" t="inlineStr"/>
    </row>
    <row r="95">
      <c r="A95" t="inlineStr">
        <is>
          <t>KREASI BARAHA UTAMA</t>
        </is>
      </c>
      <c r="B95" t="inlineStr">
        <is>
          <t>Kab. Tanah Bumbu</t>
        </is>
      </c>
      <c r="C95" t="inlineStr">
        <is>
          <t>085349994755</t>
        </is>
      </c>
      <c r="D95" t="inlineStr">
        <is>
          <t>kreasibarahautama@yahoo.co.id</t>
        </is>
      </c>
      <c r="E95" t="inlineStr">
        <is>
          <t>https://lpjk.pu.go.id/search-badan-usaha-detail/TGozNzZxZUpvYktYMDkzU1VsTlFIZz09</t>
        </is>
      </c>
      <c r="F95" t="n">
        <v>4</v>
      </c>
      <c r="G95" t="inlineStr">
        <is>
          <t>BG006, BG009, BS001, BS004</t>
        </is>
      </c>
      <c r="H95" t="inlineStr">
        <is>
          <t>18 Januari 2014</t>
        </is>
      </c>
      <c r="I95" s="2" t="n">
        <v>46313</v>
      </c>
      <c r="J95" t="inlineStr">
        <is>
          <t>Disetujui</t>
        </is>
      </c>
      <c r="K95" t="n">
        <v>30</v>
      </c>
      <c r="L95" t="inlineStr">
        <is>
          <t>18 Oktober 2026</t>
        </is>
      </c>
      <c r="M95" t="inlineStr">
        <is>
          <t>Konstruksi Bangunan Sipil Jalan, Konstruksi Gedung Lainnya, Konstruksi Gedung Pendidikan, Konstruksi Jaringan Irigasi dan Drainase</t>
        </is>
      </c>
      <c r="N95" t="inlineStr">
        <is>
          <t>K</t>
        </is>
      </c>
      <c r="O95" t="inlineStr">
        <is>
          <t>20231010, 20231015, 20231017</t>
        </is>
      </c>
      <c r="P95" t="inlineStr">
        <is>
          <t>Kalimantan Selatan</t>
        </is>
      </c>
      <c r="Q95" t="inlineStr"/>
    </row>
    <row r="96">
      <c r="A96" t="inlineStr">
        <is>
          <t>KRISNA</t>
        </is>
      </c>
      <c r="B96" t="inlineStr">
        <is>
          <t>Kab. Blora</t>
        </is>
      </c>
      <c r="C96" t="inlineStr">
        <is>
          <t>082137241199</t>
        </is>
      </c>
      <c r="D96" t="inlineStr">
        <is>
          <t>mah877161@gmail.com</t>
        </is>
      </c>
      <c r="E96" t="inlineStr">
        <is>
          <t>https://lpjk.pu.go.id/search-badan-usaha-detail/VVZtcEdyK1gwOWpwencvRWpmeUxWdz09</t>
        </is>
      </c>
      <c r="F96" t="n">
        <v>1</v>
      </c>
      <c r="G96" t="inlineStr">
        <is>
          <t>BS001</t>
        </is>
      </c>
      <c r="H96" t="inlineStr">
        <is>
          <t>5 Mei 2001</t>
        </is>
      </c>
      <c r="I96" s="2" t="n">
        <v>46313</v>
      </c>
      <c r="J96" t="inlineStr">
        <is>
          <t>Disetujui</t>
        </is>
      </c>
      <c r="K96" t="n">
        <v>30</v>
      </c>
      <c r="L96" t="inlineStr">
        <is>
          <t>18 Oktober 2026</t>
        </is>
      </c>
      <c r="M96" t="inlineStr">
        <is>
          <t>Konstruksi Bangunan Sipil Jalan</t>
        </is>
      </c>
      <c r="N96" t="inlineStr">
        <is>
          <t>K</t>
        </is>
      </c>
      <c r="O96" t="inlineStr">
        <is>
          <t>20231017</t>
        </is>
      </c>
      <c r="P96" t="inlineStr">
        <is>
          <t>Jawa Tengah</t>
        </is>
      </c>
      <c r="Q96" t="inlineStr"/>
    </row>
    <row r="97">
      <c r="A97" t="inlineStr">
        <is>
          <t>KUSUMA KARYA</t>
        </is>
      </c>
      <c r="B97" t="inlineStr">
        <is>
          <t>Kota Yogyakarta</t>
        </is>
      </c>
      <c r="C97" t="inlineStr">
        <is>
          <t>0274 566062/0274 514</t>
        </is>
      </c>
      <c r="D97" t="inlineStr">
        <is>
          <t>kusumakarya@yahoo.co.id</t>
        </is>
      </c>
      <c r="E97" t="inlineStr">
        <is>
          <t>https://lpjk.pu.go.id/search-badan-usaha-detail/YzRCS0FDREphLzA2TFo0QWF2SUVGdz09</t>
        </is>
      </c>
      <c r="F97" t="n">
        <v>2</v>
      </c>
      <c r="G97" t="inlineStr">
        <is>
          <t>IN001</t>
        </is>
      </c>
      <c r="H97" t="inlineStr">
        <is>
          <t>6 November 2003</t>
        </is>
      </c>
      <c r="I97" s="2" t="n">
        <v>46313</v>
      </c>
      <c r="J97" t="inlineStr">
        <is>
          <t>Disetujui</t>
        </is>
      </c>
      <c r="K97" t="n">
        <v>30</v>
      </c>
      <c r="L97" t="inlineStr">
        <is>
          <t>18 Oktober 2026</t>
        </is>
      </c>
      <c r="M97" t="inlineStr">
        <is>
          <t>Instalasi Mekanikal</t>
        </is>
      </c>
      <c r="N97" t="inlineStr">
        <is>
          <t>Spesialis</t>
        </is>
      </c>
      <c r="O97" t="inlineStr">
        <is>
          <t>20230907</t>
        </is>
      </c>
      <c r="P97" t="inlineStr">
        <is>
          <t>DI Yogyakarta</t>
        </is>
      </c>
      <c r="Q97" t="inlineStr"/>
    </row>
    <row r="98">
      <c r="A98" t="inlineStr">
        <is>
          <t>LAMPOH SAYANG</t>
        </is>
      </c>
      <c r="B98" t="inlineStr">
        <is>
          <t>Kab. Aceh Besar</t>
        </is>
      </c>
      <c r="C98" t="inlineStr">
        <is>
          <t>085260093361</t>
        </is>
      </c>
      <c r="D98" t="inlineStr">
        <is>
          <t>lampohsyg@yahoo.com</t>
        </is>
      </c>
      <c r="E98" t="inlineStr">
        <is>
          <t>https://lpjk.pu.go.id/search-badan-usaha-detail/UHBsQ3dUcVRqNkpqV1pyKzJueXJCZz09</t>
        </is>
      </c>
      <c r="F98" t="n">
        <v>1</v>
      </c>
      <c r="G98" t="inlineStr">
        <is>
          <t>BS001</t>
        </is>
      </c>
      <c r="H98" t="inlineStr">
        <is>
          <t>13 September 2013</t>
        </is>
      </c>
      <c r="I98" s="2" t="n">
        <v>46313</v>
      </c>
      <c r="J98" t="inlineStr">
        <is>
          <t>Disetujui</t>
        </is>
      </c>
      <c r="K98" t="n">
        <v>30</v>
      </c>
      <c r="L98" t="inlineStr">
        <is>
          <t>18 Oktober 2026</t>
        </is>
      </c>
      <c r="M98" t="inlineStr">
        <is>
          <t>Konstruksi Bangunan Sipil Jalan</t>
        </is>
      </c>
      <c r="N98" t="inlineStr">
        <is>
          <t>K</t>
        </is>
      </c>
      <c r="O98" t="inlineStr">
        <is>
          <t>20231019</t>
        </is>
      </c>
      <c r="P98" t="inlineStr">
        <is>
          <t>Aceh</t>
        </is>
      </c>
      <c r="Q98" t="inlineStr"/>
    </row>
    <row r="99">
      <c r="A99" t="inlineStr">
        <is>
          <t>MAHAKARYA</t>
        </is>
      </c>
      <c r="B99" t="inlineStr">
        <is>
          <t>Kab. Blitar</t>
        </is>
      </c>
      <c r="C99" t="inlineStr">
        <is>
          <t>08123359554</t>
        </is>
      </c>
      <c r="D99" t="inlineStr">
        <is>
          <t>didikbudifariadi@yahoo.co.id</t>
        </is>
      </c>
      <c r="E99" t="inlineStr">
        <is>
          <t>https://lpjk.pu.go.id/search-badan-usaha-detail/M3lTZlVPem5wci9uWWU1bUhLVFJIdz09</t>
        </is>
      </c>
      <c r="F99" t="n">
        <v>3</v>
      </c>
      <c r="G99" t="inlineStr">
        <is>
          <t>BS006</t>
        </is>
      </c>
      <c r="H99" t="inlineStr">
        <is>
          <t>9 September 1999</t>
        </is>
      </c>
      <c r="I99" s="2" t="n">
        <v>46313</v>
      </c>
      <c r="J99" t="inlineStr">
        <is>
          <t>Disetujui</t>
        </is>
      </c>
      <c r="K99" t="n">
        <v>30</v>
      </c>
      <c r="L99" t="inlineStr">
        <is>
          <t>18 Oktober 2026</t>
        </is>
      </c>
      <c r="M99" t="inlineStr">
        <is>
          <t>Konstruksi Bangunan Sipil Prasarana dan Sarana Sistem Pengolahan Limbah Padat, Cair, dan Gas</t>
        </is>
      </c>
      <c r="N99" t="inlineStr">
        <is>
          <t>K</t>
        </is>
      </c>
      <c r="O99" t="inlineStr">
        <is>
          <t>20231012</t>
        </is>
      </c>
      <c r="P99" t="inlineStr">
        <is>
          <t>Jawa Timur</t>
        </is>
      </c>
      <c r="Q99" t="inlineStr"/>
    </row>
    <row r="100">
      <c r="A100" t="inlineStr">
        <is>
          <t>MAHAPRAJA BANGUN PERSADA</t>
        </is>
      </c>
      <c r="B100" t="inlineStr">
        <is>
          <t>Kota Adm. Jakarta Selatan</t>
        </is>
      </c>
      <c r="C100" t="inlineStr">
        <is>
          <t>081299948482</t>
        </is>
      </c>
      <c r="D100" t="inlineStr">
        <is>
          <t>mahaprajabangunpersada@gmail.com</t>
        </is>
      </c>
      <c r="E100" t="inlineStr">
        <is>
          <t>https://lpjk.pu.go.id/search-badan-usaha-detail/ZXJ4bzRzclRRQlJDOEZtOE0zUzM0Zz09</t>
        </is>
      </c>
      <c r="F100" t="n">
        <v>4</v>
      </c>
      <c r="G100" t="inlineStr">
        <is>
          <t>BG002, BG005, BG006, BG009</t>
        </is>
      </c>
      <c r="H100" t="inlineStr">
        <is>
          <t>8 Maret 2023</t>
        </is>
      </c>
      <c r="I100" s="2" t="n">
        <v>46313</v>
      </c>
      <c r="J100" t="inlineStr">
        <is>
          <t>Disetujui</t>
        </is>
      </c>
      <c r="K100" t="n">
        <v>30</v>
      </c>
      <c r="L100" t="inlineStr">
        <is>
          <t>18 Oktober 2026</t>
        </is>
      </c>
      <c r="M100" t="inlineStr">
        <is>
          <t>Konstruksi Gedung Kesehatan, Konstruksi Gedung Lainnya, Konstruksi Gedung Pendidikan, Konstruksi Gedung Perkantoran</t>
        </is>
      </c>
      <c r="N100" t="inlineStr">
        <is>
          <t>K</t>
        </is>
      </c>
      <c r="O100" t="inlineStr">
        <is>
          <t>20231017</t>
        </is>
      </c>
      <c r="P100" t="inlineStr">
        <is>
          <t>DKI Jakarta</t>
        </is>
      </c>
      <c r="Q100" t="inlineStr"/>
    </row>
    <row r="101">
      <c r="A101" t="inlineStr">
        <is>
          <t>MAJU BERSAUDARA</t>
        </is>
      </c>
      <c r="B101" t="inlineStr">
        <is>
          <t>Kab. Lahat</t>
        </is>
      </c>
      <c r="C101" t="inlineStr">
        <is>
          <t>085378111134</t>
        </is>
      </c>
      <c r="D101" t="inlineStr">
        <is>
          <t>cv.majubersaudara@gmail.com</t>
        </is>
      </c>
      <c r="E101" t="inlineStr">
        <is>
          <t>https://lpjk.pu.go.id/search-badan-usaha-detail/RTFob1Yvbm1oYXlzUWtOV0NaZTlmQT09</t>
        </is>
      </c>
      <c r="F101" t="n">
        <v>2</v>
      </c>
      <c r="G101" t="inlineStr">
        <is>
          <t>BS001, BS004</t>
        </is>
      </c>
      <c r="H101" t="inlineStr">
        <is>
          <t>3 Oktober 2019</t>
        </is>
      </c>
      <c r="I101" s="2" t="n">
        <v>46313</v>
      </c>
      <c r="J101" t="inlineStr">
        <is>
          <t>Disetujui</t>
        </is>
      </c>
      <c r="K101" t="n">
        <v>30</v>
      </c>
      <c r="L101" t="inlineStr">
        <is>
          <t>18 Oktober 2026</t>
        </is>
      </c>
      <c r="M101" t="inlineStr">
        <is>
          <t>Konstruksi Bangunan Sipil Jalan, Konstruksi Jaringan Irigasi dan Drainase</t>
        </is>
      </c>
      <c r="N101" t="inlineStr">
        <is>
          <t>K</t>
        </is>
      </c>
      <c r="O101" t="inlineStr">
        <is>
          <t>20231016</t>
        </is>
      </c>
      <c r="P101" t="inlineStr">
        <is>
          <t>Sumatera Selatan</t>
        </is>
      </c>
      <c r="Q101" t="inlineStr"/>
    </row>
    <row r="102">
      <c r="A102" t="inlineStr">
        <is>
          <t>MEGAH SURYA</t>
        </is>
      </c>
      <c r="B102" t="inlineStr">
        <is>
          <t>Kab. Jombang</t>
        </is>
      </c>
      <c r="C102" t="inlineStr">
        <is>
          <t>085648744494</t>
        </is>
      </c>
      <c r="D102" t="inlineStr">
        <is>
          <t>izuhdimegahsurya@yahoo.com</t>
        </is>
      </c>
      <c r="E102" t="inlineStr">
        <is>
          <t>https://lpjk.pu.go.id/search-badan-usaha-detail/VVdWWUVMdzZYdzFyVU5tdUhBb2hkQT09</t>
        </is>
      </c>
      <c r="F102" t="n">
        <v>12</v>
      </c>
      <c r="G102" t="inlineStr">
        <is>
          <t>BG003, BG005, BG006, BG009, BS004</t>
        </is>
      </c>
      <c r="H102" t="inlineStr">
        <is>
          <t>22 Oktober 2009</t>
        </is>
      </c>
      <c r="I102" s="2" t="n">
        <v>46313</v>
      </c>
      <c r="J102" t="inlineStr">
        <is>
          <t>Disetujui</t>
        </is>
      </c>
      <c r="K102" t="n">
        <v>30</v>
      </c>
      <c r="L102" t="inlineStr">
        <is>
          <t>18 Oktober 2026</t>
        </is>
      </c>
      <c r="M102" t="inlineStr">
        <is>
          <t>Konstruksi Gedung Industri, Konstruksi Gedung Kesehatan, Konstruksi Gedung Lainnya, Konstruksi Gedung Pendidikan, Konstruksi Jaringan Irigasi dan Drainase</t>
        </is>
      </c>
      <c r="N102" t="inlineStr">
        <is>
          <t>K</t>
        </is>
      </c>
      <c r="O102" t="inlineStr">
        <is>
          <t>20230911, 20231018</t>
        </is>
      </c>
      <c r="P102" t="inlineStr">
        <is>
          <t>Jawa Timur</t>
        </is>
      </c>
      <c r="Q102" t="inlineStr"/>
    </row>
    <row r="103">
      <c r="A103" t="inlineStr">
        <is>
          <t>MEKAR JAYA ANUGRAH</t>
        </is>
      </c>
      <c r="B103" t="inlineStr">
        <is>
          <t>Kota Pekanbaru</t>
        </is>
      </c>
      <c r="C103" t="inlineStr">
        <is>
          <t>082284383254</t>
        </is>
      </c>
      <c r="D103" t="inlineStr">
        <is>
          <t>jayacvmekar5@gmail.com</t>
        </is>
      </c>
      <c r="E103" t="inlineStr">
        <is>
          <t>https://lpjk.pu.go.id/search-badan-usaha-detail/djVMSWRVY2NFSWpOYkZtQSttaWZVUT09</t>
        </is>
      </c>
      <c r="F103" t="n">
        <v>2</v>
      </c>
      <c r="G103" t="inlineStr">
        <is>
          <t>BG005</t>
        </is>
      </c>
      <c r="H103" t="inlineStr">
        <is>
          <t>4 Juli 2023</t>
        </is>
      </c>
      <c r="I103" s="2" t="n">
        <v>46313</v>
      </c>
      <c r="J103" t="inlineStr">
        <is>
          <t>Disetujui</t>
        </is>
      </c>
      <c r="K103" t="n">
        <v>30</v>
      </c>
      <c r="L103" t="inlineStr">
        <is>
          <t>18 Oktober 2026</t>
        </is>
      </c>
      <c r="M103" t="inlineStr">
        <is>
          <t>Konstruksi Gedung Kesehatan</t>
        </is>
      </c>
      <c r="N103" t="inlineStr">
        <is>
          <t>K</t>
        </is>
      </c>
      <c r="O103" t="inlineStr">
        <is>
          <t>20231018</t>
        </is>
      </c>
      <c r="P103" t="inlineStr">
        <is>
          <t>Riau</t>
        </is>
      </c>
      <c r="Q103" t="inlineStr"/>
    </row>
    <row r="104">
      <c r="A104" t="inlineStr">
        <is>
          <t>NAWASENA POWER PERKASA</t>
        </is>
      </c>
      <c r="B104" t="inlineStr">
        <is>
          <t>Kab. Tapanuli Tengah</t>
        </is>
      </c>
      <c r="C104" t="inlineStr">
        <is>
          <t>081262054877</t>
        </is>
      </c>
      <c r="D104" t="inlineStr">
        <is>
          <t>nawasenapowerperkasa@gmail.com</t>
        </is>
      </c>
      <c r="E104" t="inlineStr">
        <is>
          <t>https://lpjk.pu.go.id/search-badan-usaha-detail/TWFNbEZuZnZpbXNta2l0S3N6eVZxZz09</t>
        </is>
      </c>
      <c r="F104" t="n">
        <v>2</v>
      </c>
      <c r="G104" t="inlineStr">
        <is>
          <t>BS007</t>
        </is>
      </c>
      <c r="H104" t="inlineStr">
        <is>
          <t>9 Juni 2023</t>
        </is>
      </c>
      <c r="I104" s="2" t="n">
        <v>46313</v>
      </c>
      <c r="J104" t="inlineStr">
        <is>
          <t>Disetujui</t>
        </is>
      </c>
      <c r="K104" t="n">
        <v>30</v>
      </c>
      <c r="L104" t="inlineStr">
        <is>
          <t>18 Oktober 2026</t>
        </is>
      </c>
      <c r="M104" t="inlineStr">
        <is>
          <t>Konstruksi Bangunan Sipil Elektrikal</t>
        </is>
      </c>
      <c r="N104" t="inlineStr">
        <is>
          <t>K</t>
        </is>
      </c>
      <c r="O104" t="inlineStr">
        <is>
          <t>20231018</t>
        </is>
      </c>
      <c r="P104" t="inlineStr">
        <is>
          <t>Sumatera Utara</t>
        </is>
      </c>
      <c r="Q104" t="inlineStr"/>
    </row>
    <row r="105">
      <c r="A105" t="inlineStr">
        <is>
          <t>NIAGA NUSANTARA DIVA</t>
        </is>
      </c>
      <c r="B105" t="inlineStr">
        <is>
          <t>Kota Banda Aceh</t>
        </is>
      </c>
      <c r="C105" t="inlineStr">
        <is>
          <t>081260574744</t>
        </is>
      </c>
      <c r="D105" t="inlineStr">
        <is>
          <t>niaganusantaradiva@gmail.com</t>
        </is>
      </c>
      <c r="E105" t="inlineStr">
        <is>
          <t>https://lpjk.pu.go.id/search-badan-usaha-detail/SmhpOEtjaGV6ODBZbmtNQzBFdjNHdz09</t>
        </is>
      </c>
      <c r="F105" t="n">
        <v>1</v>
      </c>
      <c r="G105" t="inlineStr">
        <is>
          <t>BS009</t>
        </is>
      </c>
      <c r="H105" t="inlineStr">
        <is>
          <t>30 Januari 2020</t>
        </is>
      </c>
      <c r="I105" s="2" t="n">
        <v>46313</v>
      </c>
      <c r="J105" t="inlineStr">
        <is>
          <t>Disetujui</t>
        </is>
      </c>
      <c r="K105" t="n">
        <v>30</v>
      </c>
      <c r="L105" t="inlineStr">
        <is>
          <t>18 Oktober 2026</t>
        </is>
      </c>
      <c r="M105" t="inlineStr">
        <is>
          <t>Konstruksi Sentral Telekomunikasi</t>
        </is>
      </c>
      <c r="N105" t="inlineStr">
        <is>
          <t>K</t>
        </is>
      </c>
      <c r="O105" t="inlineStr">
        <is>
          <t>20231018</t>
        </is>
      </c>
      <c r="P105" t="inlineStr">
        <is>
          <t>Aceh</t>
        </is>
      </c>
      <c r="Q105" t="inlineStr"/>
    </row>
    <row r="106">
      <c r="A106" t="inlineStr">
        <is>
          <t>NISCALA INDO RAYA</t>
        </is>
      </c>
      <c r="B106" t="inlineStr">
        <is>
          <t>Kota Kendari</t>
        </is>
      </c>
      <c r="C106" t="inlineStr">
        <is>
          <t>082130000611</t>
        </is>
      </c>
      <c r="D106" t="inlineStr">
        <is>
          <t>cv.niscalaindoraya@gmail.com</t>
        </is>
      </c>
      <c r="E106" t="inlineStr">
        <is>
          <t>https://lpjk.pu.go.id/search-badan-usaha-detail/aFhSVndyYmpjZGorTjBhOWNZcStaQT09</t>
        </is>
      </c>
      <c r="F106" t="n">
        <v>3</v>
      </c>
      <c r="G106" t="inlineStr">
        <is>
          <t>BG001, BG002, BG006</t>
        </is>
      </c>
      <c r="H106" t="inlineStr">
        <is>
          <t>18 Januari 2022</t>
        </is>
      </c>
      <c r="I106" s="2" t="n">
        <v>46313</v>
      </c>
      <c r="J106" t="inlineStr">
        <is>
          <t>Disetujui</t>
        </is>
      </c>
      <c r="K106" t="n">
        <v>30</v>
      </c>
      <c r="L106" t="inlineStr">
        <is>
          <t>18 Oktober 2026</t>
        </is>
      </c>
      <c r="M106" t="inlineStr">
        <is>
          <t>Konstruksi Gedung Hunian, Konstruksi Gedung Pendidikan, Konstruksi Gedung Perkantoran</t>
        </is>
      </c>
      <c r="N106" t="inlineStr">
        <is>
          <t>K</t>
        </is>
      </c>
      <c r="O106" t="inlineStr">
        <is>
          <t>20231011, 20231014, 20231018</t>
        </is>
      </c>
      <c r="P106" t="inlineStr">
        <is>
          <t>Sulawesi Tenggara</t>
        </is>
      </c>
      <c r="Q106" t="inlineStr"/>
    </row>
    <row r="107">
      <c r="A107" t="inlineStr">
        <is>
          <t>NUSANTARA MEGAH</t>
        </is>
      </c>
      <c r="B107" t="inlineStr">
        <is>
          <t>Kab. Malang</t>
        </is>
      </c>
      <c r="C107" t="inlineStr">
        <is>
          <t>083834987465</t>
        </is>
      </c>
      <c r="D107" t="inlineStr">
        <is>
          <t>nusantara.megah01@gmail.com</t>
        </is>
      </c>
      <c r="E107" t="inlineStr">
        <is>
          <t>https://lpjk.pu.go.id/search-badan-usaha-detail/NVMrOWhycGtDdEsvQXpuZVhwY1I5UT09</t>
        </is>
      </c>
      <c r="F107" t="n">
        <v>1</v>
      </c>
      <c r="G107" t="inlineStr">
        <is>
          <t>BS001</t>
        </is>
      </c>
      <c r="H107" t="inlineStr">
        <is>
          <t>25 September 2023</t>
        </is>
      </c>
      <c r="I107" s="2" t="n">
        <v>46313</v>
      </c>
      <c r="J107" t="inlineStr">
        <is>
          <t>Disetujui</t>
        </is>
      </c>
      <c r="K107" t="n">
        <v>30</v>
      </c>
      <c r="L107" t="inlineStr">
        <is>
          <t>18 Oktober 2026</t>
        </is>
      </c>
      <c r="M107" t="inlineStr">
        <is>
          <t>Konstruksi Bangunan Sipil Jalan</t>
        </is>
      </c>
      <c r="N107" t="inlineStr">
        <is>
          <t>K</t>
        </is>
      </c>
      <c r="O107" t="inlineStr">
        <is>
          <t>20231012</t>
        </is>
      </c>
      <c r="P107" t="inlineStr">
        <is>
          <t>Jawa Timur</t>
        </is>
      </c>
      <c r="Q107" t="inlineStr"/>
    </row>
    <row r="108">
      <c r="A108" t="inlineStr">
        <is>
          <t>PEMBANGUNAN SEJATI PRIMA</t>
        </is>
      </c>
      <c r="B108" t="inlineStr">
        <is>
          <t>Kota Adm. Jakarta Barat</t>
        </is>
      </c>
      <c r="C108" t="inlineStr">
        <is>
          <t>0215607725</t>
        </is>
      </c>
      <c r="D108" t="inlineStr">
        <is>
          <t>pt_psp@yahoo.com</t>
        </is>
      </c>
      <c r="E108" t="inlineStr">
        <is>
          <t>https://lpjk.pu.go.id/search-badan-usaha-detail/Mm4wbW5rQ2xSdG9wRDFyY1lubVpnUT09</t>
        </is>
      </c>
      <c r="F108" t="n">
        <v>1</v>
      </c>
      <c r="G108" t="inlineStr">
        <is>
          <t>IN006</t>
        </is>
      </c>
      <c r="H108" t="inlineStr">
        <is>
          <t>8 Januari 1996</t>
        </is>
      </c>
      <c r="I108" s="2" t="n">
        <v>46313</v>
      </c>
      <c r="J108" t="inlineStr">
        <is>
          <t>Disetujui</t>
        </is>
      </c>
      <c r="K108" t="n">
        <v>30</v>
      </c>
      <c r="L108" t="inlineStr">
        <is>
          <t>18 Oktober 2026</t>
        </is>
      </c>
      <c r="M108" t="inlineStr">
        <is>
          <t>Instalasi Elektronika</t>
        </is>
      </c>
      <c r="N108" t="inlineStr">
        <is>
          <t>Spesialis</t>
        </is>
      </c>
      <c r="O108" t="inlineStr">
        <is>
          <t>20231017</t>
        </is>
      </c>
      <c r="P108" t="inlineStr">
        <is>
          <t>DKI Jakarta</t>
        </is>
      </c>
      <c r="Q108" t="inlineStr"/>
    </row>
    <row r="109">
      <c r="A109" t="inlineStr">
        <is>
          <t>PERMATA WAMBONA GROUP</t>
        </is>
      </c>
      <c r="B109" t="inlineStr">
        <is>
          <t>Kota Kendari</t>
        </is>
      </c>
      <c r="C109" t="inlineStr">
        <is>
          <t>082216375552</t>
        </is>
      </c>
      <c r="D109" t="inlineStr">
        <is>
          <t>Permatawambona@gmail.com</t>
        </is>
      </c>
      <c r="E109" t="inlineStr">
        <is>
          <t>https://lpjk.pu.go.id/search-badan-usaha-detail/ZVBLdjc2MUZlM0s4OUVyczFsUjAvZz09</t>
        </is>
      </c>
      <c r="F109" t="n">
        <v>2</v>
      </c>
      <c r="G109" t="inlineStr">
        <is>
          <t>BS004, BS010</t>
        </is>
      </c>
      <c r="H109" t="inlineStr">
        <is>
          <t>26 Desember 2022</t>
        </is>
      </c>
      <c r="I109" s="2" t="n">
        <v>46313</v>
      </c>
      <c r="J109" t="inlineStr">
        <is>
          <t>Disetujui</t>
        </is>
      </c>
      <c r="K109" t="n">
        <v>30</v>
      </c>
      <c r="L109" t="inlineStr">
        <is>
          <t>18 Oktober 2026</t>
        </is>
      </c>
      <c r="M109" t="inlineStr">
        <is>
          <t>Konstruksi Bangunan Prasarana Sumber Daya Air, Konstruksi Jaringan Irigasi dan Drainase</t>
        </is>
      </c>
      <c r="N109" t="inlineStr">
        <is>
          <t>K</t>
        </is>
      </c>
      <c r="O109" t="inlineStr">
        <is>
          <t>20231016, 20231018</t>
        </is>
      </c>
      <c r="P109" t="inlineStr">
        <is>
          <t>Sulawesi Tenggara</t>
        </is>
      </c>
      <c r="Q109" t="inlineStr"/>
    </row>
    <row r="110">
      <c r="A110" t="inlineStr">
        <is>
          <t>PIRA KONSULTAN ENJINIRING</t>
        </is>
      </c>
      <c r="B110" t="inlineStr">
        <is>
          <t>Kota Bandung</t>
        </is>
      </c>
      <c r="C110" t="inlineStr">
        <is>
          <t>081919231082</t>
        </is>
      </c>
      <c r="D110" t="inlineStr">
        <is>
          <t>pirakonsultan@gmail.com</t>
        </is>
      </c>
      <c r="E110" t="inlineStr">
        <is>
          <t>https://lpjk.pu.go.id/search-badan-usaha-detail/Ui9CNEVoUlRjQnljUzJiTFZVcHhzUT09</t>
        </is>
      </c>
      <c r="F110" t="n">
        <v>1</v>
      </c>
      <c r="G110" t="inlineStr">
        <is>
          <t>AR001</t>
        </is>
      </c>
      <c r="H110" t="inlineStr">
        <is>
          <t>15 September 2021</t>
        </is>
      </c>
      <c r="I110" s="2" t="n">
        <v>46313</v>
      </c>
      <c r="J110" t="inlineStr">
        <is>
          <t>Pencabutan</t>
        </is>
      </c>
      <c r="K110" t="n">
        <v>30</v>
      </c>
      <c r="L110" t="inlineStr">
        <is>
          <t>18 Oktober 2026</t>
        </is>
      </c>
      <c r="M110" t="inlineStr">
        <is>
          <t>Jasa Arsitektural Bangunan Gedung Hunian dan Non Hunian</t>
        </is>
      </c>
      <c r="N110" t="inlineStr">
        <is>
          <t>K</t>
        </is>
      </c>
      <c r="O110" t="inlineStr">
        <is>
          <t>20221018</t>
        </is>
      </c>
      <c r="P110" t="inlineStr">
        <is>
          <t>Jawa Barat</t>
        </is>
      </c>
      <c r="Q110" t="inlineStr"/>
    </row>
    <row r="111">
      <c r="A111" t="inlineStr">
        <is>
          <t>PUTRA DIVRADJA</t>
        </is>
      </c>
      <c r="B111" t="inlineStr">
        <is>
          <t>Kab. Garut</t>
        </is>
      </c>
      <c r="C111" t="inlineStr">
        <is>
          <t>0262</t>
        </is>
      </c>
      <c r="D111" t="inlineStr">
        <is>
          <t>divradja_cv@yahoo.com</t>
        </is>
      </c>
      <c r="E111" t="inlineStr">
        <is>
          <t>https://lpjk.pu.go.id/search-badan-usaha-detail/bG9DZjF5dnF2cHlaa1VYcVhHTFFNQT09</t>
        </is>
      </c>
      <c r="F111" t="n">
        <v>2</v>
      </c>
      <c r="G111" t="inlineStr">
        <is>
          <t>BG009, BS004</t>
        </is>
      </c>
      <c r="H111" t="inlineStr">
        <is>
          <t>18 Desember 2012</t>
        </is>
      </c>
      <c r="I111" s="2" t="n">
        <v>46313</v>
      </c>
      <c r="J111" t="inlineStr">
        <is>
          <t>Disetujui</t>
        </is>
      </c>
      <c r="K111" t="n">
        <v>30</v>
      </c>
      <c r="L111" t="inlineStr">
        <is>
          <t>18 Oktober 2026</t>
        </is>
      </c>
      <c r="M111" t="inlineStr">
        <is>
          <t>Konstruksi Gedung Lainnya, Konstruksi Jaringan Irigasi dan Drainase</t>
        </is>
      </c>
      <c r="N111" t="inlineStr">
        <is>
          <t>K</t>
        </is>
      </c>
      <c r="O111" t="inlineStr">
        <is>
          <t>20231010, 20231019</t>
        </is>
      </c>
      <c r="P111" t="inlineStr">
        <is>
          <t>Jawa Barat</t>
        </is>
      </c>
      <c r="Q111" t="inlineStr"/>
    </row>
    <row r="112">
      <c r="A112" t="inlineStr">
        <is>
          <t>PUTRA DIWA ADYATAMA</t>
        </is>
      </c>
      <c r="B112" t="inlineStr">
        <is>
          <t>Kota Tangerang Selatan</t>
        </is>
      </c>
      <c r="C112" t="inlineStr">
        <is>
          <t>081322223421</t>
        </is>
      </c>
      <c r="D112" t="inlineStr">
        <is>
          <t>pd.adyatama@gmail.com</t>
        </is>
      </c>
      <c r="E112" t="inlineStr">
        <is>
          <t>https://lpjk.pu.go.id/search-badan-usaha-detail/M01oMzFQcStqa1FKSURmV3BGTEhRZz09</t>
        </is>
      </c>
      <c r="F112" t="n">
        <v>5</v>
      </c>
      <c r="G112" t="inlineStr">
        <is>
          <t>BG006, BG009, BS001, BS004, BS010</t>
        </is>
      </c>
      <c r="H112" t="inlineStr">
        <is>
          <t>27 Januari 2016</t>
        </is>
      </c>
      <c r="I112" s="2" t="n">
        <v>46313</v>
      </c>
      <c r="J112" t="inlineStr">
        <is>
          <t>Disetujui</t>
        </is>
      </c>
      <c r="K112" t="n">
        <v>30</v>
      </c>
      <c r="L112" t="inlineStr">
        <is>
          <t>18 Oktober 2026</t>
        </is>
      </c>
      <c r="M112" t="inlineStr">
        <is>
          <t>Konstruksi Bangunan Prasarana Sumber Daya Air, Konstruksi Bangunan Sipil Jalan, Konstruksi Gedung Lainnya, Konstruksi Gedung Pendidikan, Konstruksi Jaringan Irigasi dan Drainase</t>
        </is>
      </c>
      <c r="N112" t="inlineStr">
        <is>
          <t>K</t>
        </is>
      </c>
      <c r="O112" t="inlineStr">
        <is>
          <t>20231005, 20231007</t>
        </is>
      </c>
      <c r="P112" t="inlineStr">
        <is>
          <t>Banten</t>
        </is>
      </c>
      <c r="Q112" t="inlineStr"/>
    </row>
    <row r="113">
      <c r="A113" t="inlineStr">
        <is>
          <t>PUTRA GUNUNG LESTARI</t>
        </is>
      </c>
      <c r="B113" t="inlineStr">
        <is>
          <t>Kab. Belitung Timur</t>
        </is>
      </c>
      <c r="C113" t="inlineStr">
        <is>
          <t>082280656266</t>
        </is>
      </c>
      <c r="D113" t="inlineStr">
        <is>
          <t>putralestaripgl@gmail.com</t>
        </is>
      </c>
      <c r="E113" t="inlineStr">
        <is>
          <t>https://lpjk.pu.go.id/search-badan-usaha-detail/MDVzRlEyNnhXR1JPWFR5QjBhamJ6Zz09</t>
        </is>
      </c>
      <c r="F113" t="n">
        <v>1</v>
      </c>
      <c r="G113" t="inlineStr">
        <is>
          <t>BS001</t>
        </is>
      </c>
      <c r="H113" t="inlineStr">
        <is>
          <t>6 Januari 2016</t>
        </is>
      </c>
      <c r="I113" s="2" t="n">
        <v>46313</v>
      </c>
      <c r="J113" t="inlineStr">
        <is>
          <t>Disetujui</t>
        </is>
      </c>
      <c r="K113" t="n">
        <v>30</v>
      </c>
      <c r="L113" t="inlineStr">
        <is>
          <t>18 Oktober 2026</t>
        </is>
      </c>
      <c r="M113" t="inlineStr">
        <is>
          <t>Konstruksi Bangunan Sipil Jalan</t>
        </is>
      </c>
      <c r="N113" t="inlineStr">
        <is>
          <t>K</t>
        </is>
      </c>
      <c r="O113" t="inlineStr">
        <is>
          <t>20230609</t>
        </is>
      </c>
      <c r="P113" t="inlineStr">
        <is>
          <t>Kepulauan Bangka Belitung</t>
        </is>
      </c>
      <c r="Q113" t="inlineStr"/>
    </row>
    <row r="114">
      <c r="A114" t="inlineStr">
        <is>
          <t>PUTRA MANDIRI</t>
        </is>
      </c>
      <c r="B114" t="inlineStr">
        <is>
          <t>Kab. Pamekasan</t>
        </is>
      </c>
      <c r="C114" t="inlineStr">
        <is>
          <t>0324324736</t>
        </is>
      </c>
      <c r="D114" t="inlineStr">
        <is>
          <t>putra_mandiri2007@yahoo.com</t>
        </is>
      </c>
      <c r="E114" t="inlineStr">
        <is>
          <t>https://lpjk.pu.go.id/search-badan-usaha-detail/QXA0YWhhWGpRdC94VnlmWVpiZkRZdz09</t>
        </is>
      </c>
      <c r="F114" t="n">
        <v>1</v>
      </c>
      <c r="G114" t="inlineStr">
        <is>
          <t>BS001</t>
        </is>
      </c>
      <c r="H114" t="inlineStr">
        <is>
          <t>12 Februari 2007</t>
        </is>
      </c>
      <c r="I114" s="2" t="n">
        <v>46313</v>
      </c>
      <c r="J114" t="inlineStr">
        <is>
          <t>Pencabutan</t>
        </is>
      </c>
      <c r="K114" t="n">
        <v>30</v>
      </c>
      <c r="L114" t="inlineStr">
        <is>
          <t>18 Oktober 2026</t>
        </is>
      </c>
      <c r="M114" t="inlineStr">
        <is>
          <t>Konstruksi Bangunan Sipil Jalan</t>
        </is>
      </c>
      <c r="N114" t="inlineStr">
        <is>
          <t>K</t>
        </is>
      </c>
      <c r="O114" t="inlineStr">
        <is>
          <t>20230617</t>
        </is>
      </c>
      <c r="P114" t="inlineStr">
        <is>
          <t>Jawa Timur</t>
        </is>
      </c>
      <c r="Q114" t="inlineStr"/>
    </row>
    <row r="115">
      <c r="A115" t="inlineStr">
        <is>
          <t>RAFA JAYA</t>
        </is>
      </c>
      <c r="B115" t="inlineStr">
        <is>
          <t>Kab. Tuban</t>
        </is>
      </c>
      <c r="C115" t="inlineStr">
        <is>
          <t>081235699934</t>
        </is>
      </c>
      <c r="D115" t="inlineStr">
        <is>
          <t>alif.rafandra27@gmail.com</t>
        </is>
      </c>
      <c r="E115" t="inlineStr">
        <is>
          <t>https://lpjk.pu.go.id/search-badan-usaha-detail/Z1hHdkxnV3p0V0FQd1A1a1hhQmxGdz09</t>
        </is>
      </c>
      <c r="F115" t="n">
        <v>4</v>
      </c>
      <c r="G115" t="inlineStr">
        <is>
          <t>BG005, BG006, BS001, BS004</t>
        </is>
      </c>
      <c r="H115" t="inlineStr">
        <is>
          <t>1 Januari 2018</t>
        </is>
      </c>
      <c r="I115" s="2" t="n">
        <v>46313</v>
      </c>
      <c r="J115" t="inlineStr">
        <is>
          <t>Disetujui</t>
        </is>
      </c>
      <c r="K115" t="n">
        <v>30</v>
      </c>
      <c r="L115" t="inlineStr">
        <is>
          <t>18 Oktober 2026</t>
        </is>
      </c>
      <c r="M115" t="inlineStr">
        <is>
          <t>Konstruksi Bangunan Sipil Jalan, Konstruksi Gedung Kesehatan, Konstruksi Gedung Pendidikan, Konstruksi Jaringan Irigasi dan Drainase</t>
        </is>
      </c>
      <c r="N115" t="inlineStr">
        <is>
          <t>K</t>
        </is>
      </c>
      <c r="O115" t="inlineStr">
        <is>
          <t>20231016</t>
        </is>
      </c>
      <c r="P115" t="inlineStr">
        <is>
          <t>Jawa Timur</t>
        </is>
      </c>
      <c r="Q115" t="inlineStr"/>
    </row>
    <row r="116">
      <c r="A116" t="inlineStr">
        <is>
          <t>RAIHAN PRIMA MANDIRI</t>
        </is>
      </c>
      <c r="B116" t="inlineStr">
        <is>
          <t>Kab. Kotawaringin Barat</t>
        </is>
      </c>
      <c r="C116" t="inlineStr">
        <is>
          <t>08125157941</t>
        </is>
      </c>
      <c r="D116" t="inlineStr">
        <is>
          <t>raihanprimamandiri@yahoo.co.id</t>
        </is>
      </c>
      <c r="E116" t="inlineStr">
        <is>
          <t>https://lpjk.pu.go.id/search-badan-usaha-detail/M1JjQVNWRDBJbW9DR0VMd1VIS1dUdz09</t>
        </is>
      </c>
      <c r="F116" t="n">
        <v>2</v>
      </c>
      <c r="G116" t="inlineStr">
        <is>
          <t>BG003</t>
        </is>
      </c>
      <c r="H116" t="inlineStr">
        <is>
          <t>21 Juni 2012</t>
        </is>
      </c>
      <c r="I116" s="2" t="n">
        <v>46313</v>
      </c>
      <c r="J116" t="inlineStr">
        <is>
          <t>Disetujui</t>
        </is>
      </c>
      <c r="K116" t="n">
        <v>30</v>
      </c>
      <c r="L116" t="inlineStr">
        <is>
          <t>18 Oktober 2026</t>
        </is>
      </c>
      <c r="M116" t="inlineStr">
        <is>
          <t>Konstruksi Gedung Industri</t>
        </is>
      </c>
      <c r="N116" t="inlineStr">
        <is>
          <t>K</t>
        </is>
      </c>
      <c r="O116" t="inlineStr">
        <is>
          <t>20231003</t>
        </is>
      </c>
      <c r="P116" t="inlineStr">
        <is>
          <t>Kalimantan Tengah</t>
        </is>
      </c>
      <c r="Q116" t="inlineStr"/>
    </row>
    <row r="117">
      <c r="A117" t="inlineStr">
        <is>
          <t>RAKA JAYA</t>
        </is>
      </c>
      <c r="B117" t="inlineStr">
        <is>
          <t>Kab. Sleman</t>
        </is>
      </c>
      <c r="C117" t="inlineStr">
        <is>
          <t>0817265163</t>
        </is>
      </c>
      <c r="D117" t="inlineStr">
        <is>
          <t>cv_rakajaya@yahoo.co.id</t>
        </is>
      </c>
      <c r="E117" t="inlineStr">
        <is>
          <t>https://lpjk.pu.go.id/search-badan-usaha-detail/V2dHZExoTGd5NWRqTDJ3VWVyR2IwQT09</t>
        </is>
      </c>
      <c r="F117" t="n">
        <v>3</v>
      </c>
      <c r="G117" t="inlineStr">
        <is>
          <t>BG002, BG006, BS004</t>
        </is>
      </c>
      <c r="H117" t="inlineStr">
        <is>
          <t>5 Oktober 2010</t>
        </is>
      </c>
      <c r="I117" s="2" t="n">
        <v>46313</v>
      </c>
      <c r="J117" t="inlineStr">
        <is>
          <t>Disetujui, Pencabutan</t>
        </is>
      </c>
      <c r="K117" t="n">
        <v>30</v>
      </c>
      <c r="L117" t="inlineStr">
        <is>
          <t>18 Oktober 2026</t>
        </is>
      </c>
      <c r="M117" t="inlineStr">
        <is>
          <t>Konstruksi Gedung Pendidikan, Konstruksi Gedung Perkantoran, Konstruksi Jaringan Irigasi dan Drainase</t>
        </is>
      </c>
      <c r="N117" t="inlineStr">
        <is>
          <t>K</t>
        </is>
      </c>
      <c r="O117" t="inlineStr">
        <is>
          <t>20231012</t>
        </is>
      </c>
      <c r="P117" t="inlineStr">
        <is>
          <t>DI Yogyakarta</t>
        </is>
      </c>
      <c r="Q117" t="inlineStr"/>
    </row>
    <row r="118">
      <c r="A118" t="inlineStr">
        <is>
          <t>RAMA PUTERA JAYA</t>
        </is>
      </c>
      <c r="B118" t="inlineStr">
        <is>
          <t>Kab. Majalengka</t>
        </is>
      </c>
      <c r="C118" t="inlineStr">
        <is>
          <t>081321927350</t>
        </is>
      </c>
      <c r="D118" t="inlineStr">
        <is>
          <t>ramaputrajaya09@gmail.com</t>
        </is>
      </c>
      <c r="E118" t="inlineStr">
        <is>
          <t>https://lpjk.pu.go.id/search-badan-usaha-detail/OGRPMy9tSGZNZllKWlNhYkJITXFWZz09</t>
        </is>
      </c>
      <c r="F118" t="n">
        <v>2</v>
      </c>
      <c r="G118" t="inlineStr">
        <is>
          <t>BS001, BS004</t>
        </is>
      </c>
      <c r="H118" t="inlineStr">
        <is>
          <t>24 Januari 1996</t>
        </is>
      </c>
      <c r="I118" s="2" t="n">
        <v>46313</v>
      </c>
      <c r="J118" t="inlineStr">
        <is>
          <t>Disetujui</t>
        </is>
      </c>
      <c r="K118" t="n">
        <v>30</v>
      </c>
      <c r="L118" t="inlineStr">
        <is>
          <t>18 Oktober 2026</t>
        </is>
      </c>
      <c r="M118" t="inlineStr">
        <is>
          <t>Konstruksi Bangunan Sipil Jalan, Konstruksi Jaringan Irigasi dan Drainase</t>
        </is>
      </c>
      <c r="N118" t="inlineStr">
        <is>
          <t>K</t>
        </is>
      </c>
      <c r="O118" t="inlineStr">
        <is>
          <t>20231016</t>
        </is>
      </c>
      <c r="P118" t="inlineStr">
        <is>
          <t>Jawa Barat</t>
        </is>
      </c>
      <c r="Q118" t="inlineStr"/>
    </row>
    <row r="119">
      <c r="A119" t="inlineStr">
        <is>
          <t>RATU SUMBER MAKMUR</t>
        </is>
      </c>
      <c r="B119" t="inlineStr">
        <is>
          <t>Kota Bandar Lampung</t>
        </is>
      </c>
      <c r="C119" t="inlineStr">
        <is>
          <t>082281337001</t>
        </is>
      </c>
      <c r="D119" t="inlineStr">
        <is>
          <t>makmurptratusumber@gmail.com</t>
        </is>
      </c>
      <c r="E119" t="inlineStr">
        <is>
          <t>https://lpjk.pu.go.id/search-badan-usaha-detail/eEEvbEd5MHNQK2ttaGo3TVdpZDZVdz09</t>
        </is>
      </c>
      <c r="F119" t="n">
        <v>1</v>
      </c>
      <c r="G119" t="inlineStr">
        <is>
          <t>BG002</t>
        </is>
      </c>
      <c r="H119" t="inlineStr">
        <is>
          <t>23 September 2023</t>
        </is>
      </c>
      <c r="I119" s="2" t="n">
        <v>46313</v>
      </c>
      <c r="J119" t="inlineStr">
        <is>
          <t>Disetujui</t>
        </is>
      </c>
      <c r="K119" t="n">
        <v>30</v>
      </c>
      <c r="L119" t="inlineStr">
        <is>
          <t>18 Oktober 2026</t>
        </is>
      </c>
      <c r="M119" t="inlineStr">
        <is>
          <t>Konstruksi Gedung Perkantoran</t>
        </is>
      </c>
      <c r="N119" t="inlineStr">
        <is>
          <t>K</t>
        </is>
      </c>
      <c r="O119" t="inlineStr">
        <is>
          <t>20231018</t>
        </is>
      </c>
      <c r="P119" t="inlineStr">
        <is>
          <t>Lampung</t>
        </is>
      </c>
      <c r="Q119" t="inlineStr"/>
    </row>
    <row r="120">
      <c r="A120" t="inlineStr">
        <is>
          <t>REKSA ABADI BERSAMA</t>
        </is>
      </c>
      <c r="B120" t="inlineStr">
        <is>
          <t>Kab. Sidoarjo</t>
        </is>
      </c>
      <c r="C120" t="inlineStr">
        <is>
          <t>081938400978</t>
        </is>
      </c>
      <c r="D120" t="inlineStr">
        <is>
          <t>reksaabadigroup@yahoo.co.id</t>
        </is>
      </c>
      <c r="E120" t="inlineStr">
        <is>
          <t>https://lpjk.pu.go.id/search-badan-usaha-detail/eDk2RkFBbVpvZ3VVc1IzRmFQRnh4Zz09</t>
        </is>
      </c>
      <c r="F120" t="n">
        <v>1</v>
      </c>
      <c r="G120" t="inlineStr">
        <is>
          <t>BS004</t>
        </is>
      </c>
      <c r="H120" t="inlineStr">
        <is>
          <t>6 Agustus 2014</t>
        </is>
      </c>
      <c r="I120" s="2" t="n">
        <v>46313</v>
      </c>
      <c r="J120" t="inlineStr">
        <is>
          <t>Disetujui</t>
        </is>
      </c>
      <c r="K120" t="n">
        <v>30</v>
      </c>
      <c r="L120" t="inlineStr">
        <is>
          <t>18 Oktober 2026</t>
        </is>
      </c>
      <c r="M120" t="inlineStr">
        <is>
          <t>Konstruksi Jaringan Irigasi dan Drainase</t>
        </is>
      </c>
      <c r="N120" t="inlineStr">
        <is>
          <t>K</t>
        </is>
      </c>
      <c r="O120" t="inlineStr">
        <is>
          <t>20231017</t>
        </is>
      </c>
      <c r="P120" t="inlineStr">
        <is>
          <t>Jawa Timur</t>
        </is>
      </c>
      <c r="Q120" t="inlineStr"/>
    </row>
    <row r="121">
      <c r="A121" t="inlineStr">
        <is>
          <t>SARANA GRIYA</t>
        </is>
      </c>
      <c r="B121" t="inlineStr">
        <is>
          <t>Kab. Karawang</t>
        </is>
      </c>
      <c r="C121" t="inlineStr">
        <is>
          <t>081232676163</t>
        </is>
      </c>
      <c r="D121" t="inlineStr">
        <is>
          <t>sarana.griya26@gmail.com</t>
        </is>
      </c>
      <c r="E121" t="inlineStr">
        <is>
          <t>https://lpjk.pu.go.id/search-badan-usaha-detail/dmJJczB4Y1phVFp4Z3J0NlkvRU94dz09</t>
        </is>
      </c>
      <c r="F121" t="n">
        <v>2</v>
      </c>
      <c r="G121" t="inlineStr">
        <is>
          <t>BG003, BG007</t>
        </is>
      </c>
      <c r="H121" t="inlineStr">
        <is>
          <t>21 September 2016</t>
        </is>
      </c>
      <c r="I121" s="2" t="n">
        <v>46313</v>
      </c>
      <c r="J121" t="inlineStr">
        <is>
          <t>Disetujui</t>
        </is>
      </c>
      <c r="K121" t="n">
        <v>30</v>
      </c>
      <c r="L121" t="inlineStr">
        <is>
          <t>18 Oktober 2026</t>
        </is>
      </c>
      <c r="M121" t="inlineStr">
        <is>
          <t>Konstruksi Gedung Industri, Konstruksi Gedung Penginapan</t>
        </is>
      </c>
      <c r="N121" t="inlineStr">
        <is>
          <t>K</t>
        </is>
      </c>
      <c r="O121" t="inlineStr">
        <is>
          <t>20231009, 20231016</t>
        </is>
      </c>
      <c r="P121" t="inlineStr">
        <is>
          <t>Jawa Barat</t>
        </is>
      </c>
      <c r="Q121" t="inlineStr"/>
    </row>
    <row r="122">
      <c r="A122" t="inlineStr">
        <is>
          <t>SATRIAMAS KARYATAMA</t>
        </is>
      </c>
      <c r="B122" t="inlineStr">
        <is>
          <t>Kota Semarang</t>
        </is>
      </c>
      <c r="C122" t="inlineStr">
        <is>
          <t>0243580362</t>
        </is>
      </c>
      <c r="D122" t="inlineStr">
        <is>
          <t>satriamas.karyatama@yahoo.com</t>
        </is>
      </c>
      <c r="E122" t="inlineStr">
        <is>
          <t>https://lpjk.pu.go.id/search-badan-usaha-detail/UFVtb21rZWprZGlRNGtyMlgzZldzdz09</t>
        </is>
      </c>
      <c r="F122" t="n">
        <v>1</v>
      </c>
      <c r="G122" t="inlineStr">
        <is>
          <t>BG001</t>
        </is>
      </c>
      <c r="H122" t="inlineStr">
        <is>
          <t>21 Juni 2003</t>
        </is>
      </c>
      <c r="I122" s="2" t="n">
        <v>46313</v>
      </c>
      <c r="J122" t="inlineStr">
        <is>
          <t>Disetujui</t>
        </is>
      </c>
      <c r="K122" t="n">
        <v>30</v>
      </c>
      <c r="L122" t="inlineStr">
        <is>
          <t>18 Oktober 2026</t>
        </is>
      </c>
      <c r="M122" t="inlineStr">
        <is>
          <t>Konstruksi Gedung Hunian</t>
        </is>
      </c>
      <c r="N122" t="inlineStr">
        <is>
          <t>M</t>
        </is>
      </c>
      <c r="O122" t="inlineStr">
        <is>
          <t>20231013</t>
        </is>
      </c>
      <c r="P122" t="inlineStr">
        <is>
          <t>Jawa Tengah</t>
        </is>
      </c>
      <c r="Q122" t="inlineStr"/>
    </row>
    <row r="123">
      <c r="A123" t="inlineStr">
        <is>
          <t>SATRIO GIRI MULYO</t>
        </is>
      </c>
      <c r="B123" t="inlineStr">
        <is>
          <t>Kab. Grobogan</t>
        </is>
      </c>
      <c r="C123" t="inlineStr">
        <is>
          <t>082332138588</t>
        </is>
      </c>
      <c r="D123" t="inlineStr">
        <is>
          <t>CVSATRIOGIRIMULYO@GMAIL.COM</t>
        </is>
      </c>
      <c r="E123" t="inlineStr">
        <is>
          <t>https://lpjk.pu.go.id/search-badan-usaha-detail/WFBubkh5MlAreVR3ZElpMFZ5ZEt1QT09</t>
        </is>
      </c>
      <c r="F123" t="n">
        <v>1</v>
      </c>
      <c r="G123" t="inlineStr">
        <is>
          <t>PL003</t>
        </is>
      </c>
      <c r="H123" t="inlineStr">
        <is>
          <t>29 Agustus 2023</t>
        </is>
      </c>
      <c r="I123" s="2" t="n">
        <v>46313</v>
      </c>
      <c r="J123" t="inlineStr">
        <is>
          <t>Pencabutan</t>
        </is>
      </c>
      <c r="K123" t="n">
        <v>30</v>
      </c>
      <c r="L123" t="inlineStr">
        <is>
          <t>18 Oktober 2026</t>
        </is>
      </c>
      <c r="M123" t="inlineStr">
        <is>
          <t>Penyiapan Lahan Konstruksi</t>
        </is>
      </c>
      <c r="N123" t="inlineStr">
        <is>
          <t>Spesialis</t>
        </is>
      </c>
      <c r="O123" t="inlineStr">
        <is>
          <t>20231018</t>
        </is>
      </c>
      <c r="P123" t="inlineStr">
        <is>
          <t>Jawa Tengah</t>
        </is>
      </c>
      <c r="Q123" t="inlineStr"/>
    </row>
    <row r="124">
      <c r="A124" t="inlineStr">
        <is>
          <t>SEKATA</t>
        </is>
      </c>
      <c r="B124" t="inlineStr">
        <is>
          <t>Kab. Labuhanbatu</t>
        </is>
      </c>
      <c r="C124" t="inlineStr">
        <is>
          <t>0812 6223 659_</t>
        </is>
      </c>
      <c r="D124" t="inlineStr">
        <is>
          <t>sekatakontraktor@yahoo.com</t>
        </is>
      </c>
      <c r="E124" t="inlineStr">
        <is>
          <t>https://lpjk.pu.go.id/search-badan-usaha-detail/Y1BYLzVvTkpvR2NzOXVWRmtIeFcyQT09</t>
        </is>
      </c>
      <c r="F124" t="n">
        <v>1</v>
      </c>
      <c r="G124" t="inlineStr">
        <is>
          <t>BG009</t>
        </is>
      </c>
      <c r="H124" t="inlineStr">
        <is>
          <t>17 November 1993</t>
        </is>
      </c>
      <c r="I124" s="2" t="n">
        <v>46313</v>
      </c>
      <c r="J124" t="inlineStr">
        <is>
          <t>Disetujui</t>
        </is>
      </c>
      <c r="K124" t="n">
        <v>30</v>
      </c>
      <c r="L124" t="inlineStr">
        <is>
          <t>18 Oktober 2026</t>
        </is>
      </c>
      <c r="M124" t="inlineStr">
        <is>
          <t>Konstruksi Gedung Lainnya</t>
        </is>
      </c>
      <c r="N124" t="inlineStr">
        <is>
          <t>K</t>
        </is>
      </c>
      <c r="O124" t="inlineStr">
        <is>
          <t>20231015</t>
        </is>
      </c>
      <c r="P124" t="inlineStr">
        <is>
          <t>Sumatera Utara</t>
        </is>
      </c>
      <c r="Q124" t="inlineStr"/>
    </row>
    <row r="125">
      <c r="A125" t="inlineStr">
        <is>
          <t>SEMOGA SENANTIASA BERKAH</t>
        </is>
      </c>
      <c r="B125" t="inlineStr">
        <is>
          <t>Kab. Pelalawan</t>
        </is>
      </c>
      <c r="C125" t="inlineStr">
        <is>
          <t>082288944488</t>
        </is>
      </c>
      <c r="D125" t="inlineStr">
        <is>
          <t>semogasenantiasa@gmail.com</t>
        </is>
      </c>
      <c r="E125" t="inlineStr">
        <is>
          <t>https://lpjk.pu.go.id/search-badan-usaha-detail/bmRnM1pKL1V0OC9ld0gxL3JjVGdJQT09</t>
        </is>
      </c>
      <c r="F125" t="n">
        <v>1</v>
      </c>
      <c r="G125" t="inlineStr">
        <is>
          <t>PB010</t>
        </is>
      </c>
      <c r="H125" t="inlineStr">
        <is>
          <t>23 November 2022</t>
        </is>
      </c>
      <c r="I125" s="2" t="n">
        <v>46313</v>
      </c>
      <c r="J125" t="inlineStr">
        <is>
          <t>Disetujui</t>
        </is>
      </c>
      <c r="K125" t="n">
        <v>30</v>
      </c>
      <c r="L125" t="inlineStr">
        <is>
          <t>18 Oktober 2026</t>
        </is>
      </c>
      <c r="M125" t="inlineStr">
        <is>
          <t>Pekerjaan Lanskap, Pertamanan, dan Penanaman Vegetasi</t>
        </is>
      </c>
      <c r="N125" t="inlineStr">
        <is>
          <t>Spesialis</t>
        </is>
      </c>
      <c r="O125" t="inlineStr">
        <is>
          <t>20231012</t>
        </is>
      </c>
      <c r="P125" t="inlineStr">
        <is>
          <t>Riau</t>
        </is>
      </c>
      <c r="Q125" t="inlineStr"/>
    </row>
    <row r="126">
      <c r="A126" t="inlineStr">
        <is>
          <t>SHINTA MAKMUR</t>
        </is>
      </c>
      <c r="B126" t="inlineStr">
        <is>
          <t>Kab. Bojonegoro</t>
        </is>
      </c>
      <c r="C126" t="inlineStr">
        <is>
          <t>085336633333</t>
        </is>
      </c>
      <c r="D126" t="inlineStr">
        <is>
          <t>shintamakmurcv@gmail.com</t>
        </is>
      </c>
      <c r="E126" t="inlineStr">
        <is>
          <t>https://lpjk.pu.go.id/search-badan-usaha-detail/d2VtOC92R0xlKzZ1N1VaWU1PMUNQZz09</t>
        </is>
      </c>
      <c r="F126" t="n">
        <v>2</v>
      </c>
      <c r="G126" t="inlineStr">
        <is>
          <t>BG001, BG006</t>
        </is>
      </c>
      <c r="H126" t="inlineStr">
        <is>
          <t>24 November 2014</t>
        </is>
      </c>
      <c r="I126" s="2" t="n">
        <v>46313</v>
      </c>
      <c r="J126" t="inlineStr">
        <is>
          <t>Disetujui</t>
        </is>
      </c>
      <c r="K126" t="n">
        <v>30</v>
      </c>
      <c r="L126" t="inlineStr">
        <is>
          <t>18 Oktober 2026</t>
        </is>
      </c>
      <c r="M126" t="inlineStr">
        <is>
          <t>Konstruksi Gedung Hunian, Konstruksi Gedung Pendidikan</t>
        </is>
      </c>
      <c r="N126" t="inlineStr">
        <is>
          <t>K</t>
        </is>
      </c>
      <c r="O126" t="inlineStr">
        <is>
          <t>20231017</t>
        </is>
      </c>
      <c r="P126" t="inlineStr">
        <is>
          <t>Jawa Timur</t>
        </is>
      </c>
      <c r="Q126" t="inlineStr"/>
    </row>
    <row r="127">
      <c r="A127" t="inlineStr">
        <is>
          <t>SIMANG SAKTI</t>
        </is>
      </c>
      <c r="B127" t="inlineStr">
        <is>
          <t>Kab. Barito Selatan</t>
        </is>
      </c>
      <c r="C127" t="inlineStr">
        <is>
          <t>085249999289</t>
        </is>
      </c>
      <c r="D127" t="inlineStr">
        <is>
          <t>cv.simangsakti@gmail.com</t>
        </is>
      </c>
      <c r="E127" t="inlineStr">
        <is>
          <t>https://lpjk.pu.go.id/search-badan-usaha-detail/UitUYW5OdHdoamJnckE5c20zTXkydz09</t>
        </is>
      </c>
      <c r="F127" t="n">
        <v>6</v>
      </c>
      <c r="G127" t="inlineStr">
        <is>
          <t>BG009</t>
        </is>
      </c>
      <c r="H127" t="inlineStr">
        <is>
          <t>28 Juni 2023</t>
        </is>
      </c>
      <c r="I127" s="2" t="n">
        <v>46313</v>
      </c>
      <c r="J127" t="inlineStr">
        <is>
          <t>Disetujui</t>
        </is>
      </c>
      <c r="K127" t="n">
        <v>30</v>
      </c>
      <c r="L127" t="inlineStr">
        <is>
          <t>18 Oktober 2026</t>
        </is>
      </c>
      <c r="M127" t="inlineStr">
        <is>
          <t>Konstruksi Gedung Lainnya</t>
        </is>
      </c>
      <c r="N127" t="inlineStr">
        <is>
          <t>K</t>
        </is>
      </c>
      <c r="O127" t="inlineStr">
        <is>
          <t>20231005</t>
        </is>
      </c>
      <c r="P127" t="inlineStr">
        <is>
          <t>Kalimantan Tengah</t>
        </is>
      </c>
      <c r="Q127" t="inlineStr"/>
    </row>
    <row r="128">
      <c r="A128" t="inlineStr">
        <is>
          <t>SIMPANG LIDO SENTOSA</t>
        </is>
      </c>
      <c r="B128" t="inlineStr">
        <is>
          <t>Kota Pontianak</t>
        </is>
      </c>
      <c r="C128" t="inlineStr">
        <is>
          <t>089520365354</t>
        </is>
      </c>
      <c r="D128" t="inlineStr">
        <is>
          <t>simpanglidosentosa@gmail.com</t>
        </is>
      </c>
      <c r="E128" t="inlineStr">
        <is>
          <t>https://lpjk.pu.go.id/search-badan-usaha-detail/WUFDdDhaOEYxM1dWZWxhRUlQSG9IZz09</t>
        </is>
      </c>
      <c r="F128" t="n">
        <v>5</v>
      </c>
      <c r="G128" t="inlineStr">
        <is>
          <t>BG002, BG005, BG006, BG008, BG009</t>
        </is>
      </c>
      <c r="H128" t="inlineStr">
        <is>
          <t>3 Agustus 2023</t>
        </is>
      </c>
      <c r="I128" s="2" t="n">
        <v>46313</v>
      </c>
      <c r="J128" t="inlineStr">
        <is>
          <t>Disetujui</t>
        </is>
      </c>
      <c r="K128" t="n">
        <v>30</v>
      </c>
      <c r="L128" t="inlineStr">
        <is>
          <t>18 Oktober 2026</t>
        </is>
      </c>
      <c r="M128" t="inlineStr">
        <is>
          <t>Konstruksi Gedung Kesehatan, Konstruksi Gedung Lainnya, Konstruksi Gedung Pendidikan, Konstruksi Gedung Perkantoran, Konstruksi Gedung Tempat Hiburan dan Olahraga</t>
        </is>
      </c>
      <c r="N128" t="inlineStr">
        <is>
          <t>K</t>
        </is>
      </c>
      <c r="O128" t="inlineStr">
        <is>
          <t>20231016</t>
        </is>
      </c>
      <c r="P128" t="inlineStr">
        <is>
          <t>Kalimantan Barat</t>
        </is>
      </c>
      <c r="Q128" t="inlineStr"/>
    </row>
    <row r="129">
      <c r="A129" t="inlineStr">
        <is>
          <t>SINAR LAWU</t>
        </is>
      </c>
      <c r="B129" t="inlineStr">
        <is>
          <t>Kab. Ngawi</t>
        </is>
      </c>
      <c r="C129" t="inlineStr">
        <is>
          <t>81335681849</t>
        </is>
      </c>
      <c r="D129" t="inlineStr">
        <is>
          <t>sinar.lawu@gmail.com</t>
        </is>
      </c>
      <c r="E129" t="inlineStr">
        <is>
          <t>https://lpjk.pu.go.id/search-badan-usaha-detail/cGljbHM2VWdocGlMR2hpV1pxanRDZz09</t>
        </is>
      </c>
      <c r="F129" t="n">
        <v>2</v>
      </c>
      <c r="G129" t="inlineStr">
        <is>
          <t>BG002, BG005</t>
        </is>
      </c>
      <c r="H129" t="inlineStr">
        <is>
          <t>2 November 1994</t>
        </is>
      </c>
      <c r="I129" s="2" t="n">
        <v>46313</v>
      </c>
      <c r="J129" t="inlineStr">
        <is>
          <t>Disetujui</t>
        </is>
      </c>
      <c r="K129" t="n">
        <v>30</v>
      </c>
      <c r="L129" t="inlineStr">
        <is>
          <t>18 Oktober 2026</t>
        </is>
      </c>
      <c r="M129" t="inlineStr">
        <is>
          <t>Konstruksi Gedung Kesehatan, Konstruksi Gedung Perkantoran</t>
        </is>
      </c>
      <c r="N129" t="inlineStr">
        <is>
          <t>K</t>
        </is>
      </c>
      <c r="O129" t="inlineStr">
        <is>
          <t>20231007, 20231008</t>
        </is>
      </c>
      <c r="P129" t="inlineStr">
        <is>
          <t>Jawa Timur</t>
        </is>
      </c>
      <c r="Q129" t="inlineStr"/>
    </row>
    <row r="130">
      <c r="A130" t="inlineStr">
        <is>
          <t>SINERGI LESTARI KARYA</t>
        </is>
      </c>
      <c r="B130" t="inlineStr">
        <is>
          <t>Kab. Siak</t>
        </is>
      </c>
      <c r="C130" t="inlineStr">
        <is>
          <t>082384386285</t>
        </is>
      </c>
      <c r="D130" t="inlineStr">
        <is>
          <t>sinergilestarikarya@gmail.com</t>
        </is>
      </c>
      <c r="E130" t="inlineStr">
        <is>
          <t>https://lpjk.pu.go.id/search-badan-usaha-detail/L0IwMlF6VzlkLyttWStNZlRiR1pIZz09</t>
        </is>
      </c>
      <c r="F130" t="n">
        <v>3</v>
      </c>
      <c r="G130" t="inlineStr">
        <is>
          <t>AR001, AR002, AR003</t>
        </is>
      </c>
      <c r="H130" t="inlineStr">
        <is>
          <t>6 Juli 2023</t>
        </is>
      </c>
      <c r="I130" s="2" t="n">
        <v>46313</v>
      </c>
      <c r="J130" t="inlineStr">
        <is>
          <t>Pencabutan</t>
        </is>
      </c>
      <c r="K130" t="n">
        <v>30</v>
      </c>
      <c r="L130" t="inlineStr">
        <is>
          <t>18 Oktober 2026</t>
        </is>
      </c>
      <c r="M130" t="inlineStr">
        <is>
          <t>Jasa Arsitektural Bangunan Gedung Hunian dan Non Hunian, Jasa Arsitektural Lainnya, Jasa Desain Interior pada Bangunan Gedung dan Bangunan Sipil</t>
        </is>
      </c>
      <c r="N130" t="inlineStr">
        <is>
          <t>K</t>
        </is>
      </c>
      <c r="O130" t="inlineStr">
        <is>
          <t>20231013</t>
        </is>
      </c>
      <c r="P130" t="inlineStr">
        <is>
          <t>Riau</t>
        </is>
      </c>
      <c r="Q130" t="inlineStr"/>
    </row>
    <row r="131">
      <c r="A131" t="inlineStr">
        <is>
          <t>SINERGY BERSAMA MANDIRI</t>
        </is>
      </c>
      <c r="B131" t="inlineStr">
        <is>
          <t>Kab. Tangerang</t>
        </is>
      </c>
      <c r="C131" t="inlineStr">
        <is>
          <t>087772461717</t>
        </is>
      </c>
      <c r="D131" t="inlineStr">
        <is>
          <t>-</t>
        </is>
      </c>
      <c r="E131" t="inlineStr">
        <is>
          <t>https://lpjk.pu.go.id/search-badan-usaha-detail/UVhUS3Qrems1Sjh4MlBQNFdvTTArUT09</t>
        </is>
      </c>
      <c r="F131" t="n">
        <v>1</v>
      </c>
      <c r="G131" t="inlineStr">
        <is>
          <t>BS002</t>
        </is>
      </c>
      <c r="H131" t="inlineStr">
        <is>
          <t>24 Januari 2014</t>
        </is>
      </c>
      <c r="I131" s="2" t="n">
        <v>46313</v>
      </c>
      <c r="J131" t="inlineStr">
        <is>
          <t>Pencabutan</t>
        </is>
      </c>
      <c r="K131" t="n">
        <v>30</v>
      </c>
      <c r="L131" t="inlineStr">
        <is>
          <t>18 Oktober 2026</t>
        </is>
      </c>
      <c r="M131" t="inlineStr">
        <is>
          <t>Bangunan Sipil Jembatan, Jalan Layang, Fly Over, dan Underpass</t>
        </is>
      </c>
      <c r="N131" t="inlineStr">
        <is>
          <t>K</t>
        </is>
      </c>
      <c r="O131" t="inlineStr">
        <is>
          <t>20231018</t>
        </is>
      </c>
      <c r="P131" t="inlineStr">
        <is>
          <t>Banten</t>
        </is>
      </c>
      <c r="Q131" t="inlineStr"/>
    </row>
    <row r="132">
      <c r="A132" t="inlineStr">
        <is>
          <t>SINERGY JAYA</t>
        </is>
      </c>
      <c r="B132" t="inlineStr">
        <is>
          <t>Kab. Bojonegoro</t>
        </is>
      </c>
      <c r="C132" t="inlineStr">
        <is>
          <t>085236661793</t>
        </is>
      </c>
      <c r="D132" t="inlineStr">
        <is>
          <t>sinergyjaya@gmail.com</t>
        </is>
      </c>
      <c r="E132" t="inlineStr">
        <is>
          <t>https://lpjk.pu.go.id/search-badan-usaha-detail/bGJIUmlsVFFXMTF2eXVkV3hRTExVQT09</t>
        </is>
      </c>
      <c r="F132" t="n">
        <v>6</v>
      </c>
      <c r="G132" t="inlineStr">
        <is>
          <t>BG001, BG005, BG006, BG009, BS001, BS004</t>
        </is>
      </c>
      <c r="H132" t="inlineStr">
        <is>
          <t>24 Januari 2019</t>
        </is>
      </c>
      <c r="I132" s="2" t="n">
        <v>46313</v>
      </c>
      <c r="J132" t="inlineStr">
        <is>
          <t>Disetujui</t>
        </is>
      </c>
      <c r="K132" t="n">
        <v>30</v>
      </c>
      <c r="L132" t="inlineStr">
        <is>
          <t>18 Oktober 2026</t>
        </is>
      </c>
      <c r="M132" t="inlineStr">
        <is>
          <t>Konstruksi Bangunan Sipil Jalan, Konstruksi Gedung Hunian, Konstruksi Gedung Kesehatan, Konstruksi Gedung Lainnya, Konstruksi Gedung Pendidikan, Konstruksi Jaringan Irigasi dan Drainase</t>
        </is>
      </c>
      <c r="N132" t="inlineStr">
        <is>
          <t>K</t>
        </is>
      </c>
      <c r="O132" t="inlineStr">
        <is>
          <t>20231016, 20231017, 20231020</t>
        </is>
      </c>
      <c r="P132" t="inlineStr">
        <is>
          <t>Jawa Timur</t>
        </is>
      </c>
      <c r="Q132" t="inlineStr"/>
    </row>
    <row r="133">
      <c r="A133" t="inlineStr">
        <is>
          <t>SUMBER ANUGRAH MANDIRI</t>
        </is>
      </c>
      <c r="B133" t="inlineStr">
        <is>
          <t>Kab. Magetan</t>
        </is>
      </c>
      <c r="C133" t="inlineStr">
        <is>
          <t>081235598057</t>
        </is>
      </c>
      <c r="D133" t="inlineStr">
        <is>
          <t>cv.sumberanugrahmandiri@gmail.com</t>
        </is>
      </c>
      <c r="E133" t="inlineStr">
        <is>
          <t>https://lpjk.pu.go.id/search-badan-usaha-detail/SXhnOWFNVnByeXFqWXMrYllsbE90QT09</t>
        </is>
      </c>
      <c r="F133" t="n">
        <v>6</v>
      </c>
      <c r="G133" t="inlineStr">
        <is>
          <t>BG002, BG004, BG005, BG006, BG008, BS004</t>
        </is>
      </c>
      <c r="H133" t="inlineStr">
        <is>
          <t>15 Juli 2011</t>
        </is>
      </c>
      <c r="I133" s="2" t="n">
        <v>46313</v>
      </c>
      <c r="J133" t="inlineStr">
        <is>
          <t>Pencabutan</t>
        </is>
      </c>
      <c r="K133" t="n">
        <v>30</v>
      </c>
      <c r="L133" t="inlineStr">
        <is>
          <t>18 Oktober 2026</t>
        </is>
      </c>
      <c r="M133" t="inlineStr">
        <is>
          <t>Konstruksi Gedung Kesehatan, Konstruksi Gedung Pendidikan, Konstruksi Gedung Perbelanjaan, Konstruksi Gedung Perkantoran, Konstruksi Gedung Tempat Hiburan dan Olahraga, Konstruksi Jaringan Irigasi dan Drainase</t>
        </is>
      </c>
      <c r="N133" t="inlineStr">
        <is>
          <t>K</t>
        </is>
      </c>
      <c r="O133" t="inlineStr">
        <is>
          <t>20221101, 20231024, 20231025</t>
        </is>
      </c>
      <c r="P133" t="inlineStr">
        <is>
          <t>Jawa Timur</t>
        </is>
      </c>
      <c r="Q133" t="inlineStr"/>
    </row>
    <row r="134">
      <c r="A134" t="inlineStr">
        <is>
          <t>SUMBER REZEKY</t>
        </is>
      </c>
      <c r="B134" t="inlineStr">
        <is>
          <t>Kab. Ogan Komering Ulu</t>
        </is>
      </c>
      <c r="C134" t="inlineStr">
        <is>
          <t>085366702222</t>
        </is>
      </c>
      <c r="D134" t="inlineStr">
        <is>
          <t>hamdanancap17@gmail.com</t>
        </is>
      </c>
      <c r="E134" t="inlineStr">
        <is>
          <t>https://lpjk.pu.go.id/search-badan-usaha-detail/dGlCNlNnVzJxb29PY2tBZ2NOeHlvZz09</t>
        </is>
      </c>
      <c r="F134" t="n">
        <v>2</v>
      </c>
      <c r="G134" t="inlineStr">
        <is>
          <t>BS002, BS004</t>
        </is>
      </c>
      <c r="H134" t="inlineStr">
        <is>
          <t>30 Desember 2014</t>
        </is>
      </c>
      <c r="I134" s="2" t="n">
        <v>46313</v>
      </c>
      <c r="J134" t="inlineStr">
        <is>
          <t>Disetujui</t>
        </is>
      </c>
      <c r="K134" t="n">
        <v>30</v>
      </c>
      <c r="L134" t="inlineStr">
        <is>
          <t>18 Oktober 2026</t>
        </is>
      </c>
      <c r="M134" t="inlineStr">
        <is>
          <t>Bangunan Sipil Jembatan, Jalan Layang, Fly Over, dan Underpass, Konstruksi Jaringan Irigasi dan Drainase</t>
        </is>
      </c>
      <c r="N134" t="inlineStr">
        <is>
          <t>K</t>
        </is>
      </c>
      <c r="O134" t="inlineStr">
        <is>
          <t>20231016</t>
        </is>
      </c>
      <c r="P134" t="inlineStr">
        <is>
          <t>Sumatera Selatan</t>
        </is>
      </c>
      <c r="Q134" t="inlineStr"/>
    </row>
    <row r="135">
      <c r="A135" t="inlineStr">
        <is>
          <t>SUMUR BANUA</t>
        </is>
      </c>
      <c r="B135" t="inlineStr">
        <is>
          <t>Kota Banjarmasin</t>
        </is>
      </c>
      <c r="C135" t="inlineStr">
        <is>
          <t>085100214919</t>
        </is>
      </c>
      <c r="D135" t="inlineStr">
        <is>
          <t>cv_sumurbanua@yahoo.com</t>
        </is>
      </c>
      <c r="E135" t="inlineStr">
        <is>
          <t>https://lpjk.pu.go.id/search-badan-usaha-detail/Zm92TTYvY2ZpS3lwY2JZZFZINkFmZz09</t>
        </is>
      </c>
      <c r="F135" t="n">
        <v>1</v>
      </c>
      <c r="G135" t="inlineStr">
        <is>
          <t>BS005</t>
        </is>
      </c>
      <c r="H135" t="inlineStr">
        <is>
          <t>6 Januari 2010</t>
        </is>
      </c>
      <c r="I135" s="2" t="n">
        <v>46313</v>
      </c>
      <c r="J135" t="inlineStr">
        <is>
          <t>Pencabutan</t>
        </is>
      </c>
      <c r="K135" t="n">
        <v>30</v>
      </c>
      <c r="L135" t="inlineStr">
        <is>
          <t>18 Oktober 2026</t>
        </is>
      </c>
      <c r="M135" t="inlineStr">
        <is>
          <t>Konstruksi Bangunan Sipil Pengolahan Air Bersih</t>
        </is>
      </c>
      <c r="N135" t="inlineStr">
        <is>
          <t>K</t>
        </is>
      </c>
      <c r="O135" t="inlineStr">
        <is>
          <t>20231018</t>
        </is>
      </c>
      <c r="P135" t="inlineStr">
        <is>
          <t>Kalimantan Selatan</t>
        </is>
      </c>
      <c r="Q135" t="inlineStr"/>
    </row>
    <row r="136">
      <c r="A136" t="inlineStr">
        <is>
          <t>TABINA JAYA MANDIRI</t>
        </is>
      </c>
      <c r="B136" t="inlineStr">
        <is>
          <t>Kota Banda Aceh</t>
        </is>
      </c>
      <c r="C136" t="inlineStr">
        <is>
          <t>082363848767</t>
        </is>
      </c>
      <c r="D136" t="inlineStr">
        <is>
          <t>tabinajayamandiri@gmail.com</t>
        </is>
      </c>
      <c r="E136" t="inlineStr">
        <is>
          <t>https://lpjk.pu.go.id/search-badan-usaha-detail/SEdRamlTeHdkRmJNenM2eTNPeEo5QT09</t>
        </is>
      </c>
      <c r="F136" t="n">
        <v>1</v>
      </c>
      <c r="G136" t="inlineStr">
        <is>
          <t>PB010</t>
        </is>
      </c>
      <c r="H136" t="inlineStr">
        <is>
          <t>7 September 2023</t>
        </is>
      </c>
      <c r="I136" s="2" t="n">
        <v>46313</v>
      </c>
      <c r="J136" t="inlineStr">
        <is>
          <t>Disetujui</t>
        </is>
      </c>
      <c r="K136" t="n">
        <v>30</v>
      </c>
      <c r="L136" t="inlineStr">
        <is>
          <t>18 Oktober 2026</t>
        </is>
      </c>
      <c r="M136" t="inlineStr">
        <is>
          <t>Pekerjaan Lanskap, Pertamanan, dan Penanaman Vegetasi</t>
        </is>
      </c>
      <c r="N136" t="inlineStr">
        <is>
          <t>Spesialis</t>
        </is>
      </c>
      <c r="O136" t="inlineStr">
        <is>
          <t>20230922</t>
        </is>
      </c>
      <c r="P136" t="inlineStr">
        <is>
          <t>Aceh</t>
        </is>
      </c>
      <c r="Q136" t="inlineStr"/>
    </row>
    <row r="137">
      <c r="A137" t="inlineStr">
        <is>
          <t>TITIAN JATI</t>
        </is>
      </c>
      <c r="B137" t="inlineStr">
        <is>
          <t>Kab. Lombok Barat</t>
        </is>
      </c>
      <c r="C137" t="inlineStr">
        <is>
          <t>081907066440</t>
        </is>
      </c>
      <c r="D137" t="inlineStr">
        <is>
          <t>titianjati.cv@gmail.com</t>
        </is>
      </c>
      <c r="E137" t="inlineStr">
        <is>
          <t>https://lpjk.pu.go.id/search-badan-usaha-detail/K3dieVJrMW53eGdKMFNmY0lZLzQ2dz09</t>
        </is>
      </c>
      <c r="F137" t="n">
        <v>4</v>
      </c>
      <c r="G137" t="inlineStr">
        <is>
          <t>BS001, BS005</t>
        </is>
      </c>
      <c r="H137" t="inlineStr">
        <is>
          <t>12 Desember 1998</t>
        </is>
      </c>
      <c r="I137" s="2" t="n">
        <v>46313</v>
      </c>
      <c r="J137" t="inlineStr">
        <is>
          <t>Disetujui</t>
        </is>
      </c>
      <c r="K137" t="n">
        <v>30</v>
      </c>
      <c r="L137" t="inlineStr">
        <is>
          <t>18 Oktober 2026</t>
        </is>
      </c>
      <c r="M137" t="inlineStr">
        <is>
          <t>Konstruksi Bangunan Sipil Jalan, Konstruksi Bangunan Sipil Pengolahan Air Bersih</t>
        </is>
      </c>
      <c r="N137" t="inlineStr">
        <is>
          <t>K</t>
        </is>
      </c>
      <c r="O137" t="inlineStr">
        <is>
          <t>20231017, 20231018</t>
        </is>
      </c>
      <c r="P137" t="inlineStr">
        <is>
          <t>Nusa Tenggara Barat</t>
        </is>
      </c>
      <c r="Q137" t="inlineStr"/>
    </row>
    <row r="138">
      <c r="A138" t="inlineStr">
        <is>
          <t>TJAKRA CONSTRUCTION</t>
        </is>
      </c>
      <c r="B138" t="inlineStr">
        <is>
          <t>Kota Semarang</t>
        </is>
      </c>
      <c r="C138" t="inlineStr">
        <is>
          <t>087832838399</t>
        </is>
      </c>
      <c r="D138" t="inlineStr">
        <is>
          <t>tjakraconstruction@gmail.com</t>
        </is>
      </c>
      <c r="E138" t="inlineStr">
        <is>
          <t>https://lpjk.pu.go.id/search-badan-usaha-detail/MDBNYmFLRzNLaHM5S3JiKzBTOWpvZz09</t>
        </is>
      </c>
      <c r="F138" t="n">
        <v>4</v>
      </c>
      <c r="G138" t="inlineStr">
        <is>
          <t>BG002, BG005, BG006, BG009</t>
        </is>
      </c>
      <c r="H138" t="inlineStr">
        <is>
          <t>4 September 2023</t>
        </is>
      </c>
      <c r="I138" s="2" t="n">
        <v>46313</v>
      </c>
      <c r="J138" t="inlineStr">
        <is>
          <t>Pencabutan</t>
        </is>
      </c>
      <c r="K138" t="n">
        <v>30</v>
      </c>
      <c r="L138" t="inlineStr">
        <is>
          <t>18 Oktober 2026</t>
        </is>
      </c>
      <c r="M138" t="inlineStr">
        <is>
          <t>Konstruksi Gedung Kesehatan, Konstruksi Gedung Lainnya, Konstruksi Gedung Pendidikan, Konstruksi Gedung Perkantoran</t>
        </is>
      </c>
      <c r="N138" t="inlineStr">
        <is>
          <t>K</t>
        </is>
      </c>
      <c r="O138" t="inlineStr">
        <is>
          <t>20231018</t>
        </is>
      </c>
      <c r="P138" t="inlineStr">
        <is>
          <t>Jawa Tengah</t>
        </is>
      </c>
      <c r="Q138" t="inlineStr"/>
    </row>
    <row r="139">
      <c r="A139" t="inlineStr">
        <is>
          <t>TONY PUTRA</t>
        </is>
      </c>
      <c r="B139" t="inlineStr">
        <is>
          <t>Kab. Trenggalek</t>
        </is>
      </c>
      <c r="C139" t="inlineStr">
        <is>
          <t>085204566540</t>
        </is>
      </c>
      <c r="D139" t="inlineStr">
        <is>
          <t>cvtonyputra@gmail.com</t>
        </is>
      </c>
      <c r="E139" t="inlineStr">
        <is>
          <t>https://lpjk.pu.go.id/search-badan-usaha-detail/RkVYbFk2bmcya2pLbWR5aVpLdjMwZz09</t>
        </is>
      </c>
      <c r="F139" t="n">
        <v>1</v>
      </c>
      <c r="G139" t="inlineStr">
        <is>
          <t>BS001</t>
        </is>
      </c>
      <c r="H139" t="inlineStr">
        <is>
          <t>7 Januari 2015</t>
        </is>
      </c>
      <c r="I139" s="2" t="n">
        <v>46313</v>
      </c>
      <c r="J139" t="inlineStr">
        <is>
          <t>Disetujui</t>
        </is>
      </c>
      <c r="K139" t="n">
        <v>30</v>
      </c>
      <c r="L139" t="inlineStr">
        <is>
          <t>18 Oktober 2026</t>
        </is>
      </c>
      <c r="M139" t="inlineStr">
        <is>
          <t>Konstruksi Bangunan Sipil Jalan</t>
        </is>
      </c>
      <c r="N139" t="inlineStr">
        <is>
          <t>K</t>
        </is>
      </c>
      <c r="O139" t="inlineStr">
        <is>
          <t>20230717</t>
        </is>
      </c>
      <c r="P139" t="inlineStr">
        <is>
          <t>Jawa Timur</t>
        </is>
      </c>
      <c r="Q139" t="inlineStr"/>
    </row>
    <row r="140">
      <c r="A140" t="inlineStr">
        <is>
          <t>TRI DAYA</t>
        </is>
      </c>
      <c r="B140" t="inlineStr">
        <is>
          <t>Kab. Banyuwangi</t>
        </is>
      </c>
      <c r="C140" t="inlineStr">
        <is>
          <t>081252488488</t>
        </is>
      </c>
      <c r="D140" t="inlineStr">
        <is>
          <t>triday4.cv@gmail.com</t>
        </is>
      </c>
      <c r="E140" t="inlineStr">
        <is>
          <t>https://lpjk.pu.go.id/search-badan-usaha-detail/aW5CeW1FR0F3WlUzcUFWOWdXY2trdz09</t>
        </is>
      </c>
      <c r="F140" t="n">
        <v>3</v>
      </c>
      <c r="G140" t="inlineStr">
        <is>
          <t>BS001, BS002, BS004</t>
        </is>
      </c>
      <c r="H140" t="inlineStr">
        <is>
          <t>23 Maret 1985</t>
        </is>
      </c>
      <c r="I140" s="2" t="n">
        <v>46313</v>
      </c>
      <c r="J140" t="inlineStr">
        <is>
          <t>Disetujui</t>
        </is>
      </c>
      <c r="K140" t="n">
        <v>30</v>
      </c>
      <c r="L140" t="inlineStr">
        <is>
          <t>18 Oktober 2026</t>
        </is>
      </c>
      <c r="M140" t="inlineStr">
        <is>
          <t>Bangunan Sipil Jembatan, Jalan Layang, Fly Over, dan Underpass, Konstruksi Bangunan Sipil Jalan, Konstruksi Jaringan Irigasi dan Drainase</t>
        </is>
      </c>
      <c r="N140" t="inlineStr">
        <is>
          <t>K</t>
        </is>
      </c>
      <c r="O140" t="inlineStr">
        <is>
          <t>20231016, 20231020</t>
        </is>
      </c>
      <c r="P140" t="inlineStr">
        <is>
          <t>Jawa Timur</t>
        </is>
      </c>
      <c r="Q140" t="inlineStr"/>
    </row>
    <row r="141">
      <c r="A141" t="inlineStr">
        <is>
          <t>TRI PUTRA KARYA</t>
        </is>
      </c>
      <c r="B141" t="inlineStr">
        <is>
          <t>Kab. Tabanan</t>
        </is>
      </c>
      <c r="C141" t="inlineStr">
        <is>
          <t>08123615074</t>
        </is>
      </c>
      <c r="D141" t="inlineStr">
        <is>
          <t>cv.triputrakarya908@gmail.com</t>
        </is>
      </c>
      <c r="E141" t="inlineStr">
        <is>
          <t>https://lpjk.pu.go.id/search-badan-usaha-detail/NmR1SEQyb3RPUGxOYUN3TDJGcUhtQT09</t>
        </is>
      </c>
      <c r="F141" t="n">
        <v>1</v>
      </c>
      <c r="G141" t="inlineStr">
        <is>
          <t>BG002</t>
        </is>
      </c>
      <c r="H141" t="inlineStr">
        <is>
          <t>21 Februari 2002</t>
        </is>
      </c>
      <c r="I141" s="2" t="n">
        <v>46313</v>
      </c>
      <c r="J141" t="inlineStr">
        <is>
          <t>Disetujui</t>
        </is>
      </c>
      <c r="K141" t="n">
        <v>30</v>
      </c>
      <c r="L141" t="inlineStr">
        <is>
          <t>18 Oktober 2026</t>
        </is>
      </c>
      <c r="M141" t="inlineStr">
        <is>
          <t>Konstruksi Gedung Perkantoran</t>
        </is>
      </c>
      <c r="N141" t="inlineStr">
        <is>
          <t>K</t>
        </is>
      </c>
      <c r="O141" t="inlineStr">
        <is>
          <t>20231016</t>
        </is>
      </c>
      <c r="P141" t="inlineStr">
        <is>
          <t>Bali</t>
        </is>
      </c>
      <c r="Q141" t="inlineStr"/>
    </row>
    <row r="142">
      <c r="A142" t="inlineStr">
        <is>
          <t>TRINDO KONSTRUKSI UTAMA</t>
        </is>
      </c>
      <c r="B142" t="inlineStr">
        <is>
          <t>Kota Surabaya</t>
        </is>
      </c>
      <c r="C142" t="inlineStr">
        <is>
          <t>0811330355</t>
        </is>
      </c>
      <c r="D142" t="inlineStr">
        <is>
          <t>trindokonstruksiutama@gmail.com</t>
        </is>
      </c>
      <c r="E142" t="inlineStr">
        <is>
          <t>https://lpjk.pu.go.id/search-badan-usaha-detail/dTF0d2kyTTM4ZEFYWlZWY0hNN3ZCQT09</t>
        </is>
      </c>
      <c r="F142" t="n">
        <v>2</v>
      </c>
      <c r="G142" t="inlineStr">
        <is>
          <t>BS007, BS017</t>
        </is>
      </c>
      <c r="H142" t="inlineStr">
        <is>
          <t>4 September 2023</t>
        </is>
      </c>
      <c r="I142" s="2" t="n">
        <v>46313</v>
      </c>
      <c r="J142" t="inlineStr">
        <is>
          <t>Disetujui</t>
        </is>
      </c>
      <c r="K142" t="n">
        <v>30</v>
      </c>
      <c r="L142" t="inlineStr">
        <is>
          <t>18 Oktober 2026</t>
        </is>
      </c>
      <c r="M142" t="inlineStr">
        <is>
          <t>Konstruksi Bangunan Sipil Elektrikal, Konstruksi Bangunan Sipil Lainnya Ytdl</t>
        </is>
      </c>
      <c r="N142" t="inlineStr">
        <is>
          <t>K</t>
        </is>
      </c>
      <c r="O142" t="inlineStr">
        <is>
          <t>20231018</t>
        </is>
      </c>
      <c r="P142" t="inlineStr">
        <is>
          <t>Jawa Timur</t>
        </is>
      </c>
      <c r="Q142" t="inlineStr"/>
    </row>
    <row r="143">
      <c r="A143" t="inlineStr">
        <is>
          <t>TRISULA JAYA SAKTI</t>
        </is>
      </c>
      <c r="B143" t="inlineStr">
        <is>
          <t>Kab. Cianjur</t>
        </is>
      </c>
      <c r="C143" t="inlineStr">
        <is>
          <t>081312554513</t>
        </is>
      </c>
      <c r="D143" t="inlineStr">
        <is>
          <t>cvtrisulajayasakti23@gmail.com</t>
        </is>
      </c>
      <c r="E143" t="inlineStr">
        <is>
          <t>https://lpjk.pu.go.id/search-badan-usaha-detail/Qm9VbjltRzFIVmF1WVNkTjJXY2JWZz09</t>
        </is>
      </c>
      <c r="F143" t="n">
        <v>4</v>
      </c>
      <c r="G143" t="inlineStr">
        <is>
          <t>BG005, BG006, BG009, BS001</t>
        </is>
      </c>
      <c r="H143" t="inlineStr"/>
      <c r="I143" s="2" t="n">
        <v>46313</v>
      </c>
      <c r="J143" t="inlineStr">
        <is>
          <t>Pencabutan</t>
        </is>
      </c>
      <c r="K143" t="n">
        <v>30</v>
      </c>
      <c r="L143" t="inlineStr">
        <is>
          <t>18 Oktober 2026</t>
        </is>
      </c>
      <c r="M143" t="inlineStr">
        <is>
          <t>Konstruksi Bangunan Sipil Jalan, Konstruksi Gedung Kesehatan, Konstruksi Gedung Lainnya, Konstruksi Gedung Pendidikan</t>
        </is>
      </c>
      <c r="N143" t="inlineStr">
        <is>
          <t>K</t>
        </is>
      </c>
      <c r="O143" t="inlineStr">
        <is>
          <t>20231019, 20231020</t>
        </is>
      </c>
      <c r="P143" t="inlineStr">
        <is>
          <t>Jawa Barat</t>
        </is>
      </c>
      <c r="Q143" t="inlineStr"/>
    </row>
    <row r="144">
      <c r="A144" t="inlineStr">
        <is>
          <t>TUGU MAS</t>
        </is>
      </c>
      <c r="B144" t="inlineStr">
        <is>
          <t>Kab. Nganjuk</t>
        </is>
      </c>
      <c r="C144" t="inlineStr">
        <is>
          <t>081249254492</t>
        </is>
      </c>
      <c r="D144" t="inlineStr">
        <is>
          <t>cv_tugumas@yahoo.com</t>
        </is>
      </c>
      <c r="E144" t="inlineStr">
        <is>
          <t>https://lpjk.pu.go.id/search-badan-usaha-detail/a1hlUjNoc05BOWIvaGk4SmUvdEVHQT09</t>
        </is>
      </c>
      <c r="F144" t="n">
        <v>1</v>
      </c>
      <c r="G144" t="inlineStr">
        <is>
          <t>BG009</t>
        </is>
      </c>
      <c r="H144" t="inlineStr">
        <is>
          <t>9 Januari 2006</t>
        </is>
      </c>
      <c r="I144" s="2" t="n">
        <v>46313</v>
      </c>
      <c r="J144" t="inlineStr">
        <is>
          <t>Disetujui</t>
        </is>
      </c>
      <c r="K144" t="n">
        <v>30</v>
      </c>
      <c r="L144" t="inlineStr">
        <is>
          <t>18 Oktober 2026</t>
        </is>
      </c>
      <c r="M144" t="inlineStr">
        <is>
          <t>Konstruksi Gedung Lainnya</t>
        </is>
      </c>
      <c r="N144" t="inlineStr">
        <is>
          <t>K</t>
        </is>
      </c>
      <c r="O144" t="inlineStr">
        <is>
          <t>20231017</t>
        </is>
      </c>
      <c r="P144" t="inlineStr">
        <is>
          <t>Jawa Timur</t>
        </is>
      </c>
      <c r="Q144" t="inlineStr"/>
    </row>
    <row r="145">
      <c r="A145" t="inlineStr">
        <is>
          <t>TUJUH TUJUH</t>
        </is>
      </c>
      <c r="B145" t="inlineStr">
        <is>
          <t>Kab. Blitar</t>
        </is>
      </c>
      <c r="C145" t="inlineStr">
        <is>
          <t>082233886906</t>
        </is>
      </c>
      <c r="D145" t="inlineStr">
        <is>
          <t>tujuhtujuh.cv@gmail.com</t>
        </is>
      </c>
      <c r="E145" t="inlineStr">
        <is>
          <t>https://lpjk.pu.go.id/search-badan-usaha-detail/UVlKMFExM0c2bS8rblNmY0FkbUk1QT09</t>
        </is>
      </c>
      <c r="F145" t="n">
        <v>3</v>
      </c>
      <c r="G145" t="inlineStr">
        <is>
          <t>BG009, BS001, BS004</t>
        </is>
      </c>
      <c r="H145" t="inlineStr">
        <is>
          <t>23 September 2006</t>
        </is>
      </c>
      <c r="I145" s="2" t="n">
        <v>46313</v>
      </c>
      <c r="J145" t="inlineStr">
        <is>
          <t>Disetujui</t>
        </is>
      </c>
      <c r="K145" t="n">
        <v>30</v>
      </c>
      <c r="L145" t="inlineStr">
        <is>
          <t>18 Oktober 2026</t>
        </is>
      </c>
      <c r="M145" t="inlineStr">
        <is>
          <t>Konstruksi Bangunan Sipil Jalan, Konstruksi Gedung Lainnya, Konstruksi Jaringan Irigasi dan Drainase</t>
        </is>
      </c>
      <c r="N145" t="inlineStr">
        <is>
          <t>K</t>
        </is>
      </c>
      <c r="O145" t="inlineStr">
        <is>
          <t>20231016, 20231019</t>
        </is>
      </c>
      <c r="P145" t="inlineStr">
        <is>
          <t>Jawa Timur</t>
        </is>
      </c>
      <c r="Q145" t="inlineStr"/>
    </row>
    <row r="146">
      <c r="A146" t="inlineStr">
        <is>
          <t>TUNAS BHAKTI SARANA</t>
        </is>
      </c>
      <c r="B146" t="inlineStr">
        <is>
          <t>Kab. Purbalingga</t>
        </is>
      </c>
      <c r="C146" t="inlineStr">
        <is>
          <t>081327670047</t>
        </is>
      </c>
      <c r="D146" t="inlineStr">
        <is>
          <t>pttunasbhaktisarana@gmail.com</t>
        </is>
      </c>
      <c r="E146" t="inlineStr">
        <is>
          <t>https://lpjk.pu.go.id/search-badan-usaha-detail/OEtZRi9kSU1iQlpoRWt0akpOU1lRZz09</t>
        </is>
      </c>
      <c r="F146" t="n">
        <v>5</v>
      </c>
      <c r="G146" t="inlineStr">
        <is>
          <t>BG002, BG004, BG005, BG006, BS001</t>
        </is>
      </c>
      <c r="H146" t="inlineStr">
        <is>
          <t>22 Juni 2012</t>
        </is>
      </c>
      <c r="I146" s="2" t="n">
        <v>46313</v>
      </c>
      <c r="J146" t="inlineStr">
        <is>
          <t>Disetujui</t>
        </is>
      </c>
      <c r="K146" t="n">
        <v>30</v>
      </c>
      <c r="L146" t="inlineStr">
        <is>
          <t>18 Oktober 2026</t>
        </is>
      </c>
      <c r="M146" t="inlineStr">
        <is>
          <t>Konstruksi Bangunan Sipil Jalan, Konstruksi Gedung Kesehatan, Konstruksi Gedung Pendidikan, Konstruksi Gedung Perbelanjaan, Konstruksi Gedung Perkantoran</t>
        </is>
      </c>
      <c r="N146" t="inlineStr">
        <is>
          <t>K</t>
        </is>
      </c>
      <c r="O146" t="inlineStr">
        <is>
          <t>20231017</t>
        </is>
      </c>
      <c r="P146" t="inlineStr">
        <is>
          <t>Jawa Tengah</t>
        </is>
      </c>
      <c r="Q146" t="inlineStr"/>
    </row>
    <row r="147">
      <c r="A147" t="inlineStr">
        <is>
          <t>USAHA JAYAMAS BHAKTI</t>
        </is>
      </c>
      <c r="B147" t="inlineStr">
        <is>
          <t>Kota Adm. Jakarta Utara</t>
        </is>
      </c>
      <c r="C147" t="inlineStr">
        <is>
          <t>02165837136</t>
        </is>
      </c>
      <c r="D147" t="inlineStr">
        <is>
          <t>usaha.bhakti@yahoo.com</t>
        </is>
      </c>
      <c r="E147" t="inlineStr">
        <is>
          <t>https://lpjk.pu.go.id/search-badan-usaha-detail/WFg4Rk1NWDFua0ZYZnp5OWNDSGdoQT09</t>
        </is>
      </c>
      <c r="F147" t="n">
        <v>1</v>
      </c>
      <c r="G147" t="inlineStr">
        <is>
          <t>BG009</t>
        </is>
      </c>
      <c r="H147" t="inlineStr">
        <is>
          <t>31 Oktober 1978</t>
        </is>
      </c>
      <c r="I147" s="2" t="n">
        <v>46313</v>
      </c>
      <c r="J147" t="inlineStr">
        <is>
          <t>Pencabutan</t>
        </is>
      </c>
      <c r="K147" t="n">
        <v>30</v>
      </c>
      <c r="L147" t="inlineStr">
        <is>
          <t>18 Oktober 2026</t>
        </is>
      </c>
      <c r="M147" t="inlineStr">
        <is>
          <t>Konstruksi Gedung Lainnya</t>
        </is>
      </c>
      <c r="N147" t="inlineStr">
        <is>
          <t>B</t>
        </is>
      </c>
      <c r="O147" t="inlineStr">
        <is>
          <t>20231012</t>
        </is>
      </c>
      <c r="P147" t="inlineStr">
        <is>
          <t>DKI Jakarta</t>
        </is>
      </c>
      <c r="Q147" t="inlineStr"/>
    </row>
    <row r="148">
      <c r="A148" t="inlineStr">
        <is>
          <t>USAHA MAULIDA</t>
        </is>
      </c>
      <c r="B148" t="inlineStr">
        <is>
          <t>Kab. Gresik</t>
        </is>
      </c>
      <c r="C148" t="inlineStr">
        <is>
          <t>085850922214</t>
        </is>
      </c>
      <c r="D148" t="inlineStr">
        <is>
          <t>usahamaulidah@gmail.com</t>
        </is>
      </c>
      <c r="E148" t="inlineStr">
        <is>
          <t>https://lpjk.pu.go.id/search-badan-usaha-detail/bm83R3oxU0U1VCtuNDJ5VGpUbVIvUT09</t>
        </is>
      </c>
      <c r="F148" t="n">
        <v>4</v>
      </c>
      <c r="G148" t="inlineStr">
        <is>
          <t>BG002, BG004, BS001, BS004</t>
        </is>
      </c>
      <c r="H148" t="inlineStr">
        <is>
          <t>9 Maret 2000</t>
        </is>
      </c>
      <c r="I148" s="2" t="n">
        <v>46313</v>
      </c>
      <c r="J148" t="inlineStr">
        <is>
          <t>Disetujui, Pencabutan</t>
        </is>
      </c>
      <c r="K148" t="n">
        <v>30</v>
      </c>
      <c r="L148" t="inlineStr">
        <is>
          <t>18 Oktober 2026</t>
        </is>
      </c>
      <c r="M148" t="inlineStr">
        <is>
          <t>Konstruksi Bangunan Sipil Jalan, Konstruksi Gedung Perbelanjaan, Konstruksi Gedung Perkantoran, Konstruksi Jaringan Irigasi dan Drainase</t>
        </is>
      </c>
      <c r="N148" t="inlineStr">
        <is>
          <t>K</t>
        </is>
      </c>
      <c r="O148" t="inlineStr">
        <is>
          <t>20231012, 20231023</t>
        </is>
      </c>
      <c r="P148" t="inlineStr">
        <is>
          <t>Jawa Timur</t>
        </is>
      </c>
      <c r="Q148" t="inlineStr"/>
    </row>
    <row r="149">
      <c r="A149" t="inlineStr">
        <is>
          <t>VIRA KARYA SAKTI</t>
        </is>
      </c>
      <c r="B149" t="inlineStr">
        <is>
          <t>Kab. Jember</t>
        </is>
      </c>
      <c r="C149" t="inlineStr">
        <is>
          <t>081233457351</t>
        </is>
      </c>
      <c r="D149" t="inlineStr">
        <is>
          <t>virakaryasakti@gmail.com</t>
        </is>
      </c>
      <c r="E149" t="inlineStr">
        <is>
          <t>https://lpjk.pu.go.id/search-badan-usaha-detail/c1BWaVRJK1o5bk9QZmF0dHlrMGx0UT09</t>
        </is>
      </c>
      <c r="F149" t="n">
        <v>1</v>
      </c>
      <c r="G149" t="inlineStr">
        <is>
          <t>BG001</t>
        </is>
      </c>
      <c r="H149" t="inlineStr">
        <is>
          <t>6 Januari 2012</t>
        </is>
      </c>
      <c r="I149" s="2" t="n">
        <v>46313</v>
      </c>
      <c r="J149" t="inlineStr">
        <is>
          <t>Disetujui</t>
        </is>
      </c>
      <c r="K149" t="n">
        <v>30</v>
      </c>
      <c r="L149" t="inlineStr">
        <is>
          <t>18 Oktober 2026</t>
        </is>
      </c>
      <c r="M149" t="inlineStr">
        <is>
          <t>Konstruksi Gedung Hunian</t>
        </is>
      </c>
      <c r="N149" t="inlineStr">
        <is>
          <t>K</t>
        </is>
      </c>
      <c r="O149" t="inlineStr">
        <is>
          <t>20231012</t>
        </is>
      </c>
      <c r="P149" t="inlineStr">
        <is>
          <t>Jawa Timur</t>
        </is>
      </c>
      <c r="Q149" t="inlineStr"/>
    </row>
    <row r="150">
      <c r="A150" t="inlineStr">
        <is>
          <t>WAHYU MUSTIKA ENGINEERING</t>
        </is>
      </c>
      <c r="B150" t="inlineStr">
        <is>
          <t>Kota Cilegon</t>
        </is>
      </c>
      <c r="C150" t="inlineStr">
        <is>
          <t>081282073832</t>
        </is>
      </c>
      <c r="D150" t="inlineStr">
        <is>
          <t>wahyumustikaengineering@yahoo.co.id</t>
        </is>
      </c>
      <c r="E150" t="inlineStr">
        <is>
          <t>https://lpjk.pu.go.id/search-badan-usaha-detail/RWVOZHpGWk1GaGovYWc0ak9HMzc3QT09</t>
        </is>
      </c>
      <c r="F150" t="n">
        <v>1</v>
      </c>
      <c r="G150" t="inlineStr">
        <is>
          <t>BG003</t>
        </is>
      </c>
      <c r="H150" t="inlineStr">
        <is>
          <t>17 Maret 2011</t>
        </is>
      </c>
      <c r="I150" s="2" t="n">
        <v>46313</v>
      </c>
      <c r="J150" t="inlineStr">
        <is>
          <t>Disetujui</t>
        </is>
      </c>
      <c r="K150" t="n">
        <v>30</v>
      </c>
      <c r="L150" t="inlineStr">
        <is>
          <t>18 Oktober 2026</t>
        </is>
      </c>
      <c r="M150" t="inlineStr">
        <is>
          <t>Konstruksi Gedung Industri</t>
        </is>
      </c>
      <c r="N150" t="inlineStr">
        <is>
          <t>K</t>
        </is>
      </c>
      <c r="O150" t="inlineStr">
        <is>
          <t>20231018</t>
        </is>
      </c>
      <c r="P150" t="inlineStr">
        <is>
          <t>Banten</t>
        </is>
      </c>
      <c r="Q150" t="inlineStr"/>
    </row>
    <row r="151">
      <c r="A151" t="inlineStr">
        <is>
          <t>WIRA KARYA TEHNIKA</t>
        </is>
      </c>
      <c r="B151" t="inlineStr">
        <is>
          <t>Kab. Tuban</t>
        </is>
      </c>
      <c r="C151" t="inlineStr">
        <is>
          <t>085732453166</t>
        </is>
      </c>
      <c r="D151" t="inlineStr">
        <is>
          <t>wirakaryatehnika45@gmail.com</t>
        </is>
      </c>
      <c r="E151" t="inlineStr">
        <is>
          <t>https://lpjk.pu.go.id/search-badan-usaha-detail/VE9JYWRzQ1o4QlZMOUlKRmtKOXFKUT09</t>
        </is>
      </c>
      <c r="F151" t="n">
        <v>1</v>
      </c>
      <c r="G151" t="inlineStr">
        <is>
          <t>BG002</t>
        </is>
      </c>
      <c r="H151" t="inlineStr">
        <is>
          <t>29 Desember 2014</t>
        </is>
      </c>
      <c r="I151" s="2" t="n">
        <v>46313</v>
      </c>
      <c r="J151" t="inlineStr">
        <is>
          <t>Pencabutan</t>
        </is>
      </c>
      <c r="K151" t="n">
        <v>30</v>
      </c>
      <c r="L151" t="inlineStr">
        <is>
          <t>18 Oktober 2026</t>
        </is>
      </c>
      <c r="M151" t="inlineStr">
        <is>
          <t>Konstruksi Gedung Perkantoran</t>
        </is>
      </c>
      <c r="N151" t="inlineStr">
        <is>
          <t>K</t>
        </is>
      </c>
      <c r="O151" t="inlineStr">
        <is>
          <t>20231018</t>
        </is>
      </c>
      <c r="P151" t="inlineStr">
        <is>
          <t>Jawa Timur</t>
        </is>
      </c>
      <c r="Q151" t="inlineStr"/>
    </row>
    <row r="152">
      <c r="A152" t="inlineStr">
        <is>
          <t>YURA PUTRA UTAMA</t>
        </is>
      </c>
      <c r="B152" t="inlineStr">
        <is>
          <t>Kab. Serang</t>
        </is>
      </c>
      <c r="C152" t="inlineStr">
        <is>
          <t>087774186560</t>
        </is>
      </c>
      <c r="D152" t="inlineStr">
        <is>
          <t>yuraputrautama@gmail.com</t>
        </is>
      </c>
      <c r="E152" t="inlineStr">
        <is>
          <t>https://lpjk.pu.go.id/search-badan-usaha-detail/WlV3RXhYcFEyUWxqeEZwTGNnbE53QT09</t>
        </is>
      </c>
      <c r="F152" t="n">
        <v>1</v>
      </c>
      <c r="G152" t="inlineStr">
        <is>
          <t>BG009</t>
        </is>
      </c>
      <c r="H152" t="inlineStr">
        <is>
          <t>20 Januari 2020</t>
        </is>
      </c>
      <c r="I152" s="2" t="n">
        <v>46313</v>
      </c>
      <c r="J152" t="inlineStr">
        <is>
          <t>Disetujui</t>
        </is>
      </c>
      <c r="K152" t="n">
        <v>30</v>
      </c>
      <c r="L152" t="inlineStr">
        <is>
          <t>18 Oktober 2026</t>
        </is>
      </c>
      <c r="M152" t="inlineStr">
        <is>
          <t>Konstruksi Gedung Lainnya</t>
        </is>
      </c>
      <c r="N152" t="inlineStr">
        <is>
          <t>K</t>
        </is>
      </c>
      <c r="O152" t="inlineStr">
        <is>
          <t>20231016</t>
        </is>
      </c>
      <c r="P152" t="inlineStr">
        <is>
          <t>Banten</t>
        </is>
      </c>
      <c r="Q152" t="inlineStr"/>
    </row>
    <row r="153">
      <c r="A153" t="inlineStr">
        <is>
          <t>ZAHRA VISITAMA</t>
        </is>
      </c>
      <c r="B153" t="inlineStr">
        <is>
          <t>Kab. Pandeglang</t>
        </is>
      </c>
      <c r="C153" t="inlineStr">
        <is>
          <t>085813586227</t>
        </is>
      </c>
      <c r="D153" t="inlineStr">
        <is>
          <t>andriawan101187@gmail.com</t>
        </is>
      </c>
      <c r="E153" t="inlineStr">
        <is>
          <t>https://lpjk.pu.go.id/search-badan-usaha-detail/TkJaSm5uVk8rMHcrR3p6cnNCcXQ4Zz09</t>
        </is>
      </c>
      <c r="F153" t="n">
        <v>10</v>
      </c>
      <c r="G153" t="inlineStr">
        <is>
          <t>BG004, BG005, BG006, BG009, BS001</t>
        </is>
      </c>
      <c r="H153" t="inlineStr">
        <is>
          <t>5 Agustus 2015</t>
        </is>
      </c>
      <c r="I153" s="2" t="n">
        <v>46313</v>
      </c>
      <c r="J153" t="inlineStr">
        <is>
          <t>Disetujui</t>
        </is>
      </c>
      <c r="K153" t="n">
        <v>30</v>
      </c>
      <c r="L153" t="inlineStr">
        <is>
          <t>18 Oktober 2026</t>
        </is>
      </c>
      <c r="M153" t="inlineStr">
        <is>
          <t>Konstruksi Bangunan Sipil Jalan, Konstruksi Gedung Kesehatan, Konstruksi Gedung Lainnya, Konstruksi Gedung Pendidikan, Konstruksi Gedung Perbelanjaan</t>
        </is>
      </c>
      <c r="N153" t="inlineStr">
        <is>
          <t>K</t>
        </is>
      </c>
      <c r="O153" t="inlineStr">
        <is>
          <t>20230926</t>
        </is>
      </c>
      <c r="P153" t="inlineStr">
        <is>
          <t>Banten</t>
        </is>
      </c>
      <c r="Q153" t="inlineStr"/>
    </row>
    <row r="154">
      <c r="A154" t="inlineStr">
        <is>
          <t>bangun utama</t>
        </is>
      </c>
      <c r="B154" t="inlineStr">
        <is>
          <t>Kab. Banyumas</t>
        </is>
      </c>
      <c r="C154" t="inlineStr">
        <is>
          <t>0812 2708 421_</t>
        </is>
      </c>
      <c r="D154" t="inlineStr">
        <is>
          <t>cvbangunutama99@yahoo.com</t>
        </is>
      </c>
      <c r="E154" t="inlineStr">
        <is>
          <t>https://lpjk.pu.go.id/search-badan-usaha-detail/QytGdFhUQzJsV1EwNHRxbFFtWC9sZz09</t>
        </is>
      </c>
      <c r="F154" t="n">
        <v>1</v>
      </c>
      <c r="G154" t="inlineStr">
        <is>
          <t>BG006</t>
        </is>
      </c>
      <c r="H154" t="inlineStr">
        <is>
          <t>10 November 1993</t>
        </is>
      </c>
      <c r="I154" s="2" t="n">
        <v>46313</v>
      </c>
      <c r="J154" t="inlineStr">
        <is>
          <t>Disetujui</t>
        </is>
      </c>
      <c r="K154" t="n">
        <v>30</v>
      </c>
      <c r="L154" t="inlineStr">
        <is>
          <t>18 Oktober 2026</t>
        </is>
      </c>
      <c r="M154" t="inlineStr">
        <is>
          <t>Konstruksi Gedung Pendidikan</t>
        </is>
      </c>
      <c r="N154" t="inlineStr">
        <is>
          <t>K</t>
        </is>
      </c>
      <c r="O154" t="inlineStr">
        <is>
          <t>20231016</t>
        </is>
      </c>
      <c r="P154" t="inlineStr">
        <is>
          <t>Jawa Tengah</t>
        </is>
      </c>
      <c r="Q1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2026-09-18T09:50:31Z</dcterms:created>
  <dcterms:modified xsi:type="dcterms:W3CDTF">2026-09-18T09:50:31Z</dcterms:modified>
</cp:coreProperties>
</file>