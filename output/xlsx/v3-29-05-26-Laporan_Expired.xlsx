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9"/>
  <sheetViews>
    <sheetView workbookViewId="0">
      <selection activeCell="A1" sqref="A1"/>
    </sheetView>
  </sheetViews>
  <sheetFormatPr baseColWidth="8" defaultRowHeight="15"/>
  <cols>
    <col width="31" customWidth="1" min="1" max="1"/>
    <col width="27" customWidth="1" min="2" max="2"/>
    <col width="15" customWidth="1" min="3" max="3"/>
    <col width="42"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ALVIAN MANDIRI JAYA</t>
        </is>
      </c>
      <c r="B2" t="inlineStr">
        <is>
          <t>Kab. Bekasi</t>
        </is>
      </c>
      <c r="C2" t="inlineStr">
        <is>
          <t>081213685565</t>
        </is>
      </c>
      <c r="D2" t="inlineStr">
        <is>
          <t>alvinmandiri080217@gmail.com</t>
        </is>
      </c>
      <c r="E2" t="inlineStr">
        <is>
          <t>https://lpjk.pu.go.id/search-badan-usaha-detail/eENXZUJ1ajFVMW01WkZmSlRkVGJ4UT09</t>
        </is>
      </c>
      <c r="F2" t="n">
        <v>2</v>
      </c>
      <c r="G2" t="inlineStr">
        <is>
          <t>BG001</t>
        </is>
      </c>
      <c r="H2" t="inlineStr">
        <is>
          <t>14 Desember 2021</t>
        </is>
      </c>
      <c r="I2" s="2" t="n">
        <v>46261</v>
      </c>
      <c r="J2" t="inlineStr">
        <is>
          <t>Disetujui</t>
        </is>
      </c>
      <c r="K2" t="n">
        <v>90</v>
      </c>
      <c r="L2" t="inlineStr">
        <is>
          <t>27 Agustus 2026</t>
        </is>
      </c>
      <c r="M2" t="inlineStr">
        <is>
          <t>Konstruksi Gedung Hunian</t>
        </is>
      </c>
      <c r="N2" t="inlineStr">
        <is>
          <t>K</t>
        </is>
      </c>
      <c r="O2" t="inlineStr">
        <is>
          <t>20230825</t>
        </is>
      </c>
      <c r="P2" t="inlineStr">
        <is>
          <t>Jawa Barat</t>
        </is>
      </c>
      <c r="Q2" s="3">
        <f>HYPERLINK("https://wa.me/6281213685565?text=Selamat siang Bapak/Ibu pimpinan ALVIAN MANDIRI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BINTANG ABADI SENTOSA</t>
        </is>
      </c>
      <c r="B3" t="inlineStr">
        <is>
          <t>Kab. Bogor</t>
        </is>
      </c>
      <c r="C3" t="inlineStr">
        <is>
          <t>08128821293</t>
        </is>
      </c>
      <c r="D3" t="inlineStr">
        <is>
          <t>cvbas05@gmail.com</t>
        </is>
      </c>
      <c r="E3" t="inlineStr">
        <is>
          <t>https://lpjk.pu.go.id/search-badan-usaha-detail/OWlSTHVPSUVITlUvQkxlM1o2SjVwRVdlOUVqMUp6SFUyYmY1dWtOdW4yZz0</t>
        </is>
      </c>
      <c r="F3" t="n">
        <v>1</v>
      </c>
      <c r="G3" t="inlineStr">
        <is>
          <t>BG006</t>
        </is>
      </c>
      <c r="H3" t="inlineStr">
        <is>
          <t>24 Februari 2022</t>
        </is>
      </c>
      <c r="I3" s="2" t="n">
        <v>46261</v>
      </c>
      <c r="J3" t="inlineStr">
        <is>
          <t>Konfirmasi Pembayaran</t>
        </is>
      </c>
      <c r="K3" t="n">
        <v>90</v>
      </c>
      <c r="L3" t="inlineStr">
        <is>
          <t>27 Agustus 2026</t>
        </is>
      </c>
      <c r="M3" t="inlineStr">
        <is>
          <t>Konstruksi Gedung Pendidikan</t>
        </is>
      </c>
      <c r="N3" t="inlineStr">
        <is>
          <t>K</t>
        </is>
      </c>
      <c r="O3" t="inlineStr">
        <is>
          <t>20230530</t>
        </is>
      </c>
      <c r="P3" t="inlineStr">
        <is>
          <t>Jawa Barat</t>
        </is>
      </c>
      <c r="Q3" s="3">
        <f>HYPERLINK("https://wa.me/628128821293?text=Selamat siang Bapak/Ibu pimpinan BINTANG ABADI SENTOSA,%0A%0ASemoga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DINAMIKA BANGUN MANDIRI</t>
        </is>
      </c>
      <c r="B4" t="inlineStr">
        <is>
          <t>Kab. Bogor</t>
        </is>
      </c>
      <c r="C4" t="inlineStr">
        <is>
          <t>02183711010</t>
        </is>
      </c>
      <c r="D4" t="inlineStr">
        <is>
          <t>ptdinamikabangunmandiri@gmail.com</t>
        </is>
      </c>
      <c r="E4" t="inlineStr">
        <is>
          <t>https://lpjk.pu.go.id/search-badan-usaha-detail/SkhmUWRVR2Z1YS80YkJlWTZqQWljUT09</t>
        </is>
      </c>
      <c r="F4" t="n">
        <v>3</v>
      </c>
      <c r="G4" t="inlineStr">
        <is>
          <t>PB005</t>
        </is>
      </c>
      <c r="H4" t="inlineStr">
        <is>
          <t>14 November 2022</t>
        </is>
      </c>
      <c r="I4" s="2" t="n">
        <v>46261</v>
      </c>
      <c r="J4" t="inlineStr">
        <is>
          <t>Disetujui</t>
        </is>
      </c>
      <c r="K4" t="n">
        <v>90</v>
      </c>
      <c r="L4" t="inlineStr">
        <is>
          <t>27 Agustus 2026</t>
        </is>
      </c>
      <c r="M4" t="inlineStr">
        <is>
          <t>Pemasangan Ornamen dan Pekerjaan Seni</t>
        </is>
      </c>
      <c r="N4" t="inlineStr">
        <is>
          <t>Spesialis</t>
        </is>
      </c>
      <c r="O4" t="inlineStr">
        <is>
          <t>20230824</t>
        </is>
      </c>
      <c r="P4" t="inlineStr">
        <is>
          <t>Jawa Barat</t>
        </is>
      </c>
      <c r="Q4" t="inlineStr"/>
    </row>
    <row r="5">
      <c r="A5" t="inlineStr">
        <is>
          <t>FIRNIE ALATAZ MALANIHAT</t>
        </is>
      </c>
      <c r="B5" t="inlineStr">
        <is>
          <t>Kab. Bogor</t>
        </is>
      </c>
      <c r="C5" t="inlineStr">
        <is>
          <t>08119104023</t>
        </is>
      </c>
      <c r="D5" t="inlineStr">
        <is>
          <t>berkahfam@yahoo.com</t>
        </is>
      </c>
      <c r="E5" t="inlineStr">
        <is>
          <t>https://lpjk.pu.go.id/search-badan-usaha-detail/R2dUVWFIaWZJOE5oTnI1NmlWVTN5Zz09</t>
        </is>
      </c>
      <c r="F5" t="n">
        <v>2</v>
      </c>
      <c r="G5" t="inlineStr">
        <is>
          <t>BG009, BS004</t>
        </is>
      </c>
      <c r="H5" t="inlineStr">
        <is>
          <t>24 September 2021</t>
        </is>
      </c>
      <c r="I5" s="2" t="n">
        <v>46261</v>
      </c>
      <c r="J5" t="inlineStr">
        <is>
          <t>Disetujui</t>
        </is>
      </c>
      <c r="K5" t="n">
        <v>90</v>
      </c>
      <c r="L5" t="inlineStr">
        <is>
          <t>27 Agustus 2026</t>
        </is>
      </c>
      <c r="M5" t="inlineStr">
        <is>
          <t>Konstruksi Gedung Lainnya, Konstruksi Jaringan Irigasi dan Drainase</t>
        </is>
      </c>
      <c r="N5" t="inlineStr">
        <is>
          <t>K</t>
        </is>
      </c>
      <c r="O5" t="inlineStr">
        <is>
          <t>20230825</t>
        </is>
      </c>
      <c r="P5" t="inlineStr">
        <is>
          <t>Jawa Barat</t>
        </is>
      </c>
      <c r="Q5" s="3">
        <f>HYPERLINK("https://wa.me/628119104023?text=Selamat siang Bapak/Ibu pimpinan FIRNIE ALATAZ MALANIHAT,%0A%0ASemoga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GUNA GRAHA PRIMA</t>
        </is>
      </c>
      <c r="B6" t="inlineStr">
        <is>
          <t>Kota Adm. Jakarta Timur</t>
        </is>
      </c>
      <c r="C6" t="inlineStr">
        <is>
          <t>02148703646</t>
        </is>
      </c>
      <c r="D6" t="inlineStr">
        <is>
          <t>pt.gunagrahaprima@yahoo.com</t>
        </is>
      </c>
      <c r="E6" t="inlineStr">
        <is>
          <t>https://lpjk.pu.go.id/search-badan-usaha-detail/OTM0czZGQUtSZTVORHJnZnZkQjBMQT09</t>
        </is>
      </c>
      <c r="F6" t="n">
        <v>2</v>
      </c>
      <c r="G6" t="inlineStr">
        <is>
          <t>BG002, BG004</t>
        </is>
      </c>
      <c r="H6" t="inlineStr">
        <is>
          <t>23 April 2014</t>
        </is>
      </c>
      <c r="I6" s="2" t="n">
        <v>46261</v>
      </c>
      <c r="J6" t="inlineStr">
        <is>
          <t>Disetujui</t>
        </is>
      </c>
      <c r="K6" t="n">
        <v>90</v>
      </c>
      <c r="L6" t="inlineStr">
        <is>
          <t>27 Agustus 2026</t>
        </is>
      </c>
      <c r="M6" t="inlineStr">
        <is>
          <t>Konstruksi Gedung Perbelanjaan, Konstruksi Gedung Perkantoran</t>
        </is>
      </c>
      <c r="N6" t="inlineStr">
        <is>
          <t>K</t>
        </is>
      </c>
      <c r="O6" t="inlineStr">
        <is>
          <t>20230821, 20230823</t>
        </is>
      </c>
      <c r="P6" t="inlineStr">
        <is>
          <t>DKI Jakarta</t>
        </is>
      </c>
      <c r="Q6" t="inlineStr"/>
    </row>
    <row r="7">
      <c r="A7" t="inlineStr">
        <is>
          <t>HEROS PUTRA GEMILANG</t>
        </is>
      </c>
      <c r="B7" t="inlineStr">
        <is>
          <t>Kota Adm. Jakarta Timur</t>
        </is>
      </c>
      <c r="C7" t="inlineStr">
        <is>
          <t>02128672515</t>
        </is>
      </c>
      <c r="D7" t="inlineStr">
        <is>
          <t>gherosputra@yahoo.com</t>
        </is>
      </c>
      <c r="E7" t="inlineStr">
        <is>
          <t>https://lpjk.pu.go.id/search-badan-usaha-detail/QWVTN2loRXNtZ25wZGNlanNKR1lFdz09</t>
        </is>
      </c>
      <c r="F7" t="n">
        <v>4</v>
      </c>
      <c r="G7" t="inlineStr">
        <is>
          <t>BG005, BG006, BG009, BS001</t>
        </is>
      </c>
      <c r="H7" t="inlineStr">
        <is>
          <t>10 Maret 2003</t>
        </is>
      </c>
      <c r="I7" s="2" t="n">
        <v>46261</v>
      </c>
      <c r="J7" t="inlineStr">
        <is>
          <t>Disetujui</t>
        </is>
      </c>
      <c r="K7" t="n">
        <v>90</v>
      </c>
      <c r="L7" t="inlineStr">
        <is>
          <t>27 Agustus 2026</t>
        </is>
      </c>
      <c r="M7" t="inlineStr">
        <is>
          <t>Konstruksi Bangunan Sipil Jalan, Konstruksi Gedung Kesehatan, Konstruksi Gedung Lainnya, Konstruksi Gedung Pendidikan</t>
        </is>
      </c>
      <c r="N7" t="inlineStr">
        <is>
          <t>K</t>
        </is>
      </c>
      <c r="O7" t="inlineStr">
        <is>
          <t>20230803, 20230823</t>
        </is>
      </c>
      <c r="P7" t="inlineStr">
        <is>
          <t>DKI Jakarta</t>
        </is>
      </c>
      <c r="Q7" t="inlineStr"/>
    </row>
    <row r="8">
      <c r="A8" t="inlineStr">
        <is>
          <t>PAJAJARAN</t>
        </is>
      </c>
      <c r="B8" t="inlineStr">
        <is>
          <t>Kab. Bekasi</t>
        </is>
      </c>
      <c r="C8" t="inlineStr">
        <is>
          <t>082117626019</t>
        </is>
      </c>
      <c r="D8" t="inlineStr">
        <is>
          <t>pajajaran_cv@yahoo.com</t>
        </is>
      </c>
      <c r="E8" t="inlineStr">
        <is>
          <t>https://lpjk.pu.go.id/search-badan-usaha-detail/T0oyYWZOWEFndlZSSnVocjMwZTdRdz09</t>
        </is>
      </c>
      <c r="F8" t="n">
        <v>2</v>
      </c>
      <c r="G8" t="inlineStr">
        <is>
          <t>BG009, BS001</t>
        </is>
      </c>
      <c r="H8" t="inlineStr">
        <is>
          <t>13 Mei 2009</t>
        </is>
      </c>
      <c r="I8" s="2" t="n">
        <v>46261</v>
      </c>
      <c r="J8" t="inlineStr">
        <is>
          <t>Pencabutan</t>
        </is>
      </c>
      <c r="K8" t="n">
        <v>90</v>
      </c>
      <c r="L8" t="inlineStr">
        <is>
          <t>27 Agustus 2026</t>
        </is>
      </c>
      <c r="M8" t="inlineStr">
        <is>
          <t>Konstruksi Bangunan Sipil Jalan, Konstruksi Gedung Lainnya</t>
        </is>
      </c>
      <c r="N8" t="inlineStr">
        <is>
          <t>K</t>
        </is>
      </c>
      <c r="O8" t="inlineStr">
        <is>
          <t>20230822</t>
        </is>
      </c>
      <c r="P8" t="inlineStr">
        <is>
          <t>Jawa Barat</t>
        </is>
      </c>
      <c r="Q8" s="3">
        <f>HYPERLINK("https://wa.me/6282117626019?text=Selamat siang Bapak/Ibu pimpinan PAJAJARAN,%0A%0ASemoga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&amp;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TATA GRAHA UTAMA</t>
        </is>
      </c>
      <c r="B9" t="inlineStr">
        <is>
          <t>Kota Bekasi</t>
        </is>
      </c>
      <c r="C9" t="inlineStr">
        <is>
          <t>02184999241</t>
        </is>
      </c>
      <c r="D9" t="inlineStr">
        <is>
          <t>tatagrahautama@gmail.com</t>
        </is>
      </c>
      <c r="E9" t="inlineStr">
        <is>
          <t>https://lpjk.pu.go.id/search-badan-usaha-detail/aVBuNzdiTExBMEZVZUFVVkdreXVmZz09</t>
        </is>
      </c>
      <c r="F9" t="n">
        <v>2</v>
      </c>
      <c r="G9" t="inlineStr">
        <is>
          <t>BG004, BG009</t>
        </is>
      </c>
      <c r="H9" t="inlineStr">
        <is>
          <t>3 Mei 2019</t>
        </is>
      </c>
      <c r="I9" s="2" t="n">
        <v>46261</v>
      </c>
      <c r="J9" t="inlineStr">
        <is>
          <t>Pencabutan</t>
        </is>
      </c>
      <c r="K9" t="n">
        <v>90</v>
      </c>
      <c r="L9" t="inlineStr">
        <is>
          <t>27 Agustus 2026</t>
        </is>
      </c>
      <c r="M9" t="inlineStr">
        <is>
          <t>Konstruksi Gedung Lainnya, Konstruksi Gedung Perbelanjaan</t>
        </is>
      </c>
      <c r="N9" t="inlineStr">
        <is>
          <t>K</t>
        </is>
      </c>
      <c r="O9" t="inlineStr">
        <is>
          <t>20230818</t>
        </is>
      </c>
      <c r="P9" t="inlineStr">
        <is>
          <t>Jawa Barat</t>
        </is>
      </c>
      <c r="Q9" t="inlineStr"/>
    </row>
    <row r="10">
      <c r="A10" t="inlineStr">
        <is>
          <t>ADHI RAJASA KARYA</t>
        </is>
      </c>
      <c r="B10" t="inlineStr">
        <is>
          <t>Kab. Muna</t>
        </is>
      </c>
      <c r="C10" t="inlineStr">
        <is>
          <t>082196750775</t>
        </is>
      </c>
      <c r="D10" t="inlineStr">
        <is>
          <t>adhirajasakarya02@gmail.com</t>
        </is>
      </c>
      <c r="E10" t="inlineStr">
        <is>
          <t>https://lpjk.pu.go.id/search-badan-usaha-detail/Z0dDQ2p4bGc5c25yWXdOMW5USm5yQT09</t>
        </is>
      </c>
      <c r="F10" t="n">
        <v>3</v>
      </c>
      <c r="G10" t="inlineStr">
        <is>
          <t>BG002, BG005, BG009</t>
        </is>
      </c>
      <c r="H10" t="inlineStr">
        <is>
          <t>15 Februari 2023</t>
        </is>
      </c>
      <c r="I10" s="2" t="n">
        <v>46261</v>
      </c>
      <c r="J10" t="inlineStr">
        <is>
          <t>Disetujui</t>
        </is>
      </c>
      <c r="K10" t="n">
        <v>90</v>
      </c>
      <c r="L10" t="inlineStr">
        <is>
          <t>27 Agustus 2026</t>
        </is>
      </c>
      <c r="M10" t="inlineStr">
        <is>
          <t>Konstruksi Gedung Kesehatan, Konstruksi Gedung Lainnya, Konstruksi Gedung Perkantoran</t>
        </is>
      </c>
      <c r="N10" t="inlineStr">
        <is>
          <t>K</t>
        </is>
      </c>
      <c r="O10" t="inlineStr">
        <is>
          <t>20230816, 20230824</t>
        </is>
      </c>
      <c r="P10" t="inlineStr">
        <is>
          <t>Sulawesi Tenggara</t>
        </is>
      </c>
      <c r="Q10" t="inlineStr"/>
    </row>
    <row r="11">
      <c r="A11" t="inlineStr">
        <is>
          <t>AHSANI CIPTA CENDANA</t>
        </is>
      </c>
      <c r="B11" t="inlineStr">
        <is>
          <t>Kota Bengkulu</t>
        </is>
      </c>
      <c r="C11" t="inlineStr">
        <is>
          <t>085267278510</t>
        </is>
      </c>
      <c r="D11" t="inlineStr">
        <is>
          <t>ahsaniciptacendana@gmail.com</t>
        </is>
      </c>
      <c r="E11" t="inlineStr">
        <is>
          <t>https://lpjk.pu.go.id/search-badan-usaha-detail/WW1DTHJpSm5GaXNUYzlacmtHMm83QT09</t>
        </is>
      </c>
      <c r="F11" t="n">
        <v>1</v>
      </c>
      <c r="G11" t="inlineStr">
        <is>
          <t>BS001</t>
        </is>
      </c>
      <c r="H11" t="inlineStr">
        <is>
          <t>30 Desember 2022</t>
        </is>
      </c>
      <c r="I11" s="2" t="n">
        <v>46261</v>
      </c>
      <c r="J11" t="inlineStr">
        <is>
          <t>Disetujui</t>
        </is>
      </c>
      <c r="K11" t="n">
        <v>90</v>
      </c>
      <c r="L11" t="inlineStr">
        <is>
          <t>27 Agustus 2026</t>
        </is>
      </c>
      <c r="M11" t="inlineStr">
        <is>
          <t>Konstruksi Bangunan Sipil Jalan</t>
        </is>
      </c>
      <c r="N11" t="inlineStr">
        <is>
          <t>K</t>
        </is>
      </c>
      <c r="O11" t="inlineStr">
        <is>
          <t>20230824</t>
        </is>
      </c>
      <c r="P11" t="inlineStr">
        <is>
          <t>Bengkulu</t>
        </is>
      </c>
      <c r="Q11" t="inlineStr"/>
    </row>
    <row r="12">
      <c r="A12" t="inlineStr">
        <is>
          <t>ALFA TATA GRIYA</t>
        </is>
      </c>
      <c r="B12" t="inlineStr">
        <is>
          <t>Kab. Kediri</t>
        </is>
      </c>
      <c r="C12" t="inlineStr">
        <is>
          <t>081233051832</t>
        </is>
      </c>
      <c r="D12" t="inlineStr">
        <is>
          <t>pt.alfatatagriya@gmail.com</t>
        </is>
      </c>
      <c r="E12" t="inlineStr">
        <is>
          <t>https://lpjk.pu.go.id/search-badan-usaha-detail/ZElVckNmWU5pbWJIV1pUM1lnMUZoQT09</t>
        </is>
      </c>
      <c r="F12" t="n">
        <v>1</v>
      </c>
      <c r="G12" t="inlineStr">
        <is>
          <t>BG006</t>
        </is>
      </c>
      <c r="H12" t="inlineStr">
        <is>
          <t>29 Mei 2023</t>
        </is>
      </c>
      <c r="I12" s="2" t="n">
        <v>46261</v>
      </c>
      <c r="J12" t="inlineStr">
        <is>
          <t>Pencabutan</t>
        </is>
      </c>
      <c r="K12" t="n">
        <v>90</v>
      </c>
      <c r="L12" t="inlineStr">
        <is>
          <t>27 Agustus 2026</t>
        </is>
      </c>
      <c r="M12" t="inlineStr">
        <is>
          <t>Konstruksi Gedung Pendidikan</t>
        </is>
      </c>
      <c r="N12" t="inlineStr">
        <is>
          <t>K</t>
        </is>
      </c>
      <c r="O12" t="inlineStr">
        <is>
          <t>20230816</t>
        </is>
      </c>
      <c r="P12" t="inlineStr">
        <is>
          <t>Jawa Timur</t>
        </is>
      </c>
      <c r="Q12" t="inlineStr"/>
    </row>
    <row r="13">
      <c r="A13" t="inlineStr">
        <is>
          <t>ALIFYA ANUGERAH ABADI</t>
        </is>
      </c>
      <c r="B13" t="inlineStr">
        <is>
          <t>Kota Bontang</t>
        </is>
      </c>
      <c r="C13" t="inlineStr">
        <is>
          <t>085246841451</t>
        </is>
      </c>
      <c r="D13" t="inlineStr">
        <is>
          <t>pt.alifyaanugerahabadi@gmail.com</t>
        </is>
      </c>
      <c r="E13" t="inlineStr">
        <is>
          <t>https://lpjk.pu.go.id/search-badan-usaha-detail/dkg3VGV2SDhqZS9MTUFPWGJyc2ZlUT09</t>
        </is>
      </c>
      <c r="F13" t="n">
        <v>1</v>
      </c>
      <c r="G13" t="inlineStr">
        <is>
          <t>BS001</t>
        </is>
      </c>
      <c r="H13" t="inlineStr">
        <is>
          <t>17 Maret 2022</t>
        </is>
      </c>
      <c r="I13" s="2" t="n">
        <v>46261</v>
      </c>
      <c r="J13" t="inlineStr">
        <is>
          <t>Pembekuan</t>
        </is>
      </c>
      <c r="K13" t="n">
        <v>90</v>
      </c>
      <c r="L13" t="inlineStr">
        <is>
          <t>27 Agustus 2026</t>
        </is>
      </c>
      <c r="M13" t="inlineStr">
        <is>
          <t>Konstruksi Bangunan Sipil Jalan</t>
        </is>
      </c>
      <c r="N13" t="inlineStr">
        <is>
          <t>M</t>
        </is>
      </c>
      <c r="O13" t="inlineStr">
        <is>
          <t>20230821</t>
        </is>
      </c>
      <c r="P13" t="inlineStr">
        <is>
          <t>Kalimantan Timur</t>
        </is>
      </c>
      <c r="Q13" t="inlineStr"/>
    </row>
    <row r="14">
      <c r="A14" t="inlineStr">
        <is>
          <t>AMPERA PERSADA</t>
        </is>
      </c>
      <c r="B14" t="inlineStr">
        <is>
          <t>Kab. Sambas</t>
        </is>
      </c>
      <c r="C14" t="inlineStr">
        <is>
          <t>085245777701</t>
        </is>
      </c>
      <c r="D14" t="inlineStr">
        <is>
          <t>amperapersada@gmail.com</t>
        </is>
      </c>
      <c r="E14" t="inlineStr">
        <is>
          <t>https://lpjk.pu.go.id/search-badan-usaha-detail/ZGk3cmFFc1NNeHVFMnFhMitaU1ZhZz09</t>
        </is>
      </c>
      <c r="F14" t="n">
        <v>1</v>
      </c>
      <c r="G14" t="inlineStr">
        <is>
          <t>BG006</t>
        </is>
      </c>
      <c r="H14" t="inlineStr">
        <is>
          <t>9 Januari 2004</t>
        </is>
      </c>
      <c r="I14" s="2" t="n">
        <v>46261</v>
      </c>
      <c r="J14" t="inlineStr">
        <is>
          <t>Disetujui</t>
        </is>
      </c>
      <c r="K14" t="n">
        <v>90</v>
      </c>
      <c r="L14" t="inlineStr">
        <is>
          <t>27 Agustus 2026</t>
        </is>
      </c>
      <c r="M14" t="inlineStr">
        <is>
          <t>Konstruksi Gedung Pendidikan</t>
        </is>
      </c>
      <c r="N14" t="inlineStr">
        <is>
          <t>K</t>
        </is>
      </c>
      <c r="O14" t="inlineStr">
        <is>
          <t>20230828</t>
        </is>
      </c>
      <c r="P14" t="inlineStr">
        <is>
          <t>Kalimantan Barat</t>
        </is>
      </c>
      <c r="Q14" t="inlineStr"/>
    </row>
    <row r="15">
      <c r="A15" t="inlineStr">
        <is>
          <t>ANEUK GALONG HISTORY</t>
        </is>
      </c>
      <c r="B15" t="inlineStr">
        <is>
          <t>Kab. Aceh Besar</t>
        </is>
      </c>
      <c r="C15" t="inlineStr">
        <is>
          <t>08126915940</t>
        </is>
      </c>
      <c r="D15" t="inlineStr">
        <is>
          <t>aneukgalonghistorycv@gmail.com</t>
        </is>
      </c>
      <c r="E15" t="inlineStr">
        <is>
          <t>https://lpjk.pu.go.id/search-badan-usaha-detail/NWhLbSs5YWFxT040WDVhRy9MRExyZz09</t>
        </is>
      </c>
      <c r="F15" t="n">
        <v>1</v>
      </c>
      <c r="G15" t="inlineStr">
        <is>
          <t>BS001</t>
        </is>
      </c>
      <c r="H15" t="inlineStr">
        <is>
          <t>13 Januari 2015</t>
        </is>
      </c>
      <c r="I15" s="2" t="n">
        <v>46261</v>
      </c>
      <c r="J15" t="inlineStr">
        <is>
          <t>Disetujui</t>
        </is>
      </c>
      <c r="K15" t="n">
        <v>90</v>
      </c>
      <c r="L15" t="inlineStr">
        <is>
          <t>27 Agustus 2026</t>
        </is>
      </c>
      <c r="M15" t="inlineStr">
        <is>
          <t>Konstruksi Bangunan Sipil Jalan</t>
        </is>
      </c>
      <c r="N15" t="inlineStr">
        <is>
          <t>K</t>
        </is>
      </c>
      <c r="O15" t="inlineStr">
        <is>
          <t>20230827</t>
        </is>
      </c>
      <c r="P15" t="inlineStr">
        <is>
          <t>Aceh</t>
        </is>
      </c>
      <c r="Q15" t="inlineStr"/>
    </row>
    <row r="16">
      <c r="A16" t="inlineStr">
        <is>
          <t>ANGGREK BUMI CEMERLANG</t>
        </is>
      </c>
      <c r="B16" t="inlineStr">
        <is>
          <t>Kota Surabaya</t>
        </is>
      </c>
      <c r="C16" t="inlineStr">
        <is>
          <t>082130090082</t>
        </is>
      </c>
      <c r="D16" t="inlineStr">
        <is>
          <t>ptanggrekbc@gmail.com</t>
        </is>
      </c>
      <c r="E16" t="inlineStr">
        <is>
          <t>https://lpjk.pu.go.id/search-badan-usaha-detail/Q2FwTkRtS1lobEJzYXNndnhlZmZ5Zz09</t>
        </is>
      </c>
      <c r="F16" t="n">
        <v>1</v>
      </c>
      <c r="G16" t="inlineStr">
        <is>
          <t>BS017</t>
        </is>
      </c>
      <c r="H16" t="inlineStr">
        <is>
          <t>16 Juni 2021</t>
        </is>
      </c>
      <c r="I16" s="2" t="n">
        <v>46261</v>
      </c>
      <c r="J16" t="inlineStr">
        <is>
          <t>Pencabutan</t>
        </is>
      </c>
      <c r="K16" t="n">
        <v>90</v>
      </c>
      <c r="L16" t="inlineStr">
        <is>
          <t>27 Agustus 2026</t>
        </is>
      </c>
      <c r="M16" t="inlineStr">
        <is>
          <t>Konstruksi Bangunan Sipil Lainnya Ytdl</t>
        </is>
      </c>
      <c r="N16" t="inlineStr">
        <is>
          <t>K</t>
        </is>
      </c>
      <c r="O16" t="inlineStr">
        <is>
          <t>20230828</t>
        </is>
      </c>
      <c r="P16" t="inlineStr">
        <is>
          <t>Jawa Timur</t>
        </is>
      </c>
      <c r="Q16" t="inlineStr"/>
    </row>
    <row r="17">
      <c r="A17" t="inlineStr">
        <is>
          <t>ANGGUN SETIA</t>
        </is>
      </c>
      <c r="B17" t="inlineStr">
        <is>
          <t>Kab. Maluku Barat Daya</t>
        </is>
      </c>
      <c r="C17" t="inlineStr">
        <is>
          <t>081211617487</t>
        </is>
      </c>
      <c r="D17" t="inlineStr">
        <is>
          <t>cvanggunsetia@gmail.com</t>
        </is>
      </c>
      <c r="E17" t="inlineStr">
        <is>
          <t>https://lpjk.pu.go.id/search-badan-usaha-detail/ZWlkSDVSdmNjUVBzTUR6TVViQjF4dz09</t>
        </is>
      </c>
      <c r="F17" t="n">
        <v>1</v>
      </c>
      <c r="G17" t="inlineStr">
        <is>
          <t>BG006</t>
        </is>
      </c>
      <c r="H17" t="inlineStr">
        <is>
          <t>17 Januari 2025</t>
        </is>
      </c>
      <c r="I17" s="2" t="n">
        <v>46261</v>
      </c>
      <c r="J17" t="inlineStr">
        <is>
          <t>Disetujui</t>
        </is>
      </c>
      <c r="K17" t="n">
        <v>90</v>
      </c>
      <c r="L17" t="inlineStr">
        <is>
          <t>27 Agustus 2026</t>
        </is>
      </c>
      <c r="M17" t="inlineStr">
        <is>
          <t>Konstruksi Gedung Pendidikan</t>
        </is>
      </c>
      <c r="N17" t="inlineStr">
        <is>
          <t>K</t>
        </is>
      </c>
      <c r="O17" t="inlineStr">
        <is>
          <t>20230812</t>
        </is>
      </c>
      <c r="P17" t="inlineStr">
        <is>
          <t>Maluku</t>
        </is>
      </c>
      <c r="Q17" t="inlineStr"/>
    </row>
    <row r="18">
      <c r="A18" t="inlineStr">
        <is>
          <t>ANISA GEMILANG NUSANTARA</t>
        </is>
      </c>
      <c r="B18" t="inlineStr">
        <is>
          <t>Kab. Penajam Paser Utara</t>
        </is>
      </c>
      <c r="C18" t="inlineStr">
        <is>
          <t>085845498533</t>
        </is>
      </c>
      <c r="D18" t="inlineStr">
        <is>
          <t>anisagemilangnusantara@gmail.com</t>
        </is>
      </c>
      <c r="E18" t="inlineStr">
        <is>
          <t>https://lpjk.pu.go.id/search-badan-usaha-detail/NlZIL2ZDZlh5OE1DUjlvODhMRzhJUT09</t>
        </is>
      </c>
      <c r="F18" t="n">
        <v>4</v>
      </c>
      <c r="G18" t="inlineStr">
        <is>
          <t>BG006, BG008</t>
        </is>
      </c>
      <c r="H18" t="inlineStr">
        <is>
          <t>30 Maret 2023</t>
        </is>
      </c>
      <c r="I18" s="2" t="n">
        <v>46261</v>
      </c>
      <c r="J18" t="inlineStr">
        <is>
          <t>Disetujui</t>
        </is>
      </c>
      <c r="K18" t="n">
        <v>90</v>
      </c>
      <c r="L18" t="inlineStr">
        <is>
          <t>27 Agustus 2026</t>
        </is>
      </c>
      <c r="M18" t="inlineStr">
        <is>
          <t>Konstruksi Gedung Pendidikan, Konstruksi Gedung Tempat Hiburan dan Olahraga</t>
        </is>
      </c>
      <c r="N18" t="inlineStr">
        <is>
          <t>K</t>
        </is>
      </c>
      <c r="O18" t="inlineStr">
        <is>
          <t>20230823</t>
        </is>
      </c>
      <c r="P18" t="inlineStr">
        <is>
          <t>Kalimantan Timur</t>
        </is>
      </c>
      <c r="Q18" t="inlineStr"/>
    </row>
    <row r="19">
      <c r="A19" t="inlineStr">
        <is>
          <t>ANUGERAH KONSTRUKSI KARYATAMA</t>
        </is>
      </c>
      <c r="B19" t="inlineStr">
        <is>
          <t>Kab. Banggai</t>
        </is>
      </c>
      <c r="C19" t="inlineStr">
        <is>
          <t>085343640755</t>
        </is>
      </c>
      <c r="D19" t="inlineStr">
        <is>
          <t>anugerahkonstruksikaryatama@gmail.com</t>
        </is>
      </c>
      <c r="E19" t="inlineStr">
        <is>
          <t>https://lpjk.pu.go.id/search-badan-usaha-detail/N0Z2TkVXQUJYQUdFZk50ZWk4WjROdz09</t>
        </is>
      </c>
      <c r="F19" t="n">
        <v>1</v>
      </c>
      <c r="G19" t="inlineStr">
        <is>
          <t>BS001</t>
        </is>
      </c>
      <c r="H19" t="inlineStr">
        <is>
          <t>20 Juli 2023</t>
        </is>
      </c>
      <c r="I19" s="2" t="n">
        <v>46261</v>
      </c>
      <c r="J19" t="inlineStr">
        <is>
          <t>Disetujui</t>
        </is>
      </c>
      <c r="K19" t="n">
        <v>90</v>
      </c>
      <c r="L19" t="inlineStr">
        <is>
          <t>27 Agustus 2026</t>
        </is>
      </c>
      <c r="M19" t="inlineStr">
        <is>
          <t>Konstruksi Bangunan Sipil Jalan</t>
        </is>
      </c>
      <c r="N19" t="inlineStr">
        <is>
          <t>K</t>
        </is>
      </c>
      <c r="O19" t="inlineStr">
        <is>
          <t>20230827</t>
        </is>
      </c>
      <c r="P19" t="inlineStr">
        <is>
          <t>Sulawesi Tengah</t>
        </is>
      </c>
      <c r="Q19" t="inlineStr"/>
    </row>
    <row r="20">
      <c r="A20" t="inlineStr">
        <is>
          <t>ANUGERAH PAPUA BARAT</t>
        </is>
      </c>
      <c r="B20" t="inlineStr">
        <is>
          <t>Kota Sorong</t>
        </is>
      </c>
      <c r="C20" t="inlineStr">
        <is>
          <t>081344816844</t>
        </is>
      </c>
      <c r="D20" t="inlineStr">
        <is>
          <t>anugrahpapua17@gmail.com</t>
        </is>
      </c>
      <c r="E20" t="inlineStr">
        <is>
          <t>https://lpjk.pu.go.id/search-badan-usaha-detail/ZnRraWNlWVIyUHdvSC9iOU5NNXUvQT09</t>
        </is>
      </c>
      <c r="F20" t="n">
        <v>1</v>
      </c>
      <c r="G20" t="inlineStr">
        <is>
          <t>BS001</t>
        </is>
      </c>
      <c r="H20" t="inlineStr">
        <is>
          <t>27 Februari 2021</t>
        </is>
      </c>
      <c r="I20" s="2" t="n">
        <v>46261</v>
      </c>
      <c r="J20" t="inlineStr">
        <is>
          <t>Disetujui</t>
        </is>
      </c>
      <c r="K20" t="n">
        <v>90</v>
      </c>
      <c r="L20" t="inlineStr">
        <is>
          <t>27 Agustus 2026</t>
        </is>
      </c>
      <c r="M20" t="inlineStr">
        <is>
          <t>Konstruksi Bangunan Sipil Jalan</t>
        </is>
      </c>
      <c r="N20" t="inlineStr">
        <is>
          <t>K</t>
        </is>
      </c>
      <c r="O20" t="inlineStr">
        <is>
          <t>20230819</t>
        </is>
      </c>
      <c r="P20" t="inlineStr">
        <is>
          <t>Papua Barat</t>
        </is>
      </c>
      <c r="Q20" t="inlineStr"/>
    </row>
    <row r="21">
      <c r="A21" t="inlineStr">
        <is>
          <t>ANUGRAH JAYA ABADI</t>
        </is>
      </c>
      <c r="B21" t="inlineStr">
        <is>
          <t>Kab. Way Kanan</t>
        </is>
      </c>
      <c r="C21" t="inlineStr">
        <is>
          <t>085269026839</t>
        </is>
      </c>
      <c r="D21" t="inlineStr">
        <is>
          <t>cv.anugrahjayaabadi@gmail.com</t>
        </is>
      </c>
      <c r="E21" t="inlineStr">
        <is>
          <t>https://lpjk.pu.go.id/search-badan-usaha-detail/TXdFRjhucW5VdmVURGlHbGNZdWVVQT09</t>
        </is>
      </c>
      <c r="F21" t="n">
        <v>2</v>
      </c>
      <c r="G21" t="inlineStr">
        <is>
          <t>BS001</t>
        </is>
      </c>
      <c r="H21" t="inlineStr">
        <is>
          <t>22 Juni 2012</t>
        </is>
      </c>
      <c r="I21" s="2" t="n">
        <v>46261</v>
      </c>
      <c r="J21" t="inlineStr">
        <is>
          <t>Pencabutan</t>
        </is>
      </c>
      <c r="K21" t="n">
        <v>90</v>
      </c>
      <c r="L21" t="inlineStr">
        <is>
          <t>27 Agustus 2026</t>
        </is>
      </c>
      <c r="M21" t="inlineStr">
        <is>
          <t>Konstruksi Bangunan Sipil Jalan</t>
        </is>
      </c>
      <c r="N21" t="inlineStr">
        <is>
          <t>K</t>
        </is>
      </c>
      <c r="O21" t="inlineStr">
        <is>
          <t>20230824</t>
        </is>
      </c>
      <c r="P21" t="inlineStr">
        <is>
          <t>Lampung</t>
        </is>
      </c>
      <c r="Q21" t="inlineStr"/>
    </row>
    <row r="22">
      <c r="A22" t="inlineStr">
        <is>
          <t>ARYASATYA JAYA KONSTRUKSI</t>
        </is>
      </c>
      <c r="B22" t="inlineStr">
        <is>
          <t>Kab. Subang</t>
        </is>
      </c>
      <c r="C22" t="inlineStr">
        <is>
          <t>082131367701</t>
        </is>
      </c>
      <c r="D22" t="inlineStr">
        <is>
          <t>aryasatyajakon@gmail.com</t>
        </is>
      </c>
      <c r="E22" t="inlineStr">
        <is>
          <t>https://lpjk.pu.go.id/search-badan-usaha-detail/OGl0OXpUUndqV0ZaOHJueDlKekdkZz09</t>
        </is>
      </c>
      <c r="F22" t="n">
        <v>1</v>
      </c>
      <c r="G22" t="inlineStr">
        <is>
          <t>BS001</t>
        </is>
      </c>
      <c r="H22" t="inlineStr">
        <is>
          <t>29 September 2022</t>
        </is>
      </c>
      <c r="I22" s="2" t="n">
        <v>46261</v>
      </c>
      <c r="J22" t="inlineStr">
        <is>
          <t>Disetujui</t>
        </is>
      </c>
      <c r="K22" t="n">
        <v>90</v>
      </c>
      <c r="L22" t="inlineStr">
        <is>
          <t>27 Agustus 2026</t>
        </is>
      </c>
      <c r="M22" t="inlineStr">
        <is>
          <t>Konstruksi Bangunan Sipil Jalan</t>
        </is>
      </c>
      <c r="N22" t="inlineStr">
        <is>
          <t>K</t>
        </is>
      </c>
      <c r="O22" t="inlineStr">
        <is>
          <t>20230822</t>
        </is>
      </c>
      <c r="P22" t="inlineStr">
        <is>
          <t>Jawa Barat</t>
        </is>
      </c>
      <c r="Q22" t="inlineStr"/>
    </row>
    <row r="23">
      <c r="A23" t="inlineStr">
        <is>
          <t>AXEL ANUGERAH MANDIRI</t>
        </is>
      </c>
      <c r="B23" t="inlineStr">
        <is>
          <t>Kab. Deli Serdang</t>
        </is>
      </c>
      <c r="C23" t="inlineStr">
        <is>
          <t>081360222154</t>
        </is>
      </c>
      <c r="D23" t="inlineStr">
        <is>
          <t>axelanugerahmandiri@gmail.com</t>
        </is>
      </c>
      <c r="E23" t="inlineStr">
        <is>
          <t>https://lpjk.pu.go.id/search-badan-usaha-detail/aCtOVFJTWkxmNXRlL3dXcXRTTHRXdz09</t>
        </is>
      </c>
      <c r="F23" t="n">
        <v>1</v>
      </c>
      <c r="G23" t="inlineStr">
        <is>
          <t>BG001</t>
        </is>
      </c>
      <c r="H23" t="inlineStr">
        <is>
          <t>22 Juni 2023</t>
        </is>
      </c>
      <c r="I23" s="2" t="n">
        <v>46261</v>
      </c>
      <c r="J23" t="inlineStr">
        <is>
          <t>Disetujui</t>
        </is>
      </c>
      <c r="K23" t="n">
        <v>90</v>
      </c>
      <c r="L23" t="inlineStr">
        <is>
          <t>27 Agustus 2026</t>
        </is>
      </c>
      <c r="M23" t="inlineStr">
        <is>
          <t>Konstruksi Gedung Hunian</t>
        </is>
      </c>
      <c r="N23" t="inlineStr">
        <is>
          <t>K</t>
        </is>
      </c>
      <c r="O23" t="inlineStr">
        <is>
          <t>20230826</t>
        </is>
      </c>
      <c r="P23" t="inlineStr">
        <is>
          <t>Sumatera Utara</t>
        </is>
      </c>
      <c r="Q23" t="inlineStr"/>
    </row>
    <row r="24">
      <c r="A24" t="inlineStr">
        <is>
          <t>BAGOLO RAYA UTAMA</t>
        </is>
      </c>
      <c r="B24" t="inlineStr">
        <is>
          <t>Kab. Pangandaran</t>
        </is>
      </c>
      <c r="C24" t="inlineStr">
        <is>
          <t>08122434712</t>
        </is>
      </c>
      <c r="D24" t="inlineStr">
        <is>
          <t>cv.bagolorayautama77@gmail.com</t>
        </is>
      </c>
      <c r="E24" t="inlineStr">
        <is>
          <t>https://lpjk.pu.go.id/search-badan-usaha-detail/QmR2UjMweS9HSndLd0orbzVOL2FZQT09</t>
        </is>
      </c>
      <c r="F24" t="n">
        <v>1</v>
      </c>
      <c r="G24" t="inlineStr">
        <is>
          <t>BS001</t>
        </is>
      </c>
      <c r="H24" t="inlineStr">
        <is>
          <t>1 November 2010</t>
        </is>
      </c>
      <c r="I24" s="2" t="n">
        <v>46261</v>
      </c>
      <c r="J24" t="inlineStr">
        <is>
          <t>Disetujui</t>
        </is>
      </c>
      <c r="K24" t="n">
        <v>90</v>
      </c>
      <c r="L24" t="inlineStr">
        <is>
          <t>27 Agustus 2026</t>
        </is>
      </c>
      <c r="M24" t="inlineStr">
        <is>
          <t>Konstruksi Bangunan Sipil Jalan</t>
        </is>
      </c>
      <c r="N24" t="inlineStr">
        <is>
          <t>K</t>
        </is>
      </c>
      <c r="O24" t="inlineStr">
        <is>
          <t>20230821</t>
        </is>
      </c>
      <c r="P24" t="inlineStr">
        <is>
          <t>Jawa Barat</t>
        </is>
      </c>
      <c r="Q24" t="inlineStr"/>
    </row>
    <row r="25">
      <c r="A25" t="inlineStr">
        <is>
          <t>BAHAGIA AISOISEHAVE</t>
        </is>
      </c>
      <c r="B25" t="inlineStr">
        <is>
          <t>Kab. Toba Samosir</t>
        </is>
      </c>
      <c r="C25" t="inlineStr">
        <is>
          <t>081375626130</t>
        </is>
      </c>
      <c r="D25" t="inlineStr">
        <is>
          <t>cvbah@gmail.com</t>
        </is>
      </c>
      <c r="E25" t="inlineStr">
        <is>
          <t>https://lpjk.pu.go.id/search-badan-usaha-detail/Q09zeURVT0FBY3BENjRCbUtMb05PZz09</t>
        </is>
      </c>
      <c r="F25" t="n">
        <v>1</v>
      </c>
      <c r="G25" t="inlineStr">
        <is>
          <t>BG009</t>
        </is>
      </c>
      <c r="H25" t="inlineStr">
        <is>
          <t>8 September 2015</t>
        </is>
      </c>
      <c r="I25" s="2" t="n">
        <v>46261</v>
      </c>
      <c r="J25" t="inlineStr">
        <is>
          <t>Disetujui</t>
        </is>
      </c>
      <c r="K25" t="n">
        <v>90</v>
      </c>
      <c r="L25" t="inlineStr">
        <is>
          <t>27 Agustus 2026</t>
        </is>
      </c>
      <c r="M25" t="inlineStr">
        <is>
          <t>Konstruksi Gedung Lainnya</t>
        </is>
      </c>
      <c r="N25" t="inlineStr">
        <is>
          <t>K</t>
        </is>
      </c>
      <c r="O25" t="inlineStr">
        <is>
          <t>20230825</t>
        </is>
      </c>
      <c r="P25" t="inlineStr">
        <is>
          <t>Sumatera Utara</t>
        </is>
      </c>
      <c r="Q25" t="inlineStr"/>
    </row>
    <row r="26">
      <c r="A26" t="inlineStr">
        <is>
          <t>BANGUN CIPTA SARANA</t>
        </is>
      </c>
      <c r="B26" t="inlineStr">
        <is>
          <t>Kab. Pemalang</t>
        </is>
      </c>
      <c r="C26" t="inlineStr">
        <is>
          <t>085647091657</t>
        </is>
      </c>
      <c r="D26" t="inlineStr">
        <is>
          <t>bangunciptasarana_cv@yahoo.com</t>
        </is>
      </c>
      <c r="E26" t="inlineStr">
        <is>
          <t>https://lpjk.pu.go.id/search-badan-usaha-detail/QXk2TFlKdXlRRHp4TGRKZjhFeWJBdz09</t>
        </is>
      </c>
      <c r="F26" t="n">
        <v>6</v>
      </c>
      <c r="G26" t="inlineStr">
        <is>
          <t>AR001, AR002, RK001</t>
        </is>
      </c>
      <c r="H26" t="inlineStr">
        <is>
          <t>25 Oktober 2013</t>
        </is>
      </c>
      <c r="I26" s="2" t="n">
        <v>46261</v>
      </c>
      <c r="J26" t="inlineStr">
        <is>
          <t>Disetujui, Pencabutan</t>
        </is>
      </c>
      <c r="K26" t="n">
        <v>90</v>
      </c>
      <c r="L26" t="inlineStr">
        <is>
          <t>27 Agustus 2026</t>
        </is>
      </c>
      <c r="M26" t="inlineStr">
        <is>
          <t>Jasa Arsitektural Bangunan Gedung Hunian dan Non Hunian, Jasa Arsitektural Lainnya, Jasa Rekayasa Konstruksi Bangunan Gedung Hunian dan Non Hunian</t>
        </is>
      </c>
      <c r="N26" t="inlineStr">
        <is>
          <t>K</t>
        </is>
      </c>
      <c r="O26" t="inlineStr">
        <is>
          <t>20230824</t>
        </is>
      </c>
      <c r="P26" t="inlineStr">
        <is>
          <t>Jawa Tengah</t>
        </is>
      </c>
      <c r="Q26" t="inlineStr"/>
    </row>
    <row r="27">
      <c r="A27" t="inlineStr">
        <is>
          <t>BANGUN MULTI GRIYA ABADI</t>
        </is>
      </c>
      <c r="B27" t="inlineStr">
        <is>
          <t>Kota Adm. Jakarta Barat</t>
        </is>
      </c>
      <c r="C27" t="inlineStr">
        <is>
          <t>087875194241</t>
        </is>
      </c>
      <c r="D27" t="inlineStr">
        <is>
          <t>ptbmga@hotmail.com</t>
        </is>
      </c>
      <c r="E27" t="inlineStr">
        <is>
          <t>https://lpjk.pu.go.id/search-badan-usaha-detail/ZjlXQTRRcXBlSlFyQkZsblFWdWNTdz09</t>
        </is>
      </c>
      <c r="F27" t="n">
        <v>2</v>
      </c>
      <c r="G27" t="inlineStr">
        <is>
          <t>BG004</t>
        </is>
      </c>
      <c r="H27" t="inlineStr">
        <is>
          <t>15 Desember 2005</t>
        </is>
      </c>
      <c r="I27" s="2" t="n">
        <v>46261</v>
      </c>
      <c r="J27" t="inlineStr">
        <is>
          <t>Disetujui</t>
        </is>
      </c>
      <c r="K27" t="n">
        <v>90</v>
      </c>
      <c r="L27" t="inlineStr">
        <is>
          <t>27 Agustus 2026</t>
        </is>
      </c>
      <c r="M27" t="inlineStr">
        <is>
          <t>Konstruksi Gedung Perbelanjaan</t>
        </is>
      </c>
      <c r="N27" t="inlineStr">
        <is>
          <t>K</t>
        </is>
      </c>
      <c r="O27" t="inlineStr">
        <is>
          <t>20230816</t>
        </is>
      </c>
      <c r="P27" t="inlineStr">
        <is>
          <t>DKI Jakarta</t>
        </is>
      </c>
      <c r="Q27" t="inlineStr"/>
    </row>
    <row r="28">
      <c r="A28" t="inlineStr">
        <is>
          <t>BARAYA UTAMA</t>
        </is>
      </c>
      <c r="B28" t="inlineStr">
        <is>
          <t>Kab. Donggala</t>
        </is>
      </c>
      <c r="C28" t="inlineStr">
        <is>
          <t>085341780988</t>
        </is>
      </c>
      <c r="D28" t="inlineStr">
        <is>
          <t>cv.baraya08@gmail.com</t>
        </is>
      </c>
      <c r="E28" t="inlineStr">
        <is>
          <t>https://lpjk.pu.go.id/search-badan-usaha-detail/T3l2eTliR09aR3VpVXRjenp3OXo4UT09</t>
        </is>
      </c>
      <c r="F28" t="n">
        <v>4</v>
      </c>
      <c r="G28" t="inlineStr">
        <is>
          <t>BS010</t>
        </is>
      </c>
      <c r="H28" t="inlineStr">
        <is>
          <t>24 November 2016</t>
        </is>
      </c>
      <c r="I28" s="2" t="n">
        <v>46261</v>
      </c>
      <c r="J28" t="inlineStr">
        <is>
          <t>Disetujui</t>
        </is>
      </c>
      <c r="K28" t="n">
        <v>90</v>
      </c>
      <c r="L28" t="inlineStr">
        <is>
          <t>27 Agustus 2026</t>
        </is>
      </c>
      <c r="M28" t="inlineStr">
        <is>
          <t>Konstruksi Bangunan Prasarana Sumber Daya Air</t>
        </is>
      </c>
      <c r="N28" t="inlineStr">
        <is>
          <t>K</t>
        </is>
      </c>
      <c r="O28" t="inlineStr">
        <is>
          <t>20230827</t>
        </is>
      </c>
      <c r="P28" t="inlineStr">
        <is>
          <t>Sulawesi Tengah</t>
        </is>
      </c>
      <c r="Q28" t="inlineStr"/>
    </row>
    <row r="29">
      <c r="A29" t="inlineStr">
        <is>
          <t>BASKARA PUTERA</t>
        </is>
      </c>
      <c r="B29" t="inlineStr">
        <is>
          <t>Kota Madiun</t>
        </is>
      </c>
      <c r="C29" t="inlineStr">
        <is>
          <t>08123406001</t>
        </is>
      </c>
      <c r="D29" t="inlineStr">
        <is>
          <t>cv.baskara_putera@yahoo.co.id</t>
        </is>
      </c>
      <c r="E29" t="inlineStr">
        <is>
          <t>https://lpjk.pu.go.id/search-badan-usaha-detail/VkhjRDdUYUhHNDF5VDdvMTVhRVd3UT09</t>
        </is>
      </c>
      <c r="F29" t="n">
        <v>1</v>
      </c>
      <c r="G29" t="inlineStr">
        <is>
          <t>BG009</t>
        </is>
      </c>
      <c r="H29" t="inlineStr">
        <is>
          <t>25 September 1990</t>
        </is>
      </c>
      <c r="I29" s="2" t="n">
        <v>46261</v>
      </c>
      <c r="J29" t="inlineStr">
        <is>
          <t>Disetujui</t>
        </is>
      </c>
      <c r="K29" t="n">
        <v>90</v>
      </c>
      <c r="L29" t="inlineStr">
        <is>
          <t>27 Agustus 2026</t>
        </is>
      </c>
      <c r="M29" t="inlineStr">
        <is>
          <t>Konstruksi Gedung Lainnya</t>
        </is>
      </c>
      <c r="N29" t="inlineStr">
        <is>
          <t>K</t>
        </is>
      </c>
      <c r="O29" t="inlineStr">
        <is>
          <t>20230821</t>
        </is>
      </c>
      <c r="P29" t="inlineStr">
        <is>
          <t>Jawa Timur</t>
        </is>
      </c>
      <c r="Q29" t="inlineStr"/>
    </row>
    <row r="30">
      <c r="A30" t="inlineStr">
        <is>
          <t>BAYUNTORO</t>
        </is>
      </c>
      <c r="B30" t="inlineStr">
        <is>
          <t>Kab. Gunungkidul</t>
        </is>
      </c>
      <c r="C30" t="inlineStr">
        <is>
          <t>081393025958</t>
        </is>
      </c>
      <c r="D30" t="inlineStr">
        <is>
          <t>cvbayuntoro23@gmail.com</t>
        </is>
      </c>
      <c r="E30" t="inlineStr">
        <is>
          <t>https://lpjk.pu.go.id/search-badan-usaha-detail/VSs1eUxmZVgwTFp1MXdEaDcvQU1xdz09</t>
        </is>
      </c>
      <c r="F30" t="n">
        <v>2</v>
      </c>
      <c r="G30" t="inlineStr">
        <is>
          <t>BG008, BG009</t>
        </is>
      </c>
      <c r="H30" t="inlineStr">
        <is>
          <t>2 Oktober 2006</t>
        </is>
      </c>
      <c r="I30" s="2" t="n">
        <v>46261</v>
      </c>
      <c r="J30" t="inlineStr">
        <is>
          <t>Disetujui</t>
        </is>
      </c>
      <c r="K30" t="n">
        <v>90</v>
      </c>
      <c r="L30" t="inlineStr">
        <is>
          <t>27 Agustus 2026</t>
        </is>
      </c>
      <c r="M30" t="inlineStr">
        <is>
          <t>Konstruksi Gedung Lainnya, Konstruksi Gedung Tempat Hiburan dan Olahraga</t>
        </is>
      </c>
      <c r="N30" t="inlineStr">
        <is>
          <t>K</t>
        </is>
      </c>
      <c r="O30" t="inlineStr">
        <is>
          <t>20230824</t>
        </is>
      </c>
      <c r="P30" t="inlineStr">
        <is>
          <t>DI Yogyakarta</t>
        </is>
      </c>
      <c r="Q30" t="inlineStr"/>
    </row>
    <row r="31">
      <c r="A31" t="inlineStr">
        <is>
          <t>BELLA KARYA</t>
        </is>
      </c>
      <c r="B31" t="inlineStr">
        <is>
          <t>Kab. Cianjur</t>
        </is>
      </c>
      <c r="C31" t="inlineStr">
        <is>
          <t>081315357475</t>
        </is>
      </c>
      <c r="D31" t="inlineStr">
        <is>
          <t>bellakaryacianjur@gmail.com</t>
        </is>
      </c>
      <c r="E31" t="inlineStr">
        <is>
          <t>https://lpjk.pu.go.id/search-badan-usaha-detail/SDNIVjFjUzdtRENINTgyZ1ZIQmU0UT09</t>
        </is>
      </c>
      <c r="F31" t="n">
        <v>3</v>
      </c>
      <c r="G31" t="inlineStr">
        <is>
          <t>BG009, BS001</t>
        </is>
      </c>
      <c r="H31" t="inlineStr">
        <is>
          <t>9 Desember 2019</t>
        </is>
      </c>
      <c r="I31" s="2" t="n">
        <v>46261</v>
      </c>
      <c r="J31" t="inlineStr">
        <is>
          <t>Disetujui</t>
        </is>
      </c>
      <c r="K31" t="n">
        <v>90</v>
      </c>
      <c r="L31" t="inlineStr">
        <is>
          <t>27 Agustus 2026</t>
        </is>
      </c>
      <c r="M31" t="inlineStr">
        <is>
          <t>Konstruksi Bangunan Sipil Jalan, Konstruksi Gedung Lainnya</t>
        </is>
      </c>
      <c r="N31" t="inlineStr">
        <is>
          <t>K</t>
        </is>
      </c>
      <c r="O31" t="inlineStr">
        <is>
          <t>20230825</t>
        </is>
      </c>
      <c r="P31" t="inlineStr">
        <is>
          <t>Jawa Barat</t>
        </is>
      </c>
      <c r="Q31" t="inlineStr"/>
    </row>
    <row r="32">
      <c r="A32" t="inlineStr">
        <is>
          <t>BINA PUTRA KHARISMA</t>
        </is>
      </c>
      <c r="B32" t="inlineStr">
        <is>
          <t>Kota Adm. Jakarta Selatan</t>
        </is>
      </c>
      <c r="C32" t="inlineStr">
        <is>
          <t>02173888805</t>
        </is>
      </c>
      <c r="D32" t="inlineStr">
        <is>
          <t>ptbinaputrakharisma@gmail.com</t>
        </is>
      </c>
      <c r="E32" t="inlineStr">
        <is>
          <t>https://lpjk.pu.go.id/search-badan-usaha-detail/d0xzNG03Ly9uYTJGVmtoQzZBMUlxdz09</t>
        </is>
      </c>
      <c r="F32" t="n">
        <v>1</v>
      </c>
      <c r="G32" t="inlineStr">
        <is>
          <t>BS009</t>
        </is>
      </c>
      <c r="H32" t="inlineStr">
        <is>
          <t>30 Maret 2016</t>
        </is>
      </c>
      <c r="I32" s="2" t="n">
        <v>46261</v>
      </c>
      <c r="J32" t="inlineStr">
        <is>
          <t>Disetujui</t>
        </is>
      </c>
      <c r="K32" t="n">
        <v>90</v>
      </c>
      <c r="L32" t="inlineStr">
        <is>
          <t>27 Agustus 2026</t>
        </is>
      </c>
      <c r="M32" t="inlineStr">
        <is>
          <t>Konstruksi Sentral Telekomunikasi</t>
        </is>
      </c>
      <c r="N32" t="inlineStr">
        <is>
          <t>K</t>
        </is>
      </c>
      <c r="O32" t="inlineStr">
        <is>
          <t>20230309</t>
        </is>
      </c>
      <c r="P32" t="inlineStr">
        <is>
          <t>DKI Jakarta</t>
        </is>
      </c>
      <c r="Q32" t="inlineStr"/>
    </row>
    <row r="33">
      <c r="A33" t="inlineStr">
        <is>
          <t>BINTANG MANDIRI</t>
        </is>
      </c>
      <c r="B33" t="inlineStr">
        <is>
          <t>Kab. Mamuju</t>
        </is>
      </c>
      <c r="C33" t="inlineStr">
        <is>
          <t>081289957367</t>
        </is>
      </c>
      <c r="D33" t="inlineStr">
        <is>
          <t>cv_bintangmandiri@yahoo.com</t>
        </is>
      </c>
      <c r="E33" t="inlineStr">
        <is>
          <t>https://lpjk.pu.go.id/search-badan-usaha-detail/L0doNmVrcU1HeUt6UjlNdjZRN0twdz09</t>
        </is>
      </c>
      <c r="F33" t="n">
        <v>2</v>
      </c>
      <c r="G33" t="inlineStr">
        <is>
          <t>BG008</t>
        </is>
      </c>
      <c r="H33" t="inlineStr">
        <is>
          <t>2 Januari 2006</t>
        </is>
      </c>
      <c r="I33" s="2" t="n">
        <v>46261</v>
      </c>
      <c r="J33" t="inlineStr">
        <is>
          <t>Disetujui</t>
        </is>
      </c>
      <c r="K33" t="n">
        <v>90</v>
      </c>
      <c r="L33" t="inlineStr">
        <is>
          <t>27 Agustus 2026</t>
        </is>
      </c>
      <c r="M33" t="inlineStr">
        <is>
          <t>Konstruksi Gedung Tempat Hiburan dan Olahraga</t>
        </is>
      </c>
      <c r="N33" t="inlineStr">
        <is>
          <t>K</t>
        </is>
      </c>
      <c r="O33" t="inlineStr">
        <is>
          <t>20230827</t>
        </is>
      </c>
      <c r="P33" t="inlineStr">
        <is>
          <t>Sulawesi Barat</t>
        </is>
      </c>
      <c r="Q33" t="inlineStr"/>
    </row>
    <row r="34">
      <c r="A34" t="inlineStr">
        <is>
          <t>BINTANG TIMUR</t>
        </is>
      </c>
      <c r="B34" t="inlineStr">
        <is>
          <t>Kab. Nabire</t>
        </is>
      </c>
      <c r="C34" t="inlineStr">
        <is>
          <t>081240166222</t>
        </is>
      </c>
      <c r="D34" t="inlineStr">
        <is>
          <t>cv.bintangtimur.nabire@gmail.com</t>
        </is>
      </c>
      <c r="E34" t="inlineStr">
        <is>
          <t>https://lpjk.pu.go.id/search-badan-usaha-detail/NG8xN3NDVDZqd0wwRndvM1ppb3BsUT09</t>
        </is>
      </c>
      <c r="F34" t="n">
        <v>4</v>
      </c>
      <c r="G34" t="inlineStr">
        <is>
          <t>BG005, BG006</t>
        </is>
      </c>
      <c r="H34" t="inlineStr">
        <is>
          <t>21 September 2000</t>
        </is>
      </c>
      <c r="I34" s="2" t="n">
        <v>46261</v>
      </c>
      <c r="J34" t="inlineStr">
        <is>
          <t>Pencabutan</t>
        </is>
      </c>
      <c r="K34" t="n">
        <v>90</v>
      </c>
      <c r="L34" t="inlineStr">
        <is>
          <t>27 Agustus 2026</t>
        </is>
      </c>
      <c r="M34" t="inlineStr">
        <is>
          <t>Konstruksi Gedung Kesehatan, Konstruksi Gedung Pendidikan</t>
        </is>
      </c>
      <c r="N34" t="inlineStr">
        <is>
          <t>K</t>
        </is>
      </c>
      <c r="O34" t="inlineStr">
        <is>
          <t>20230816</t>
        </is>
      </c>
      <c r="P34" t="inlineStr">
        <is>
          <t>Papua</t>
        </is>
      </c>
      <c r="Q34" t="inlineStr"/>
    </row>
    <row r="35">
      <c r="A35" t="inlineStr">
        <is>
          <t>BIRU LANGIT KATULISTIWA</t>
        </is>
      </c>
      <c r="B35" t="inlineStr">
        <is>
          <t>Kota Bandar Lampung</t>
        </is>
      </c>
      <c r="C35" t="inlineStr">
        <is>
          <t>088287187948</t>
        </is>
      </c>
      <c r="D35" t="inlineStr">
        <is>
          <t>birulangitkatulistiwa@yahoo.com</t>
        </is>
      </c>
      <c r="E35" t="inlineStr">
        <is>
          <t>https://lpjk.pu.go.id/search-badan-usaha-detail/L0pvNUx1SjNBdmdhTGJiN3FhZW1aZz09</t>
        </is>
      </c>
      <c r="F35" t="n">
        <v>1</v>
      </c>
      <c r="G35" t="inlineStr">
        <is>
          <t>BG006</t>
        </is>
      </c>
      <c r="H35" t="inlineStr">
        <is>
          <t>21 Maret 2011</t>
        </is>
      </c>
      <c r="I35" s="2" t="n">
        <v>46261</v>
      </c>
      <c r="J35" t="inlineStr">
        <is>
          <t>Disetujui</t>
        </is>
      </c>
      <c r="K35" t="n">
        <v>90</v>
      </c>
      <c r="L35" t="inlineStr">
        <is>
          <t>27 Agustus 2026</t>
        </is>
      </c>
      <c r="M35" t="inlineStr">
        <is>
          <t>Konstruksi Gedung Pendidikan</t>
        </is>
      </c>
      <c r="N35" t="inlineStr">
        <is>
          <t>K</t>
        </is>
      </c>
      <c r="O35" t="inlineStr">
        <is>
          <t>20230810</t>
        </is>
      </c>
      <c r="P35" t="inlineStr">
        <is>
          <t>Lampung</t>
        </is>
      </c>
      <c r="Q35" t="inlineStr"/>
    </row>
    <row r="36">
      <c r="A36" t="inlineStr">
        <is>
          <t>BUMI KONSTRINDO</t>
        </is>
      </c>
      <c r="B36" t="inlineStr">
        <is>
          <t>Kota Makassar</t>
        </is>
      </c>
      <c r="C36" t="inlineStr">
        <is>
          <t>0411860944</t>
        </is>
      </c>
      <c r="D36" t="inlineStr">
        <is>
          <t>bumi.konstrindo12@gmail.com</t>
        </is>
      </c>
      <c r="E36" t="inlineStr">
        <is>
          <t>https://lpjk.pu.go.id/search-badan-usaha-detail/ZFZNUncxY0dkMm5ITlpTRHpzNEQ5dz09</t>
        </is>
      </c>
      <c r="F36" t="n">
        <v>2</v>
      </c>
      <c r="G36" t="inlineStr">
        <is>
          <t>BG005, BG006</t>
        </is>
      </c>
      <c r="H36" t="inlineStr">
        <is>
          <t>12 Desember 2012</t>
        </is>
      </c>
      <c r="I36" s="2" t="n">
        <v>46261</v>
      </c>
      <c r="J36" t="inlineStr">
        <is>
          <t>Disetujui</t>
        </is>
      </c>
      <c r="K36" t="n">
        <v>90</v>
      </c>
      <c r="L36" t="inlineStr">
        <is>
          <t>27 Agustus 2026</t>
        </is>
      </c>
      <c r="M36" t="inlineStr">
        <is>
          <t>Konstruksi Gedung Kesehatan, Konstruksi Gedung Pendidikan</t>
        </is>
      </c>
      <c r="N36" t="inlineStr">
        <is>
          <t>K</t>
        </is>
      </c>
      <c r="O36" t="inlineStr">
        <is>
          <t>20230622</t>
        </is>
      </c>
      <c r="P36" t="inlineStr">
        <is>
          <t>Sulawesi Selatan</t>
        </is>
      </c>
      <c r="Q36" t="inlineStr"/>
    </row>
    <row r="37">
      <c r="A37" t="inlineStr">
        <is>
          <t>BUMI MANDALA</t>
        </is>
      </c>
      <c r="B37" t="inlineStr">
        <is>
          <t>Kab. Bantul</t>
        </is>
      </c>
      <c r="C37" t="inlineStr">
        <is>
          <t>085743120225</t>
        </is>
      </c>
      <c r="D37" t="inlineStr">
        <is>
          <t>cv.bumimandala50@gmail.com</t>
        </is>
      </c>
      <c r="E37" t="inlineStr">
        <is>
          <t>https://lpjk.pu.go.id/search-badan-usaha-detail/L3BMY2tKRXFFdCtwTU9JUHhnN092QT09</t>
        </is>
      </c>
      <c r="F37" t="n">
        <v>5</v>
      </c>
      <c r="G37" t="inlineStr">
        <is>
          <t>BG002, BG004, BG006, BS001, BS004</t>
        </is>
      </c>
      <c r="H37" t="inlineStr">
        <is>
          <t>17 Juli 2017</t>
        </is>
      </c>
      <c r="I37" s="2" t="n">
        <v>46261</v>
      </c>
      <c r="J37" t="inlineStr">
        <is>
          <t>Disetujui</t>
        </is>
      </c>
      <c r="K37" t="n">
        <v>90</v>
      </c>
      <c r="L37" t="inlineStr">
        <is>
          <t>27 Agustus 2026</t>
        </is>
      </c>
      <c r="M37" t="inlineStr">
        <is>
          <t>Konstruksi Bangunan Sipil Jalan, Konstruksi Gedung Pendidikan, Konstruksi Gedung Perbelanjaan, Konstruksi Gedung Perkantoran, Konstruksi Jaringan Irigasi dan Drainase</t>
        </is>
      </c>
      <c r="N37" t="inlineStr">
        <is>
          <t>K</t>
        </is>
      </c>
      <c r="O37" t="inlineStr">
        <is>
          <t>20230628, 20230821, 20230823, 20230824</t>
        </is>
      </c>
      <c r="P37" t="inlineStr">
        <is>
          <t>DI Yogyakarta</t>
        </is>
      </c>
      <c r="Q37" t="inlineStr"/>
    </row>
    <row r="38">
      <c r="A38" t="inlineStr">
        <is>
          <t>CAESAR SAPTA PRATAMA</t>
        </is>
      </c>
      <c r="B38" t="inlineStr">
        <is>
          <t>Kota Makassar</t>
        </is>
      </c>
      <c r="C38" t="inlineStr">
        <is>
          <t>082343377573</t>
        </is>
      </c>
      <c r="D38" t="inlineStr">
        <is>
          <t>Csp.pratama@gmail.com</t>
        </is>
      </c>
      <c r="E38" t="inlineStr">
        <is>
          <t>https://lpjk.pu.go.id/search-badan-usaha-detail/d0tOR2tzdHhYOS9nUG0wMmhzaWNjUT09</t>
        </is>
      </c>
      <c r="F38" t="n">
        <v>1</v>
      </c>
      <c r="G38" t="inlineStr">
        <is>
          <t>BG001</t>
        </is>
      </c>
      <c r="H38" t="inlineStr">
        <is>
          <t>18 Oktober 2019</t>
        </is>
      </c>
      <c r="I38" s="2" t="n">
        <v>46261</v>
      </c>
      <c r="J38" t="inlineStr">
        <is>
          <t>Disetujui</t>
        </is>
      </c>
      <c r="K38" t="n">
        <v>90</v>
      </c>
      <c r="L38" t="inlineStr">
        <is>
          <t>27 Agustus 2026</t>
        </is>
      </c>
      <c r="M38" t="inlineStr">
        <is>
          <t>Konstruksi Gedung Hunian</t>
        </is>
      </c>
      <c r="N38" t="inlineStr">
        <is>
          <t>K</t>
        </is>
      </c>
      <c r="O38" t="inlineStr">
        <is>
          <t>20230825</t>
        </is>
      </c>
      <c r="P38" t="inlineStr">
        <is>
          <t>Sulawesi Selatan</t>
        </is>
      </c>
      <c r="Q38" t="inlineStr"/>
    </row>
    <row r="39">
      <c r="A39" t="inlineStr">
        <is>
          <t>CAHAYA AGUNG DIRGAYASA</t>
        </is>
      </c>
      <c r="B39" t="inlineStr">
        <is>
          <t>Kab. Tangerang</t>
        </is>
      </c>
      <c r="C39" t="inlineStr">
        <is>
          <t>021593713337</t>
        </is>
      </c>
      <c r="D39" t="inlineStr">
        <is>
          <t>cad@cahayaagung.co.id</t>
        </is>
      </c>
      <c r="E39" t="inlineStr">
        <is>
          <t>https://lpjk.pu.go.id/search-badan-usaha-detail/THg4ZGw2TlI3aWo5dEdyRjBYTkNuQT09</t>
        </is>
      </c>
      <c r="F39" t="n">
        <v>1</v>
      </c>
      <c r="G39" t="inlineStr">
        <is>
          <t>BS001</t>
        </is>
      </c>
      <c r="H39" t="inlineStr">
        <is>
          <t>21 November 2009</t>
        </is>
      </c>
      <c r="I39" s="2" t="n">
        <v>46261</v>
      </c>
      <c r="J39" t="inlineStr">
        <is>
          <t>Disetujui</t>
        </is>
      </c>
      <c r="K39" t="n">
        <v>90</v>
      </c>
      <c r="L39" t="inlineStr">
        <is>
          <t>27 Agustus 2026</t>
        </is>
      </c>
      <c r="M39" t="inlineStr">
        <is>
          <t>Konstruksi Bangunan Sipil Jalan</t>
        </is>
      </c>
      <c r="N39" t="inlineStr">
        <is>
          <t>K</t>
        </is>
      </c>
      <c r="O39" t="inlineStr">
        <is>
          <t>20230821</t>
        </is>
      </c>
      <c r="P39" t="inlineStr">
        <is>
          <t>Banten</t>
        </is>
      </c>
      <c r="Q39" t="inlineStr"/>
    </row>
    <row r="40">
      <c r="A40" t="inlineStr">
        <is>
          <t>CAHAYA MITRA LESTARI</t>
        </is>
      </c>
      <c r="B40" t="inlineStr">
        <is>
          <t>Kab. Berau</t>
        </is>
      </c>
      <c r="C40" t="inlineStr">
        <is>
          <t>081341617767</t>
        </is>
      </c>
      <c r="D40" t="inlineStr">
        <is>
          <t>cahayamitralestari2019@gmail.com</t>
        </is>
      </c>
      <c r="E40" t="inlineStr">
        <is>
          <t>https://lpjk.pu.go.id/search-badan-usaha-detail/VUl4MlZkMGozUVdVdHdabmd5c2JvUT09</t>
        </is>
      </c>
      <c r="F40" t="n">
        <v>3</v>
      </c>
      <c r="G40" t="inlineStr">
        <is>
          <t>BG005, BG009, BS001</t>
        </is>
      </c>
      <c r="H40" t="inlineStr">
        <is>
          <t>15 Agustus 2019</t>
        </is>
      </c>
      <c r="I40" s="2" t="n">
        <v>46261</v>
      </c>
      <c r="J40" t="inlineStr">
        <is>
          <t>Disetujui</t>
        </is>
      </c>
      <c r="K40" t="n">
        <v>90</v>
      </c>
      <c r="L40" t="inlineStr">
        <is>
          <t>27 Agustus 2026</t>
        </is>
      </c>
      <c r="M40" t="inlineStr">
        <is>
          <t>Konstruksi Bangunan Sipil Jalan, Konstruksi Gedung Kesehatan, Konstruksi Gedung Lainnya</t>
        </is>
      </c>
      <c r="N40" t="inlineStr">
        <is>
          <t>K</t>
        </is>
      </c>
      <c r="O40" t="inlineStr">
        <is>
          <t>20230309, 20230313, 20230821</t>
        </is>
      </c>
      <c r="P40" t="inlineStr">
        <is>
          <t>Kalimantan Timur</t>
        </is>
      </c>
      <c r="Q40" t="inlineStr"/>
    </row>
    <row r="41">
      <c r="A41" t="inlineStr">
        <is>
          <t>CIPTA GRAHA SELARAS</t>
        </is>
      </c>
      <c r="B41" t="inlineStr">
        <is>
          <t>Kota Surabaya</t>
        </is>
      </c>
      <c r="C41" t="inlineStr">
        <is>
          <t>081330052359</t>
        </is>
      </c>
      <c r="D41" t="inlineStr">
        <is>
          <t>cv.ciptagraha.selaras21@gmail.com</t>
        </is>
      </c>
      <c r="E41" t="inlineStr">
        <is>
          <t>https://lpjk.pu.go.id/search-badan-usaha-detail/UkxQTGcrMGpQdkxwTmhqTE4xQlFWdz09</t>
        </is>
      </c>
      <c r="F41" t="n">
        <v>2</v>
      </c>
      <c r="G41" t="inlineStr">
        <is>
          <t>BG005, BG006</t>
        </is>
      </c>
      <c r="H41" t="inlineStr">
        <is>
          <t>21 Desember 2006</t>
        </is>
      </c>
      <c r="I41" s="2" t="n">
        <v>46261</v>
      </c>
      <c r="J41" t="inlineStr">
        <is>
          <t>Disetujui</t>
        </is>
      </c>
      <c r="K41" t="n">
        <v>90</v>
      </c>
      <c r="L41" t="inlineStr">
        <is>
          <t>27 Agustus 2026</t>
        </is>
      </c>
      <c r="M41" t="inlineStr">
        <is>
          <t>Konstruksi Gedung Kesehatan, Konstruksi Gedung Pendidikan</t>
        </is>
      </c>
      <c r="N41" t="inlineStr">
        <is>
          <t>K</t>
        </is>
      </c>
      <c r="O41" t="inlineStr">
        <is>
          <t>20230816, 20230818</t>
        </is>
      </c>
      <c r="P41" t="inlineStr">
        <is>
          <t>Jawa Timur</t>
        </is>
      </c>
      <c r="Q41" t="inlineStr"/>
    </row>
    <row r="42">
      <c r="A42" t="inlineStr">
        <is>
          <t>CIPTAAGORA LESTARI</t>
        </is>
      </c>
      <c r="B42" t="inlineStr">
        <is>
          <t>Kota Makassar</t>
        </is>
      </c>
      <c r="C42" t="inlineStr">
        <is>
          <t>0411878550</t>
        </is>
      </c>
      <c r="D42" t="inlineStr">
        <is>
          <t>ciptaagoralestari@ymail.com</t>
        </is>
      </c>
      <c r="E42" t="inlineStr">
        <is>
          <t>https://lpjk.pu.go.id/search-badan-usaha-detail/cWN2S3FpTXJLQkl2YnRuQ2JDTzNJdz09</t>
        </is>
      </c>
      <c r="F42" t="n">
        <v>3</v>
      </c>
      <c r="G42" t="inlineStr">
        <is>
          <t>BG005, BG006, BG009</t>
        </is>
      </c>
      <c r="H42" t="inlineStr">
        <is>
          <t>11 Februari 1993</t>
        </is>
      </c>
      <c r="I42" s="2" t="n">
        <v>46261</v>
      </c>
      <c r="J42" t="inlineStr">
        <is>
          <t>Disetujui</t>
        </is>
      </c>
      <c r="K42" t="n">
        <v>90</v>
      </c>
      <c r="L42" t="inlineStr">
        <is>
          <t>27 Agustus 2026</t>
        </is>
      </c>
      <c r="M42" t="inlineStr">
        <is>
          <t>Konstruksi Gedung Kesehatan, Konstruksi Gedung Lainnya, Konstruksi Gedung Pendidikan</t>
        </is>
      </c>
      <c r="N42" t="inlineStr">
        <is>
          <t>K</t>
        </is>
      </c>
      <c r="O42" t="inlineStr">
        <is>
          <t>20230508</t>
        </is>
      </c>
      <c r="P42" t="inlineStr">
        <is>
          <t>Sulawesi Selatan</t>
        </is>
      </c>
      <c r="Q42" t="inlineStr"/>
    </row>
    <row r="43">
      <c r="A43" t="inlineStr">
        <is>
          <t>CITRA JAYA KONINDO</t>
        </is>
      </c>
      <c r="B43" t="inlineStr">
        <is>
          <t>Kota Batam</t>
        </is>
      </c>
      <c r="C43" t="inlineStr">
        <is>
          <t>07784802840</t>
        </is>
      </c>
      <c r="D43" t="inlineStr">
        <is>
          <t>citrajayakonindo@gmail.com</t>
        </is>
      </c>
      <c r="E43" t="inlineStr">
        <is>
          <t>https://lpjk.pu.go.id/search-badan-usaha-detail/WE01aiswYUJDWEdQYlA3a3dTelFlZz09</t>
        </is>
      </c>
      <c r="F43" t="n">
        <v>4</v>
      </c>
      <c r="G43" t="inlineStr">
        <is>
          <t>BG001, BG002, BG003, BG004</t>
        </is>
      </c>
      <c r="H43" t="inlineStr">
        <is>
          <t>30 Maret 2009</t>
        </is>
      </c>
      <c r="I43" s="2" t="n">
        <v>46261</v>
      </c>
      <c r="J43" t="inlineStr">
        <is>
          <t>Disetujui</t>
        </is>
      </c>
      <c r="K43" t="n">
        <v>90</v>
      </c>
      <c r="L43" t="inlineStr">
        <is>
          <t>27 Agustus 2026</t>
        </is>
      </c>
      <c r="M43" t="inlineStr">
        <is>
          <t>Konstruksi Gedung Hunian, Konstruksi Gedung Industri, Konstruksi Gedung Perbelanjaan, Konstruksi Gedung Perkantoran</t>
        </is>
      </c>
      <c r="N43" t="inlineStr">
        <is>
          <t>M</t>
        </is>
      </c>
      <c r="O43" t="inlineStr">
        <is>
          <t>20230718, 20230801</t>
        </is>
      </c>
      <c r="P43" t="inlineStr">
        <is>
          <t>Kepulauan Riau</t>
        </is>
      </c>
      <c r="Q43" t="inlineStr"/>
    </row>
    <row r="44">
      <c r="A44" t="inlineStr">
        <is>
          <t>CITRAMAS KENCANA</t>
        </is>
      </c>
      <c r="B44" t="inlineStr">
        <is>
          <t>Kota Semarang</t>
        </is>
      </c>
      <c r="C44" t="inlineStr">
        <is>
          <t>02486457152</t>
        </is>
      </c>
      <c r="D44" t="inlineStr">
        <is>
          <t>ciken77smg@gmail.com</t>
        </is>
      </c>
      <c r="E44" t="inlineStr">
        <is>
          <t>https://lpjk.pu.go.id/search-badan-usaha-detail/Q2lwOFhGVDczemtQTmlPMlVqNnNmQT09</t>
        </is>
      </c>
      <c r="F44" t="n">
        <v>4</v>
      </c>
      <c r="G44" t="inlineStr">
        <is>
          <t>BS001, BS016</t>
        </is>
      </c>
      <c r="H44" t="inlineStr">
        <is>
          <t>31 Desember 2007</t>
        </is>
      </c>
      <c r="I44" s="2" t="n">
        <v>46261</v>
      </c>
      <c r="J44" t="inlineStr">
        <is>
          <t>Disetujui</t>
        </is>
      </c>
      <c r="K44" t="n">
        <v>90</v>
      </c>
      <c r="L44" t="inlineStr">
        <is>
          <t>27 Agustus 2026</t>
        </is>
      </c>
      <c r="M44" t="inlineStr">
        <is>
          <t>Konstruksi Bangunan Sipil Fasilitas Olah Raga, Konstruksi Bangunan Sipil Jalan</t>
        </is>
      </c>
      <c r="N44" t="inlineStr">
        <is>
          <t>K</t>
        </is>
      </c>
      <c r="O44" t="inlineStr">
        <is>
          <t>20230825</t>
        </is>
      </c>
      <c r="P44" t="inlineStr">
        <is>
          <t>Jawa Tengah</t>
        </is>
      </c>
      <c r="Q44" t="inlineStr"/>
    </row>
    <row r="45">
      <c r="A45" t="inlineStr">
        <is>
          <t>CONSTRUCTION INDONESIA</t>
        </is>
      </c>
      <c r="B45" t="inlineStr">
        <is>
          <t>Kab. Musi Banyuasin</t>
        </is>
      </c>
      <c r="C45" t="inlineStr">
        <is>
          <t>082183583993</t>
        </is>
      </c>
      <c r="D45" t="inlineStr">
        <is>
          <t>cvcontructionindonesiacontruct@gmail.com</t>
        </is>
      </c>
      <c r="E45" t="inlineStr">
        <is>
          <t>https://lpjk.pu.go.id/search-badan-usaha-detail/SkpKVUxod1h0MWttK3NiQ0RuOTM5UT09</t>
        </is>
      </c>
      <c r="F45" t="n">
        <v>2</v>
      </c>
      <c r="G45" t="inlineStr">
        <is>
          <t>BG006, BS001</t>
        </is>
      </c>
      <c r="H45" t="inlineStr">
        <is>
          <t>11 Januari 2015</t>
        </is>
      </c>
      <c r="I45" s="2" t="n">
        <v>46261</v>
      </c>
      <c r="J45" t="inlineStr">
        <is>
          <t>Disetujui</t>
        </is>
      </c>
      <c r="K45" t="n">
        <v>90</v>
      </c>
      <c r="L45" t="inlineStr">
        <is>
          <t>27 Agustus 2026</t>
        </is>
      </c>
      <c r="M45" t="inlineStr">
        <is>
          <t>Konstruksi Bangunan Sipil Jalan, Konstruksi Gedung Pendidikan</t>
        </is>
      </c>
      <c r="N45" t="inlineStr">
        <is>
          <t>K</t>
        </is>
      </c>
      <c r="O45" t="inlineStr">
        <is>
          <t>20230828</t>
        </is>
      </c>
      <c r="P45" t="inlineStr">
        <is>
          <t>Sumatera Selatan</t>
        </is>
      </c>
      <c r="Q45" t="inlineStr"/>
    </row>
    <row r="46">
      <c r="A46" t="inlineStr">
        <is>
          <t>CV. BARACK PRATAMA</t>
        </is>
      </c>
      <c r="B46" t="inlineStr">
        <is>
          <t>Kab. Mamasa</t>
        </is>
      </c>
      <c r="C46" t="inlineStr">
        <is>
          <t>082339466239</t>
        </is>
      </c>
      <c r="D46" t="inlineStr">
        <is>
          <t>barackpratama@gmail.com</t>
        </is>
      </c>
      <c r="E46" t="inlineStr">
        <is>
          <t>https://lpjk.pu.go.id/search-badan-usaha-detail/TUFEc0k3T0ttRHZXMDlmSXFUZVBYUT09</t>
        </is>
      </c>
      <c r="F46" t="n">
        <v>3</v>
      </c>
      <c r="G46" t="inlineStr">
        <is>
          <t>BG007</t>
        </is>
      </c>
      <c r="H46" t="inlineStr">
        <is>
          <t>24 Februari 2014</t>
        </is>
      </c>
      <c r="I46" s="2" t="n">
        <v>46261</v>
      </c>
      <c r="J46" t="inlineStr">
        <is>
          <t>Pencabutan</t>
        </is>
      </c>
      <c r="K46" t="n">
        <v>90</v>
      </c>
      <c r="L46" t="inlineStr">
        <is>
          <t>27 Agustus 2026</t>
        </is>
      </c>
      <c r="M46" t="inlineStr">
        <is>
          <t>Konstruksi Gedung Penginapan</t>
        </is>
      </c>
      <c r="N46" t="inlineStr">
        <is>
          <t>K</t>
        </is>
      </c>
      <c r="O46" t="inlineStr">
        <is>
          <t>20230826</t>
        </is>
      </c>
      <c r="P46" t="inlineStr">
        <is>
          <t>Sulawesi Barat</t>
        </is>
      </c>
      <c r="Q46" t="inlineStr"/>
    </row>
    <row r="47">
      <c r="A47" t="inlineStr">
        <is>
          <t>CV. FLORES INDAH</t>
        </is>
      </c>
      <c r="B47" t="inlineStr">
        <is>
          <t>Kab. Ngada</t>
        </is>
      </c>
      <c r="C47" t="inlineStr">
        <is>
          <t>85217681729</t>
        </is>
      </c>
      <c r="D47" t="inlineStr">
        <is>
          <t>floresindah2023@gmail.com</t>
        </is>
      </c>
      <c r="E47" t="inlineStr">
        <is>
          <t>https://lpjk.pu.go.id/search-badan-usaha-detail/WG8wQkdWZU1MOWxUekxFZjBrdDdGUT09</t>
        </is>
      </c>
      <c r="F47" t="n">
        <v>2</v>
      </c>
      <c r="G47" t="inlineStr">
        <is>
          <t>BG002, BG009</t>
        </is>
      </c>
      <c r="H47" t="inlineStr">
        <is>
          <t>5 Januari 1999</t>
        </is>
      </c>
      <c r="I47" s="2" t="n">
        <v>46261</v>
      </c>
      <c r="J47" t="inlineStr">
        <is>
          <t>Disetujui</t>
        </is>
      </c>
      <c r="K47" t="n">
        <v>90</v>
      </c>
      <c r="L47" t="inlineStr">
        <is>
          <t>27 Agustus 2026</t>
        </is>
      </c>
      <c r="M47" t="inlineStr">
        <is>
          <t>Konstruksi Gedung Lainnya, Konstruksi Gedung Perkantoran</t>
        </is>
      </c>
      <c r="N47" t="inlineStr">
        <is>
          <t>K</t>
        </is>
      </c>
      <c r="O47" t="inlineStr">
        <is>
          <t>20230821, 20230823</t>
        </is>
      </c>
      <c r="P47" t="inlineStr">
        <is>
          <t>Nusa Tenggara Timur</t>
        </is>
      </c>
      <c r="Q47" t="inlineStr"/>
    </row>
    <row r="48">
      <c r="A48" t="inlineStr">
        <is>
          <t>DANAR MULYA JAYA</t>
        </is>
      </c>
      <c r="B48" t="inlineStr">
        <is>
          <t>Kab. Kendal</t>
        </is>
      </c>
      <c r="C48" t="inlineStr">
        <is>
          <t>085727171237</t>
        </is>
      </c>
      <c r="D48" t="inlineStr">
        <is>
          <t>danarmulyajaya@gmail.com</t>
        </is>
      </c>
      <c r="E48" t="inlineStr">
        <is>
          <t>https://lpjk.pu.go.id/search-badan-usaha-detail/SEU5VG5TRVVQU3ltc041bXhEalZLQT09</t>
        </is>
      </c>
      <c r="F48" t="n">
        <v>2</v>
      </c>
      <c r="G48" t="inlineStr">
        <is>
          <t>PL004</t>
        </is>
      </c>
      <c r="H48" t="inlineStr">
        <is>
          <t>18 April 2006</t>
        </is>
      </c>
      <c r="I48" s="2" t="n">
        <v>46261</v>
      </c>
      <c r="J48" t="inlineStr">
        <is>
          <t>Disetujui</t>
        </is>
      </c>
      <c r="K48" t="n">
        <v>90</v>
      </c>
      <c r="L48" t="inlineStr">
        <is>
          <t>27 Agustus 2026</t>
        </is>
      </c>
      <c r="M48" t="inlineStr">
        <is>
          <t>Pekerjaan Tanah</t>
        </is>
      </c>
      <c r="N48" t="inlineStr">
        <is>
          <t>Spesialis</t>
        </is>
      </c>
      <c r="O48" t="inlineStr">
        <is>
          <t>20230811</t>
        </is>
      </c>
      <c r="P48" t="inlineStr">
        <is>
          <t>Jawa Tengah</t>
        </is>
      </c>
      <c r="Q48" t="inlineStr"/>
    </row>
    <row r="49">
      <c r="A49" t="inlineStr">
        <is>
          <t>DAYA PATRA NGASEM RAYA</t>
        </is>
      </c>
      <c r="B49" t="inlineStr">
        <is>
          <t>Kab. Bojonegoro</t>
        </is>
      </c>
      <c r="C49" t="inlineStr">
        <is>
          <t>081230362899</t>
        </is>
      </c>
      <c r="D49" t="inlineStr">
        <is>
          <t>headoffice@dayapatra.com</t>
        </is>
      </c>
      <c r="E49" t="inlineStr">
        <is>
          <t>https://lpjk.pu.go.id/search-badan-usaha-detail/TTkwTWkxUldUcUxxNlRHZFI2VDVQUT09</t>
        </is>
      </c>
      <c r="F49" t="n">
        <v>1</v>
      </c>
      <c r="G49" t="inlineStr">
        <is>
          <t>IN001</t>
        </is>
      </c>
      <c r="H49" t="inlineStr">
        <is>
          <t>12 April 2012</t>
        </is>
      </c>
      <c r="I49" s="2" t="n">
        <v>46261</v>
      </c>
      <c r="J49" t="inlineStr">
        <is>
          <t>Pencabutan</t>
        </is>
      </c>
      <c r="K49" t="n">
        <v>90</v>
      </c>
      <c r="L49" t="inlineStr">
        <is>
          <t>27 Agustus 2026</t>
        </is>
      </c>
      <c r="M49" t="inlineStr">
        <is>
          <t>Instalasi Mekanikal</t>
        </is>
      </c>
      <c r="N49" t="inlineStr">
        <is>
          <t>Spesialis</t>
        </is>
      </c>
      <c r="O49" t="inlineStr">
        <is>
          <t>20230828</t>
        </is>
      </c>
      <c r="P49" t="inlineStr">
        <is>
          <t>Jawa Timur</t>
        </is>
      </c>
      <c r="Q49" t="inlineStr"/>
    </row>
    <row r="50">
      <c r="A50" t="inlineStr">
        <is>
          <t>DHARMA BAKTI PERTIWI</t>
        </is>
      </c>
      <c r="B50" t="inlineStr">
        <is>
          <t>Kab. Kutai Timur</t>
        </is>
      </c>
      <c r="C50" t="inlineStr">
        <is>
          <t>085350487508</t>
        </is>
      </c>
      <c r="D50" t="inlineStr">
        <is>
          <t>dharmabaktipertiwi.cv@gmail.com</t>
        </is>
      </c>
      <c r="E50" t="inlineStr">
        <is>
          <t>https://lpjk.pu.go.id/search-badan-usaha-detail/aUtVL01KcVEzYUQzcGxFLzVVWW1Udz09</t>
        </is>
      </c>
      <c r="F50" t="n">
        <v>1</v>
      </c>
      <c r="G50" t="inlineStr">
        <is>
          <t>BS001</t>
        </is>
      </c>
      <c r="H50" t="inlineStr">
        <is>
          <t>6 November 2019</t>
        </is>
      </c>
      <c r="I50" s="2" t="n">
        <v>46261</v>
      </c>
      <c r="J50" t="inlineStr">
        <is>
          <t>Disetujui</t>
        </is>
      </c>
      <c r="K50" t="n">
        <v>90</v>
      </c>
      <c r="L50" t="inlineStr">
        <is>
          <t>27 Agustus 2026</t>
        </is>
      </c>
      <c r="M50" t="inlineStr">
        <is>
          <t>Konstruksi Bangunan Sipil Jalan</t>
        </is>
      </c>
      <c r="N50" t="inlineStr">
        <is>
          <t>K</t>
        </is>
      </c>
      <c r="O50" t="inlineStr">
        <is>
          <t>20230826</t>
        </is>
      </c>
      <c r="P50" t="inlineStr">
        <is>
          <t>Kalimantan Timur</t>
        </is>
      </c>
      <c r="Q50" t="inlineStr"/>
    </row>
    <row r="51">
      <c r="A51" t="inlineStr">
        <is>
          <t>DIFARMIA</t>
        </is>
      </c>
      <c r="B51" t="inlineStr">
        <is>
          <t>Kab. Solok</t>
        </is>
      </c>
      <c r="C51" t="inlineStr">
        <is>
          <t>085374743796</t>
        </is>
      </c>
      <c r="D51" t="inlineStr">
        <is>
          <t>dila30570@gmail.com</t>
        </is>
      </c>
      <c r="E51" t="inlineStr">
        <is>
          <t>https://lpjk.pu.go.id/search-badan-usaha-detail/WUE1cjl4SDRGZU42R3JXK0RlZll4QT09</t>
        </is>
      </c>
      <c r="F51" t="n">
        <v>1</v>
      </c>
      <c r="G51" t="inlineStr">
        <is>
          <t>BS004</t>
        </is>
      </c>
      <c r="H51" t="inlineStr">
        <is>
          <t>14 Juli 1999</t>
        </is>
      </c>
      <c r="I51" s="2" t="n">
        <v>46261</v>
      </c>
      <c r="J51" t="inlineStr">
        <is>
          <t>Disetujui</t>
        </is>
      </c>
      <c r="K51" t="n">
        <v>90</v>
      </c>
      <c r="L51" t="inlineStr">
        <is>
          <t>27 Agustus 2026</t>
        </is>
      </c>
      <c r="M51" t="inlineStr">
        <is>
          <t>Konstruksi Jaringan Irigasi dan Drainase</t>
        </is>
      </c>
      <c r="N51" t="inlineStr">
        <is>
          <t>K</t>
        </is>
      </c>
      <c r="O51" t="inlineStr">
        <is>
          <t>20230824</t>
        </is>
      </c>
      <c r="P51" t="inlineStr">
        <is>
          <t>Sumatera Barat</t>
        </is>
      </c>
      <c r="Q51" t="inlineStr"/>
    </row>
    <row r="52">
      <c r="A52" t="inlineStr">
        <is>
          <t>DINAR CONSULTANT</t>
        </is>
      </c>
      <c r="B52" t="inlineStr">
        <is>
          <t>Kota Bandar Lampung</t>
        </is>
      </c>
      <c r="C52" t="inlineStr">
        <is>
          <t>0</t>
        </is>
      </c>
      <c r="D52" t="inlineStr">
        <is>
          <t>dinarconsultant.cv@yahoo.com</t>
        </is>
      </c>
      <c r="E52" t="inlineStr">
        <is>
          <t>https://lpjk.pu.go.id/search-badan-usaha-detail/MUFVM05FWmlNdlN5REVMczIreVdrdz09</t>
        </is>
      </c>
      <c r="F52" t="n">
        <v>3</v>
      </c>
      <c r="G52" t="inlineStr">
        <is>
          <t>RK003</t>
        </is>
      </c>
      <c r="H52" t="inlineStr">
        <is>
          <t>27 September 2005</t>
        </is>
      </c>
      <c r="I52" s="2" t="n">
        <v>46261</v>
      </c>
      <c r="J52" t="inlineStr">
        <is>
          <t>Pencabutan</t>
        </is>
      </c>
      <c r="K52" t="n">
        <v>90</v>
      </c>
      <c r="L52" t="inlineStr">
        <is>
          <t>27 Agustus 2026</t>
        </is>
      </c>
      <c r="M52" t="inlineStr">
        <is>
          <t>Jasa Rekayasa Pekerjaan Teknik Sipil Transportasi</t>
        </is>
      </c>
      <c r="N52" t="inlineStr">
        <is>
          <t>K</t>
        </is>
      </c>
      <c r="O52" t="inlineStr">
        <is>
          <t>20230811</t>
        </is>
      </c>
      <c r="P52" t="inlineStr">
        <is>
          <t>Lampung</t>
        </is>
      </c>
      <c r="Q52" t="inlineStr"/>
    </row>
    <row r="53">
      <c r="A53" t="inlineStr">
        <is>
          <t>DINDA KARYA UTAMA</t>
        </is>
      </c>
      <c r="B53" t="inlineStr">
        <is>
          <t>Kota Ternate</t>
        </is>
      </c>
      <c r="C53" t="inlineStr">
        <is>
          <t>081392200177</t>
        </is>
      </c>
      <c r="D53" t="inlineStr">
        <is>
          <t>dindakaryautamapt@gmail.com</t>
        </is>
      </c>
      <c r="E53" t="inlineStr">
        <is>
          <t>https://lpjk.pu.go.id/search-badan-usaha-detail/VzdiZGJzcmhSc0RiRGs3b1pmNG1hQT09</t>
        </is>
      </c>
      <c r="F53" t="n">
        <v>5</v>
      </c>
      <c r="G53" t="inlineStr">
        <is>
          <t>BG001, BG002, BG005, BG006, BG009</t>
        </is>
      </c>
      <c r="H53" t="inlineStr">
        <is>
          <t>11 Mei 2023</t>
        </is>
      </c>
      <c r="I53" s="2" t="n">
        <v>46261</v>
      </c>
      <c r="J53" t="inlineStr">
        <is>
          <t>Disetujui</t>
        </is>
      </c>
      <c r="K53" t="n">
        <v>90</v>
      </c>
      <c r="L53" t="inlineStr">
        <is>
          <t>27 Agustus 2026</t>
        </is>
      </c>
      <c r="M53" t="inlineStr">
        <is>
          <t>Konstruksi Gedung Hunian, Konstruksi Gedung Kesehatan, Konstruksi Gedung Lainnya, Konstruksi Gedung Pendidikan, Konstruksi Gedung Perkantoran</t>
        </is>
      </c>
      <c r="N53" t="inlineStr">
        <is>
          <t>K</t>
        </is>
      </c>
      <c r="O53" t="inlineStr">
        <is>
          <t>20230825</t>
        </is>
      </c>
      <c r="P53" t="inlineStr">
        <is>
          <t>Maluku Utara</t>
        </is>
      </c>
      <c r="Q53" t="inlineStr"/>
    </row>
    <row r="54">
      <c r="A54" t="inlineStr">
        <is>
          <t>DINI JAYA</t>
        </is>
      </c>
      <c r="B54" t="inlineStr">
        <is>
          <t>Kab. Ciamis</t>
        </is>
      </c>
      <c r="C54" t="inlineStr">
        <is>
          <t>081323544701</t>
        </is>
      </c>
      <c r="D54" t="inlineStr">
        <is>
          <t>dinijaya94@yahoo.co.id</t>
        </is>
      </c>
      <c r="E54" t="inlineStr">
        <is>
          <t>https://lpjk.pu.go.id/search-badan-usaha-detail/TUk5MWJGT1RpZmhJNGhmellGODZiQT09</t>
        </is>
      </c>
      <c r="F54" t="n">
        <v>5</v>
      </c>
      <c r="G54" t="inlineStr">
        <is>
          <t>BG006, BS001</t>
        </is>
      </c>
      <c r="H54" t="inlineStr">
        <is>
          <t>1 November 1994</t>
        </is>
      </c>
      <c r="I54" s="2" t="n">
        <v>46261</v>
      </c>
      <c r="J54" t="inlineStr">
        <is>
          <t>Disetujui</t>
        </is>
      </c>
      <c r="K54" t="n">
        <v>90</v>
      </c>
      <c r="L54" t="inlineStr">
        <is>
          <t>27 Agustus 2026</t>
        </is>
      </c>
      <c r="M54" t="inlineStr">
        <is>
          <t>Konstruksi Bangunan Sipil Jalan, Konstruksi Gedung Pendidikan</t>
        </is>
      </c>
      <c r="N54" t="inlineStr">
        <is>
          <t>K</t>
        </is>
      </c>
      <c r="O54" t="inlineStr">
        <is>
          <t>20230824, 20230825</t>
        </is>
      </c>
      <c r="P54" t="inlineStr">
        <is>
          <t>Jawa Barat</t>
        </is>
      </c>
      <c r="Q54" t="inlineStr"/>
    </row>
    <row r="55">
      <c r="A55" t="inlineStr">
        <is>
          <t>DUA PUTERI BANTEN</t>
        </is>
      </c>
      <c r="B55" t="inlineStr">
        <is>
          <t>Kota Serang</t>
        </is>
      </c>
      <c r="C55" t="inlineStr">
        <is>
          <t>081219646033</t>
        </is>
      </c>
      <c r="D55" t="inlineStr">
        <is>
          <t>duaputeribanten@gmail.com</t>
        </is>
      </c>
      <c r="E55" t="inlineStr">
        <is>
          <t>https://lpjk.pu.go.id/search-badan-usaha-detail/WllaRG9weTBNRSt0ZDh3eDB4WGRRQT09</t>
        </is>
      </c>
      <c r="F55" t="n">
        <v>1</v>
      </c>
      <c r="G55" t="inlineStr">
        <is>
          <t>BS004</t>
        </is>
      </c>
      <c r="H55" t="inlineStr">
        <is>
          <t>27 Desember 2019</t>
        </is>
      </c>
      <c r="I55" s="2" t="n">
        <v>46261</v>
      </c>
      <c r="J55" t="inlineStr">
        <is>
          <t>Disetujui</t>
        </is>
      </c>
      <c r="K55" t="n">
        <v>90</v>
      </c>
      <c r="L55" t="inlineStr">
        <is>
          <t>27 Agustus 2026</t>
        </is>
      </c>
      <c r="M55" t="inlineStr">
        <is>
          <t>Konstruksi Jaringan Irigasi dan Drainase</t>
        </is>
      </c>
      <c r="N55" t="inlineStr">
        <is>
          <t>K</t>
        </is>
      </c>
      <c r="O55" t="inlineStr">
        <is>
          <t>20230403</t>
        </is>
      </c>
      <c r="P55" t="inlineStr">
        <is>
          <t>Banten</t>
        </is>
      </c>
      <c r="Q55" t="inlineStr"/>
    </row>
    <row r="56">
      <c r="A56" t="inlineStr">
        <is>
          <t>DUA SAUDARA</t>
        </is>
      </c>
      <c r="B56" t="inlineStr">
        <is>
          <t>Kab. Batang</t>
        </is>
      </c>
      <c r="C56" t="inlineStr">
        <is>
          <t>082325299516</t>
        </is>
      </c>
      <c r="D56" t="inlineStr">
        <is>
          <t>cvduasaudara707@gmail.com</t>
        </is>
      </c>
      <c r="E56" t="inlineStr">
        <is>
          <t>https://lpjk.pu.go.id/search-badan-usaha-detail/c0pNaUgxUUFPblRGL05la1ZiUmdoQT09</t>
        </is>
      </c>
      <c r="F56" t="n">
        <v>2</v>
      </c>
      <c r="G56" t="inlineStr">
        <is>
          <t>BG006, BS001</t>
        </is>
      </c>
      <c r="H56" t="inlineStr">
        <is>
          <t>28 Agustus 2017</t>
        </is>
      </c>
      <c r="I56" s="2" t="n">
        <v>46261</v>
      </c>
      <c r="J56" t="inlineStr">
        <is>
          <t>Disetujui</t>
        </is>
      </c>
      <c r="K56" t="n">
        <v>90</v>
      </c>
      <c r="L56" t="inlineStr">
        <is>
          <t>27 Agustus 2026</t>
        </is>
      </c>
      <c r="M56" t="inlineStr">
        <is>
          <t>Konstruksi Bangunan Sipil Jalan, Konstruksi Gedung Pendidikan</t>
        </is>
      </c>
      <c r="N56" t="inlineStr">
        <is>
          <t>K</t>
        </is>
      </c>
      <c r="O56" t="inlineStr">
        <is>
          <t>20230815, 20230823</t>
        </is>
      </c>
      <c r="P56" t="inlineStr">
        <is>
          <t>Jawa Tengah</t>
        </is>
      </c>
      <c r="Q56" t="inlineStr"/>
    </row>
    <row r="57">
      <c r="A57" t="inlineStr">
        <is>
          <t>ELRAFA CONSULT</t>
        </is>
      </c>
      <c r="B57" t="inlineStr">
        <is>
          <t>Kab. Kutai Timur</t>
        </is>
      </c>
      <c r="C57" t="inlineStr">
        <is>
          <t>081233025487</t>
        </is>
      </c>
      <c r="D57" t="inlineStr">
        <is>
          <t>elrafaconsultant@gmail.com</t>
        </is>
      </c>
      <c r="E57" t="inlineStr">
        <is>
          <t>https://lpjk.pu.go.id/search-badan-usaha-detail/TnEvSzBWTk5PaUJjTU8rdHBRK0NOZz09</t>
        </is>
      </c>
      <c r="F57" t="n">
        <v>1</v>
      </c>
      <c r="G57" t="inlineStr">
        <is>
          <t>RK001</t>
        </is>
      </c>
      <c r="H57" t="inlineStr">
        <is>
          <t>6 Februari 2013</t>
        </is>
      </c>
      <c r="I57" s="2" t="n">
        <v>46261</v>
      </c>
      <c r="J57" t="inlineStr">
        <is>
          <t>Disetujui</t>
        </is>
      </c>
      <c r="K57" t="n">
        <v>90</v>
      </c>
      <c r="L57" t="inlineStr">
        <is>
          <t>27 Agustus 2026</t>
        </is>
      </c>
      <c r="M57" t="inlineStr">
        <is>
          <t>Jasa Rekayasa Konstruksi Bangunan Gedung Hunian dan Non Hunian</t>
        </is>
      </c>
      <c r="N57" t="inlineStr">
        <is>
          <t>K</t>
        </is>
      </c>
      <c r="O57" t="inlineStr">
        <is>
          <t>20230808</t>
        </is>
      </c>
      <c r="P57" t="inlineStr">
        <is>
          <t>Kalimantan Timur</t>
        </is>
      </c>
      <c r="Q57" t="inlineStr"/>
    </row>
    <row r="58">
      <c r="A58" t="inlineStr">
        <is>
          <t>EMPAT BINTANG PAPUA</t>
        </is>
      </c>
      <c r="B58" t="inlineStr">
        <is>
          <t>Kab. Merauke</t>
        </is>
      </c>
      <c r="C58" t="inlineStr">
        <is>
          <t>082199966325</t>
        </is>
      </c>
      <c r="D58" t="inlineStr">
        <is>
          <t>empatbintangp@gmail.com</t>
        </is>
      </c>
      <c r="E58" t="inlineStr">
        <is>
          <t>https://lpjk.pu.go.id/search-badan-usaha-detail/NGYwek1JYjM2M1VxREg0VUtMWlh3UT09</t>
        </is>
      </c>
      <c r="F58" t="n">
        <v>5</v>
      </c>
      <c r="G58" t="inlineStr">
        <is>
          <t>BG001, BG005, BG006, BG009, BS001</t>
        </is>
      </c>
      <c r="H58" t="inlineStr">
        <is>
          <t>25 Januari 2016</t>
        </is>
      </c>
      <c r="I58" s="2" t="n">
        <v>46261</v>
      </c>
      <c r="J58" t="inlineStr">
        <is>
          <t>Disetujui</t>
        </is>
      </c>
      <c r="K58" t="n">
        <v>90</v>
      </c>
      <c r="L58" t="inlineStr">
        <is>
          <t>27 Agustus 2026</t>
        </is>
      </c>
      <c r="M58" t="inlineStr">
        <is>
          <t>Konstruksi Bangunan Sipil Jalan, Konstruksi Gedung Hunian, Konstruksi Gedung Kesehatan, Konstruksi Gedung Lainnya, Konstruksi Gedung Pendidikan</t>
        </is>
      </c>
      <c r="N58" t="inlineStr">
        <is>
          <t>K</t>
        </is>
      </c>
      <c r="O58" t="inlineStr">
        <is>
          <t>20230816, 20230817, 20230828</t>
        </is>
      </c>
      <c r="P58" t="inlineStr">
        <is>
          <t>Papua Selatan</t>
        </is>
      </c>
      <c r="Q58" t="inlineStr"/>
    </row>
    <row r="59">
      <c r="A59" t="inlineStr">
        <is>
          <t>EVAN</t>
        </is>
      </c>
      <c r="B59" t="inlineStr">
        <is>
          <t>Kab. Pasaman</t>
        </is>
      </c>
      <c r="C59" t="inlineStr">
        <is>
          <t>081267812004</t>
        </is>
      </c>
      <c r="D59" t="inlineStr">
        <is>
          <t>cvevan86@yahoo.com</t>
        </is>
      </c>
      <c r="E59" t="inlineStr">
        <is>
          <t>https://lpjk.pu.go.id/search-badan-usaha-detail/anJGN2RPYkZtd3RXQkIxRmFMSUY3Zz09</t>
        </is>
      </c>
      <c r="F59" t="n">
        <v>1</v>
      </c>
      <c r="G59" t="inlineStr">
        <is>
          <t>BS001</t>
        </is>
      </c>
      <c r="H59" t="inlineStr">
        <is>
          <t>20 Februari 2009</t>
        </is>
      </c>
      <c r="I59" s="2" t="n">
        <v>46261</v>
      </c>
      <c r="J59" t="inlineStr">
        <is>
          <t>Disetujui</t>
        </is>
      </c>
      <c r="K59" t="n">
        <v>90</v>
      </c>
      <c r="L59" t="inlineStr">
        <is>
          <t>27 Agustus 2026</t>
        </is>
      </c>
      <c r="M59" t="inlineStr">
        <is>
          <t>Konstruksi Bangunan Sipil Jalan</t>
        </is>
      </c>
      <c r="N59" t="inlineStr">
        <is>
          <t>K</t>
        </is>
      </c>
      <c r="O59" t="inlineStr">
        <is>
          <t>20230818</t>
        </is>
      </c>
      <c r="P59" t="inlineStr">
        <is>
          <t>Sumatera Barat</t>
        </is>
      </c>
      <c r="Q59" t="inlineStr"/>
    </row>
    <row r="60">
      <c r="A60" t="inlineStr">
        <is>
          <t>FADIYA KENCANA</t>
        </is>
      </c>
      <c r="B60" t="inlineStr">
        <is>
          <t>Kota Surakarta</t>
        </is>
      </c>
      <c r="C60" t="inlineStr">
        <is>
          <t>085229456333</t>
        </is>
      </c>
      <c r="D60" t="inlineStr">
        <is>
          <t>Grahatama@ymail.com</t>
        </is>
      </c>
      <c r="E60" t="inlineStr">
        <is>
          <t>https://lpjk.pu.go.id/search-badan-usaha-detail/d1FjdGpRcDJnbFYvTDZPbnFKZzUyWUYxazFMNVluTDB1ZTlsSDZxK0RSOD0</t>
        </is>
      </c>
      <c r="F60" t="n">
        <v>4</v>
      </c>
      <c r="G60" t="inlineStr">
        <is>
          <t>BG002, BG006, BS001, BS004</t>
        </is>
      </c>
      <c r="H60" t="inlineStr">
        <is>
          <t>20 Februari 2008</t>
        </is>
      </c>
      <c r="I60" s="2" t="n">
        <v>46261</v>
      </c>
      <c r="J60" t="inlineStr">
        <is>
          <t>Disetujui</t>
        </is>
      </c>
      <c r="K60" t="n">
        <v>90</v>
      </c>
      <c r="L60" t="inlineStr">
        <is>
          <t>27 Agustus 2026</t>
        </is>
      </c>
      <c r="M60" t="inlineStr">
        <is>
          <t>Konstruksi Bangunan Sipil Jalan, Konstruksi Gedung Pendidikan, Konstruksi Gedung Perkantoran, Konstruksi Jaringan Irigasi dan Drainase</t>
        </is>
      </c>
      <c r="N60" t="inlineStr">
        <is>
          <t>K</t>
        </is>
      </c>
      <c r="O60" t="inlineStr">
        <is>
          <t>20230803, 20230821</t>
        </is>
      </c>
      <c r="P60" t="inlineStr">
        <is>
          <t>Jawa Tengah</t>
        </is>
      </c>
      <c r="Q60" t="inlineStr"/>
    </row>
    <row r="61">
      <c r="A61" t="inlineStr">
        <is>
          <t>FAJAR</t>
        </is>
      </c>
      <c r="B61" t="inlineStr">
        <is>
          <t>Kota Probolinggo</t>
        </is>
      </c>
      <c r="C61" t="inlineStr">
        <is>
          <t>081252536679</t>
        </is>
      </c>
      <c r="D61" t="inlineStr">
        <is>
          <t>cv.fajar82@gmail.com</t>
        </is>
      </c>
      <c r="E61" t="inlineStr">
        <is>
          <t>https://lpjk.pu.go.id/search-badan-usaha-detail/dEVVNHlxMEYzMFM1WXN1Y05LbzhMdz09</t>
        </is>
      </c>
      <c r="F61" t="n">
        <v>1</v>
      </c>
      <c r="G61" t="inlineStr">
        <is>
          <t>BS005</t>
        </is>
      </c>
      <c r="H61" t="inlineStr">
        <is>
          <t>29 September 1986</t>
        </is>
      </c>
      <c r="I61" s="2" t="n">
        <v>46261</v>
      </c>
      <c r="J61" t="inlineStr">
        <is>
          <t>Disetujui</t>
        </is>
      </c>
      <c r="K61" t="n">
        <v>90</v>
      </c>
      <c r="L61" t="inlineStr">
        <is>
          <t>27 Agustus 2026</t>
        </is>
      </c>
      <c r="M61" t="inlineStr">
        <is>
          <t>Konstruksi Bangunan Sipil Pengolahan Air Bersih</t>
        </is>
      </c>
      <c r="N61" t="inlineStr">
        <is>
          <t>K</t>
        </is>
      </c>
      <c r="O61" t="inlineStr">
        <is>
          <t>20230828</t>
        </is>
      </c>
      <c r="P61" t="inlineStr">
        <is>
          <t>Jawa Timur</t>
        </is>
      </c>
      <c r="Q61" t="inlineStr"/>
    </row>
    <row r="62">
      <c r="A62" t="inlineStr">
        <is>
          <t>FAJAR ARTA JAYA</t>
        </is>
      </c>
      <c r="B62" t="inlineStr">
        <is>
          <t>Kota Surakarta</t>
        </is>
      </c>
      <c r="C62" t="inlineStr">
        <is>
          <t>087736212706</t>
        </is>
      </c>
      <c r="D62" t="inlineStr">
        <is>
          <t>fajarartajaya@hotmail.com</t>
        </is>
      </c>
      <c r="E62" t="inlineStr">
        <is>
          <t>https://lpjk.pu.go.id/search-badan-usaha-detail/QTBWdlVxU01lZ3JQVnpwMXViQkh0dz09</t>
        </is>
      </c>
      <c r="F62" t="n">
        <v>1</v>
      </c>
      <c r="G62" t="inlineStr">
        <is>
          <t>BG002</t>
        </is>
      </c>
      <c r="H62" t="inlineStr">
        <is>
          <t>22 Juni 2012</t>
        </is>
      </c>
      <c r="I62" s="2" t="n">
        <v>46261</v>
      </c>
      <c r="J62" t="inlineStr">
        <is>
          <t>Disetujui</t>
        </is>
      </c>
      <c r="K62" t="n">
        <v>90</v>
      </c>
      <c r="L62" t="inlineStr">
        <is>
          <t>27 Agustus 2026</t>
        </is>
      </c>
      <c r="M62" t="inlineStr">
        <is>
          <t>Konstruksi Gedung Perkantoran</t>
        </is>
      </c>
      <c r="N62" t="inlineStr">
        <is>
          <t>K</t>
        </is>
      </c>
      <c r="O62" t="inlineStr">
        <is>
          <t>20230828</t>
        </is>
      </c>
      <c r="P62" t="inlineStr">
        <is>
          <t>Jawa Tengah</t>
        </is>
      </c>
      <c r="Q62" t="inlineStr"/>
    </row>
    <row r="63">
      <c r="A63" t="inlineStr">
        <is>
          <t>FARIS STEEL</t>
        </is>
      </c>
      <c r="B63" t="inlineStr">
        <is>
          <t>Kab. Morowali Utara</t>
        </is>
      </c>
      <c r="C63" t="inlineStr">
        <is>
          <t>082241482003</t>
        </is>
      </c>
      <c r="D63" t="inlineStr">
        <is>
          <t>farissteelcv@gmail.com</t>
        </is>
      </c>
      <c r="E63" t="inlineStr">
        <is>
          <t>https://lpjk.pu.go.id/search-badan-usaha-detail/UGorUW1MaGpmNEFSSFBsZTNwTEZodz09</t>
        </is>
      </c>
      <c r="F63" t="n">
        <v>1</v>
      </c>
      <c r="G63" t="inlineStr">
        <is>
          <t>BS001</t>
        </is>
      </c>
      <c r="H63" t="inlineStr">
        <is>
          <t>19 Juli 2016</t>
        </is>
      </c>
      <c r="I63" s="2" t="n">
        <v>46261</v>
      </c>
      <c r="J63" t="inlineStr">
        <is>
          <t>Disetujui</t>
        </is>
      </c>
      <c r="K63" t="n">
        <v>90</v>
      </c>
      <c r="L63" t="inlineStr">
        <is>
          <t>27 Agustus 2026</t>
        </is>
      </c>
      <c r="M63" t="inlineStr">
        <is>
          <t>Konstruksi Bangunan Sipil Jalan</t>
        </is>
      </c>
      <c r="N63" t="inlineStr">
        <is>
          <t>K</t>
        </is>
      </c>
      <c r="O63" t="inlineStr">
        <is>
          <t>20230825</t>
        </is>
      </c>
      <c r="P63" t="inlineStr">
        <is>
          <t>Sulawesi Tengah</t>
        </is>
      </c>
      <c r="Q63" t="inlineStr"/>
    </row>
    <row r="64">
      <c r="A64" t="inlineStr">
        <is>
          <t>GIBRAN UTAMA CEMERLANG</t>
        </is>
      </c>
      <c r="B64" t="inlineStr">
        <is>
          <t>Kota Makassar</t>
        </is>
      </c>
      <c r="C64" t="inlineStr">
        <is>
          <t>081343644484</t>
        </is>
      </c>
      <c r="D64" t="inlineStr">
        <is>
          <t>gibranutamacemerlang@gmail.com</t>
        </is>
      </c>
      <c r="E64" t="inlineStr">
        <is>
          <t>https://lpjk.pu.go.id/search-badan-usaha-detail/blJOMGg1c3ROMVdEanRudFJnVUhnQT09</t>
        </is>
      </c>
      <c r="F64" t="n">
        <v>2</v>
      </c>
      <c r="G64" t="inlineStr">
        <is>
          <t>BG001, BG002</t>
        </is>
      </c>
      <c r="H64" t="inlineStr">
        <is>
          <t>24 November 2016</t>
        </is>
      </c>
      <c r="I64" s="2" t="n">
        <v>46261</v>
      </c>
      <c r="J64" t="inlineStr">
        <is>
          <t>Disetujui</t>
        </is>
      </c>
      <c r="K64" t="n">
        <v>90</v>
      </c>
      <c r="L64" t="inlineStr">
        <is>
          <t>27 Agustus 2026</t>
        </is>
      </c>
      <c r="M64" t="inlineStr">
        <is>
          <t>Konstruksi Gedung Hunian, Konstruksi Gedung Perkantoran</t>
        </is>
      </c>
      <c r="N64" t="inlineStr">
        <is>
          <t>K</t>
        </is>
      </c>
      <c r="O64" t="inlineStr">
        <is>
          <t>20230828</t>
        </is>
      </c>
      <c r="P64" t="inlineStr">
        <is>
          <t>Sulawesi Selatan</t>
        </is>
      </c>
      <c r="Q64" t="inlineStr"/>
    </row>
    <row r="65">
      <c r="A65" t="inlineStr">
        <is>
          <t>GIRI KENCANA</t>
        </is>
      </c>
      <c r="B65" t="inlineStr">
        <is>
          <t>Kab. Ponorogo</t>
        </is>
      </c>
      <c r="C65" t="inlineStr">
        <is>
          <t>08125909278</t>
        </is>
      </c>
      <c r="D65" t="inlineStr">
        <is>
          <t>girikencana05@yahoo.co.id</t>
        </is>
      </c>
      <c r="E65" t="inlineStr">
        <is>
          <t>https://lpjk.pu.go.id/search-badan-usaha-detail/VzFrWE9UNExWeS9RQWsxVjZjMnlidz09</t>
        </is>
      </c>
      <c r="F65" t="n">
        <v>1</v>
      </c>
      <c r="G65" t="inlineStr">
        <is>
          <t>BG006</t>
        </is>
      </c>
      <c r="H65" t="inlineStr">
        <is>
          <t>15 Juni 2005</t>
        </is>
      </c>
      <c r="I65" s="2" t="n">
        <v>46261</v>
      </c>
      <c r="J65" t="inlineStr">
        <is>
          <t>Disetujui</t>
        </is>
      </c>
      <c r="K65" t="n">
        <v>90</v>
      </c>
      <c r="L65" t="inlineStr">
        <is>
          <t>27 Agustus 2026</t>
        </is>
      </c>
      <c r="M65" t="inlineStr">
        <is>
          <t>Konstruksi Gedung Pendidikan</t>
        </is>
      </c>
      <c r="N65" t="inlineStr">
        <is>
          <t>K</t>
        </is>
      </c>
      <c r="O65" t="inlineStr">
        <is>
          <t>20230816</t>
        </is>
      </c>
      <c r="P65" t="inlineStr">
        <is>
          <t>Jawa Timur</t>
        </is>
      </c>
      <c r="Q65" t="inlineStr"/>
    </row>
    <row r="66">
      <c r="A66" t="inlineStr">
        <is>
          <t>GRAHADI SARANA</t>
        </is>
      </c>
      <c r="B66" t="inlineStr">
        <is>
          <t>Kab. Temanggung</t>
        </is>
      </c>
      <c r="C66" t="inlineStr">
        <is>
          <t>02934960381</t>
        </is>
      </c>
      <c r="D66" t="inlineStr">
        <is>
          <t>grahadisaranatmg@gmail.com</t>
        </is>
      </c>
      <c r="E66" t="inlineStr">
        <is>
          <t>https://lpjk.pu.go.id/search-badan-usaha-detail/OFE2YXVYK2Z1aEh4N28wY0UwcTlZUT09</t>
        </is>
      </c>
      <c r="F66" t="n">
        <v>1</v>
      </c>
      <c r="G66" t="inlineStr">
        <is>
          <t>RK001</t>
        </is>
      </c>
      <c r="H66" t="inlineStr">
        <is>
          <t>29 April 1996</t>
        </is>
      </c>
      <c r="I66" s="2" t="n">
        <v>46261</v>
      </c>
      <c r="J66" t="inlineStr">
        <is>
          <t>Disetujui</t>
        </is>
      </c>
      <c r="K66" t="n">
        <v>90</v>
      </c>
      <c r="L66" t="inlineStr">
        <is>
          <t>27 Agustus 2026</t>
        </is>
      </c>
      <c r="M66" t="inlineStr">
        <is>
          <t>Jasa Rekayasa Konstruksi Bangunan Gedung Hunian dan Non Hunian</t>
        </is>
      </c>
      <c r="N66" t="inlineStr">
        <is>
          <t>K</t>
        </is>
      </c>
      <c r="O66" t="inlineStr">
        <is>
          <t>20230818</t>
        </is>
      </c>
      <c r="P66" t="inlineStr">
        <is>
          <t>Jawa Tengah</t>
        </is>
      </c>
      <c r="Q66" t="inlineStr"/>
    </row>
    <row r="67">
      <c r="A67" t="inlineStr">
        <is>
          <t>GREEN MANDIRI LESTARY</t>
        </is>
      </c>
      <c r="B67" t="inlineStr">
        <is>
          <t>Kota Palu</t>
        </is>
      </c>
      <c r="C67" t="inlineStr">
        <is>
          <t>085241260653</t>
        </is>
      </c>
      <c r="D67" t="inlineStr">
        <is>
          <t>greenmandirilestary@gmail.com</t>
        </is>
      </c>
      <c r="E67" t="inlineStr">
        <is>
          <t>https://lpjk.pu.go.id/search-badan-usaha-detail/UkVBK3BpY1JTdlgrTzdwNEE4aWVMdz09</t>
        </is>
      </c>
      <c r="F67" t="n">
        <v>8</v>
      </c>
      <c r="G67" t="inlineStr">
        <is>
          <t>RK001, RK002, RK003, RK005</t>
        </is>
      </c>
      <c r="H67" t="inlineStr">
        <is>
          <t>6 Oktober 2017</t>
        </is>
      </c>
      <c r="I67" s="2" t="n">
        <v>46261</v>
      </c>
      <c r="J67" t="inlineStr">
        <is>
          <t>Disetujui</t>
        </is>
      </c>
      <c r="K67" t="n">
        <v>90</v>
      </c>
      <c r="L67" t="inlineStr">
        <is>
          <t>27 Agustus 2026</t>
        </is>
      </c>
      <c r="M67" t="inlineStr">
        <is>
          <t>Jasa Rekayasa Konstruksi Bangunan Gedung Hunian dan Non Hunian, Jasa Rekayasa Lainnya, Jasa Rekayasa Pekerjaan Teknik Sipil Sumber Daya Air, Jasa Rekayasa Pekerjaan Teknik Sipil Transportasi</t>
        </is>
      </c>
      <c r="N67" t="inlineStr">
        <is>
          <t>K</t>
        </is>
      </c>
      <c r="O67" t="inlineStr">
        <is>
          <t>20230721, 20230805</t>
        </is>
      </c>
      <c r="P67" t="inlineStr">
        <is>
          <t>Sulawesi Tengah</t>
        </is>
      </c>
      <c r="Q67" t="inlineStr"/>
    </row>
    <row r="68">
      <c r="A68" t="inlineStr">
        <is>
          <t>GUMILAR</t>
        </is>
      </c>
      <c r="B68" t="inlineStr">
        <is>
          <t>Kab. Indramayu</t>
        </is>
      </c>
      <c r="C68" t="inlineStr">
        <is>
          <t>085222999158</t>
        </is>
      </c>
      <c r="D68" t="inlineStr">
        <is>
          <t>cv.gumilar72@gmail.com</t>
        </is>
      </c>
      <c r="E68" t="inlineStr">
        <is>
          <t>https://lpjk.pu.go.id/search-badan-usaha-detail/dStiK3YxRGZIZnFNZWY0bHMzcmJiZz09</t>
        </is>
      </c>
      <c r="F68" t="n">
        <v>1</v>
      </c>
      <c r="G68" t="inlineStr">
        <is>
          <t>BS004</t>
        </is>
      </c>
      <c r="H68" t="inlineStr">
        <is>
          <t>7 Agustus 2001</t>
        </is>
      </c>
      <c r="I68" s="2" t="n">
        <v>46261</v>
      </c>
      <c r="J68" t="inlineStr">
        <is>
          <t>Disetujui</t>
        </is>
      </c>
      <c r="K68" t="n">
        <v>90</v>
      </c>
      <c r="L68" t="inlineStr">
        <is>
          <t>27 Agustus 2026</t>
        </is>
      </c>
      <c r="M68" t="inlineStr">
        <is>
          <t>Konstruksi Jaringan Irigasi dan Drainase</t>
        </is>
      </c>
      <c r="N68" t="inlineStr">
        <is>
          <t>K</t>
        </is>
      </c>
      <c r="O68" t="inlineStr">
        <is>
          <t>20230824</t>
        </is>
      </c>
      <c r="P68" t="inlineStr">
        <is>
          <t>Jawa Barat</t>
        </is>
      </c>
      <c r="Q68" t="inlineStr"/>
    </row>
    <row r="69">
      <c r="A69" t="inlineStr">
        <is>
          <t>GUNUNG MAS</t>
        </is>
      </c>
      <c r="B69" t="inlineStr">
        <is>
          <t>Kab. Musi Banyuasin</t>
        </is>
      </c>
      <c r="C69" t="inlineStr">
        <is>
          <t>0811714366</t>
        </is>
      </c>
      <c r="D69" t="inlineStr">
        <is>
          <t>gunungmas96@gmail.com</t>
        </is>
      </c>
      <c r="E69" t="inlineStr">
        <is>
          <t>https://lpjk.pu.go.id/search-badan-usaha-detail/cTRCdDYxdnVVSDlzeURNODRDR1l4QT09</t>
        </is>
      </c>
      <c r="F69" t="n">
        <v>1</v>
      </c>
      <c r="G69" t="inlineStr">
        <is>
          <t>BG005</t>
        </is>
      </c>
      <c r="H69" t="inlineStr">
        <is>
          <t>2 September 1987</t>
        </is>
      </c>
      <c r="I69" s="2" t="n">
        <v>46261</v>
      </c>
      <c r="J69" t="inlineStr">
        <is>
          <t>Disetujui</t>
        </is>
      </c>
      <c r="K69" t="n">
        <v>90</v>
      </c>
      <c r="L69" t="inlineStr">
        <is>
          <t>27 Agustus 2026</t>
        </is>
      </c>
      <c r="M69" t="inlineStr">
        <is>
          <t>Konstruksi Gedung Kesehatan</t>
        </is>
      </c>
      <c r="N69" t="inlineStr">
        <is>
          <t>K</t>
        </is>
      </c>
      <c r="O69" t="inlineStr">
        <is>
          <t>20230824</t>
        </is>
      </c>
      <c r="P69" t="inlineStr">
        <is>
          <t>Sumatera Selatan</t>
        </is>
      </c>
      <c r="Q69" t="inlineStr"/>
    </row>
    <row r="70">
      <c r="A70" t="inlineStr">
        <is>
          <t>HAKIKI</t>
        </is>
      </c>
      <c r="B70" t="inlineStr">
        <is>
          <t>Kota Banjarmasin</t>
        </is>
      </c>
      <c r="C70" t="inlineStr">
        <is>
          <t>082159604949</t>
        </is>
      </c>
      <c r="D70" t="inlineStr">
        <is>
          <t>cvhakiki@gmail.com</t>
        </is>
      </c>
      <c r="E70" t="inlineStr">
        <is>
          <t>https://lpjk.pu.go.id/search-badan-usaha-detail/WU9ScDREQ0VSV29hSEtvMCtjRnRxUT09</t>
        </is>
      </c>
      <c r="F70" t="n">
        <v>1</v>
      </c>
      <c r="G70" t="inlineStr">
        <is>
          <t>BG008</t>
        </is>
      </c>
      <c r="H70" t="inlineStr">
        <is>
          <t>15 Desember 2006</t>
        </is>
      </c>
      <c r="I70" s="2" t="n">
        <v>46261</v>
      </c>
      <c r="J70" t="inlineStr">
        <is>
          <t>Disetujui</t>
        </is>
      </c>
      <c r="K70" t="n">
        <v>90</v>
      </c>
      <c r="L70" t="inlineStr">
        <is>
          <t>27 Agustus 2026</t>
        </is>
      </c>
      <c r="M70" t="inlineStr">
        <is>
          <t>Konstruksi Gedung Tempat Hiburan dan Olahraga</t>
        </is>
      </c>
      <c r="N70" t="inlineStr">
        <is>
          <t>K</t>
        </is>
      </c>
      <c r="O70" t="inlineStr">
        <is>
          <t>20230828</t>
        </is>
      </c>
      <c r="P70" t="inlineStr">
        <is>
          <t>Kalimantan Selatan</t>
        </is>
      </c>
      <c r="Q70" t="inlineStr"/>
    </row>
    <row r="71">
      <c r="A71" t="inlineStr">
        <is>
          <t>INDAH CONSTRUKSI</t>
        </is>
      </c>
      <c r="B71" t="inlineStr">
        <is>
          <t>Kab. Agam</t>
        </is>
      </c>
      <c r="C71" t="inlineStr">
        <is>
          <t>0752647244</t>
        </is>
      </c>
      <c r="D71" t="inlineStr">
        <is>
          <t>cvindahconstruksi@gmail.com</t>
        </is>
      </c>
      <c r="E71" t="inlineStr">
        <is>
          <t>https://lpjk.pu.go.id/search-badan-usaha-detail/OTE0cmx5c0NZVW1rdkw4bzNoTE93UT09</t>
        </is>
      </c>
      <c r="F71" t="n">
        <v>1</v>
      </c>
      <c r="G71" t="inlineStr">
        <is>
          <t>BG002</t>
        </is>
      </c>
      <c r="H71" t="inlineStr">
        <is>
          <t>1 September 1993</t>
        </is>
      </c>
      <c r="I71" s="2" t="n">
        <v>46261</v>
      </c>
      <c r="J71" t="inlineStr">
        <is>
          <t>Disetujui</t>
        </is>
      </c>
      <c r="K71" t="n">
        <v>90</v>
      </c>
      <c r="L71" t="inlineStr">
        <is>
          <t>27 Agustus 2026</t>
        </is>
      </c>
      <c r="M71" t="inlineStr">
        <is>
          <t>Konstruksi Gedung Perkantoran</t>
        </is>
      </c>
      <c r="N71" t="inlineStr">
        <is>
          <t>K</t>
        </is>
      </c>
      <c r="O71" t="inlineStr">
        <is>
          <t>20230803</t>
        </is>
      </c>
      <c r="P71" t="inlineStr">
        <is>
          <t>Sumatera Barat</t>
        </is>
      </c>
      <c r="Q71" t="inlineStr"/>
    </row>
    <row r="72">
      <c r="A72" t="inlineStr">
        <is>
          <t>INDONESIA INDAH</t>
        </is>
      </c>
      <c r="B72" t="inlineStr">
        <is>
          <t>Kab. Polewali Mandar</t>
        </is>
      </c>
      <c r="C72" t="inlineStr">
        <is>
          <t>082346546286</t>
        </is>
      </c>
      <c r="D72" t="inlineStr">
        <is>
          <t>cvindonesiaindah73@gmail.com</t>
        </is>
      </c>
      <c r="E72" t="inlineStr">
        <is>
          <t>https://lpjk.pu.go.id/search-badan-usaha-detail/NHludXlvcHdJYTJZajdUdU1MYURldz09</t>
        </is>
      </c>
      <c r="F72" t="n">
        <v>1</v>
      </c>
      <c r="G72" t="inlineStr">
        <is>
          <t>BG005</t>
        </is>
      </c>
      <c r="H72" t="inlineStr">
        <is>
          <t>3 Desember 1984</t>
        </is>
      </c>
      <c r="I72" s="2" t="n">
        <v>46261</v>
      </c>
      <c r="J72" t="inlineStr">
        <is>
          <t>Disetujui</t>
        </is>
      </c>
      <c r="K72" t="n">
        <v>90</v>
      </c>
      <c r="L72" t="inlineStr">
        <is>
          <t>27 Agustus 2026</t>
        </is>
      </c>
      <c r="M72" t="inlineStr">
        <is>
          <t>Konstruksi Gedung Kesehatan</t>
        </is>
      </c>
      <c r="N72" t="inlineStr">
        <is>
          <t>K</t>
        </is>
      </c>
      <c r="O72" t="inlineStr">
        <is>
          <t>20230825</t>
        </is>
      </c>
      <c r="P72" t="inlineStr">
        <is>
          <t>Sulawesi Barat</t>
        </is>
      </c>
      <c r="Q72" t="inlineStr"/>
    </row>
    <row r="73">
      <c r="A73" t="inlineStr">
        <is>
          <t>INTI KARYA DITA</t>
        </is>
      </c>
      <c r="B73" t="inlineStr">
        <is>
          <t>Kab. Sumbawa Barat</t>
        </is>
      </c>
      <c r="C73" t="inlineStr">
        <is>
          <t>081907848424</t>
        </is>
      </c>
      <c r="D73" t="inlineStr">
        <is>
          <t>intikarya952@gmail.com</t>
        </is>
      </c>
      <c r="E73" t="inlineStr">
        <is>
          <t>https://lpjk.pu.go.id/search-badan-usaha-detail/UEp0NmxiWDhjL2pSZnRkRXVab3QzQT09</t>
        </is>
      </c>
      <c r="F73" t="n">
        <v>2</v>
      </c>
      <c r="G73" t="inlineStr">
        <is>
          <t>BS001, BS004</t>
        </is>
      </c>
      <c r="H73" t="inlineStr">
        <is>
          <t>20 Juli 2023</t>
        </is>
      </c>
      <c r="I73" s="2" t="n">
        <v>46261</v>
      </c>
      <c r="J73" t="inlineStr">
        <is>
          <t>Disetujui</t>
        </is>
      </c>
      <c r="K73" t="n">
        <v>90</v>
      </c>
      <c r="L73" t="inlineStr">
        <is>
          <t>27 Agustus 2026</t>
        </is>
      </c>
      <c r="M73" t="inlineStr">
        <is>
          <t>Konstruksi Bangunan Sipil Jalan, Konstruksi Jaringan Irigasi dan Drainase</t>
        </is>
      </c>
      <c r="N73" t="inlineStr">
        <is>
          <t>K</t>
        </is>
      </c>
      <c r="O73" t="inlineStr">
        <is>
          <t>20230827, 20230828</t>
        </is>
      </c>
      <c r="P73" t="inlineStr">
        <is>
          <t>Nusa Tenggara Barat</t>
        </is>
      </c>
      <c r="Q73" t="inlineStr"/>
    </row>
    <row r="74">
      <c r="A74" t="inlineStr">
        <is>
          <t>JANUR KUNING SENTOSA</t>
        </is>
      </c>
      <c r="B74" t="inlineStr">
        <is>
          <t>Kab. Jombang</t>
        </is>
      </c>
      <c r="C74" t="inlineStr">
        <is>
          <t>081335017770</t>
        </is>
      </c>
      <c r="D74" t="inlineStr">
        <is>
          <t>wicaksonoariiii02@gmail.com</t>
        </is>
      </c>
      <c r="E74" t="inlineStr">
        <is>
          <t>https://lpjk.pu.go.id/search-badan-usaha-detail/enBJVHluTjBxYjFkU0JnNUdVa2d6Zz09</t>
        </is>
      </c>
      <c r="F74" t="n">
        <v>1</v>
      </c>
      <c r="G74" t="inlineStr">
        <is>
          <t>BG002</t>
        </is>
      </c>
      <c r="H74" t="inlineStr">
        <is>
          <t>3 April 2023</t>
        </is>
      </c>
      <c r="I74" s="2" t="n">
        <v>46261</v>
      </c>
      <c r="J74" t="inlineStr">
        <is>
          <t>Disetujui</t>
        </is>
      </c>
      <c r="K74" t="n">
        <v>90</v>
      </c>
      <c r="L74" t="inlineStr">
        <is>
          <t>27 Agustus 2026</t>
        </is>
      </c>
      <c r="M74" t="inlineStr">
        <is>
          <t>Konstruksi Gedung Perkantoran</t>
        </is>
      </c>
      <c r="N74" t="inlineStr">
        <is>
          <t>K</t>
        </is>
      </c>
      <c r="O74" t="inlineStr">
        <is>
          <t>20230824</t>
        </is>
      </c>
      <c r="P74" t="inlineStr">
        <is>
          <t>Jawa Timur</t>
        </is>
      </c>
      <c r="Q74" t="inlineStr"/>
    </row>
    <row r="75">
      <c r="A75" t="inlineStr">
        <is>
          <t>JASA NIAGA</t>
        </is>
      </c>
      <c r="B75" t="inlineStr">
        <is>
          <t>Kab. Malang</t>
        </is>
      </c>
      <c r="C75" t="inlineStr">
        <is>
          <t>0341552257</t>
        </is>
      </c>
      <c r="D75" t="inlineStr">
        <is>
          <t>jasaniaga@ymail.com</t>
        </is>
      </c>
      <c r="E75" t="inlineStr">
        <is>
          <t>https://lpjk.pu.go.id/search-badan-usaha-detail/MW1wUnJuL040Uk41Q1UzMTQxNWkvZz09</t>
        </is>
      </c>
      <c r="F75" t="n">
        <v>1</v>
      </c>
      <c r="G75" t="inlineStr">
        <is>
          <t>BG002</t>
        </is>
      </c>
      <c r="H75" t="inlineStr">
        <is>
          <t>31 Maret 1986</t>
        </is>
      </c>
      <c r="I75" s="2" t="n">
        <v>46261</v>
      </c>
      <c r="J75" t="inlineStr">
        <is>
          <t>Disetujui</t>
        </is>
      </c>
      <c r="K75" t="n">
        <v>90</v>
      </c>
      <c r="L75" t="inlineStr">
        <is>
          <t>27 Agustus 2026</t>
        </is>
      </c>
      <c r="M75" t="inlineStr">
        <is>
          <t>Konstruksi Gedung Perkantoran</t>
        </is>
      </c>
      <c r="N75" t="inlineStr">
        <is>
          <t>K</t>
        </is>
      </c>
      <c r="O75" t="inlineStr">
        <is>
          <t>20230818</t>
        </is>
      </c>
      <c r="P75" t="inlineStr">
        <is>
          <t>Jawa Timur</t>
        </is>
      </c>
      <c r="Q75" t="inlineStr"/>
    </row>
    <row r="76">
      <c r="A76" t="inlineStr">
        <is>
          <t>JAYA KARYA</t>
        </is>
      </c>
      <c r="B76" t="inlineStr">
        <is>
          <t>Kota Singkawang</t>
        </is>
      </c>
      <c r="C76" t="inlineStr">
        <is>
          <t>081345269468</t>
        </is>
      </c>
      <c r="D76" t="inlineStr">
        <is>
          <t>jul.jayakarya@gmail.com</t>
        </is>
      </c>
      <c r="E76" t="inlineStr">
        <is>
          <t>https://lpjk.pu.go.id/search-badan-usaha-detail/QzFpRjVFRFcwR3BpVkJ3Z2pGeG51dz09</t>
        </is>
      </c>
      <c r="F76" t="n">
        <v>1</v>
      </c>
      <c r="G76" t="inlineStr">
        <is>
          <t>BG006</t>
        </is>
      </c>
      <c r="H76" t="inlineStr">
        <is>
          <t>1 November 2007</t>
        </is>
      </c>
      <c r="I76" s="2" t="n">
        <v>46261</v>
      </c>
      <c r="J76" t="inlineStr">
        <is>
          <t>Disetujui</t>
        </is>
      </c>
      <c r="K76" t="n">
        <v>90</v>
      </c>
      <c r="L76" t="inlineStr">
        <is>
          <t>27 Agustus 2026</t>
        </is>
      </c>
      <c r="M76" t="inlineStr">
        <is>
          <t>Konstruksi Gedung Pendidikan</t>
        </is>
      </c>
      <c r="N76" t="inlineStr">
        <is>
          <t>K</t>
        </is>
      </c>
      <c r="O76" t="inlineStr">
        <is>
          <t>20230825</t>
        </is>
      </c>
      <c r="P76" t="inlineStr">
        <is>
          <t>Kalimantan Barat</t>
        </is>
      </c>
      <c r="Q76" t="inlineStr"/>
    </row>
    <row r="77">
      <c r="A77" t="inlineStr">
        <is>
          <t>JELITA</t>
        </is>
      </c>
      <c r="B77" t="inlineStr">
        <is>
          <t>Kab. Kubu Raya</t>
        </is>
      </c>
      <c r="C77" t="inlineStr">
        <is>
          <t>08125774466</t>
        </is>
      </c>
      <c r="D77" t="inlineStr">
        <is>
          <t>cv.jelita@hotmail.com</t>
        </is>
      </c>
      <c r="E77" t="inlineStr">
        <is>
          <t>https://lpjk.pu.go.id/search-badan-usaha-detail/WkE0eWFBekUxb1M0aEg0YklFZytiQT09</t>
        </is>
      </c>
      <c r="F77" t="n">
        <v>4</v>
      </c>
      <c r="G77" t="inlineStr">
        <is>
          <t>BG001, BG002, BG006, BG009</t>
        </is>
      </c>
      <c r="H77" t="inlineStr">
        <is>
          <t>11 Maret 2009</t>
        </is>
      </c>
      <c r="I77" s="2" t="n">
        <v>46261</v>
      </c>
      <c r="J77" t="inlineStr">
        <is>
          <t>Disetujui</t>
        </is>
      </c>
      <c r="K77" t="n">
        <v>90</v>
      </c>
      <c r="L77" t="inlineStr">
        <is>
          <t>27 Agustus 2026</t>
        </is>
      </c>
      <c r="M77" t="inlineStr">
        <is>
          <t>Konstruksi Gedung Hunian, Konstruksi Gedung Lainnya, Konstruksi Gedung Pendidikan, Konstruksi Gedung Perkantoran</t>
        </is>
      </c>
      <c r="N77" t="inlineStr">
        <is>
          <t>K</t>
        </is>
      </c>
      <c r="O77" t="inlineStr">
        <is>
          <t>20230823, 20230824</t>
        </is>
      </c>
      <c r="P77" t="inlineStr">
        <is>
          <t>Kalimantan Barat</t>
        </is>
      </c>
      <c r="Q77" t="inlineStr"/>
    </row>
    <row r="78">
      <c r="A78" t="inlineStr">
        <is>
          <t>JETEC INDONESIA</t>
        </is>
      </c>
      <c r="B78" t="inlineStr">
        <is>
          <t>Kota Adm. Jakarta Selatan</t>
        </is>
      </c>
      <c r="C78" t="inlineStr">
        <is>
          <t>0811984023</t>
        </is>
      </c>
      <c r="D78" t="inlineStr">
        <is>
          <t>actemiumsystem.id@actemium.com</t>
        </is>
      </c>
      <c r="E78" t="inlineStr">
        <is>
          <t>https://lpjk.pu.go.id/search-badan-usaha-detail/a3FGM3ZyQUZlRG1IVkRLcDFvcEl6dz09</t>
        </is>
      </c>
      <c r="F78" t="n">
        <v>1</v>
      </c>
      <c r="G78" t="inlineStr">
        <is>
          <t>RT002</t>
        </is>
      </c>
      <c r="H78" t="inlineStr">
        <is>
          <t>3 Juni 2005</t>
        </is>
      </c>
      <c r="I78" s="2" t="n">
        <v>46261</v>
      </c>
      <c r="J78" t="inlineStr">
        <is>
          <t>Disetujui</t>
        </is>
      </c>
      <c r="K78" t="n">
        <v>90</v>
      </c>
      <c r="L78" t="inlineStr">
        <is>
          <t>27 Agustus 2026</t>
        </is>
      </c>
      <c r="M78" t="inlineStr">
        <is>
          <t>Jasa Rekayasa Konstruksi Pembangkit, Jaringan Transmisi, Gardu Induk, dan Distribusi Tenaga Listrik</t>
        </is>
      </c>
      <c r="N78" t="inlineStr">
        <is>
          <t>B</t>
        </is>
      </c>
      <c r="O78" t="inlineStr">
        <is>
          <t>20230807</t>
        </is>
      </c>
      <c r="P78" t="inlineStr">
        <is>
          <t>DKI Jakarta</t>
        </is>
      </c>
      <c r="Q78" t="inlineStr"/>
    </row>
    <row r="79">
      <c r="A79" t="inlineStr">
        <is>
          <t>KARSA SEJATI</t>
        </is>
      </c>
      <c r="B79" t="inlineStr">
        <is>
          <t>Kab. Lombok Tengah</t>
        </is>
      </c>
      <c r="C79" t="inlineStr">
        <is>
          <t>081775101466</t>
        </is>
      </c>
      <c r="D79" t="inlineStr">
        <is>
          <t>cvkarsasejati@gmail.com</t>
        </is>
      </c>
      <c r="E79" t="inlineStr">
        <is>
          <t>https://lpjk.pu.go.id/search-badan-usaha-detail/TzZlRG5NWEhVL0U4WGEzNHJISzJuUT09</t>
        </is>
      </c>
      <c r="F79" t="n">
        <v>4</v>
      </c>
      <c r="G79" t="inlineStr">
        <is>
          <t>BS001, BS004</t>
        </is>
      </c>
      <c r="H79" t="inlineStr">
        <is>
          <t>29 November 2011</t>
        </is>
      </c>
      <c r="I79" s="2" t="n">
        <v>46261</v>
      </c>
      <c r="J79" t="inlineStr">
        <is>
          <t>Disetujui</t>
        </is>
      </c>
      <c r="K79" t="n">
        <v>90</v>
      </c>
      <c r="L79" t="inlineStr">
        <is>
          <t>27 Agustus 2026</t>
        </is>
      </c>
      <c r="M79" t="inlineStr">
        <is>
          <t>Konstruksi Bangunan Sipil Jalan, Konstruksi Jaringan Irigasi dan Drainase</t>
        </is>
      </c>
      <c r="N79" t="inlineStr">
        <is>
          <t>K</t>
        </is>
      </c>
      <c r="O79" t="inlineStr">
        <is>
          <t>20230823</t>
        </is>
      </c>
      <c r="P79" t="inlineStr">
        <is>
          <t>Nusa Tenggara Barat</t>
        </is>
      </c>
      <c r="Q79" t="inlineStr"/>
    </row>
    <row r="80">
      <c r="A80" t="inlineStr">
        <is>
          <t>KARYA ABADI SIUMPU</t>
        </is>
      </c>
      <c r="B80" t="inlineStr">
        <is>
          <t>Kota Sorong</t>
        </is>
      </c>
      <c r="C80" t="inlineStr">
        <is>
          <t>081398180707</t>
        </is>
      </c>
      <c r="D80" t="inlineStr">
        <is>
          <t>kristianfidel184@gmail.com</t>
        </is>
      </c>
      <c r="E80" t="inlineStr">
        <is>
          <t>https://lpjk.pu.go.id/search-badan-usaha-detail/d3Rpd0lzYzBRNFpqNTlKdGxLUmQvdz09</t>
        </is>
      </c>
      <c r="F80" t="n">
        <v>3</v>
      </c>
      <c r="G80" t="inlineStr">
        <is>
          <t>BG005, BG006, BG009</t>
        </is>
      </c>
      <c r="H80" t="inlineStr">
        <is>
          <t>3 Mei 2023</t>
        </is>
      </c>
      <c r="I80" s="2" t="n">
        <v>46261</v>
      </c>
      <c r="J80" t="inlineStr">
        <is>
          <t>Pencabutan</t>
        </is>
      </c>
      <c r="K80" t="n">
        <v>90</v>
      </c>
      <c r="L80" t="inlineStr">
        <is>
          <t>27 Agustus 2026</t>
        </is>
      </c>
      <c r="M80" t="inlineStr">
        <is>
          <t>Konstruksi Gedung Kesehatan, Konstruksi Gedung Lainnya, Konstruksi Gedung Pendidikan</t>
        </is>
      </c>
      <c r="N80" t="inlineStr">
        <is>
          <t>K</t>
        </is>
      </c>
      <c r="O80" t="inlineStr">
        <is>
          <t>20230824</t>
        </is>
      </c>
      <c r="P80" t="inlineStr">
        <is>
          <t>Papua Barat</t>
        </is>
      </c>
      <c r="Q80" t="inlineStr"/>
    </row>
    <row r="81">
      <c r="A81" t="inlineStr">
        <is>
          <t>KARYA ARTHA DUTA</t>
        </is>
      </c>
      <c r="B81" t="inlineStr">
        <is>
          <t>Kab. Ogan Komering Ulu</t>
        </is>
      </c>
      <c r="C81" t="inlineStr">
        <is>
          <t>081368717775</t>
        </is>
      </c>
      <c r="D81" t="inlineStr">
        <is>
          <t>cvkaryaarthaduta@gmail.com</t>
        </is>
      </c>
      <c r="E81" t="inlineStr">
        <is>
          <t>https://lpjk.pu.go.id/search-badan-usaha-detail/WlRZZGRWVVhyK3R1elNzcXF4Rzh6UT09</t>
        </is>
      </c>
      <c r="F81" t="n">
        <v>1</v>
      </c>
      <c r="G81" t="inlineStr">
        <is>
          <t>BG002</t>
        </is>
      </c>
      <c r="H81" t="inlineStr">
        <is>
          <t>6 Februari 2023</t>
        </is>
      </c>
      <c r="I81" s="2" t="n">
        <v>46261</v>
      </c>
      <c r="J81" t="inlineStr">
        <is>
          <t>Disetujui</t>
        </is>
      </c>
      <c r="K81" t="n">
        <v>90</v>
      </c>
      <c r="L81" t="inlineStr">
        <is>
          <t>27 Agustus 2026</t>
        </is>
      </c>
      <c r="M81" t="inlineStr">
        <is>
          <t>Konstruksi Gedung Perkantoran</t>
        </is>
      </c>
      <c r="N81" t="inlineStr">
        <is>
          <t>K</t>
        </is>
      </c>
      <c r="O81" t="inlineStr">
        <is>
          <t>20230821</t>
        </is>
      </c>
      <c r="P81" t="inlineStr">
        <is>
          <t>Sumatera Selatan</t>
        </is>
      </c>
      <c r="Q81" t="inlineStr"/>
    </row>
    <row r="82">
      <c r="A82" t="inlineStr">
        <is>
          <t>KARYA KITA</t>
        </is>
      </c>
      <c r="B82" t="inlineStr">
        <is>
          <t>Kota Banda Aceh</t>
        </is>
      </c>
      <c r="C82" t="inlineStr">
        <is>
          <t>082288216008</t>
        </is>
      </c>
      <c r="D82" t="inlineStr">
        <is>
          <t>karyakitasbu@gmail.com</t>
        </is>
      </c>
      <c r="E82" t="inlineStr">
        <is>
          <t>https://lpjk.pu.go.id/search-badan-usaha-detail/aG0wMjEvZjR2Q3p6NWozUjVtRjV0Zz09</t>
        </is>
      </c>
      <c r="F82" t="n">
        <v>2</v>
      </c>
      <c r="G82" t="inlineStr">
        <is>
          <t>BG004, BG006</t>
        </is>
      </c>
      <c r="H82" t="inlineStr">
        <is>
          <t>1 Maret 2022</t>
        </is>
      </c>
      <c r="I82" s="2" t="n">
        <v>46261</v>
      </c>
      <c r="J82" t="inlineStr">
        <is>
          <t>Disetujui</t>
        </is>
      </c>
      <c r="K82" t="n">
        <v>90</v>
      </c>
      <c r="L82" t="inlineStr">
        <is>
          <t>27 Agustus 2026</t>
        </is>
      </c>
      <c r="M82" t="inlineStr">
        <is>
          <t>Konstruksi Gedung Pendidikan, Konstruksi Gedung Perbelanjaan</t>
        </is>
      </c>
      <c r="N82" t="inlineStr">
        <is>
          <t>K</t>
        </is>
      </c>
      <c r="O82" t="inlineStr">
        <is>
          <t>20230825</t>
        </is>
      </c>
      <c r="P82" t="inlineStr">
        <is>
          <t>Aceh</t>
        </is>
      </c>
      <c r="Q82" t="inlineStr"/>
    </row>
    <row r="83">
      <c r="A83" t="inlineStr">
        <is>
          <t>KARYA PALAMPANG TARUNG</t>
        </is>
      </c>
      <c r="B83" t="inlineStr">
        <is>
          <t>Kota Palangkaraya</t>
        </is>
      </c>
      <c r="C83" t="inlineStr">
        <is>
          <t>03563226770</t>
        </is>
      </c>
      <c r="D83" t="inlineStr">
        <is>
          <t>karyapalampang@yahoo.co.id</t>
        </is>
      </c>
      <c r="E83" t="inlineStr">
        <is>
          <t>https://lpjk.pu.go.id/search-badan-usaha-detail/WmRTSDlIcVl5RUpHUElKQW9EODlKdz09</t>
        </is>
      </c>
      <c r="F83" t="n">
        <v>1</v>
      </c>
      <c r="G83" t="inlineStr">
        <is>
          <t>BS001</t>
        </is>
      </c>
      <c r="H83" t="inlineStr">
        <is>
          <t>16 Oktober 2014</t>
        </is>
      </c>
      <c r="I83" s="2" t="n">
        <v>46261</v>
      </c>
      <c r="J83" t="inlineStr">
        <is>
          <t>Disetujui</t>
        </is>
      </c>
      <c r="K83" t="n">
        <v>90</v>
      </c>
      <c r="L83" t="inlineStr">
        <is>
          <t>27 Agustus 2026</t>
        </is>
      </c>
      <c r="M83" t="inlineStr">
        <is>
          <t>Konstruksi Bangunan Sipil Jalan</t>
        </is>
      </c>
      <c r="N83" t="inlineStr">
        <is>
          <t>M</t>
        </is>
      </c>
      <c r="O83" t="inlineStr">
        <is>
          <t>20230824</t>
        </is>
      </c>
      <c r="P83" t="inlineStr">
        <is>
          <t>Kalimantan Tengah</t>
        </is>
      </c>
      <c r="Q83" t="inlineStr"/>
    </row>
    <row r="84">
      <c r="A84" t="inlineStr">
        <is>
          <t>KARYA UTAMA BANGKIT</t>
        </is>
      </c>
      <c r="B84" t="inlineStr">
        <is>
          <t>Kab. Boyolali</t>
        </is>
      </c>
      <c r="C84" t="inlineStr">
        <is>
          <t>085742559173</t>
        </is>
      </c>
      <c r="D84" t="inlineStr">
        <is>
          <t>karyautamaboyolali@yahoo.co.id</t>
        </is>
      </c>
      <c r="E84" t="inlineStr">
        <is>
          <t>https://lpjk.pu.go.id/search-badan-usaha-detail/ZzJ4UGxwV0JCNTlBb3hlSUpXU29zdz09</t>
        </is>
      </c>
      <c r="F84" t="n">
        <v>1</v>
      </c>
      <c r="G84" t="inlineStr">
        <is>
          <t>BG009</t>
        </is>
      </c>
      <c r="H84" t="inlineStr">
        <is>
          <t>22 Juni 2012</t>
        </is>
      </c>
      <c r="I84" s="2" t="n">
        <v>46261</v>
      </c>
      <c r="J84" t="inlineStr">
        <is>
          <t>Disetujui</t>
        </is>
      </c>
      <c r="K84" t="n">
        <v>90</v>
      </c>
      <c r="L84" t="inlineStr">
        <is>
          <t>27 Agustus 2026</t>
        </is>
      </c>
      <c r="M84" t="inlineStr">
        <is>
          <t>Konstruksi Gedung Lainnya</t>
        </is>
      </c>
      <c r="N84" t="inlineStr">
        <is>
          <t>M</t>
        </is>
      </c>
      <c r="O84" t="inlineStr">
        <is>
          <t>20230814</t>
        </is>
      </c>
      <c r="P84" t="inlineStr">
        <is>
          <t>Jawa Tengah</t>
        </is>
      </c>
      <c r="Q84" t="inlineStr"/>
    </row>
    <row r="85">
      <c r="A85" t="inlineStr">
        <is>
          <t>KHARISMA ARTA NUGRAHA</t>
        </is>
      </c>
      <c r="B85" t="inlineStr">
        <is>
          <t>Kab. Landak</t>
        </is>
      </c>
      <c r="C85" t="inlineStr">
        <is>
          <t>081345508248</t>
        </is>
      </c>
      <c r="D85" t="inlineStr">
        <is>
          <t>cv.kharismaarthanugraha@yahoo.com</t>
        </is>
      </c>
      <c r="E85" t="inlineStr">
        <is>
          <t>https://lpjk.pu.go.id/search-badan-usaha-detail/Y0VScWh6d0o1V1RoZlJENmVsQkRTQT09</t>
        </is>
      </c>
      <c r="F85" t="n">
        <v>2</v>
      </c>
      <c r="G85" t="inlineStr">
        <is>
          <t>BG002</t>
        </is>
      </c>
      <c r="H85" t="inlineStr">
        <is>
          <t>21 September 1993</t>
        </is>
      </c>
      <c r="I85" s="2" t="n">
        <v>46261</v>
      </c>
      <c r="J85" t="inlineStr">
        <is>
          <t>Disetujui</t>
        </is>
      </c>
      <c r="K85" t="n">
        <v>90</v>
      </c>
      <c r="L85" t="inlineStr">
        <is>
          <t>27 Agustus 2026</t>
        </is>
      </c>
      <c r="M85" t="inlineStr">
        <is>
          <t>Konstruksi Gedung Perkantoran</t>
        </is>
      </c>
      <c r="N85" t="inlineStr">
        <is>
          <t>K</t>
        </is>
      </c>
      <c r="O85" t="inlineStr">
        <is>
          <t>20230824</t>
        </is>
      </c>
      <c r="P85" t="inlineStr">
        <is>
          <t>Kalimantan Barat</t>
        </is>
      </c>
      <c r="Q85" t="inlineStr"/>
    </row>
    <row r="86">
      <c r="A86" t="inlineStr">
        <is>
          <t>LAKSANA KARYA UTAMA</t>
        </is>
      </c>
      <c r="B86" t="inlineStr">
        <is>
          <t>Kab. Lamongan</t>
        </is>
      </c>
      <c r="C86" t="inlineStr">
        <is>
          <t>085336670670</t>
        </is>
      </c>
      <c r="D86" t="inlineStr">
        <is>
          <t>laksanakaryautama@gmail.com</t>
        </is>
      </c>
      <c r="E86" t="inlineStr">
        <is>
          <t>https://lpjk.pu.go.id/search-badan-usaha-detail/NCtCYndvY0tGTmExTGY1Nm9la1lGZz09</t>
        </is>
      </c>
      <c r="F86" t="n">
        <v>1</v>
      </c>
      <c r="G86" t="inlineStr">
        <is>
          <t>BS001</t>
        </is>
      </c>
      <c r="H86" t="inlineStr">
        <is>
          <t>22 Februari 2019</t>
        </is>
      </c>
      <c r="I86" s="2" t="n">
        <v>46261</v>
      </c>
      <c r="J86" t="inlineStr">
        <is>
          <t>Disetujui</t>
        </is>
      </c>
      <c r="K86" t="n">
        <v>90</v>
      </c>
      <c r="L86" t="inlineStr">
        <is>
          <t>27 Agustus 2026</t>
        </is>
      </c>
      <c r="M86" t="inlineStr">
        <is>
          <t>Konstruksi Bangunan Sipil Jalan</t>
        </is>
      </c>
      <c r="N86" t="inlineStr">
        <is>
          <t>K</t>
        </is>
      </c>
      <c r="O86" t="inlineStr">
        <is>
          <t>20230823</t>
        </is>
      </c>
      <c r="P86" t="inlineStr">
        <is>
          <t>Jawa Timur</t>
        </is>
      </c>
      <c r="Q86" t="inlineStr"/>
    </row>
    <row r="87">
      <c r="A87" t="inlineStr">
        <is>
          <t>LANGGENG</t>
        </is>
      </c>
      <c r="B87" t="inlineStr">
        <is>
          <t>Kab. Bondowoso</t>
        </is>
      </c>
      <c r="C87" t="inlineStr">
        <is>
          <t>08123363023</t>
        </is>
      </c>
      <c r="D87" t="inlineStr">
        <is>
          <t>dhikofredly@yahoo.com</t>
        </is>
      </c>
      <c r="E87" t="inlineStr">
        <is>
          <t>https://lpjk.pu.go.id/search-badan-usaha-detail/ektEMXcvaVpqMDg2V2VNMXVVeUR6Zz09</t>
        </is>
      </c>
      <c r="F87" t="n">
        <v>2</v>
      </c>
      <c r="G87" t="inlineStr">
        <is>
          <t>BG005</t>
        </is>
      </c>
      <c r="H87" t="inlineStr">
        <is>
          <t>9 Maret 1983</t>
        </is>
      </c>
      <c r="I87" s="2" t="n">
        <v>46261</v>
      </c>
      <c r="J87" t="inlineStr">
        <is>
          <t>Disetujui</t>
        </is>
      </c>
      <c r="K87" t="n">
        <v>90</v>
      </c>
      <c r="L87" t="inlineStr">
        <is>
          <t>27 Agustus 2026</t>
        </is>
      </c>
      <c r="M87" t="inlineStr">
        <is>
          <t>Konstruksi Gedung Kesehatan</t>
        </is>
      </c>
      <c r="N87" t="inlineStr">
        <is>
          <t>K</t>
        </is>
      </c>
      <c r="O87" t="inlineStr">
        <is>
          <t>20230823</t>
        </is>
      </c>
      <c r="P87" t="inlineStr">
        <is>
          <t>Jawa Timur</t>
        </is>
      </c>
      <c r="Q87" t="inlineStr"/>
    </row>
    <row r="88">
      <c r="A88" t="inlineStr">
        <is>
          <t>LAPAN DEWA</t>
        </is>
      </c>
      <c r="B88" t="inlineStr">
        <is>
          <t>Kota Tarakan</t>
        </is>
      </c>
      <c r="C88" t="inlineStr">
        <is>
          <t>081350810986</t>
        </is>
      </c>
      <c r="D88" t="inlineStr">
        <is>
          <t>martjo.mardoan@gmail.com</t>
        </is>
      </c>
      <c r="E88" t="inlineStr">
        <is>
          <t>https://lpjk.pu.go.id/search-badan-usaha-detail/VVJ3VnpXMFdMSGxmSXZncVJvMFhtQT09</t>
        </is>
      </c>
      <c r="F88" t="n">
        <v>1</v>
      </c>
      <c r="G88" t="inlineStr">
        <is>
          <t>BS001</t>
        </is>
      </c>
      <c r="H88" t="inlineStr">
        <is>
          <t>28 November 2009</t>
        </is>
      </c>
      <c r="I88" s="2" t="n">
        <v>46261</v>
      </c>
      <c r="J88" t="inlineStr">
        <is>
          <t>Disetujui</t>
        </is>
      </c>
      <c r="K88" t="n">
        <v>90</v>
      </c>
      <c r="L88" t="inlineStr">
        <is>
          <t>27 Agustus 2026</t>
        </is>
      </c>
      <c r="M88" t="inlineStr">
        <is>
          <t>Konstruksi Bangunan Sipil Jalan</t>
        </is>
      </c>
      <c r="N88" t="inlineStr">
        <is>
          <t>K</t>
        </is>
      </c>
      <c r="O88" t="inlineStr">
        <is>
          <t>20230821</t>
        </is>
      </c>
      <c r="P88" t="inlineStr">
        <is>
          <t>Kalimantan Utara</t>
        </is>
      </c>
      <c r="Q88" t="inlineStr"/>
    </row>
    <row r="89">
      <c r="A89" t="inlineStr">
        <is>
          <t>LINGGA KONTRAKTOR</t>
        </is>
      </c>
      <c r="B89" t="inlineStr">
        <is>
          <t>Kota Pekanbaru</t>
        </is>
      </c>
      <c r="C89" t="inlineStr">
        <is>
          <t>081386358922</t>
        </is>
      </c>
      <c r="D89" t="inlineStr">
        <is>
          <t>linggakontraktor@gmail.com</t>
        </is>
      </c>
      <c r="E89" t="inlineStr">
        <is>
          <t>https://lpjk.pu.go.id/search-badan-usaha-detail/K2JRRHBuWVVxOXJsWldjQVM1MC9MZz09</t>
        </is>
      </c>
      <c r="F89" t="n">
        <v>2</v>
      </c>
      <c r="G89" t="inlineStr">
        <is>
          <t>BG001, BG002</t>
        </is>
      </c>
      <c r="H89" t="inlineStr">
        <is>
          <t>9 September 2000</t>
        </is>
      </c>
      <c r="I89" s="2" t="n">
        <v>46261</v>
      </c>
      <c r="J89" t="inlineStr">
        <is>
          <t>Disetujui</t>
        </is>
      </c>
      <c r="K89" t="n">
        <v>90</v>
      </c>
      <c r="L89" t="inlineStr">
        <is>
          <t>27 Agustus 2026</t>
        </is>
      </c>
      <c r="M89" t="inlineStr">
        <is>
          <t>Konstruksi Gedung Hunian, Konstruksi Gedung Perkantoran</t>
        </is>
      </c>
      <c r="N89" t="inlineStr">
        <is>
          <t>K</t>
        </is>
      </c>
      <c r="O89" t="inlineStr">
        <is>
          <t>20230822, 20230823</t>
        </is>
      </c>
      <c r="P89" t="inlineStr">
        <is>
          <t>Riau</t>
        </is>
      </c>
      <c r="Q89" t="inlineStr"/>
    </row>
    <row r="90">
      <c r="A90" t="inlineStr">
        <is>
          <t>MAHARDHIKA</t>
        </is>
      </c>
      <c r="B90" t="inlineStr">
        <is>
          <t>Kab. Gresik</t>
        </is>
      </c>
      <c r="C90" t="inlineStr">
        <is>
          <t>03170706140</t>
        </is>
      </c>
      <c r="D90" t="inlineStr">
        <is>
          <t>cvmahardhika53@gmail.com</t>
        </is>
      </c>
      <c r="E90" t="inlineStr">
        <is>
          <t>https://lpjk.pu.go.id/search-badan-usaha-detail/a3FmdERKNXp2RnRhTkdibjducE9Mdz09</t>
        </is>
      </c>
      <c r="F90" t="n">
        <v>4</v>
      </c>
      <c r="G90" t="inlineStr">
        <is>
          <t>BS002, BS004</t>
        </is>
      </c>
      <c r="H90" t="inlineStr">
        <is>
          <t>4 Oktober 2011</t>
        </is>
      </c>
      <c r="I90" s="2" t="n">
        <v>46261</v>
      </c>
      <c r="J90" t="inlineStr">
        <is>
          <t>Disetujui</t>
        </is>
      </c>
      <c r="K90" t="n">
        <v>90</v>
      </c>
      <c r="L90" t="inlineStr">
        <is>
          <t>27 Agustus 2026</t>
        </is>
      </c>
      <c r="M90" t="inlineStr">
        <is>
          <t>Bangunan Sipil Jembatan, Jalan Layang, Fly Over, dan Underpass, Konstruksi Jaringan Irigasi dan Drainase</t>
        </is>
      </c>
      <c r="N90" t="inlineStr">
        <is>
          <t>K</t>
        </is>
      </c>
      <c r="O90" t="inlineStr">
        <is>
          <t>20230626, 20230825</t>
        </is>
      </c>
      <c r="P90" t="inlineStr">
        <is>
          <t>Jawa Timur</t>
        </is>
      </c>
      <c r="Q90" t="inlineStr"/>
    </row>
    <row r="91">
      <c r="A91" t="inlineStr">
        <is>
          <t>MAHESA CIPTA CREATIVE</t>
        </is>
      </c>
      <c r="B91" t="inlineStr">
        <is>
          <t>Kota Malang</t>
        </is>
      </c>
      <c r="C91" t="inlineStr">
        <is>
          <t>082257096102</t>
        </is>
      </c>
      <c r="D91" t="inlineStr">
        <is>
          <t>cvmccmlg@gmail.com</t>
        </is>
      </c>
      <c r="E91" t="inlineStr">
        <is>
          <t>https://lpjk.pu.go.id/search-badan-usaha-detail/ZUVzRUMwc1ZWWnBHMUUrWW5ROHZudz09</t>
        </is>
      </c>
      <c r="F91" t="n">
        <v>1</v>
      </c>
      <c r="G91" t="inlineStr">
        <is>
          <t>BG005</t>
        </is>
      </c>
      <c r="H91" t="inlineStr">
        <is>
          <t>7 Juni 2023</t>
        </is>
      </c>
      <c r="I91" s="2" t="n">
        <v>46261</v>
      </c>
      <c r="J91" t="inlineStr">
        <is>
          <t>Disetujui</t>
        </is>
      </c>
      <c r="K91" t="n">
        <v>90</v>
      </c>
      <c r="L91" t="inlineStr">
        <is>
          <t>27 Agustus 2026</t>
        </is>
      </c>
      <c r="M91" t="inlineStr">
        <is>
          <t>Konstruksi Gedung Kesehatan</t>
        </is>
      </c>
      <c r="N91" t="inlineStr">
        <is>
          <t>K</t>
        </is>
      </c>
      <c r="O91" t="inlineStr">
        <is>
          <t>20230828</t>
        </is>
      </c>
      <c r="P91" t="inlineStr">
        <is>
          <t>Jawa Timur</t>
        </is>
      </c>
      <c r="Q91" t="inlineStr"/>
    </row>
    <row r="92">
      <c r="A92" t="inlineStr">
        <is>
          <t>MANDIRI HARAPAN UTAMA</t>
        </is>
      </c>
      <c r="B92" t="inlineStr">
        <is>
          <t>Kota Padang</t>
        </is>
      </c>
      <c r="C92" t="inlineStr">
        <is>
          <t>082169024154</t>
        </is>
      </c>
      <c r="D92" t="inlineStr">
        <is>
          <t>mhupdg@gmail.com</t>
        </is>
      </c>
      <c r="E92" t="inlineStr">
        <is>
          <t>https://lpjk.pu.go.id/search-badan-usaha-detail/VUczY0NXc1F3bWFsU29lZzN1Z2FGdz09</t>
        </is>
      </c>
      <c r="F92" t="n">
        <v>1</v>
      </c>
      <c r="G92" t="inlineStr">
        <is>
          <t>BS010</t>
        </is>
      </c>
      <c r="H92" t="inlineStr">
        <is>
          <t>24 Juli 2013</t>
        </is>
      </c>
      <c r="I92" s="2" t="n">
        <v>46261</v>
      </c>
      <c r="J92" t="inlineStr">
        <is>
          <t>Disetujui</t>
        </is>
      </c>
      <c r="K92" t="n">
        <v>90</v>
      </c>
      <c r="L92" t="inlineStr">
        <is>
          <t>27 Agustus 2026</t>
        </is>
      </c>
      <c r="M92" t="inlineStr">
        <is>
          <t>Konstruksi Bangunan Prasarana Sumber Daya Air</t>
        </is>
      </c>
      <c r="N92" t="inlineStr">
        <is>
          <t>K</t>
        </is>
      </c>
      <c r="O92" t="inlineStr">
        <is>
          <t>20230824</t>
        </is>
      </c>
      <c r="P92" t="inlineStr">
        <is>
          <t>Sumatera Barat</t>
        </is>
      </c>
      <c r="Q92" t="inlineStr"/>
    </row>
    <row r="93">
      <c r="A93" t="inlineStr">
        <is>
          <t>MATAHARI KEMBAR</t>
        </is>
      </c>
      <c r="B93" t="inlineStr">
        <is>
          <t>Kab. Pandeglang</t>
        </is>
      </c>
      <c r="C93" t="inlineStr">
        <is>
          <t>087874363318</t>
        </is>
      </c>
      <c r="D93" t="inlineStr">
        <is>
          <t>lsbubanten@gmail.com</t>
        </is>
      </c>
      <c r="E93" t="inlineStr">
        <is>
          <t>https://lpjk.pu.go.id/search-badan-usaha-detail/U05nRHd2cm16d1lKaHRvdC8zSmk0QT09</t>
        </is>
      </c>
      <c r="F93" t="n">
        <v>4</v>
      </c>
      <c r="G93" t="inlineStr">
        <is>
          <t>BG006, BS001</t>
        </is>
      </c>
      <c r="H93" t="inlineStr">
        <is>
          <t>2 Mei 2016</t>
        </is>
      </c>
      <c r="I93" s="2" t="n">
        <v>46261</v>
      </c>
      <c r="J93" t="inlineStr">
        <is>
          <t>Disetujui, Pencabutan</t>
        </is>
      </c>
      <c r="K93" t="n">
        <v>90</v>
      </c>
      <c r="L93" t="inlineStr">
        <is>
          <t>27 Agustus 2026</t>
        </is>
      </c>
      <c r="M93" t="inlineStr">
        <is>
          <t>Konstruksi Bangunan Sipil Jalan, Konstruksi Gedung Pendidikan</t>
        </is>
      </c>
      <c r="N93" t="inlineStr">
        <is>
          <t>K</t>
        </is>
      </c>
      <c r="O93" t="inlineStr">
        <is>
          <t>20230725</t>
        </is>
      </c>
      <c r="P93" t="inlineStr">
        <is>
          <t>Banten</t>
        </is>
      </c>
      <c r="Q93" t="inlineStr"/>
    </row>
    <row r="94">
      <c r="A94" t="inlineStr">
        <is>
          <t>MITRA MUTIARA</t>
        </is>
      </c>
      <c r="B94" t="inlineStr">
        <is>
          <t>Kab. Maros</t>
        </is>
      </c>
      <c r="C94" t="inlineStr">
        <is>
          <t>085345406501</t>
        </is>
      </c>
      <c r="D94" t="inlineStr">
        <is>
          <t>cv.mitra_mutiara@yahoo.com</t>
        </is>
      </c>
      <c r="E94" t="inlineStr">
        <is>
          <t>https://lpjk.pu.go.id/search-badan-usaha-detail/dkl0djNENUQrVnF0eDhta21yK1FBdz09</t>
        </is>
      </c>
      <c r="F94" t="n">
        <v>1</v>
      </c>
      <c r="G94" t="inlineStr">
        <is>
          <t>BS001</t>
        </is>
      </c>
      <c r="H94" t="inlineStr">
        <is>
          <t>4 Mei 1999</t>
        </is>
      </c>
      <c r="I94" s="2" t="n">
        <v>46261</v>
      </c>
      <c r="J94" t="inlineStr">
        <is>
          <t>Disetujui</t>
        </is>
      </c>
      <c r="K94" t="n">
        <v>90</v>
      </c>
      <c r="L94" t="inlineStr">
        <is>
          <t>27 Agustus 2026</t>
        </is>
      </c>
      <c r="M94" t="inlineStr">
        <is>
          <t>Konstruksi Bangunan Sipil Jalan</t>
        </is>
      </c>
      <c r="N94" t="inlineStr">
        <is>
          <t>K</t>
        </is>
      </c>
      <c r="O94" t="inlineStr">
        <is>
          <t>20230731</t>
        </is>
      </c>
      <c r="P94" t="inlineStr">
        <is>
          <t>Sulawesi Selatan</t>
        </is>
      </c>
      <c r="Q94" t="inlineStr"/>
    </row>
    <row r="95">
      <c r="A95" t="inlineStr">
        <is>
          <t>MITRA SKALA UTAMA</t>
        </is>
      </c>
      <c r="B95" t="inlineStr">
        <is>
          <t>Kota Adm. Jakarta Selatan</t>
        </is>
      </c>
      <c r="C95" t="inlineStr">
        <is>
          <t>02175817152</t>
        </is>
      </c>
      <c r="D95" t="inlineStr">
        <is>
          <t>mitraskala.utama1502@gmail.com</t>
        </is>
      </c>
      <c r="E95" t="inlineStr">
        <is>
          <t>https://lpjk.pu.go.id/search-badan-usaha-detail/WXhJK3hibExZckRzdFcyQUw1dm9UQT09</t>
        </is>
      </c>
      <c r="F95" t="n">
        <v>1</v>
      </c>
      <c r="G95" t="inlineStr">
        <is>
          <t>AR002</t>
        </is>
      </c>
      <c r="H95" t="inlineStr">
        <is>
          <t>11 Maret 2020</t>
        </is>
      </c>
      <c r="I95" s="2" t="n">
        <v>46261</v>
      </c>
      <c r="J95" t="inlineStr">
        <is>
          <t>Disetujui</t>
        </is>
      </c>
      <c r="K95" t="n">
        <v>90</v>
      </c>
      <c r="L95" t="inlineStr">
        <is>
          <t>27 Agustus 2026</t>
        </is>
      </c>
      <c r="M95" t="inlineStr">
        <is>
          <t>Jasa Arsitektural Lainnya</t>
        </is>
      </c>
      <c r="N95" t="inlineStr">
        <is>
          <t>K</t>
        </is>
      </c>
      <c r="O95" t="inlineStr">
        <is>
          <t>20230809</t>
        </is>
      </c>
      <c r="P95" t="inlineStr">
        <is>
          <t>DKI Jakarta</t>
        </is>
      </c>
      <c r="Q95" t="inlineStr"/>
    </row>
    <row r="96">
      <c r="A96" t="inlineStr">
        <is>
          <t>MORGAN JAYA KONSTRUKSI</t>
        </is>
      </c>
      <c r="B96" t="inlineStr">
        <is>
          <t>Kota Padang</t>
        </is>
      </c>
      <c r="C96" t="inlineStr">
        <is>
          <t>081277769847</t>
        </is>
      </c>
      <c r="D96" t="inlineStr">
        <is>
          <t>ptmorganjayakonstruksi@gmail.com</t>
        </is>
      </c>
      <c r="E96" t="inlineStr">
        <is>
          <t>https://lpjk.pu.go.id/search-badan-usaha-detail/TWlacnE4Mm9GclRoSmRNZE1vQUZwQT09</t>
        </is>
      </c>
      <c r="F96" t="n">
        <v>3</v>
      </c>
      <c r="G96" t="inlineStr">
        <is>
          <t>BS001, BS004, BS007</t>
        </is>
      </c>
      <c r="H96" t="inlineStr">
        <is>
          <t>6 Februari 2023</t>
        </is>
      </c>
      <c r="I96" s="2" t="n">
        <v>46261</v>
      </c>
      <c r="J96" t="inlineStr">
        <is>
          <t>Disetujui</t>
        </is>
      </c>
      <c r="K96" t="n">
        <v>90</v>
      </c>
      <c r="L96" t="inlineStr">
        <is>
          <t>27 Agustus 2026</t>
        </is>
      </c>
      <c r="M96" t="inlineStr">
        <is>
          <t>Konstruksi Bangunan Sipil Elektrikal, Konstruksi Bangunan Sipil Jalan, Konstruksi Jaringan Irigasi dan Drainase</t>
        </is>
      </c>
      <c r="N96" t="inlineStr">
        <is>
          <t>K</t>
        </is>
      </c>
      <c r="O96" t="inlineStr">
        <is>
          <t>20230827</t>
        </is>
      </c>
      <c r="P96" t="inlineStr">
        <is>
          <t>Sumatera Barat</t>
        </is>
      </c>
      <c r="Q96" t="inlineStr"/>
    </row>
    <row r="97">
      <c r="A97" t="inlineStr">
        <is>
          <t>NABILA JAYA ABADI</t>
        </is>
      </c>
      <c r="B97" t="inlineStr">
        <is>
          <t>Kab. Tanah Bumbu</t>
        </is>
      </c>
      <c r="C97" t="inlineStr">
        <is>
          <t>081253807387</t>
        </is>
      </c>
      <c r="D97" t="inlineStr">
        <is>
          <t>nabilajayaabadi123@gmail.com</t>
        </is>
      </c>
      <c r="E97" t="inlineStr">
        <is>
          <t>https://lpjk.pu.go.id/search-badan-usaha-detail/ZUU4OUlybVBQdmI2SExuMWE5b0hXdz09</t>
        </is>
      </c>
      <c r="F97" t="n">
        <v>2</v>
      </c>
      <c r="G97" t="inlineStr">
        <is>
          <t>BS001</t>
        </is>
      </c>
      <c r="H97" t="inlineStr">
        <is>
          <t>28 Juni 2014</t>
        </is>
      </c>
      <c r="I97" s="2" t="n">
        <v>46261</v>
      </c>
      <c r="J97" t="inlineStr">
        <is>
          <t>Disetujui</t>
        </is>
      </c>
      <c r="K97" t="n">
        <v>90</v>
      </c>
      <c r="L97" t="inlineStr">
        <is>
          <t>27 Agustus 2026</t>
        </is>
      </c>
      <c r="M97" t="inlineStr">
        <is>
          <t>Konstruksi Bangunan Sipil Jalan</t>
        </is>
      </c>
      <c r="N97" t="inlineStr">
        <is>
          <t>K</t>
        </is>
      </c>
      <c r="O97" t="inlineStr">
        <is>
          <t>20230825</t>
        </is>
      </c>
      <c r="P97" t="inlineStr">
        <is>
          <t>Kalimantan Selatan</t>
        </is>
      </c>
      <c r="Q97" t="inlineStr"/>
    </row>
    <row r="98">
      <c r="A98" t="inlineStr">
        <is>
          <t>NUSA TADON ADONARA</t>
        </is>
      </c>
      <c r="B98" t="inlineStr">
        <is>
          <t>Kab. Badung</t>
        </is>
      </c>
      <c r="C98" t="inlineStr">
        <is>
          <t>081338526926</t>
        </is>
      </c>
      <c r="D98" t="inlineStr">
        <is>
          <t>ptnusatadonadonara@gmail.com</t>
        </is>
      </c>
      <c r="E98" t="inlineStr">
        <is>
          <t>https://lpjk.pu.go.id/search-badan-usaha-detail/RWtINGM3TEIydGgwcUdVWEViL1dodz09</t>
        </is>
      </c>
      <c r="F98" t="n">
        <v>1</v>
      </c>
      <c r="G98" t="inlineStr">
        <is>
          <t>BG002</t>
        </is>
      </c>
      <c r="H98" t="inlineStr">
        <is>
          <t>20 Januari 2022</t>
        </is>
      </c>
      <c r="I98" s="2" t="n">
        <v>46261</v>
      </c>
      <c r="J98" t="inlineStr">
        <is>
          <t>Disetujui</t>
        </is>
      </c>
      <c r="K98" t="n">
        <v>90</v>
      </c>
      <c r="L98" t="inlineStr">
        <is>
          <t>27 Agustus 2026</t>
        </is>
      </c>
      <c r="M98" t="inlineStr">
        <is>
          <t>Konstruksi Gedung Perkantoran</t>
        </is>
      </c>
      <c r="N98" t="inlineStr">
        <is>
          <t>K</t>
        </is>
      </c>
      <c r="O98" t="inlineStr">
        <is>
          <t>20230828</t>
        </is>
      </c>
      <c r="P98" t="inlineStr">
        <is>
          <t>Bali</t>
        </is>
      </c>
      <c r="Q98" t="inlineStr"/>
    </row>
    <row r="99">
      <c r="A99" t="inlineStr">
        <is>
          <t>PANCUR MAS UTAMA</t>
        </is>
      </c>
      <c r="B99" t="inlineStr">
        <is>
          <t>Kota Adm. Jakarta Selatan</t>
        </is>
      </c>
      <c r="C99" t="inlineStr">
        <is>
          <t>0217807494</t>
        </is>
      </c>
      <c r="D99" t="inlineStr">
        <is>
          <t>pancurmasutama@gmail.com</t>
        </is>
      </c>
      <c r="E99" t="inlineStr">
        <is>
          <t>https://lpjk.pu.go.id/search-badan-usaha-detail/U0k0YmI0NFhBUFlaNndXYjZFKzZodz09</t>
        </is>
      </c>
      <c r="F99" t="n">
        <v>2</v>
      </c>
      <c r="G99" t="inlineStr">
        <is>
          <t>BG005, BG006</t>
        </is>
      </c>
      <c r="H99" t="inlineStr">
        <is>
          <t>19 Oktober 1983</t>
        </is>
      </c>
      <c r="I99" s="2" t="n">
        <v>46261</v>
      </c>
      <c r="J99" t="inlineStr">
        <is>
          <t>Disetujui</t>
        </is>
      </c>
      <c r="K99" t="n">
        <v>90</v>
      </c>
      <c r="L99" t="inlineStr">
        <is>
          <t>27 Agustus 2026</t>
        </is>
      </c>
      <c r="M99" t="inlineStr">
        <is>
          <t>Konstruksi Gedung Kesehatan, Konstruksi Gedung Pendidikan</t>
        </is>
      </c>
      <c r="N99" t="inlineStr">
        <is>
          <t>K</t>
        </is>
      </c>
      <c r="O99" t="inlineStr">
        <is>
          <t>20230315</t>
        </is>
      </c>
      <c r="P99" t="inlineStr">
        <is>
          <t>DKI Jakarta</t>
        </is>
      </c>
      <c r="Q99" t="inlineStr"/>
    </row>
    <row r="100">
      <c r="A100" t="inlineStr">
        <is>
          <t>PEMUDA PERINTIS BERKARYA</t>
        </is>
      </c>
      <c r="B100" t="inlineStr">
        <is>
          <t>Kab. Kampar</t>
        </is>
      </c>
      <c r="C100" t="inlineStr">
        <is>
          <t>082389731994</t>
        </is>
      </c>
      <c r="D100" t="inlineStr">
        <is>
          <t>cv.pemudaperintisberkaryappb@gmail.com</t>
        </is>
      </c>
      <c r="E100" t="inlineStr">
        <is>
          <t>https://lpjk.pu.go.id/search-badan-usaha-detail/SFRFdm1vMytaWlRsSFRGRkdITmhqQT09</t>
        </is>
      </c>
      <c r="F100" t="n">
        <v>1</v>
      </c>
      <c r="G100" t="inlineStr">
        <is>
          <t>BS001</t>
        </is>
      </c>
      <c r="H100" t="inlineStr">
        <is>
          <t>12 Mei 2023</t>
        </is>
      </c>
      <c r="I100" s="2" t="n">
        <v>46261</v>
      </c>
      <c r="J100" t="inlineStr">
        <is>
          <t>Disetujui</t>
        </is>
      </c>
      <c r="K100" t="n">
        <v>90</v>
      </c>
      <c r="L100" t="inlineStr">
        <is>
          <t>27 Agustus 2026</t>
        </is>
      </c>
      <c r="M100" t="inlineStr">
        <is>
          <t>Konstruksi Bangunan Sipil Jalan</t>
        </is>
      </c>
      <c r="N100" t="inlineStr">
        <is>
          <t>K</t>
        </is>
      </c>
      <c r="O100" t="inlineStr">
        <is>
          <t>20230824</t>
        </is>
      </c>
      <c r="P100" t="inlineStr">
        <is>
          <t>Riau</t>
        </is>
      </c>
      <c r="Q100" t="inlineStr"/>
    </row>
    <row r="101">
      <c r="A101" t="inlineStr">
        <is>
          <t>PERMATA HADI</t>
        </is>
      </c>
      <c r="B101" t="inlineStr">
        <is>
          <t>Kota Padang Sidempuan</t>
        </is>
      </c>
      <c r="C101" t="inlineStr">
        <is>
          <t>082166737356</t>
        </is>
      </c>
      <c r="D101" t="inlineStr">
        <is>
          <t>permatahadicv@yahoo.com</t>
        </is>
      </c>
      <c r="E101" t="inlineStr">
        <is>
          <t>https://lpjk.pu.go.id/search-badan-usaha-detail/QkwrZHpaV3JUMElEOE9LeGM0Z25wQT09</t>
        </is>
      </c>
      <c r="F101" t="n">
        <v>1</v>
      </c>
      <c r="G101" t="inlineStr">
        <is>
          <t>BS001</t>
        </is>
      </c>
      <c r="H101" t="inlineStr">
        <is>
          <t>25 Juni 2007</t>
        </is>
      </c>
      <c r="I101" s="2" t="n">
        <v>46261</v>
      </c>
      <c r="J101" t="inlineStr">
        <is>
          <t>Disetujui</t>
        </is>
      </c>
      <c r="K101" t="n">
        <v>90</v>
      </c>
      <c r="L101" t="inlineStr">
        <is>
          <t>27 Agustus 2026</t>
        </is>
      </c>
      <c r="M101" t="inlineStr">
        <is>
          <t>Konstruksi Bangunan Sipil Jalan</t>
        </is>
      </c>
      <c r="N101" t="inlineStr">
        <is>
          <t>K</t>
        </is>
      </c>
      <c r="O101" t="inlineStr">
        <is>
          <t>20230814</t>
        </is>
      </c>
      <c r="P101" t="inlineStr">
        <is>
          <t>Sumatera Utara</t>
        </is>
      </c>
      <c r="Q101" t="inlineStr"/>
    </row>
    <row r="102">
      <c r="A102" t="inlineStr">
        <is>
          <t>PETRA SUMBER SUKSES</t>
        </is>
      </c>
      <c r="B102" t="inlineStr">
        <is>
          <t>Kota Surabaya</t>
        </is>
      </c>
      <c r="C102" t="inlineStr">
        <is>
          <t>082230687200</t>
        </is>
      </c>
      <c r="D102" t="inlineStr">
        <is>
          <t>pt.petrasumbersukses@gmail.com</t>
        </is>
      </c>
      <c r="E102" t="inlineStr">
        <is>
          <t>https://lpjk.pu.go.id/search-badan-usaha-detail/N1JjRjFrc0o4S2ZUMHh1c3h5MXNiZz09</t>
        </is>
      </c>
      <c r="F102" t="n">
        <v>1</v>
      </c>
      <c r="G102" t="inlineStr">
        <is>
          <t>BS001</t>
        </is>
      </c>
      <c r="H102" t="inlineStr">
        <is>
          <t>1 November 2019</t>
        </is>
      </c>
      <c r="I102" s="2" t="n">
        <v>46261</v>
      </c>
      <c r="J102" t="inlineStr">
        <is>
          <t>Disetujui</t>
        </is>
      </c>
      <c r="K102" t="n">
        <v>90</v>
      </c>
      <c r="L102" t="inlineStr">
        <is>
          <t>27 Agustus 2026</t>
        </is>
      </c>
      <c r="M102" t="inlineStr">
        <is>
          <t>Konstruksi Bangunan Sipil Jalan</t>
        </is>
      </c>
      <c r="N102" t="inlineStr">
        <is>
          <t>M</t>
        </is>
      </c>
      <c r="O102" t="inlineStr">
        <is>
          <t>20230803</t>
        </is>
      </c>
      <c r="P102" t="inlineStr">
        <is>
          <t>Jawa Timur</t>
        </is>
      </c>
      <c r="Q102" t="inlineStr"/>
    </row>
    <row r="103">
      <c r="A103" t="inlineStr">
        <is>
          <t>PILAR CADAS PUTRA</t>
        </is>
      </c>
      <c r="B103" t="inlineStr">
        <is>
          <t>Kota Tangerang</t>
        </is>
      </c>
      <c r="C103" t="inlineStr">
        <is>
          <t>02122263385</t>
        </is>
      </c>
      <c r="D103" t="inlineStr">
        <is>
          <t>pt.fcp@yahoo.com</t>
        </is>
      </c>
      <c r="E103" t="inlineStr">
        <is>
          <t>https://lpjk.pu.go.id/search-badan-usaha-detail/QmpVOU5nVDJBemFqbk1UN1ViQ1RBdz09</t>
        </is>
      </c>
      <c r="F103" t="n">
        <v>1</v>
      </c>
      <c r="G103" t="inlineStr">
        <is>
          <t>BG002</t>
        </is>
      </c>
      <c r="H103" t="inlineStr">
        <is>
          <t>14 Mei 2012</t>
        </is>
      </c>
      <c r="I103" s="2" t="n">
        <v>46261</v>
      </c>
      <c r="J103" t="inlineStr">
        <is>
          <t>Pencabutan</t>
        </is>
      </c>
      <c r="K103" t="n">
        <v>90</v>
      </c>
      <c r="L103" t="inlineStr">
        <is>
          <t>27 Agustus 2026</t>
        </is>
      </c>
      <c r="M103" t="inlineStr">
        <is>
          <t>Konstruksi Gedung Perkantoran</t>
        </is>
      </c>
      <c r="N103" t="inlineStr">
        <is>
          <t>B</t>
        </is>
      </c>
      <c r="O103" t="inlineStr">
        <is>
          <t>20230819</t>
        </is>
      </c>
      <c r="P103" t="inlineStr">
        <is>
          <t>Banten</t>
        </is>
      </c>
      <c r="Q103" t="inlineStr"/>
    </row>
    <row r="104">
      <c r="A104" t="inlineStr">
        <is>
          <t>PIONIR MANDIRI SEJATI</t>
        </is>
      </c>
      <c r="B104" t="inlineStr">
        <is>
          <t>Kab. Raja Ampat</t>
        </is>
      </c>
      <c r="C104" t="inlineStr">
        <is>
          <t>-</t>
        </is>
      </c>
      <c r="D104" t="inlineStr">
        <is>
          <t>pionirmandirisejati@yahoo.co.id</t>
        </is>
      </c>
      <c r="E104" t="inlineStr">
        <is>
          <t>https://lpjk.pu.go.id/search-badan-usaha-detail/WWpyNlUweWdDSzlaRC9UODV1a3Bldz09</t>
        </is>
      </c>
      <c r="F104" t="n">
        <v>1</v>
      </c>
      <c r="G104" t="inlineStr">
        <is>
          <t>BG004</t>
        </is>
      </c>
      <c r="H104" t="inlineStr">
        <is>
          <t>5 Januari 2015</t>
        </is>
      </c>
      <c r="I104" s="2" t="n">
        <v>46261</v>
      </c>
      <c r="J104" t="inlineStr">
        <is>
          <t>Pembekuan</t>
        </is>
      </c>
      <c r="K104" t="n">
        <v>90</v>
      </c>
      <c r="L104" t="inlineStr">
        <is>
          <t>27 Agustus 2026</t>
        </is>
      </c>
      <c r="M104" t="inlineStr">
        <is>
          <t>Konstruksi Gedung Perbelanjaan</t>
        </is>
      </c>
      <c r="N104" t="inlineStr">
        <is>
          <t>M</t>
        </is>
      </c>
      <c r="O104" t="inlineStr">
        <is>
          <t>20230828</t>
        </is>
      </c>
      <c r="P104" t="inlineStr">
        <is>
          <t>Papua Barat</t>
        </is>
      </c>
      <c r="Q104" t="inlineStr"/>
    </row>
    <row r="105">
      <c r="A105" t="inlineStr">
        <is>
          <t>PRIMA KARYA</t>
        </is>
      </c>
      <c r="B105" t="inlineStr">
        <is>
          <t>Kota Surabaya</t>
        </is>
      </c>
      <c r="C105" t="inlineStr">
        <is>
          <t>08885367842</t>
        </is>
      </c>
      <c r="D105" t="inlineStr">
        <is>
          <t>yudasudarwanto@yahoo.co.id</t>
        </is>
      </c>
      <c r="E105" t="inlineStr">
        <is>
          <t>https://lpjk.pu.go.id/search-badan-usaha-detail/dG9KM2VkZmZkNHBuNnk2ZkJlc1pzZz09</t>
        </is>
      </c>
      <c r="F105" t="n">
        <v>1</v>
      </c>
      <c r="G105" t="inlineStr">
        <is>
          <t>BG005</t>
        </is>
      </c>
      <c r="H105" t="inlineStr">
        <is>
          <t>14 September 1996</t>
        </is>
      </c>
      <c r="I105" s="2" t="n">
        <v>46261</v>
      </c>
      <c r="J105" t="inlineStr">
        <is>
          <t>Disetujui</t>
        </is>
      </c>
      <c r="K105" t="n">
        <v>90</v>
      </c>
      <c r="L105" t="inlineStr">
        <is>
          <t>27 Agustus 2026</t>
        </is>
      </c>
      <c r="M105" t="inlineStr">
        <is>
          <t>Konstruksi Gedung Kesehatan</t>
        </is>
      </c>
      <c r="N105" t="inlineStr">
        <is>
          <t>K</t>
        </is>
      </c>
      <c r="O105" t="inlineStr">
        <is>
          <t>20230821</t>
        </is>
      </c>
      <c r="P105" t="inlineStr">
        <is>
          <t>Jawa Timur</t>
        </is>
      </c>
      <c r="Q105" t="inlineStr"/>
    </row>
    <row r="106">
      <c r="A106" t="inlineStr">
        <is>
          <t>PRIMA SHINA CAHAYA</t>
        </is>
      </c>
      <c r="B106" t="inlineStr">
        <is>
          <t>Kota Bandung</t>
        </is>
      </c>
      <c r="C106" t="inlineStr">
        <is>
          <t>08112030367</t>
        </is>
      </c>
      <c r="D106" t="inlineStr">
        <is>
          <t>primashina.pt@gmail.com</t>
        </is>
      </c>
      <c r="E106" t="inlineStr">
        <is>
          <t>https://lpjk.pu.go.id/search-badan-usaha-detail/VklmNW1PZm9wV29NVlRvR2QwK09vUT09</t>
        </is>
      </c>
      <c r="F106" t="n">
        <v>1</v>
      </c>
      <c r="G106" t="inlineStr">
        <is>
          <t>BG001</t>
        </is>
      </c>
      <c r="H106" t="inlineStr">
        <is>
          <t>2 Desember 2014</t>
        </is>
      </c>
      <c r="I106" s="2" t="n">
        <v>46261</v>
      </c>
      <c r="J106" t="inlineStr">
        <is>
          <t>Pencabutan</t>
        </is>
      </c>
      <c r="K106" t="n">
        <v>90</v>
      </c>
      <c r="L106" t="inlineStr">
        <is>
          <t>27 Agustus 2026</t>
        </is>
      </c>
      <c r="M106" t="inlineStr">
        <is>
          <t>Konstruksi Gedung Hunian</t>
        </is>
      </c>
      <c r="N106" t="inlineStr">
        <is>
          <t>M</t>
        </is>
      </c>
      <c r="O106" t="inlineStr">
        <is>
          <t>20230823</t>
        </is>
      </c>
      <c r="P106" t="inlineStr">
        <is>
          <t>Jawa Barat</t>
        </is>
      </c>
      <c r="Q106" t="inlineStr"/>
    </row>
    <row r="107">
      <c r="A107" t="inlineStr">
        <is>
          <t>PUTRA AGUNG</t>
        </is>
      </c>
      <c r="B107" t="inlineStr">
        <is>
          <t>Kab. Sumenep</t>
        </is>
      </c>
      <c r="C107" t="inlineStr">
        <is>
          <t>-</t>
        </is>
      </c>
      <c r="D107" t="inlineStr">
        <is>
          <t>aldihappy7@gmail.com</t>
        </is>
      </c>
      <c r="E107" t="inlineStr">
        <is>
          <t>https://lpjk.pu.go.id/search-badan-usaha-detail/V1R4WE96NFBiS21tTHVxTndKcXF2dz09</t>
        </is>
      </c>
      <c r="F107" t="n">
        <v>2</v>
      </c>
      <c r="G107" t="inlineStr">
        <is>
          <t>BS004, BS005</t>
        </is>
      </c>
      <c r="H107" t="inlineStr">
        <is>
          <t>23 April 2018</t>
        </is>
      </c>
      <c r="I107" s="2" t="n">
        <v>46261</v>
      </c>
      <c r="J107" t="inlineStr">
        <is>
          <t>Pencabutan</t>
        </is>
      </c>
      <c r="K107" t="n">
        <v>90</v>
      </c>
      <c r="L107" t="inlineStr">
        <is>
          <t>27 Agustus 2026</t>
        </is>
      </c>
      <c r="M107" t="inlineStr">
        <is>
          <t>Konstruksi Bangunan Sipil Pengolahan Air Bersih, Konstruksi Jaringan Irigasi dan Drainase</t>
        </is>
      </c>
      <c r="N107" t="inlineStr">
        <is>
          <t>K</t>
        </is>
      </c>
      <c r="O107" t="inlineStr">
        <is>
          <t>20230825</t>
        </is>
      </c>
      <c r="P107" t="inlineStr">
        <is>
          <t>Jawa Timur</t>
        </is>
      </c>
      <c r="Q107" t="inlineStr"/>
    </row>
    <row r="108">
      <c r="A108" t="inlineStr">
        <is>
          <t>PUTRA KOWISI</t>
        </is>
      </c>
      <c r="B108" t="inlineStr">
        <is>
          <t>Kab. Kepulauan Yapen</t>
        </is>
      </c>
      <c r="C108" t="inlineStr">
        <is>
          <t>081247939149</t>
        </is>
      </c>
      <c r="D108" t="inlineStr">
        <is>
          <t>kowisiputra@gmail.com</t>
        </is>
      </c>
      <c r="E108" t="inlineStr">
        <is>
          <t>https://lpjk.pu.go.id/search-badan-usaha-detail/K2MydEV3aVBFeWo1MFNzdGxWVStGQT09</t>
        </is>
      </c>
      <c r="F108" t="n">
        <v>2</v>
      </c>
      <c r="G108" t="inlineStr">
        <is>
          <t>BG001, BG006</t>
        </is>
      </c>
      <c r="H108" t="inlineStr">
        <is>
          <t>6 Maret 2020</t>
        </is>
      </c>
      <c r="I108" s="2" t="n">
        <v>46261</v>
      </c>
      <c r="J108" t="inlineStr">
        <is>
          <t>Disetujui</t>
        </is>
      </c>
      <c r="K108" t="n">
        <v>90</v>
      </c>
      <c r="L108" t="inlineStr">
        <is>
          <t>27 Agustus 2026</t>
        </is>
      </c>
      <c r="M108" t="inlineStr">
        <is>
          <t>Konstruksi Gedung Hunian, Konstruksi Gedung Pendidikan</t>
        </is>
      </c>
      <c r="N108" t="inlineStr">
        <is>
          <t>K</t>
        </is>
      </c>
      <c r="O108" t="inlineStr">
        <is>
          <t>20230827</t>
        </is>
      </c>
      <c r="P108" t="inlineStr">
        <is>
          <t>Papua</t>
        </is>
      </c>
      <c r="Q108" t="inlineStr"/>
    </row>
    <row r="109">
      <c r="A109" t="inlineStr">
        <is>
          <t>PUTRA NARASAON SEJAHTERA</t>
        </is>
      </c>
      <c r="B109" t="inlineStr">
        <is>
          <t>Kota Palembang</t>
        </is>
      </c>
      <c r="C109" t="inlineStr">
        <is>
          <t>081377865458</t>
        </is>
      </c>
      <c r="D109" t="inlineStr">
        <is>
          <t>narasaonsejahtera27@gmail.com</t>
        </is>
      </c>
      <c r="E109" t="inlineStr">
        <is>
          <t>https://lpjk.pu.go.id/search-badan-usaha-detail/ZkFLYzZUTVpZZTMrZFNwTlJhQjB5UT09</t>
        </is>
      </c>
      <c r="F109" t="n">
        <v>1</v>
      </c>
      <c r="G109" t="inlineStr">
        <is>
          <t>BS010</t>
        </is>
      </c>
      <c r="H109" t="inlineStr">
        <is>
          <t>13 Juni 2019</t>
        </is>
      </c>
      <c r="I109" s="2" t="n">
        <v>46261</v>
      </c>
      <c r="J109" t="inlineStr">
        <is>
          <t>Disetujui</t>
        </is>
      </c>
      <c r="K109" t="n">
        <v>90</v>
      </c>
      <c r="L109" t="inlineStr">
        <is>
          <t>27 Agustus 2026</t>
        </is>
      </c>
      <c r="M109" t="inlineStr">
        <is>
          <t>Konstruksi Bangunan Prasarana Sumber Daya Air</t>
        </is>
      </c>
      <c r="N109" t="inlineStr">
        <is>
          <t>K</t>
        </is>
      </c>
      <c r="O109" t="inlineStr">
        <is>
          <t>20230828</t>
        </is>
      </c>
      <c r="P109" t="inlineStr">
        <is>
          <t>Sumatera Selatan</t>
        </is>
      </c>
      <c r="Q109" t="inlineStr"/>
    </row>
    <row r="110">
      <c r="A110" t="inlineStr">
        <is>
          <t>PUTRA PAHLAWAN</t>
        </is>
      </c>
      <c r="B110" t="inlineStr">
        <is>
          <t>Kab. Tanjung Jabung Barat</t>
        </is>
      </c>
      <c r="C110" t="inlineStr">
        <is>
          <t>085264363693</t>
        </is>
      </c>
      <c r="D110" t="inlineStr">
        <is>
          <t>kartanto1441@gmail.com</t>
        </is>
      </c>
      <c r="E110" t="inlineStr">
        <is>
          <t>https://lpjk.pu.go.id/search-badan-usaha-detail/UXdhS2Mxd2d5dm96QkN2R3h5SXNWdz09</t>
        </is>
      </c>
      <c r="F110" t="n">
        <v>2</v>
      </c>
      <c r="G110" t="inlineStr">
        <is>
          <t>BS001, BS002</t>
        </is>
      </c>
      <c r="H110" t="inlineStr">
        <is>
          <t>10 September 2013</t>
        </is>
      </c>
      <c r="I110" s="2" t="n">
        <v>46261</v>
      </c>
      <c r="J110" t="inlineStr">
        <is>
          <t>Pencabutan</t>
        </is>
      </c>
      <c r="K110" t="n">
        <v>90</v>
      </c>
      <c r="L110" t="inlineStr">
        <is>
          <t>27 Agustus 2026</t>
        </is>
      </c>
      <c r="M110" t="inlineStr">
        <is>
          <t>Bangunan Sipil Jembatan, Jalan Layang, Fly Over, dan Underpass, Konstruksi Bangunan Sipil Jalan</t>
        </is>
      </c>
      <c r="N110" t="inlineStr">
        <is>
          <t>K</t>
        </is>
      </c>
      <c r="O110" t="inlineStr">
        <is>
          <t>20230825</t>
        </is>
      </c>
      <c r="P110" t="inlineStr">
        <is>
          <t>Jambi</t>
        </is>
      </c>
      <c r="Q110" t="inlineStr"/>
    </row>
    <row r="111">
      <c r="A111" t="inlineStr">
        <is>
          <t>PUTRA TUNGGAL MANDIRI</t>
        </is>
      </c>
      <c r="B111" t="inlineStr">
        <is>
          <t>Kab. Morowali</t>
        </is>
      </c>
      <c r="C111" t="inlineStr">
        <is>
          <t>082259601580</t>
        </is>
      </c>
      <c r="D111" t="inlineStr">
        <is>
          <t>hasimptm@yahoo.co.id</t>
        </is>
      </c>
      <c r="E111" t="inlineStr">
        <is>
          <t>https://lpjk.pu.go.id/search-badan-usaha-detail/VTVwbHlUaSsxb1prYVBKV2t0QkREUT09</t>
        </is>
      </c>
      <c r="F111" t="n">
        <v>3</v>
      </c>
      <c r="G111" t="inlineStr">
        <is>
          <t>BS001, BS002, BS004</t>
        </is>
      </c>
      <c r="H111" t="inlineStr">
        <is>
          <t>3 Oktober 2000</t>
        </is>
      </c>
      <c r="I111" s="2" t="n">
        <v>46261</v>
      </c>
      <c r="J111" t="inlineStr">
        <is>
          <t>Disetujui</t>
        </is>
      </c>
      <c r="K111" t="n">
        <v>90</v>
      </c>
      <c r="L111" t="inlineStr">
        <is>
          <t>27 Agustus 2026</t>
        </is>
      </c>
      <c r="M111" t="inlineStr">
        <is>
          <t>Bangunan Sipil Jembatan, Jalan Layang, Fly Over, dan Underpass, Konstruksi Bangunan Sipil Jalan, Konstruksi Jaringan Irigasi dan Drainase</t>
        </is>
      </c>
      <c r="N111" t="inlineStr">
        <is>
          <t>K</t>
        </is>
      </c>
      <c r="O111" t="inlineStr">
        <is>
          <t>20230823</t>
        </is>
      </c>
      <c r="P111" t="inlineStr">
        <is>
          <t>Sulawesi Tengah</t>
        </is>
      </c>
      <c r="Q111" t="inlineStr"/>
    </row>
    <row r="112">
      <c r="A112" t="inlineStr">
        <is>
          <t>REYHAN PUTRA MANDIRI</t>
        </is>
      </c>
      <c r="B112" t="inlineStr">
        <is>
          <t>Kab. Indramayu</t>
        </is>
      </c>
      <c r="C112" t="inlineStr">
        <is>
          <t>087835125006</t>
        </is>
      </c>
      <c r="D112" t="inlineStr">
        <is>
          <t>cvrpm1404@gmail.com</t>
        </is>
      </c>
      <c r="E112" t="inlineStr">
        <is>
          <t>https://lpjk.pu.go.id/search-badan-usaha-detail/WW5UMGZhZ0RCWCtSV1RkYVQ4dnJpQT09</t>
        </is>
      </c>
      <c r="F112" t="n">
        <v>1</v>
      </c>
      <c r="G112" t="inlineStr">
        <is>
          <t>BG006</t>
        </is>
      </c>
      <c r="H112" t="inlineStr">
        <is>
          <t>3 Juli 2020</t>
        </is>
      </c>
      <c r="I112" s="2" t="n">
        <v>46261</v>
      </c>
      <c r="J112" t="inlineStr">
        <is>
          <t>Pencabutan</t>
        </is>
      </c>
      <c r="K112" t="n">
        <v>90</v>
      </c>
      <c r="L112" t="inlineStr">
        <is>
          <t>27 Agustus 2026</t>
        </is>
      </c>
      <c r="M112" t="inlineStr">
        <is>
          <t>Konstruksi Gedung Pendidikan</t>
        </is>
      </c>
      <c r="N112" t="inlineStr">
        <is>
          <t>K</t>
        </is>
      </c>
      <c r="O112" t="inlineStr">
        <is>
          <t>20230813</t>
        </is>
      </c>
      <c r="P112" t="inlineStr">
        <is>
          <t>Jawa Barat</t>
        </is>
      </c>
      <c r="Q112" t="inlineStr"/>
    </row>
    <row r="113">
      <c r="A113" t="inlineStr">
        <is>
          <t>RIA CONSULTAN</t>
        </is>
      </c>
      <c r="B113" t="inlineStr">
        <is>
          <t>Kota Palembang</t>
        </is>
      </c>
      <c r="C113" t="inlineStr">
        <is>
          <t>082176688331</t>
        </is>
      </c>
      <c r="D113" t="inlineStr">
        <is>
          <t>riaconsultan46@gmail.com</t>
        </is>
      </c>
      <c r="E113" t="inlineStr">
        <is>
          <t>https://lpjk.pu.go.id/search-badan-usaha-detail/UU9YMzBkdElKUXBTb0RrNGRmQ0NmQT09</t>
        </is>
      </c>
      <c r="F113" t="n">
        <v>2</v>
      </c>
      <c r="G113" t="inlineStr">
        <is>
          <t>RK001, RK003</t>
        </is>
      </c>
      <c r="H113" t="inlineStr">
        <is>
          <t>14 Februari 2023</t>
        </is>
      </c>
      <c r="I113" s="2" t="n">
        <v>46261</v>
      </c>
      <c r="J113" t="inlineStr">
        <is>
          <t>Disetujui</t>
        </is>
      </c>
      <c r="K113" t="n">
        <v>90</v>
      </c>
      <c r="L113" t="inlineStr">
        <is>
          <t>27 Agustus 2026</t>
        </is>
      </c>
      <c r="M113" t="inlineStr">
        <is>
          <t>Jasa Rekayasa Konstruksi Bangunan Gedung Hunian dan Non Hunian, Jasa Rekayasa Pekerjaan Teknik Sipil Transportasi</t>
        </is>
      </c>
      <c r="N113" t="inlineStr">
        <is>
          <t>K</t>
        </is>
      </c>
      <c r="O113" t="inlineStr">
        <is>
          <t>20230816</t>
        </is>
      </c>
      <c r="P113" t="inlineStr">
        <is>
          <t>Sumatera Selatan</t>
        </is>
      </c>
      <c r="Q113" t="inlineStr"/>
    </row>
    <row r="114">
      <c r="A114" t="inlineStr">
        <is>
          <t>RUMAH KERTAS ARSITEKTUR</t>
        </is>
      </c>
      <c r="B114" t="inlineStr">
        <is>
          <t>Kota Padang</t>
        </is>
      </c>
      <c r="C114" t="inlineStr">
        <is>
          <t>082171787229</t>
        </is>
      </c>
      <c r="D114" t="inlineStr">
        <is>
          <t>cv.rumahkertasarsitektur@gmail.com</t>
        </is>
      </c>
      <c r="E114" t="inlineStr">
        <is>
          <t>https://lpjk.pu.go.id/search-badan-usaha-detail/WHBXNWNGQk01UWkrN1F0UDd4YlV0UT09</t>
        </is>
      </c>
      <c r="F114" t="n">
        <v>2</v>
      </c>
      <c r="G114" t="inlineStr">
        <is>
          <t>BG002, BG003</t>
        </is>
      </c>
      <c r="H114" t="inlineStr">
        <is>
          <t>13 Agustus 2019</t>
        </is>
      </c>
      <c r="I114" s="2" t="n">
        <v>46261</v>
      </c>
      <c r="J114" t="inlineStr">
        <is>
          <t>Disetujui</t>
        </is>
      </c>
      <c r="K114" t="n">
        <v>90</v>
      </c>
      <c r="L114" t="inlineStr">
        <is>
          <t>27 Agustus 2026</t>
        </is>
      </c>
      <c r="M114" t="inlineStr">
        <is>
          <t>Konstruksi Gedung Industri, Konstruksi Gedung Perkantoran</t>
        </is>
      </c>
      <c r="N114" t="inlineStr">
        <is>
          <t>K</t>
        </is>
      </c>
      <c r="O114" t="inlineStr">
        <is>
          <t>20230824</t>
        </is>
      </c>
      <c r="P114" t="inlineStr">
        <is>
          <t>Sumatera Barat</t>
        </is>
      </c>
      <c r="Q114" t="inlineStr"/>
    </row>
    <row r="115">
      <c r="A115" t="inlineStr">
        <is>
          <t>RUNDISQI</t>
        </is>
      </c>
      <c r="B115" t="inlineStr">
        <is>
          <t>Kota Medan</t>
        </is>
      </c>
      <c r="C115" t="inlineStr">
        <is>
          <t>082273663299</t>
        </is>
      </c>
      <c r="D115" t="inlineStr">
        <is>
          <t>cv.rundisqi123@yahoo.com</t>
        </is>
      </c>
      <c r="E115" t="inlineStr">
        <is>
          <t>https://lpjk.pu.go.id/search-badan-usaha-detail/WXJQczRUcXZnc29OTFpyU0UwRzhFZz09</t>
        </is>
      </c>
      <c r="F115" t="n">
        <v>1</v>
      </c>
      <c r="G115" t="inlineStr">
        <is>
          <t>BG009</t>
        </is>
      </c>
      <c r="H115" t="inlineStr">
        <is>
          <t>22 Juni 2012</t>
        </is>
      </c>
      <c r="I115" s="2" t="n">
        <v>46261</v>
      </c>
      <c r="J115" t="inlineStr">
        <is>
          <t>Pencabutan</t>
        </is>
      </c>
      <c r="K115" t="n">
        <v>90</v>
      </c>
      <c r="L115" t="inlineStr">
        <is>
          <t>27 Agustus 2026</t>
        </is>
      </c>
      <c r="M115" t="inlineStr">
        <is>
          <t>Konstruksi Gedung Lainnya</t>
        </is>
      </c>
      <c r="N115" t="inlineStr">
        <is>
          <t>K</t>
        </is>
      </c>
      <c r="O115" t="inlineStr">
        <is>
          <t>20230522</t>
        </is>
      </c>
      <c r="P115" t="inlineStr">
        <is>
          <t>Sumatera Utara</t>
        </is>
      </c>
      <c r="Q115" t="inlineStr"/>
    </row>
    <row r="116">
      <c r="A116" t="inlineStr">
        <is>
          <t>SANSIBAR HALMAHERA</t>
        </is>
      </c>
      <c r="B116" t="inlineStr">
        <is>
          <t>Kab. Halmahera Timur</t>
        </is>
      </c>
      <c r="C116" t="inlineStr">
        <is>
          <t>082223697205</t>
        </is>
      </c>
      <c r="D116" t="inlineStr">
        <is>
          <t>cv.sansibarhalmahera@gmail.com</t>
        </is>
      </c>
      <c r="E116" t="inlineStr">
        <is>
          <t>https://lpjk.pu.go.id/search-badan-usaha-detail/dkJkV3VNSUZIMUNoZjI0RnlHV1lzZz09</t>
        </is>
      </c>
      <c r="F116" t="n">
        <v>1</v>
      </c>
      <c r="G116" t="inlineStr">
        <is>
          <t>BG002</t>
        </is>
      </c>
      <c r="H116" t="inlineStr">
        <is>
          <t>25 Oktober 2021</t>
        </is>
      </c>
      <c r="I116" s="2" t="n">
        <v>46261</v>
      </c>
      <c r="J116" t="inlineStr">
        <is>
          <t>Disetujui</t>
        </is>
      </c>
      <c r="K116" t="n">
        <v>90</v>
      </c>
      <c r="L116" t="inlineStr">
        <is>
          <t>27 Agustus 2026</t>
        </is>
      </c>
      <c r="M116" t="inlineStr">
        <is>
          <t>Konstruksi Gedung Perkantoran</t>
        </is>
      </c>
      <c r="N116" t="inlineStr">
        <is>
          <t>K</t>
        </is>
      </c>
      <c r="O116" t="inlineStr">
        <is>
          <t>20230826</t>
        </is>
      </c>
      <c r="P116" t="inlineStr">
        <is>
          <t>Maluku Utara</t>
        </is>
      </c>
      <c r="Q116" t="inlineStr"/>
    </row>
    <row r="117">
      <c r="A117" t="inlineStr">
        <is>
          <t>SARANA KALIANDRA YASA</t>
        </is>
      </c>
      <c r="B117" t="inlineStr">
        <is>
          <t>Kota Adm. Jakarta Selatan</t>
        </is>
      </c>
      <c r="C117" t="inlineStr">
        <is>
          <t>02180607926</t>
        </is>
      </c>
      <c r="D117" t="inlineStr">
        <is>
          <t>ptsky.id@gmail.com</t>
        </is>
      </c>
      <c r="E117" t="inlineStr">
        <is>
          <t>https://lpjk.pu.go.id/search-badan-usaha-detail/MHFJM3NMMDVOVlZ5Q2FINkVPRm9Qdz09</t>
        </is>
      </c>
      <c r="F117" t="n">
        <v>4</v>
      </c>
      <c r="G117" t="inlineStr">
        <is>
          <t>BG001, BG005, BG006, BG009</t>
        </is>
      </c>
      <c r="H117" t="inlineStr">
        <is>
          <t>20 Maret 2019</t>
        </is>
      </c>
      <c r="I117" s="2" t="n">
        <v>46261</v>
      </c>
      <c r="J117" t="inlineStr">
        <is>
          <t>Disetujui</t>
        </is>
      </c>
      <c r="K117" t="n">
        <v>90</v>
      </c>
      <c r="L117" t="inlineStr">
        <is>
          <t>27 Agustus 2026</t>
        </is>
      </c>
      <c r="M117" t="inlineStr">
        <is>
          <t>Konstruksi Gedung Hunian, Konstruksi Gedung Kesehatan, Konstruksi Gedung Lainnya, Konstruksi Gedung Pendidikan</t>
        </is>
      </c>
      <c r="N117" t="inlineStr">
        <is>
          <t>K</t>
        </is>
      </c>
      <c r="O117" t="inlineStr">
        <is>
          <t>20230717, 20230824</t>
        </is>
      </c>
      <c r="P117" t="inlineStr">
        <is>
          <t>DKI Jakarta</t>
        </is>
      </c>
      <c r="Q117" t="inlineStr"/>
    </row>
    <row r="118">
      <c r="A118" t="inlineStr">
        <is>
          <t>SARI INDAH KARYA</t>
        </is>
      </c>
      <c r="B118" t="inlineStr">
        <is>
          <t>Kab. Karangasem</t>
        </is>
      </c>
      <c r="C118" t="inlineStr">
        <is>
          <t>081339569948</t>
        </is>
      </c>
      <c r="D118" t="inlineStr">
        <is>
          <t>cv_sariindahkarya@yahoo.com</t>
        </is>
      </c>
      <c r="E118" t="inlineStr">
        <is>
          <t>https://lpjk.pu.go.id/search-badan-usaha-detail/ZXdqWEo1aFdKMUE0ZnJKNnd6WWhNZz09</t>
        </is>
      </c>
      <c r="F118" t="n">
        <v>3</v>
      </c>
      <c r="G118" t="inlineStr">
        <is>
          <t>BG005, BG006, BG009</t>
        </is>
      </c>
      <c r="H118" t="inlineStr">
        <is>
          <t>6 Oktober 1994</t>
        </is>
      </c>
      <c r="I118" s="2" t="n">
        <v>46261</v>
      </c>
      <c r="J118" t="inlineStr">
        <is>
          <t>Disetujui</t>
        </is>
      </c>
      <c r="K118" t="n">
        <v>90</v>
      </c>
      <c r="L118" t="inlineStr">
        <is>
          <t>27 Agustus 2026</t>
        </is>
      </c>
      <c r="M118" t="inlineStr">
        <is>
          <t>Konstruksi Gedung Kesehatan, Konstruksi Gedung Lainnya, Konstruksi Gedung Pendidikan</t>
        </is>
      </c>
      <c r="N118" t="inlineStr">
        <is>
          <t>K</t>
        </is>
      </c>
      <c r="O118" t="inlineStr">
        <is>
          <t>20230824</t>
        </is>
      </c>
      <c r="P118" t="inlineStr">
        <is>
          <t>Bali</t>
        </is>
      </c>
      <c r="Q118" t="inlineStr"/>
    </row>
    <row r="119">
      <c r="A119" t="inlineStr">
        <is>
          <t>SARI NOVA PRATAMA</t>
        </is>
      </c>
      <c r="B119" t="inlineStr">
        <is>
          <t>Kab. Langkat</t>
        </is>
      </c>
      <c r="C119" t="inlineStr">
        <is>
          <t>082261275447</t>
        </is>
      </c>
      <c r="D119" t="inlineStr">
        <is>
          <t>cv.sarinova@umkmgo.online</t>
        </is>
      </c>
      <c r="E119" t="inlineStr">
        <is>
          <t>https://lpjk.pu.go.id/search-badan-usaha-detail/dkp4ejNxTmp1ay96L0xMU2ZMd2RXQT09</t>
        </is>
      </c>
      <c r="F119" t="n">
        <v>1</v>
      </c>
      <c r="G119" t="inlineStr">
        <is>
          <t>BS001</t>
        </is>
      </c>
      <c r="H119" t="inlineStr">
        <is>
          <t>29 Maret 2023</t>
        </is>
      </c>
      <c r="I119" s="2" t="n">
        <v>46261</v>
      </c>
      <c r="J119" t="inlineStr">
        <is>
          <t>Disetujui</t>
        </is>
      </c>
      <c r="K119" t="n">
        <v>90</v>
      </c>
      <c r="L119" t="inlineStr">
        <is>
          <t>27 Agustus 2026</t>
        </is>
      </c>
      <c r="M119" t="inlineStr">
        <is>
          <t>Konstruksi Bangunan Sipil Jalan</t>
        </is>
      </c>
      <c r="N119" t="inlineStr">
        <is>
          <t>K</t>
        </is>
      </c>
      <c r="O119" t="inlineStr">
        <is>
          <t>20230825</t>
        </is>
      </c>
      <c r="P119" t="inlineStr">
        <is>
          <t>Sumatera Utara</t>
        </is>
      </c>
      <c r="Q119" t="inlineStr"/>
    </row>
    <row r="120">
      <c r="A120" t="inlineStr">
        <is>
          <t>SAVANA INDO MEDIA</t>
        </is>
      </c>
      <c r="B120" t="inlineStr">
        <is>
          <t>Kab. Pangandaran</t>
        </is>
      </c>
      <c r="C120" t="inlineStr">
        <is>
          <t>081323346908</t>
        </is>
      </c>
      <c r="D120" t="inlineStr">
        <is>
          <t>savanaindomedia@gmail.com</t>
        </is>
      </c>
      <c r="E120" t="inlineStr">
        <is>
          <t>https://lpjk.pu.go.id/search-badan-usaha-detail/VDQzT29lUWlaR25KNG93ckhRcytudz09</t>
        </is>
      </c>
      <c r="F120" t="n">
        <v>6</v>
      </c>
      <c r="G120" t="inlineStr">
        <is>
          <t>AR001, RK002, RK003</t>
        </is>
      </c>
      <c r="H120" t="inlineStr">
        <is>
          <t>20 April 2015</t>
        </is>
      </c>
      <c r="I120" s="2" t="n">
        <v>46261</v>
      </c>
      <c r="J120" t="inlineStr">
        <is>
          <t>Disetujui</t>
        </is>
      </c>
      <c r="K120" t="n">
        <v>90</v>
      </c>
      <c r="L120" t="inlineStr">
        <is>
          <t>27 Agustus 2026</t>
        </is>
      </c>
      <c r="M120" t="inlineStr">
        <is>
          <t>Jasa Arsitektural Bangunan Gedung Hunian dan Non Hunian, Jasa Rekayasa Pekerjaan Teknik Sipil Sumber Daya Air, Jasa Rekayasa Pekerjaan Teknik Sipil Transportasi</t>
        </is>
      </c>
      <c r="N120" t="inlineStr">
        <is>
          <t>K</t>
        </is>
      </c>
      <c r="O120" t="inlineStr">
        <is>
          <t>20230309, 20230811</t>
        </is>
      </c>
      <c r="P120" t="inlineStr">
        <is>
          <t>Jawa Barat</t>
        </is>
      </c>
      <c r="Q120" t="inlineStr"/>
    </row>
    <row r="121">
      <c r="A121" t="inlineStr">
        <is>
          <t>SEJAHTERA ABADI</t>
        </is>
      </c>
      <c r="B121" t="inlineStr">
        <is>
          <t>Kab. Bengkalis</t>
        </is>
      </c>
      <c r="C121" t="inlineStr">
        <is>
          <t>085294337755</t>
        </is>
      </c>
      <c r="D121" t="inlineStr">
        <is>
          <t>cvsejahtera_abadi@yahoo.co.id</t>
        </is>
      </c>
      <c r="E121" t="inlineStr">
        <is>
          <t>https://lpjk.pu.go.id/search-badan-usaha-detail/cDV4WmViNm1vaEF3cG8wM1VaRmFFUT09</t>
        </is>
      </c>
      <c r="F121" t="n">
        <v>6</v>
      </c>
      <c r="G121" t="inlineStr">
        <is>
          <t>BG002, BG004, BG005, BG006, BG009, BS001</t>
        </is>
      </c>
      <c r="H121" t="inlineStr">
        <is>
          <t>24 Juli 2001</t>
        </is>
      </c>
      <c r="I121" s="2" t="n">
        <v>46261</v>
      </c>
      <c r="J121" t="inlineStr">
        <is>
          <t>Disetujui</t>
        </is>
      </c>
      <c r="K121" t="n">
        <v>90</v>
      </c>
      <c r="L121" t="inlineStr">
        <is>
          <t>27 Agustus 2026</t>
        </is>
      </c>
      <c r="M121" t="inlineStr">
        <is>
          <t>Konstruksi Bangunan Sipil Jalan, Konstruksi Gedung Kesehatan, Konstruksi Gedung Lainnya, Konstruksi Gedung Pendidikan, Konstruksi Gedung Perbelanjaan, Konstruksi Gedung Perkantoran</t>
        </is>
      </c>
      <c r="N121" t="inlineStr">
        <is>
          <t>K</t>
        </is>
      </c>
      <c r="O121" t="inlineStr">
        <is>
          <t>20230826, 20230828</t>
        </is>
      </c>
      <c r="P121" t="inlineStr">
        <is>
          <t>Riau</t>
        </is>
      </c>
      <c r="Q121" t="inlineStr"/>
    </row>
    <row r="122">
      <c r="A122" t="inlineStr">
        <is>
          <t>SELO MULTI TEKNIK</t>
        </is>
      </c>
      <c r="B122" t="inlineStr">
        <is>
          <t>Kab. Malang</t>
        </is>
      </c>
      <c r="C122" t="inlineStr">
        <is>
          <t>081212609481</t>
        </is>
      </c>
      <c r="D122" t="inlineStr">
        <is>
          <t>cv.selomultiteknik@gmail.com</t>
        </is>
      </c>
      <c r="E122" t="inlineStr">
        <is>
          <t>https://lpjk.pu.go.id/search-badan-usaha-detail/YVRUeHBucytkcDF5dFlkckNqYlZUUT09</t>
        </is>
      </c>
      <c r="F122" t="n">
        <v>1</v>
      </c>
      <c r="G122" t="inlineStr">
        <is>
          <t>BS001</t>
        </is>
      </c>
      <c r="H122" t="inlineStr">
        <is>
          <t>8 Mei 2023</t>
        </is>
      </c>
      <c r="I122" s="2" t="n">
        <v>46261</v>
      </c>
      <c r="J122" t="inlineStr">
        <is>
          <t>Disetujui</t>
        </is>
      </c>
      <c r="K122" t="n">
        <v>90</v>
      </c>
      <c r="L122" t="inlineStr">
        <is>
          <t>27 Agustus 2026</t>
        </is>
      </c>
      <c r="M122" t="inlineStr">
        <is>
          <t>Konstruksi Bangunan Sipil Jalan</t>
        </is>
      </c>
      <c r="N122" t="inlineStr">
        <is>
          <t>K</t>
        </is>
      </c>
      <c r="O122" t="inlineStr">
        <is>
          <t>20230826</t>
        </is>
      </c>
      <c r="P122" t="inlineStr">
        <is>
          <t>Jawa Timur</t>
        </is>
      </c>
      <c r="Q122" t="inlineStr"/>
    </row>
    <row r="123">
      <c r="A123" t="inlineStr">
        <is>
          <t>SINAR AKBAR KONSULTAN</t>
        </is>
      </c>
      <c r="B123" t="inlineStr">
        <is>
          <t>Kab. Bojonegoro</t>
        </is>
      </c>
      <c r="C123" t="inlineStr">
        <is>
          <t>0895339363722</t>
        </is>
      </c>
      <c r="D123" t="inlineStr">
        <is>
          <t>konsultansinarakbar@gmail.com</t>
        </is>
      </c>
      <c r="E123" t="inlineStr">
        <is>
          <t>https://lpjk.pu.go.id/search-badan-usaha-detail/a1pXZWhwNlI4a1FhNUxnblNBWXBtQT09</t>
        </is>
      </c>
      <c r="F123" t="n">
        <v>2</v>
      </c>
      <c r="G123" t="inlineStr">
        <is>
          <t>RK001, RK003</t>
        </is>
      </c>
      <c r="H123" t="inlineStr">
        <is>
          <t>4 Desember 2019</t>
        </is>
      </c>
      <c r="I123" s="2" t="n">
        <v>46261</v>
      </c>
      <c r="J123" t="inlineStr">
        <is>
          <t>Disetujui</t>
        </is>
      </c>
      <c r="K123" t="n">
        <v>90</v>
      </c>
      <c r="L123" t="inlineStr">
        <is>
          <t>27 Agustus 2026</t>
        </is>
      </c>
      <c r="M123" t="inlineStr">
        <is>
          <t>Jasa Rekayasa Konstruksi Bangunan Gedung Hunian dan Non Hunian, Jasa Rekayasa Pekerjaan Teknik Sipil Transportasi</t>
        </is>
      </c>
      <c r="N123" t="inlineStr">
        <is>
          <t>K</t>
        </is>
      </c>
      <c r="O123" t="inlineStr">
        <is>
          <t>20230804, 20230811</t>
        </is>
      </c>
      <c r="P123" t="inlineStr">
        <is>
          <t>Jawa Timur</t>
        </is>
      </c>
      <c r="Q123" t="inlineStr"/>
    </row>
    <row r="124">
      <c r="A124" t="inlineStr">
        <is>
          <t>SINAR REMBULAN</t>
        </is>
      </c>
      <c r="B124" t="inlineStr">
        <is>
          <t>Kab. Landak</t>
        </is>
      </c>
      <c r="C124" t="inlineStr">
        <is>
          <t>085246964073</t>
        </is>
      </c>
      <c r="D124" t="inlineStr">
        <is>
          <t>cv_sinarrembulan@yahoo.com</t>
        </is>
      </c>
      <c r="E124" t="inlineStr">
        <is>
          <t>https://lpjk.pu.go.id/search-badan-usaha-detail/bkdhdTk1bXl4aTM1ZG5NU1kvWXVEQT09</t>
        </is>
      </c>
      <c r="F124" t="n">
        <v>2</v>
      </c>
      <c r="G124" t="inlineStr">
        <is>
          <t>BG006, BS001</t>
        </is>
      </c>
      <c r="H124" t="inlineStr">
        <is>
          <t>4 Januari 2016</t>
        </is>
      </c>
      <c r="I124" s="2" t="n">
        <v>46261</v>
      </c>
      <c r="J124" t="inlineStr">
        <is>
          <t>Disetujui</t>
        </is>
      </c>
      <c r="K124" t="n">
        <v>90</v>
      </c>
      <c r="L124" t="inlineStr">
        <is>
          <t>27 Agustus 2026</t>
        </is>
      </c>
      <c r="M124" t="inlineStr">
        <is>
          <t>Konstruksi Bangunan Sipil Jalan, Konstruksi Gedung Pendidikan</t>
        </is>
      </c>
      <c r="N124" t="inlineStr">
        <is>
          <t>K</t>
        </is>
      </c>
      <c r="O124" t="inlineStr">
        <is>
          <t>20230827</t>
        </is>
      </c>
      <c r="P124" t="inlineStr">
        <is>
          <t>Kalimantan Barat</t>
        </is>
      </c>
      <c r="Q124" t="inlineStr"/>
    </row>
    <row r="125">
      <c r="A125" t="inlineStr">
        <is>
          <t>SRIKANDI JATIM</t>
        </is>
      </c>
      <c r="B125" t="inlineStr">
        <is>
          <t>Kab. Ngawi</t>
        </is>
      </c>
      <c r="C125" t="inlineStr">
        <is>
          <t>081231876201</t>
        </is>
      </c>
      <c r="D125" t="inlineStr">
        <is>
          <t>srikandijatim7@gmail.com</t>
        </is>
      </c>
      <c r="E125" t="inlineStr">
        <is>
          <t>https://lpjk.pu.go.id/search-badan-usaha-detail/SWFTNmJrMHNXVnhCL0poNSt1U3JCUT09</t>
        </is>
      </c>
      <c r="F125" t="n">
        <v>4</v>
      </c>
      <c r="G125" t="inlineStr">
        <is>
          <t>BS001, BS002, BS004, BS010</t>
        </is>
      </c>
      <c r="H125" t="inlineStr">
        <is>
          <t>4 Juli 2023</t>
        </is>
      </c>
      <c r="I125" s="2" t="n">
        <v>46261</v>
      </c>
      <c r="J125" t="inlineStr">
        <is>
          <t>Disetujui</t>
        </is>
      </c>
      <c r="K125" t="n">
        <v>90</v>
      </c>
      <c r="L125" t="inlineStr">
        <is>
          <t>27 Agustus 2026</t>
        </is>
      </c>
      <c r="M125" t="inlineStr">
        <is>
          <t>Bangunan Sipil Jembatan, Jalan Layang, Fly Over, dan Underpass, Konstruksi Bangunan Prasarana Sumber Daya Air, Konstruksi Bangunan Sipil Jalan, Konstruksi Jaringan Irigasi dan Drainase</t>
        </is>
      </c>
      <c r="N125" t="inlineStr">
        <is>
          <t>K</t>
        </is>
      </c>
      <c r="O125" t="inlineStr">
        <is>
          <t>20230824</t>
        </is>
      </c>
      <c r="P125" t="inlineStr">
        <is>
          <t>Jawa Timur</t>
        </is>
      </c>
      <c r="Q125" t="inlineStr"/>
    </row>
    <row r="126">
      <c r="A126" t="inlineStr">
        <is>
          <t>SUKARAYA BATURAJA</t>
        </is>
      </c>
      <c r="B126" t="inlineStr">
        <is>
          <t>Kab. Ogan Komering Ulu</t>
        </is>
      </c>
      <c r="C126" t="inlineStr">
        <is>
          <t>085268495442</t>
        </is>
      </c>
      <c r="D126" t="inlineStr">
        <is>
          <t>sukarayabaturaja545@gmail.com</t>
        </is>
      </c>
      <c r="E126" t="inlineStr">
        <is>
          <t>https://lpjk.pu.go.id/search-badan-usaha-detail/QWR3bU1udTZlckJJNnZzRjlseXk5QT09</t>
        </is>
      </c>
      <c r="F126" t="n">
        <v>2</v>
      </c>
      <c r="G126" t="inlineStr">
        <is>
          <t>BG009, BS004</t>
        </is>
      </c>
      <c r="H126" t="inlineStr">
        <is>
          <t>21 Maret 2003</t>
        </is>
      </c>
      <c r="I126" s="2" t="n">
        <v>46261</v>
      </c>
      <c r="J126" t="inlineStr">
        <is>
          <t>Pencabutan</t>
        </is>
      </c>
      <c r="K126" t="n">
        <v>90</v>
      </c>
      <c r="L126" t="inlineStr">
        <is>
          <t>27 Agustus 2026</t>
        </is>
      </c>
      <c r="M126" t="inlineStr">
        <is>
          <t>Konstruksi Gedung Lainnya, Konstruksi Jaringan Irigasi dan Drainase</t>
        </is>
      </c>
      <c r="N126" t="inlineStr">
        <is>
          <t>K</t>
        </is>
      </c>
      <c r="O126" t="inlineStr">
        <is>
          <t>20230825, 20230827</t>
        </is>
      </c>
      <c r="P126" t="inlineStr">
        <is>
          <t>Sumatera Selatan</t>
        </is>
      </c>
      <c r="Q126" t="inlineStr"/>
    </row>
    <row r="127">
      <c r="A127" t="inlineStr">
        <is>
          <t>SURYA PERDANA MANDIRI</t>
        </is>
      </c>
      <c r="B127" t="inlineStr">
        <is>
          <t>Kab. Pandeglang</t>
        </is>
      </c>
      <c r="C127" t="inlineStr">
        <is>
          <t>081285757565</t>
        </is>
      </c>
      <c r="D127" t="inlineStr">
        <is>
          <t>cv.suryaperdanamandiri@yahoo.com</t>
        </is>
      </c>
      <c r="E127" t="inlineStr">
        <is>
          <t>https://lpjk.pu.go.id/search-badan-usaha-detail/Z1hYakNJaGVLczE3UEF3cFhuWEViUT09</t>
        </is>
      </c>
      <c r="F127" t="n">
        <v>2</v>
      </c>
      <c r="G127" t="inlineStr">
        <is>
          <t>BG006, BS001</t>
        </is>
      </c>
      <c r="H127" t="inlineStr">
        <is>
          <t>2 Maret 2015</t>
        </is>
      </c>
      <c r="I127" s="2" t="n">
        <v>46261</v>
      </c>
      <c r="J127" t="inlineStr">
        <is>
          <t>Disetujui, Pencabutan</t>
        </is>
      </c>
      <c r="K127" t="n">
        <v>90</v>
      </c>
      <c r="L127" t="inlineStr">
        <is>
          <t>27 Agustus 2026</t>
        </is>
      </c>
      <c r="M127" t="inlineStr">
        <is>
          <t>Konstruksi Bangunan Sipil Jalan, Konstruksi Gedung Pendidikan</t>
        </is>
      </c>
      <c r="N127" t="inlineStr">
        <is>
          <t>K</t>
        </is>
      </c>
      <c r="O127" t="inlineStr">
        <is>
          <t>20230815</t>
        </is>
      </c>
      <c r="P127" t="inlineStr">
        <is>
          <t>Banten</t>
        </is>
      </c>
      <c r="Q127" t="inlineStr"/>
    </row>
    <row r="128">
      <c r="A128" t="inlineStr">
        <is>
          <t>SURYA SINTESIA</t>
        </is>
      </c>
      <c r="B128" t="inlineStr">
        <is>
          <t>Kota Gorontalo</t>
        </is>
      </c>
      <c r="C128" t="inlineStr">
        <is>
          <t>0895807452522</t>
        </is>
      </c>
      <c r="D128" t="inlineStr">
        <is>
          <t>cv.suryasintesia@gmail.com</t>
        </is>
      </c>
      <c r="E128" t="inlineStr">
        <is>
          <t>https://lpjk.pu.go.id/search-badan-usaha-detail/ZGlMdWc4Uk82TGZVNFRGOUY2bDUvUT09</t>
        </is>
      </c>
      <c r="F128" t="n">
        <v>1</v>
      </c>
      <c r="G128" t="inlineStr">
        <is>
          <t>BS010</t>
        </is>
      </c>
      <c r="H128" t="inlineStr">
        <is>
          <t>16 September 2019</t>
        </is>
      </c>
      <c r="I128" s="2" t="n">
        <v>46261</v>
      </c>
      <c r="J128" t="inlineStr">
        <is>
          <t>Disetujui</t>
        </is>
      </c>
      <c r="K128" t="n">
        <v>90</v>
      </c>
      <c r="L128" t="inlineStr">
        <is>
          <t>27 Agustus 2026</t>
        </is>
      </c>
      <c r="M128" t="inlineStr">
        <is>
          <t>Konstruksi Bangunan Prasarana Sumber Daya Air</t>
        </is>
      </c>
      <c r="N128" t="inlineStr">
        <is>
          <t>K</t>
        </is>
      </c>
      <c r="O128" t="inlineStr">
        <is>
          <t>20230826</t>
        </is>
      </c>
      <c r="P128" t="inlineStr">
        <is>
          <t>Gorontalo</t>
        </is>
      </c>
      <c r="Q128" t="inlineStr"/>
    </row>
    <row r="129">
      <c r="A129" t="inlineStr">
        <is>
          <t>TALENTA GUNA MANDIRI</t>
        </is>
      </c>
      <c r="B129" t="inlineStr">
        <is>
          <t>Kota Makassar</t>
        </is>
      </c>
      <c r="C129" t="inlineStr">
        <is>
          <t>085255266692</t>
        </is>
      </c>
      <c r="D129" t="inlineStr">
        <is>
          <t>talentagunamandiri@gmail.com</t>
        </is>
      </c>
      <c r="E129" t="inlineStr">
        <is>
          <t>https://lpjk.pu.go.id/search-badan-usaha-detail/dnk4cUtxNXNoTGRoR0hDS0JwUWlIQT09</t>
        </is>
      </c>
      <c r="F129" t="n">
        <v>1</v>
      </c>
      <c r="G129" t="inlineStr">
        <is>
          <t>BG006</t>
        </is>
      </c>
      <c r="H129" t="inlineStr">
        <is>
          <t>7 Desember 2017</t>
        </is>
      </c>
      <c r="I129" s="2" t="n">
        <v>46261</v>
      </c>
      <c r="J129" t="inlineStr">
        <is>
          <t>Disetujui</t>
        </is>
      </c>
      <c r="K129" t="n">
        <v>90</v>
      </c>
      <c r="L129" t="inlineStr">
        <is>
          <t>27 Agustus 2026</t>
        </is>
      </c>
      <c r="M129" t="inlineStr">
        <is>
          <t>Konstruksi Gedung Pendidikan</t>
        </is>
      </c>
      <c r="N129" t="inlineStr">
        <is>
          <t>K</t>
        </is>
      </c>
      <c r="O129" t="inlineStr">
        <is>
          <t>20230824</t>
        </is>
      </c>
      <c r="P129" t="inlineStr">
        <is>
          <t>Sulawesi Selatan</t>
        </is>
      </c>
      <c r="Q129" t="inlineStr"/>
    </row>
    <row r="130">
      <c r="A130" t="inlineStr">
        <is>
          <t>TELAGA CAHAYA NUSANTARA</t>
        </is>
      </c>
      <c r="B130" t="inlineStr">
        <is>
          <t>Kota Makassar</t>
        </is>
      </c>
      <c r="C130" t="inlineStr">
        <is>
          <t>0811454669</t>
        </is>
      </c>
      <c r="D130" t="inlineStr">
        <is>
          <t>info@tcn-corp.com</t>
        </is>
      </c>
      <c r="E130" t="inlineStr">
        <is>
          <t>https://lpjk.pu.go.id/search-badan-usaha-detail/dFJLYWpxN1dncVgydnUxOERlNk8yZz09</t>
        </is>
      </c>
      <c r="F130" t="n">
        <v>3</v>
      </c>
      <c r="G130" t="inlineStr">
        <is>
          <t>KP001, KP002, PB007</t>
        </is>
      </c>
      <c r="H130" t="inlineStr">
        <is>
          <t>24 Juli 2015</t>
        </is>
      </c>
      <c r="I130" s="2" t="n">
        <v>46261</v>
      </c>
      <c r="J130" t="inlineStr">
        <is>
          <t>Pembekuan</t>
        </is>
      </c>
      <c r="K130" t="n">
        <v>90</v>
      </c>
      <c r="L130" t="inlineStr">
        <is>
          <t>27 Agustus 2026</t>
        </is>
      </c>
      <c r="M130" t="inlineStr">
        <is>
          <t>Pekerjaan Konstruksi Prapabrikasi Bangunan Gedung, Pekerjaan Konstruksi Prapabrikasi Bangunan Sipil, Pengecatan</t>
        </is>
      </c>
      <c r="N130" t="inlineStr">
        <is>
          <t>Spesialis</t>
        </is>
      </c>
      <c r="O130" t="inlineStr">
        <is>
          <t>20230825</t>
        </is>
      </c>
      <c r="P130" t="inlineStr">
        <is>
          <t>Sulawesi Selatan</t>
        </is>
      </c>
      <c r="Q130" t="inlineStr"/>
    </row>
    <row r="131">
      <c r="A131" t="inlineStr">
        <is>
          <t>TRANSIS COM</t>
        </is>
      </c>
      <c r="B131" t="inlineStr">
        <is>
          <t>Kab. Cirebon</t>
        </is>
      </c>
      <c r="C131" t="inlineStr">
        <is>
          <t>081395713111</t>
        </is>
      </c>
      <c r="D131" t="inlineStr">
        <is>
          <t>cv.transiscom@yahoo.com</t>
        </is>
      </c>
      <c r="E131" t="inlineStr">
        <is>
          <t>https://lpjk.pu.go.id/search-badan-usaha-detail/TFV2Yk5RMDRxWi9QVkl6MThySDhndz09</t>
        </is>
      </c>
      <c r="F131" t="n">
        <v>3</v>
      </c>
      <c r="G131" t="inlineStr">
        <is>
          <t>BG006</t>
        </is>
      </c>
      <c r="H131" t="inlineStr">
        <is>
          <t>24 Juli 2007</t>
        </is>
      </c>
      <c r="I131" s="2" t="n">
        <v>46261</v>
      </c>
      <c r="J131" t="inlineStr">
        <is>
          <t>Disetujui</t>
        </is>
      </c>
      <c r="K131" t="n">
        <v>90</v>
      </c>
      <c r="L131" t="inlineStr">
        <is>
          <t>27 Agustus 2026</t>
        </is>
      </c>
      <c r="M131" t="inlineStr">
        <is>
          <t>Konstruksi Gedung Pendidikan</t>
        </is>
      </c>
      <c r="N131" t="inlineStr">
        <is>
          <t>K</t>
        </is>
      </c>
      <c r="O131" t="inlineStr">
        <is>
          <t>20230824</t>
        </is>
      </c>
      <c r="P131" t="inlineStr">
        <is>
          <t>Jawa Barat</t>
        </is>
      </c>
      <c r="Q131" t="inlineStr"/>
    </row>
    <row r="132">
      <c r="A132" t="inlineStr">
        <is>
          <t>TRIATMA TRUNTUM KONSTRUKSINDO</t>
        </is>
      </c>
      <c r="B132" t="inlineStr">
        <is>
          <t>Kota Adm. Jakarta Barat</t>
        </is>
      </c>
      <c r="C132" t="inlineStr">
        <is>
          <t>02129866319</t>
        </is>
      </c>
      <c r="D132" t="inlineStr">
        <is>
          <t>pt.triatmatruntumkonstruksindo@gmail.com</t>
        </is>
      </c>
      <c r="E132" t="inlineStr">
        <is>
          <t>https://lpjk.pu.go.id/search-badan-usaha-detail/QVBhOU5FSjB2RU1wTFhmYTJRRWhpZz09</t>
        </is>
      </c>
      <c r="F132" t="n">
        <v>1</v>
      </c>
      <c r="G132" t="inlineStr">
        <is>
          <t>RK001</t>
        </is>
      </c>
      <c r="H132" t="inlineStr">
        <is>
          <t>13 September 2019</t>
        </is>
      </c>
      <c r="I132" s="2" t="n">
        <v>46261</v>
      </c>
      <c r="J132" t="inlineStr">
        <is>
          <t>Disetujui</t>
        </is>
      </c>
      <c r="K132" t="n">
        <v>90</v>
      </c>
      <c r="L132" t="inlineStr">
        <is>
          <t>27 Agustus 2026</t>
        </is>
      </c>
      <c r="M132" t="inlineStr">
        <is>
          <t>Jasa Rekayasa Konstruksi Bangunan Gedung Hunian dan Non Hunian</t>
        </is>
      </c>
      <c r="N132" t="inlineStr">
        <is>
          <t>K</t>
        </is>
      </c>
      <c r="O132" t="inlineStr">
        <is>
          <t>20230816</t>
        </is>
      </c>
      <c r="P132" t="inlineStr">
        <is>
          <t>DKI Jakarta</t>
        </is>
      </c>
      <c r="Q132" t="inlineStr"/>
    </row>
    <row r="133">
      <c r="A133" t="inlineStr">
        <is>
          <t>TRITUNGGAL INTI ABADI</t>
        </is>
      </c>
      <c r="B133" t="inlineStr">
        <is>
          <t>Kota Bandung</t>
        </is>
      </c>
      <c r="C133" t="inlineStr">
        <is>
          <t>0818422411</t>
        </is>
      </c>
      <c r="D133" t="inlineStr">
        <is>
          <t>tritunggal.inti.abadi@gmail.com</t>
        </is>
      </c>
      <c r="E133" t="inlineStr">
        <is>
          <t>https://lpjk.pu.go.id/search-badan-usaha-detail/RkY2dkFaMzMxcmdlcmpSRDZVTlVPQT09</t>
        </is>
      </c>
      <c r="F133" t="n">
        <v>4</v>
      </c>
      <c r="G133" t="inlineStr">
        <is>
          <t>BG003, BG005, BG006, BG009</t>
        </is>
      </c>
      <c r="H133" t="inlineStr">
        <is>
          <t>23 Januari 2014</t>
        </is>
      </c>
      <c r="I133" s="2" t="n">
        <v>46261</v>
      </c>
      <c r="J133" t="inlineStr">
        <is>
          <t>Disetujui</t>
        </is>
      </c>
      <c r="K133" t="n">
        <v>90</v>
      </c>
      <c r="L133" t="inlineStr">
        <is>
          <t>27 Agustus 2026</t>
        </is>
      </c>
      <c r="M133" t="inlineStr">
        <is>
          <t>Konstruksi Gedung Industri, Konstruksi Gedung Kesehatan, Konstruksi Gedung Lainnya, Konstruksi Gedung Pendidikan</t>
        </is>
      </c>
      <c r="N133" t="inlineStr">
        <is>
          <t>K</t>
        </is>
      </c>
      <c r="O133" t="inlineStr">
        <is>
          <t>20230808</t>
        </is>
      </c>
      <c r="P133" t="inlineStr">
        <is>
          <t>Jawa Barat</t>
        </is>
      </c>
      <c r="Q133" t="inlineStr"/>
    </row>
    <row r="134">
      <c r="A134" t="inlineStr">
        <is>
          <t>TUNAS ENGINEERING</t>
        </is>
      </c>
      <c r="B134" t="inlineStr">
        <is>
          <t>Kota Tangerang Selatan</t>
        </is>
      </c>
      <c r="C134" t="inlineStr">
        <is>
          <t>02175882435</t>
        </is>
      </c>
      <c r="D134" t="inlineStr">
        <is>
          <t>tunas_engineering@yahoo.com</t>
        </is>
      </c>
      <c r="E134" t="inlineStr">
        <is>
          <t>https://lpjk.pu.go.id/search-badan-usaha-detail/MVVKNWRHTXA0Y2ZidVc5alpLSGZhdz09</t>
        </is>
      </c>
      <c r="F134" t="n">
        <v>1</v>
      </c>
      <c r="G134" t="inlineStr">
        <is>
          <t>RK003</t>
        </is>
      </c>
      <c r="H134" t="inlineStr">
        <is>
          <t>2 Maret 2010</t>
        </is>
      </c>
      <c r="I134" s="2" t="n">
        <v>46261</v>
      </c>
      <c r="J134" t="inlineStr">
        <is>
          <t>Disetujui</t>
        </is>
      </c>
      <c r="K134" t="n">
        <v>90</v>
      </c>
      <c r="L134" t="inlineStr">
        <is>
          <t>27 Agustus 2026</t>
        </is>
      </c>
      <c r="M134" t="inlineStr">
        <is>
          <t>Jasa Rekayasa Pekerjaan Teknik Sipil Transportasi</t>
        </is>
      </c>
      <c r="N134" t="inlineStr">
        <is>
          <t>K</t>
        </is>
      </c>
      <c r="O134" t="inlineStr">
        <is>
          <t>20230813</t>
        </is>
      </c>
      <c r="P134" t="inlineStr">
        <is>
          <t>Banten</t>
        </is>
      </c>
      <c r="Q134" t="inlineStr"/>
    </row>
    <row r="135">
      <c r="A135" t="inlineStr">
        <is>
          <t>UTAMA TEKNIK</t>
        </is>
      </c>
      <c r="B135" t="inlineStr">
        <is>
          <t>Kota Makassar</t>
        </is>
      </c>
      <c r="C135" t="inlineStr">
        <is>
          <t>081355176909</t>
        </is>
      </c>
      <c r="D135" t="inlineStr">
        <is>
          <t>cv.utamateknik2021@gmail.com</t>
        </is>
      </c>
      <c r="E135" t="inlineStr">
        <is>
          <t>https://lpjk.pu.go.id/search-badan-usaha-detail/eVYzcEQ2emdjclVjUjJmRTBXWDUvdz09</t>
        </is>
      </c>
      <c r="F135" t="n">
        <v>2</v>
      </c>
      <c r="G135" t="inlineStr">
        <is>
          <t>BG002, BS004</t>
        </is>
      </c>
      <c r="H135" t="inlineStr">
        <is>
          <t>8 Januari 2016</t>
        </is>
      </c>
      <c r="I135" s="2" t="n">
        <v>46261</v>
      </c>
      <c r="J135" t="inlineStr">
        <is>
          <t>Disetujui</t>
        </is>
      </c>
      <c r="K135" t="n">
        <v>90</v>
      </c>
      <c r="L135" t="inlineStr">
        <is>
          <t>27 Agustus 2026</t>
        </is>
      </c>
      <c r="M135" t="inlineStr">
        <is>
          <t>Konstruksi Gedung Perkantoran, Konstruksi Jaringan Irigasi dan Drainase</t>
        </is>
      </c>
      <c r="N135" t="inlineStr">
        <is>
          <t>K</t>
        </is>
      </c>
      <c r="O135" t="inlineStr">
        <is>
          <t>20230817</t>
        </is>
      </c>
      <c r="P135" t="inlineStr">
        <is>
          <t>Sulawesi Selatan</t>
        </is>
      </c>
      <c r="Q135" t="inlineStr"/>
    </row>
    <row r="136">
      <c r="A136" t="inlineStr">
        <is>
          <t>VICTORY MEMBANGUN BERSAMA</t>
        </is>
      </c>
      <c r="B136" t="inlineStr">
        <is>
          <t>Kab. Minahasa</t>
        </is>
      </c>
      <c r="C136" t="inlineStr">
        <is>
          <t>081356094372</t>
        </is>
      </c>
      <c r="D136" t="inlineStr">
        <is>
          <t>victorymembangunbersama01@gmail.com</t>
        </is>
      </c>
      <c r="E136" t="inlineStr">
        <is>
          <t>https://lpjk.pu.go.id/search-badan-usaha-detail/SmVheXBrNmVORFVORFRVWmh2QWpkZz09</t>
        </is>
      </c>
      <c r="F136" t="n">
        <v>1</v>
      </c>
      <c r="G136" t="inlineStr">
        <is>
          <t>BG001</t>
        </is>
      </c>
      <c r="H136" t="inlineStr">
        <is>
          <t>9 Februari 2023</t>
        </is>
      </c>
      <c r="I136" s="2" t="n">
        <v>46261</v>
      </c>
      <c r="J136" t="inlineStr">
        <is>
          <t>Disetujui</t>
        </is>
      </c>
      <c r="K136" t="n">
        <v>90</v>
      </c>
      <c r="L136" t="inlineStr">
        <is>
          <t>27 Agustus 2026</t>
        </is>
      </c>
      <c r="M136" t="inlineStr">
        <is>
          <t>Konstruksi Gedung Hunian</t>
        </is>
      </c>
      <c r="N136" t="inlineStr">
        <is>
          <t>K</t>
        </is>
      </c>
      <c r="O136" t="inlineStr">
        <is>
          <t>20230825</t>
        </is>
      </c>
      <c r="P136" t="inlineStr">
        <is>
          <t>Sulawesi Utara</t>
        </is>
      </c>
      <c r="Q136" t="inlineStr"/>
    </row>
    <row r="137">
      <c r="A137" t="inlineStr">
        <is>
          <t>WIJAYA KUSUMA CONTRACTORS</t>
        </is>
      </c>
      <c r="B137" t="inlineStr">
        <is>
          <t>Kota Adm. Jakarta Pusat</t>
        </is>
      </c>
      <c r="C137" t="inlineStr">
        <is>
          <t>0213905658</t>
        </is>
      </c>
      <c r="D137" t="inlineStr">
        <is>
          <t>marketing@wkc.co.id</t>
        </is>
      </c>
      <c r="E137" t="inlineStr">
        <is>
          <t>https://lpjk.pu.go.id/search-badan-usaha-detail/Tmd4RzBVcnR4LzhnbEY2QnpPRXN2QT09</t>
        </is>
      </c>
      <c r="F137" t="n">
        <v>1</v>
      </c>
      <c r="G137" t="inlineStr">
        <is>
          <t>BG001</t>
        </is>
      </c>
      <c r="H137" t="inlineStr">
        <is>
          <t>5 Oktober 1971</t>
        </is>
      </c>
      <c r="I137" s="2" t="n">
        <v>46261</v>
      </c>
      <c r="J137" t="inlineStr">
        <is>
          <t>Disetujui</t>
        </is>
      </c>
      <c r="K137" t="n">
        <v>90</v>
      </c>
      <c r="L137" t="inlineStr">
        <is>
          <t>27 Agustus 2026</t>
        </is>
      </c>
      <c r="M137" t="inlineStr">
        <is>
          <t>Konstruksi Gedung Hunian</t>
        </is>
      </c>
      <c r="N137" t="inlineStr">
        <is>
          <t>B</t>
        </is>
      </c>
      <c r="O137" t="inlineStr">
        <is>
          <t>20230404</t>
        </is>
      </c>
      <c r="P137" t="inlineStr">
        <is>
          <t>DKI Jakarta</t>
        </is>
      </c>
      <c r="Q137" t="inlineStr"/>
    </row>
    <row r="138">
      <c r="A138" t="inlineStr">
        <is>
          <t>YADA WASISTA KONSTRUKSI</t>
        </is>
      </c>
      <c r="B138" t="inlineStr">
        <is>
          <t>Kota Jayapura</t>
        </is>
      </c>
      <c r="C138" t="inlineStr">
        <is>
          <t>0</t>
        </is>
      </c>
      <c r="D138" t="inlineStr">
        <is>
          <t>pt.mkijayapura@gmail.com</t>
        </is>
      </c>
      <c r="E138" t="inlineStr">
        <is>
          <t>https://lpjk.pu.go.id/search-badan-usaha-detail/YTVZVFNRbVF5UFgxTWh4SkI4N2pJZz09</t>
        </is>
      </c>
      <c r="F138" t="n">
        <v>1</v>
      </c>
      <c r="G138" t="inlineStr">
        <is>
          <t>BG009</t>
        </is>
      </c>
      <c r="H138" t="inlineStr">
        <is>
          <t>23 Juli 2016</t>
        </is>
      </c>
      <c r="I138" s="2" t="n">
        <v>46261</v>
      </c>
      <c r="J138" t="inlineStr">
        <is>
          <t>Disetujui</t>
        </is>
      </c>
      <c r="K138" t="n">
        <v>90</v>
      </c>
      <c r="L138" t="inlineStr">
        <is>
          <t>27 Agustus 2026</t>
        </is>
      </c>
      <c r="M138" t="inlineStr">
        <is>
          <t>Konstruksi Gedung Lainnya</t>
        </is>
      </c>
      <c r="N138" t="inlineStr">
        <is>
          <t>M</t>
        </is>
      </c>
      <c r="O138" t="inlineStr">
        <is>
          <t>20230818</t>
        </is>
      </c>
      <c r="P138" t="inlineStr">
        <is>
          <t>Papua</t>
        </is>
      </c>
      <c r="Q138" t="inlineStr"/>
    </row>
    <row r="139">
      <c r="A139" t="inlineStr">
        <is>
          <t>YUDI PERDANA</t>
        </is>
      </c>
      <c r="B139" t="inlineStr">
        <is>
          <t>Kab. Aceh Utara</t>
        </is>
      </c>
      <c r="C139" t="inlineStr">
        <is>
          <t>085260325371</t>
        </is>
      </c>
      <c r="D139" t="inlineStr">
        <is>
          <t>yudiperdana78@yahoo.co.id</t>
        </is>
      </c>
      <c r="E139" t="inlineStr">
        <is>
          <t>https://lpjk.pu.go.id/search-badan-usaha-detail/NHJaWGdya01MMFl0T2dBazhOc3dHZz09</t>
        </is>
      </c>
      <c r="F139" t="n">
        <v>1</v>
      </c>
      <c r="G139" t="inlineStr">
        <is>
          <t>BS004</t>
        </is>
      </c>
      <c r="H139" t="inlineStr">
        <is>
          <t>19 Desember 2013</t>
        </is>
      </c>
      <c r="I139" s="2" t="n">
        <v>46261</v>
      </c>
      <c r="J139" t="inlineStr">
        <is>
          <t>Disetujui</t>
        </is>
      </c>
      <c r="K139" t="n">
        <v>90</v>
      </c>
      <c r="L139" t="inlineStr">
        <is>
          <t>27 Agustus 2026</t>
        </is>
      </c>
      <c r="M139" t="inlineStr">
        <is>
          <t>Konstruksi Jaringan Irigasi dan Drainase</t>
        </is>
      </c>
      <c r="N139" t="inlineStr">
        <is>
          <t>K</t>
        </is>
      </c>
      <c r="O139" t="inlineStr">
        <is>
          <t>20230826</t>
        </is>
      </c>
      <c r="P139" t="inlineStr">
        <is>
          <t>Aceh</t>
        </is>
      </c>
      <c r="Q1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3"/>
  <sheetViews>
    <sheetView workbookViewId="0">
      <selection activeCell="A1" sqref="A1"/>
    </sheetView>
  </sheetViews>
  <sheetFormatPr baseColWidth="8" defaultRowHeight="15"/>
  <cols>
    <col width="35" customWidth="1" min="1" max="1"/>
    <col width="27" customWidth="1" min="2" max="2"/>
    <col width="15"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KREASINDO INDONESIA</t>
        </is>
      </c>
      <c r="B2" t="inlineStr">
        <is>
          <t>Kab. Bekasi</t>
        </is>
      </c>
      <c r="C2" t="inlineStr">
        <is>
          <t>085387968888</t>
        </is>
      </c>
      <c r="D2" t="inlineStr">
        <is>
          <t>bangunkreasindoindo@gmail.com</t>
        </is>
      </c>
      <c r="E2" t="inlineStr">
        <is>
          <t>https://lpjk.pu.go.id/search-badan-usaha-detail/dmJoMWdnb2lKelZYK1ZQS1pGWUczQT09</t>
        </is>
      </c>
      <c r="F2" t="n">
        <v>1</v>
      </c>
      <c r="G2" t="inlineStr">
        <is>
          <t>BG003</t>
        </is>
      </c>
      <c r="H2" t="inlineStr">
        <is>
          <t>13 Januari 2020</t>
        </is>
      </c>
      <c r="I2" s="2" t="n">
        <v>46231</v>
      </c>
      <c r="J2" t="inlineStr">
        <is>
          <t>Pencabutan</t>
        </is>
      </c>
      <c r="K2" t="n">
        <v>60</v>
      </c>
      <c r="L2" t="inlineStr">
        <is>
          <t>28 Juli 2026</t>
        </is>
      </c>
      <c r="M2" t="inlineStr">
        <is>
          <t>Konstruksi Gedung Industri</t>
        </is>
      </c>
      <c r="N2" t="inlineStr">
        <is>
          <t>K</t>
        </is>
      </c>
      <c r="O2" t="inlineStr">
        <is>
          <t>20230727</t>
        </is>
      </c>
      <c r="P2" t="inlineStr">
        <is>
          <t>Jawa Barat</t>
        </is>
      </c>
      <c r="Q2" s="3">
        <f>HYPERLINK("https://wa.me/6285387968888?text=*[PENGINGAT MASA BERLAKU SBU BANGUN KREASINDO INDONESIA]*%0A%0AYth. Pimpinan BANGUN KREASINDO INDONESIA,%0AMohon izin menginformasikan status SBU Anda di sistem LPJK:%0A%0A📄 SBU: BG003%0A📅 Expired: 28 Juli 2026 (60 Hari Lagi)%0A%0AKami tim PT. ESDEA Assistance Management siap men-support proses perpanjangan segera.", "Hubungi")</f>
        <v/>
      </c>
    </row>
    <row r="3">
      <c r="A3" t="inlineStr">
        <is>
          <t>DUTA PRIMA MANDIRI</t>
        </is>
      </c>
      <c r="B3" t="inlineStr">
        <is>
          <t>Kab. Bogor</t>
        </is>
      </c>
      <c r="C3" t="inlineStr">
        <is>
          <t>08111131138</t>
        </is>
      </c>
      <c r="D3" t="inlineStr">
        <is>
          <t>cvdutaprimamandiri@yahoo.co.id</t>
        </is>
      </c>
      <c r="E3" t="inlineStr">
        <is>
          <t>https://lpjk.pu.go.id/search-badan-usaha-detail/aHdkOVdVV3kyWE03R2RCSUxiM0RWQT09</t>
        </is>
      </c>
      <c r="F3" t="n">
        <v>1</v>
      </c>
      <c r="G3" t="inlineStr">
        <is>
          <t>BS005</t>
        </is>
      </c>
      <c r="H3" t="inlineStr">
        <is>
          <t>11 Januari 2002</t>
        </is>
      </c>
      <c r="I3" s="2" t="n">
        <v>46231</v>
      </c>
      <c r="J3" t="inlineStr">
        <is>
          <t>Disetujui</t>
        </is>
      </c>
      <c r="K3" t="n">
        <v>60</v>
      </c>
      <c r="L3" t="inlineStr">
        <is>
          <t>28 Juli 2026</t>
        </is>
      </c>
      <c r="M3" t="inlineStr">
        <is>
          <t>Konstruksi Bangunan Sipil Pengolahan Air Bersih</t>
        </is>
      </c>
      <c r="N3" t="inlineStr">
        <is>
          <t>K</t>
        </is>
      </c>
      <c r="O3" t="inlineStr">
        <is>
          <t>20230723</t>
        </is>
      </c>
      <c r="P3" t="inlineStr">
        <is>
          <t>Jawa Barat</t>
        </is>
      </c>
      <c r="Q3" s="3">
        <f>HYPERLINK("https://wa.me/628111131138?text=*[PENGINGAT MASA BERLAKU SBU DUTA PRIMA MANDIRI]*%0A%0AYth. Pimpinan DUTA PRIMA MANDIRI,%0AMohon izin menginformasikan status SBU Anda di sistem LPJK:%0A%0A📄 SBU: BS005%0A📅 Expired: 28 Juli 2026 (60 Hari Lagi)%0A%0AKami tim PT. ESDEA Assistance Management siap men-support proses perpanjangan segera.", "Hubungi")</f>
        <v/>
      </c>
    </row>
    <row r="4">
      <c r="A4" t="inlineStr">
        <is>
          <t>ELIAZER NAHOR PRATAMA</t>
        </is>
      </c>
      <c r="B4" t="inlineStr">
        <is>
          <t>Kab. Bogor</t>
        </is>
      </c>
      <c r="C4" t="inlineStr">
        <is>
          <t>087872030003</t>
        </is>
      </c>
      <c r="D4" t="inlineStr">
        <is>
          <t>pt.eliazernahorpratama@gmail.com</t>
        </is>
      </c>
      <c r="E4" t="inlineStr">
        <is>
          <t>https://lpjk.pu.go.id/search-badan-usaha-detail/K2xCL3Q4YXlaZHVUR3lwUmRhL0xwZz09</t>
        </is>
      </c>
      <c r="F4" t="n">
        <v>1</v>
      </c>
      <c r="G4" t="inlineStr">
        <is>
          <t>BS013</t>
        </is>
      </c>
      <c r="H4" t="inlineStr">
        <is>
          <t>17 April 2023</t>
        </is>
      </c>
      <c r="I4" s="2" t="n">
        <v>46231</v>
      </c>
      <c r="J4" t="inlineStr">
        <is>
          <t>Disetujui</t>
        </is>
      </c>
      <c r="K4" t="n">
        <v>60</v>
      </c>
      <c r="L4" t="inlineStr">
        <is>
          <t>28 Juli 2026</t>
        </is>
      </c>
      <c r="M4" t="inlineStr">
        <is>
          <t>Konstruksi Bangunan Sipil Minyak dan Gas Bumi</t>
        </is>
      </c>
      <c r="N4" t="inlineStr">
        <is>
          <t>M</t>
        </is>
      </c>
      <c r="O4" t="inlineStr">
        <is>
          <t>20230712</t>
        </is>
      </c>
      <c r="P4" t="inlineStr">
        <is>
          <t>Jawa Barat</t>
        </is>
      </c>
      <c r="Q4" s="3">
        <f>HYPERLINK("https://wa.me/6287872030003?text=*[PENGINGAT MASA BERLAKU SBU ELIAZER NAHOR PRATAMA]*%0A%0AYth. Pimpinan ELIAZER NAHOR PRATAMA,%0AMohon izin menginformasikan status SBU Anda di sistem LPJK:%0A%0A📄 SBU: BS013%0A📅 Expired: 28 Juli 2026 (60 Hari Lagi)%0A%0AKami tim PT. ESDEA Assistance Management siap men-support proses perpanjangan segera.", "Hubungi")</f>
        <v/>
      </c>
    </row>
    <row r="5">
      <c r="A5" t="inlineStr">
        <is>
          <t>GILANG KARYA</t>
        </is>
      </c>
      <c r="B5" t="inlineStr">
        <is>
          <t>Kab. Bekasi</t>
        </is>
      </c>
      <c r="C5" t="inlineStr">
        <is>
          <t>081222198045</t>
        </is>
      </c>
      <c r="D5" t="inlineStr">
        <is>
          <t>cvgilangkarya2@gmail.com</t>
        </is>
      </c>
      <c r="E5" t="inlineStr">
        <is>
          <t>https://lpjk.pu.go.id/search-badan-usaha-detail/ak5rZ3VKUGVzbTVwU3JuNVFDS2dqZz09</t>
        </is>
      </c>
      <c r="F5" t="n">
        <v>1</v>
      </c>
      <c r="G5" t="inlineStr">
        <is>
          <t>BS001</t>
        </is>
      </c>
      <c r="H5" t="inlineStr">
        <is>
          <t>24 Oktober 2022</t>
        </is>
      </c>
      <c r="I5" s="2" t="n">
        <v>46231</v>
      </c>
      <c r="J5" t="inlineStr">
        <is>
          <t>Disetujui</t>
        </is>
      </c>
      <c r="K5" t="n">
        <v>60</v>
      </c>
      <c r="L5" t="inlineStr">
        <is>
          <t>28 Juli 2026</t>
        </is>
      </c>
      <c r="M5" t="inlineStr">
        <is>
          <t>Konstruksi Bangunan Sipil Jalan</t>
        </is>
      </c>
      <c r="N5" t="inlineStr">
        <is>
          <t>K</t>
        </is>
      </c>
      <c r="O5" t="inlineStr">
        <is>
          <t>20230722</t>
        </is>
      </c>
      <c r="P5" t="inlineStr">
        <is>
          <t>Jawa Barat</t>
        </is>
      </c>
      <c r="Q5" s="3">
        <f>HYPERLINK("https://wa.me/6281222198045?text=*[PENGINGAT MASA BERLAKU SBU GILANG KARYA]*%0A%0AYth. Pimpinan GILANG KARYA,%0AMohon izin menginformasikan status SBU Anda di sistem LPJK:%0A%0A📄 SBU: BS001%0A📅 Expired: 28 Juli 2026 (60 Hari Lagi)%0A%0AKami tim PT. ESDEA Assistance Management siap men-support proses perpanjangan segera.", "Hubungi")</f>
        <v/>
      </c>
    </row>
    <row r="6">
      <c r="A6" t="inlineStr">
        <is>
          <t>HITA BANGKIT JAYA</t>
        </is>
      </c>
      <c r="B6" t="inlineStr">
        <is>
          <t>Kota Depok</t>
        </is>
      </c>
      <c r="C6" t="inlineStr">
        <is>
          <t>087871107035</t>
        </is>
      </c>
      <c r="D6" t="inlineStr">
        <is>
          <t>cv.hitabangkitjaya@gmail.com</t>
        </is>
      </c>
      <c r="E6" t="inlineStr">
        <is>
          <t>https://lpjk.pu.go.id/search-badan-usaha-detail/SHJzTG0vTGZ1SjNUUDlOVjQ2S25VUT09</t>
        </is>
      </c>
      <c r="F6" t="n">
        <v>1</v>
      </c>
      <c r="G6" t="inlineStr">
        <is>
          <t>BS004</t>
        </is>
      </c>
      <c r="H6" t="inlineStr">
        <is>
          <t>26 Januari 2018</t>
        </is>
      </c>
      <c r="I6" s="2" t="n">
        <v>46231</v>
      </c>
      <c r="J6" t="inlineStr">
        <is>
          <t>Disetujui</t>
        </is>
      </c>
      <c r="K6" t="n">
        <v>60</v>
      </c>
      <c r="L6" t="inlineStr">
        <is>
          <t>28 Juli 2026</t>
        </is>
      </c>
      <c r="M6" t="inlineStr">
        <is>
          <t>Konstruksi Jaringan Irigasi dan Drainase</t>
        </is>
      </c>
      <c r="N6" t="inlineStr">
        <is>
          <t>K</t>
        </is>
      </c>
      <c r="O6" t="inlineStr">
        <is>
          <t>20230728</t>
        </is>
      </c>
      <c r="P6" t="inlineStr">
        <is>
          <t>Jawa Barat</t>
        </is>
      </c>
      <c r="Q6" s="3">
        <f>HYPERLINK("https://wa.me/6287871107035?text=*[PENGINGAT MASA BERLAKU SBU HITA BANGKIT JAYA]*%0A%0AYth. Pimpinan HITA BANGKIT JAYA,%0AMohon izin menginformasikan status SBU Anda di sistem LPJK:%0A%0A📄 SBU: BS004%0A📅 Expired: 28 Juli 2026 (60 Hari Lagi)%0A%0AKami tim PT. ESDEA Assistance Management siap men-support proses perpanjangan segera.", "Hubungi")</f>
        <v/>
      </c>
    </row>
    <row r="7">
      <c r="A7" t="inlineStr">
        <is>
          <t>JASA KONSTRUKSI RAYA</t>
        </is>
      </c>
      <c r="B7" t="inlineStr">
        <is>
          <t>Kota Adm. Jakarta Timur</t>
        </is>
      </c>
      <c r="C7" t="inlineStr">
        <is>
          <t>02147862669</t>
        </is>
      </c>
      <c r="D7" t="inlineStr">
        <is>
          <t>jayakonstruksiraya@gmail.com</t>
        </is>
      </c>
      <c r="E7" t="inlineStr">
        <is>
          <t>https://lpjk.pu.go.id/search-badan-usaha-detail/azBTZkdwcUNEZ2wxeWNlQlcwYVE3UT09</t>
        </is>
      </c>
      <c r="F7" t="n">
        <v>3</v>
      </c>
      <c r="G7" t="inlineStr">
        <is>
          <t>BG001, BG002, BG003</t>
        </is>
      </c>
      <c r="H7" t="inlineStr">
        <is>
          <t>5 April 2000</t>
        </is>
      </c>
      <c r="I7" s="2" t="n">
        <v>46231</v>
      </c>
      <c r="J7" t="inlineStr">
        <is>
          <t>Disetujui, Pencabutan</t>
        </is>
      </c>
      <c r="K7" t="n">
        <v>60</v>
      </c>
      <c r="L7" t="inlineStr">
        <is>
          <t>28 Juli 2026</t>
        </is>
      </c>
      <c r="M7" t="inlineStr">
        <is>
          <t>Konstruksi Gedung Hunian, Konstruksi Gedung Industri, Konstruksi Gedung Perkantoran</t>
        </is>
      </c>
      <c r="N7" t="inlineStr">
        <is>
          <t>K</t>
        </is>
      </c>
      <c r="O7" t="inlineStr">
        <is>
          <t>20230726</t>
        </is>
      </c>
      <c r="P7" t="inlineStr">
        <is>
          <t>DKI Jakarta</t>
        </is>
      </c>
      <c r="Q7" t="inlineStr"/>
    </row>
    <row r="8">
      <c r="A8" t="inlineStr">
        <is>
          <t>RONA BERKARYA</t>
        </is>
      </c>
      <c r="B8" t="inlineStr">
        <is>
          <t>Kota Bekasi</t>
        </is>
      </c>
      <c r="C8" t="inlineStr">
        <is>
          <t>082178859162</t>
        </is>
      </c>
      <c r="D8" t="inlineStr">
        <is>
          <t>ShbStation@gmail.com</t>
        </is>
      </c>
      <c r="E8" t="inlineStr">
        <is>
          <t>https://lpjk.pu.go.id/search-badan-usaha-detail/TTMzbFErcmozeXBHVzhYTzFzYW10UT09</t>
        </is>
      </c>
      <c r="F8" t="n">
        <v>1</v>
      </c>
      <c r="G8" t="inlineStr">
        <is>
          <t>BG009</t>
        </is>
      </c>
      <c r="H8" t="inlineStr">
        <is>
          <t>22 Mei 2023</t>
        </is>
      </c>
      <c r="I8" s="2" t="n">
        <v>46231</v>
      </c>
      <c r="J8" t="inlineStr">
        <is>
          <t>Disetujui</t>
        </is>
      </c>
      <c r="K8" t="n">
        <v>60</v>
      </c>
      <c r="L8" t="inlineStr">
        <is>
          <t>28 Juli 2026</t>
        </is>
      </c>
      <c r="M8" t="inlineStr">
        <is>
          <t>Konstruksi Gedung Lainnya</t>
        </is>
      </c>
      <c r="N8" t="inlineStr">
        <is>
          <t>K</t>
        </is>
      </c>
      <c r="O8" t="inlineStr">
        <is>
          <t>20230720</t>
        </is>
      </c>
      <c r="P8" t="inlineStr">
        <is>
          <t>Jawa Barat</t>
        </is>
      </c>
      <c r="Q8" s="3">
        <f>HYPERLINK("https://wa.me/6282178859162?text=*[PENGINGAT MASA BERLAKU SBU RONA BERKARYA]*%0A%0AYth. Pimpinan RONA BERKARYA,%0AMohon izin menginformasikan status SBU Anda di sistem LPJK:%0A%0A📄 SBU: BG009%0A📅 Expired: 28 Juli 2026 (60 Hari Lagi)%0A%0AKami tim PT. ESDEA Assistance Management siap men-support proses perpanjangan segera.", "Hubungi")</f>
        <v/>
      </c>
    </row>
    <row r="9">
      <c r="A9" t="inlineStr">
        <is>
          <t>ADENA MULTI PERSADA</t>
        </is>
      </c>
      <c r="B9" t="inlineStr">
        <is>
          <t>Kab. Karawang</t>
        </is>
      </c>
      <c r="C9" t="inlineStr">
        <is>
          <t>081995090782</t>
        </is>
      </c>
      <c r="D9" t="inlineStr">
        <is>
          <t>adenamultipersada@gmail.com</t>
        </is>
      </c>
      <c r="E9" t="inlineStr">
        <is>
          <t>https://lpjk.pu.go.id/search-badan-usaha-detail/U1g4VmFUNHAwU2Q1SFBqYWFvSUdNQT09</t>
        </is>
      </c>
      <c r="F9" t="n">
        <v>2</v>
      </c>
      <c r="G9" t="inlineStr">
        <is>
          <t>BS001</t>
        </is>
      </c>
      <c r="H9" t="inlineStr">
        <is>
          <t>2 Juni 2023</t>
        </is>
      </c>
      <c r="I9" s="2" t="n">
        <v>46231</v>
      </c>
      <c r="J9" t="inlineStr">
        <is>
          <t>Disetujui</t>
        </is>
      </c>
      <c r="K9" t="n">
        <v>60</v>
      </c>
      <c r="L9" t="inlineStr">
        <is>
          <t>28 Juli 2026</t>
        </is>
      </c>
      <c r="M9" t="inlineStr">
        <is>
          <t>Konstruksi Bangunan Sipil Jalan</t>
        </is>
      </c>
      <c r="N9" t="inlineStr">
        <is>
          <t>K</t>
        </is>
      </c>
      <c r="O9" t="inlineStr">
        <is>
          <t>20230719</t>
        </is>
      </c>
      <c r="P9" t="inlineStr">
        <is>
          <t>Jawa Barat</t>
        </is>
      </c>
      <c r="Q9" t="inlineStr"/>
    </row>
    <row r="10">
      <c r="A10" t="inlineStr">
        <is>
          <t>AFLAH CONSTRUCTION</t>
        </is>
      </c>
      <c r="B10" t="inlineStr">
        <is>
          <t>Kab. Mamuju</t>
        </is>
      </c>
      <c r="C10" t="inlineStr">
        <is>
          <t>081241529271</t>
        </is>
      </c>
      <c r="D10" t="inlineStr">
        <is>
          <t>cv.aflah.construction47@gmail.com</t>
        </is>
      </c>
      <c r="E10" t="inlineStr">
        <is>
          <t>https://lpjk.pu.go.id/search-badan-usaha-detail/T1h2djBsTk9WOGJRZEYvVTdvSW02QT09</t>
        </is>
      </c>
      <c r="F10" t="n">
        <v>1</v>
      </c>
      <c r="G10" t="inlineStr">
        <is>
          <t>BG002</t>
        </is>
      </c>
      <c r="H10" t="inlineStr">
        <is>
          <t>14 Februari 2017</t>
        </is>
      </c>
      <c r="I10" s="2" t="n">
        <v>46231</v>
      </c>
      <c r="J10" t="inlineStr">
        <is>
          <t>Disetujui</t>
        </is>
      </c>
      <c r="K10" t="n">
        <v>60</v>
      </c>
      <c r="L10" t="inlineStr">
        <is>
          <t>28 Juli 2026</t>
        </is>
      </c>
      <c r="M10" t="inlineStr">
        <is>
          <t>Konstruksi Gedung Perkantoran</t>
        </is>
      </c>
      <c r="N10" t="inlineStr">
        <is>
          <t>K</t>
        </is>
      </c>
      <c r="O10" t="inlineStr">
        <is>
          <t>20230729</t>
        </is>
      </c>
      <c r="P10" t="inlineStr">
        <is>
          <t>Sulawesi Barat</t>
        </is>
      </c>
      <c r="Q10" t="inlineStr"/>
    </row>
    <row r="11">
      <c r="A11" t="inlineStr">
        <is>
          <t>AGUNG NUGROHO</t>
        </is>
      </c>
      <c r="B11" t="inlineStr">
        <is>
          <t>Kab. Purworejo</t>
        </is>
      </c>
      <c r="C11" t="inlineStr">
        <is>
          <t>081224487779</t>
        </is>
      </c>
      <c r="D11" t="inlineStr">
        <is>
          <t>agung.nugroho456@yahoo.com</t>
        </is>
      </c>
      <c r="E11" t="inlineStr">
        <is>
          <t>https://lpjk.pu.go.id/search-badan-usaha-detail/T1JZdk9sQW9aZjFrcGFyRkVrN282UT09</t>
        </is>
      </c>
      <c r="F11" t="n">
        <v>4</v>
      </c>
      <c r="G11" t="inlineStr">
        <is>
          <t>BG005, BG009</t>
        </is>
      </c>
      <c r="H11" t="inlineStr">
        <is>
          <t>14 Februari 1984</t>
        </is>
      </c>
      <c r="I11" s="2" t="n">
        <v>46231</v>
      </c>
      <c r="J11" t="inlineStr">
        <is>
          <t>Disetujui</t>
        </is>
      </c>
      <c r="K11" t="n">
        <v>60</v>
      </c>
      <c r="L11" t="inlineStr">
        <is>
          <t>28 Juli 2026</t>
        </is>
      </c>
      <c r="M11" t="inlineStr">
        <is>
          <t>Konstruksi Gedung Kesehatan, Konstruksi Gedung Lainnya</t>
        </is>
      </c>
      <c r="N11" t="inlineStr">
        <is>
          <t>K</t>
        </is>
      </c>
      <c r="O11" t="inlineStr">
        <is>
          <t>20230713, 20230726</t>
        </is>
      </c>
      <c r="P11" t="inlineStr">
        <is>
          <t>Jawa Tengah</t>
        </is>
      </c>
      <c r="Q11" t="inlineStr"/>
    </row>
    <row r="12">
      <c r="A12" t="inlineStr">
        <is>
          <t>ANUGRAH BUMI SERUYAN</t>
        </is>
      </c>
      <c r="B12" t="inlineStr">
        <is>
          <t>Kab. Seruyan</t>
        </is>
      </c>
      <c r="C12" t="inlineStr">
        <is>
          <t>081350195853</t>
        </is>
      </c>
      <c r="D12" t="inlineStr">
        <is>
          <t>cvanugrahbumiseruyan@gmail.com</t>
        </is>
      </c>
      <c r="E12" t="inlineStr">
        <is>
          <t>https://lpjk.pu.go.id/search-badan-usaha-detail/N2JhQnRVL0g2SWYzdkxMYXJSWmZPUT09</t>
        </is>
      </c>
      <c r="F12" t="n">
        <v>2</v>
      </c>
      <c r="G12" t="inlineStr">
        <is>
          <t>BG001</t>
        </is>
      </c>
      <c r="H12" t="inlineStr">
        <is>
          <t>9 November 2018</t>
        </is>
      </c>
      <c r="I12" s="2" t="n">
        <v>46231</v>
      </c>
      <c r="J12" t="inlineStr">
        <is>
          <t>Disetujui</t>
        </is>
      </c>
      <c r="K12" t="n">
        <v>60</v>
      </c>
      <c r="L12" t="inlineStr">
        <is>
          <t>28 Juli 2026</t>
        </is>
      </c>
      <c r="M12" t="inlineStr">
        <is>
          <t>Konstruksi Gedung Hunian</t>
        </is>
      </c>
      <c r="N12" t="inlineStr">
        <is>
          <t>K</t>
        </is>
      </c>
      <c r="O12" t="inlineStr">
        <is>
          <t>20230719</t>
        </is>
      </c>
      <c r="P12" t="inlineStr">
        <is>
          <t>Kalimantan Tengah</t>
        </is>
      </c>
      <c r="Q12" t="inlineStr"/>
    </row>
    <row r="13">
      <c r="A13" t="inlineStr">
        <is>
          <t>ARFAN RAHMAN MANDIRI</t>
        </is>
      </c>
      <c r="B13" t="inlineStr">
        <is>
          <t>Kab. Indramayu</t>
        </is>
      </c>
      <c r="C13" t="inlineStr">
        <is>
          <t>085961161366</t>
        </is>
      </c>
      <c r="D13" t="inlineStr">
        <is>
          <t>cvarfanrahmanmandiri@gmail.com</t>
        </is>
      </c>
      <c r="E13" t="inlineStr">
        <is>
          <t>https://lpjk.pu.go.id/search-badan-usaha-detail/cGoyeDIxWjdsZFRVNWIyalNyOTZvdz09</t>
        </is>
      </c>
      <c r="F13" t="n">
        <v>10</v>
      </c>
      <c r="G13" t="inlineStr">
        <is>
          <t>BG004, BG005, BG006, BG009, BS002</t>
        </is>
      </c>
      <c r="H13" t="inlineStr">
        <is>
          <t>6 Juni 2023</t>
        </is>
      </c>
      <c r="I13" s="2" t="n">
        <v>46231</v>
      </c>
      <c r="J13" t="inlineStr">
        <is>
          <t>Disetujui</t>
        </is>
      </c>
      <c r="K13" t="n">
        <v>60</v>
      </c>
      <c r="L13" t="inlineStr">
        <is>
          <t>28 Juli 2026</t>
        </is>
      </c>
      <c r="M13" t="inlineStr">
        <is>
          <t>Bangunan Sipil Jembatan, Jalan Layang, Fly Over, dan Underpass, Konstruksi Gedung Kesehatan, Konstruksi Gedung Lainnya, Konstruksi Gedung Pendidikan, Konstruksi Gedung Perbelanjaan</t>
        </is>
      </c>
      <c r="N13" t="inlineStr">
        <is>
          <t>K</t>
        </is>
      </c>
      <c r="O13" t="inlineStr">
        <is>
          <t>20230726</t>
        </is>
      </c>
      <c r="P13" t="inlineStr">
        <is>
          <t>Jawa Barat</t>
        </is>
      </c>
      <c r="Q13" t="inlineStr"/>
    </row>
    <row r="14">
      <c r="A14" t="inlineStr">
        <is>
          <t>ARJUNA MAS ABADI</t>
        </is>
      </c>
      <c r="B14" t="inlineStr">
        <is>
          <t>Kota Palembang</t>
        </is>
      </c>
      <c r="C14" t="inlineStr">
        <is>
          <t>0711361575</t>
        </is>
      </c>
      <c r="D14" t="inlineStr">
        <is>
          <t>pt.arjunamasabadi1@gmail.com</t>
        </is>
      </c>
      <c r="E14" t="inlineStr">
        <is>
          <t>https://lpjk.pu.go.id/search-badan-usaha-detail/WXlxbGlHNEg2eWc2MWJRaEFPVUQ3dz09</t>
        </is>
      </c>
      <c r="F14" t="n">
        <v>1</v>
      </c>
      <c r="G14" t="inlineStr">
        <is>
          <t>BG009</t>
        </is>
      </c>
      <c r="H14" t="inlineStr">
        <is>
          <t>25 Agustus 1992</t>
        </is>
      </c>
      <c r="I14" s="2" t="n">
        <v>46231</v>
      </c>
      <c r="J14" t="inlineStr">
        <is>
          <t>Pencabutan</t>
        </is>
      </c>
      <c r="K14" t="n">
        <v>60</v>
      </c>
      <c r="L14" t="inlineStr">
        <is>
          <t>28 Juli 2026</t>
        </is>
      </c>
      <c r="M14" t="inlineStr">
        <is>
          <t>Konstruksi Gedung Lainnya</t>
        </is>
      </c>
      <c r="N14" t="inlineStr">
        <is>
          <t>M</t>
        </is>
      </c>
      <c r="O14" t="inlineStr">
        <is>
          <t>20230725</t>
        </is>
      </c>
      <c r="P14" t="inlineStr">
        <is>
          <t>Sumatera Selatan</t>
        </is>
      </c>
      <c r="Q14" t="inlineStr"/>
    </row>
    <row r="15">
      <c r="A15" t="inlineStr">
        <is>
          <t>ASRI BAROKAH</t>
        </is>
      </c>
      <c r="B15" t="inlineStr">
        <is>
          <t>Kab. Pacitan</t>
        </is>
      </c>
      <c r="C15" t="inlineStr">
        <is>
          <t>081335100789</t>
        </is>
      </c>
      <c r="D15" t="inlineStr">
        <is>
          <t>cv.asribarokah@yahoo.co.id</t>
        </is>
      </c>
      <c r="E15" t="inlineStr">
        <is>
          <t>https://lpjk.pu.go.id/search-badan-usaha-detail/d2hqQy9IRE1zRTJ1alNpbnpRU0hTdz09</t>
        </is>
      </c>
      <c r="F15" t="n">
        <v>1</v>
      </c>
      <c r="G15" t="inlineStr">
        <is>
          <t>BS001</t>
        </is>
      </c>
      <c r="H15" t="inlineStr">
        <is>
          <t>31 Desember 2007</t>
        </is>
      </c>
      <c r="I15" s="2" t="n">
        <v>46231</v>
      </c>
      <c r="J15" t="inlineStr">
        <is>
          <t>Disetujui</t>
        </is>
      </c>
      <c r="K15" t="n">
        <v>60</v>
      </c>
      <c r="L15" t="inlineStr">
        <is>
          <t>28 Juli 2026</t>
        </is>
      </c>
      <c r="M15" t="inlineStr">
        <is>
          <t>Konstruksi Bangunan Sipil Jalan</t>
        </is>
      </c>
      <c r="N15" t="inlineStr">
        <is>
          <t>K</t>
        </is>
      </c>
      <c r="O15" t="inlineStr">
        <is>
          <t>20230725</t>
        </is>
      </c>
      <c r="P15" t="inlineStr">
        <is>
          <t>Jawa Timur</t>
        </is>
      </c>
      <c r="Q15" t="inlineStr"/>
    </row>
    <row r="16">
      <c r="A16" t="inlineStr">
        <is>
          <t>BADRA NAYA</t>
        </is>
      </c>
      <c r="B16" t="inlineStr">
        <is>
          <t>Kab. Kebumen</t>
        </is>
      </c>
      <c r="C16" t="inlineStr">
        <is>
          <t>081270043006</t>
        </is>
      </c>
      <c r="D16" t="inlineStr">
        <is>
          <t>badranaya.co@gmail.com</t>
        </is>
      </c>
      <c r="E16" t="inlineStr">
        <is>
          <t>https://lpjk.pu.go.id/search-badan-usaha-detail/WFJ2RHcvdFd4QkVBSzE2ZHlLSi94UT09</t>
        </is>
      </c>
      <c r="F16" t="n">
        <v>2</v>
      </c>
      <c r="G16" t="inlineStr">
        <is>
          <t>BG006, BG009</t>
        </is>
      </c>
      <c r="H16" t="inlineStr">
        <is>
          <t>13 April 2020</t>
        </is>
      </c>
      <c r="I16" s="2" t="n">
        <v>46231</v>
      </c>
      <c r="J16" t="inlineStr">
        <is>
          <t>Disetujui</t>
        </is>
      </c>
      <c r="K16" t="n">
        <v>60</v>
      </c>
      <c r="L16" t="inlineStr">
        <is>
          <t>28 Juli 2026</t>
        </is>
      </c>
      <c r="M16" t="inlineStr">
        <is>
          <t>Konstruksi Gedung Lainnya, Konstruksi Gedung Pendidikan</t>
        </is>
      </c>
      <c r="N16" t="inlineStr">
        <is>
          <t>K</t>
        </is>
      </c>
      <c r="O16" t="inlineStr">
        <is>
          <t>20230726, 20230727</t>
        </is>
      </c>
      <c r="P16" t="inlineStr">
        <is>
          <t>Jawa Tengah</t>
        </is>
      </c>
      <c r="Q16" t="inlineStr"/>
    </row>
    <row r="17">
      <c r="A17" t="inlineStr">
        <is>
          <t>BANDUNG PILAR KONTRUKSINDO</t>
        </is>
      </c>
      <c r="B17" t="inlineStr">
        <is>
          <t>Kota Cimahi</t>
        </is>
      </c>
      <c r="C17" t="inlineStr">
        <is>
          <t>081320935494</t>
        </is>
      </c>
      <c r="D17" t="inlineStr">
        <is>
          <t>pt.bapikon@gmail.com</t>
        </is>
      </c>
      <c r="E17" t="inlineStr">
        <is>
          <t>https://lpjk.pu.go.id/search-badan-usaha-detail/eVY4SGJDTW5UeklUMjUrREducjYwQT09</t>
        </is>
      </c>
      <c r="F17" t="n">
        <v>1</v>
      </c>
      <c r="G17" t="inlineStr">
        <is>
          <t>BG009</t>
        </is>
      </c>
      <c r="H17" t="inlineStr">
        <is>
          <t>4 Januari 2018</t>
        </is>
      </c>
      <c r="I17" s="2" t="n">
        <v>46231</v>
      </c>
      <c r="J17" t="inlineStr">
        <is>
          <t>Pencabutan</t>
        </is>
      </c>
      <c r="K17" t="n">
        <v>60</v>
      </c>
      <c r="L17" t="inlineStr">
        <is>
          <t>28 Juli 2026</t>
        </is>
      </c>
      <c r="M17" t="inlineStr">
        <is>
          <t>Konstruksi Gedung Lainnya</t>
        </is>
      </c>
      <c r="N17" t="inlineStr">
        <is>
          <t>M</t>
        </is>
      </c>
      <c r="O17" t="inlineStr">
        <is>
          <t>20230724</t>
        </is>
      </c>
      <c r="P17" t="inlineStr">
        <is>
          <t>Jawa Barat</t>
        </is>
      </c>
      <c r="Q17" t="inlineStr"/>
    </row>
    <row r="18">
      <c r="A18" t="inlineStr">
        <is>
          <t>BANGUNMUSTIKA INTIPERSADA</t>
        </is>
      </c>
      <c r="B18" t="inlineStr">
        <is>
          <t>Kota Adm. Jakarta Selatan</t>
        </is>
      </c>
      <c r="C18" t="inlineStr">
        <is>
          <t>0217261310</t>
        </is>
      </c>
      <c r="D18" t="inlineStr">
        <is>
          <t>bmip@cipulirmas.com</t>
        </is>
      </c>
      <c r="E18" t="inlineStr">
        <is>
          <t>https://lpjk.pu.go.id/search-badan-usaha-detail/dWdRVkcveCtWMzJ1ZE1DRUJDdE9MQT09</t>
        </is>
      </c>
      <c r="F18" t="n">
        <v>1</v>
      </c>
      <c r="G18" t="inlineStr">
        <is>
          <t>BS009</t>
        </is>
      </c>
      <c r="H18" t="inlineStr">
        <is>
          <t>6 Maret 2023</t>
        </is>
      </c>
      <c r="I18" s="2" t="n">
        <v>46231</v>
      </c>
      <c r="J18" t="inlineStr">
        <is>
          <t>Disetujui</t>
        </is>
      </c>
      <c r="K18" t="n">
        <v>60</v>
      </c>
      <c r="L18" t="inlineStr">
        <is>
          <t>28 Juli 2026</t>
        </is>
      </c>
      <c r="M18" t="inlineStr">
        <is>
          <t>Konstruksi Sentral Telekomunikasi</t>
        </is>
      </c>
      <c r="N18" t="inlineStr">
        <is>
          <t>K</t>
        </is>
      </c>
      <c r="O18" t="inlineStr">
        <is>
          <t>20230727</t>
        </is>
      </c>
      <c r="P18" t="inlineStr">
        <is>
          <t>DKI Jakarta</t>
        </is>
      </c>
      <c r="Q18" t="inlineStr"/>
    </row>
    <row r="19">
      <c r="A19" t="inlineStr">
        <is>
          <t>BAYU PRATAMA PUTRA</t>
        </is>
      </c>
      <c r="B19" t="inlineStr">
        <is>
          <t>Kota Palembang</t>
        </is>
      </c>
      <c r="C19" t="inlineStr">
        <is>
          <t>0</t>
        </is>
      </c>
      <c r="D19" t="inlineStr">
        <is>
          <t>cvbayuputrapratama@gmail.com</t>
        </is>
      </c>
      <c r="E19" t="inlineStr">
        <is>
          <t>https://lpjk.pu.go.id/search-badan-usaha-detail/RVBDZ3NwcjZXZXhjd0YzZGFaNmhuQT09</t>
        </is>
      </c>
      <c r="F19" t="n">
        <v>1</v>
      </c>
      <c r="G19" t="inlineStr">
        <is>
          <t>BS001</t>
        </is>
      </c>
      <c r="H19" t="inlineStr">
        <is>
          <t>8 September 1995</t>
        </is>
      </c>
      <c r="I19" s="2" t="n">
        <v>46231</v>
      </c>
      <c r="J19" t="inlineStr">
        <is>
          <t>Disetujui</t>
        </is>
      </c>
      <c r="K19" t="n">
        <v>60</v>
      </c>
      <c r="L19" t="inlineStr">
        <is>
          <t>28 Juli 2026</t>
        </is>
      </c>
      <c r="M19" t="inlineStr">
        <is>
          <t>Konstruksi Bangunan Sipil Jalan</t>
        </is>
      </c>
      <c r="N19" t="inlineStr">
        <is>
          <t>K</t>
        </is>
      </c>
      <c r="O19" t="inlineStr">
        <is>
          <t>20230728</t>
        </is>
      </c>
      <c r="P19" t="inlineStr">
        <is>
          <t>Sumatera Selatan</t>
        </is>
      </c>
      <c r="Q19" t="inlineStr"/>
    </row>
    <row r="20">
      <c r="A20" t="inlineStr">
        <is>
          <t>BERDIKARI JAYA</t>
        </is>
      </c>
      <c r="B20" t="inlineStr">
        <is>
          <t>Kab. Pandeglang</t>
        </is>
      </c>
      <c r="C20" t="inlineStr">
        <is>
          <t>081911299519</t>
        </is>
      </c>
      <c r="D20" t="inlineStr">
        <is>
          <t>cv.berdikarijaya@gmail.com</t>
        </is>
      </c>
      <c r="E20" t="inlineStr">
        <is>
          <t>https://lpjk.pu.go.id/search-badan-usaha-detail/VlQxZm1wZmRkT1BqeDBNeVlwMFVRQT09</t>
        </is>
      </c>
      <c r="F20" t="n">
        <v>6</v>
      </c>
      <c r="G20" t="inlineStr">
        <is>
          <t>BG002, BG005, BG006, BG009, BS001, BS002</t>
        </is>
      </c>
      <c r="H20" t="inlineStr">
        <is>
          <t>29 Desember 2011</t>
        </is>
      </c>
      <c r="I20" s="2" t="n">
        <v>46231</v>
      </c>
      <c r="J20" t="inlineStr">
        <is>
          <t>Pencabutan</t>
        </is>
      </c>
      <c r="K20" t="n">
        <v>60</v>
      </c>
      <c r="L20" t="inlineStr">
        <is>
          <t>28 Juli 2026</t>
        </is>
      </c>
      <c r="M20" t="inlineStr">
        <is>
          <t>Bangunan Sipil Jembatan, Jalan Layang, Fly Over, dan Underpass, Konstruksi Bangunan Sipil Jalan, Konstruksi Gedung Kesehatan, Konstruksi Gedung Lainnya, Konstruksi Gedung Pendidikan, Konstruksi Gedung Perkantoran</t>
        </is>
      </c>
      <c r="N20" t="inlineStr">
        <is>
          <t>K</t>
        </is>
      </c>
      <c r="O20" t="inlineStr">
        <is>
          <t>20230724</t>
        </is>
      </c>
      <c r="P20" t="inlineStr">
        <is>
          <t>Banten</t>
        </is>
      </c>
      <c r="Q20" t="inlineStr"/>
    </row>
    <row r="21">
      <c r="A21" t="inlineStr">
        <is>
          <t>BERKAH PUYING JAYA</t>
        </is>
      </c>
      <c r="B21" t="inlineStr">
        <is>
          <t>Kab. Bulungan</t>
        </is>
      </c>
      <c r="C21" t="inlineStr">
        <is>
          <t>081234875232</t>
        </is>
      </c>
      <c r="D21" t="inlineStr">
        <is>
          <t>cvberkahpuyingjaya@gmail.com</t>
        </is>
      </c>
      <c r="E21" t="inlineStr">
        <is>
          <t>https://lpjk.pu.go.id/search-badan-usaha-detail/Y2c3NFl4bGI3RFA4K0FjMVRMT0hGdz09</t>
        </is>
      </c>
      <c r="F21" t="n">
        <v>2</v>
      </c>
      <c r="G21" t="inlineStr">
        <is>
          <t>BS004</t>
        </is>
      </c>
      <c r="H21" t="inlineStr">
        <is>
          <t>24 Maret 2021</t>
        </is>
      </c>
      <c r="I21" s="2" t="n">
        <v>46231</v>
      </c>
      <c r="J21" t="inlineStr">
        <is>
          <t>Disetujui</t>
        </is>
      </c>
      <c r="K21" t="n">
        <v>60</v>
      </c>
      <c r="L21" t="inlineStr">
        <is>
          <t>28 Juli 2026</t>
        </is>
      </c>
      <c r="M21" t="inlineStr">
        <is>
          <t>Konstruksi Jaringan Irigasi dan Drainase</t>
        </is>
      </c>
      <c r="N21" t="inlineStr">
        <is>
          <t>K</t>
        </is>
      </c>
      <c r="O21" t="inlineStr">
        <is>
          <t>20230724</t>
        </is>
      </c>
      <c r="P21" t="inlineStr">
        <is>
          <t>Kalimantan Utara</t>
        </is>
      </c>
      <c r="Q21" t="inlineStr"/>
    </row>
    <row r="22">
      <c r="A22" t="inlineStr">
        <is>
          <t>BERKAT ABADI MANDIRI</t>
        </is>
      </c>
      <c r="B22" t="inlineStr">
        <is>
          <t>Kab. Bone Bolango</t>
        </is>
      </c>
      <c r="C22" t="inlineStr">
        <is>
          <t>085256383234</t>
        </is>
      </c>
      <c r="D22" t="inlineStr">
        <is>
          <t>steprianjibrislesawangen@gmail.com</t>
        </is>
      </c>
      <c r="E22" t="inlineStr">
        <is>
          <t>https://lpjk.pu.go.id/search-badan-usaha-detail/MUhvaXlpRUdQbE54TkpvTEIzQVFsUT09</t>
        </is>
      </c>
      <c r="F22" t="n">
        <v>2</v>
      </c>
      <c r="G22" t="inlineStr">
        <is>
          <t>BS004</t>
        </is>
      </c>
      <c r="H22" t="inlineStr">
        <is>
          <t>13 Oktober 2015</t>
        </is>
      </c>
      <c r="I22" s="2" t="n">
        <v>46231</v>
      </c>
      <c r="J22" t="inlineStr">
        <is>
          <t>Disetujui</t>
        </is>
      </c>
      <c r="K22" t="n">
        <v>60</v>
      </c>
      <c r="L22" t="inlineStr">
        <is>
          <t>28 Juli 2026</t>
        </is>
      </c>
      <c r="M22" t="inlineStr">
        <is>
          <t>Konstruksi Jaringan Irigasi dan Drainase</t>
        </is>
      </c>
      <c r="N22" t="inlineStr">
        <is>
          <t>K</t>
        </is>
      </c>
      <c r="O22" t="inlineStr">
        <is>
          <t>20230710</t>
        </is>
      </c>
      <c r="P22" t="inlineStr">
        <is>
          <t>Gorontalo</t>
        </is>
      </c>
      <c r="Q22" t="inlineStr"/>
    </row>
    <row r="23">
      <c r="A23" t="inlineStr">
        <is>
          <t>BERLIAN NARIAN RAJASA</t>
        </is>
      </c>
      <c r="B23" t="inlineStr">
        <is>
          <t>Kota Bima</t>
        </is>
      </c>
      <c r="C23" t="inlineStr">
        <is>
          <t>085239766466</t>
        </is>
      </c>
      <c r="D23" t="inlineStr">
        <is>
          <t>berlianpt@yahoo.com</t>
        </is>
      </c>
      <c r="E23" t="inlineStr">
        <is>
          <t>https://lpjk.pu.go.id/search-badan-usaha-detail/NzVienVUaFJ2SWdMSTZpbGhLRmxJUT09</t>
        </is>
      </c>
      <c r="F23" t="n">
        <v>1</v>
      </c>
      <c r="G23" t="inlineStr">
        <is>
          <t>BS001</t>
        </is>
      </c>
      <c r="H23" t="inlineStr">
        <is>
          <t>15 Januari 2008</t>
        </is>
      </c>
      <c r="I23" s="2" t="n">
        <v>46231</v>
      </c>
      <c r="J23" t="inlineStr">
        <is>
          <t>Disetujui</t>
        </is>
      </c>
      <c r="K23" t="n">
        <v>60</v>
      </c>
      <c r="L23" t="inlineStr">
        <is>
          <t>28 Juli 2026</t>
        </is>
      </c>
      <c r="M23" t="inlineStr">
        <is>
          <t>Konstruksi Bangunan Sipil Jalan</t>
        </is>
      </c>
      <c r="N23" t="inlineStr">
        <is>
          <t>K</t>
        </is>
      </c>
      <c r="O23" t="inlineStr">
        <is>
          <t>20230725</t>
        </is>
      </c>
      <c r="P23" t="inlineStr">
        <is>
          <t>Nusa Tenggara Barat</t>
        </is>
      </c>
      <c r="Q23" t="inlineStr"/>
    </row>
    <row r="24">
      <c r="A24" t="inlineStr">
        <is>
          <t>BINA RAYA</t>
        </is>
      </c>
      <c r="B24" t="inlineStr">
        <is>
          <t>Kab. Ciamis</t>
        </is>
      </c>
      <c r="C24" t="inlineStr">
        <is>
          <t>085322971414</t>
        </is>
      </c>
      <c r="D24" t="inlineStr">
        <is>
          <t>binaraya07@yahoo.com</t>
        </is>
      </c>
      <c r="E24" t="inlineStr">
        <is>
          <t>https://lpjk.pu.go.id/search-badan-usaha-detail/OW5PMzJtcnZYU2gxc1BtQmR0aElTQT09</t>
        </is>
      </c>
      <c r="F24" t="n">
        <v>1</v>
      </c>
      <c r="G24" t="inlineStr">
        <is>
          <t>BG006</t>
        </is>
      </c>
      <c r="H24" t="inlineStr">
        <is>
          <t>2 Februari 1985</t>
        </is>
      </c>
      <c r="I24" s="2" t="n">
        <v>46231</v>
      </c>
      <c r="J24" t="inlineStr">
        <is>
          <t>Disetujui</t>
        </is>
      </c>
      <c r="K24" t="n">
        <v>60</v>
      </c>
      <c r="L24" t="inlineStr">
        <is>
          <t>28 Juli 2026</t>
        </is>
      </c>
      <c r="M24" t="inlineStr">
        <is>
          <t>Konstruksi Gedung Pendidikan</t>
        </is>
      </c>
      <c r="N24" t="inlineStr">
        <is>
          <t>K</t>
        </is>
      </c>
      <c r="O24" t="inlineStr">
        <is>
          <t>20230726</t>
        </is>
      </c>
      <c r="P24" t="inlineStr">
        <is>
          <t>Jawa Barat</t>
        </is>
      </c>
      <c r="Q24" t="inlineStr"/>
    </row>
    <row r="25">
      <c r="A25" t="inlineStr">
        <is>
          <t>BINTANG BERLIAN SERVICE</t>
        </is>
      </c>
      <c r="B25" t="inlineStr">
        <is>
          <t>Kab. Dompu</t>
        </is>
      </c>
      <c r="C25" t="inlineStr">
        <is>
          <t>081237262865</t>
        </is>
      </c>
      <c r="D25" t="inlineStr">
        <is>
          <t>bintangberlianservice@gmail.com</t>
        </is>
      </c>
      <c r="E25" t="inlineStr">
        <is>
          <t>https://lpjk.pu.go.id/search-badan-usaha-detail/RnF6azhQV0xhaS9GaE9GZERmTTJ5QT09</t>
        </is>
      </c>
      <c r="F25" t="n">
        <v>2</v>
      </c>
      <c r="G25" t="inlineStr">
        <is>
          <t>BG009</t>
        </is>
      </c>
      <c r="H25" t="inlineStr">
        <is>
          <t>2 Juni 2016</t>
        </is>
      </c>
      <c r="I25" s="2" t="n">
        <v>46231</v>
      </c>
      <c r="J25" t="inlineStr">
        <is>
          <t>Pencabutan</t>
        </is>
      </c>
      <c r="K25" t="n">
        <v>60</v>
      </c>
      <c r="L25" t="inlineStr">
        <is>
          <t>28 Juli 2026</t>
        </is>
      </c>
      <c r="M25" t="inlineStr">
        <is>
          <t>Konstruksi Gedung Lainnya</t>
        </is>
      </c>
      <c r="N25" t="inlineStr">
        <is>
          <t>K</t>
        </is>
      </c>
      <c r="O25" t="inlineStr">
        <is>
          <t>20230331</t>
        </is>
      </c>
      <c r="P25" t="inlineStr">
        <is>
          <t>Nusa Tenggara Barat</t>
        </is>
      </c>
      <c r="Q25" t="inlineStr"/>
    </row>
    <row r="26">
      <c r="A26" t="inlineStr">
        <is>
          <t>BINTANG UTAMA KONTRAKTOR</t>
        </is>
      </c>
      <c r="B26" t="inlineStr">
        <is>
          <t>Kab. Indragiri Hilir</t>
        </is>
      </c>
      <c r="C26" t="inlineStr">
        <is>
          <t>081268400566</t>
        </is>
      </c>
      <c r="D26" t="inlineStr">
        <is>
          <t>salsabila.cv09@gmail.com</t>
        </is>
      </c>
      <c r="E26" t="inlineStr">
        <is>
          <t>https://lpjk.pu.go.id/search-badan-usaha-detail/WEcyWTFBRkF1WEsrcmlTWUNNdlpIdz09</t>
        </is>
      </c>
      <c r="F26" t="n">
        <v>8</v>
      </c>
      <c r="G26" t="inlineStr">
        <is>
          <t>BG001, BG005, BG006, BG008</t>
        </is>
      </c>
      <c r="H26" t="inlineStr">
        <is>
          <t>19 November 2014</t>
        </is>
      </c>
      <c r="I26" s="2" t="n">
        <v>46231</v>
      </c>
      <c r="J26" t="inlineStr">
        <is>
          <t>Disetujui</t>
        </is>
      </c>
      <c r="K26" t="n">
        <v>60</v>
      </c>
      <c r="L26" t="inlineStr">
        <is>
          <t>28 Juli 2026</t>
        </is>
      </c>
      <c r="M26" t="inlineStr">
        <is>
          <t>Konstruksi Gedung Hunian, Konstruksi Gedung Kesehatan, Konstruksi Gedung Pendidikan, Konstruksi Gedung Tempat Hiburan dan Olahraga</t>
        </is>
      </c>
      <c r="N26" t="inlineStr">
        <is>
          <t>K</t>
        </is>
      </c>
      <c r="O26" t="inlineStr">
        <is>
          <t>20230727</t>
        </is>
      </c>
      <c r="P26" t="inlineStr">
        <is>
          <t>Riau</t>
        </is>
      </c>
      <c r="Q26" t="inlineStr"/>
    </row>
    <row r="27">
      <c r="A27" t="inlineStr">
        <is>
          <t>BRAVO MULTI KARYA</t>
        </is>
      </c>
      <c r="B27" t="inlineStr">
        <is>
          <t>Kab. Banjar</t>
        </is>
      </c>
      <c r="C27" t="inlineStr">
        <is>
          <t>085349565619</t>
        </is>
      </c>
      <c r="D27" t="inlineStr">
        <is>
          <t>bravokarya79@gmail.com</t>
        </is>
      </c>
      <c r="E27" t="inlineStr">
        <is>
          <t>https://lpjk.pu.go.id/search-badan-usaha-detail/ckZRQnk2YUl6SGg1cWFzSHE1aDZ3Zz09</t>
        </is>
      </c>
      <c r="F27" t="n">
        <v>2</v>
      </c>
      <c r="G27" t="inlineStr">
        <is>
          <t>BG009, BS001</t>
        </is>
      </c>
      <c r="H27" t="inlineStr">
        <is>
          <t>22 Juni 2012</t>
        </is>
      </c>
      <c r="I27" s="2" t="n">
        <v>46231</v>
      </c>
      <c r="J27" t="inlineStr">
        <is>
          <t>Disetujui</t>
        </is>
      </c>
      <c r="K27" t="n">
        <v>60</v>
      </c>
      <c r="L27" t="inlineStr">
        <is>
          <t>28 Juli 2026</t>
        </is>
      </c>
      <c r="M27" t="inlineStr">
        <is>
          <t>Konstruksi Bangunan Sipil Jalan, Konstruksi Gedung Lainnya</t>
        </is>
      </c>
      <c r="N27" t="inlineStr">
        <is>
          <t>K</t>
        </is>
      </c>
      <c r="O27" t="inlineStr">
        <is>
          <t>20230727, 20230728</t>
        </is>
      </c>
      <c r="P27" t="inlineStr">
        <is>
          <t>Kalimantan Selatan</t>
        </is>
      </c>
      <c r="Q27" t="inlineStr"/>
    </row>
    <row r="28">
      <c r="A28" t="inlineStr">
        <is>
          <t>BUMI ANOA UTAMA</t>
        </is>
      </c>
      <c r="B28" t="inlineStr">
        <is>
          <t>Kota Kendari</t>
        </is>
      </c>
      <c r="C28" t="inlineStr">
        <is>
          <t>085240033395</t>
        </is>
      </c>
      <c r="D28" t="inlineStr">
        <is>
          <t>bumianoautama777@gmail.com</t>
        </is>
      </c>
      <c r="E28" t="inlineStr">
        <is>
          <t>https://lpjk.pu.go.id/search-badan-usaha-detail/dDMrUU91MUR3QW5HN0VTaWxLMTFtUT09</t>
        </is>
      </c>
      <c r="F28" t="n">
        <v>1</v>
      </c>
      <c r="G28" t="inlineStr">
        <is>
          <t>BS001</t>
        </is>
      </c>
      <c r="H28" t="inlineStr">
        <is>
          <t>15 Februari 2021</t>
        </is>
      </c>
      <c r="I28" s="2" t="n">
        <v>46231</v>
      </c>
      <c r="J28" t="inlineStr">
        <is>
          <t>Disetujui</t>
        </is>
      </c>
      <c r="K28" t="n">
        <v>60</v>
      </c>
      <c r="L28" t="inlineStr">
        <is>
          <t>28 Juli 2026</t>
        </is>
      </c>
      <c r="M28" t="inlineStr">
        <is>
          <t>Konstruksi Bangunan Sipil Jalan</t>
        </is>
      </c>
      <c r="N28" t="inlineStr">
        <is>
          <t>K</t>
        </is>
      </c>
      <c r="O28" t="inlineStr">
        <is>
          <t>20230728</t>
        </is>
      </c>
      <c r="P28" t="inlineStr">
        <is>
          <t>Sulawesi Tenggara</t>
        </is>
      </c>
      <c r="Q28" t="inlineStr"/>
    </row>
    <row r="29">
      <c r="A29" t="inlineStr">
        <is>
          <t>CAHAYA GEMILANG SINERGI INDONESIA</t>
        </is>
      </c>
      <c r="B29" t="inlineStr">
        <is>
          <t>Kota Adm. Jakarta Barat</t>
        </is>
      </c>
      <c r="C29" t="inlineStr">
        <is>
          <t>0215329268</t>
        </is>
      </c>
      <c r="D29" t="inlineStr">
        <is>
          <t>cgsinergii@gmail.com</t>
        </is>
      </c>
      <c r="E29" t="inlineStr">
        <is>
          <t>https://lpjk.pu.go.id/search-badan-usaha-detail/VkNHQVVFRllKcGFrazFaTXFuQ3FEQT09</t>
        </is>
      </c>
      <c r="F29" t="n">
        <v>1</v>
      </c>
      <c r="G29" t="inlineStr">
        <is>
          <t>IN007</t>
        </is>
      </c>
      <c r="H29" t="inlineStr">
        <is>
          <t>8 September 2021</t>
        </is>
      </c>
      <c r="I29" s="2" t="n">
        <v>46231</v>
      </c>
      <c r="J29" t="inlineStr">
        <is>
          <t>Disetujui</t>
        </is>
      </c>
      <c r="K29" t="n">
        <v>60</v>
      </c>
      <c r="L29" t="inlineStr">
        <is>
          <t>28 Juli 2026</t>
        </is>
      </c>
      <c r="M29" t="inlineStr">
        <is>
          <t>Instalasi Saluran Air (Plambing)</t>
        </is>
      </c>
      <c r="N29" t="inlineStr">
        <is>
          <t>Spesialis</t>
        </is>
      </c>
      <c r="O29" t="inlineStr">
        <is>
          <t>20230613</t>
        </is>
      </c>
      <c r="P29" t="inlineStr">
        <is>
          <t>DKI Jakarta</t>
        </is>
      </c>
      <c r="Q29" t="inlineStr"/>
    </row>
    <row r="30">
      <c r="A30" t="inlineStr">
        <is>
          <t>CANDI BERLIAN</t>
        </is>
      </c>
      <c r="B30" t="inlineStr">
        <is>
          <t>Kota Semarang</t>
        </is>
      </c>
      <c r="C30" t="inlineStr">
        <is>
          <t>085865568218</t>
        </is>
      </c>
      <c r="D30" t="inlineStr">
        <is>
          <t>irmyuti@gmail.com</t>
        </is>
      </c>
      <c r="E30" t="inlineStr">
        <is>
          <t>https://lpjk.pu.go.id/search-badan-usaha-detail/M3B0ck1PTzl3b1FDUUZTM0hsNW5sdz09</t>
        </is>
      </c>
      <c r="F30" t="n">
        <v>2</v>
      </c>
      <c r="G30" t="inlineStr">
        <is>
          <t>BG003, BS001</t>
        </is>
      </c>
      <c r="H30" t="inlineStr">
        <is>
          <t>7 Juni 2003</t>
        </is>
      </c>
      <c r="I30" s="2" t="n">
        <v>46231</v>
      </c>
      <c r="J30" t="inlineStr">
        <is>
          <t>Disetujui</t>
        </is>
      </c>
      <c r="K30" t="n">
        <v>60</v>
      </c>
      <c r="L30" t="inlineStr">
        <is>
          <t>28 Juli 2026</t>
        </is>
      </c>
      <c r="M30" t="inlineStr">
        <is>
          <t>Konstruksi Bangunan Sipil Jalan, Konstruksi Gedung Industri</t>
        </is>
      </c>
      <c r="N30" t="inlineStr">
        <is>
          <t>K</t>
        </is>
      </c>
      <c r="O30" t="inlineStr">
        <is>
          <t>20230727</t>
        </is>
      </c>
      <c r="P30" t="inlineStr">
        <is>
          <t>Jawa Tengah</t>
        </is>
      </c>
      <c r="Q30" t="inlineStr"/>
    </row>
    <row r="31">
      <c r="A31" t="inlineStr">
        <is>
          <t>CANDI SARI</t>
        </is>
      </c>
      <c r="B31" t="inlineStr">
        <is>
          <t>Kab. Bantul</t>
        </is>
      </c>
      <c r="C31" t="inlineStr">
        <is>
          <t>08122735288</t>
        </is>
      </c>
      <c r="D31" t="inlineStr">
        <is>
          <t>cv_candisari19@yahoo.co.id</t>
        </is>
      </c>
      <c r="E31" t="inlineStr">
        <is>
          <t>https://lpjk.pu.go.id/search-badan-usaha-detail/UTcwQWtBV0ovUUQ2RC9LZVZvSUtpUT09</t>
        </is>
      </c>
      <c r="F31" t="n">
        <v>1</v>
      </c>
      <c r="G31" t="inlineStr">
        <is>
          <t>BS001</t>
        </is>
      </c>
      <c r="H31" t="inlineStr">
        <is>
          <t>2 Agustus 2000</t>
        </is>
      </c>
      <c r="I31" s="2" t="n">
        <v>46231</v>
      </c>
      <c r="J31" t="inlineStr">
        <is>
          <t>Disetujui</t>
        </is>
      </c>
      <c r="K31" t="n">
        <v>60</v>
      </c>
      <c r="L31" t="inlineStr">
        <is>
          <t>28 Juli 2026</t>
        </is>
      </c>
      <c r="M31" t="inlineStr">
        <is>
          <t>Konstruksi Bangunan Sipil Jalan</t>
        </is>
      </c>
      <c r="N31" t="inlineStr">
        <is>
          <t>K</t>
        </is>
      </c>
      <c r="O31" t="inlineStr">
        <is>
          <t>20230725</t>
        </is>
      </c>
      <c r="P31" t="inlineStr">
        <is>
          <t>DI Yogyakarta</t>
        </is>
      </c>
      <c r="Q31" t="inlineStr"/>
    </row>
    <row r="32">
      <c r="A32" t="inlineStr">
        <is>
          <t>CIPTA GRAHA KREASITAMA</t>
        </is>
      </c>
      <c r="B32" t="inlineStr">
        <is>
          <t>Kota Adm. Jakarta Utara</t>
        </is>
      </c>
      <c r="C32" t="inlineStr">
        <is>
          <t>0216504243</t>
        </is>
      </c>
      <c r="D32" t="inlineStr">
        <is>
          <t>studioa2cgk@gmail.com</t>
        </is>
      </c>
      <c r="E32" t="inlineStr">
        <is>
          <t>https://lpjk.pu.go.id/search-badan-usaha-detail/TUFoL29LRlJrRmlvR2x0VWxNcm8vQT09</t>
        </is>
      </c>
      <c r="F32" t="n">
        <v>1</v>
      </c>
      <c r="G32" t="inlineStr">
        <is>
          <t>BS013</t>
        </is>
      </c>
      <c r="H32" t="inlineStr">
        <is>
          <t>22 Desember 2004</t>
        </is>
      </c>
      <c r="I32" s="2" t="n">
        <v>46231</v>
      </c>
      <c r="J32" t="inlineStr">
        <is>
          <t>Pencabutan</t>
        </is>
      </c>
      <c r="K32" t="n">
        <v>60</v>
      </c>
      <c r="L32" t="inlineStr">
        <is>
          <t>28 Juli 2026</t>
        </is>
      </c>
      <c r="M32" t="inlineStr">
        <is>
          <t>Konstruksi Bangunan Sipil Minyak dan Gas Bumi</t>
        </is>
      </c>
      <c r="N32" t="inlineStr">
        <is>
          <t>M</t>
        </is>
      </c>
      <c r="O32" t="inlineStr">
        <is>
          <t>20230728</t>
        </is>
      </c>
      <c r="P32" t="inlineStr">
        <is>
          <t>DKI Jakarta</t>
        </is>
      </c>
      <c r="Q32" t="inlineStr"/>
    </row>
    <row r="33">
      <c r="A33" t="inlineStr">
        <is>
          <t>CIPTA GRAHA PADOE</t>
        </is>
      </c>
      <c r="B33" t="inlineStr">
        <is>
          <t>Kab. Poso</t>
        </is>
      </c>
      <c r="C33" t="inlineStr">
        <is>
          <t>082345080027</t>
        </is>
      </c>
      <c r="D33" t="inlineStr">
        <is>
          <t>cvciptagrahapadoemorowali@gmail.com</t>
        </is>
      </c>
      <c r="E33" t="inlineStr">
        <is>
          <t>https://lpjk.pu.go.id/search-badan-usaha-detail/d1IwaWU3SmMrMkhUOFFTZTV2REV2dz09</t>
        </is>
      </c>
      <c r="F33" t="n">
        <v>1</v>
      </c>
      <c r="G33" t="inlineStr">
        <is>
          <t>BS004</t>
        </is>
      </c>
      <c r="H33" t="inlineStr">
        <is>
          <t>14 Juli 2015</t>
        </is>
      </c>
      <c r="I33" s="2" t="n">
        <v>46231</v>
      </c>
      <c r="J33" t="inlineStr">
        <is>
          <t>Disetujui</t>
        </is>
      </c>
      <c r="K33" t="n">
        <v>60</v>
      </c>
      <c r="L33" t="inlineStr">
        <is>
          <t>28 Juli 2026</t>
        </is>
      </c>
      <c r="M33" t="inlineStr">
        <is>
          <t>Konstruksi Jaringan Irigasi dan Drainase</t>
        </is>
      </c>
      <c r="N33" t="inlineStr">
        <is>
          <t>K</t>
        </is>
      </c>
      <c r="O33" t="inlineStr">
        <is>
          <t>20230727</t>
        </is>
      </c>
      <c r="P33" t="inlineStr">
        <is>
          <t>Sulawesi Tengah</t>
        </is>
      </c>
      <c r="Q33" t="inlineStr"/>
    </row>
    <row r="34">
      <c r="A34" t="inlineStr">
        <is>
          <t>CIPTA INOVASI PERSADA</t>
        </is>
      </c>
      <c r="B34" t="inlineStr">
        <is>
          <t>Kota Samarinda</t>
        </is>
      </c>
      <c r="C34" t="inlineStr">
        <is>
          <t>0811582882</t>
        </is>
      </c>
      <c r="D34" t="inlineStr">
        <is>
          <t>ci_persada@yahoo.com</t>
        </is>
      </c>
      <c r="E34" t="inlineStr">
        <is>
          <t>https://lpjk.pu.go.id/search-badan-usaha-detail/L1l3OWt5a0hjTk9zSFMvTVlhQWN5dz09</t>
        </is>
      </c>
      <c r="F34" t="n">
        <v>1</v>
      </c>
      <c r="G34" t="inlineStr">
        <is>
          <t>BS001</t>
        </is>
      </c>
      <c r="H34" t="inlineStr">
        <is>
          <t>3 Maret 2017</t>
        </is>
      </c>
      <c r="I34" s="2" t="n">
        <v>46231</v>
      </c>
      <c r="J34" t="inlineStr">
        <is>
          <t>Disetujui</t>
        </is>
      </c>
      <c r="K34" t="n">
        <v>60</v>
      </c>
      <c r="L34" t="inlineStr">
        <is>
          <t>28 Juli 2026</t>
        </is>
      </c>
      <c r="M34" t="inlineStr">
        <is>
          <t>Konstruksi Bangunan Sipil Jalan</t>
        </is>
      </c>
      <c r="N34" t="inlineStr">
        <is>
          <t>K</t>
        </is>
      </c>
      <c r="O34" t="inlineStr">
        <is>
          <t>20230726</t>
        </is>
      </c>
      <c r="P34" t="inlineStr">
        <is>
          <t>Kalimantan Timur</t>
        </is>
      </c>
      <c r="Q34" t="inlineStr"/>
    </row>
    <row r="35">
      <c r="A35" t="inlineStr">
        <is>
          <t>CITRA MANDIRI</t>
        </is>
      </c>
      <c r="B35" t="inlineStr">
        <is>
          <t>Kab. Sidoarjo</t>
        </is>
      </c>
      <c r="C35" t="inlineStr">
        <is>
          <t>031 8851249</t>
        </is>
      </c>
      <c r="D35" t="inlineStr">
        <is>
          <t>cvcitramandiri882@gmail.com</t>
        </is>
      </c>
      <c r="E35" t="inlineStr">
        <is>
          <t>https://lpjk.pu.go.id/search-badan-usaha-detail/dTlGcXlKSTFoQkhDOHlzY1owTHV3UT09</t>
        </is>
      </c>
      <c r="F35" t="n">
        <v>2</v>
      </c>
      <c r="G35" t="inlineStr">
        <is>
          <t>BG005, BG009</t>
        </is>
      </c>
      <c r="H35" t="inlineStr">
        <is>
          <t>9 Oktober 2009</t>
        </is>
      </c>
      <c r="I35" s="2" t="n">
        <v>46231</v>
      </c>
      <c r="J35" t="inlineStr">
        <is>
          <t>Disetujui</t>
        </is>
      </c>
      <c r="K35" t="n">
        <v>60</v>
      </c>
      <c r="L35" t="inlineStr">
        <is>
          <t>28 Juli 2026</t>
        </is>
      </c>
      <c r="M35" t="inlineStr">
        <is>
          <t>Konstruksi Gedung Kesehatan, Konstruksi Gedung Lainnya</t>
        </is>
      </c>
      <c r="N35" t="inlineStr">
        <is>
          <t>K</t>
        </is>
      </c>
      <c r="O35" t="inlineStr">
        <is>
          <t>20230728</t>
        </is>
      </c>
      <c r="P35" t="inlineStr">
        <is>
          <t>Jawa Timur</t>
        </is>
      </c>
      <c r="Q35" t="inlineStr"/>
    </row>
    <row r="36">
      <c r="A36" t="inlineStr">
        <is>
          <t>CV. PUTRI MANDAR SANGATTA</t>
        </is>
      </c>
      <c r="B36" t="inlineStr">
        <is>
          <t>Kab. Kutai Timur</t>
        </is>
      </c>
      <c r="C36" t="inlineStr">
        <is>
          <t>082230555333</t>
        </is>
      </c>
      <c r="D36" t="inlineStr">
        <is>
          <t>cv.pms52@yahoo.com</t>
        </is>
      </c>
      <c r="E36" t="inlineStr">
        <is>
          <t>https://lpjk.pu.go.id/search-badan-usaha-detail/a1FCalc0NGNaeldjT1g2SGxobkNhUT09</t>
        </is>
      </c>
      <c r="F36" t="n">
        <v>1</v>
      </c>
      <c r="G36" t="inlineStr">
        <is>
          <t>BG002</t>
        </is>
      </c>
      <c r="H36" t="inlineStr">
        <is>
          <t>28 Juli 2008</t>
        </is>
      </c>
      <c r="I36" s="2" t="n">
        <v>46231</v>
      </c>
      <c r="J36" t="inlineStr">
        <is>
          <t>Disetujui</t>
        </is>
      </c>
      <c r="K36" t="n">
        <v>60</v>
      </c>
      <c r="L36" t="inlineStr">
        <is>
          <t>28 Juli 2026</t>
        </is>
      </c>
      <c r="M36" t="inlineStr">
        <is>
          <t>Konstruksi Gedung Perkantoran</t>
        </is>
      </c>
      <c r="N36" t="inlineStr">
        <is>
          <t>K</t>
        </is>
      </c>
      <c r="O36" t="inlineStr">
        <is>
          <t>20230723</t>
        </is>
      </c>
      <c r="P36" t="inlineStr">
        <is>
          <t>Kalimantan Timur</t>
        </is>
      </c>
      <c r="Q36" t="inlineStr"/>
    </row>
    <row r="37">
      <c r="A37" t="inlineStr">
        <is>
          <t>DELANO JAYA PROPERTI</t>
        </is>
      </c>
      <c r="B37" t="inlineStr">
        <is>
          <t>Kota Pangkal Pinang</t>
        </is>
      </c>
      <c r="C37" t="inlineStr">
        <is>
          <t>085268150260</t>
        </is>
      </c>
      <c r="D37" t="inlineStr">
        <is>
          <t>delanojayaproperti1278@yahoo.com</t>
        </is>
      </c>
      <c r="E37" t="inlineStr">
        <is>
          <t>https://lpjk.pu.go.id/search-badan-usaha-detail/eGxMOXhxVHFiRHpuVCtBUkdUemFrdz09</t>
        </is>
      </c>
      <c r="F37" t="n">
        <v>2</v>
      </c>
      <c r="G37" t="inlineStr">
        <is>
          <t>BG001, BS001</t>
        </is>
      </c>
      <c r="H37" t="inlineStr">
        <is>
          <t>27 Maret 2019</t>
        </is>
      </c>
      <c r="I37" s="2" t="n">
        <v>46231</v>
      </c>
      <c r="J37" t="inlineStr">
        <is>
          <t>Pencabutan</t>
        </is>
      </c>
      <c r="K37" t="n">
        <v>60</v>
      </c>
      <c r="L37" t="inlineStr">
        <is>
          <t>28 Juli 2026</t>
        </is>
      </c>
      <c r="M37" t="inlineStr">
        <is>
          <t>Konstruksi Bangunan Sipil Jalan, Konstruksi Gedung Hunian</t>
        </is>
      </c>
      <c r="N37" t="inlineStr">
        <is>
          <t>K</t>
        </is>
      </c>
      <c r="O37" t="inlineStr">
        <is>
          <t>20230728</t>
        </is>
      </c>
      <c r="P37" t="inlineStr">
        <is>
          <t>Kepulauan Bangka Belitung</t>
        </is>
      </c>
      <c r="Q37" t="inlineStr"/>
    </row>
    <row r="38">
      <c r="A38" t="inlineStr">
        <is>
          <t>DELAPAN DELAPAN</t>
        </is>
      </c>
      <c r="B38" t="inlineStr">
        <is>
          <t>Kab. Lampung Tengah</t>
        </is>
      </c>
      <c r="C38" t="inlineStr">
        <is>
          <t>085368028222</t>
        </is>
      </c>
      <c r="D38" t="inlineStr">
        <is>
          <t>cvdelapandelapan2021@gmail.com</t>
        </is>
      </c>
      <c r="E38" t="inlineStr">
        <is>
          <t>https://lpjk.pu.go.id/search-badan-usaha-detail/cm84NlFxTUxhSldybm5nV0RmVVRLQT09</t>
        </is>
      </c>
      <c r="F38" t="n">
        <v>2</v>
      </c>
      <c r="G38" t="inlineStr">
        <is>
          <t>BG003</t>
        </is>
      </c>
      <c r="H38" t="inlineStr">
        <is>
          <t>2 Mei 2014</t>
        </is>
      </c>
      <c r="I38" s="2" t="n">
        <v>46231</v>
      </c>
      <c r="J38" t="inlineStr">
        <is>
          <t>Disetujui</t>
        </is>
      </c>
      <c r="K38" t="n">
        <v>60</v>
      </c>
      <c r="L38" t="inlineStr">
        <is>
          <t>28 Juli 2026</t>
        </is>
      </c>
      <c r="M38" t="inlineStr">
        <is>
          <t>Konstruksi Gedung Industri</t>
        </is>
      </c>
      <c r="N38" t="inlineStr">
        <is>
          <t>K</t>
        </is>
      </c>
      <c r="O38" t="inlineStr">
        <is>
          <t>20230724</t>
        </is>
      </c>
      <c r="P38" t="inlineStr">
        <is>
          <t>Lampung</t>
        </is>
      </c>
      <c r="Q38" t="inlineStr"/>
    </row>
    <row r="39">
      <c r="A39" t="inlineStr">
        <is>
          <t>DINAMIKA METRO TECHNOLOGY</t>
        </is>
      </c>
      <c r="B39" t="inlineStr">
        <is>
          <t>Kab. Tanjung Jabung Barat</t>
        </is>
      </c>
      <c r="C39" t="inlineStr">
        <is>
          <t>085216162565</t>
        </is>
      </c>
      <c r="D39" t="inlineStr">
        <is>
          <t>dmtechnology139@gmail.com</t>
        </is>
      </c>
      <c r="E39" t="inlineStr">
        <is>
          <t>https://lpjk.pu.go.id/search-badan-usaha-detail/VFpML0ZxdW9LeGVHR0kyVDEyUnI1dz09</t>
        </is>
      </c>
      <c r="F39" t="n">
        <v>21</v>
      </c>
      <c r="G39" t="inlineStr">
        <is>
          <t>BG005, BG006, BG008, BG009, BS001, BS002, BS004</t>
        </is>
      </c>
      <c r="H39" t="inlineStr">
        <is>
          <t>25 Februari 2015</t>
        </is>
      </c>
      <c r="I39" s="2" t="n">
        <v>46231</v>
      </c>
      <c r="J39" t="inlineStr">
        <is>
          <t>Disetujui</t>
        </is>
      </c>
      <c r="K39" t="n">
        <v>60</v>
      </c>
      <c r="L39" t="inlineStr">
        <is>
          <t>28 Juli 2026</t>
        </is>
      </c>
      <c r="M39" t="inlineStr">
        <is>
          <t>Bangunan Sipil Jembatan, Jalan Layang, Fly Over, dan Underpass, Konstruksi Bangunan Sipil Jalan, Konstruksi Gedung Kesehatan, Konstruksi Gedung Lainnya, Konstruksi Gedung Pendidikan, Konstruksi Gedung Tempat Hiburan dan Olahraga, Konstruksi Jaringan Irigasi dan Drainase</t>
        </is>
      </c>
      <c r="N39" t="inlineStr">
        <is>
          <t>K</t>
        </is>
      </c>
      <c r="O39" t="inlineStr">
        <is>
          <t>20230726</t>
        </is>
      </c>
      <c r="P39" t="inlineStr">
        <is>
          <t>Jambi</t>
        </is>
      </c>
      <c r="Q39" t="inlineStr"/>
    </row>
    <row r="40">
      <c r="A40" t="inlineStr">
        <is>
          <t>DUTA HIDUP LESTARI</t>
        </is>
      </c>
      <c r="B40" t="inlineStr">
        <is>
          <t>Kota Bandar Lampung</t>
        </is>
      </c>
      <c r="C40" t="inlineStr">
        <is>
          <t>081379669915</t>
        </is>
      </c>
      <c r="D40" t="inlineStr">
        <is>
          <t>ptdhlestari@gmail.com</t>
        </is>
      </c>
      <c r="E40" t="inlineStr">
        <is>
          <t>https://lpjk.pu.go.id/search-badan-usaha-detail/eDdLak4yWmlEVHNMQ3NlL1VtdGFNUT09</t>
        </is>
      </c>
      <c r="F40" t="n">
        <v>1</v>
      </c>
      <c r="G40" t="inlineStr">
        <is>
          <t>BS001</t>
        </is>
      </c>
      <c r="H40" t="inlineStr">
        <is>
          <t>5 Februari 2014</t>
        </is>
      </c>
      <c r="I40" s="2" t="n">
        <v>46231</v>
      </c>
      <c r="J40" t="inlineStr">
        <is>
          <t>Disetujui</t>
        </is>
      </c>
      <c r="K40" t="n">
        <v>60</v>
      </c>
      <c r="L40" t="inlineStr">
        <is>
          <t>28 Juli 2026</t>
        </is>
      </c>
      <c r="M40" t="inlineStr">
        <is>
          <t>Konstruksi Bangunan Sipil Jalan</t>
        </is>
      </c>
      <c r="N40" t="inlineStr">
        <is>
          <t>K</t>
        </is>
      </c>
      <c r="O40" t="inlineStr">
        <is>
          <t>20230725</t>
        </is>
      </c>
      <c r="P40" t="inlineStr">
        <is>
          <t>Lampung</t>
        </is>
      </c>
      <c r="Q40" t="inlineStr"/>
    </row>
    <row r="41">
      <c r="A41" t="inlineStr">
        <is>
          <t>FARESTA</t>
        </is>
      </c>
      <c r="B41" t="inlineStr">
        <is>
          <t>Kota Singkawang</t>
        </is>
      </c>
      <c r="C41" t="inlineStr">
        <is>
          <t>089694238221</t>
        </is>
      </c>
      <c r="D41" t="inlineStr">
        <is>
          <t>cvfarestaskw@gmail.com</t>
        </is>
      </c>
      <c r="E41" t="inlineStr">
        <is>
          <t>https://lpjk.pu.go.id/search-badan-usaha-detail/MVNQSE51dDV2VDE0ZWdIYUs2R3lTZz09</t>
        </is>
      </c>
      <c r="F41" t="n">
        <v>1</v>
      </c>
      <c r="G41" t="inlineStr">
        <is>
          <t>BS002</t>
        </is>
      </c>
      <c r="H41" t="inlineStr">
        <is>
          <t>23 Agustus 2021</t>
        </is>
      </c>
      <c r="I41" s="2" t="n">
        <v>46231</v>
      </c>
      <c r="J41" t="inlineStr">
        <is>
          <t>Disetujui</t>
        </is>
      </c>
      <c r="K41" t="n">
        <v>60</v>
      </c>
      <c r="L41" t="inlineStr">
        <is>
          <t>28 Juli 2026</t>
        </is>
      </c>
      <c r="M41" t="inlineStr">
        <is>
          <t>Bangunan Sipil Jembatan, Jalan Layang, Fly Over, dan Underpass</t>
        </is>
      </c>
      <c r="N41" t="inlineStr">
        <is>
          <t>K</t>
        </is>
      </c>
      <c r="O41" t="inlineStr">
        <is>
          <t>20230728</t>
        </is>
      </c>
      <c r="P41" t="inlineStr">
        <is>
          <t>Kalimantan Barat</t>
        </is>
      </c>
      <c r="Q41" t="inlineStr"/>
    </row>
    <row r="42">
      <c r="A42" t="inlineStr">
        <is>
          <t>FATHONAH</t>
        </is>
      </c>
      <c r="B42" t="inlineStr">
        <is>
          <t>Kab. Bangkalan</t>
        </is>
      </c>
      <c r="C42" t="inlineStr">
        <is>
          <t>082141585888</t>
        </is>
      </c>
      <c r="D42" t="inlineStr">
        <is>
          <t>cv.fathonah2018@yahoo.com</t>
        </is>
      </c>
      <c r="E42" t="inlineStr">
        <is>
          <t>https://lpjk.pu.go.id/search-badan-usaha-detail/WERmNzN5VGxsdk9QRmhyWHRoY2FMUT09</t>
        </is>
      </c>
      <c r="F42" t="n">
        <v>1</v>
      </c>
      <c r="G42" t="inlineStr">
        <is>
          <t>BS004</t>
        </is>
      </c>
      <c r="H42" t="inlineStr">
        <is>
          <t>20 November 1991</t>
        </is>
      </c>
      <c r="I42" s="2" t="n">
        <v>46231</v>
      </c>
      <c r="J42" t="inlineStr">
        <is>
          <t>Disetujui</t>
        </is>
      </c>
      <c r="K42" t="n">
        <v>60</v>
      </c>
      <c r="L42" t="inlineStr">
        <is>
          <t>28 Juli 2026</t>
        </is>
      </c>
      <c r="M42" t="inlineStr">
        <is>
          <t>Konstruksi Jaringan Irigasi dan Drainase</t>
        </is>
      </c>
      <c r="N42" t="inlineStr">
        <is>
          <t>K</t>
        </is>
      </c>
      <c r="O42" t="inlineStr">
        <is>
          <t>20230726</t>
        </is>
      </c>
      <c r="P42" t="inlineStr">
        <is>
          <t>Jawa Timur</t>
        </is>
      </c>
      <c r="Q42" t="inlineStr"/>
    </row>
    <row r="43">
      <c r="A43" t="inlineStr">
        <is>
          <t>GABRIEL GABRYELA JAYA</t>
        </is>
      </c>
      <c r="B43" t="inlineStr">
        <is>
          <t>Kab. Rote Ndao</t>
        </is>
      </c>
      <c r="C43" t="inlineStr">
        <is>
          <t>081239986622</t>
        </is>
      </c>
      <c r="D43" t="inlineStr">
        <is>
          <t>gabrielgabryela03@gmail.com</t>
        </is>
      </c>
      <c r="E43" t="inlineStr">
        <is>
          <t>https://lpjk.pu.go.id/search-badan-usaha-detail/K3grWjNVYWNYL1NqY0p4ckFMaHpBUT09</t>
        </is>
      </c>
      <c r="F43" t="n">
        <v>1</v>
      </c>
      <c r="G43" t="inlineStr">
        <is>
          <t>BS001</t>
        </is>
      </c>
      <c r="H43" t="inlineStr">
        <is>
          <t>10 Juli 2015</t>
        </is>
      </c>
      <c r="I43" s="2" t="n">
        <v>46231</v>
      </c>
      <c r="J43" t="inlineStr">
        <is>
          <t>Pembekuan</t>
        </is>
      </c>
      <c r="K43" t="n">
        <v>60</v>
      </c>
      <c r="L43" t="inlineStr">
        <is>
          <t>28 Juli 2026</t>
        </is>
      </c>
      <c r="M43" t="inlineStr">
        <is>
          <t>Konstruksi Bangunan Sipil Jalan</t>
        </is>
      </c>
      <c r="N43" t="inlineStr">
        <is>
          <t>M</t>
        </is>
      </c>
      <c r="O43" t="inlineStr">
        <is>
          <t>20230711</t>
        </is>
      </c>
      <c r="P43" t="inlineStr">
        <is>
          <t>Nusa Tenggara Timur</t>
        </is>
      </c>
      <c r="Q43" t="inlineStr"/>
    </row>
    <row r="44">
      <c r="A44" t="inlineStr">
        <is>
          <t>GALANG BULAN</t>
        </is>
      </c>
      <c r="B44" t="inlineStr">
        <is>
          <t>Kota Mataram</t>
        </is>
      </c>
      <c r="C44" t="inlineStr">
        <is>
          <t>087865773993</t>
        </is>
      </c>
      <c r="D44" t="inlineStr">
        <is>
          <t>harrysuhada@ymail.com</t>
        </is>
      </c>
      <c r="E44" t="inlineStr">
        <is>
          <t>https://lpjk.pu.go.id/search-badan-usaha-detail/TWdoV3VTY3FPc3M4d09YQ2c3TUc2Zz09</t>
        </is>
      </c>
      <c r="F44" t="n">
        <v>1</v>
      </c>
      <c r="G44" t="inlineStr">
        <is>
          <t>BS004</t>
        </is>
      </c>
      <c r="H44" t="inlineStr">
        <is>
          <t>18 April 1981</t>
        </is>
      </c>
      <c r="I44" s="2" t="n">
        <v>46231</v>
      </c>
      <c r="J44" t="inlineStr">
        <is>
          <t>Disetujui</t>
        </is>
      </c>
      <c r="K44" t="n">
        <v>60</v>
      </c>
      <c r="L44" t="inlineStr">
        <is>
          <t>28 Juli 2026</t>
        </is>
      </c>
      <c r="M44" t="inlineStr">
        <is>
          <t>Konstruksi Jaringan Irigasi dan Drainase</t>
        </is>
      </c>
      <c r="N44" t="inlineStr">
        <is>
          <t>K</t>
        </is>
      </c>
      <c r="O44" t="inlineStr">
        <is>
          <t>20230726</t>
        </is>
      </c>
      <c r="P44" t="inlineStr">
        <is>
          <t>Nusa Tenggara Barat</t>
        </is>
      </c>
      <c r="Q44" t="inlineStr"/>
    </row>
    <row r="45">
      <c r="A45" t="inlineStr">
        <is>
          <t>GARUDA SAKTI SUMATERA</t>
        </is>
      </c>
      <c r="B45" t="inlineStr">
        <is>
          <t>Kota Jambi</t>
        </is>
      </c>
      <c r="C45" t="inlineStr">
        <is>
          <t>082278300851</t>
        </is>
      </c>
      <c r="D45" t="inlineStr">
        <is>
          <t>garudasaktisumatera@gmail.com</t>
        </is>
      </c>
      <c r="E45" t="inlineStr">
        <is>
          <t>https://lpjk.pu.go.id/search-badan-usaha-detail/RFNpaXVHTTRvSFNMQjloSFVNdUJLUT09</t>
        </is>
      </c>
      <c r="F45" t="n">
        <v>4</v>
      </c>
      <c r="G45" t="inlineStr">
        <is>
          <t>BG002, BG005, BG006, BG009</t>
        </is>
      </c>
      <c r="H45" t="inlineStr">
        <is>
          <t>26 Juni 2023</t>
        </is>
      </c>
      <c r="I45" s="2" t="n">
        <v>46231</v>
      </c>
      <c r="J45" t="inlineStr">
        <is>
          <t>Disetujui</t>
        </is>
      </c>
      <c r="K45" t="n">
        <v>60</v>
      </c>
      <c r="L45" t="inlineStr">
        <is>
          <t>28 Juli 2026</t>
        </is>
      </c>
      <c r="M45" t="inlineStr">
        <is>
          <t>Konstruksi Gedung Kesehatan, Konstruksi Gedung Lainnya, Konstruksi Gedung Pendidikan, Konstruksi Gedung Perkantoran</t>
        </is>
      </c>
      <c r="N45" t="inlineStr">
        <is>
          <t>K</t>
        </is>
      </c>
      <c r="O45" t="inlineStr">
        <is>
          <t>20230725</t>
        </is>
      </c>
      <c r="P45" t="inlineStr">
        <is>
          <t>Jambi</t>
        </is>
      </c>
      <c r="Q45" t="inlineStr"/>
    </row>
    <row r="46">
      <c r="A46" t="inlineStr">
        <is>
          <t>GARUDA TELEKOMUNIKASI INDONESIA</t>
        </is>
      </c>
      <c r="B46" t="inlineStr">
        <is>
          <t>Kab. Sidoarjo</t>
        </is>
      </c>
      <c r="C46" t="inlineStr">
        <is>
          <t>03199851555</t>
        </is>
      </c>
      <c r="D46" t="inlineStr">
        <is>
          <t>garudatel@gmail.com</t>
        </is>
      </c>
      <c r="E46" t="inlineStr">
        <is>
          <t>https://lpjk.pu.go.id/search-badan-usaha-detail/dXlHY3k3dDJUMkdkcW0remtzVkZiUT09</t>
        </is>
      </c>
      <c r="F46" t="n">
        <v>1</v>
      </c>
      <c r="G46" t="inlineStr">
        <is>
          <t>BS009</t>
        </is>
      </c>
      <c r="H46" t="inlineStr">
        <is>
          <t>9 Juni 2017</t>
        </is>
      </c>
      <c r="I46" s="2" t="n">
        <v>46231</v>
      </c>
      <c r="J46" t="inlineStr">
        <is>
          <t>Disetujui</t>
        </is>
      </c>
      <c r="K46" t="n">
        <v>60</v>
      </c>
      <c r="L46" t="inlineStr">
        <is>
          <t>28 Juli 2026</t>
        </is>
      </c>
      <c r="M46" t="inlineStr">
        <is>
          <t>Konstruksi Sentral Telekomunikasi</t>
        </is>
      </c>
      <c r="N46" t="inlineStr">
        <is>
          <t>K</t>
        </is>
      </c>
      <c r="O46" t="inlineStr">
        <is>
          <t>20230726</t>
        </is>
      </c>
      <c r="P46" t="inlineStr">
        <is>
          <t>Jawa Timur</t>
        </is>
      </c>
      <c r="Q46" t="inlineStr"/>
    </row>
    <row r="47">
      <c r="A47" t="inlineStr">
        <is>
          <t>GLOBAL KREASI DEVELOPMENT</t>
        </is>
      </c>
      <c r="B47" t="inlineStr">
        <is>
          <t>Kab. Jember</t>
        </is>
      </c>
      <c r="C47" t="inlineStr">
        <is>
          <t>082264522616</t>
        </is>
      </c>
      <c r="D47" t="inlineStr">
        <is>
          <t>globalkreasidevelopmentpt@gmail.com</t>
        </is>
      </c>
      <c r="E47" t="inlineStr">
        <is>
          <t>https://lpjk.pu.go.id/search-badan-usaha-detail/VGNPVkNYem9NR1lzWG8wSFVleEYxUT09</t>
        </is>
      </c>
      <c r="F47" t="n">
        <v>3</v>
      </c>
      <c r="G47" t="inlineStr">
        <is>
          <t>BG002, BG003, BG009</t>
        </is>
      </c>
      <c r="H47" t="inlineStr">
        <is>
          <t>3 April 2023</t>
        </is>
      </c>
      <c r="I47" s="2" t="n">
        <v>46231</v>
      </c>
      <c r="J47" t="inlineStr">
        <is>
          <t>Disetujui</t>
        </is>
      </c>
      <c r="K47" t="n">
        <v>60</v>
      </c>
      <c r="L47" t="inlineStr">
        <is>
          <t>28 Juli 2026</t>
        </is>
      </c>
      <c r="M47" t="inlineStr">
        <is>
          <t>Konstruksi Gedung Industri, Konstruksi Gedung Lainnya, Konstruksi Gedung Perkantoran</t>
        </is>
      </c>
      <c r="N47" t="inlineStr">
        <is>
          <t>K</t>
        </is>
      </c>
      <c r="O47" t="inlineStr">
        <is>
          <t>20230724</t>
        </is>
      </c>
      <c r="P47" t="inlineStr">
        <is>
          <t>Jawa Timur</t>
        </is>
      </c>
      <c r="Q47" t="inlineStr"/>
    </row>
    <row r="48">
      <c r="A48" t="inlineStr">
        <is>
          <t>HARAPAN BARU CEMERLANG</t>
        </is>
      </c>
      <c r="B48" t="inlineStr">
        <is>
          <t>Kab. Muaro Jambi</t>
        </is>
      </c>
      <c r="C48" t="inlineStr">
        <is>
          <t>085212741345</t>
        </is>
      </c>
      <c r="D48" t="inlineStr">
        <is>
          <t>cvharapanbarucemerlang@gmail.com</t>
        </is>
      </c>
      <c r="E48" t="inlineStr">
        <is>
          <t>https://lpjk.pu.go.id/search-badan-usaha-detail/ck0xRGhXWVAxREMrSkZ6RzZZU0J4UT09</t>
        </is>
      </c>
      <c r="F48" t="n">
        <v>2</v>
      </c>
      <c r="G48" t="inlineStr">
        <is>
          <t>BS001</t>
        </is>
      </c>
      <c r="H48" t="inlineStr">
        <is>
          <t>1 Agustus 2024</t>
        </is>
      </c>
      <c r="I48" s="2" t="n">
        <v>46231</v>
      </c>
      <c r="J48" t="inlineStr">
        <is>
          <t>Disetujui</t>
        </is>
      </c>
      <c r="K48" t="n">
        <v>60</v>
      </c>
      <c r="L48" t="inlineStr">
        <is>
          <t>28 Juli 2026</t>
        </is>
      </c>
      <c r="M48" t="inlineStr">
        <is>
          <t>Konstruksi Bangunan Sipil Jalan</t>
        </is>
      </c>
      <c r="N48" t="inlineStr">
        <is>
          <t>K</t>
        </is>
      </c>
      <c r="O48" t="inlineStr">
        <is>
          <t>20230725</t>
        </is>
      </c>
      <c r="P48" t="inlineStr">
        <is>
          <t>Jambi</t>
        </is>
      </c>
      <c r="Q48" t="inlineStr"/>
    </row>
    <row r="49">
      <c r="A49" t="inlineStr">
        <is>
          <t>HASTA KARYA</t>
        </is>
      </c>
      <c r="B49" t="inlineStr">
        <is>
          <t>Kab. Jember</t>
        </is>
      </c>
      <c r="C49" t="inlineStr">
        <is>
          <t>085100841037</t>
        </is>
      </c>
      <c r="D49" t="inlineStr">
        <is>
          <t>aristiawanw@yahoo.co.id</t>
        </is>
      </c>
      <c r="E49" t="inlineStr">
        <is>
          <t>https://lpjk.pu.go.id/search-badan-usaha-detail/bkg0NGhJb0t1VHZ2N1AzNjREUFllUT09</t>
        </is>
      </c>
      <c r="F49" t="n">
        <v>2</v>
      </c>
      <c r="G49" t="inlineStr">
        <is>
          <t>BG005, BG009</t>
        </is>
      </c>
      <c r="H49" t="inlineStr">
        <is>
          <t>19 April 1974</t>
        </is>
      </c>
      <c r="I49" s="2" t="n">
        <v>46231</v>
      </c>
      <c r="J49" t="inlineStr">
        <is>
          <t>Disetujui</t>
        </is>
      </c>
      <c r="K49" t="n">
        <v>60</v>
      </c>
      <c r="L49" t="inlineStr">
        <is>
          <t>28 Juli 2026</t>
        </is>
      </c>
      <c r="M49" t="inlineStr">
        <is>
          <t>Konstruksi Gedung Kesehatan, Konstruksi Gedung Lainnya</t>
        </is>
      </c>
      <c r="N49" t="inlineStr">
        <is>
          <t>K</t>
        </is>
      </c>
      <c r="O49" t="inlineStr">
        <is>
          <t>20230724</t>
        </is>
      </c>
      <c r="P49" t="inlineStr">
        <is>
          <t>Jawa Timur</t>
        </is>
      </c>
      <c r="Q49" t="inlineStr"/>
    </row>
    <row r="50">
      <c r="A50" t="inlineStr">
        <is>
          <t>HUMAKU</t>
        </is>
      </c>
      <c r="B50" t="inlineStr">
        <is>
          <t>Kab. Ogan Komering Ulu</t>
        </is>
      </c>
      <c r="C50" t="inlineStr">
        <is>
          <t>082376153965</t>
        </is>
      </c>
      <c r="D50" t="inlineStr">
        <is>
          <t>humakucv@gmail.com</t>
        </is>
      </c>
      <c r="E50" t="inlineStr">
        <is>
          <t>https://lpjk.pu.go.id/search-badan-usaha-detail/Q2dqUFg1bm15V1h3cGhyUHFXY25mdz09</t>
        </is>
      </c>
      <c r="F50" t="n">
        <v>1</v>
      </c>
      <c r="G50" t="inlineStr">
        <is>
          <t>BS002</t>
        </is>
      </c>
      <c r="H50" t="inlineStr">
        <is>
          <t>28 Desember 2005</t>
        </is>
      </c>
      <c r="I50" s="2" t="n">
        <v>46231</v>
      </c>
      <c r="J50" t="inlineStr">
        <is>
          <t>Disetujui</t>
        </is>
      </c>
      <c r="K50" t="n">
        <v>60</v>
      </c>
      <c r="L50" t="inlineStr">
        <is>
          <t>28 Juli 2026</t>
        </is>
      </c>
      <c r="M50" t="inlineStr">
        <is>
          <t>Bangunan Sipil Jembatan, Jalan Layang, Fly Over, dan Underpass</t>
        </is>
      </c>
      <c r="N50" t="inlineStr">
        <is>
          <t>K</t>
        </is>
      </c>
      <c r="O50" t="inlineStr">
        <is>
          <t>20230727</t>
        </is>
      </c>
      <c r="P50" t="inlineStr">
        <is>
          <t>Sumatera Selatan</t>
        </is>
      </c>
      <c r="Q50" t="inlineStr"/>
    </row>
    <row r="51">
      <c r="A51" t="inlineStr">
        <is>
          <t>KAFADA KARYA</t>
        </is>
      </c>
      <c r="B51" t="inlineStr">
        <is>
          <t>Kab. Sukabumi</t>
        </is>
      </c>
      <c r="C51" t="inlineStr">
        <is>
          <t>085863391352</t>
        </is>
      </c>
      <c r="D51" t="inlineStr">
        <is>
          <t>zeanabdulmuis10@gmail.com</t>
        </is>
      </c>
      <c r="E51" t="inlineStr">
        <is>
          <t>https://lpjk.pu.go.id/search-badan-usaha-detail/L25BSzU4ak0yS2s3Q3hjeHBKVFJnUT09</t>
        </is>
      </c>
      <c r="F51" t="n">
        <v>1</v>
      </c>
      <c r="G51" t="inlineStr">
        <is>
          <t>BS001</t>
        </is>
      </c>
      <c r="H51" t="inlineStr">
        <is>
          <t>5 November 2014</t>
        </is>
      </c>
      <c r="I51" s="2" t="n">
        <v>46231</v>
      </c>
      <c r="J51" t="inlineStr">
        <is>
          <t>Disetujui</t>
        </is>
      </c>
      <c r="K51" t="n">
        <v>60</v>
      </c>
      <c r="L51" t="inlineStr">
        <is>
          <t>28 Juli 2026</t>
        </is>
      </c>
      <c r="M51" t="inlineStr">
        <is>
          <t>Konstruksi Bangunan Sipil Jalan</t>
        </is>
      </c>
      <c r="N51" t="inlineStr">
        <is>
          <t>K</t>
        </is>
      </c>
      <c r="O51" t="inlineStr">
        <is>
          <t>20230720</t>
        </is>
      </c>
      <c r="P51" t="inlineStr">
        <is>
          <t>Jawa Barat</t>
        </is>
      </c>
      <c r="Q51" t="inlineStr"/>
    </row>
    <row r="52">
      <c r="A52" t="inlineStr">
        <is>
          <t>KAKATUA</t>
        </is>
      </c>
      <c r="B52" t="inlineStr">
        <is>
          <t>Kab. Nabire</t>
        </is>
      </c>
      <c r="C52" t="inlineStr">
        <is>
          <t>082226342222</t>
        </is>
      </c>
      <c r="D52" t="inlineStr">
        <is>
          <t>kakatua.group@gmail.com</t>
        </is>
      </c>
      <c r="E52" t="inlineStr">
        <is>
          <t>https://lpjk.pu.go.id/search-badan-usaha-detail/VHdpOVM3a09XNXhGWGtTQ2JFd3ZWdz09</t>
        </is>
      </c>
      <c r="F52" t="n">
        <v>1</v>
      </c>
      <c r="G52" t="inlineStr">
        <is>
          <t>BS007</t>
        </is>
      </c>
      <c r="H52" t="inlineStr">
        <is>
          <t>21 September 2004</t>
        </is>
      </c>
      <c r="I52" s="2" t="n">
        <v>46231</v>
      </c>
      <c r="J52" t="inlineStr">
        <is>
          <t>Disetujui</t>
        </is>
      </c>
      <c r="K52" t="n">
        <v>60</v>
      </c>
      <c r="L52" t="inlineStr">
        <is>
          <t>28 Juli 2026</t>
        </is>
      </c>
      <c r="M52" t="inlineStr">
        <is>
          <t>Konstruksi Bangunan Sipil Elektrikal</t>
        </is>
      </c>
      <c r="N52" t="inlineStr">
        <is>
          <t>K</t>
        </is>
      </c>
      <c r="O52" t="inlineStr">
        <is>
          <t>20230728</t>
        </is>
      </c>
      <c r="P52" t="inlineStr">
        <is>
          <t>Papua</t>
        </is>
      </c>
      <c r="Q52" t="inlineStr"/>
    </row>
    <row r="53">
      <c r="A53" t="inlineStr">
        <is>
          <t>KARANG SUCY TEHNIK PRATAMA</t>
        </is>
      </c>
      <c r="B53" t="inlineStr">
        <is>
          <t>Kota Padang</t>
        </is>
      </c>
      <c r="C53" t="inlineStr">
        <is>
          <t>085376417074</t>
        </is>
      </c>
      <c r="D53" t="inlineStr">
        <is>
          <t>karangsucytehnikpratamapt@yahoo.com</t>
        </is>
      </c>
      <c r="E53" t="inlineStr">
        <is>
          <t>https://lpjk.pu.go.id/search-badan-usaha-detail/SHljY0RtYk1nUzg4QTVKaVFySGhnUT09</t>
        </is>
      </c>
      <c r="F53" t="n">
        <v>3</v>
      </c>
      <c r="G53" t="inlineStr">
        <is>
          <t>BG003</t>
        </is>
      </c>
      <c r="H53" t="inlineStr">
        <is>
          <t>7 Juni 2012</t>
        </is>
      </c>
      <c r="I53" s="2" t="n">
        <v>46231</v>
      </c>
      <c r="J53" t="inlineStr">
        <is>
          <t>Disetujui</t>
        </is>
      </c>
      <c r="K53" t="n">
        <v>60</v>
      </c>
      <c r="L53" t="inlineStr">
        <is>
          <t>28 Juli 2026</t>
        </is>
      </c>
      <c r="M53" t="inlineStr">
        <is>
          <t>Konstruksi Gedung Industri</t>
        </is>
      </c>
      <c r="N53" t="inlineStr">
        <is>
          <t>K</t>
        </is>
      </c>
      <c r="O53" t="inlineStr">
        <is>
          <t>20230725</t>
        </is>
      </c>
      <c r="P53" t="inlineStr">
        <is>
          <t>Sumatera Barat</t>
        </is>
      </c>
      <c r="Q53" t="inlineStr"/>
    </row>
    <row r="54">
      <c r="A54" t="inlineStr">
        <is>
          <t>KARUNIA SUMBER SARI MAKMUR</t>
        </is>
      </c>
      <c r="B54" t="inlineStr">
        <is>
          <t>Kota Bontang</t>
        </is>
      </c>
      <c r="C54" t="inlineStr">
        <is>
          <t>054827970</t>
        </is>
      </c>
      <c r="D54" t="inlineStr">
        <is>
          <t>sulistyowatibontang@gmail.com</t>
        </is>
      </c>
      <c r="E54" t="inlineStr">
        <is>
          <t>https://lpjk.pu.go.id/search-badan-usaha-detail/WlI0cmd3dHRxLzlJOG9WWjArbWY1UT09</t>
        </is>
      </c>
      <c r="F54" t="n">
        <v>1</v>
      </c>
      <c r="G54" t="inlineStr">
        <is>
          <t>BG009</t>
        </is>
      </c>
      <c r="H54" t="inlineStr">
        <is>
          <t>29 November 2017</t>
        </is>
      </c>
      <c r="I54" s="2" t="n">
        <v>46231</v>
      </c>
      <c r="J54" t="inlineStr">
        <is>
          <t>Disetujui</t>
        </is>
      </c>
      <c r="K54" t="n">
        <v>60</v>
      </c>
      <c r="L54" t="inlineStr">
        <is>
          <t>28 Juli 2026</t>
        </is>
      </c>
      <c r="M54" t="inlineStr">
        <is>
          <t>Konstruksi Gedung Lainnya</t>
        </is>
      </c>
      <c r="N54" t="inlineStr">
        <is>
          <t>K</t>
        </is>
      </c>
      <c r="O54" t="inlineStr">
        <is>
          <t>20230529</t>
        </is>
      </c>
      <c r="P54" t="inlineStr">
        <is>
          <t>Kalimantan Timur</t>
        </is>
      </c>
      <c r="Q54" t="inlineStr"/>
    </row>
    <row r="55">
      <c r="A55" t="inlineStr">
        <is>
          <t>KARYA ABADI SEJATI</t>
        </is>
      </c>
      <c r="B55" t="inlineStr">
        <is>
          <t>Kota Bima</t>
        </is>
      </c>
      <c r="C55" t="inlineStr">
        <is>
          <t>082164452799</t>
        </is>
      </c>
      <c r="D55" t="inlineStr">
        <is>
          <t>karyaabadisejati15@gmail.com</t>
        </is>
      </c>
      <c r="E55" t="inlineStr">
        <is>
          <t>https://lpjk.pu.go.id/search-badan-usaha-detail/KzZBNFk1UkRURG1TaVhad2hRcWZiQT09</t>
        </is>
      </c>
      <c r="F55" t="n">
        <v>1</v>
      </c>
      <c r="G55" t="inlineStr">
        <is>
          <t>BS010</t>
        </is>
      </c>
      <c r="H55" t="inlineStr">
        <is>
          <t>19 Desember 2019</t>
        </is>
      </c>
      <c r="I55" s="2" t="n">
        <v>46231</v>
      </c>
      <c r="J55" t="inlineStr">
        <is>
          <t>Disetujui</t>
        </is>
      </c>
      <c r="K55" t="n">
        <v>60</v>
      </c>
      <c r="L55" t="inlineStr">
        <is>
          <t>28 Juli 2026</t>
        </is>
      </c>
      <c r="M55" t="inlineStr">
        <is>
          <t>Konstruksi Bangunan Prasarana Sumber Daya Air</t>
        </is>
      </c>
      <c r="N55" t="inlineStr">
        <is>
          <t>K</t>
        </is>
      </c>
      <c r="O55" t="inlineStr">
        <is>
          <t>20230728</t>
        </is>
      </c>
      <c r="P55" t="inlineStr">
        <is>
          <t>Nusa Tenggara Barat</t>
        </is>
      </c>
      <c r="Q55" t="inlineStr"/>
    </row>
    <row r="56">
      <c r="A56" t="inlineStr">
        <is>
          <t>KARYA BAJA KONSTRUKSI</t>
        </is>
      </c>
      <c r="B56" t="inlineStr">
        <is>
          <t>Kota Adm. Jakarta Barat</t>
        </is>
      </c>
      <c r="C56" t="inlineStr">
        <is>
          <t>02198766534</t>
        </is>
      </c>
      <c r="D56" t="inlineStr">
        <is>
          <t>kbk888jakarta@gmail.com</t>
        </is>
      </c>
      <c r="E56" t="inlineStr">
        <is>
          <t>https://lpjk.pu.go.id/search-badan-usaha-detail/VFprbkZUUWZZU2pVdGtHQ0V2V0VjQT09</t>
        </is>
      </c>
      <c r="F56" t="n">
        <v>1</v>
      </c>
      <c r="G56" t="inlineStr">
        <is>
          <t>BG003</t>
        </is>
      </c>
      <c r="H56" t="inlineStr">
        <is>
          <t>12 November 2018</t>
        </is>
      </c>
      <c r="I56" s="2" t="n">
        <v>46231</v>
      </c>
      <c r="J56" t="inlineStr">
        <is>
          <t>Disetujui</t>
        </is>
      </c>
      <c r="K56" t="n">
        <v>60</v>
      </c>
      <c r="L56" t="inlineStr">
        <is>
          <t>28 Juli 2026</t>
        </is>
      </c>
      <c r="M56" t="inlineStr">
        <is>
          <t>Konstruksi Gedung Industri</t>
        </is>
      </c>
      <c r="N56" t="inlineStr">
        <is>
          <t>B</t>
        </is>
      </c>
      <c r="O56" t="inlineStr">
        <is>
          <t>20230728</t>
        </is>
      </c>
      <c r="P56" t="inlineStr">
        <is>
          <t>DKI Jakarta</t>
        </is>
      </c>
      <c r="Q56" t="inlineStr"/>
    </row>
    <row r="57">
      <c r="A57" t="inlineStr">
        <is>
          <t>KARYA KONSTRUKSI BERSAMA</t>
        </is>
      </c>
      <c r="B57" t="inlineStr">
        <is>
          <t>Kab. Tabalong</t>
        </is>
      </c>
      <c r="C57" t="inlineStr">
        <is>
          <t>081345404731</t>
        </is>
      </c>
      <c r="D57" t="inlineStr">
        <is>
          <t>karyakonstruksibersama@gmail.com</t>
        </is>
      </c>
      <c r="E57" t="inlineStr">
        <is>
          <t>https://lpjk.pu.go.id/search-badan-usaha-detail/Q1lIZFkwNkluN0FuTXlsenR5UXlwQT09</t>
        </is>
      </c>
      <c r="F57" t="n">
        <v>4</v>
      </c>
      <c r="G57" t="inlineStr">
        <is>
          <t>BG003, BG004, BG006, BS004</t>
        </is>
      </c>
      <c r="H57" t="inlineStr">
        <is>
          <t>29 Maret 2021</t>
        </is>
      </c>
      <c r="I57" s="2" t="n">
        <v>46231</v>
      </c>
      <c r="J57" t="inlineStr">
        <is>
          <t>Disetujui</t>
        </is>
      </c>
      <c r="K57" t="n">
        <v>60</v>
      </c>
      <c r="L57" t="inlineStr">
        <is>
          <t>28 Juli 2026</t>
        </is>
      </c>
      <c r="M57" t="inlineStr">
        <is>
          <t>Konstruksi Gedung Industri, Konstruksi Gedung Pendidikan, Konstruksi Gedung Perbelanjaan, Konstruksi Jaringan Irigasi dan Drainase</t>
        </is>
      </c>
      <c r="N57" t="inlineStr">
        <is>
          <t>K</t>
        </is>
      </c>
      <c r="O57" t="inlineStr">
        <is>
          <t>20230722, 20230724</t>
        </is>
      </c>
      <c r="P57" t="inlineStr">
        <is>
          <t>Kalimantan Selatan</t>
        </is>
      </c>
      <c r="Q57" t="inlineStr"/>
    </row>
    <row r="58">
      <c r="A58" t="inlineStr">
        <is>
          <t>KARYA WISUDA</t>
        </is>
      </c>
      <c r="B58" t="inlineStr">
        <is>
          <t>Kota Malang</t>
        </is>
      </c>
      <c r="C58" t="inlineStr">
        <is>
          <t>08123396344</t>
        </is>
      </c>
      <c r="D58" t="inlineStr">
        <is>
          <t>karyawisuda@ymail.com</t>
        </is>
      </c>
      <c r="E58" t="inlineStr">
        <is>
          <t>https://lpjk.pu.go.id/search-badan-usaha-detail/ZE14WW93aU94aVFaZjhtRVg2RmtIZz09</t>
        </is>
      </c>
      <c r="F58" t="n">
        <v>1</v>
      </c>
      <c r="G58" t="inlineStr">
        <is>
          <t>BS004</t>
        </is>
      </c>
      <c r="H58" t="inlineStr">
        <is>
          <t>5 April 1986</t>
        </is>
      </c>
      <c r="I58" s="2" t="n">
        <v>46231</v>
      </c>
      <c r="J58" t="inlineStr">
        <is>
          <t>Disetujui</t>
        </is>
      </c>
      <c r="K58" t="n">
        <v>60</v>
      </c>
      <c r="L58" t="inlineStr">
        <is>
          <t>28 Juli 2026</t>
        </is>
      </c>
      <c r="M58" t="inlineStr">
        <is>
          <t>Konstruksi Jaringan Irigasi dan Drainase</t>
        </is>
      </c>
      <c r="N58" t="inlineStr">
        <is>
          <t>K</t>
        </is>
      </c>
      <c r="O58" t="inlineStr">
        <is>
          <t>20230726</t>
        </is>
      </c>
      <c r="P58" t="inlineStr">
        <is>
          <t>Jawa Timur</t>
        </is>
      </c>
      <c r="Q58" t="inlineStr"/>
    </row>
    <row r="59">
      <c r="A59" t="inlineStr">
        <is>
          <t>KARYATAMA</t>
        </is>
      </c>
      <c r="B59" t="inlineStr">
        <is>
          <t>Kota Banda Aceh</t>
        </is>
      </c>
      <c r="C59" t="inlineStr">
        <is>
          <t>082310606590</t>
        </is>
      </c>
      <c r="D59" t="inlineStr">
        <is>
          <t>tamakarya27@gmail.com</t>
        </is>
      </c>
      <c r="E59" t="inlineStr">
        <is>
          <t>https://lpjk.pu.go.id/search-badan-usaha-detail/dW1pUm1iYTB1Nk5EaFYvMVdXZ1NQZz09</t>
        </is>
      </c>
      <c r="F59" t="n">
        <v>4</v>
      </c>
      <c r="G59" t="inlineStr">
        <is>
          <t>BG002, BG006</t>
        </is>
      </c>
      <c r="H59" t="inlineStr">
        <is>
          <t>5 Juni 2012</t>
        </is>
      </c>
      <c r="I59" s="2" t="n">
        <v>46231</v>
      </c>
      <c r="J59" t="inlineStr">
        <is>
          <t>Disetujui</t>
        </is>
      </c>
      <c r="K59" t="n">
        <v>60</v>
      </c>
      <c r="L59" t="inlineStr">
        <is>
          <t>28 Juli 2026</t>
        </is>
      </c>
      <c r="M59" t="inlineStr">
        <is>
          <t>Konstruksi Gedung Pendidikan, Konstruksi Gedung Perkantoran</t>
        </is>
      </c>
      <c r="N59" t="inlineStr">
        <is>
          <t>K</t>
        </is>
      </c>
      <c r="O59" t="inlineStr">
        <is>
          <t>20230318, 20230714</t>
        </is>
      </c>
      <c r="P59" t="inlineStr">
        <is>
          <t>Aceh</t>
        </is>
      </c>
      <c r="Q59" t="inlineStr"/>
    </row>
    <row r="60">
      <c r="A60" t="inlineStr">
        <is>
          <t>KASTARA PUTRA PERKASA</t>
        </is>
      </c>
      <c r="B60" t="inlineStr">
        <is>
          <t>Kota Kendari</t>
        </is>
      </c>
      <c r="C60" t="inlineStr">
        <is>
          <t>085340593377</t>
        </is>
      </c>
      <c r="D60" t="inlineStr">
        <is>
          <t>kastaraputraperkasa@gmail.com</t>
        </is>
      </c>
      <c r="E60" t="inlineStr">
        <is>
          <t>https://lpjk.pu.go.id/search-badan-usaha-detail/L2JqYjFqeVNXY2tHMUw3TThTRXBidz09</t>
        </is>
      </c>
      <c r="F60" t="n">
        <v>1</v>
      </c>
      <c r="G60" t="inlineStr">
        <is>
          <t>BS001</t>
        </is>
      </c>
      <c r="H60" t="inlineStr">
        <is>
          <t>30 Juni 2023</t>
        </is>
      </c>
      <c r="I60" s="2" t="n">
        <v>46231</v>
      </c>
      <c r="J60" t="inlineStr">
        <is>
          <t>Disetujui</t>
        </is>
      </c>
      <c r="K60" t="n">
        <v>60</v>
      </c>
      <c r="L60" t="inlineStr">
        <is>
          <t>28 Juli 2026</t>
        </is>
      </c>
      <c r="M60" t="inlineStr">
        <is>
          <t>Konstruksi Bangunan Sipil Jalan</t>
        </is>
      </c>
      <c r="N60" t="inlineStr">
        <is>
          <t>K</t>
        </is>
      </c>
      <c r="O60" t="inlineStr">
        <is>
          <t>20230728</t>
        </is>
      </c>
      <c r="P60" t="inlineStr">
        <is>
          <t>Sulawesi Tenggara</t>
        </is>
      </c>
      <c r="Q60" t="inlineStr"/>
    </row>
    <row r="61">
      <c r="A61" t="inlineStr">
        <is>
          <t>KHARI</t>
        </is>
      </c>
      <c r="B61" t="inlineStr">
        <is>
          <t>Kota Tasikmalaya</t>
        </is>
      </c>
      <c r="C61" t="inlineStr">
        <is>
          <t>082318423953</t>
        </is>
      </c>
      <c r="D61" t="inlineStr">
        <is>
          <t>kharicorp@gmail.com</t>
        </is>
      </c>
      <c r="E61" t="inlineStr">
        <is>
          <t>https://lpjk.pu.go.id/search-badan-usaha-detail/cVJ3U2RSRWFCRnF0Z0h4bmxOMGxKdz09</t>
        </is>
      </c>
      <c r="F61" t="n">
        <v>4</v>
      </c>
      <c r="G61" t="inlineStr">
        <is>
          <t>BG005, BG009, BS001, BS004</t>
        </is>
      </c>
      <c r="H61" t="inlineStr">
        <is>
          <t>15 Maret 2023</t>
        </is>
      </c>
      <c r="I61" s="2" t="n">
        <v>46231</v>
      </c>
      <c r="J61" t="inlineStr">
        <is>
          <t>Disetujui</t>
        </is>
      </c>
      <c r="K61" t="n">
        <v>60</v>
      </c>
      <c r="L61" t="inlineStr">
        <is>
          <t>28 Juli 2026</t>
        </is>
      </c>
      <c r="M61" t="inlineStr">
        <is>
          <t>Konstruksi Bangunan Sipil Jalan, Konstruksi Gedung Kesehatan, Konstruksi Gedung Lainnya, Konstruksi Jaringan Irigasi dan Drainase</t>
        </is>
      </c>
      <c r="N61" t="inlineStr">
        <is>
          <t>K</t>
        </is>
      </c>
      <c r="O61" t="inlineStr">
        <is>
          <t>20230726</t>
        </is>
      </c>
      <c r="P61" t="inlineStr">
        <is>
          <t>Jawa Barat</t>
        </is>
      </c>
      <c r="Q61" t="inlineStr"/>
    </row>
    <row r="62">
      <c r="A62" t="inlineStr">
        <is>
          <t>KHARISMA TEHNIK</t>
        </is>
      </c>
      <c r="B62" t="inlineStr">
        <is>
          <t>Kab. Jombang</t>
        </is>
      </c>
      <c r="C62" t="inlineStr">
        <is>
          <t>082140804173</t>
        </is>
      </c>
      <c r="D62" t="inlineStr">
        <is>
          <t>jonnylionodinata@gmail.com</t>
        </is>
      </c>
      <c r="E62" t="inlineStr">
        <is>
          <t>https://lpjk.pu.go.id/search-badan-usaha-detail/VEVMV0RScnhyWjlZUVpSYkdRdFU2QT09</t>
        </is>
      </c>
      <c r="F62" t="n">
        <v>2</v>
      </c>
      <c r="G62" t="inlineStr">
        <is>
          <t>BG005</t>
        </is>
      </c>
      <c r="H62" t="inlineStr">
        <is>
          <t>22 Maret 1990</t>
        </is>
      </c>
      <c r="I62" s="2" t="n">
        <v>46231</v>
      </c>
      <c r="J62" t="inlineStr">
        <is>
          <t>Disetujui</t>
        </is>
      </c>
      <c r="K62" t="n">
        <v>60</v>
      </c>
      <c r="L62" t="inlineStr">
        <is>
          <t>28 Juli 2026</t>
        </is>
      </c>
      <c r="M62" t="inlineStr">
        <is>
          <t>Konstruksi Gedung Kesehatan</t>
        </is>
      </c>
      <c r="N62" t="inlineStr">
        <is>
          <t>K</t>
        </is>
      </c>
      <c r="O62" t="inlineStr">
        <is>
          <t>20230725</t>
        </is>
      </c>
      <c r="P62" t="inlineStr">
        <is>
          <t>Jawa Timur</t>
        </is>
      </c>
      <c r="Q62" t="inlineStr"/>
    </row>
    <row r="63">
      <c r="A63" t="inlineStr">
        <is>
          <t>KONSTRUKSI MULTI CIPTA SARANA</t>
        </is>
      </c>
      <c r="B63" t="inlineStr">
        <is>
          <t>Kota Makassar</t>
        </is>
      </c>
      <c r="C63" t="inlineStr">
        <is>
          <t>081342748004</t>
        </is>
      </c>
      <c r="D63" t="inlineStr">
        <is>
          <t>konstruksimulticiptasarana@gmail.com</t>
        </is>
      </c>
      <c r="E63" t="inlineStr">
        <is>
          <t>https://lpjk.pu.go.id/search-badan-usaha-detail/Y3JEWkhCcFJRbFhJdWgzVVNIVjNEdz09</t>
        </is>
      </c>
      <c r="F63" t="n">
        <v>1</v>
      </c>
      <c r="G63" t="inlineStr">
        <is>
          <t>BS006</t>
        </is>
      </c>
      <c r="H63" t="inlineStr">
        <is>
          <t>6 November 1990</t>
        </is>
      </c>
      <c r="I63" s="2" t="n">
        <v>46231</v>
      </c>
      <c r="J63" t="inlineStr">
        <is>
          <t>Disetujui</t>
        </is>
      </c>
      <c r="K63" t="n">
        <v>60</v>
      </c>
      <c r="L63" t="inlineStr">
        <is>
          <t>28 Juli 2026</t>
        </is>
      </c>
      <c r="M63" t="inlineStr">
        <is>
          <t>Konstruksi Bangunan Sipil Prasarana dan Sarana Sistem Pengolahan Limbah Padat, Cair, dan Gas</t>
        </is>
      </c>
      <c r="N63" t="inlineStr">
        <is>
          <t>K</t>
        </is>
      </c>
      <c r="O63" t="inlineStr">
        <is>
          <t>20230727</t>
        </is>
      </c>
      <c r="P63" t="inlineStr">
        <is>
          <t>Sulawesi Selatan</t>
        </is>
      </c>
      <c r="Q63" t="inlineStr"/>
    </row>
    <row r="64">
      <c r="A64" t="inlineStr">
        <is>
          <t>LAPAN BINTANG</t>
        </is>
      </c>
      <c r="B64" t="inlineStr">
        <is>
          <t>Kab. Muaro Jambi</t>
        </is>
      </c>
      <c r="C64" t="inlineStr">
        <is>
          <t>081279779966</t>
        </is>
      </c>
      <c r="D64" t="inlineStr">
        <is>
          <t>cv.lapanbintang@gmail.com</t>
        </is>
      </c>
      <c r="E64" t="inlineStr">
        <is>
          <t>https://lpjk.pu.go.id/search-badan-usaha-detail/NnhuNDV3MkMzNGo3V1p2ZithWDk0dz09</t>
        </is>
      </c>
      <c r="F64" t="n">
        <v>4</v>
      </c>
      <c r="G64" t="inlineStr">
        <is>
          <t>BG005, BG006, BS001, BS004</t>
        </is>
      </c>
      <c r="H64" t="inlineStr">
        <is>
          <t>26 Mei 2023</t>
        </is>
      </c>
      <c r="I64" s="2" t="n">
        <v>46231</v>
      </c>
      <c r="J64" t="inlineStr">
        <is>
          <t>Disetujui</t>
        </is>
      </c>
      <c r="K64" t="n">
        <v>60</v>
      </c>
      <c r="L64" t="inlineStr">
        <is>
          <t>28 Juli 2026</t>
        </is>
      </c>
      <c r="M64" t="inlineStr">
        <is>
          <t>Konstruksi Bangunan Sipil Jalan, Konstruksi Gedung Kesehatan, Konstruksi Gedung Pendidikan, Konstruksi Jaringan Irigasi dan Drainase</t>
        </is>
      </c>
      <c r="N64" t="inlineStr">
        <is>
          <t>K</t>
        </is>
      </c>
      <c r="O64" t="inlineStr">
        <is>
          <t>20230720</t>
        </is>
      </c>
      <c r="P64" t="inlineStr">
        <is>
          <t>Jambi</t>
        </is>
      </c>
      <c r="Q64" t="inlineStr"/>
    </row>
    <row r="65">
      <c r="A65" t="inlineStr">
        <is>
          <t>MALAKAT JAYA</t>
        </is>
      </c>
      <c r="B65" t="inlineStr">
        <is>
          <t>Kota Lhokseumawe</t>
        </is>
      </c>
      <c r="C65" t="inlineStr">
        <is>
          <t>085294181509</t>
        </is>
      </c>
      <c r="D65" t="inlineStr">
        <is>
          <t>cv.malakatjaya@gmail.com</t>
        </is>
      </c>
      <c r="E65" t="inlineStr">
        <is>
          <t>https://lpjk.pu.go.id/search-badan-usaha-detail/ODZTcWNUdkFwT1NHYzRkdWlwMHhZdz09</t>
        </is>
      </c>
      <c r="F65" t="n">
        <v>3</v>
      </c>
      <c r="G65" t="inlineStr">
        <is>
          <t>BG001, BG006, BG009</t>
        </is>
      </c>
      <c r="H65" t="inlineStr">
        <is>
          <t>5 Mei 2012</t>
        </is>
      </c>
      <c r="I65" s="2" t="n">
        <v>46231</v>
      </c>
      <c r="J65" t="inlineStr">
        <is>
          <t>Disetujui</t>
        </is>
      </c>
      <c r="K65" t="n">
        <v>60</v>
      </c>
      <c r="L65" t="inlineStr">
        <is>
          <t>28 Juli 2026</t>
        </is>
      </c>
      <c r="M65" t="inlineStr">
        <is>
          <t>Konstruksi Gedung Hunian, Konstruksi Gedung Lainnya, Konstruksi Gedung Pendidikan</t>
        </is>
      </c>
      <c r="N65" t="inlineStr">
        <is>
          <t>K</t>
        </is>
      </c>
      <c r="O65" t="inlineStr">
        <is>
          <t>20230727</t>
        </is>
      </c>
      <c r="P65" t="inlineStr">
        <is>
          <t>Aceh</t>
        </is>
      </c>
      <c r="Q65" t="inlineStr"/>
    </row>
    <row r="66">
      <c r="A66" t="inlineStr">
        <is>
          <t>MANDIRI JAYA</t>
        </is>
      </c>
      <c r="B66" t="inlineStr">
        <is>
          <t>Kab. Kulon Progo</t>
        </is>
      </c>
      <c r="C66" t="inlineStr">
        <is>
          <t>0274 - 775221</t>
        </is>
      </c>
      <c r="D66" t="inlineStr">
        <is>
          <t>cvmandirijayakp@gmail.com</t>
        </is>
      </c>
      <c r="E66" t="inlineStr">
        <is>
          <t>https://lpjk.pu.go.id/search-badan-usaha-detail/UDgxejd1T3RlTHJoMVA4MUFLbjkxZz09</t>
        </is>
      </c>
      <c r="F66" t="n">
        <v>1</v>
      </c>
      <c r="G66" t="inlineStr">
        <is>
          <t>BG009</t>
        </is>
      </c>
      <c r="H66" t="inlineStr">
        <is>
          <t>7 April 2004</t>
        </is>
      </c>
      <c r="I66" s="2" t="n">
        <v>46231</v>
      </c>
      <c r="J66" t="inlineStr">
        <is>
          <t>Disetujui</t>
        </is>
      </c>
      <c r="K66" t="n">
        <v>60</v>
      </c>
      <c r="L66" t="inlineStr">
        <is>
          <t>28 Juli 2026</t>
        </is>
      </c>
      <c r="M66" t="inlineStr">
        <is>
          <t>Konstruksi Gedung Lainnya</t>
        </is>
      </c>
      <c r="N66" t="inlineStr">
        <is>
          <t>K</t>
        </is>
      </c>
      <c r="O66" t="inlineStr">
        <is>
          <t>20230724</t>
        </is>
      </c>
      <c r="P66" t="inlineStr">
        <is>
          <t>DI Yogyakarta</t>
        </is>
      </c>
      <c r="Q66" t="inlineStr"/>
    </row>
    <row r="67">
      <c r="A67" t="inlineStr">
        <is>
          <t>MASSA SARANA</t>
        </is>
      </c>
      <c r="B67" t="inlineStr">
        <is>
          <t>Kota Pekanbaru</t>
        </is>
      </c>
      <c r="C67" t="inlineStr">
        <is>
          <t>085233311120</t>
        </is>
      </c>
      <c r="D67" t="inlineStr">
        <is>
          <t>massastrong89@gmail.com</t>
        </is>
      </c>
      <c r="E67" t="inlineStr">
        <is>
          <t>https://lpjk.pu.go.id/search-badan-usaha-detail/RW12N1M4SjUxNEY2OEdaeHJCeGFvQT09</t>
        </is>
      </c>
      <c r="F67" t="n">
        <v>1</v>
      </c>
      <c r="G67" t="inlineStr">
        <is>
          <t>BG002</t>
        </is>
      </c>
      <c r="H67" t="inlineStr">
        <is>
          <t>10 Maret 2014</t>
        </is>
      </c>
      <c r="I67" s="2" t="n">
        <v>46231</v>
      </c>
      <c r="J67" t="inlineStr">
        <is>
          <t>Disetujui</t>
        </is>
      </c>
      <c r="K67" t="n">
        <v>60</v>
      </c>
      <c r="L67" t="inlineStr">
        <is>
          <t>28 Juli 2026</t>
        </is>
      </c>
      <c r="M67" t="inlineStr">
        <is>
          <t>Konstruksi Gedung Perkantoran</t>
        </is>
      </c>
      <c r="N67" t="inlineStr">
        <is>
          <t>K</t>
        </is>
      </c>
      <c r="O67" t="inlineStr">
        <is>
          <t>20230727</t>
        </is>
      </c>
      <c r="P67" t="inlineStr">
        <is>
          <t>Riau</t>
        </is>
      </c>
      <c r="Q67" t="inlineStr"/>
    </row>
    <row r="68">
      <c r="A68" t="inlineStr">
        <is>
          <t>MEGAH MAKMUR KONSTRUKSI</t>
        </is>
      </c>
      <c r="B68" t="inlineStr">
        <is>
          <t>Kab. Banyuwangi</t>
        </is>
      </c>
      <c r="C68" t="inlineStr">
        <is>
          <t>081359200176</t>
        </is>
      </c>
      <c r="D68" t="inlineStr">
        <is>
          <t>cvmegahmakmurkonstruksi@gmail.com</t>
        </is>
      </c>
      <c r="E68" t="inlineStr">
        <is>
          <t>https://lpjk.pu.go.id/search-badan-usaha-detail/dTR6VXVmczBDbG1vdWNaOHhBcmZNUT09</t>
        </is>
      </c>
      <c r="F68" t="n">
        <v>3</v>
      </c>
      <c r="G68" t="inlineStr">
        <is>
          <t>BS001</t>
        </is>
      </c>
      <c r="H68" t="inlineStr">
        <is>
          <t>18 April 2023</t>
        </is>
      </c>
      <c r="I68" s="2" t="n">
        <v>46231</v>
      </c>
      <c r="J68" t="inlineStr">
        <is>
          <t>Disetujui</t>
        </is>
      </c>
      <c r="K68" t="n">
        <v>60</v>
      </c>
      <c r="L68" t="inlineStr">
        <is>
          <t>28 Juli 2026</t>
        </is>
      </c>
      <c r="M68" t="inlineStr">
        <is>
          <t>Konstruksi Bangunan Sipil Jalan</t>
        </is>
      </c>
      <c r="N68" t="inlineStr">
        <is>
          <t>K</t>
        </is>
      </c>
      <c r="O68" t="inlineStr">
        <is>
          <t>20230728</t>
        </is>
      </c>
      <c r="P68" t="inlineStr">
        <is>
          <t>Jawa Timur</t>
        </is>
      </c>
      <c r="Q68" t="inlineStr"/>
    </row>
    <row r="69">
      <c r="A69" t="inlineStr">
        <is>
          <t>MEKAR JAYA ANUGRAH</t>
        </is>
      </c>
      <c r="B69" t="inlineStr">
        <is>
          <t>Kota Pekanbaru</t>
        </is>
      </c>
      <c r="C69" t="inlineStr">
        <is>
          <t>082284383254</t>
        </is>
      </c>
      <c r="D69" t="inlineStr">
        <is>
          <t>jayacvmekar5@gmail.com</t>
        </is>
      </c>
      <c r="E69" t="inlineStr">
        <is>
          <t>https://lpjk.pu.go.id/search-badan-usaha-detail/djVMSWRVY2NFSWpOYkZtQSttaWZVUT09</t>
        </is>
      </c>
      <c r="F69" t="n">
        <v>4</v>
      </c>
      <c r="G69" t="inlineStr">
        <is>
          <t>BG002, BG009</t>
        </is>
      </c>
      <c r="H69" t="inlineStr">
        <is>
          <t>4 Juli 2023</t>
        </is>
      </c>
      <c r="I69" s="2" t="n">
        <v>46231</v>
      </c>
      <c r="J69" t="inlineStr">
        <is>
          <t>Disetujui</t>
        </is>
      </c>
      <c r="K69" t="n">
        <v>60</v>
      </c>
      <c r="L69" t="inlineStr">
        <is>
          <t>28 Juli 2026</t>
        </is>
      </c>
      <c r="M69" t="inlineStr">
        <is>
          <t>Konstruksi Gedung Lainnya, Konstruksi Gedung Perkantoran</t>
        </is>
      </c>
      <c r="N69" t="inlineStr">
        <is>
          <t>K</t>
        </is>
      </c>
      <c r="O69" t="inlineStr">
        <is>
          <t>20230727, 20230728</t>
        </is>
      </c>
      <c r="P69" t="inlineStr">
        <is>
          <t>Riau</t>
        </is>
      </c>
      <c r="Q69" t="inlineStr"/>
    </row>
    <row r="70">
      <c r="A70" t="inlineStr">
        <is>
          <t>MENARA BANGUN SINERGI</t>
        </is>
      </c>
      <c r="B70" t="inlineStr">
        <is>
          <t>Kota Palembang</t>
        </is>
      </c>
      <c r="C70" t="inlineStr">
        <is>
          <t>08127100269</t>
        </is>
      </c>
      <c r="D70" t="inlineStr">
        <is>
          <t>menarabangunsinergi@yahoo.com</t>
        </is>
      </c>
      <c r="E70" t="inlineStr">
        <is>
          <t>https://lpjk.pu.go.id/search-badan-usaha-detail/OHc3NERkejVrMjRNNDhMR1FPKzJxZz09</t>
        </is>
      </c>
      <c r="F70" t="n">
        <v>1</v>
      </c>
      <c r="G70" t="inlineStr">
        <is>
          <t>BG003</t>
        </is>
      </c>
      <c r="H70" t="inlineStr">
        <is>
          <t>27 Juni 2016</t>
        </is>
      </c>
      <c r="I70" s="2" t="n">
        <v>46231</v>
      </c>
      <c r="J70" t="inlineStr">
        <is>
          <t>Disetujui</t>
        </is>
      </c>
      <c r="K70" t="n">
        <v>60</v>
      </c>
      <c r="L70" t="inlineStr">
        <is>
          <t>28 Juli 2026</t>
        </is>
      </c>
      <c r="M70" t="inlineStr">
        <is>
          <t>Konstruksi Gedung Industri</t>
        </is>
      </c>
      <c r="N70" t="inlineStr">
        <is>
          <t>K</t>
        </is>
      </c>
      <c r="O70" t="inlineStr">
        <is>
          <t>20230725</t>
        </is>
      </c>
      <c r="P70" t="inlineStr">
        <is>
          <t>Sumatera Selatan</t>
        </is>
      </c>
      <c r="Q70" t="inlineStr"/>
    </row>
    <row r="71">
      <c r="A71" t="inlineStr">
        <is>
          <t>METER KUBIK</t>
        </is>
      </c>
      <c r="B71" t="inlineStr">
        <is>
          <t>Kab. Mesuji</t>
        </is>
      </c>
      <c r="C71" t="inlineStr">
        <is>
          <t>082178222221</t>
        </is>
      </c>
      <c r="D71" t="inlineStr">
        <is>
          <t>meterkubik2016@gmail.com</t>
        </is>
      </c>
      <c r="E71" t="inlineStr">
        <is>
          <t>https://lpjk.pu.go.id/search-badan-usaha-detail/VGU5dE1HdUVqUThYa0RHcXhRMTdMdz09</t>
        </is>
      </c>
      <c r="F71" t="n">
        <v>2</v>
      </c>
      <c r="G71" t="inlineStr">
        <is>
          <t>BS002, BS004</t>
        </is>
      </c>
      <c r="H71" t="inlineStr">
        <is>
          <t>14 Januari 2016</t>
        </is>
      </c>
      <c r="I71" s="2" t="n">
        <v>46231</v>
      </c>
      <c r="J71" t="inlineStr">
        <is>
          <t>Disetujui</t>
        </is>
      </c>
      <c r="K71" t="n">
        <v>60</v>
      </c>
      <c r="L71" t="inlineStr">
        <is>
          <t>28 Juli 2026</t>
        </is>
      </c>
      <c r="M71" t="inlineStr">
        <is>
          <t>Bangunan Sipil Jembatan, Jalan Layang, Fly Over, dan Underpass, Konstruksi Jaringan Irigasi dan Drainase</t>
        </is>
      </c>
      <c r="N71" t="inlineStr">
        <is>
          <t>K</t>
        </is>
      </c>
      <c r="O71" t="inlineStr">
        <is>
          <t>20230704</t>
        </is>
      </c>
      <c r="P71" t="inlineStr">
        <is>
          <t>Lampung</t>
        </is>
      </c>
      <c r="Q71" t="inlineStr"/>
    </row>
    <row r="72">
      <c r="A72" t="inlineStr">
        <is>
          <t>MITRA DWI UTAMA</t>
        </is>
      </c>
      <c r="B72" t="inlineStr">
        <is>
          <t>Kab. Gresik</t>
        </is>
      </c>
      <c r="C72" t="inlineStr">
        <is>
          <t>081217810765</t>
        </is>
      </c>
      <c r="D72" t="inlineStr">
        <is>
          <t>kanjawi@yahoo.co.id</t>
        </is>
      </c>
      <c r="E72" t="inlineStr">
        <is>
          <t>https://lpjk.pu.go.id/search-badan-usaha-detail/UnM5Z0ZKOGM4TCtrVVVtcE9oTlVRZz09</t>
        </is>
      </c>
      <c r="F72" t="n">
        <v>2</v>
      </c>
      <c r="G72" t="inlineStr">
        <is>
          <t>BG003, BG004</t>
        </is>
      </c>
      <c r="H72" t="inlineStr">
        <is>
          <t>22 Desember 2011</t>
        </is>
      </c>
      <c r="I72" s="2" t="n">
        <v>46231</v>
      </c>
      <c r="J72" t="inlineStr">
        <is>
          <t>Disetujui</t>
        </is>
      </c>
      <c r="K72" t="n">
        <v>60</v>
      </c>
      <c r="L72" t="inlineStr">
        <is>
          <t>28 Juli 2026</t>
        </is>
      </c>
      <c r="M72" t="inlineStr">
        <is>
          <t>Konstruksi Gedung Industri, Konstruksi Gedung Perbelanjaan</t>
        </is>
      </c>
      <c r="N72" t="inlineStr">
        <is>
          <t>K</t>
        </is>
      </c>
      <c r="O72" t="inlineStr">
        <is>
          <t>20230623</t>
        </is>
      </c>
      <c r="P72" t="inlineStr">
        <is>
          <t>Jawa Timur</t>
        </is>
      </c>
      <c r="Q72" t="inlineStr"/>
    </row>
    <row r="73">
      <c r="A73" t="inlineStr">
        <is>
          <t>MOGA PINTIRO LESTARI</t>
        </is>
      </c>
      <c r="B73" t="inlineStr">
        <is>
          <t>Kab. Pangkajene Kepulauan</t>
        </is>
      </c>
      <c r="C73" t="inlineStr">
        <is>
          <t>085299973064</t>
        </is>
      </c>
      <c r="D73" t="inlineStr">
        <is>
          <t>ptmpl@yahoo.com</t>
        </is>
      </c>
      <c r="E73" t="inlineStr">
        <is>
          <t>https://lpjk.pu.go.id/search-badan-usaha-detail/SGNqR05BWFZScWE0MWN3dThURDlVQT09</t>
        </is>
      </c>
      <c r="F73" t="n">
        <v>2</v>
      </c>
      <c r="G73" t="inlineStr">
        <is>
          <t>BG002, BG009</t>
        </is>
      </c>
      <c r="H73" t="inlineStr">
        <is>
          <t>7 Mei 2018</t>
        </is>
      </c>
      <c r="I73" s="2" t="n">
        <v>46231</v>
      </c>
      <c r="J73" t="inlineStr">
        <is>
          <t>Disetujui</t>
        </is>
      </c>
      <c r="K73" t="n">
        <v>60</v>
      </c>
      <c r="L73" t="inlineStr">
        <is>
          <t>28 Juli 2026</t>
        </is>
      </c>
      <c r="M73" t="inlineStr">
        <is>
          <t>Konstruksi Gedung Lainnya, Konstruksi Gedung Perkantoran</t>
        </is>
      </c>
      <c r="N73" t="inlineStr">
        <is>
          <t>K</t>
        </is>
      </c>
      <c r="O73" t="inlineStr">
        <is>
          <t>20230728</t>
        </is>
      </c>
      <c r="P73" t="inlineStr">
        <is>
          <t>Sulawesi Selatan</t>
        </is>
      </c>
      <c r="Q73" t="inlineStr"/>
    </row>
    <row r="74">
      <c r="A74" t="inlineStr">
        <is>
          <t>PERMATA RINJANI</t>
        </is>
      </c>
      <c r="B74" t="inlineStr">
        <is>
          <t>Kota Mataram</t>
        </is>
      </c>
      <c r="C74" t="inlineStr">
        <is>
          <t>081907821781</t>
        </is>
      </c>
      <c r="D74" t="inlineStr">
        <is>
          <t>permatarinjani2007@gmail.com</t>
        </is>
      </c>
      <c r="E74" t="inlineStr">
        <is>
          <t>https://lpjk.pu.go.id/search-badan-usaha-detail/Q3l6OStTUnowbzNiZmxBSUMraFdEUT09</t>
        </is>
      </c>
      <c r="F74" t="n">
        <v>1</v>
      </c>
      <c r="G74" t="inlineStr">
        <is>
          <t>BG004</t>
        </is>
      </c>
      <c r="H74" t="inlineStr">
        <is>
          <t>23 Maret 2007</t>
        </is>
      </c>
      <c r="I74" s="2" t="n">
        <v>46231</v>
      </c>
      <c r="J74" t="inlineStr">
        <is>
          <t>Disetujui</t>
        </is>
      </c>
      <c r="K74" t="n">
        <v>60</v>
      </c>
      <c r="L74" t="inlineStr">
        <is>
          <t>28 Juli 2026</t>
        </is>
      </c>
      <c r="M74" t="inlineStr">
        <is>
          <t>Konstruksi Gedung Perbelanjaan</t>
        </is>
      </c>
      <c r="N74" t="inlineStr">
        <is>
          <t>K</t>
        </is>
      </c>
      <c r="O74" t="inlineStr">
        <is>
          <t>20230725</t>
        </is>
      </c>
      <c r="P74" t="inlineStr">
        <is>
          <t>Nusa Tenggara Barat</t>
        </is>
      </c>
      <c r="Q74" t="inlineStr"/>
    </row>
    <row r="75">
      <c r="A75" t="inlineStr">
        <is>
          <t>PRADIPTA RAYA</t>
        </is>
      </c>
      <c r="B75" t="inlineStr">
        <is>
          <t>Kota Gorontalo</t>
        </is>
      </c>
      <c r="C75" t="inlineStr">
        <is>
          <t>089609192999</t>
        </is>
      </c>
      <c r="D75" t="inlineStr">
        <is>
          <t>cvpradiptaraya@gmail.com</t>
        </is>
      </c>
      <c r="E75" t="inlineStr">
        <is>
          <t>https://lpjk.pu.go.id/search-badan-usaha-detail/c01SVDQ0QmpQZS9rWE5oT1JhNzRWZz09</t>
        </is>
      </c>
      <c r="F75" t="n">
        <v>1</v>
      </c>
      <c r="G75" t="inlineStr">
        <is>
          <t>BS001</t>
        </is>
      </c>
      <c r="H75" t="inlineStr">
        <is>
          <t>6 Juli 2023</t>
        </is>
      </c>
      <c r="I75" s="2" t="n">
        <v>46231</v>
      </c>
      <c r="J75" t="inlineStr">
        <is>
          <t>Disetujui</t>
        </is>
      </c>
      <c r="K75" t="n">
        <v>60</v>
      </c>
      <c r="L75" t="inlineStr">
        <is>
          <t>28 Juli 2026</t>
        </is>
      </c>
      <c r="M75" t="inlineStr">
        <is>
          <t>Konstruksi Bangunan Sipil Jalan</t>
        </is>
      </c>
      <c r="N75" t="inlineStr">
        <is>
          <t>K</t>
        </is>
      </c>
      <c r="O75" t="inlineStr">
        <is>
          <t>20230728</t>
        </is>
      </c>
      <c r="P75" t="inlineStr">
        <is>
          <t>Gorontalo</t>
        </is>
      </c>
      <c r="Q75" t="inlineStr"/>
    </row>
    <row r="76">
      <c r="A76" t="inlineStr">
        <is>
          <t>PRATAMA AGUNG</t>
        </is>
      </c>
      <c r="B76" t="inlineStr">
        <is>
          <t>Kota Tangerang Selatan</t>
        </is>
      </c>
      <c r="C76" t="inlineStr">
        <is>
          <t>08179818866</t>
        </is>
      </c>
      <c r="D76" t="inlineStr">
        <is>
          <t>nugroho.david@gmail.com</t>
        </is>
      </c>
      <c r="E76" t="inlineStr">
        <is>
          <t>https://lpjk.pu.go.id/search-badan-usaha-detail/eGRUVy80QUJqdHFncTc1SjRIYkthUT09</t>
        </is>
      </c>
      <c r="F76" t="n">
        <v>2</v>
      </c>
      <c r="G76" t="inlineStr">
        <is>
          <t>IN001, IN008</t>
        </is>
      </c>
      <c r="H76" t="inlineStr">
        <is>
          <t>21 Februari 1980</t>
        </is>
      </c>
      <c r="I76" s="2" t="n">
        <v>46231</v>
      </c>
      <c r="J76" t="inlineStr">
        <is>
          <t>Disetujui</t>
        </is>
      </c>
      <c r="K76" t="n">
        <v>60</v>
      </c>
      <c r="L76" t="inlineStr">
        <is>
          <t>28 Juli 2026</t>
        </is>
      </c>
      <c r="M76" t="inlineStr">
        <is>
          <t>Instalasi Mekanikal, Instalasi Pendingin Dan Ventilasi Udara</t>
        </is>
      </c>
      <c r="N76" t="inlineStr">
        <is>
          <t>Spesialis</t>
        </is>
      </c>
      <c r="O76" t="inlineStr">
        <is>
          <t>20230721, 20230722</t>
        </is>
      </c>
      <c r="P76" t="inlineStr">
        <is>
          <t>Banten</t>
        </is>
      </c>
      <c r="Q76" t="inlineStr"/>
    </row>
    <row r="77">
      <c r="A77" t="inlineStr">
        <is>
          <t>PURNAMA JAYA</t>
        </is>
      </c>
      <c r="B77" t="inlineStr">
        <is>
          <t>Kab. Blora</t>
        </is>
      </c>
      <c r="C77" t="inlineStr">
        <is>
          <t>0296421681</t>
        </is>
      </c>
      <c r="D77" t="inlineStr">
        <is>
          <t>cvpurnamajayaa@gmail.com</t>
        </is>
      </c>
      <c r="E77" t="inlineStr">
        <is>
          <t>https://lpjk.pu.go.id/search-badan-usaha-detail/NEJKbVMzTVI3WHl4cHNzN1NSMDZKUT09</t>
        </is>
      </c>
      <c r="F77" t="n">
        <v>2</v>
      </c>
      <c r="G77" t="inlineStr">
        <is>
          <t>BS001</t>
        </is>
      </c>
      <c r="H77" t="inlineStr">
        <is>
          <t>7 Januari 1991</t>
        </is>
      </c>
      <c r="I77" s="2" t="n">
        <v>46231</v>
      </c>
      <c r="J77" t="inlineStr">
        <is>
          <t>Disetujui</t>
        </is>
      </c>
      <c r="K77" t="n">
        <v>60</v>
      </c>
      <c r="L77" t="inlineStr">
        <is>
          <t>28 Juli 2026</t>
        </is>
      </c>
      <c r="M77" t="inlineStr">
        <is>
          <t>Konstruksi Bangunan Sipil Jalan</t>
        </is>
      </c>
      <c r="N77" t="inlineStr">
        <is>
          <t>K</t>
        </is>
      </c>
      <c r="O77" t="inlineStr">
        <is>
          <t>20230727</t>
        </is>
      </c>
      <c r="P77" t="inlineStr">
        <is>
          <t>Jawa Tengah</t>
        </is>
      </c>
      <c r="Q77" t="inlineStr"/>
    </row>
    <row r="78">
      <c r="A78" t="inlineStr">
        <is>
          <t>PUTRA JAYA</t>
        </is>
      </c>
      <c r="B78" t="inlineStr">
        <is>
          <t>Kota Makassar</t>
        </is>
      </c>
      <c r="C78" t="inlineStr">
        <is>
          <t>085242517596</t>
        </is>
      </c>
      <c r="D78" t="inlineStr">
        <is>
          <t>putrajayamakassar@yahoo.co.id</t>
        </is>
      </c>
      <c r="E78" t="inlineStr">
        <is>
          <t>https://lpjk.pu.go.id/search-badan-usaha-detail/SllRYXA4d0FSVXBiYmgzUTY1a2JYdz09</t>
        </is>
      </c>
      <c r="F78" t="n">
        <v>1</v>
      </c>
      <c r="G78" t="inlineStr">
        <is>
          <t>BG009</t>
        </is>
      </c>
      <c r="H78" t="inlineStr">
        <is>
          <t>14 November 1991</t>
        </is>
      </c>
      <c r="I78" s="2" t="n">
        <v>46231</v>
      </c>
      <c r="J78" t="inlineStr">
        <is>
          <t>Pembekuan</t>
        </is>
      </c>
      <c r="K78" t="n">
        <v>60</v>
      </c>
      <c r="L78" t="inlineStr">
        <is>
          <t>28 Juli 2026</t>
        </is>
      </c>
      <c r="M78" t="inlineStr">
        <is>
          <t>Konstruksi Gedung Lainnya</t>
        </is>
      </c>
      <c r="N78" t="inlineStr">
        <is>
          <t>B</t>
        </is>
      </c>
      <c r="O78" t="inlineStr">
        <is>
          <t>20230725</t>
        </is>
      </c>
      <c r="P78" t="inlineStr">
        <is>
          <t>Sulawesi Selatan</t>
        </is>
      </c>
      <c r="Q78" t="inlineStr"/>
    </row>
    <row r="79">
      <c r="A79" t="inlineStr">
        <is>
          <t>PUTRA PAPUA JAYA</t>
        </is>
      </c>
      <c r="B79" t="inlineStr">
        <is>
          <t>Kab. Merauke</t>
        </is>
      </c>
      <c r="C79" t="inlineStr">
        <is>
          <t>081354053102</t>
        </is>
      </c>
      <c r="D79" t="inlineStr">
        <is>
          <t>ppjmkq@gmail.com</t>
        </is>
      </c>
      <c r="E79" t="inlineStr">
        <is>
          <t>https://lpjk.pu.go.id/search-badan-usaha-detail/dTlHL3ViKzZVUy9DbUlCWG9WVUNEVkRUTTBFdFFjZmo4SmFTNHU0M3hZYz0</t>
        </is>
      </c>
      <c r="F79" t="n">
        <v>2</v>
      </c>
      <c r="G79" t="inlineStr">
        <is>
          <t>BS004, BS005</t>
        </is>
      </c>
      <c r="H79" t="inlineStr">
        <is>
          <t>5 Agustus 2024</t>
        </is>
      </c>
      <c r="I79" s="2" t="n">
        <v>46231</v>
      </c>
      <c r="J79" t="inlineStr">
        <is>
          <t>Disetujui</t>
        </is>
      </c>
      <c r="K79" t="n">
        <v>60</v>
      </c>
      <c r="L79" t="inlineStr">
        <is>
          <t>28 Juli 2026</t>
        </is>
      </c>
      <c r="M79" t="inlineStr">
        <is>
          <t>Konstruksi Bangunan Sipil Pengolahan Air Bersih, Konstruksi Jaringan Irigasi dan Drainase</t>
        </is>
      </c>
      <c r="N79" t="inlineStr">
        <is>
          <t>K</t>
        </is>
      </c>
      <c r="O79" t="inlineStr">
        <is>
          <t>20230727</t>
        </is>
      </c>
      <c r="P79" t="inlineStr">
        <is>
          <t>Papua Selatan</t>
        </is>
      </c>
      <c r="Q79" t="inlineStr"/>
    </row>
    <row r="80">
      <c r="A80" t="inlineStr">
        <is>
          <t>QOLBI KARYA</t>
        </is>
      </c>
      <c r="B80" t="inlineStr">
        <is>
          <t>Kab. Bandung Barat</t>
        </is>
      </c>
      <c r="C80" t="inlineStr">
        <is>
          <t>085221288881</t>
        </is>
      </c>
      <c r="D80" t="inlineStr">
        <is>
          <t>cvqolbikarya@gmail.com</t>
        </is>
      </c>
      <c r="E80" t="inlineStr">
        <is>
          <t>https://lpjk.pu.go.id/search-badan-usaha-detail/UFFDd25yRk1LQTJ3ZUdXckQ5VHhNZz09</t>
        </is>
      </c>
      <c r="F80" t="n">
        <v>1</v>
      </c>
      <c r="G80" t="inlineStr">
        <is>
          <t>BG005</t>
        </is>
      </c>
      <c r="H80" t="inlineStr">
        <is>
          <t>24 Oktober 2022</t>
        </is>
      </c>
      <c r="I80" s="2" t="n">
        <v>46231</v>
      </c>
      <c r="J80" t="inlineStr">
        <is>
          <t>Disetujui</t>
        </is>
      </c>
      <c r="K80" t="n">
        <v>60</v>
      </c>
      <c r="L80" t="inlineStr">
        <is>
          <t>28 Juli 2026</t>
        </is>
      </c>
      <c r="M80" t="inlineStr">
        <is>
          <t>Konstruksi Gedung Kesehatan</t>
        </is>
      </c>
      <c r="N80" t="inlineStr">
        <is>
          <t>K</t>
        </is>
      </c>
      <c r="O80" t="inlineStr">
        <is>
          <t>20230728</t>
        </is>
      </c>
      <c r="P80" t="inlineStr">
        <is>
          <t>Jawa Barat</t>
        </is>
      </c>
      <c r="Q80" t="inlineStr"/>
    </row>
    <row r="81">
      <c r="A81" t="inlineStr">
        <is>
          <t>RAFFASYA PUTRA SELATAN</t>
        </is>
      </c>
      <c r="B81" t="inlineStr">
        <is>
          <t>Kota Makassar</t>
        </is>
      </c>
      <c r="C81" t="inlineStr">
        <is>
          <t>08114198337</t>
        </is>
      </c>
      <c r="D81" t="inlineStr">
        <is>
          <t>pt.raffasyaputraselatan@gmail.com</t>
        </is>
      </c>
      <c r="E81" t="inlineStr">
        <is>
          <t>https://lpjk.pu.go.id/search-badan-usaha-detail/bG9OZzZRSStnUi84QlcrQ2toeU0yUT09</t>
        </is>
      </c>
      <c r="F81" t="n">
        <v>4</v>
      </c>
      <c r="G81" t="inlineStr">
        <is>
          <t>BG009, BS009</t>
        </is>
      </c>
      <c r="H81" t="inlineStr">
        <is>
          <t>9 Februari 2018</t>
        </is>
      </c>
      <c r="I81" s="2" t="n">
        <v>46231</v>
      </c>
      <c r="J81" t="inlineStr">
        <is>
          <t>Disetujui</t>
        </is>
      </c>
      <c r="K81" t="n">
        <v>60</v>
      </c>
      <c r="L81" t="inlineStr">
        <is>
          <t>28 Juli 2026</t>
        </is>
      </c>
      <c r="M81" t="inlineStr">
        <is>
          <t>Konstruksi Gedung Lainnya, Konstruksi Sentral Telekomunikasi</t>
        </is>
      </c>
      <c r="N81" t="inlineStr">
        <is>
          <t>K</t>
        </is>
      </c>
      <c r="O81" t="inlineStr">
        <is>
          <t>20230712, 20230721</t>
        </is>
      </c>
      <c r="P81" t="inlineStr">
        <is>
          <t>Sulawesi Selatan</t>
        </is>
      </c>
      <c r="Q81" t="inlineStr"/>
    </row>
    <row r="82">
      <c r="A82" t="inlineStr">
        <is>
          <t>REZA BERKAH ABADI</t>
        </is>
      </c>
      <c r="B82" t="inlineStr">
        <is>
          <t>Kota Adm. Jakarta Barat</t>
        </is>
      </c>
      <c r="C82" t="inlineStr">
        <is>
          <t>085378908194</t>
        </is>
      </c>
      <c r="D82" t="inlineStr">
        <is>
          <t>zahidrezaahmad@gmail.com</t>
        </is>
      </c>
      <c r="E82" t="inlineStr">
        <is>
          <t>https://lpjk.pu.go.id/search-badan-usaha-detail/YmM4c1BBeHZlR1NJTUZZNkZpcG0xZz09</t>
        </is>
      </c>
      <c r="F82" t="n">
        <v>1</v>
      </c>
      <c r="G82" t="inlineStr">
        <is>
          <t>BS004</t>
        </is>
      </c>
      <c r="H82" t="inlineStr">
        <is>
          <t>12 Agustus 2019</t>
        </is>
      </c>
      <c r="I82" s="2" t="n">
        <v>46231</v>
      </c>
      <c r="J82" t="inlineStr">
        <is>
          <t>Pencabutan</t>
        </is>
      </c>
      <c r="K82" t="n">
        <v>60</v>
      </c>
      <c r="L82" t="inlineStr">
        <is>
          <t>28 Juli 2026</t>
        </is>
      </c>
      <c r="M82" t="inlineStr">
        <is>
          <t>Konstruksi Jaringan Irigasi dan Drainase</t>
        </is>
      </c>
      <c r="N82" t="inlineStr">
        <is>
          <t>K</t>
        </is>
      </c>
      <c r="O82" t="inlineStr">
        <is>
          <t>20230724</t>
        </is>
      </c>
      <c r="P82" t="inlineStr">
        <is>
          <t>DKI Jakarta</t>
        </is>
      </c>
      <c r="Q82" t="inlineStr"/>
    </row>
    <row r="83">
      <c r="A83" t="inlineStr">
        <is>
          <t>RIZKI KARYA</t>
        </is>
      </c>
      <c r="B83" t="inlineStr">
        <is>
          <t>Kab. Mandailing Natal</t>
        </is>
      </c>
      <c r="C83" t="inlineStr">
        <is>
          <t>082164575757</t>
        </is>
      </c>
      <c r="D83" t="inlineStr">
        <is>
          <t>rizkikaryacv@gmail.com</t>
        </is>
      </c>
      <c r="E83" t="inlineStr">
        <is>
          <t>https://lpjk.pu.go.id/search-badan-usaha-detail/STgrU1BkTE1CMVZHa1d1ei9IODlSQT09</t>
        </is>
      </c>
      <c r="F83" t="n">
        <v>1</v>
      </c>
      <c r="G83" t="inlineStr">
        <is>
          <t>BG006</t>
        </is>
      </c>
      <c r="H83" t="inlineStr">
        <is>
          <t>15 September 2014</t>
        </is>
      </c>
      <c r="I83" s="2" t="n">
        <v>46231</v>
      </c>
      <c r="J83" t="inlineStr">
        <is>
          <t>Pencabutan</t>
        </is>
      </c>
      <c r="K83" t="n">
        <v>60</v>
      </c>
      <c r="L83" t="inlineStr">
        <is>
          <t>28 Juli 2026</t>
        </is>
      </c>
      <c r="M83" t="inlineStr">
        <is>
          <t>Konstruksi Gedung Pendidikan</t>
        </is>
      </c>
      <c r="N83" t="inlineStr">
        <is>
          <t>K</t>
        </is>
      </c>
      <c r="O83" t="inlineStr">
        <is>
          <t>20230728</t>
        </is>
      </c>
      <c r="P83" t="inlineStr">
        <is>
          <t>Sumatera Utara</t>
        </is>
      </c>
      <c r="Q83" t="inlineStr"/>
    </row>
    <row r="84">
      <c r="A84" t="inlineStr">
        <is>
          <t>RUKUN TEKNIK SEJAHTERA</t>
        </is>
      </c>
      <c r="B84" t="inlineStr">
        <is>
          <t>Kab. Cilacap</t>
        </is>
      </c>
      <c r="C84" t="inlineStr">
        <is>
          <t>02825392334</t>
        </is>
      </c>
      <c r="D84" t="inlineStr">
        <is>
          <t>rukuntekniks@gmail.com</t>
        </is>
      </c>
      <c r="E84" t="inlineStr">
        <is>
          <t>https://lpjk.pu.go.id/search-badan-usaha-detail/djhxVmVZeTlISk1yWlY2TXZVL2UxQT09</t>
        </is>
      </c>
      <c r="F84" t="n">
        <v>3</v>
      </c>
      <c r="G84" t="inlineStr">
        <is>
          <t>BG001, BG002, BG003</t>
        </is>
      </c>
      <c r="H84" t="inlineStr">
        <is>
          <t>5 Juni 2013</t>
        </is>
      </c>
      <c r="I84" s="2" t="n">
        <v>46231</v>
      </c>
      <c r="J84" t="inlineStr">
        <is>
          <t>Disetujui</t>
        </is>
      </c>
      <c r="K84" t="n">
        <v>60</v>
      </c>
      <c r="L84" t="inlineStr">
        <is>
          <t>28 Juli 2026</t>
        </is>
      </c>
      <c r="M84" t="inlineStr">
        <is>
          <t>Konstruksi Gedung Hunian, Konstruksi Gedung Industri, Konstruksi Gedung Perkantoran</t>
        </is>
      </c>
      <c r="N84" t="inlineStr">
        <is>
          <t>K</t>
        </is>
      </c>
      <c r="O84" t="inlineStr">
        <is>
          <t>20230727</t>
        </is>
      </c>
      <c r="P84" t="inlineStr">
        <is>
          <t>Jawa Tengah</t>
        </is>
      </c>
      <c r="Q84" t="inlineStr"/>
    </row>
    <row r="85">
      <c r="A85" t="inlineStr">
        <is>
          <t>SADAR KARYA DINAMIS</t>
        </is>
      </c>
      <c r="B85" t="inlineStr">
        <is>
          <t>Kab. Bandung</t>
        </is>
      </c>
      <c r="C85" t="inlineStr">
        <is>
          <t>0225947783</t>
        </is>
      </c>
      <c r="D85" t="inlineStr">
        <is>
          <t>sadarkaryadinamis_s@yahoo.com</t>
        </is>
      </c>
      <c r="E85" t="inlineStr">
        <is>
          <t>https://lpjk.pu.go.id/search-badan-usaha-detail/SUx2ZzhudnpWanZ0Vk1GTXRjOUZ3UT09</t>
        </is>
      </c>
      <c r="F85" t="n">
        <v>2</v>
      </c>
      <c r="G85" t="inlineStr">
        <is>
          <t>BG005</t>
        </is>
      </c>
      <c r="H85" t="inlineStr">
        <is>
          <t>16 Januari 2010</t>
        </is>
      </c>
      <c r="I85" s="2" t="n">
        <v>46231</v>
      </c>
      <c r="J85" t="inlineStr">
        <is>
          <t>Disetujui</t>
        </is>
      </c>
      <c r="K85" t="n">
        <v>60</v>
      </c>
      <c r="L85" t="inlineStr">
        <is>
          <t>28 Juli 2026</t>
        </is>
      </c>
      <c r="M85" t="inlineStr">
        <is>
          <t>Konstruksi Gedung Kesehatan</t>
        </is>
      </c>
      <c r="N85" t="inlineStr">
        <is>
          <t>M</t>
        </is>
      </c>
      <c r="O85" t="inlineStr">
        <is>
          <t>20230518</t>
        </is>
      </c>
      <c r="P85" t="inlineStr">
        <is>
          <t>Jawa Barat</t>
        </is>
      </c>
      <c r="Q85" t="inlineStr"/>
    </row>
    <row r="86">
      <c r="A86" t="inlineStr">
        <is>
          <t>SAHABAT</t>
        </is>
      </c>
      <c r="B86" t="inlineStr">
        <is>
          <t>Kab. Padang Lawas Utara</t>
        </is>
      </c>
      <c r="C86" t="inlineStr">
        <is>
          <t>082370196188</t>
        </is>
      </c>
      <c r="D86" t="inlineStr">
        <is>
          <t>azwarardhi@yahoo.co.id</t>
        </is>
      </c>
      <c r="E86" t="inlineStr">
        <is>
          <t>https://lpjk.pu.go.id/search-badan-usaha-detail/TTE1ZG0wSkJwQjRLVFd5dEFMTnhkQT09</t>
        </is>
      </c>
      <c r="F86" t="n">
        <v>2</v>
      </c>
      <c r="G86" t="inlineStr">
        <is>
          <t>BG005, BG009</t>
        </is>
      </c>
      <c r="H86" t="inlineStr">
        <is>
          <t>22 Juni 2012</t>
        </is>
      </c>
      <c r="I86" s="2" t="n">
        <v>46231</v>
      </c>
      <c r="J86" t="inlineStr">
        <is>
          <t>Pencabutan</t>
        </is>
      </c>
      <c r="K86" t="n">
        <v>60</v>
      </c>
      <c r="L86" t="inlineStr">
        <is>
          <t>28 Juli 2026</t>
        </is>
      </c>
      <c r="M86" t="inlineStr">
        <is>
          <t>Konstruksi Gedung Kesehatan, Konstruksi Gedung Lainnya</t>
        </is>
      </c>
      <c r="N86" t="inlineStr">
        <is>
          <t>K</t>
        </is>
      </c>
      <c r="O86" t="inlineStr">
        <is>
          <t>20230717</t>
        </is>
      </c>
      <c r="P86" t="inlineStr">
        <is>
          <t>Sumatera Utara</t>
        </is>
      </c>
      <c r="Q86" t="inlineStr"/>
    </row>
    <row r="87">
      <c r="A87" t="inlineStr">
        <is>
          <t>SAMO LOKAK REZEKI</t>
        </is>
      </c>
      <c r="B87" t="inlineStr">
        <is>
          <t>Kota Palembang</t>
        </is>
      </c>
      <c r="C87" t="inlineStr">
        <is>
          <t>082183052136</t>
        </is>
      </c>
      <c r="D87" t="inlineStr">
        <is>
          <t>samolokakrezeki@gmail.com</t>
        </is>
      </c>
      <c r="E87" t="inlineStr">
        <is>
          <t>https://lpjk.pu.go.id/search-badan-usaha-detail/VTVvMzBVaUJVLzBzWnNMNldkS2t5UT09</t>
        </is>
      </c>
      <c r="F87" t="n">
        <v>1</v>
      </c>
      <c r="G87" t="inlineStr">
        <is>
          <t>BS001</t>
        </is>
      </c>
      <c r="H87" t="inlineStr">
        <is>
          <t>26 Juni 2020</t>
        </is>
      </c>
      <c r="I87" s="2" t="n">
        <v>46231</v>
      </c>
      <c r="J87" t="inlineStr">
        <is>
          <t>Pencabutan</t>
        </is>
      </c>
      <c r="K87" t="n">
        <v>60</v>
      </c>
      <c r="L87" t="inlineStr">
        <is>
          <t>28 Juli 2026</t>
        </is>
      </c>
      <c r="M87" t="inlineStr">
        <is>
          <t>Konstruksi Bangunan Sipil Jalan</t>
        </is>
      </c>
      <c r="N87" t="inlineStr">
        <is>
          <t>M</t>
        </is>
      </c>
      <c r="O87" t="inlineStr">
        <is>
          <t>20230722</t>
        </is>
      </c>
      <c r="P87" t="inlineStr">
        <is>
          <t>Sumatera Selatan</t>
        </is>
      </c>
      <c r="Q87" t="inlineStr"/>
    </row>
    <row r="88">
      <c r="A88" t="inlineStr">
        <is>
          <t>SATRIA SUKARSO WAWAY</t>
        </is>
      </c>
      <c r="B88" t="inlineStr">
        <is>
          <t>Kota Metro</t>
        </is>
      </c>
      <c r="C88" t="inlineStr">
        <is>
          <t>0</t>
        </is>
      </c>
      <c r="D88" t="inlineStr">
        <is>
          <t>pt.ssw17@gmail.com</t>
        </is>
      </c>
      <c r="E88" t="inlineStr">
        <is>
          <t>https://lpjk.pu.go.id/search-badan-usaha-detail/Sm9EdVNZQy9Uc0lnTmY1MG0yeFZPZz09</t>
        </is>
      </c>
      <c r="F88" t="n">
        <v>1</v>
      </c>
      <c r="G88" t="inlineStr">
        <is>
          <t>BS001</t>
        </is>
      </c>
      <c r="H88" t="inlineStr">
        <is>
          <t>11 November 1991</t>
        </is>
      </c>
      <c r="I88" s="2" t="n">
        <v>46231</v>
      </c>
      <c r="J88" t="inlineStr">
        <is>
          <t>Disetujui</t>
        </is>
      </c>
      <c r="K88" t="n">
        <v>60</v>
      </c>
      <c r="L88" t="inlineStr">
        <is>
          <t>28 Juli 2026</t>
        </is>
      </c>
      <c r="M88" t="inlineStr">
        <is>
          <t>Konstruksi Bangunan Sipil Jalan</t>
        </is>
      </c>
      <c r="N88" t="inlineStr">
        <is>
          <t>M</t>
        </is>
      </c>
      <c r="O88" t="inlineStr">
        <is>
          <t>20230712</t>
        </is>
      </c>
      <c r="P88" t="inlineStr">
        <is>
          <t>Lampung</t>
        </is>
      </c>
      <c r="Q88" t="inlineStr"/>
    </row>
    <row r="89">
      <c r="A89" t="inlineStr">
        <is>
          <t>SEKAWAN ABDI KARYA</t>
        </is>
      </c>
      <c r="B89" t="inlineStr">
        <is>
          <t>Kab. Gresik</t>
        </is>
      </c>
      <c r="C89" t="inlineStr">
        <is>
          <t>081334555422</t>
        </is>
      </c>
      <c r="D89" t="inlineStr">
        <is>
          <t>sekawanabdikarya@gmail.com</t>
        </is>
      </c>
      <c r="E89" t="inlineStr">
        <is>
          <t>https://lpjk.pu.go.id/search-badan-usaha-detail/bys0M0JLSDY4d2IrUVlnanZybFlKUT09</t>
        </is>
      </c>
      <c r="F89" t="n">
        <v>2</v>
      </c>
      <c r="G89" t="inlineStr">
        <is>
          <t>BG009</t>
        </is>
      </c>
      <c r="H89" t="inlineStr">
        <is>
          <t>27 Juni 2023</t>
        </is>
      </c>
      <c r="I89" s="2" t="n">
        <v>46231</v>
      </c>
      <c r="J89" t="inlineStr">
        <is>
          <t>Disetujui</t>
        </is>
      </c>
      <c r="K89" t="n">
        <v>60</v>
      </c>
      <c r="L89" t="inlineStr">
        <is>
          <t>28 Juli 2026</t>
        </is>
      </c>
      <c r="M89" t="inlineStr">
        <is>
          <t>Konstruksi Gedung Lainnya</t>
        </is>
      </c>
      <c r="N89" t="inlineStr">
        <is>
          <t>K</t>
        </is>
      </c>
      <c r="O89" t="inlineStr">
        <is>
          <t>20230616</t>
        </is>
      </c>
      <c r="P89" t="inlineStr">
        <is>
          <t>Jawa Timur</t>
        </is>
      </c>
      <c r="Q89" t="inlineStr"/>
    </row>
    <row r="90">
      <c r="A90" t="inlineStr">
        <is>
          <t>SEKAWAN CIPTA MULIA</t>
        </is>
      </c>
      <c r="B90" t="inlineStr">
        <is>
          <t>Kota Semarang</t>
        </is>
      </c>
      <c r="C90" t="inlineStr">
        <is>
          <t>0247625468</t>
        </is>
      </c>
      <c r="D90" t="inlineStr">
        <is>
          <t>muliasekawancipta@gmail.com</t>
        </is>
      </c>
      <c r="E90" t="inlineStr">
        <is>
          <t>https://lpjk.pu.go.id/search-badan-usaha-detail/RXJWMDZ5dnJLRm9welBsUmFQVkhmdz09</t>
        </is>
      </c>
      <c r="F90" t="n">
        <v>2</v>
      </c>
      <c r="G90" t="inlineStr">
        <is>
          <t>BG003</t>
        </is>
      </c>
      <c r="H90" t="inlineStr">
        <is>
          <t>27 Juni 2019</t>
        </is>
      </c>
      <c r="I90" s="2" t="n">
        <v>46231</v>
      </c>
      <c r="J90" t="inlineStr">
        <is>
          <t>Disetujui</t>
        </is>
      </c>
      <c r="K90" t="n">
        <v>60</v>
      </c>
      <c r="L90" t="inlineStr">
        <is>
          <t>28 Juli 2026</t>
        </is>
      </c>
      <c r="M90" t="inlineStr">
        <is>
          <t>Konstruksi Gedung Industri</t>
        </is>
      </c>
      <c r="N90" t="inlineStr">
        <is>
          <t>K</t>
        </is>
      </c>
      <c r="O90" t="inlineStr">
        <is>
          <t>20230310</t>
        </is>
      </c>
      <c r="P90" t="inlineStr">
        <is>
          <t>Jawa Tengah</t>
        </is>
      </c>
      <c r="Q90" t="inlineStr"/>
    </row>
    <row r="91">
      <c r="A91" t="inlineStr">
        <is>
          <t>SELARAS USAHA BERSAMA</t>
        </is>
      </c>
      <c r="B91" t="inlineStr">
        <is>
          <t>Kab. Kapuas Hulu</t>
        </is>
      </c>
      <c r="C91" t="inlineStr">
        <is>
          <t>082154410669</t>
        </is>
      </c>
      <c r="D91" t="inlineStr">
        <is>
          <t>selarasusahabersama2018.pt@gmail.com</t>
        </is>
      </c>
      <c r="E91" t="inlineStr">
        <is>
          <t>https://lpjk.pu.go.id/search-badan-usaha-detail/czBYRmhGL24xTUxPcm5DVHZRdzBwZz09</t>
        </is>
      </c>
      <c r="F91" t="n">
        <v>1</v>
      </c>
      <c r="G91" t="inlineStr">
        <is>
          <t>BS002</t>
        </is>
      </c>
      <c r="H91" t="inlineStr">
        <is>
          <t>11 Januari 2007</t>
        </is>
      </c>
      <c r="I91" s="2" t="n">
        <v>46231</v>
      </c>
      <c r="J91" t="inlineStr">
        <is>
          <t>Disetujui</t>
        </is>
      </c>
      <c r="K91" t="n">
        <v>60</v>
      </c>
      <c r="L91" t="inlineStr">
        <is>
          <t>28 Juli 2026</t>
        </is>
      </c>
      <c r="M91" t="inlineStr">
        <is>
          <t>Bangunan Sipil Jembatan, Jalan Layang, Fly Over, dan Underpass</t>
        </is>
      </c>
      <c r="N91" t="inlineStr">
        <is>
          <t>M</t>
        </is>
      </c>
      <c r="O91" t="inlineStr">
        <is>
          <t>20230725</t>
        </is>
      </c>
      <c r="P91" t="inlineStr">
        <is>
          <t>Kalimantan Barat</t>
        </is>
      </c>
      <c r="Q91" t="inlineStr"/>
    </row>
    <row r="92">
      <c r="A92" t="inlineStr">
        <is>
          <t>SEMANGAT</t>
        </is>
      </c>
      <c r="B92" t="inlineStr">
        <is>
          <t>Kab. Blora</t>
        </is>
      </c>
      <c r="C92" t="inlineStr">
        <is>
          <t>082220249508</t>
        </is>
      </c>
      <c r="D92" t="inlineStr">
        <is>
          <t>semangatheri064@gmail.com</t>
        </is>
      </c>
      <c r="E92" t="inlineStr">
        <is>
          <t>https://lpjk.pu.go.id/search-badan-usaha-detail/d0daUWNyK3ViU3ZWQzZ1NnZVMVdWdz09</t>
        </is>
      </c>
      <c r="F92" t="n">
        <v>3</v>
      </c>
      <c r="G92" t="inlineStr">
        <is>
          <t>BG006, BS001, BS004</t>
        </is>
      </c>
      <c r="H92" t="inlineStr">
        <is>
          <t>29 November 2008</t>
        </is>
      </c>
      <c r="I92" s="2" t="n">
        <v>46231</v>
      </c>
      <c r="J92" t="inlineStr">
        <is>
          <t>Disetujui</t>
        </is>
      </c>
      <c r="K92" t="n">
        <v>60</v>
      </c>
      <c r="L92" t="inlineStr">
        <is>
          <t>28 Juli 2026</t>
        </is>
      </c>
      <c r="M92" t="inlineStr">
        <is>
          <t>Konstruksi Bangunan Sipil Jalan, Konstruksi Gedung Pendidikan, Konstruksi Jaringan Irigasi dan Drainase</t>
        </is>
      </c>
      <c r="N92" t="inlineStr">
        <is>
          <t>K</t>
        </is>
      </c>
      <c r="O92" t="inlineStr">
        <is>
          <t>20230711, 20230728</t>
        </is>
      </c>
      <c r="P92" t="inlineStr">
        <is>
          <t>Jawa Tengah</t>
        </is>
      </c>
      <c r="Q92" t="inlineStr"/>
    </row>
    <row r="93">
      <c r="A93" t="inlineStr">
        <is>
          <t>SENTOSA KARYA</t>
        </is>
      </c>
      <c r="B93" t="inlineStr">
        <is>
          <t>Kab. Banyumas</t>
        </is>
      </c>
      <c r="C93" t="inlineStr">
        <is>
          <t>02816840995</t>
        </is>
      </c>
      <c r="D93" t="inlineStr">
        <is>
          <t>sentosakarya89@yahoo.co.id</t>
        </is>
      </c>
      <c r="E93" t="inlineStr">
        <is>
          <t>https://lpjk.pu.go.id/search-badan-usaha-detail/UzUvdDFkZDlFUVp1NEswZUVKN2V1Zz09</t>
        </is>
      </c>
      <c r="F93" t="n">
        <v>3</v>
      </c>
      <c r="G93" t="inlineStr">
        <is>
          <t>BG006, BG009, BS004</t>
        </is>
      </c>
      <c r="H93" t="inlineStr">
        <is>
          <t>12 April 2012</t>
        </is>
      </c>
      <c r="I93" s="2" t="n">
        <v>46231</v>
      </c>
      <c r="J93" t="inlineStr">
        <is>
          <t>Disetujui</t>
        </is>
      </c>
      <c r="K93" t="n">
        <v>60</v>
      </c>
      <c r="L93" t="inlineStr">
        <is>
          <t>28 Juli 2026</t>
        </is>
      </c>
      <c r="M93" t="inlineStr">
        <is>
          <t>Konstruksi Gedung Lainnya, Konstruksi Gedung Pendidikan, Konstruksi Jaringan Irigasi dan Drainase</t>
        </is>
      </c>
      <c r="N93" t="inlineStr">
        <is>
          <t>K</t>
        </is>
      </c>
      <c r="O93" t="inlineStr">
        <is>
          <t>20230728</t>
        </is>
      </c>
      <c r="P93" t="inlineStr">
        <is>
          <t>Jawa Tengah</t>
        </is>
      </c>
      <c r="Q93" t="inlineStr"/>
    </row>
    <row r="94">
      <c r="A94" t="inlineStr">
        <is>
          <t>SINAR CIPAHUL GEMILANG</t>
        </is>
      </c>
      <c r="B94" t="inlineStr">
        <is>
          <t>Kab. Pandeglang</t>
        </is>
      </c>
      <c r="C94" t="inlineStr">
        <is>
          <t>0253</t>
        </is>
      </c>
      <c r="D94" t="inlineStr">
        <is>
          <t>cv.scg2019@gmail.com</t>
        </is>
      </c>
      <c r="E94" t="inlineStr">
        <is>
          <t>https://lpjk.pu.go.id/search-badan-usaha-detail/WWUzakhWRDY4RzF2bzFSelhzb081Zz09</t>
        </is>
      </c>
      <c r="F94" t="n">
        <v>2</v>
      </c>
      <c r="G94" t="inlineStr">
        <is>
          <t>BG006, BS001</t>
        </is>
      </c>
      <c r="H94" t="inlineStr">
        <is>
          <t>9 September 1999</t>
        </is>
      </c>
      <c r="I94" s="2" t="n">
        <v>46231</v>
      </c>
      <c r="J94" t="inlineStr">
        <is>
          <t>Disetujui</t>
        </is>
      </c>
      <c r="K94" t="n">
        <v>60</v>
      </c>
      <c r="L94" t="inlineStr">
        <is>
          <t>28 Juli 2026</t>
        </is>
      </c>
      <c r="M94" t="inlineStr">
        <is>
          <t>Konstruksi Bangunan Sipil Jalan, Konstruksi Gedung Pendidikan</t>
        </is>
      </c>
      <c r="N94" t="inlineStr">
        <is>
          <t>K</t>
        </is>
      </c>
      <c r="O94" t="inlineStr">
        <is>
          <t>20230720</t>
        </is>
      </c>
      <c r="P94" t="inlineStr">
        <is>
          <t>Banten</t>
        </is>
      </c>
      <c r="Q94" t="inlineStr"/>
    </row>
    <row r="95">
      <c r="A95" t="inlineStr">
        <is>
          <t>SONI PUTRA</t>
        </is>
      </c>
      <c r="B95" t="inlineStr">
        <is>
          <t>Kota Banjar</t>
        </is>
      </c>
      <c r="C95" t="inlineStr">
        <is>
          <t>082116073566</t>
        </is>
      </c>
      <c r="D95" t="inlineStr">
        <is>
          <t>cvsoniputra@gmail.com</t>
        </is>
      </c>
      <c r="E95" t="inlineStr">
        <is>
          <t>https://lpjk.pu.go.id/search-badan-usaha-detail/RXpQWjMwMDkzK0lJR2RhQmNET0thUT09</t>
        </is>
      </c>
      <c r="F95" t="n">
        <v>1</v>
      </c>
      <c r="G95" t="inlineStr">
        <is>
          <t>BS010</t>
        </is>
      </c>
      <c r="H95" t="inlineStr">
        <is>
          <t>14 Oktober 2019</t>
        </is>
      </c>
      <c r="I95" s="2" t="n">
        <v>46231</v>
      </c>
      <c r="J95" t="inlineStr">
        <is>
          <t>Disetujui</t>
        </is>
      </c>
      <c r="K95" t="n">
        <v>60</v>
      </c>
      <c r="L95" t="inlineStr">
        <is>
          <t>28 Juli 2026</t>
        </is>
      </c>
      <c r="M95" t="inlineStr">
        <is>
          <t>Konstruksi Bangunan Prasarana Sumber Daya Air</t>
        </is>
      </c>
      <c r="N95" t="inlineStr">
        <is>
          <t>K</t>
        </is>
      </c>
      <c r="O95" t="inlineStr">
        <is>
          <t>20230627</t>
        </is>
      </c>
      <c r="P95" t="inlineStr">
        <is>
          <t>Jawa Barat</t>
        </is>
      </c>
      <c r="Q95" t="inlineStr"/>
    </row>
    <row r="96">
      <c r="A96" t="inlineStr">
        <is>
          <t>SRIWIJAYA CIPTA SEJAHTERA</t>
        </is>
      </c>
      <c r="B96" t="inlineStr">
        <is>
          <t>Kab. Jombang</t>
        </is>
      </c>
      <c r="C96" t="inlineStr">
        <is>
          <t>082148477234</t>
        </is>
      </c>
      <c r="D96" t="inlineStr">
        <is>
          <t>sriwijaya.ciptasejahtera@gmail.com</t>
        </is>
      </c>
      <c r="E96" t="inlineStr">
        <is>
          <t>https://lpjk.pu.go.id/search-badan-usaha-detail/QkhYN1pGQU5oeXZWWTZsSGR1QW5EZz09</t>
        </is>
      </c>
      <c r="F96" t="n">
        <v>5</v>
      </c>
      <c r="G96" t="inlineStr">
        <is>
          <t>BG002, BG004, BG005, BG006, BG009</t>
        </is>
      </c>
      <c r="H96" t="inlineStr">
        <is>
          <t>20 Juli 2020</t>
        </is>
      </c>
      <c r="I96" s="2" t="n">
        <v>46231</v>
      </c>
      <c r="J96" t="inlineStr">
        <is>
          <t>Disetujui</t>
        </is>
      </c>
      <c r="K96" t="n">
        <v>60</v>
      </c>
      <c r="L96" t="inlineStr">
        <is>
          <t>28 Juli 2026</t>
        </is>
      </c>
      <c r="M96" t="inlineStr">
        <is>
          <t>Konstruksi Gedung Kesehatan, Konstruksi Gedung Lainnya, Konstruksi Gedung Pendidikan, Konstruksi Gedung Perbelanjaan, Konstruksi Gedung Perkantoran</t>
        </is>
      </c>
      <c r="N96" t="inlineStr">
        <is>
          <t>K</t>
        </is>
      </c>
      <c r="O96" t="inlineStr">
        <is>
          <t>20230726</t>
        </is>
      </c>
      <c r="P96" t="inlineStr">
        <is>
          <t>Jawa Timur</t>
        </is>
      </c>
      <c r="Q96" t="inlineStr"/>
    </row>
    <row r="97">
      <c r="A97" t="inlineStr">
        <is>
          <t>SUKSES SEKAWAN</t>
        </is>
      </c>
      <c r="B97" t="inlineStr">
        <is>
          <t>Kab. Tanjung Jabung Barat</t>
        </is>
      </c>
      <c r="C97" t="inlineStr">
        <is>
          <t>082373324747</t>
        </is>
      </c>
      <c r="D97" t="inlineStr">
        <is>
          <t>marhattj88@gmail.com</t>
        </is>
      </c>
      <c r="E97" t="inlineStr">
        <is>
          <t>https://lpjk.pu.go.id/search-badan-usaha-detail/c2F1ZTlYTldJcTNYbkduaHlDc0JQMlZzdDJPZ09PK0pJOEFZTkhwZk1YMD0</t>
        </is>
      </c>
      <c r="F97" t="n">
        <v>2</v>
      </c>
      <c r="G97" t="inlineStr">
        <is>
          <t>BG005, BG006</t>
        </is>
      </c>
      <c r="H97" t="inlineStr">
        <is>
          <t>20 Januari 2026</t>
        </is>
      </c>
      <c r="I97" s="2" t="n">
        <v>46231</v>
      </c>
      <c r="J97" t="inlineStr">
        <is>
          <t>Disetujui</t>
        </is>
      </c>
      <c r="K97" t="n">
        <v>60</v>
      </c>
      <c r="L97" t="inlineStr">
        <is>
          <t>28 Juli 2026</t>
        </is>
      </c>
      <c r="M97" t="inlineStr">
        <is>
          <t>Konstruksi Gedung Kesehatan, Konstruksi Gedung Pendidikan</t>
        </is>
      </c>
      <c r="N97" t="inlineStr">
        <is>
          <t>K</t>
        </is>
      </c>
      <c r="O97" t="inlineStr">
        <is>
          <t>20230221, 20230725</t>
        </is>
      </c>
      <c r="P97" t="inlineStr">
        <is>
          <t>Jambi</t>
        </is>
      </c>
      <c r="Q97" t="inlineStr"/>
    </row>
    <row r="98">
      <c r="A98" t="inlineStr">
        <is>
          <t>SUMBER JAYA ABADI</t>
        </is>
      </c>
      <c r="B98" t="inlineStr">
        <is>
          <t>Kab. Bojonegoro</t>
        </is>
      </c>
      <c r="C98" t="inlineStr">
        <is>
          <t>081334115115</t>
        </is>
      </c>
      <c r="D98" t="inlineStr">
        <is>
          <t>yuda_timor@yahoo.com</t>
        </is>
      </c>
      <c r="E98" t="inlineStr">
        <is>
          <t>https://lpjk.pu.go.id/search-badan-usaha-detail/MFFRWjlhNDZOb3N0UGN4T2dSLzZSdz09</t>
        </is>
      </c>
      <c r="F98" t="n">
        <v>3</v>
      </c>
      <c r="G98" t="inlineStr">
        <is>
          <t>BG002, BG005, BG009</t>
        </is>
      </c>
      <c r="H98" t="inlineStr">
        <is>
          <t>4 September 2006</t>
        </is>
      </c>
      <c r="I98" s="2" t="n">
        <v>46231</v>
      </c>
      <c r="J98" t="inlineStr">
        <is>
          <t>Disetujui</t>
        </is>
      </c>
      <c r="K98" t="n">
        <v>60</v>
      </c>
      <c r="L98" t="inlineStr">
        <is>
          <t>28 Juli 2026</t>
        </is>
      </c>
      <c r="M98" t="inlineStr">
        <is>
          <t>Konstruksi Gedung Kesehatan, Konstruksi Gedung Lainnya, Konstruksi Gedung Perkantoran</t>
        </is>
      </c>
      <c r="N98" t="inlineStr">
        <is>
          <t>K</t>
        </is>
      </c>
      <c r="O98" t="inlineStr">
        <is>
          <t>20230726, 20230727</t>
        </is>
      </c>
      <c r="P98" t="inlineStr">
        <is>
          <t>Jawa Timur</t>
        </is>
      </c>
      <c r="Q98" t="inlineStr"/>
    </row>
    <row r="99">
      <c r="A99" t="inlineStr">
        <is>
          <t>SUMBER OLAH NUSA</t>
        </is>
      </c>
      <c r="B99" t="inlineStr">
        <is>
          <t>Kota Pekanbaru</t>
        </is>
      </c>
      <c r="C99" t="inlineStr">
        <is>
          <t>0811766636</t>
        </is>
      </c>
      <c r="D99" t="inlineStr">
        <is>
          <t>olahnusa@gmail.com</t>
        </is>
      </c>
      <c r="E99" t="inlineStr">
        <is>
          <t>https://lpjk.pu.go.id/search-badan-usaha-detail/V3pDWGpROEZGZU5udjViT3h2SWRBQT09</t>
        </is>
      </c>
      <c r="F99" t="n">
        <v>1</v>
      </c>
      <c r="G99" t="inlineStr">
        <is>
          <t>BS001</t>
        </is>
      </c>
      <c r="H99" t="inlineStr">
        <is>
          <t>11 Oktober 2022</t>
        </is>
      </c>
      <c r="I99" s="2" t="n">
        <v>46231</v>
      </c>
      <c r="J99" t="inlineStr">
        <is>
          <t>Pencabutan</t>
        </is>
      </c>
      <c r="K99" t="n">
        <v>60</v>
      </c>
      <c r="L99" t="inlineStr">
        <is>
          <t>28 Juli 2026</t>
        </is>
      </c>
      <c r="M99" t="inlineStr">
        <is>
          <t>Konstruksi Bangunan Sipil Jalan</t>
        </is>
      </c>
      <c r="N99" t="inlineStr">
        <is>
          <t>K</t>
        </is>
      </c>
      <c r="O99" t="inlineStr">
        <is>
          <t>20230728</t>
        </is>
      </c>
      <c r="P99" t="inlineStr">
        <is>
          <t>Riau</t>
        </is>
      </c>
      <c r="Q99" t="inlineStr"/>
    </row>
    <row r="100">
      <c r="A100" t="inlineStr">
        <is>
          <t>SUMBER TEKNIK KONSTRUKSI</t>
        </is>
      </c>
      <c r="B100" t="inlineStr">
        <is>
          <t>Kota Adm. Jakarta Utara</t>
        </is>
      </c>
      <c r="C100" t="inlineStr">
        <is>
          <t>02165868029</t>
        </is>
      </c>
      <c r="D100" t="inlineStr">
        <is>
          <t>steknik749@gmail.com</t>
        </is>
      </c>
      <c r="E100" t="inlineStr">
        <is>
          <t>https://lpjk.pu.go.id/search-badan-usaha-detail/K3lHVGgwbThMU0R1L1poTDk1MEwvZz09</t>
        </is>
      </c>
      <c r="F100" t="n">
        <v>1</v>
      </c>
      <c r="G100" t="inlineStr">
        <is>
          <t>BG004</t>
        </is>
      </c>
      <c r="H100" t="inlineStr">
        <is>
          <t>29 Desember 2015</t>
        </is>
      </c>
      <c r="I100" s="2" t="n">
        <v>46231</v>
      </c>
      <c r="J100" t="inlineStr">
        <is>
          <t>Pencabutan</t>
        </is>
      </c>
      <c r="K100" t="n">
        <v>60</v>
      </c>
      <c r="L100" t="inlineStr">
        <is>
          <t>28 Juli 2026</t>
        </is>
      </c>
      <c r="M100" t="inlineStr">
        <is>
          <t>Konstruksi Gedung Perbelanjaan</t>
        </is>
      </c>
      <c r="N100" t="inlineStr">
        <is>
          <t>B</t>
        </is>
      </c>
      <c r="O100" t="inlineStr">
        <is>
          <t>20230727</t>
        </is>
      </c>
      <c r="P100" t="inlineStr">
        <is>
          <t>DKI Jakarta</t>
        </is>
      </c>
      <c r="Q100" t="inlineStr"/>
    </row>
    <row r="101">
      <c r="A101" t="inlineStr">
        <is>
          <t>TANGGUH BAJA KONSTRUKSI</t>
        </is>
      </c>
      <c r="B101" t="inlineStr">
        <is>
          <t>Kota Adm. Jakarta Barat</t>
        </is>
      </c>
      <c r="C101" t="inlineStr">
        <is>
          <t>0218631868</t>
        </is>
      </c>
      <c r="D101" t="inlineStr">
        <is>
          <t>legaljakarta888@gmail.com</t>
        </is>
      </c>
      <c r="E101" t="inlineStr">
        <is>
          <t>https://lpjk.pu.go.id/search-badan-usaha-detail/NHE4V0tZL0FkNnNkWkxZNGdUVi9PZz09</t>
        </is>
      </c>
      <c r="F101" t="n">
        <v>1</v>
      </c>
      <c r="G101" t="inlineStr">
        <is>
          <t>BG003</t>
        </is>
      </c>
      <c r="H101" t="inlineStr">
        <is>
          <t>19 Desember 2019</t>
        </is>
      </c>
      <c r="I101" s="2" t="n">
        <v>46231</v>
      </c>
      <c r="J101" t="inlineStr">
        <is>
          <t>Disetujui</t>
        </is>
      </c>
      <c r="K101" t="n">
        <v>60</v>
      </c>
      <c r="L101" t="inlineStr">
        <is>
          <t>28 Juli 2026</t>
        </is>
      </c>
      <c r="M101" t="inlineStr">
        <is>
          <t>Konstruksi Gedung Industri</t>
        </is>
      </c>
      <c r="N101" t="inlineStr">
        <is>
          <t>B</t>
        </is>
      </c>
      <c r="O101" t="inlineStr">
        <is>
          <t>20230728</t>
        </is>
      </c>
      <c r="P101" t="inlineStr">
        <is>
          <t>DKI Jakarta</t>
        </is>
      </c>
      <c r="Q101" t="inlineStr"/>
    </row>
    <row r="102">
      <c r="A102" t="inlineStr">
        <is>
          <t>TATA LAKSANA KONSTRUKSI</t>
        </is>
      </c>
      <c r="B102" t="inlineStr">
        <is>
          <t>Kota Banjarbaru</t>
        </is>
      </c>
      <c r="C102" t="inlineStr">
        <is>
          <t>05117947105</t>
        </is>
      </c>
      <c r="D102" t="inlineStr">
        <is>
          <t>cv.tatalaksanakonstr@gmail.com</t>
        </is>
      </c>
      <c r="E102" t="inlineStr">
        <is>
          <t>https://lpjk.pu.go.id/search-badan-usaha-detail/YWJBWUNhTW5SL09kSzNJZFFpZnRXUT09</t>
        </is>
      </c>
      <c r="F102" t="n">
        <v>1</v>
      </c>
      <c r="G102" t="inlineStr">
        <is>
          <t>BS001</t>
        </is>
      </c>
      <c r="H102" t="inlineStr">
        <is>
          <t>14 Februari 2013</t>
        </is>
      </c>
      <c r="I102" s="2" t="n">
        <v>46231</v>
      </c>
      <c r="J102" t="inlineStr">
        <is>
          <t>Pencabutan</t>
        </is>
      </c>
      <c r="K102" t="n">
        <v>60</v>
      </c>
      <c r="L102" t="inlineStr">
        <is>
          <t>28 Juli 2026</t>
        </is>
      </c>
      <c r="M102" t="inlineStr">
        <is>
          <t>Konstruksi Bangunan Sipil Jalan</t>
        </is>
      </c>
      <c r="N102" t="inlineStr">
        <is>
          <t>K</t>
        </is>
      </c>
      <c r="O102" t="inlineStr">
        <is>
          <t>20230728</t>
        </is>
      </c>
      <c r="P102" t="inlineStr">
        <is>
          <t>Kalimantan Selatan</t>
        </is>
      </c>
      <c r="Q102" t="inlineStr"/>
    </row>
    <row r="103">
      <c r="A103" t="inlineStr">
        <is>
          <t>TENJOLAYA PUTRA MAKMUR</t>
        </is>
      </c>
      <c r="B103" t="inlineStr">
        <is>
          <t>Kab. Pandeglang</t>
        </is>
      </c>
      <c r="C103" t="inlineStr">
        <is>
          <t>087773717333</t>
        </is>
      </c>
      <c r="D103" t="inlineStr">
        <is>
          <t>cv.tpm1945@gmail.com</t>
        </is>
      </c>
      <c r="E103" t="inlineStr">
        <is>
          <t>https://lpjk.pu.go.id/search-badan-usaha-detail/SURQZjR4Vm5RQUc0QXZFSHl0T1ZiUT09</t>
        </is>
      </c>
      <c r="F103" t="n">
        <v>2</v>
      </c>
      <c r="G103" t="inlineStr">
        <is>
          <t>BG001, BG006</t>
        </is>
      </c>
      <c r="H103" t="inlineStr">
        <is>
          <t>1 Januari 2018</t>
        </is>
      </c>
      <c r="I103" s="2" t="n">
        <v>46231</v>
      </c>
      <c r="J103" t="inlineStr">
        <is>
          <t>Pencabutan</t>
        </is>
      </c>
      <c r="K103" t="n">
        <v>60</v>
      </c>
      <c r="L103" t="inlineStr">
        <is>
          <t>28 Juli 2026</t>
        </is>
      </c>
      <c r="M103" t="inlineStr">
        <is>
          <t>Konstruksi Gedung Hunian, Konstruksi Gedung Pendidikan</t>
        </is>
      </c>
      <c r="N103" t="inlineStr">
        <is>
          <t>K</t>
        </is>
      </c>
      <c r="O103" t="inlineStr">
        <is>
          <t>20230628, 20230725</t>
        </is>
      </c>
      <c r="P103" t="inlineStr">
        <is>
          <t>Banten</t>
        </is>
      </c>
      <c r="Q103" t="inlineStr"/>
    </row>
    <row r="104">
      <c r="A104" t="inlineStr">
        <is>
          <t>THREE PUTRA LAMPUNG MANDIRI</t>
        </is>
      </c>
      <c r="B104" t="inlineStr">
        <is>
          <t>Kota Bandar Lampung</t>
        </is>
      </c>
      <c r="C104" t="inlineStr">
        <is>
          <t>082373582334</t>
        </is>
      </c>
      <c r="D104" t="inlineStr">
        <is>
          <t>cvthreeputralampungmandiri@gmail.com</t>
        </is>
      </c>
      <c r="E104" t="inlineStr">
        <is>
          <t>https://lpjk.pu.go.id/search-badan-usaha-detail/c05CcTYrb0IyVHBwUFZ5cVY4c2tpUT09</t>
        </is>
      </c>
      <c r="F104" t="n">
        <v>1</v>
      </c>
      <c r="G104" t="inlineStr">
        <is>
          <t>BS004</t>
        </is>
      </c>
      <c r="H104" t="inlineStr">
        <is>
          <t>2 Juni 2023</t>
        </is>
      </c>
      <c r="I104" s="2" t="n">
        <v>46231</v>
      </c>
      <c r="J104" t="inlineStr">
        <is>
          <t>Disetujui</t>
        </is>
      </c>
      <c r="K104" t="n">
        <v>60</v>
      </c>
      <c r="L104" t="inlineStr">
        <is>
          <t>28 Juli 2026</t>
        </is>
      </c>
      <c r="M104" t="inlineStr">
        <is>
          <t>Konstruksi Jaringan Irigasi dan Drainase</t>
        </is>
      </c>
      <c r="N104" t="inlineStr">
        <is>
          <t>K</t>
        </is>
      </c>
      <c r="O104" t="inlineStr">
        <is>
          <t>20230726</t>
        </is>
      </c>
      <c r="P104" t="inlineStr">
        <is>
          <t>Lampung</t>
        </is>
      </c>
      <c r="Q104" t="inlineStr"/>
    </row>
    <row r="105">
      <c r="A105" t="inlineStr">
        <is>
          <t>TOYA MAS ABADI</t>
        </is>
      </c>
      <c r="B105" t="inlineStr">
        <is>
          <t>Kab. Indramayu</t>
        </is>
      </c>
      <c r="C105" t="inlineStr">
        <is>
          <t>081320512436</t>
        </is>
      </c>
      <c r="D105" t="inlineStr">
        <is>
          <t>toyamas.tm@gmail.com</t>
        </is>
      </c>
      <c r="E105" t="inlineStr">
        <is>
          <t>https://lpjk.pu.go.id/search-badan-usaha-detail/Skc4NFRCTk4vN1RtUmVmMGp4dC9zQT09</t>
        </is>
      </c>
      <c r="F105" t="n">
        <v>6</v>
      </c>
      <c r="G105" t="inlineStr">
        <is>
          <t>BG001, BG002, BG006, BG009, BS001, BS004</t>
        </is>
      </c>
      <c r="H105" t="inlineStr">
        <is>
          <t>16 Agustus 2022</t>
        </is>
      </c>
      <c r="I105" s="2" t="n">
        <v>46231</v>
      </c>
      <c r="J105" t="inlineStr">
        <is>
          <t>Disetujui</t>
        </is>
      </c>
      <c r="K105" t="n">
        <v>60</v>
      </c>
      <c r="L105" t="inlineStr">
        <is>
          <t>28 Juli 2026</t>
        </is>
      </c>
      <c r="M105" t="inlineStr">
        <is>
          <t>Konstruksi Bangunan Sipil Jalan, Konstruksi Gedung Hunian, Konstruksi Gedung Lainnya, Konstruksi Gedung Pendidikan, Konstruksi Gedung Perkantoran, Konstruksi Jaringan Irigasi dan Drainase</t>
        </is>
      </c>
      <c r="N105" t="inlineStr">
        <is>
          <t>K</t>
        </is>
      </c>
      <c r="O105" t="inlineStr">
        <is>
          <t>20230724</t>
        </is>
      </c>
      <c r="P105" t="inlineStr">
        <is>
          <t>Jawa Barat</t>
        </is>
      </c>
      <c r="Q105" t="inlineStr"/>
    </row>
    <row r="106">
      <c r="A106" t="inlineStr">
        <is>
          <t>TRIKARYA PRIMA SANTOSA</t>
        </is>
      </c>
      <c r="B106" t="inlineStr">
        <is>
          <t>Kab. Tangerang</t>
        </is>
      </c>
      <c r="C106" t="inlineStr">
        <is>
          <t>08159303036</t>
        </is>
      </c>
      <c r="D106" t="inlineStr">
        <is>
          <t>pt.trikaryaps@gmail.com</t>
        </is>
      </c>
      <c r="E106" t="inlineStr">
        <is>
          <t>https://lpjk.pu.go.id/search-badan-usaha-detail/aVk0L3ZrZWJXS2xLSTloWlBHZ1Fydz09</t>
        </is>
      </c>
      <c r="F106" t="n">
        <v>3</v>
      </c>
      <c r="G106" t="inlineStr">
        <is>
          <t>BG002, BG003, BG009</t>
        </is>
      </c>
      <c r="H106" t="inlineStr">
        <is>
          <t>1 Oktober 2014</t>
        </is>
      </c>
      <c r="I106" s="2" t="n">
        <v>46231</v>
      </c>
      <c r="J106" t="inlineStr">
        <is>
          <t>Pencabutan</t>
        </is>
      </c>
      <c r="K106" t="n">
        <v>60</v>
      </c>
      <c r="L106" t="inlineStr">
        <is>
          <t>28 Juli 2026</t>
        </is>
      </c>
      <c r="M106" t="inlineStr">
        <is>
          <t>Konstruksi Gedung Industri, Konstruksi Gedung Lainnya, Konstruksi Gedung Perkantoran</t>
        </is>
      </c>
      <c r="N106" t="inlineStr">
        <is>
          <t>K</t>
        </is>
      </c>
      <c r="O106" t="inlineStr">
        <is>
          <t>20230620</t>
        </is>
      </c>
      <c r="P106" t="inlineStr">
        <is>
          <t>Banten</t>
        </is>
      </c>
      <c r="Q106" t="inlineStr"/>
    </row>
    <row r="107">
      <c r="A107" t="inlineStr">
        <is>
          <t>TRIMITRA PUTERA TEKINDO</t>
        </is>
      </c>
      <c r="B107" t="inlineStr">
        <is>
          <t>Kota Adm. Jakarta Barat</t>
        </is>
      </c>
      <c r="C107" t="inlineStr">
        <is>
          <t>0215602411</t>
        </is>
      </c>
      <c r="D107" t="inlineStr">
        <is>
          <t>trimitraputeratekindo@gmail.com</t>
        </is>
      </c>
      <c r="E107" t="inlineStr">
        <is>
          <t>https://lpjk.pu.go.id/search-badan-usaha-detail/N3ZDVWszY0VTS0wvT1F0Vis0YTNrdz09</t>
        </is>
      </c>
      <c r="F107" t="n">
        <v>8</v>
      </c>
      <c r="G107" t="inlineStr">
        <is>
          <t>BG001, BG002, BG005, BG006</t>
        </is>
      </c>
      <c r="H107" t="inlineStr">
        <is>
          <t>26 Agustus 2022</t>
        </is>
      </c>
      <c r="I107" s="2" t="n">
        <v>46231</v>
      </c>
      <c r="J107" t="inlineStr">
        <is>
          <t>Disetujui</t>
        </is>
      </c>
      <c r="K107" t="n">
        <v>60</v>
      </c>
      <c r="L107" t="inlineStr">
        <is>
          <t>28 Juli 2026</t>
        </is>
      </c>
      <c r="M107" t="inlineStr">
        <is>
          <t>Konstruksi Gedung Hunian, Konstruksi Gedung Kesehatan, Konstruksi Gedung Pendidikan, Konstruksi Gedung Perkantoran</t>
        </is>
      </c>
      <c r="N107" t="inlineStr">
        <is>
          <t>K</t>
        </is>
      </c>
      <c r="O107" t="inlineStr">
        <is>
          <t>20230720, 20230725</t>
        </is>
      </c>
      <c r="P107" t="inlineStr">
        <is>
          <t>DKI Jakarta</t>
        </is>
      </c>
      <c r="Q107" t="inlineStr"/>
    </row>
    <row r="108">
      <c r="A108" t="inlineStr">
        <is>
          <t>TUAH BAYAK ABADI</t>
        </is>
      </c>
      <c r="B108" t="inlineStr">
        <is>
          <t>Kota Bandar Lampung</t>
        </is>
      </c>
      <c r="C108" t="inlineStr">
        <is>
          <t>082385088598</t>
        </is>
      </c>
      <c r="D108" t="inlineStr">
        <is>
          <t>tuahbayakabadi@gmail.com</t>
        </is>
      </c>
      <c r="E108" t="inlineStr">
        <is>
          <t>https://lpjk.pu.go.id/search-badan-usaha-detail/Wk8zbFR5bHZocDhFQWgzakZlbGtidz09</t>
        </is>
      </c>
      <c r="F108" t="n">
        <v>2</v>
      </c>
      <c r="G108" t="inlineStr">
        <is>
          <t>BG004, BG009</t>
        </is>
      </c>
      <c r="H108" t="inlineStr">
        <is>
          <t>4 Juli 2023</t>
        </is>
      </c>
      <c r="I108" s="2" t="n">
        <v>46231</v>
      </c>
      <c r="J108" t="inlineStr">
        <is>
          <t>Disetujui</t>
        </is>
      </c>
      <c r="K108" t="n">
        <v>60</v>
      </c>
      <c r="L108" t="inlineStr">
        <is>
          <t>28 Juli 2026</t>
        </is>
      </c>
      <c r="M108" t="inlineStr">
        <is>
          <t>Konstruksi Gedung Lainnya, Konstruksi Gedung Perbelanjaan</t>
        </is>
      </c>
      <c r="N108" t="inlineStr">
        <is>
          <t>K</t>
        </is>
      </c>
      <c r="O108" t="inlineStr">
        <is>
          <t>20230725</t>
        </is>
      </c>
      <c r="P108" t="inlineStr">
        <is>
          <t>Lampung</t>
        </is>
      </c>
      <c r="Q108" t="inlineStr"/>
    </row>
    <row r="109">
      <c r="A109" t="inlineStr">
        <is>
          <t>TUNAS SUBUR MANDIRI</t>
        </is>
      </c>
      <c r="B109" t="inlineStr">
        <is>
          <t>Kota Bandar Lampung</t>
        </is>
      </c>
      <c r="C109" t="inlineStr">
        <is>
          <t>082282439969</t>
        </is>
      </c>
      <c r="D109" t="inlineStr">
        <is>
          <t>tulas369@gmail.com</t>
        </is>
      </c>
      <c r="E109" t="inlineStr">
        <is>
          <t>https://lpjk.pu.go.id/search-badan-usaha-detail/VmVLYTZiVnJlaVQxR1FnTlF3RlA5QT09</t>
        </is>
      </c>
      <c r="F109" t="n">
        <v>4</v>
      </c>
      <c r="G109" t="inlineStr">
        <is>
          <t>BG001, BG002, BG006, BG009</t>
        </is>
      </c>
      <c r="H109" t="inlineStr">
        <is>
          <t>1 Mei 2002</t>
        </is>
      </c>
      <c r="I109" s="2" t="n">
        <v>46231</v>
      </c>
      <c r="J109" t="inlineStr">
        <is>
          <t>Disetujui</t>
        </is>
      </c>
      <c r="K109" t="n">
        <v>60</v>
      </c>
      <c r="L109" t="inlineStr">
        <is>
          <t>28 Juli 2026</t>
        </is>
      </c>
      <c r="M109" t="inlineStr">
        <is>
          <t>Konstruksi Gedung Hunian, Konstruksi Gedung Lainnya, Konstruksi Gedung Pendidikan, Konstruksi Gedung Perkantoran</t>
        </is>
      </c>
      <c r="N109" t="inlineStr">
        <is>
          <t>K</t>
        </is>
      </c>
      <c r="O109" t="inlineStr">
        <is>
          <t>20230728</t>
        </is>
      </c>
      <c r="P109" t="inlineStr">
        <is>
          <t>Lampung</t>
        </is>
      </c>
      <c r="Q109" t="inlineStr"/>
    </row>
    <row r="110">
      <c r="A110" t="inlineStr">
        <is>
          <t>WIJA MASAGENA</t>
        </is>
      </c>
      <c r="B110" t="inlineStr">
        <is>
          <t>Kab. Majene</t>
        </is>
      </c>
      <c r="C110" t="inlineStr">
        <is>
          <t>082271584191</t>
        </is>
      </c>
      <c r="D110" t="inlineStr">
        <is>
          <t>wijamasagena@gmail.com</t>
        </is>
      </c>
      <c r="E110" t="inlineStr">
        <is>
          <t>https://lpjk.pu.go.id/search-badan-usaha-detail/anhqU0dTek9ueCt2UzJaK3N0SFdwdz09</t>
        </is>
      </c>
      <c r="F110" t="n">
        <v>1</v>
      </c>
      <c r="G110" t="inlineStr">
        <is>
          <t>BS005</t>
        </is>
      </c>
      <c r="H110" t="inlineStr">
        <is>
          <t>14 Juli 2023</t>
        </is>
      </c>
      <c r="I110" s="2" t="n">
        <v>46231</v>
      </c>
      <c r="J110" t="inlineStr">
        <is>
          <t>Disetujui</t>
        </is>
      </c>
      <c r="K110" t="n">
        <v>60</v>
      </c>
      <c r="L110" t="inlineStr">
        <is>
          <t>28 Juli 2026</t>
        </is>
      </c>
      <c r="M110" t="inlineStr">
        <is>
          <t>Konstruksi Bangunan Sipil Pengolahan Air Bersih</t>
        </is>
      </c>
      <c r="N110" t="inlineStr">
        <is>
          <t>K</t>
        </is>
      </c>
      <c r="O110" t="inlineStr">
        <is>
          <t>20230727</t>
        </is>
      </c>
      <c r="P110" t="inlineStr">
        <is>
          <t>Sulawesi Barat</t>
        </is>
      </c>
      <c r="Q110" t="inlineStr"/>
    </row>
    <row r="111">
      <c r="A111" t="inlineStr">
        <is>
          <t>WIJAYA KUSUMA CONTRACTORS</t>
        </is>
      </c>
      <c r="B111" t="inlineStr">
        <is>
          <t>Kota Adm. Jakarta Pusat</t>
        </is>
      </c>
      <c r="C111" t="inlineStr">
        <is>
          <t>0213905658</t>
        </is>
      </c>
      <c r="D111" t="inlineStr">
        <is>
          <t>marketing@wkc.co.id</t>
        </is>
      </c>
      <c r="E111" t="inlineStr">
        <is>
          <t>https://lpjk.pu.go.id/search-badan-usaha-detail/Tmd4RzBVcnR4LzhnbEY2QnpPRXN2QT09</t>
        </is>
      </c>
      <c r="F111" t="n">
        <v>2</v>
      </c>
      <c r="G111" t="inlineStr">
        <is>
          <t>GT002, GT003</t>
        </is>
      </c>
      <c r="H111" t="inlineStr">
        <is>
          <t>5 Oktober 1971</t>
        </is>
      </c>
      <c r="I111" s="2" t="n">
        <v>46231</v>
      </c>
      <c r="J111" t="inlineStr">
        <is>
          <t>Disetujui</t>
        </is>
      </c>
      <c r="K111" t="n">
        <v>60</v>
      </c>
      <c r="L111" t="inlineStr">
        <is>
          <t>28 Juli 2026</t>
        </is>
      </c>
      <c r="M111" t="inlineStr">
        <is>
          <t>Konstruksi Gedung Industri, Konstruksi Gedung Perkantoran</t>
        </is>
      </c>
      <c r="N111" t="inlineStr">
        <is>
          <t>B</t>
        </is>
      </c>
      <c r="O111" t="inlineStr">
        <is>
          <t>20230704, 20230706</t>
        </is>
      </c>
      <c r="P111" t="inlineStr">
        <is>
          <t>DKI Jakarta</t>
        </is>
      </c>
      <c r="Q111" t="inlineStr"/>
    </row>
    <row r="112">
      <c r="A112" t="inlineStr">
        <is>
          <t>WISMA KENCANA</t>
        </is>
      </c>
      <c r="B112" t="inlineStr">
        <is>
          <t>Kab. Sidoarjo</t>
        </is>
      </c>
      <c r="C112" t="inlineStr">
        <is>
          <t>081333645380</t>
        </is>
      </c>
      <c r="D112" t="inlineStr">
        <is>
          <t>cv.wismakencana6@gmail.com</t>
        </is>
      </c>
      <c r="E112" t="inlineStr">
        <is>
          <t>https://lpjk.pu.go.id/search-badan-usaha-detail/aUk5S29SeVFiS2RyNU8xVklaQ3JEQT09</t>
        </is>
      </c>
      <c r="F112" t="n">
        <v>1</v>
      </c>
      <c r="G112" t="inlineStr">
        <is>
          <t>BS001</t>
        </is>
      </c>
      <c r="H112" t="inlineStr">
        <is>
          <t>30 Oktober 1984</t>
        </is>
      </c>
      <c r="I112" s="2" t="n">
        <v>46231</v>
      </c>
      <c r="J112" t="inlineStr">
        <is>
          <t>Disetujui</t>
        </is>
      </c>
      <c r="K112" t="n">
        <v>60</v>
      </c>
      <c r="L112" t="inlineStr">
        <is>
          <t>28 Juli 2026</t>
        </is>
      </c>
      <c r="M112" t="inlineStr">
        <is>
          <t>Konstruksi Bangunan Sipil Jalan</t>
        </is>
      </c>
      <c r="N112" t="inlineStr">
        <is>
          <t>K</t>
        </is>
      </c>
      <c r="O112" t="inlineStr">
        <is>
          <t>20230728</t>
        </is>
      </c>
      <c r="P112" t="inlineStr">
        <is>
          <t>Jawa Timur</t>
        </is>
      </c>
      <c r="Q112" t="inlineStr"/>
    </row>
    <row r="113">
      <c r="A113" t="inlineStr">
        <is>
          <t>ZONA MULTI KARYA</t>
        </is>
      </c>
      <c r="B113" t="inlineStr">
        <is>
          <t>Kab. Tangerang</t>
        </is>
      </c>
      <c r="C113" t="inlineStr">
        <is>
          <t>085880729148</t>
        </is>
      </c>
      <c r="D113" t="inlineStr">
        <is>
          <t>zona.multikarya18@gmail.com</t>
        </is>
      </c>
      <c r="E113" t="inlineStr">
        <is>
          <t>https://lpjk.pu.go.id/search-badan-usaha-detail/WFk0YldHTmNTbUI1M2JGMzhma1JYZz09</t>
        </is>
      </c>
      <c r="F113" t="n">
        <v>2</v>
      </c>
      <c r="G113" t="inlineStr">
        <is>
          <t>BG001, BG004</t>
        </is>
      </c>
      <c r="H113" t="inlineStr">
        <is>
          <t>19 Mei 2023</t>
        </is>
      </c>
      <c r="I113" s="2" t="n">
        <v>46231</v>
      </c>
      <c r="J113" t="inlineStr">
        <is>
          <t>Disetujui</t>
        </is>
      </c>
      <c r="K113" t="n">
        <v>60</v>
      </c>
      <c r="L113" t="inlineStr">
        <is>
          <t>28 Juli 2026</t>
        </is>
      </c>
      <c r="M113" t="inlineStr">
        <is>
          <t>Konstruksi Gedung Hunian, Konstruksi Gedung Perbelanjaan</t>
        </is>
      </c>
      <c r="N113" t="inlineStr">
        <is>
          <t>K</t>
        </is>
      </c>
      <c r="O113" t="inlineStr">
        <is>
          <t>20230727</t>
        </is>
      </c>
      <c r="P113" t="inlineStr">
        <is>
          <t>Banten</t>
        </is>
      </c>
      <c r="Q1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27" customWidth="1" min="1" max="1"/>
    <col width="25" customWidth="1" min="2" max="2"/>
    <col width="16" customWidth="1" min="3" max="3"/>
    <col width="35" customWidth="1" min="4" max="4"/>
    <col width="50" customWidth="1" min="5" max="5"/>
    <col width="18" customWidth="1" min="6" max="6"/>
    <col width="35" customWidth="1" min="7" max="7"/>
    <col width="20" customWidth="1" min="8" max="8"/>
    <col width="28" customWidth="1" min="9" max="9"/>
    <col width="22"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ASIA INDOKARYA UTAMA</t>
        </is>
      </c>
      <c r="B2" t="inlineStr">
        <is>
          <t>Kota Bekasi</t>
        </is>
      </c>
      <c r="C2" t="inlineStr">
        <is>
          <t>02182631336</t>
        </is>
      </c>
      <c r="D2" t="inlineStr">
        <is>
          <t>asiaindokaryautama@gmail.com</t>
        </is>
      </c>
      <c r="E2" t="inlineStr">
        <is>
          <t>https://lpjk.pu.go.id/search-badan-usaha-detail/QjFZSTNXMUU2STVMMVJnaUR6NGZJdz09</t>
        </is>
      </c>
      <c r="F2" t="n">
        <v>1</v>
      </c>
      <c r="G2" t="inlineStr">
        <is>
          <t>IN011</t>
        </is>
      </c>
      <c r="H2" t="inlineStr">
        <is>
          <t>22 Desember 2022</t>
        </is>
      </c>
      <c r="I2" s="2" t="n">
        <v>46201</v>
      </c>
      <c r="J2" t="inlineStr">
        <is>
          <t>Disetujui</t>
        </is>
      </c>
      <c r="K2" t="n">
        <v>30</v>
      </c>
      <c r="L2" t="inlineStr">
        <is>
          <t>28 Juni 2026</t>
        </is>
      </c>
      <c r="M2" t="inlineStr">
        <is>
          <t>Instalasi Sinyal dan Rambu-rambu Jalan Raya</t>
        </is>
      </c>
      <c r="N2" t="inlineStr">
        <is>
          <t>Spesialis</t>
        </is>
      </c>
      <c r="O2" t="inlineStr">
        <is>
          <t>20230626</t>
        </is>
      </c>
      <c r="P2" t="inlineStr">
        <is>
          <t>Jawa Barat</t>
        </is>
      </c>
      <c r="Q2" t="inlineStr"/>
    </row>
    <row r="3">
      <c r="A3" t="inlineStr">
        <is>
          <t>GRAHA ERTA KENCANA</t>
        </is>
      </c>
      <c r="B3" t="inlineStr">
        <is>
          <t>Kota Bekasi</t>
        </is>
      </c>
      <c r="C3" t="inlineStr">
        <is>
          <t>081210116712</t>
        </is>
      </c>
      <c r="D3" t="inlineStr">
        <is>
          <t>grahaertakencana@gmail.com</t>
        </is>
      </c>
      <c r="E3" t="inlineStr">
        <is>
          <t>https://lpjk.pu.go.id/search-badan-usaha-detail/SDJEM1RNejA3Z1lWTjV3ZlJPaFNodz09</t>
        </is>
      </c>
      <c r="F3" t="n">
        <v>1</v>
      </c>
      <c r="G3" t="inlineStr">
        <is>
          <t>BG003</t>
        </is>
      </c>
      <c r="H3" t="inlineStr">
        <is>
          <t>12 Mei 2023</t>
        </is>
      </c>
      <c r="I3" s="2" t="n">
        <v>46201</v>
      </c>
      <c r="J3" t="inlineStr">
        <is>
          <t>Disetujui</t>
        </is>
      </c>
      <c r="K3" t="n">
        <v>30</v>
      </c>
      <c r="L3" t="inlineStr">
        <is>
          <t>28 Juni 2026</t>
        </is>
      </c>
      <c r="M3" t="inlineStr">
        <is>
          <t>Konstruksi Gedung Industri</t>
        </is>
      </c>
      <c r="N3" t="inlineStr">
        <is>
          <t>K</t>
        </is>
      </c>
      <c r="O3" t="inlineStr">
        <is>
          <t>20230626</t>
        </is>
      </c>
      <c r="P3" t="inlineStr">
        <is>
          <t>Jawa Barat</t>
        </is>
      </c>
      <c r="Q3" s="3">
        <f>HYPERLINK("https://wa.me/6281210116712?text=*[Pengingat Masa Berlaku SBU GRAHA ERTA KENCANA]*%0A%0AYth. Pimpinan GRAHA ERTA KENCANA,%0AMohon izin menginformasikan status SBU Anda:%0A%0A📄 SBU: BG003%0A📅 Expired: 28 Juni 2026 (30 Hari Lagi)%0A%0AKami tim PT. ESDEA Assistance Management siap men-support proses perpanjangan segera.", "Hubungi")</f>
        <v/>
      </c>
    </row>
    <row r="4">
      <c r="A4" t="inlineStr">
        <is>
          <t>KHRESINDO TEKNIK UTAMA</t>
        </is>
      </c>
      <c r="B4" t="inlineStr">
        <is>
          <t>Kota Bekasi</t>
        </is>
      </c>
      <c r="C4" t="inlineStr">
        <is>
          <t>02182436243</t>
        </is>
      </c>
      <c r="D4" t="inlineStr">
        <is>
          <t>khresindo.teknikutama@yahoo.co.id</t>
        </is>
      </c>
      <c r="E4" t="inlineStr">
        <is>
          <t>https://lpjk.pu.go.id/search-badan-usaha-detail/UmRkZzVjNUlzVUtiV1ZRNkQ4UUtaZz09</t>
        </is>
      </c>
      <c r="F4" t="n">
        <v>4</v>
      </c>
      <c r="G4" t="inlineStr">
        <is>
          <t>BG001, BG002, BG006, BG009</t>
        </is>
      </c>
      <c r="H4" t="inlineStr">
        <is>
          <t>24 Maret 2023</t>
        </is>
      </c>
      <c r="I4" s="2" t="n">
        <v>46201</v>
      </c>
      <c r="J4" t="inlineStr">
        <is>
          <t>Disetujui</t>
        </is>
      </c>
      <c r="K4" t="n">
        <v>30</v>
      </c>
      <c r="L4" t="inlineStr">
        <is>
          <t>28 Juni 2026</t>
        </is>
      </c>
      <c r="M4" t="inlineStr">
        <is>
          <t>Konstruksi Gedung Hunian, Konstruksi Gedung Lainnya, Konstruksi Gedung Pendidikan, Konstruksi Gedung Perkantoran</t>
        </is>
      </c>
      <c r="N4" t="inlineStr">
        <is>
          <t>K</t>
        </is>
      </c>
      <c r="O4" t="inlineStr">
        <is>
          <t>20230627</t>
        </is>
      </c>
      <c r="P4" t="inlineStr">
        <is>
          <t>Jawa Barat</t>
        </is>
      </c>
      <c r="Q4" t="inlineStr"/>
    </row>
    <row r="5">
      <c r="A5" t="inlineStr">
        <is>
          <t>ABADI JAYA SENTOSA</t>
        </is>
      </c>
      <c r="B5" t="inlineStr">
        <is>
          <t>Kab. Malang</t>
        </is>
      </c>
      <c r="C5" t="inlineStr">
        <is>
          <t>082132293008</t>
        </is>
      </c>
      <c r="D5" t="inlineStr">
        <is>
          <t>abadijayasentosa888@gmail.com</t>
        </is>
      </c>
      <c r="E5" t="inlineStr">
        <is>
          <t>https://lpjk.pu.go.id/search-badan-usaha-detail/SlBMN2RYQU8zZ1d5SFJmQkRiQ0xZdz09</t>
        </is>
      </c>
      <c r="F5" t="n">
        <v>8</v>
      </c>
      <c r="G5" t="inlineStr">
        <is>
          <t>BS002, BS011, BS012, BS017</t>
        </is>
      </c>
      <c r="H5" t="inlineStr">
        <is>
          <t>14 Maret 2012</t>
        </is>
      </c>
      <c r="I5" s="2" t="n">
        <v>46201</v>
      </c>
      <c r="J5" t="inlineStr">
        <is>
          <t>Disetujui</t>
        </is>
      </c>
      <c r="K5" t="n">
        <v>30</v>
      </c>
      <c r="L5" t="inlineStr">
        <is>
          <t>28 Juni 2026</t>
        </is>
      </c>
      <c r="M5" t="inlineStr">
        <is>
          <t>Bangunan Sipil Jembatan, Jalan Layang, Fly Over, dan Underpass, Konstruksi Bangunan Pelabuhan Bukan Perikanan, Konstruksi Bangunan Pelabuhan Perikanan, Konstruksi Bangunan Sipil Lainnya Ytdl</t>
        </is>
      </c>
      <c r="N5" t="inlineStr">
        <is>
          <t>K</t>
        </is>
      </c>
      <c r="O5" t="inlineStr">
        <is>
          <t>20230623</t>
        </is>
      </c>
      <c r="P5" t="inlineStr">
        <is>
          <t>Jawa Timur</t>
        </is>
      </c>
      <c r="Q5" t="inlineStr"/>
    </row>
    <row r="6">
      <c r="A6" t="inlineStr">
        <is>
          <t>ADRISTA HUTAMA PUTRA</t>
        </is>
      </c>
      <c r="B6" t="inlineStr">
        <is>
          <t>Kota Serang</t>
        </is>
      </c>
      <c r="C6" t="inlineStr">
        <is>
          <t>081807770659</t>
        </is>
      </c>
      <c r="D6" t="inlineStr">
        <is>
          <t>cv.adristahutama@gmail.com</t>
        </is>
      </c>
      <c r="E6" t="inlineStr">
        <is>
          <t>https://lpjk.pu.go.id/search-badan-usaha-detail/dWNWZ2RNUDFCcW00Z2lsV0oxUTREdz09</t>
        </is>
      </c>
      <c r="F6" t="n">
        <v>2</v>
      </c>
      <c r="G6" t="inlineStr">
        <is>
          <t>BG005, BG006</t>
        </is>
      </c>
      <c r="H6" t="inlineStr">
        <is>
          <t>28 Maret 2019</t>
        </is>
      </c>
      <c r="I6" s="2" t="n">
        <v>46201</v>
      </c>
      <c r="J6" t="inlineStr">
        <is>
          <t>Disetujui</t>
        </is>
      </c>
      <c r="K6" t="n">
        <v>30</v>
      </c>
      <c r="L6" t="inlineStr">
        <is>
          <t>28 Juni 2026</t>
        </is>
      </c>
      <c r="M6" t="inlineStr">
        <is>
          <t>Konstruksi Gedung Kesehatan, Konstruksi Gedung Pendidikan</t>
        </is>
      </c>
      <c r="N6" t="inlineStr">
        <is>
          <t>K</t>
        </is>
      </c>
      <c r="O6" t="inlineStr">
        <is>
          <t>20230621</t>
        </is>
      </c>
      <c r="P6" t="inlineStr">
        <is>
          <t>Banten</t>
        </is>
      </c>
      <c r="Q6" t="inlineStr"/>
    </row>
    <row r="7">
      <c r="A7" t="inlineStr">
        <is>
          <t>ANAK MAMI</t>
        </is>
      </c>
      <c r="B7" t="inlineStr">
        <is>
          <t>Kab. Banyuwangi</t>
        </is>
      </c>
      <c r="C7" t="inlineStr">
        <is>
          <t>085319390533</t>
        </is>
      </c>
      <c r="D7" t="inlineStr">
        <is>
          <t>cvanakmamibwi@gmail.com</t>
        </is>
      </c>
      <c r="E7" t="inlineStr">
        <is>
          <t>https://lpjk.pu.go.id/search-badan-usaha-detail/RXJvdEhIRi9WODRjM3JNTkcvTjczUT09</t>
        </is>
      </c>
      <c r="F7" t="n">
        <v>2</v>
      </c>
      <c r="G7" t="inlineStr">
        <is>
          <t>BS001, BS004</t>
        </is>
      </c>
      <c r="H7" t="inlineStr">
        <is>
          <t>3 Desember 2020</t>
        </is>
      </c>
      <c r="I7" s="2" t="n">
        <v>46201</v>
      </c>
      <c r="J7" t="inlineStr">
        <is>
          <t>Disetujui</t>
        </is>
      </c>
      <c r="K7" t="n">
        <v>30</v>
      </c>
      <c r="L7" t="inlineStr">
        <is>
          <t>28 Juni 2026</t>
        </is>
      </c>
      <c r="M7" t="inlineStr">
        <is>
          <t>Konstruksi Bangunan Sipil Jalan, Konstruksi Jaringan Irigasi dan Drainase</t>
        </is>
      </c>
      <c r="N7" t="inlineStr">
        <is>
          <t>K</t>
        </is>
      </c>
      <c r="O7" t="inlineStr">
        <is>
          <t>20230628</t>
        </is>
      </c>
      <c r="P7" t="inlineStr">
        <is>
          <t>Jawa Timur</t>
        </is>
      </c>
      <c r="Q7" t="inlineStr"/>
    </row>
    <row r="8">
      <c r="A8" t="inlineStr">
        <is>
          <t>ANUGRAH BERSAMA</t>
        </is>
      </c>
      <c r="B8" t="inlineStr">
        <is>
          <t>Kab. Ponorogo</t>
        </is>
      </c>
      <c r="C8" t="inlineStr">
        <is>
          <t>082159220482</t>
        </is>
      </c>
      <c r="D8" t="inlineStr">
        <is>
          <t>anugerahbersama2018@gmail.com</t>
        </is>
      </c>
      <c r="E8" t="inlineStr">
        <is>
          <t>https://lpjk.pu.go.id/search-badan-usaha-detail/Vzlzd2dMVDhBV2VqbXNEOWxkOGJRQT09</t>
        </is>
      </c>
      <c r="F8" t="n">
        <v>2</v>
      </c>
      <c r="G8" t="inlineStr">
        <is>
          <t>BS004</t>
        </is>
      </c>
      <c r="H8" t="inlineStr">
        <is>
          <t>25 Juli 2016</t>
        </is>
      </c>
      <c r="I8" s="2" t="n">
        <v>46201</v>
      </c>
      <c r="J8" t="inlineStr">
        <is>
          <t>Disetujui</t>
        </is>
      </c>
      <c r="K8" t="n">
        <v>30</v>
      </c>
      <c r="L8" t="inlineStr">
        <is>
          <t>28 Juni 2026</t>
        </is>
      </c>
      <c r="M8" t="inlineStr">
        <is>
          <t>Konstruksi Jaringan Irigasi dan Drainase</t>
        </is>
      </c>
      <c r="N8" t="inlineStr">
        <is>
          <t>K</t>
        </is>
      </c>
      <c r="O8" t="inlineStr">
        <is>
          <t>20230621</t>
        </is>
      </c>
      <c r="P8" t="inlineStr">
        <is>
          <t>Jawa Timur</t>
        </is>
      </c>
      <c r="Q8" t="inlineStr"/>
    </row>
    <row r="9">
      <c r="A9" t="inlineStr">
        <is>
          <t>ASOKA KARYA MANDIRI</t>
        </is>
      </c>
      <c r="B9" t="inlineStr">
        <is>
          <t>Kota Cilegon</t>
        </is>
      </c>
      <c r="C9" t="inlineStr">
        <is>
          <t>0811127116</t>
        </is>
      </c>
      <c r="D9" t="inlineStr">
        <is>
          <t>asokakaryamandiri01@gmail.com</t>
        </is>
      </c>
      <c r="E9" t="inlineStr">
        <is>
          <t>https://lpjk.pu.go.id/search-badan-usaha-detail/SWxzZnBVN0tLRUtYVnlNNWtrOW5LUT09</t>
        </is>
      </c>
      <c r="F9" t="n">
        <v>1</v>
      </c>
      <c r="G9" t="inlineStr">
        <is>
          <t>BG003</t>
        </is>
      </c>
      <c r="H9" t="inlineStr">
        <is>
          <t>9 Agustus 2019</t>
        </is>
      </c>
      <c r="I9" s="2" t="n">
        <v>46201</v>
      </c>
      <c r="J9" t="inlineStr">
        <is>
          <t>Disetujui</t>
        </is>
      </c>
      <c r="K9" t="n">
        <v>30</v>
      </c>
      <c r="L9" t="inlineStr">
        <is>
          <t>28 Juni 2026</t>
        </is>
      </c>
      <c r="M9" t="inlineStr">
        <is>
          <t>Konstruksi Gedung Industri</t>
        </is>
      </c>
      <c r="N9" t="inlineStr">
        <is>
          <t>K</t>
        </is>
      </c>
      <c r="O9" t="inlineStr">
        <is>
          <t>20230627</t>
        </is>
      </c>
      <c r="P9" t="inlineStr">
        <is>
          <t>Banten</t>
        </is>
      </c>
      <c r="Q9" t="inlineStr"/>
    </row>
    <row r="10">
      <c r="A10" t="inlineStr">
        <is>
          <t>AURORA TEKNIK</t>
        </is>
      </c>
      <c r="B10" t="inlineStr">
        <is>
          <t>Kab. Sumba Barat</t>
        </is>
      </c>
      <c r="C10" t="inlineStr">
        <is>
          <t>082144277278</t>
        </is>
      </c>
      <c r="D10" t="inlineStr">
        <is>
          <t>aurorahomestay2018@gmail.com</t>
        </is>
      </c>
      <c r="E10" t="inlineStr">
        <is>
          <t>https://lpjk.pu.go.id/search-badan-usaha-detail/ZTVDOW41UFA0UUZKRTR5a2lUR01lZz09</t>
        </is>
      </c>
      <c r="F10" t="n">
        <v>1</v>
      </c>
      <c r="G10" t="inlineStr">
        <is>
          <t>BG006</t>
        </is>
      </c>
      <c r="H10" t="inlineStr">
        <is>
          <t>8 Maret 2010</t>
        </is>
      </c>
      <c r="I10" s="2" t="n">
        <v>46201</v>
      </c>
      <c r="J10" t="inlineStr">
        <is>
          <t>Disetujui</t>
        </is>
      </c>
      <c r="K10" t="n">
        <v>30</v>
      </c>
      <c r="L10" t="inlineStr">
        <is>
          <t>28 Juni 2026</t>
        </is>
      </c>
      <c r="M10" t="inlineStr">
        <is>
          <t>Konstruksi Gedung Pendidikan</t>
        </is>
      </c>
      <c r="N10" t="inlineStr">
        <is>
          <t>K</t>
        </is>
      </c>
      <c r="O10" t="inlineStr">
        <is>
          <t>20220623</t>
        </is>
      </c>
      <c r="P10" t="inlineStr">
        <is>
          <t>Nusa Tenggara Timur</t>
        </is>
      </c>
      <c r="Q10" t="inlineStr"/>
    </row>
    <row r="11">
      <c r="A11" t="inlineStr">
        <is>
          <t>AYU VITRIA</t>
        </is>
      </c>
      <c r="B11" t="inlineStr">
        <is>
          <t>Kab. Bungo</t>
        </is>
      </c>
      <c r="C11" t="inlineStr">
        <is>
          <t>081274179177</t>
        </is>
      </c>
      <c r="D11" t="inlineStr">
        <is>
          <t>cv.ayuvitria@gmail.com</t>
        </is>
      </c>
      <c r="E11" t="inlineStr">
        <is>
          <t>https://lpjk.pu.go.id/search-badan-usaha-detail/dm96b09yRjdRMm9sK2Y2Ri8yRWsxUT09</t>
        </is>
      </c>
      <c r="F11" t="n">
        <v>1</v>
      </c>
      <c r="G11" t="inlineStr">
        <is>
          <t>BS001</t>
        </is>
      </c>
      <c r="H11" t="inlineStr">
        <is>
          <t>16 April 2007</t>
        </is>
      </c>
      <c r="I11" s="2" t="n">
        <v>46201</v>
      </c>
      <c r="J11" t="inlineStr">
        <is>
          <t>Disetujui</t>
        </is>
      </c>
      <c r="K11" t="n">
        <v>30</v>
      </c>
      <c r="L11" t="inlineStr">
        <is>
          <t>28 Juni 2026</t>
        </is>
      </c>
      <c r="M11" t="inlineStr">
        <is>
          <t>Konstruksi Bangunan Sipil Jalan</t>
        </is>
      </c>
      <c r="N11" t="inlineStr">
        <is>
          <t>K</t>
        </is>
      </c>
      <c r="O11" t="inlineStr">
        <is>
          <t>20230626</t>
        </is>
      </c>
      <c r="P11" t="inlineStr">
        <is>
          <t>Jambi</t>
        </is>
      </c>
      <c r="Q11" t="inlineStr"/>
    </row>
    <row r="12">
      <c r="A12" t="inlineStr">
        <is>
          <t>AZI BANDUNG BANDAWASA</t>
        </is>
      </c>
      <c r="B12" t="inlineStr">
        <is>
          <t>Kota Cimahi</t>
        </is>
      </c>
      <c r="C12" t="inlineStr">
        <is>
          <t>0222003491</t>
        </is>
      </c>
      <c r="D12" t="inlineStr">
        <is>
          <t>ptazibandungbandawasa@gmail.com</t>
        </is>
      </c>
      <c r="E12" t="inlineStr">
        <is>
          <t>https://lpjk.pu.go.id/search-badan-usaha-detail/ckRub3lnZ2E5S1RrM01DblpkN2Q2UT09</t>
        </is>
      </c>
      <c r="F12" t="n">
        <v>1</v>
      </c>
      <c r="G12" t="inlineStr">
        <is>
          <t>BG002</t>
        </is>
      </c>
      <c r="H12" t="inlineStr">
        <is>
          <t>2 Maret 2023</t>
        </is>
      </c>
      <c r="I12" s="2" t="n">
        <v>46201</v>
      </c>
      <c r="J12" t="inlineStr">
        <is>
          <t>Disetujui</t>
        </is>
      </c>
      <c r="K12" t="n">
        <v>30</v>
      </c>
      <c r="L12" t="inlineStr">
        <is>
          <t>28 Juni 2026</t>
        </is>
      </c>
      <c r="M12" t="inlineStr">
        <is>
          <t>Konstruksi Gedung Perkantoran</t>
        </is>
      </c>
      <c r="N12" t="inlineStr">
        <is>
          <t>K</t>
        </is>
      </c>
      <c r="O12" t="inlineStr">
        <is>
          <t>20230628</t>
        </is>
      </c>
      <c r="P12" t="inlineStr">
        <is>
          <t>Jawa Barat</t>
        </is>
      </c>
      <c r="Q12" t="inlineStr"/>
    </row>
    <row r="13">
      <c r="A13" t="inlineStr">
        <is>
          <t>BATUAH BERSINAR</t>
        </is>
      </c>
      <c r="B13" t="inlineStr">
        <is>
          <t>Kab. Barito Timur</t>
        </is>
      </c>
      <c r="C13" t="inlineStr">
        <is>
          <t>085751045300</t>
        </is>
      </c>
      <c r="D13" t="inlineStr">
        <is>
          <t>cvbatuahbersinar@gmail.com</t>
        </is>
      </c>
      <c r="E13" t="inlineStr">
        <is>
          <t>https://lpjk.pu.go.id/search-badan-usaha-detail/dm9EeFdlb2xFcGxraWJDSDh2U2pKQT09</t>
        </is>
      </c>
      <c r="F13" t="n">
        <v>1</v>
      </c>
      <c r="G13" t="inlineStr">
        <is>
          <t>BS010</t>
        </is>
      </c>
      <c r="H13" t="inlineStr">
        <is>
          <t>25 Januari 2023</t>
        </is>
      </c>
      <c r="I13" s="2" t="n">
        <v>46201</v>
      </c>
      <c r="J13" t="inlineStr">
        <is>
          <t>Disetujui</t>
        </is>
      </c>
      <c r="K13" t="n">
        <v>30</v>
      </c>
      <c r="L13" t="inlineStr">
        <is>
          <t>28 Juni 2026</t>
        </is>
      </c>
      <c r="M13" t="inlineStr">
        <is>
          <t>Konstruksi Bangunan Prasarana Sumber Daya Air</t>
        </is>
      </c>
      <c r="N13" t="inlineStr">
        <is>
          <t>K</t>
        </is>
      </c>
      <c r="O13" t="inlineStr">
        <is>
          <t>20230627</t>
        </is>
      </c>
      <c r="P13" t="inlineStr">
        <is>
          <t>Kalimantan Tengah</t>
        </is>
      </c>
      <c r="Q13" t="inlineStr"/>
    </row>
    <row r="14">
      <c r="A14" t="inlineStr">
        <is>
          <t>BORNEO ORION SEJAHTERA</t>
        </is>
      </c>
      <c r="B14" t="inlineStr">
        <is>
          <t>Kota Balikpapan</t>
        </is>
      </c>
      <c r="C14" t="inlineStr">
        <is>
          <t>081346440022</t>
        </is>
      </c>
      <c r="D14" t="inlineStr">
        <is>
          <t>borneoorionsejahtera@gmail.com</t>
        </is>
      </c>
      <c r="E14" t="inlineStr">
        <is>
          <t>https://lpjk.pu.go.id/search-badan-usaha-detail/RHVIOUlyajlyaTlrSm4vOFMzaXJmQT09</t>
        </is>
      </c>
      <c r="F14" t="n">
        <v>1</v>
      </c>
      <c r="G14" t="inlineStr">
        <is>
          <t>BG009</t>
        </is>
      </c>
      <c r="H14" t="inlineStr">
        <is>
          <t>4 Mei 2016</t>
        </is>
      </c>
      <c r="I14" s="2" t="n">
        <v>46201</v>
      </c>
      <c r="J14" t="inlineStr">
        <is>
          <t>Pencabutan</t>
        </is>
      </c>
      <c r="K14" t="n">
        <v>30</v>
      </c>
      <c r="L14" t="inlineStr">
        <is>
          <t>28 Juni 2026</t>
        </is>
      </c>
      <c r="M14" t="inlineStr">
        <is>
          <t>Konstruksi Gedung Lainnya</t>
        </is>
      </c>
      <c r="N14" t="inlineStr">
        <is>
          <t>K</t>
        </is>
      </c>
      <c r="O14" t="inlineStr">
        <is>
          <t>20230623</t>
        </is>
      </c>
      <c r="P14" t="inlineStr">
        <is>
          <t>Kalimantan Timur</t>
        </is>
      </c>
      <c r="Q14" t="inlineStr"/>
    </row>
    <row r="15">
      <c r="A15" t="inlineStr">
        <is>
          <t>BUMI KHATULISTIWA PUTERA</t>
        </is>
      </c>
      <c r="B15" t="inlineStr">
        <is>
          <t>Kota Pontianak</t>
        </is>
      </c>
      <c r="C15" t="inlineStr">
        <is>
          <t>085845209686</t>
        </is>
      </c>
      <c r="D15" t="inlineStr">
        <is>
          <t>puterakahtulistiwa@gmail.com</t>
        </is>
      </c>
      <c r="E15" t="inlineStr">
        <is>
          <t>https://lpjk.pu.go.id/search-badan-usaha-detail/R3pYUmJCZWlzeWMwOTRiakp0eTM5Zz09</t>
        </is>
      </c>
      <c r="F15" t="n">
        <v>1</v>
      </c>
      <c r="G15" t="inlineStr">
        <is>
          <t>BG001</t>
        </is>
      </c>
      <c r="H15" t="inlineStr">
        <is>
          <t>7 Maret 2007</t>
        </is>
      </c>
      <c r="I15" s="2" t="n">
        <v>46201</v>
      </c>
      <c r="J15" t="inlineStr">
        <is>
          <t>Disetujui</t>
        </is>
      </c>
      <c r="K15" t="n">
        <v>30</v>
      </c>
      <c r="L15" t="inlineStr">
        <is>
          <t>28 Juni 2026</t>
        </is>
      </c>
      <c r="M15" t="inlineStr">
        <is>
          <t>Konstruksi Gedung Hunian</t>
        </is>
      </c>
      <c r="N15" t="inlineStr">
        <is>
          <t>K</t>
        </is>
      </c>
      <c r="O15" t="inlineStr">
        <is>
          <t>20230628</t>
        </is>
      </c>
      <c r="P15" t="inlineStr">
        <is>
          <t>Kalimantan Barat</t>
        </is>
      </c>
      <c r="Q15" t="inlineStr"/>
    </row>
    <row r="16">
      <c r="A16" t="inlineStr">
        <is>
          <t>CIPTA ADI PRATAMA</t>
        </is>
      </c>
      <c r="B16" t="inlineStr">
        <is>
          <t>Kab. Bandung</t>
        </is>
      </c>
      <c r="C16" t="inlineStr">
        <is>
          <t>085223533290</t>
        </is>
      </c>
      <c r="D16" t="inlineStr">
        <is>
          <t>ciptaadipratama@yahoo.com</t>
        </is>
      </c>
      <c r="E16" t="inlineStr">
        <is>
          <t>https://lpjk.pu.go.id/search-badan-usaha-detail/am5XaWsvZFltRHlLdE5PajVpSHVodz09</t>
        </is>
      </c>
      <c r="F16" t="n">
        <v>1</v>
      </c>
      <c r="G16" t="inlineStr">
        <is>
          <t>BG009</t>
        </is>
      </c>
      <c r="H16" t="inlineStr">
        <is>
          <t>17 November 1994</t>
        </is>
      </c>
      <c r="I16" s="2" t="n">
        <v>46201</v>
      </c>
      <c r="J16" t="inlineStr">
        <is>
          <t>Pencabutan</t>
        </is>
      </c>
      <c r="K16" t="n">
        <v>30</v>
      </c>
      <c r="L16" t="inlineStr">
        <is>
          <t>28 Juni 2026</t>
        </is>
      </c>
      <c r="M16" t="inlineStr">
        <is>
          <t>Konstruksi Gedung Lainnya</t>
        </is>
      </c>
      <c r="N16" t="inlineStr">
        <is>
          <t>K</t>
        </is>
      </c>
      <c r="O16" t="inlineStr">
        <is>
          <t>20230627</t>
        </is>
      </c>
      <c r="P16" t="inlineStr">
        <is>
          <t>Jawa Barat</t>
        </is>
      </c>
      <c r="Q16" t="inlineStr"/>
    </row>
    <row r="17">
      <c r="A17" t="inlineStr">
        <is>
          <t>DUTA REKA BUMI</t>
        </is>
      </c>
      <c r="B17" t="inlineStr">
        <is>
          <t>Kota Surabaya</t>
        </is>
      </c>
      <c r="C17" t="inlineStr">
        <is>
          <t>0313283012</t>
        </is>
      </c>
      <c r="D17" t="inlineStr">
        <is>
          <t>adm.dutareka@gmail.com</t>
        </is>
      </c>
      <c r="E17" t="inlineStr">
        <is>
          <t>https://lpjk.pu.go.id/search-badan-usaha-detail/WXRKdW5BeEk3RzJ5OXhPaVVtWlY5Zz09</t>
        </is>
      </c>
      <c r="F17" t="n">
        <v>2</v>
      </c>
      <c r="G17" t="inlineStr">
        <is>
          <t>BG003, BG009</t>
        </is>
      </c>
      <c r="H17" t="inlineStr">
        <is>
          <t>8 April 1997</t>
        </is>
      </c>
      <c r="I17" s="2" t="n">
        <v>46201</v>
      </c>
      <c r="J17" t="inlineStr">
        <is>
          <t>Disetujui</t>
        </is>
      </c>
      <c r="K17" t="n">
        <v>30</v>
      </c>
      <c r="L17" t="inlineStr">
        <is>
          <t>28 Juni 2026</t>
        </is>
      </c>
      <c r="M17" t="inlineStr">
        <is>
          <t>Konstruksi Gedung Industri, Konstruksi Gedung Lainnya</t>
        </is>
      </c>
      <c r="N17" t="inlineStr">
        <is>
          <t>K</t>
        </is>
      </c>
      <c r="O17" t="inlineStr">
        <is>
          <t>20230607</t>
        </is>
      </c>
      <c r="P17" t="inlineStr">
        <is>
          <t>Jawa Timur</t>
        </is>
      </c>
      <c r="Q17" t="inlineStr"/>
    </row>
    <row r="18">
      <c r="A18" t="inlineStr">
        <is>
          <t>DUTANUSA KREASI PERMAI</t>
        </is>
      </c>
      <c r="B18" t="inlineStr">
        <is>
          <t>Kota Adm. Jakarta Barat</t>
        </is>
      </c>
      <c r="C18" t="inlineStr">
        <is>
          <t>081932242573</t>
        </is>
      </c>
      <c r="D18" t="inlineStr">
        <is>
          <t>ptdutanusakreasipermai@gmail.com</t>
        </is>
      </c>
      <c r="E18" t="inlineStr">
        <is>
          <t>https://lpjk.pu.go.id/search-badan-usaha-detail/LzExdFgxc29qVElqQk40VTdQUlBTUT09</t>
        </is>
      </c>
      <c r="F18" t="n">
        <v>1</v>
      </c>
      <c r="G18" t="inlineStr">
        <is>
          <t>BS007</t>
        </is>
      </c>
      <c r="H18" t="inlineStr">
        <is>
          <t>2 Desember 2022</t>
        </is>
      </c>
      <c r="I18" s="2" t="n">
        <v>46201</v>
      </c>
      <c r="J18" t="inlineStr">
        <is>
          <t>Pencabutan</t>
        </is>
      </c>
      <c r="K18" t="n">
        <v>30</v>
      </c>
      <c r="L18" t="inlineStr">
        <is>
          <t>28 Juni 2026</t>
        </is>
      </c>
      <c r="M18" t="inlineStr">
        <is>
          <t>Konstruksi Bangunan Sipil Elektrikal</t>
        </is>
      </c>
      <c r="N18" t="inlineStr">
        <is>
          <t>M</t>
        </is>
      </c>
      <c r="O18" t="inlineStr">
        <is>
          <t>20230621</t>
        </is>
      </c>
      <c r="P18" t="inlineStr">
        <is>
          <t>DKI Jakarta</t>
        </is>
      </c>
      <c r="Q18" t="inlineStr"/>
    </row>
    <row r="19">
      <c r="A19" t="inlineStr">
        <is>
          <t>EMBUN PAGI BERSERI</t>
        </is>
      </c>
      <c r="B19" t="inlineStr">
        <is>
          <t>Kota Samarinda</t>
        </is>
      </c>
      <c r="C19" t="inlineStr">
        <is>
          <t>085248971777</t>
        </is>
      </c>
      <c r="D19" t="inlineStr">
        <is>
          <t>new.bumicitralestari@gmail.com</t>
        </is>
      </c>
      <c r="E19" t="inlineStr">
        <is>
          <t>https://lpjk.pu.go.id/search-badan-usaha-detail/YUtUWDZjTXJpWDdwbmk1S0ZuSlBXQT09</t>
        </is>
      </c>
      <c r="F19" t="n">
        <v>1</v>
      </c>
      <c r="G19" t="inlineStr">
        <is>
          <t>BS001</t>
        </is>
      </c>
      <c r="H19" t="inlineStr">
        <is>
          <t>24 April 2012</t>
        </is>
      </c>
      <c r="I19" s="2" t="n">
        <v>46201</v>
      </c>
      <c r="J19" t="inlineStr">
        <is>
          <t>Pencabutan</t>
        </is>
      </c>
      <c r="K19" t="n">
        <v>30</v>
      </c>
      <c r="L19" t="inlineStr">
        <is>
          <t>28 Juni 2026</t>
        </is>
      </c>
      <c r="M19" t="inlineStr">
        <is>
          <t>Konstruksi Bangunan Sipil Jalan</t>
        </is>
      </c>
      <c r="N19" t="inlineStr">
        <is>
          <t>K</t>
        </is>
      </c>
      <c r="O19" t="inlineStr">
        <is>
          <t>20230625</t>
        </is>
      </c>
      <c r="P19" t="inlineStr">
        <is>
          <t>Kalimantan Timur</t>
        </is>
      </c>
      <c r="Q19" t="inlineStr"/>
    </row>
    <row r="20">
      <c r="A20" t="inlineStr">
        <is>
          <t>FAJAR KENCANA</t>
        </is>
      </c>
      <c r="B20" t="inlineStr">
        <is>
          <t>Kota Samarinda</t>
        </is>
      </c>
      <c r="C20" t="inlineStr">
        <is>
          <t>081236577253</t>
        </is>
      </c>
      <c r="D20" t="inlineStr">
        <is>
          <t>fajarkencanacv@gmail.com</t>
        </is>
      </c>
      <c r="E20" t="inlineStr">
        <is>
          <t>https://lpjk.pu.go.id/search-badan-usaha-detail/OXF5N2tPdzcxZU11dDZvR3FoQmN4Zz09</t>
        </is>
      </c>
      <c r="F20" t="n">
        <v>1</v>
      </c>
      <c r="G20" t="inlineStr">
        <is>
          <t>BS004</t>
        </is>
      </c>
      <c r="H20" t="inlineStr">
        <is>
          <t>27 Februari 2019</t>
        </is>
      </c>
      <c r="I20" s="2" t="n">
        <v>46201</v>
      </c>
      <c r="J20" t="inlineStr">
        <is>
          <t>Pencabutan</t>
        </is>
      </c>
      <c r="K20" t="n">
        <v>30</v>
      </c>
      <c r="L20" t="inlineStr">
        <is>
          <t>28 Juni 2026</t>
        </is>
      </c>
      <c r="M20" t="inlineStr">
        <is>
          <t>Konstruksi Jaringan Irigasi dan Drainase</t>
        </is>
      </c>
      <c r="N20" t="inlineStr">
        <is>
          <t>K</t>
        </is>
      </c>
      <c r="O20" t="inlineStr">
        <is>
          <t>20230622</t>
        </is>
      </c>
      <c r="P20" t="inlineStr">
        <is>
          <t>Kalimantan Timur</t>
        </is>
      </c>
      <c r="Q20" t="inlineStr"/>
    </row>
    <row r="21">
      <c r="A21" t="inlineStr">
        <is>
          <t>FARINDO PERKASA</t>
        </is>
      </c>
      <c r="B21" t="inlineStr">
        <is>
          <t>Kab. Ponorogo</t>
        </is>
      </c>
      <c r="C21" t="inlineStr">
        <is>
          <t>0813 3527 2984</t>
        </is>
      </c>
      <c r="D21" t="inlineStr">
        <is>
          <t>cv.farindoperkasa@gmail.com</t>
        </is>
      </c>
      <c r="E21" t="inlineStr">
        <is>
          <t>https://lpjk.pu.go.id/search-badan-usaha-detail/OXZ2WTQ1S1ZndUVab3JBbkk0ZXg0UT09</t>
        </is>
      </c>
      <c r="F21" t="n">
        <v>3</v>
      </c>
      <c r="G21" t="inlineStr">
        <is>
          <t>BG006, BS001, BS004</t>
        </is>
      </c>
      <c r="H21" t="inlineStr">
        <is>
          <t>3 Mei 2019</t>
        </is>
      </c>
      <c r="I21" s="2" t="n">
        <v>46201</v>
      </c>
      <c r="J21" t="inlineStr">
        <is>
          <t>Disetujui</t>
        </is>
      </c>
      <c r="K21" t="n">
        <v>30</v>
      </c>
      <c r="L21" t="inlineStr">
        <is>
          <t>28 Juni 2026</t>
        </is>
      </c>
      <c r="M21" t="inlineStr">
        <is>
          <t>Konstruksi Bangunan Sipil Jalan, Konstruksi Gedung Pendidikan, Konstruksi Jaringan Irigasi dan Drainase</t>
        </is>
      </c>
      <c r="N21" t="inlineStr">
        <is>
          <t>K</t>
        </is>
      </c>
      <c r="O21" t="inlineStr">
        <is>
          <t>20230623, 20230624</t>
        </is>
      </c>
      <c r="P21" t="inlineStr">
        <is>
          <t>Jawa Timur</t>
        </is>
      </c>
      <c r="Q21" t="inlineStr"/>
    </row>
    <row r="22">
      <c r="A22" t="inlineStr">
        <is>
          <t>GANENDRA PERKASA ABADI</t>
        </is>
      </c>
      <c r="B22" t="inlineStr">
        <is>
          <t>Kab. Malang</t>
        </is>
      </c>
      <c r="C22" t="inlineStr">
        <is>
          <t>081252604977</t>
        </is>
      </c>
      <c r="D22" t="inlineStr">
        <is>
          <t>ganendraperkasabadi@gmail.com</t>
        </is>
      </c>
      <c r="E22" t="inlineStr">
        <is>
          <t>https://lpjk.pu.go.id/search-badan-usaha-detail/WENrbHg1bXFhS2s4Snl6V0cxVnB1Zz09</t>
        </is>
      </c>
      <c r="F22" t="n">
        <v>1</v>
      </c>
      <c r="G22" t="inlineStr">
        <is>
          <t>BS005</t>
        </is>
      </c>
      <c r="H22" t="inlineStr">
        <is>
          <t>16 Maret 2023</t>
        </is>
      </c>
      <c r="I22" s="2" t="n">
        <v>46201</v>
      </c>
      <c r="J22" t="inlineStr">
        <is>
          <t>Disetujui</t>
        </is>
      </c>
      <c r="K22" t="n">
        <v>30</v>
      </c>
      <c r="L22" t="inlineStr">
        <is>
          <t>28 Juni 2026</t>
        </is>
      </c>
      <c r="M22" t="inlineStr">
        <is>
          <t>Konstruksi Bangunan Sipil Pengolahan Air Bersih</t>
        </is>
      </c>
      <c r="N22" t="inlineStr">
        <is>
          <t>K</t>
        </is>
      </c>
      <c r="O22" t="inlineStr">
        <is>
          <t>20230622</t>
        </is>
      </c>
      <c r="P22" t="inlineStr">
        <is>
          <t>Jawa Timur</t>
        </is>
      </c>
      <c r="Q22" t="inlineStr"/>
    </row>
    <row r="23">
      <c r="A23" t="inlineStr">
        <is>
          <t>GARUDA MAJU SEJAHTERA</t>
        </is>
      </c>
      <c r="B23" t="inlineStr">
        <is>
          <t>Kab. Sidoarjo</t>
        </is>
      </c>
      <c r="C23" t="inlineStr">
        <is>
          <t>081256171699</t>
        </is>
      </c>
      <c r="D23" t="inlineStr">
        <is>
          <t>garudamajusejahtera@yahoo.com</t>
        </is>
      </c>
      <c r="E23" t="inlineStr">
        <is>
          <t>https://lpjk.pu.go.id/search-badan-usaha-detail/MGF0eFpVei8zMk5OKzVXOVlBcUhsQT09</t>
        </is>
      </c>
      <c r="F23" t="n">
        <v>2</v>
      </c>
      <c r="G23" t="inlineStr">
        <is>
          <t>BG001, BG009</t>
        </is>
      </c>
      <c r="H23" t="inlineStr">
        <is>
          <t>24 Desember 2014</t>
        </is>
      </c>
      <c r="I23" s="2" t="n">
        <v>46201</v>
      </c>
      <c r="J23" t="inlineStr">
        <is>
          <t>Disetujui</t>
        </is>
      </c>
      <c r="K23" t="n">
        <v>30</v>
      </c>
      <c r="L23" t="inlineStr">
        <is>
          <t>28 Juni 2026</t>
        </is>
      </c>
      <c r="M23" t="inlineStr">
        <is>
          <t>Konstruksi Gedung Hunian, Konstruksi Gedung Lainnya</t>
        </is>
      </c>
      <c r="N23" t="inlineStr">
        <is>
          <t>K</t>
        </is>
      </c>
      <c r="O23" t="inlineStr">
        <is>
          <t>20230621, 20230626</t>
        </is>
      </c>
      <c r="P23" t="inlineStr">
        <is>
          <t>Jawa Timur</t>
        </is>
      </c>
      <c r="Q23" t="inlineStr"/>
    </row>
    <row r="24">
      <c r="A24" t="inlineStr">
        <is>
          <t>GENTING LAGAN</t>
        </is>
      </c>
      <c r="B24" t="inlineStr">
        <is>
          <t>Kab. Lahat</t>
        </is>
      </c>
      <c r="C24" t="inlineStr">
        <is>
          <t>085380294167</t>
        </is>
      </c>
      <c r="D24" t="inlineStr">
        <is>
          <t>cv.gentinglagan@gmail.com</t>
        </is>
      </c>
      <c r="E24" t="inlineStr">
        <is>
          <t>https://lpjk.pu.go.id/search-badan-usaha-detail/cXdSYzVxWjA2SWljRENuMGNnZkNLdz09</t>
        </is>
      </c>
      <c r="F24" t="n">
        <v>3</v>
      </c>
      <c r="G24" t="inlineStr">
        <is>
          <t>BG005, BS002, BS004</t>
        </is>
      </c>
      <c r="H24" t="inlineStr">
        <is>
          <t>12 September 2017</t>
        </is>
      </c>
      <c r="I24" s="2" t="n">
        <v>46201</v>
      </c>
      <c r="J24" t="inlineStr">
        <is>
          <t>Disetujui</t>
        </is>
      </c>
      <c r="K24" t="n">
        <v>30</v>
      </c>
      <c r="L24" t="inlineStr">
        <is>
          <t>28 Juni 2026</t>
        </is>
      </c>
      <c r="M24" t="inlineStr">
        <is>
          <t>Bangunan Sipil Jembatan, Jalan Layang, Fly Over, dan Underpass, Konstruksi Gedung Kesehatan, Konstruksi Jaringan Irigasi dan Drainase</t>
        </is>
      </c>
      <c r="N24" t="inlineStr">
        <is>
          <t>K</t>
        </is>
      </c>
      <c r="O24" t="inlineStr">
        <is>
          <t>20230623</t>
        </is>
      </c>
      <c r="P24" t="inlineStr">
        <is>
          <t>Sumatera Selatan</t>
        </is>
      </c>
      <c r="Q24" t="inlineStr"/>
    </row>
    <row r="25">
      <c r="A25" t="inlineStr">
        <is>
          <t>HALIM SURO BOYO</t>
        </is>
      </c>
      <c r="B25" t="inlineStr">
        <is>
          <t>Kota Batam</t>
        </is>
      </c>
      <c r="C25" t="inlineStr">
        <is>
          <t>082125256929</t>
        </is>
      </c>
      <c r="D25" t="inlineStr">
        <is>
          <t>halimsuroboyo@gmail.com</t>
        </is>
      </c>
      <c r="E25" t="inlineStr">
        <is>
          <t>https://lpjk.pu.go.id/search-badan-usaha-detail/N3JlaEFublVJWlJPVWVwU2NmQUNNdz09</t>
        </is>
      </c>
      <c r="F25" t="n">
        <v>2</v>
      </c>
      <c r="G25" t="inlineStr">
        <is>
          <t>BG002, BG009</t>
        </is>
      </c>
      <c r="H25" t="inlineStr">
        <is>
          <t>2 November 2018</t>
        </is>
      </c>
      <c r="I25" s="2" t="n">
        <v>46201</v>
      </c>
      <c r="J25" t="inlineStr">
        <is>
          <t>Pencabutan</t>
        </is>
      </c>
      <c r="K25" t="n">
        <v>30</v>
      </c>
      <c r="L25" t="inlineStr">
        <is>
          <t>28 Juni 2026</t>
        </is>
      </c>
      <c r="M25" t="inlineStr">
        <is>
          <t>Konstruksi Gedung Lainnya, Konstruksi Gedung Perkantoran</t>
        </is>
      </c>
      <c r="N25" t="inlineStr">
        <is>
          <t>K</t>
        </is>
      </c>
      <c r="O25" t="inlineStr">
        <is>
          <t>20230628</t>
        </is>
      </c>
      <c r="P25" t="inlineStr">
        <is>
          <t>Kepulauan Riau</t>
        </is>
      </c>
      <c r="Q25" t="inlineStr"/>
    </row>
    <row r="26">
      <c r="A26" t="inlineStr">
        <is>
          <t>JASA REKAM MEDIS</t>
        </is>
      </c>
      <c r="B26" t="inlineStr">
        <is>
          <t>Kota Banda Aceh</t>
        </is>
      </c>
      <c r="C26" t="inlineStr">
        <is>
          <t>08116802040</t>
        </is>
      </c>
      <c r="D26" t="inlineStr">
        <is>
          <t>ptjasarekammedis@gmail.com</t>
        </is>
      </c>
      <c r="E26" t="inlineStr">
        <is>
          <t>https://lpjk.pu.go.id/search-badan-usaha-detail/MUp1SWZ6bFpRektlRDRRVnZPVDNwZz09</t>
        </is>
      </c>
      <c r="F26" t="n">
        <v>4</v>
      </c>
      <c r="G26" t="inlineStr">
        <is>
          <t>BG005, BG006, BG009, BS004</t>
        </is>
      </c>
      <c r="H26" t="inlineStr">
        <is>
          <t>10 Agustus 2022</t>
        </is>
      </c>
      <c r="I26" s="2" t="n">
        <v>46201</v>
      </c>
      <c r="J26" t="inlineStr">
        <is>
          <t>Disetujui</t>
        </is>
      </c>
      <c r="K26" t="n">
        <v>30</v>
      </c>
      <c r="L26" t="inlineStr">
        <is>
          <t>28 Juni 2026</t>
        </is>
      </c>
      <c r="M26" t="inlineStr">
        <is>
          <t>Konstruksi Gedung Kesehatan, Konstruksi Gedung Lainnya, Konstruksi Gedung Pendidikan, Konstruksi Jaringan Irigasi dan Drainase</t>
        </is>
      </c>
      <c r="N26" t="inlineStr">
        <is>
          <t>K</t>
        </is>
      </c>
      <c r="O26" t="inlineStr">
        <is>
          <t>20230622</t>
        </is>
      </c>
      <c r="P26" t="inlineStr">
        <is>
          <t>Aceh</t>
        </is>
      </c>
      <c r="Q26" t="inlineStr"/>
    </row>
    <row r="27">
      <c r="A27" t="inlineStr">
        <is>
          <t>KARYA HARAPAN CABANG LIMA</t>
        </is>
      </c>
      <c r="B27" t="inlineStr">
        <is>
          <t>Kab. Manggarai Timur</t>
        </is>
      </c>
      <c r="C27" t="inlineStr">
        <is>
          <t>082147198848</t>
        </is>
      </c>
      <c r="D27" t="inlineStr">
        <is>
          <t>cabanglimakaryaharapan@gmail.com</t>
        </is>
      </c>
      <c r="E27" t="inlineStr">
        <is>
          <t>https://lpjk.pu.go.id/search-badan-usaha-detail/MEMwOStId1BFcmlrSk1NbzY0OTBMUT09</t>
        </is>
      </c>
      <c r="F27" t="n">
        <v>1</v>
      </c>
      <c r="G27" t="inlineStr">
        <is>
          <t>BS001</t>
        </is>
      </c>
      <c r="H27" t="inlineStr">
        <is>
          <t>29 Mei 2023</t>
        </is>
      </c>
      <c r="I27" s="2" t="n">
        <v>46201</v>
      </c>
      <c r="J27" t="inlineStr">
        <is>
          <t>Pencabutan</t>
        </is>
      </c>
      <c r="K27" t="n">
        <v>30</v>
      </c>
      <c r="L27" t="inlineStr">
        <is>
          <t>28 Juni 2026</t>
        </is>
      </c>
      <c r="M27" t="inlineStr">
        <is>
          <t>Konstruksi Bangunan Sipil Jalan</t>
        </is>
      </c>
      <c r="N27" t="inlineStr">
        <is>
          <t>K</t>
        </is>
      </c>
      <c r="O27" t="inlineStr">
        <is>
          <t>20230628</t>
        </is>
      </c>
      <c r="P27" t="inlineStr">
        <is>
          <t>Nusa Tenggara Timur</t>
        </is>
      </c>
      <c r="Q27" t="inlineStr"/>
    </row>
    <row r="28">
      <c r="A28" t="inlineStr">
        <is>
          <t>KEDAUNG JAYA LESTARI</t>
        </is>
      </c>
      <c r="B28" t="inlineStr">
        <is>
          <t>Kab. Tangerang</t>
        </is>
      </c>
      <c r="C28" t="inlineStr">
        <is>
          <t>087771145991</t>
        </is>
      </c>
      <c r="D28" t="inlineStr">
        <is>
          <t>kedaungjayalestari@indaclub.org</t>
        </is>
      </c>
      <c r="E28" t="inlineStr">
        <is>
          <t>https://lpjk.pu.go.id/search-badan-usaha-detail/ZWZ6WkV5VjZqbnU4Z3F4cnFJaFNrQT09</t>
        </is>
      </c>
      <c r="F28" t="n">
        <v>10</v>
      </c>
      <c r="G28" t="inlineStr">
        <is>
          <t>BG009, BS001, BS002, BS004, PL005</t>
        </is>
      </c>
      <c r="H28" t="inlineStr">
        <is>
          <t>11 September 2015</t>
        </is>
      </c>
      <c r="I28" s="2" t="n">
        <v>46201</v>
      </c>
      <c r="J28" t="inlineStr">
        <is>
          <t>Disetujui, Pembekuan</t>
        </is>
      </c>
      <c r="K28" t="n">
        <v>30</v>
      </c>
      <c r="L28" t="inlineStr">
        <is>
          <t>28 Juni 2026</t>
        </is>
      </c>
      <c r="M28" t="inlineStr">
        <is>
          <t>Bangunan Sipil Jembatan, Jalan Layang, Fly Over, dan Underpass, Konstruksi Bangunan Sipil Jalan, Konstruksi Gedung Lainnya, Konstruksi Jaringan Irigasi dan Drainase, Pembuatan/Pengeboran Sumur Air Tanah</t>
        </is>
      </c>
      <c r="N28" t="inlineStr">
        <is>
          <t>K, Spesialis</t>
        </is>
      </c>
      <c r="O28" t="inlineStr">
        <is>
          <t>20230627</t>
        </is>
      </c>
      <c r="P28" t="inlineStr">
        <is>
          <t>Banten</t>
        </is>
      </c>
      <c r="Q28" t="inlineStr"/>
    </row>
    <row r="29">
      <c r="A29" t="inlineStr">
        <is>
          <t>KRISNA PUTRA BALI</t>
        </is>
      </c>
      <c r="B29" t="inlineStr">
        <is>
          <t>Kab. Buleleng</t>
        </is>
      </c>
      <c r="C29" t="inlineStr">
        <is>
          <t>082136621293</t>
        </is>
      </c>
      <c r="D29" t="inlineStr">
        <is>
          <t>kpb.aryagroup@gmail.com</t>
        </is>
      </c>
      <c r="E29" t="inlineStr">
        <is>
          <t>https://lpjk.pu.go.id/search-badan-usaha-detail/NGZkSGFwS3FaRzhHczhIaUZjZFNLdz09</t>
        </is>
      </c>
      <c r="F29" t="n">
        <v>1</v>
      </c>
      <c r="G29" t="inlineStr">
        <is>
          <t>BG001</t>
        </is>
      </c>
      <c r="H29" t="inlineStr">
        <is>
          <t>30 Oktober 1993</t>
        </is>
      </c>
      <c r="I29" s="2" t="n">
        <v>46201</v>
      </c>
      <c r="J29" t="inlineStr">
        <is>
          <t>Disetujui</t>
        </is>
      </c>
      <c r="K29" t="n">
        <v>30</v>
      </c>
      <c r="L29" t="inlineStr">
        <is>
          <t>28 Juni 2026</t>
        </is>
      </c>
      <c r="M29" t="inlineStr">
        <is>
          <t>Konstruksi Gedung Hunian</t>
        </is>
      </c>
      <c r="N29" t="inlineStr">
        <is>
          <t>K</t>
        </is>
      </c>
      <c r="O29" t="inlineStr">
        <is>
          <t>20230626</t>
        </is>
      </c>
      <c r="P29" t="inlineStr">
        <is>
          <t>Bali</t>
        </is>
      </c>
      <c r="Q29" t="inlineStr"/>
    </row>
    <row r="30">
      <c r="A30" t="inlineStr">
        <is>
          <t>LIMAS</t>
        </is>
      </c>
      <c r="B30" t="inlineStr">
        <is>
          <t>Kota Ternate</t>
        </is>
      </c>
      <c r="C30" t="inlineStr">
        <is>
          <t>081340859980</t>
        </is>
      </c>
      <c r="D30" t="inlineStr">
        <is>
          <t>limas_cv@yahoo.co.id</t>
        </is>
      </c>
      <c r="E30" t="inlineStr">
        <is>
          <t>https://lpjk.pu.go.id/search-badan-usaha-detail/RC9SdjJEbHpqQkluUXdCN2JEMDNMQT09</t>
        </is>
      </c>
      <c r="F30" t="n">
        <v>2</v>
      </c>
      <c r="G30" t="inlineStr">
        <is>
          <t>BS010</t>
        </is>
      </c>
      <c r="H30" t="inlineStr">
        <is>
          <t>20 Maret 2000</t>
        </is>
      </c>
      <c r="I30" s="2" t="n">
        <v>46201</v>
      </c>
      <c r="J30" t="inlineStr">
        <is>
          <t>Disetujui</t>
        </is>
      </c>
      <c r="K30" t="n">
        <v>30</v>
      </c>
      <c r="L30" t="inlineStr">
        <is>
          <t>28 Juni 2026</t>
        </is>
      </c>
      <c r="M30" t="inlineStr">
        <is>
          <t>Konstruksi Bangunan Prasarana Sumber Daya Air</t>
        </is>
      </c>
      <c r="N30" t="inlineStr">
        <is>
          <t>K</t>
        </is>
      </c>
      <c r="O30" t="inlineStr">
        <is>
          <t>20230625</t>
        </is>
      </c>
      <c r="P30" t="inlineStr">
        <is>
          <t>Maluku Utara</t>
        </is>
      </c>
      <c r="Q30" t="inlineStr"/>
    </row>
    <row r="31">
      <c r="A31" t="inlineStr">
        <is>
          <t>LINTAS MUARO</t>
        </is>
      </c>
      <c r="B31" t="inlineStr">
        <is>
          <t>Kab. Muaro Jambi</t>
        </is>
      </c>
      <c r="C31" t="inlineStr">
        <is>
          <t>081278046234</t>
        </is>
      </c>
      <c r="D31" t="inlineStr">
        <is>
          <t>cv.lintasmuaro@gmail.com</t>
        </is>
      </c>
      <c r="E31" t="inlineStr">
        <is>
          <t>https://lpjk.pu.go.id/search-badan-usaha-detail/Z2VQUFVpWGtadWg5NC8vY3lvUmlxZz09</t>
        </is>
      </c>
      <c r="F31" t="n">
        <v>1</v>
      </c>
      <c r="G31" t="inlineStr">
        <is>
          <t>BG002</t>
        </is>
      </c>
      <c r="H31" t="inlineStr">
        <is>
          <t>30 September 2010</t>
        </is>
      </c>
      <c r="I31" s="2" t="n">
        <v>46201</v>
      </c>
      <c r="J31" t="inlineStr">
        <is>
          <t>Disetujui</t>
        </is>
      </c>
      <c r="K31" t="n">
        <v>30</v>
      </c>
      <c r="L31" t="inlineStr">
        <is>
          <t>28 Juni 2026</t>
        </is>
      </c>
      <c r="M31" t="inlineStr">
        <is>
          <t>Konstruksi Gedung Perkantoran</t>
        </is>
      </c>
      <c r="N31" t="inlineStr">
        <is>
          <t>K</t>
        </is>
      </c>
      <c r="O31" t="inlineStr">
        <is>
          <t>20230626</t>
        </is>
      </c>
      <c r="P31" t="inlineStr">
        <is>
          <t>Jambi</t>
        </is>
      </c>
      <c r="Q31" t="inlineStr"/>
    </row>
    <row r="32">
      <c r="A32" t="inlineStr">
        <is>
          <t>LUTHFI MAJU BERSAMA</t>
        </is>
      </c>
      <c r="B32" t="inlineStr">
        <is>
          <t>Kab. Kutai Timur</t>
        </is>
      </c>
      <c r="C32" t="inlineStr">
        <is>
          <t>081350447056</t>
        </is>
      </c>
      <c r="D32" t="inlineStr">
        <is>
          <t>cvluthfimajubersama@gmail.com</t>
        </is>
      </c>
      <c r="E32" t="inlineStr">
        <is>
          <t>https://lpjk.pu.go.id/search-badan-usaha-detail/RGlNZ21oeWUvUDI0SGptODFoTmFOZz09</t>
        </is>
      </c>
      <c r="F32" t="n">
        <v>5</v>
      </c>
      <c r="G32" t="inlineStr">
        <is>
          <t>BG002, BG005, BG006, BS001, BS004</t>
        </is>
      </c>
      <c r="H32" t="inlineStr">
        <is>
          <t>25 Januari 2023</t>
        </is>
      </c>
      <c r="I32" s="2" t="n">
        <v>46201</v>
      </c>
      <c r="J32" t="inlineStr">
        <is>
          <t>Disetujui</t>
        </is>
      </c>
      <c r="K32" t="n">
        <v>30</v>
      </c>
      <c r="L32" t="inlineStr">
        <is>
          <t>28 Juni 2026</t>
        </is>
      </c>
      <c r="M32" t="inlineStr">
        <is>
          <t>Konstruksi Bangunan Sipil Jalan, Konstruksi Gedung Kesehatan, Konstruksi Gedung Pendidikan, Konstruksi Gedung Perkantoran, Konstruksi Jaringan Irigasi dan Drainase</t>
        </is>
      </c>
      <c r="N32" t="inlineStr">
        <is>
          <t>K</t>
        </is>
      </c>
      <c r="O32" t="inlineStr">
        <is>
          <t>20230524</t>
        </is>
      </c>
      <c r="P32" t="inlineStr">
        <is>
          <t>Kalimantan Timur</t>
        </is>
      </c>
      <c r="Q32" t="inlineStr"/>
    </row>
    <row r="33">
      <c r="A33" t="inlineStr">
        <is>
          <t>NOVILA</t>
        </is>
      </c>
      <c r="B33" t="inlineStr">
        <is>
          <t>Kab. Asahan</t>
        </is>
      </c>
      <c r="C33" t="inlineStr">
        <is>
          <t>085262557561</t>
        </is>
      </c>
      <c r="D33" t="inlineStr">
        <is>
          <t>CVNOVILA132@GMAIL.COM</t>
        </is>
      </c>
      <c r="E33" t="inlineStr">
        <is>
          <t>https://lpjk.pu.go.id/search-badan-usaha-detail/akZSd2U1L1laVzlnQWR0WFQ0bVVpdz09</t>
        </is>
      </c>
      <c r="F33" t="n">
        <v>1</v>
      </c>
      <c r="G33" t="inlineStr">
        <is>
          <t>BG006</t>
        </is>
      </c>
      <c r="H33" t="inlineStr">
        <is>
          <t>22 Januari 2002</t>
        </is>
      </c>
      <c r="I33" s="2" t="n">
        <v>46201</v>
      </c>
      <c r="J33" t="inlineStr">
        <is>
          <t>Disetujui</t>
        </is>
      </c>
      <c r="K33" t="n">
        <v>30</v>
      </c>
      <c r="L33" t="inlineStr">
        <is>
          <t>28 Juni 2026</t>
        </is>
      </c>
      <c r="M33" t="inlineStr">
        <is>
          <t>Konstruksi Gedung Pendidikan</t>
        </is>
      </c>
      <c r="N33" t="inlineStr">
        <is>
          <t>K</t>
        </is>
      </c>
      <c r="O33" t="inlineStr">
        <is>
          <t>20230626</t>
        </is>
      </c>
      <c r="P33" t="inlineStr">
        <is>
          <t>Sumatera Utara</t>
        </is>
      </c>
      <c r="Q33" t="inlineStr"/>
    </row>
    <row r="34">
      <c r="A34" t="inlineStr">
        <is>
          <t>NUANSA JAYA PERKASA</t>
        </is>
      </c>
      <c r="B34" t="inlineStr">
        <is>
          <t>Kota Adm. Jakarta Barat</t>
        </is>
      </c>
      <c r="C34" t="inlineStr">
        <is>
          <t>02154355884</t>
        </is>
      </c>
      <c r="D34" t="inlineStr">
        <is>
          <t>nuansajayaperkasa@gmail.com</t>
        </is>
      </c>
      <c r="E34" t="inlineStr">
        <is>
          <t>https://lpjk.pu.go.id/search-badan-usaha-detail/dXJYanhWeXdMTmZBWFJuRVRjMGdvQT09</t>
        </is>
      </c>
      <c r="F34" t="n">
        <v>1</v>
      </c>
      <c r="G34" t="inlineStr">
        <is>
          <t>BG003</t>
        </is>
      </c>
      <c r="H34" t="inlineStr">
        <is>
          <t>7 Desember 2018</t>
        </is>
      </c>
      <c r="I34" s="2" t="n">
        <v>46201</v>
      </c>
      <c r="J34" t="inlineStr">
        <is>
          <t>Pembekuan</t>
        </is>
      </c>
      <c r="K34" t="n">
        <v>30</v>
      </c>
      <c r="L34" t="inlineStr">
        <is>
          <t>28 Juni 2026</t>
        </is>
      </c>
      <c r="M34" t="inlineStr">
        <is>
          <t>Konstruksi Gedung Industri</t>
        </is>
      </c>
      <c r="N34" t="inlineStr">
        <is>
          <t>K</t>
        </is>
      </c>
      <c r="O34" t="inlineStr">
        <is>
          <t>20230627</t>
        </is>
      </c>
      <c r="P34" t="inlineStr">
        <is>
          <t>DKI Jakarta</t>
        </is>
      </c>
      <c r="Q34" t="inlineStr"/>
    </row>
    <row r="35">
      <c r="A35" t="inlineStr">
        <is>
          <t>RAHMAT REZEKI</t>
        </is>
      </c>
      <c r="B35" t="inlineStr">
        <is>
          <t>Kab. Humbang Hasundutan</t>
        </is>
      </c>
      <c r="C35" t="inlineStr">
        <is>
          <t>081260576568</t>
        </is>
      </c>
      <c r="D35" t="inlineStr">
        <is>
          <t>rezekirahmat12@gmail.com</t>
        </is>
      </c>
      <c r="E35" t="inlineStr">
        <is>
          <t>https://lpjk.pu.go.id/search-badan-usaha-detail/Ry9IbmlmQ0J5OExuVFNCclN2MlNCdz09</t>
        </is>
      </c>
      <c r="F35" t="n">
        <v>2</v>
      </c>
      <c r="G35" t="inlineStr">
        <is>
          <t>BG006</t>
        </is>
      </c>
      <c r="H35" t="inlineStr">
        <is>
          <t>17 Februari 2021</t>
        </is>
      </c>
      <c r="I35" s="2" t="n">
        <v>46201</v>
      </c>
      <c r="J35" t="inlineStr">
        <is>
          <t>Pencabutan</t>
        </is>
      </c>
      <c r="K35" t="n">
        <v>30</v>
      </c>
      <c r="L35" t="inlineStr">
        <is>
          <t>28 Juni 2026</t>
        </is>
      </c>
      <c r="M35" t="inlineStr">
        <is>
          <t>Konstruksi Gedung Pendidikan</t>
        </is>
      </c>
      <c r="N35" t="inlineStr">
        <is>
          <t>K</t>
        </is>
      </c>
      <c r="O35" t="inlineStr">
        <is>
          <t>20230628</t>
        </is>
      </c>
      <c r="P35" t="inlineStr">
        <is>
          <t>Sumatera Utara</t>
        </is>
      </c>
      <c r="Q35" t="inlineStr"/>
    </row>
    <row r="36">
      <c r="A36" t="inlineStr">
        <is>
          <t>SARANA CIPTA NUSANTARA</t>
        </is>
      </c>
      <c r="B36" t="inlineStr">
        <is>
          <t>Kab. Konawe Utara</t>
        </is>
      </c>
      <c r="C36" t="inlineStr">
        <is>
          <t>085330108135</t>
        </is>
      </c>
      <c r="D36" t="inlineStr">
        <is>
          <t>saranaciptan@gmail.com</t>
        </is>
      </c>
      <c r="E36" t="inlineStr">
        <is>
          <t>https://lpjk.pu.go.id/search-badan-usaha-detail/eWQwU2xtSzBUbGQwSEZCSnhsL0NFZz09</t>
        </is>
      </c>
      <c r="F36" t="n">
        <v>1</v>
      </c>
      <c r="G36" t="inlineStr">
        <is>
          <t>BG002</t>
        </is>
      </c>
      <c r="H36" t="inlineStr">
        <is>
          <t>29 April 2025</t>
        </is>
      </c>
      <c r="I36" s="2" t="n">
        <v>46201</v>
      </c>
      <c r="J36" t="inlineStr">
        <is>
          <t>Disetujui</t>
        </is>
      </c>
      <c r="K36" t="n">
        <v>30</v>
      </c>
      <c r="L36" t="inlineStr">
        <is>
          <t>28 Juni 2026</t>
        </is>
      </c>
      <c r="M36" t="inlineStr">
        <is>
          <t>Konstruksi Gedung Perkantoran</t>
        </is>
      </c>
      <c r="N36" t="inlineStr">
        <is>
          <t>K</t>
        </is>
      </c>
      <c r="O36" t="inlineStr">
        <is>
          <t>20230626</t>
        </is>
      </c>
      <c r="P36" t="inlineStr">
        <is>
          <t>Sulawesi Tenggara</t>
        </is>
      </c>
      <c r="Q36" t="inlineStr"/>
    </row>
    <row r="37">
      <c r="A37" t="inlineStr">
        <is>
          <t>SARI</t>
        </is>
      </c>
      <c r="B37" t="inlineStr">
        <is>
          <t>Kab. Kendal</t>
        </is>
      </c>
      <c r="C37" t="inlineStr">
        <is>
          <t>087747882873</t>
        </is>
      </c>
      <c r="D37" t="inlineStr">
        <is>
          <t>cvsarikendal@gmail.com</t>
        </is>
      </c>
      <c r="E37" t="inlineStr">
        <is>
          <t>https://lpjk.pu.go.id/search-badan-usaha-detail/UlBzUlFiSUpJN0daMVBvWWRGZEJxdz09</t>
        </is>
      </c>
      <c r="F37" t="n">
        <v>3</v>
      </c>
      <c r="G37" t="inlineStr">
        <is>
          <t>BG002, BG006, BS001</t>
        </is>
      </c>
      <c r="H37" t="inlineStr">
        <is>
          <t>13 Februari 2012</t>
        </is>
      </c>
      <c r="I37" s="2" t="n">
        <v>46201</v>
      </c>
      <c r="J37" t="inlineStr">
        <is>
          <t>Disetujui</t>
        </is>
      </c>
      <c r="K37" t="n">
        <v>30</v>
      </c>
      <c r="L37" t="inlineStr">
        <is>
          <t>28 Juni 2026</t>
        </is>
      </c>
      <c r="M37" t="inlineStr">
        <is>
          <t>Konstruksi Bangunan Sipil Jalan, Konstruksi Gedung Pendidikan, Konstruksi Gedung Perkantoran</t>
        </is>
      </c>
      <c r="N37" t="inlineStr">
        <is>
          <t>K</t>
        </is>
      </c>
      <c r="O37" t="inlineStr">
        <is>
          <t>20220816, 20230621, 20230623</t>
        </is>
      </c>
      <c r="P37" t="inlineStr">
        <is>
          <t>Jawa Tengah</t>
        </is>
      </c>
      <c r="Q37" t="inlineStr"/>
    </row>
    <row r="38">
      <c r="A38" t="inlineStr">
        <is>
          <t>SHAKY JAYA GROUP</t>
        </is>
      </c>
      <c r="B38" t="inlineStr">
        <is>
          <t>Kota Lhokseumawe</t>
        </is>
      </c>
      <c r="C38" t="inlineStr">
        <is>
          <t>085260332261</t>
        </is>
      </c>
      <c r="D38" t="inlineStr">
        <is>
          <t>shakyjayagroup@gmail.com</t>
        </is>
      </c>
      <c r="E38" t="inlineStr">
        <is>
          <t>https://lpjk.pu.go.id/search-badan-usaha-detail/dFhXRHpsZitwNHJ5Vmw0ZERDU2I0dz09</t>
        </is>
      </c>
      <c r="F38" t="n">
        <v>1</v>
      </c>
      <c r="G38" t="inlineStr">
        <is>
          <t>BS001</t>
        </is>
      </c>
      <c r="H38" t="inlineStr">
        <is>
          <t>13 Januari 2020</t>
        </is>
      </c>
      <c r="I38" s="2" t="n">
        <v>46201</v>
      </c>
      <c r="J38" t="inlineStr">
        <is>
          <t>Disetujui</t>
        </is>
      </c>
      <c r="K38" t="n">
        <v>30</v>
      </c>
      <c r="L38" t="inlineStr">
        <is>
          <t>28 Juni 2026</t>
        </is>
      </c>
      <c r="M38" t="inlineStr">
        <is>
          <t>Konstruksi Bangunan Sipil Jalan</t>
        </is>
      </c>
      <c r="N38" t="inlineStr">
        <is>
          <t>K</t>
        </is>
      </c>
      <c r="O38" t="inlineStr">
        <is>
          <t>20230627</t>
        </is>
      </c>
      <c r="P38" t="inlineStr">
        <is>
          <t>Aceh</t>
        </is>
      </c>
      <c r="Q38" t="inlineStr"/>
    </row>
    <row r="39">
      <c r="A39" t="inlineStr">
        <is>
          <t>SITUJUH MANDIRI</t>
        </is>
      </c>
      <c r="B39" t="inlineStr">
        <is>
          <t>Kota Jambi</t>
        </is>
      </c>
      <c r="C39" t="inlineStr">
        <is>
          <t>081271542365</t>
        </is>
      </c>
      <c r="D39" t="inlineStr">
        <is>
          <t>c7mandiri@gmail.com</t>
        </is>
      </c>
      <c r="E39" t="inlineStr">
        <is>
          <t>https://lpjk.pu.go.id/search-badan-usaha-detail/NGRxUU1HMTdFdE1JTkx6SERISktWdz09</t>
        </is>
      </c>
      <c r="F39" t="n">
        <v>1</v>
      </c>
      <c r="G39" t="inlineStr">
        <is>
          <t>BS001</t>
        </is>
      </c>
      <c r="H39" t="inlineStr">
        <is>
          <t>22 Juni 2012</t>
        </is>
      </c>
      <c r="I39" s="2" t="n">
        <v>46201</v>
      </c>
      <c r="J39" t="inlineStr">
        <is>
          <t>Pencabutan</t>
        </is>
      </c>
      <c r="K39" t="n">
        <v>30</v>
      </c>
      <c r="L39" t="inlineStr">
        <is>
          <t>28 Juni 2026</t>
        </is>
      </c>
      <c r="M39" t="inlineStr">
        <is>
          <t>Konstruksi Bangunan Sipil Jalan</t>
        </is>
      </c>
      <c r="N39" t="inlineStr">
        <is>
          <t>K</t>
        </is>
      </c>
      <c r="O39" t="inlineStr">
        <is>
          <t>20230623</t>
        </is>
      </c>
      <c r="P39" t="inlineStr">
        <is>
          <t>Jambi</t>
        </is>
      </c>
      <c r="Q39" t="inlineStr"/>
    </row>
    <row r="40">
      <c r="A40" t="inlineStr">
        <is>
          <t>TATA BANGUN KONSTRUKSI</t>
        </is>
      </c>
      <c r="B40" t="inlineStr">
        <is>
          <t>Kota Palangkaraya</t>
        </is>
      </c>
      <c r="C40" t="inlineStr">
        <is>
          <t>081349001444</t>
        </is>
      </c>
      <c r="D40" t="inlineStr">
        <is>
          <t>cv.tatabangunplk@gmail.com</t>
        </is>
      </c>
      <c r="E40" t="inlineStr">
        <is>
          <t>https://lpjk.pu.go.id/search-badan-usaha-detail/ZFhCRjI5YVVkbGxTQ2lCRE5EWnVJQT09</t>
        </is>
      </c>
      <c r="F40" t="n">
        <v>1</v>
      </c>
      <c r="G40" t="inlineStr">
        <is>
          <t>BG009</t>
        </is>
      </c>
      <c r="H40" t="inlineStr">
        <is>
          <t>28 Desember 2017</t>
        </is>
      </c>
      <c r="I40" s="2" t="n">
        <v>46201</v>
      </c>
      <c r="J40" t="inlineStr">
        <is>
          <t>Disetujui</t>
        </is>
      </c>
      <c r="K40" t="n">
        <v>30</v>
      </c>
      <c r="L40" t="inlineStr">
        <is>
          <t>28 Juni 2026</t>
        </is>
      </c>
      <c r="M40" t="inlineStr">
        <is>
          <t>Konstruksi Gedung Lainnya</t>
        </is>
      </c>
      <c r="N40" t="inlineStr">
        <is>
          <t>K</t>
        </is>
      </c>
      <c r="O40" t="inlineStr">
        <is>
          <t>20230625</t>
        </is>
      </c>
      <c r="P40" t="inlineStr">
        <is>
          <t>Kalimantan Tengah</t>
        </is>
      </c>
      <c r="Q40" t="inlineStr"/>
    </row>
    <row r="41">
      <c r="A41" t="inlineStr">
        <is>
          <t>TATA BERLIAN NUSANTARA</t>
        </is>
      </c>
      <c r="B41" t="inlineStr">
        <is>
          <t>Kab. Tuban</t>
        </is>
      </c>
      <c r="C41" t="inlineStr">
        <is>
          <t>081357140116</t>
        </is>
      </c>
      <c r="D41" t="inlineStr">
        <is>
          <t>kns.indonesia@gmail.com</t>
        </is>
      </c>
      <c r="E41" t="inlineStr">
        <is>
          <t>https://lpjk.pu.go.id/search-badan-usaha-detail/WE9jd0M5L04yTEJSUU5rN3E3UTA4QT09</t>
        </is>
      </c>
      <c r="F41" t="n">
        <v>1</v>
      </c>
      <c r="G41" t="inlineStr">
        <is>
          <t>BG009</t>
        </is>
      </c>
      <c r="H41" t="inlineStr">
        <is>
          <t>31 Januari 2017</t>
        </is>
      </c>
      <c r="I41" s="2" t="n">
        <v>46201</v>
      </c>
      <c r="J41" t="inlineStr">
        <is>
          <t>Disetujui</t>
        </is>
      </c>
      <c r="K41" t="n">
        <v>30</v>
      </c>
      <c r="L41" t="inlineStr">
        <is>
          <t>28 Juni 2026</t>
        </is>
      </c>
      <c r="M41" t="inlineStr">
        <is>
          <t>Konstruksi Gedung Lainnya</t>
        </is>
      </c>
      <c r="N41" t="inlineStr">
        <is>
          <t>K</t>
        </is>
      </c>
      <c r="O41" t="inlineStr">
        <is>
          <t>20230622</t>
        </is>
      </c>
      <c r="P41" t="inlineStr">
        <is>
          <t>Jawa Timur</t>
        </is>
      </c>
      <c r="Q41" t="inlineStr"/>
    </row>
    <row r="42">
      <c r="A42" t="inlineStr">
        <is>
          <t>TIGA POINTS JAYA KARYA</t>
        </is>
      </c>
      <c r="B42" t="inlineStr">
        <is>
          <t>Kota Surabaya</t>
        </is>
      </c>
      <c r="C42" t="inlineStr">
        <is>
          <t>085954967111</t>
        </is>
      </c>
      <c r="D42" t="inlineStr">
        <is>
          <t>tigapointsjayakarya.cv@gmail.com</t>
        </is>
      </c>
      <c r="E42" t="inlineStr">
        <is>
          <t>https://lpjk.pu.go.id/search-badan-usaha-detail/Rm5Na3VNYk01M0VYYVNRWjJIWll6Zz09</t>
        </is>
      </c>
      <c r="F42" t="n">
        <v>1</v>
      </c>
      <c r="G42" t="inlineStr">
        <is>
          <t>KP002</t>
        </is>
      </c>
      <c r="H42" t="inlineStr">
        <is>
          <t>22 Januari 2021</t>
        </is>
      </c>
      <c r="I42" s="2" t="n">
        <v>46201</v>
      </c>
      <c r="J42" t="inlineStr">
        <is>
          <t>Disetujui</t>
        </is>
      </c>
      <c r="K42" t="n">
        <v>30</v>
      </c>
      <c r="L42" t="inlineStr">
        <is>
          <t>28 Juni 2026</t>
        </is>
      </c>
      <c r="M42" t="inlineStr">
        <is>
          <t>Pekerjaan Konstruksi Prapabrikasi Bangunan Sipil</t>
        </is>
      </c>
      <c r="N42" t="inlineStr">
        <is>
          <t>Spesialis</t>
        </is>
      </c>
      <c r="O42" t="inlineStr">
        <is>
          <t>20230626</t>
        </is>
      </c>
      <c r="P42" t="inlineStr">
        <is>
          <t>Jawa Timur</t>
        </is>
      </c>
      <c r="Q42" t="inlineStr"/>
    </row>
    <row r="43">
      <c r="A43" t="inlineStr">
        <is>
          <t>WANHA</t>
        </is>
      </c>
      <c r="B43" t="inlineStr">
        <is>
          <t>Kab. Garut</t>
        </is>
      </c>
      <c r="C43" t="inlineStr">
        <is>
          <t>085351071360</t>
        </is>
      </c>
      <c r="D43" t="inlineStr">
        <is>
          <t>cvwanha@gmail.com</t>
        </is>
      </c>
      <c r="E43" t="inlineStr">
        <is>
          <t>https://lpjk.pu.go.id/search-badan-usaha-detail/YUVaREhCR1dtNmFJdWxCaVU1YVdKZz09</t>
        </is>
      </c>
      <c r="F43" t="n">
        <v>1</v>
      </c>
      <c r="G43" t="inlineStr">
        <is>
          <t>BG006</t>
        </is>
      </c>
      <c r="H43" t="inlineStr">
        <is>
          <t>30 Oktober 2019</t>
        </is>
      </c>
      <c r="I43" s="2" t="n">
        <v>46201</v>
      </c>
      <c r="J43" t="inlineStr">
        <is>
          <t>Disetujui</t>
        </is>
      </c>
      <c r="K43" t="n">
        <v>30</v>
      </c>
      <c r="L43" t="inlineStr">
        <is>
          <t>28 Juni 2026</t>
        </is>
      </c>
      <c r="M43" t="inlineStr">
        <is>
          <t>Konstruksi Gedung Pendidikan</t>
        </is>
      </c>
      <c r="N43" t="inlineStr">
        <is>
          <t>K</t>
        </is>
      </c>
      <c r="O43" t="inlineStr">
        <is>
          <t>20230622</t>
        </is>
      </c>
      <c r="P43" t="inlineStr">
        <is>
          <t>Jawa Barat</t>
        </is>
      </c>
      <c r="Q43" t="inlineStr"/>
    </row>
    <row r="44">
      <c r="A44" t="inlineStr">
        <is>
          <t>WIJAYA CIPTA MANDIRI</t>
        </is>
      </c>
      <c r="B44" t="inlineStr">
        <is>
          <t>Kota Samarinda</t>
        </is>
      </c>
      <c r="C44" t="inlineStr">
        <is>
          <t>0811581404</t>
        </is>
      </c>
      <c r="D44" t="inlineStr">
        <is>
          <t>wijayacipta.mandiri@gmail.com</t>
        </is>
      </c>
      <c r="E44" t="inlineStr">
        <is>
          <t>https://lpjk.pu.go.id/search-badan-usaha-detail/T1duUUY3akZWTEhac3IweVMzb2daZz09</t>
        </is>
      </c>
      <c r="F44" t="n">
        <v>4</v>
      </c>
      <c r="G44" t="inlineStr">
        <is>
          <t>BS001, BS005</t>
        </is>
      </c>
      <c r="H44" t="inlineStr">
        <is>
          <t>9 Juni 2011</t>
        </is>
      </c>
      <c r="I44" s="2" t="n">
        <v>46201</v>
      </c>
      <c r="J44" t="inlineStr">
        <is>
          <t>Disetujui</t>
        </is>
      </c>
      <c r="K44" t="n">
        <v>30</v>
      </c>
      <c r="L44" t="inlineStr">
        <is>
          <t>28 Juni 2026</t>
        </is>
      </c>
      <c r="M44" t="inlineStr">
        <is>
          <t>Konstruksi Bangunan Sipil Jalan, Konstruksi Bangunan Sipil Pengolahan Air Bersih</t>
        </is>
      </c>
      <c r="N44" t="inlineStr">
        <is>
          <t>K</t>
        </is>
      </c>
      <c r="O44" t="inlineStr">
        <is>
          <t>20230626</t>
        </is>
      </c>
      <c r="P44" t="inlineStr">
        <is>
          <t>Kalimantan Timur</t>
        </is>
      </c>
      <c r="Q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2026-05-29T02:20:08Z</dcterms:created>
  <dcterms:modified xsi:type="dcterms:W3CDTF">2026-05-29T02:20:08Z</dcterms:modified>
</cp:coreProperties>
</file>