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
  <sheetViews>
    <sheetView workbookViewId="0">
      <selection activeCell="A1" sqref="A1"/>
    </sheetView>
  </sheetViews>
  <sheetFormatPr baseColWidth="8" defaultRowHeight="15"/>
  <cols>
    <col width="17" customWidth="1" min="1" max="1"/>
    <col width="16" customWidth="1" min="2" max="2"/>
    <col width="9" customWidth="1" min="3" max="3"/>
    <col width="7" customWidth="1" min="4" max="4"/>
    <col width="6" customWidth="1" min="5" max="5"/>
    <col width="18" customWidth="1" min="6" max="6"/>
    <col width="21" customWidth="1" min="7" max="7"/>
    <col width="20" customWidth="1" min="8" max="8"/>
    <col width="28" customWidth="1" min="9" max="9"/>
    <col width="8" customWidth="1" min="10" max="10"/>
    <col width="11" customWidth="1" min="11" max="11"/>
    <col width="17" customWidth="1" min="12" max="12"/>
    <col width="16" customWidth="1" min="13" max="13"/>
    <col width="13" customWidth="1" min="14" max="14"/>
    <col width="19" customWidth="1" min="15" max="15"/>
    <col width="10" customWidth="1" min="16" max="16"/>
    <col width="15"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cols>
    <col width="29" customWidth="1" min="1" max="1"/>
    <col width="26" customWidth="1" min="2" max="2"/>
    <col width="19" customWidth="1" min="3" max="3"/>
    <col width="39" customWidth="1" min="4" max="4"/>
    <col width="50" customWidth="1" min="5" max="5"/>
    <col width="18" customWidth="1" min="6" max="6"/>
    <col width="35"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20" customWidth="1" min="15" max="15"/>
    <col width="20"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KUADRAN SOLUSINDO MANDIRI</t>
        </is>
      </c>
      <c r="B2" t="inlineStr">
        <is>
          <t>Kota Depok</t>
        </is>
      </c>
      <c r="C2" t="inlineStr">
        <is>
          <t>082312807988</t>
        </is>
      </c>
      <c r="D2" t="inlineStr">
        <is>
          <t>kuadransolusindomandiri@gmail.com</t>
        </is>
      </c>
      <c r="E2" t="inlineStr">
        <is>
          <t>https://lpjk.pu.go.id/search-badan-usaha-detail/Vzc5QmtIT3hmcTVFeUxwc1czbkVKZz09</t>
        </is>
      </c>
      <c r="F2" t="n">
        <v>2</v>
      </c>
      <c r="G2" t="inlineStr">
        <is>
          <t>BG001, BG009</t>
        </is>
      </c>
      <c r="H2" t="inlineStr">
        <is>
          <t>10 Desember 2021</t>
        </is>
      </c>
      <c r="I2" s="2" t="n">
        <v>46225</v>
      </c>
      <c r="J2" t="inlineStr">
        <is>
          <t>Disetujui</t>
        </is>
      </c>
      <c r="K2" t="n">
        <v>60</v>
      </c>
      <c r="L2" t="inlineStr">
        <is>
          <t>22 Juli 2026</t>
        </is>
      </c>
      <c r="M2" t="inlineStr">
        <is>
          <t>Konstruksi Gedung Hunian, Konstruksi Gedung Lainnya</t>
        </is>
      </c>
      <c r="N2" t="inlineStr">
        <is>
          <t>K</t>
        </is>
      </c>
      <c r="O2" t="inlineStr">
        <is>
          <t>20230720</t>
        </is>
      </c>
      <c r="P2" t="inlineStr">
        <is>
          <t>Jawa Barat</t>
        </is>
      </c>
      <c r="Q2" s="3">
        <f>HYPERLINK("https://wa.me/6282312807988?text=*[PENGINGAT MASA BERLAKU SBU KUADRAN SOLUSINDO MANDIRI]*%0A%0AYth. Pimpinan KUADRAN SOLUSINDO MANDIRI,%0AMohon izin menginformasikan status SBU Anda di sistem LPJK:%0A%0A📄 SBU: BG001, BG009%0A📅 Expired: 22 Juli 2026 (60 Hari Lagi)%0A%0AKami tim PT. ESDEA Assistance Management siap men-support proses perpanjangan segera.", "Hubungi")</f>
        <v/>
      </c>
    </row>
    <row r="3">
      <c r="A3" t="inlineStr">
        <is>
          <t>MENARA TRI PUTRI</t>
        </is>
      </c>
      <c r="B3" t="inlineStr">
        <is>
          <t>Kab. Bogor</t>
        </is>
      </c>
      <c r="C3" t="inlineStr">
        <is>
          <t>085659621196</t>
        </is>
      </c>
      <c r="D3" t="inlineStr">
        <is>
          <t>menaratriputri@gmail.com</t>
        </is>
      </c>
      <c r="E3" t="inlineStr">
        <is>
          <t>https://lpjk.pu.go.id/search-badan-usaha-detail/YmkvU0t6N3locE0wWVh4SExSZ0R3QT09</t>
        </is>
      </c>
      <c r="F3" t="n">
        <v>3</v>
      </c>
      <c r="G3" t="inlineStr">
        <is>
          <t>BG006, BS001, BS004</t>
        </is>
      </c>
      <c r="H3" t="inlineStr">
        <is>
          <t>16 Desember 2009</t>
        </is>
      </c>
      <c r="I3" s="2" t="n">
        <v>46225</v>
      </c>
      <c r="J3" t="inlineStr">
        <is>
          <t>Disetujui</t>
        </is>
      </c>
      <c r="K3" t="n">
        <v>60</v>
      </c>
      <c r="L3" t="inlineStr">
        <is>
          <t>22 Juli 2026</t>
        </is>
      </c>
      <c r="M3" t="inlineStr">
        <is>
          <t>Konstruksi Bangunan Sipil Jalan, Konstruksi Gedung Pendidikan, Konstruksi Jaringan Irigasi dan Drainase</t>
        </is>
      </c>
      <c r="N3" t="inlineStr">
        <is>
          <t>K</t>
        </is>
      </c>
      <c r="O3" t="inlineStr">
        <is>
          <t>20230712</t>
        </is>
      </c>
      <c r="P3" t="inlineStr">
        <is>
          <t>Jawa Barat</t>
        </is>
      </c>
      <c r="Q3" s="3">
        <f>HYPERLINK("https://wa.me/6285659621196?text=*[PENGINGAT MASA BERLAKU SBU MENARA TRI PUTRI]*%0A%0AYth. Pimpinan MENARA TRI PUTRI,%0AMohon izin menginformasikan status SBU Anda di sistem LPJK:%0A%0A📄 SBU: BG006, BS001, BS004%0A📅 Expired: 22 Juli 2026 (60 Hari Lagi)%0A%0AKami tim PT. ESDEA Assistance Management siap men-support proses perpanjangan segera.", "Hubungi")</f>
        <v/>
      </c>
    </row>
    <row r="4">
      <c r="A4" t="inlineStr">
        <is>
          <t>PANGRIPTA BANGUN SELARAS</t>
        </is>
      </c>
      <c r="B4" t="inlineStr">
        <is>
          <t>Kab. Bekasi</t>
        </is>
      </c>
      <c r="C4" t="inlineStr">
        <is>
          <t>0</t>
        </is>
      </c>
      <c r="D4" t="inlineStr">
        <is>
          <t>ir.jazuliharis@yahoo.com</t>
        </is>
      </c>
      <c r="E4" t="inlineStr">
        <is>
          <t>https://lpjk.pu.go.id/search-badan-usaha-detail/aDZYYWNLczRkZG9HQjRvcmI0TXRrQT09</t>
        </is>
      </c>
      <c r="F4" t="n">
        <v>1</v>
      </c>
      <c r="G4" t="inlineStr">
        <is>
          <t>BG009</t>
        </is>
      </c>
      <c r="H4" t="inlineStr">
        <is>
          <t>12 Maret 2003</t>
        </is>
      </c>
      <c r="I4" s="2" t="n">
        <v>46225</v>
      </c>
      <c r="J4" t="inlineStr">
        <is>
          <t>Disetujui</t>
        </is>
      </c>
      <c r="K4" t="n">
        <v>60</v>
      </c>
      <c r="L4" t="inlineStr">
        <is>
          <t>22 Juli 2026</t>
        </is>
      </c>
      <c r="M4" t="inlineStr">
        <is>
          <t>Konstruksi Gedung Lainnya</t>
        </is>
      </c>
      <c r="N4" t="inlineStr">
        <is>
          <t>K</t>
        </is>
      </c>
      <c r="O4" t="inlineStr">
        <is>
          <t>20230722</t>
        </is>
      </c>
      <c r="P4" t="inlineStr">
        <is>
          <t>Jawa Barat</t>
        </is>
      </c>
      <c r="Q4" s="3">
        <f>HYPERLINK("https://wa.me/62?text=*[PENGINGAT MASA BERLAKU SBU PANGRIPTA BANGUN SELARAS]*%0A%0AYth. Pimpinan PANGRIPTA BANGUN SELARAS,%0AMohon izin menginformasikan status SBU Anda di sistem LPJK:%0A%0A📄 SBU: BG009%0A📅 Expired: 22 Juli 2026 (60 Hari Lagi)%0A%0AKami tim PT. ESDEA Assistance Management siap men-support proses perpanjangan segera.", "Hubungi")</f>
        <v/>
      </c>
    </row>
    <row r="5">
      <c r="A5" t="inlineStr">
        <is>
          <t>ABDAN GROUP</t>
        </is>
      </c>
      <c r="B5" t="inlineStr">
        <is>
          <t>Kab. Kapuas</t>
        </is>
      </c>
      <c r="C5" t="inlineStr">
        <is>
          <t>083866502421</t>
        </is>
      </c>
      <c r="D5" t="inlineStr">
        <is>
          <t>cvabdangroup696@gmail.com</t>
        </is>
      </c>
      <c r="E5" t="inlineStr">
        <is>
          <t>https://lpjk.pu.go.id/search-badan-usaha-detail/ZE9iOHc5WlVwUkRsaWo4cldObnluZz09</t>
        </is>
      </c>
      <c r="F5" t="n">
        <v>2</v>
      </c>
      <c r="G5" t="inlineStr">
        <is>
          <t>BG009, BS001</t>
        </is>
      </c>
      <c r="H5" t="inlineStr">
        <is>
          <t>15 Maret 2023</t>
        </is>
      </c>
      <c r="I5" s="2" t="n">
        <v>46225</v>
      </c>
      <c r="J5" t="inlineStr">
        <is>
          <t>Disetujui</t>
        </is>
      </c>
      <c r="K5" t="n">
        <v>60</v>
      </c>
      <c r="L5" t="inlineStr">
        <is>
          <t>22 Juli 2026</t>
        </is>
      </c>
      <c r="M5" t="inlineStr">
        <is>
          <t>Konstruksi Bangunan Sipil Jalan, Konstruksi Gedung Lainnya</t>
        </is>
      </c>
      <c r="N5" t="inlineStr">
        <is>
          <t>K</t>
        </is>
      </c>
      <c r="O5" t="inlineStr">
        <is>
          <t>20230427, 20230717</t>
        </is>
      </c>
      <c r="P5" t="inlineStr">
        <is>
          <t>Kalimantan Tengah</t>
        </is>
      </c>
      <c r="Q5" t="inlineStr"/>
    </row>
    <row r="6">
      <c r="A6" t="inlineStr">
        <is>
          <t>ARUMBAI</t>
        </is>
      </c>
      <c r="B6" t="inlineStr">
        <is>
          <t>Kota Ambon</t>
        </is>
      </c>
      <c r="C6" t="inlineStr">
        <is>
          <t>082248063545</t>
        </is>
      </c>
      <c r="D6" t="inlineStr">
        <is>
          <t>cv.arumbai1973@gmail.com</t>
        </is>
      </c>
      <c r="E6" t="inlineStr">
        <is>
          <t>https://lpjk.pu.go.id/search-badan-usaha-detail/b0xwTlhhdUtnQXhoTDZrOTEwQzVyQT09</t>
        </is>
      </c>
      <c r="F6" t="n">
        <v>4</v>
      </c>
      <c r="G6" t="inlineStr">
        <is>
          <t>BG002, BS001, BS002, BS004</t>
        </is>
      </c>
      <c r="H6" t="inlineStr">
        <is>
          <t>28 Juli 2004</t>
        </is>
      </c>
      <c r="I6" s="2" t="n">
        <v>46225</v>
      </c>
      <c r="J6" t="inlineStr">
        <is>
          <t>Disetujui</t>
        </is>
      </c>
      <c r="K6" t="n">
        <v>60</v>
      </c>
      <c r="L6" t="inlineStr">
        <is>
          <t>22 Juli 2026</t>
        </is>
      </c>
      <c r="M6" t="inlineStr">
        <is>
          <t>Bangunan Sipil Jembatan, Jalan Layang, Fly Over, dan Underpass, Konstruksi Bangunan Sipil Jalan, Konstruksi Gedung Perkantoran, Konstruksi Jaringan Irigasi dan Drainase</t>
        </is>
      </c>
      <c r="N6" t="inlineStr">
        <is>
          <t>K</t>
        </is>
      </c>
      <c r="O6" t="inlineStr">
        <is>
          <t>20230722</t>
        </is>
      </c>
      <c r="P6" t="inlineStr">
        <is>
          <t>Maluku</t>
        </is>
      </c>
      <c r="Q6" t="inlineStr"/>
    </row>
    <row r="7">
      <c r="A7" t="inlineStr">
        <is>
          <t>BANGKIT</t>
        </is>
      </c>
      <c r="B7" t="inlineStr">
        <is>
          <t>Kab. Lamongan</t>
        </is>
      </c>
      <c r="C7" t="inlineStr">
        <is>
          <t>085716912907</t>
        </is>
      </c>
      <c r="D7" t="inlineStr">
        <is>
          <t>cv.bangkit07@gmail.com</t>
        </is>
      </c>
      <c r="E7" t="inlineStr">
        <is>
          <t>https://lpjk.pu.go.id/search-badan-usaha-detail/eTc2QUNYK0ZKQ0RCNjNFV2xWOUxNQT09</t>
        </is>
      </c>
      <c r="F7" t="n">
        <v>1</v>
      </c>
      <c r="G7" t="inlineStr">
        <is>
          <t>BS004</t>
        </is>
      </c>
      <c r="H7" t="inlineStr">
        <is>
          <t>25 September 2000</t>
        </is>
      </c>
      <c r="I7" s="2" t="n">
        <v>46225</v>
      </c>
      <c r="J7" t="inlineStr">
        <is>
          <t>Disetujui</t>
        </is>
      </c>
      <c r="K7" t="n">
        <v>60</v>
      </c>
      <c r="L7" t="inlineStr">
        <is>
          <t>22 Juli 2026</t>
        </is>
      </c>
      <c r="M7" t="inlineStr">
        <is>
          <t>Konstruksi Jaringan Irigasi dan Drainase</t>
        </is>
      </c>
      <c r="N7" t="inlineStr">
        <is>
          <t>K</t>
        </is>
      </c>
      <c r="O7" t="inlineStr">
        <is>
          <t>20230722</t>
        </is>
      </c>
      <c r="P7" t="inlineStr">
        <is>
          <t>Jawa Timur</t>
        </is>
      </c>
      <c r="Q7" t="inlineStr"/>
    </row>
    <row r="8">
      <c r="A8" t="inlineStr">
        <is>
          <t>BORNEO TANJUNG CONSTRUCTION</t>
        </is>
      </c>
      <c r="B8" t="inlineStr">
        <is>
          <t>Kab. Tabalong</t>
        </is>
      </c>
      <c r="C8" t="inlineStr">
        <is>
          <t>082191948665</t>
        </is>
      </c>
      <c r="D8" t="inlineStr">
        <is>
          <t>cvborneotanjungconstruction@gmail.com</t>
        </is>
      </c>
      <c r="E8" t="inlineStr">
        <is>
          <t>https://lpjk.pu.go.id/search-badan-usaha-detail/aHQ2Y2ZybkFaUXFhbzk5c21hZnNHNG5BN3p4TVhGSXJaaFlxVk9sYXM1QT0</t>
        </is>
      </c>
      <c r="F8" t="n">
        <v>1</v>
      </c>
      <c r="G8" t="inlineStr">
        <is>
          <t>BS010</t>
        </is>
      </c>
      <c r="H8" t="inlineStr">
        <is>
          <t>6 Mei 2025</t>
        </is>
      </c>
      <c r="I8" s="2" t="n">
        <v>46225</v>
      </c>
      <c r="J8" t="inlineStr">
        <is>
          <t>Dokumen Lengkap</t>
        </is>
      </c>
      <c r="K8" t="n">
        <v>60</v>
      </c>
      <c r="L8" t="inlineStr">
        <is>
          <t>22 Juli 2026</t>
        </is>
      </c>
      <c r="M8" t="inlineStr">
        <is>
          <t>Konstruksi Bangunan Prasarana Sumber Daya Air</t>
        </is>
      </c>
      <c r="N8" t="inlineStr">
        <is>
          <t>K</t>
        </is>
      </c>
      <c r="O8" t="inlineStr">
        <is>
          <t>20230720</t>
        </is>
      </c>
      <c r="P8" t="inlineStr">
        <is>
          <t>Kalimantan Selatan</t>
        </is>
      </c>
      <c r="Q8" t="inlineStr"/>
    </row>
    <row r="9">
      <c r="A9" t="inlineStr">
        <is>
          <t>BUNGSU PUTRA KONTRUKSI</t>
        </is>
      </c>
      <c r="B9" t="inlineStr">
        <is>
          <t>Kab. Sukabumi</t>
        </is>
      </c>
      <c r="C9" t="inlineStr">
        <is>
          <t>081513337518</t>
        </is>
      </c>
      <c r="D9" t="inlineStr">
        <is>
          <t>bpkcv10@gmail.com</t>
        </is>
      </c>
      <c r="E9" t="inlineStr">
        <is>
          <t>https://lpjk.pu.go.id/search-badan-usaha-detail/aEhmc2pOQysybVJRbGF6ekluRVVEdz09</t>
        </is>
      </c>
      <c r="F9" t="n">
        <v>2</v>
      </c>
      <c r="G9" t="inlineStr">
        <is>
          <t>BG006, BS001</t>
        </is>
      </c>
      <c r="H9" t="inlineStr">
        <is>
          <t>19 Juli 2016</t>
        </is>
      </c>
      <c r="I9" s="2" t="n">
        <v>46225</v>
      </c>
      <c r="J9" t="inlineStr">
        <is>
          <t>Disetujui</t>
        </is>
      </c>
      <c r="K9" t="n">
        <v>60</v>
      </c>
      <c r="L9" t="inlineStr">
        <is>
          <t>22 Juli 2026</t>
        </is>
      </c>
      <c r="M9" t="inlineStr">
        <is>
          <t>Konstruksi Bangunan Sipil Jalan, Konstruksi Gedung Pendidikan</t>
        </is>
      </c>
      <c r="N9" t="inlineStr">
        <is>
          <t>K</t>
        </is>
      </c>
      <c r="O9" t="inlineStr">
        <is>
          <t>20230720</t>
        </is>
      </c>
      <c r="P9" t="inlineStr">
        <is>
          <t>Jawa Barat</t>
        </is>
      </c>
      <c r="Q9" t="inlineStr"/>
    </row>
    <row r="10">
      <c r="A10" t="inlineStr">
        <is>
          <t>CAHAYA TUNAS MULYA</t>
        </is>
      </c>
      <c r="B10" t="inlineStr">
        <is>
          <t>Kota Pontianak</t>
        </is>
      </c>
      <c r="C10" t="inlineStr">
        <is>
          <t>085349886346</t>
        </is>
      </c>
      <c r="D10" t="inlineStr">
        <is>
          <t>cahayatunasmulya@yahoo.co.id</t>
        </is>
      </c>
      <c r="E10" t="inlineStr">
        <is>
          <t>https://lpjk.pu.go.id/search-badan-usaha-detail/SWo3eGQrRjJ3SzM4UWh2Rk80aHlQdz09</t>
        </is>
      </c>
      <c r="F10" t="n">
        <v>1</v>
      </c>
      <c r="G10" t="inlineStr">
        <is>
          <t>BG001</t>
        </is>
      </c>
      <c r="H10" t="inlineStr">
        <is>
          <t>6 Juni 2007</t>
        </is>
      </c>
      <c r="I10" s="2" t="n">
        <v>46225</v>
      </c>
      <c r="J10" t="inlineStr">
        <is>
          <t>Pencabutan</t>
        </is>
      </c>
      <c r="K10" t="n">
        <v>60</v>
      </c>
      <c r="L10" t="inlineStr">
        <is>
          <t>22 Juli 2026</t>
        </is>
      </c>
      <c r="M10" t="inlineStr">
        <is>
          <t>Konstruksi Gedung Hunian</t>
        </is>
      </c>
      <c r="N10" t="inlineStr">
        <is>
          <t>K</t>
        </is>
      </c>
      <c r="O10" t="inlineStr">
        <is>
          <t>20230722</t>
        </is>
      </c>
      <c r="P10" t="inlineStr">
        <is>
          <t>Kalimantan Barat</t>
        </is>
      </c>
      <c r="Q10" t="inlineStr"/>
    </row>
    <row r="11">
      <c r="A11" t="inlineStr">
        <is>
          <t>DUA TUJUH</t>
        </is>
      </c>
      <c r="B11" t="inlineStr">
        <is>
          <t>Kota Bandar Lampung</t>
        </is>
      </c>
      <c r="C11" t="inlineStr">
        <is>
          <t>082281292727</t>
        </is>
      </c>
      <c r="D11" t="inlineStr">
        <is>
          <t>CV.DUATUJUH2023@GMAIL.COM</t>
        </is>
      </c>
      <c r="E11" t="inlineStr">
        <is>
          <t>https://lpjk.pu.go.id/search-badan-usaha-detail/bktmbklwRTFQM0RkamxYQWQ5UnBLZz09</t>
        </is>
      </c>
      <c r="F11" t="n">
        <v>1</v>
      </c>
      <c r="G11" t="inlineStr">
        <is>
          <t>BG002</t>
        </is>
      </c>
      <c r="H11" t="inlineStr">
        <is>
          <t>13 Maret 2023</t>
        </is>
      </c>
      <c r="I11" s="2" t="n">
        <v>46225</v>
      </c>
      <c r="J11" t="inlineStr">
        <is>
          <t>Disetujui</t>
        </is>
      </c>
      <c r="K11" t="n">
        <v>60</v>
      </c>
      <c r="L11" t="inlineStr">
        <is>
          <t>22 Juli 2026</t>
        </is>
      </c>
      <c r="M11" t="inlineStr">
        <is>
          <t>Konstruksi Gedung Perkantoran</t>
        </is>
      </c>
      <c r="N11" t="inlineStr">
        <is>
          <t>K</t>
        </is>
      </c>
      <c r="O11" t="inlineStr">
        <is>
          <t>20230719</t>
        </is>
      </c>
      <c r="P11" t="inlineStr">
        <is>
          <t>Lampung</t>
        </is>
      </c>
      <c r="Q11" t="inlineStr"/>
    </row>
    <row r="12">
      <c r="A12" t="inlineStr">
        <is>
          <t>DUTA PUTRA MAS</t>
        </is>
      </c>
      <c r="B12" t="inlineStr">
        <is>
          <t>Kab. Ogan Komering Ulu</t>
        </is>
      </c>
      <c r="C12" t="inlineStr">
        <is>
          <t>085380057585</t>
        </is>
      </c>
      <c r="D12" t="inlineStr">
        <is>
          <t>masdutaputra@gmail.com</t>
        </is>
      </c>
      <c r="E12" t="inlineStr">
        <is>
          <t>https://lpjk.pu.go.id/search-badan-usaha-detail/OHpBaFQvQTZyeUptb2d6bGIwMjhkdz09</t>
        </is>
      </c>
      <c r="F12" t="n">
        <v>1</v>
      </c>
      <c r="G12" t="inlineStr">
        <is>
          <t>BS001</t>
        </is>
      </c>
      <c r="H12" t="inlineStr">
        <is>
          <t>14 Februari 2002</t>
        </is>
      </c>
      <c r="I12" s="2" t="n">
        <v>46225</v>
      </c>
      <c r="J12" t="inlineStr">
        <is>
          <t>Disetujui</t>
        </is>
      </c>
      <c r="K12" t="n">
        <v>60</v>
      </c>
      <c r="L12" t="inlineStr">
        <is>
          <t>22 Juli 2026</t>
        </is>
      </c>
      <c r="M12" t="inlineStr">
        <is>
          <t>Konstruksi Bangunan Sipil Jalan</t>
        </is>
      </c>
      <c r="N12" t="inlineStr">
        <is>
          <t>K</t>
        </is>
      </c>
      <c r="O12" t="inlineStr">
        <is>
          <t>20230720</t>
        </is>
      </c>
      <c r="P12" t="inlineStr">
        <is>
          <t>Sumatera Selatan</t>
        </is>
      </c>
      <c r="Q12" t="inlineStr"/>
    </row>
    <row r="13">
      <c r="A13" t="inlineStr">
        <is>
          <t>GEMPAR JAYA</t>
        </is>
      </c>
      <c r="B13" t="inlineStr">
        <is>
          <t>Kota Palembang</t>
        </is>
      </c>
      <c r="C13" t="inlineStr">
        <is>
          <t>+62 812-7357-8784</t>
        </is>
      </c>
      <c r="D13" t="inlineStr">
        <is>
          <t>cv.gemparjaya@gmail.com</t>
        </is>
      </c>
      <c r="E13" t="inlineStr">
        <is>
          <t>https://lpjk.pu.go.id/search-badan-usaha-detail/cFhKSlQ2N1ZZTjZ2ZlpEdkVuaTJ4dz09</t>
        </is>
      </c>
      <c r="F13" t="n">
        <v>1</v>
      </c>
      <c r="G13" t="inlineStr">
        <is>
          <t>BS001</t>
        </is>
      </c>
      <c r="H13" t="inlineStr">
        <is>
          <t>5 September 2011</t>
        </is>
      </c>
      <c r="I13" s="2" t="n">
        <v>46225</v>
      </c>
      <c r="J13" t="inlineStr">
        <is>
          <t>Disetujui</t>
        </is>
      </c>
      <c r="K13" t="n">
        <v>60</v>
      </c>
      <c r="L13" t="inlineStr">
        <is>
          <t>22 Juli 2026</t>
        </is>
      </c>
      <c r="M13" t="inlineStr">
        <is>
          <t>Konstruksi Bangunan Sipil Jalan</t>
        </is>
      </c>
      <c r="N13" t="inlineStr">
        <is>
          <t>K</t>
        </is>
      </c>
      <c r="O13" t="inlineStr">
        <is>
          <t>20230721</t>
        </is>
      </c>
      <c r="P13" t="inlineStr">
        <is>
          <t>Sumatera Selatan</t>
        </is>
      </c>
      <c r="Q13" t="inlineStr"/>
    </row>
    <row r="14">
      <c r="A14" t="inlineStr">
        <is>
          <t>GERBANG AIR</t>
        </is>
      </c>
      <c r="B14" t="inlineStr">
        <is>
          <t>Kota Pekanbaru</t>
        </is>
      </c>
      <c r="C14" t="inlineStr">
        <is>
          <t>082170632137</t>
        </is>
      </c>
      <c r="D14" t="inlineStr">
        <is>
          <t>gerbangair@gmail.com</t>
        </is>
      </c>
      <c r="E14" t="inlineStr">
        <is>
          <t>https://lpjk.pu.go.id/search-badan-usaha-detail/YjFIeXVQQmx1YURRclR2bHRiN3FUZz09</t>
        </is>
      </c>
      <c r="F14" t="n">
        <v>1</v>
      </c>
      <c r="G14" t="inlineStr">
        <is>
          <t>BG006</t>
        </is>
      </c>
      <c r="H14" t="inlineStr">
        <is>
          <t>12 Mei 2022</t>
        </is>
      </c>
      <c r="I14" s="2" t="n">
        <v>46225</v>
      </c>
      <c r="J14" t="inlineStr">
        <is>
          <t>Pencabutan</t>
        </is>
      </c>
      <c r="K14" t="n">
        <v>60</v>
      </c>
      <c r="L14" t="inlineStr">
        <is>
          <t>22 Juli 2026</t>
        </is>
      </c>
      <c r="M14" t="inlineStr">
        <is>
          <t>Konstruksi Gedung Pendidikan</t>
        </is>
      </c>
      <c r="N14" t="inlineStr">
        <is>
          <t>K</t>
        </is>
      </c>
      <c r="O14" t="inlineStr">
        <is>
          <t>20230721</t>
        </is>
      </c>
      <c r="P14" t="inlineStr">
        <is>
          <t>Riau</t>
        </is>
      </c>
      <c r="Q14" t="inlineStr"/>
    </row>
    <row r="15">
      <c r="A15" t="inlineStr">
        <is>
          <t>KARYA ATTALA</t>
        </is>
      </c>
      <c r="B15" t="inlineStr">
        <is>
          <t>Kota Samarinda</t>
        </is>
      </c>
      <c r="C15" t="inlineStr">
        <is>
          <t>0815538666</t>
        </is>
      </c>
      <c r="D15" t="inlineStr">
        <is>
          <t>attala.karya15@gmail.com</t>
        </is>
      </c>
      <c r="E15" t="inlineStr">
        <is>
          <t>https://lpjk.pu.go.id/search-badan-usaha-detail/UG9XOTBpd0tQRXB2bDYyYmVlU3JNQT09</t>
        </is>
      </c>
      <c r="F15" t="n">
        <v>1</v>
      </c>
      <c r="G15" t="inlineStr">
        <is>
          <t>BG002</t>
        </is>
      </c>
      <c r="H15" t="inlineStr">
        <is>
          <t>29 Juli 2021</t>
        </is>
      </c>
      <c r="I15" s="2" t="n">
        <v>46225</v>
      </c>
      <c r="J15" t="inlineStr">
        <is>
          <t>Pencabutan</t>
        </is>
      </c>
      <c r="K15" t="n">
        <v>60</v>
      </c>
      <c r="L15" t="inlineStr">
        <is>
          <t>22 Juli 2026</t>
        </is>
      </c>
      <c r="M15" t="inlineStr">
        <is>
          <t>Konstruksi Gedung Perkantoran</t>
        </is>
      </c>
      <c r="N15" t="inlineStr">
        <is>
          <t>K</t>
        </is>
      </c>
      <c r="O15" t="inlineStr">
        <is>
          <t>20230722</t>
        </is>
      </c>
      <c r="P15" t="inlineStr">
        <is>
          <t>Kalimantan Timur</t>
        </is>
      </c>
      <c r="Q15" t="inlineStr"/>
    </row>
    <row r="16">
      <c r="A16" t="inlineStr">
        <is>
          <t>KARYA PRIBUMI</t>
        </is>
      </c>
      <c r="B16" t="inlineStr">
        <is>
          <t>Kab. Blitar</t>
        </is>
      </c>
      <c r="C16" t="inlineStr">
        <is>
          <t>085645757089</t>
        </is>
      </c>
      <c r="D16" t="inlineStr">
        <is>
          <t>cv.karyapribumi@yahoo.com</t>
        </is>
      </c>
      <c r="E16" t="inlineStr">
        <is>
          <t>https://lpjk.pu.go.id/search-badan-usaha-detail/eW5GQngxbnB0N01SY0hjVEhUSm1TZz09</t>
        </is>
      </c>
      <c r="F16" t="n">
        <v>1</v>
      </c>
      <c r="G16" t="inlineStr">
        <is>
          <t>BS001</t>
        </is>
      </c>
      <c r="H16" t="inlineStr">
        <is>
          <t>12 Maret 2015</t>
        </is>
      </c>
      <c r="I16" s="2" t="n">
        <v>46225</v>
      </c>
      <c r="J16" t="inlineStr">
        <is>
          <t>Pencabutan</t>
        </is>
      </c>
      <c r="K16" t="n">
        <v>60</v>
      </c>
      <c r="L16" t="inlineStr">
        <is>
          <t>22 Juli 2026</t>
        </is>
      </c>
      <c r="M16" t="inlineStr">
        <is>
          <t>Konstruksi Bangunan Sipil Jalan</t>
        </is>
      </c>
      <c r="N16" t="inlineStr">
        <is>
          <t>K</t>
        </is>
      </c>
      <c r="O16" t="inlineStr">
        <is>
          <t>20230710</t>
        </is>
      </c>
      <c r="P16" t="inlineStr">
        <is>
          <t>Jawa Timur</t>
        </is>
      </c>
      <c r="Q16" t="inlineStr"/>
    </row>
    <row r="17">
      <c r="A17" t="inlineStr">
        <is>
          <t>MANDAVANE JADI KONTRAKTOR</t>
        </is>
      </c>
      <c r="B17" t="inlineStr">
        <is>
          <t>Kab. Tangerang</t>
        </is>
      </c>
      <c r="C17" t="inlineStr">
        <is>
          <t>021 59380568</t>
        </is>
      </c>
      <c r="D17" t="inlineStr">
        <is>
          <t>mandavanej@gmail.com</t>
        </is>
      </c>
      <c r="E17" t="inlineStr">
        <is>
          <t>https://lpjk.pu.go.id/search-badan-usaha-detail/eitHZzV5b3VVTE1jWWZCenpvTFN2dz09</t>
        </is>
      </c>
      <c r="F17" t="n">
        <v>2</v>
      </c>
      <c r="G17" t="inlineStr">
        <is>
          <t>BS016, BS017</t>
        </is>
      </c>
      <c r="H17" t="inlineStr">
        <is>
          <t>17 Januari 2006</t>
        </is>
      </c>
      <c r="I17" s="2" t="n">
        <v>46225</v>
      </c>
      <c r="J17" t="inlineStr">
        <is>
          <t>Pencabutan</t>
        </is>
      </c>
      <c r="K17" t="n">
        <v>60</v>
      </c>
      <c r="L17" t="inlineStr">
        <is>
          <t>22 Juli 2026</t>
        </is>
      </c>
      <c r="M17" t="inlineStr">
        <is>
          <t>Konstruksi Bangunan Sipil Fasilitas Olah Raga, Konstruksi Bangunan Sipil Lainnya Ytdl</t>
        </is>
      </c>
      <c r="N17" t="inlineStr">
        <is>
          <t>K</t>
        </is>
      </c>
      <c r="O17" t="inlineStr">
        <is>
          <t>20230714</t>
        </is>
      </c>
      <c r="P17" t="inlineStr">
        <is>
          <t>Banten</t>
        </is>
      </c>
      <c r="Q17" t="inlineStr"/>
    </row>
    <row r="18">
      <c r="A18" t="inlineStr">
        <is>
          <t>MARA DORI</t>
        </is>
      </c>
      <c r="B18" t="inlineStr">
        <is>
          <t>Kota Jayapura</t>
        </is>
      </c>
      <c r="C18" t="inlineStr">
        <is>
          <t>08124806296</t>
        </is>
      </c>
      <c r="D18" t="inlineStr">
        <is>
          <t>cv.maradori@gmail.com</t>
        </is>
      </c>
      <c r="E18" t="inlineStr">
        <is>
          <t>https://lpjk.pu.go.id/search-badan-usaha-detail/TUl6bGRKQzRrV2dRVkpRRmYzRHE5Zz09</t>
        </is>
      </c>
      <c r="F18" t="n">
        <v>1</v>
      </c>
      <c r="G18" t="inlineStr">
        <is>
          <t>BS004</t>
        </is>
      </c>
      <c r="H18" t="inlineStr">
        <is>
          <t>19 Maret 2002</t>
        </is>
      </c>
      <c r="I18" s="2" t="n">
        <v>46225</v>
      </c>
      <c r="J18" t="inlineStr">
        <is>
          <t>Disetujui</t>
        </is>
      </c>
      <c r="K18" t="n">
        <v>60</v>
      </c>
      <c r="L18" t="inlineStr">
        <is>
          <t>22 Juli 2026</t>
        </is>
      </c>
      <c r="M18" t="inlineStr">
        <is>
          <t>Konstruksi Jaringan Irigasi dan Drainase</t>
        </is>
      </c>
      <c r="N18" t="inlineStr">
        <is>
          <t>K</t>
        </is>
      </c>
      <c r="O18" t="inlineStr">
        <is>
          <t>20230701</t>
        </is>
      </c>
      <c r="P18" t="inlineStr">
        <is>
          <t>Papua</t>
        </is>
      </c>
      <c r="Q18" t="inlineStr"/>
    </row>
    <row r="19">
      <c r="A19" t="inlineStr">
        <is>
          <t>MEGA JAYA BAKTI</t>
        </is>
      </c>
      <c r="B19" t="inlineStr">
        <is>
          <t>Kab. Banggai Laut</t>
        </is>
      </c>
      <c r="C19" t="inlineStr">
        <is>
          <t>082194005878</t>
        </is>
      </c>
      <c r="D19" t="inlineStr">
        <is>
          <t>megajayabakticv@gmail.com</t>
        </is>
      </c>
      <c r="E19" t="inlineStr">
        <is>
          <t>https://lpjk.pu.go.id/search-badan-usaha-detail/dm9iSTNnZWczVENRWDFrRFpRb1p5UT09</t>
        </is>
      </c>
      <c r="F19" t="n">
        <v>1</v>
      </c>
      <c r="G19" t="inlineStr">
        <is>
          <t>BS001</t>
        </is>
      </c>
      <c r="H19" t="inlineStr">
        <is>
          <t>20 Agustus 2016</t>
        </is>
      </c>
      <c r="I19" s="2" t="n">
        <v>46225</v>
      </c>
      <c r="J19" t="inlineStr">
        <is>
          <t>Disetujui</t>
        </is>
      </c>
      <c r="K19" t="n">
        <v>60</v>
      </c>
      <c r="L19" t="inlineStr">
        <is>
          <t>22 Juli 2026</t>
        </is>
      </c>
      <c r="M19" t="inlineStr">
        <is>
          <t>Konstruksi Bangunan Sipil Jalan</t>
        </is>
      </c>
      <c r="N19" t="inlineStr">
        <is>
          <t>K</t>
        </is>
      </c>
      <c r="O19" t="inlineStr">
        <is>
          <t>20230722</t>
        </is>
      </c>
      <c r="P19" t="inlineStr">
        <is>
          <t>Sulawesi Tengah</t>
        </is>
      </c>
      <c r="Q19" t="inlineStr"/>
    </row>
    <row r="20">
      <c r="A20" t="inlineStr">
        <is>
          <t>MUSTIKA PANDEGLANG BERKAH</t>
        </is>
      </c>
      <c r="B20" t="inlineStr">
        <is>
          <t>Kab. Pandeglang</t>
        </is>
      </c>
      <c r="C20" t="inlineStr">
        <is>
          <t>+6281223778787</t>
        </is>
      </c>
      <c r="D20" t="inlineStr">
        <is>
          <t>cvmpb064@gmail.com</t>
        </is>
      </c>
      <c r="E20" t="inlineStr">
        <is>
          <t>https://lpjk.pu.go.id/search-badan-usaha-detail/Y2ZnbFRZdjBrTnVCQ25xVUNjY2VvWmlOSDJEU2lEN09vVGw4c0RPUzRtcz0</t>
        </is>
      </c>
      <c r="F20" t="n">
        <v>1</v>
      </c>
      <c r="G20" t="inlineStr">
        <is>
          <t>BG006</t>
        </is>
      </c>
      <c r="H20" t="inlineStr">
        <is>
          <t>3 Mei 2019</t>
        </is>
      </c>
      <c r="I20" s="2" t="n">
        <v>46225</v>
      </c>
      <c r="J20" t="inlineStr">
        <is>
          <t>Konfirmasi Pembayaran</t>
        </is>
      </c>
      <c r="K20" t="n">
        <v>60</v>
      </c>
      <c r="L20" t="inlineStr">
        <is>
          <t>22 Juli 2026</t>
        </is>
      </c>
      <c r="M20" t="inlineStr">
        <is>
          <t>Konstruksi Gedung Pendidikan</t>
        </is>
      </c>
      <c r="N20" t="inlineStr">
        <is>
          <t>K</t>
        </is>
      </c>
      <c r="O20" t="inlineStr">
        <is>
          <t>20230721</t>
        </is>
      </c>
      <c r="P20" t="inlineStr">
        <is>
          <t>Banten</t>
        </is>
      </c>
      <c r="Q20" t="inlineStr"/>
    </row>
    <row r="21">
      <c r="A21" t="inlineStr">
        <is>
          <t>MUTIARA AKBAR INDO</t>
        </is>
      </c>
      <c r="B21" t="inlineStr">
        <is>
          <t>Kota Medan</t>
        </is>
      </c>
      <c r="C21" t="inlineStr">
        <is>
          <t>085276918448</t>
        </is>
      </c>
      <c r="D21" t="inlineStr">
        <is>
          <t>cvmutiaradedek2023@gmail.com</t>
        </is>
      </c>
      <c r="E21" t="inlineStr">
        <is>
          <t>https://lpjk.pu.go.id/search-badan-usaha-detail/MDNMYXEwZWxJSUMyWHl0YVJtbjN0Zz09</t>
        </is>
      </c>
      <c r="F21" t="n">
        <v>8</v>
      </c>
      <c r="G21" t="inlineStr">
        <is>
          <t>BG009, BS001, BS002, BS004</t>
        </is>
      </c>
      <c r="H21" t="inlineStr">
        <is>
          <t>21 Februari 2023</t>
        </is>
      </c>
      <c r="I21" s="2" t="n">
        <v>46225</v>
      </c>
      <c r="J21" t="inlineStr">
        <is>
          <t>Disetujui</t>
        </is>
      </c>
      <c r="K21" t="n">
        <v>60</v>
      </c>
      <c r="L21" t="inlineStr">
        <is>
          <t>22 Juli 2026</t>
        </is>
      </c>
      <c r="M21" t="inlineStr">
        <is>
          <t>Bangunan Sipil Jembatan, Jalan Layang, Fly Over, dan Underpass, Konstruksi Bangunan Sipil Jalan, Konstruksi Gedung Lainnya, Konstruksi Jaringan Irigasi dan Drainase</t>
        </is>
      </c>
      <c r="N21" t="inlineStr">
        <is>
          <t>K</t>
        </is>
      </c>
      <c r="O21" t="inlineStr">
        <is>
          <t>20230721</t>
        </is>
      </c>
      <c r="P21" t="inlineStr">
        <is>
          <t>Sumatera Utara</t>
        </is>
      </c>
      <c r="Q21" t="inlineStr"/>
    </row>
    <row r="22">
      <c r="A22" t="inlineStr">
        <is>
          <t>NIAGA NUSANTARA MANDIRI</t>
        </is>
      </c>
      <c r="B22" t="inlineStr">
        <is>
          <t>Kab. Tuban</t>
        </is>
      </c>
      <c r="C22" t="inlineStr">
        <is>
          <t>081335296466</t>
        </is>
      </c>
      <c r="D22" t="inlineStr">
        <is>
          <t>ceo.niaga@gmail.com</t>
        </is>
      </c>
      <c r="E22" t="inlineStr">
        <is>
          <t>https://lpjk.pu.go.id/search-badan-usaha-detail/V2F1OGZOUTJDYzF1WjJzTkIrQjZMdz09</t>
        </is>
      </c>
      <c r="F22" t="n">
        <v>1</v>
      </c>
      <c r="G22" t="inlineStr">
        <is>
          <t>BG003</t>
        </is>
      </c>
      <c r="H22" t="inlineStr">
        <is>
          <t>10 April 2014</t>
        </is>
      </c>
      <c r="I22" s="2" t="n">
        <v>46225</v>
      </c>
      <c r="J22" t="inlineStr">
        <is>
          <t>Disetujui</t>
        </is>
      </c>
      <c r="K22" t="n">
        <v>60</v>
      </c>
      <c r="L22" t="inlineStr">
        <is>
          <t>22 Juli 2026</t>
        </is>
      </c>
      <c r="M22" t="inlineStr">
        <is>
          <t>Konstruksi Gedung Industri</t>
        </is>
      </c>
      <c r="N22" t="inlineStr">
        <is>
          <t>K</t>
        </is>
      </c>
      <c r="O22" t="inlineStr">
        <is>
          <t>20230722</t>
        </is>
      </c>
      <c r="P22" t="inlineStr">
        <is>
          <t>Jawa Timur</t>
        </is>
      </c>
      <c r="Q22" t="inlineStr"/>
    </row>
    <row r="23">
      <c r="A23" t="inlineStr">
        <is>
          <t>PANDU JAYA</t>
        </is>
      </c>
      <c r="B23" t="inlineStr">
        <is>
          <t>Kab. Pacitan</t>
        </is>
      </c>
      <c r="C23" t="inlineStr">
        <is>
          <t>087719271922</t>
        </is>
      </c>
      <c r="D23" t="inlineStr">
        <is>
          <t>pandupacitan08@gmail.com</t>
        </is>
      </c>
      <c r="E23" t="inlineStr">
        <is>
          <t>https://lpjk.pu.go.id/search-badan-usaha-detail/MjRZc2JFTmswK1IxbVlYZTFpcFh6dz09</t>
        </is>
      </c>
      <c r="F23" t="n">
        <v>1</v>
      </c>
      <c r="G23" t="inlineStr">
        <is>
          <t>BG006</t>
        </is>
      </c>
      <c r="H23" t="inlineStr">
        <is>
          <t>28 Mei 2001</t>
        </is>
      </c>
      <c r="I23" s="2" t="n">
        <v>46225</v>
      </c>
      <c r="J23" t="inlineStr">
        <is>
          <t>Disetujui</t>
        </is>
      </c>
      <c r="K23" t="n">
        <v>60</v>
      </c>
      <c r="L23" t="inlineStr">
        <is>
          <t>22 Juli 2026</t>
        </is>
      </c>
      <c r="M23" t="inlineStr">
        <is>
          <t>Konstruksi Gedung Pendidikan</t>
        </is>
      </c>
      <c r="N23" t="inlineStr">
        <is>
          <t>K</t>
        </is>
      </c>
      <c r="O23" t="inlineStr">
        <is>
          <t>20230721</t>
        </is>
      </c>
      <c r="P23" t="inlineStr">
        <is>
          <t>Jawa Timur</t>
        </is>
      </c>
      <c r="Q23" t="inlineStr"/>
    </row>
    <row r="24">
      <c r="A24" t="inlineStr">
        <is>
          <t>PUTRA CIMOR</t>
        </is>
      </c>
      <c r="B24" t="inlineStr">
        <is>
          <t>Kab. Morowali Utara</t>
        </is>
      </c>
      <c r="C24" t="inlineStr">
        <is>
          <t>085220123560</t>
        </is>
      </c>
      <c r="D24" t="inlineStr">
        <is>
          <t>putracimor.cv@gmail.com</t>
        </is>
      </c>
      <c r="E24" t="inlineStr">
        <is>
          <t>https://lpjk.pu.go.id/search-badan-usaha-detail/a0pHRkJMRUZzZGFjaWNwb01waEhmQT09</t>
        </is>
      </c>
      <c r="F24" t="n">
        <v>2</v>
      </c>
      <c r="G24" t="inlineStr">
        <is>
          <t>BS001, BS010</t>
        </is>
      </c>
      <c r="H24" t="inlineStr">
        <is>
          <t>1 November 2019</t>
        </is>
      </c>
      <c r="I24" s="2" t="n">
        <v>46225</v>
      </c>
      <c r="J24" t="inlineStr">
        <is>
          <t>Pencabutan</t>
        </is>
      </c>
      <c r="K24" t="n">
        <v>60</v>
      </c>
      <c r="L24" t="inlineStr">
        <is>
          <t>22 Juli 2026</t>
        </is>
      </c>
      <c r="M24" t="inlineStr">
        <is>
          <t>Konstruksi Bangunan Prasarana Sumber Daya Air, Konstruksi Bangunan Sipil Jalan</t>
        </is>
      </c>
      <c r="N24" t="inlineStr">
        <is>
          <t>K</t>
        </is>
      </c>
      <c r="O24" t="inlineStr">
        <is>
          <t>20230721</t>
        </is>
      </c>
      <c r="P24" t="inlineStr">
        <is>
          <t>Sulawesi Tengah</t>
        </is>
      </c>
      <c r="Q24" t="inlineStr"/>
    </row>
    <row r="25">
      <c r="A25" t="inlineStr">
        <is>
          <t>PUTRA YANSI PERKASA</t>
        </is>
      </c>
      <c r="B25" t="inlineStr">
        <is>
          <t>Kota Palembang</t>
        </is>
      </c>
      <c r="C25" t="inlineStr">
        <is>
          <t>081271881111</t>
        </is>
      </c>
      <c r="D25" t="inlineStr">
        <is>
          <t>putrayansiperkasa3@gmail.com</t>
        </is>
      </c>
      <c r="E25" t="inlineStr">
        <is>
          <t>https://lpjk.pu.go.id/search-badan-usaha-detail/cE9jQ2h3dWdDaUtZYS9wR0FNb3BhUT09</t>
        </is>
      </c>
      <c r="F25" t="n">
        <v>1</v>
      </c>
      <c r="G25" t="inlineStr">
        <is>
          <t>BG001</t>
        </is>
      </c>
      <c r="H25" t="inlineStr">
        <is>
          <t>12 Mei 2023</t>
        </is>
      </c>
      <c r="I25" s="2" t="n">
        <v>46225</v>
      </c>
      <c r="J25" t="inlineStr">
        <is>
          <t>Disetujui</t>
        </is>
      </c>
      <c r="K25" t="n">
        <v>60</v>
      </c>
      <c r="L25" t="inlineStr">
        <is>
          <t>22 Juli 2026</t>
        </is>
      </c>
      <c r="M25" t="inlineStr">
        <is>
          <t>Konstruksi Gedung Hunian</t>
        </is>
      </c>
      <c r="N25" t="inlineStr">
        <is>
          <t>K</t>
        </is>
      </c>
      <c r="O25" t="inlineStr">
        <is>
          <t>20230721</t>
        </is>
      </c>
      <c r="P25" t="inlineStr">
        <is>
          <t>Sumatera Selatan</t>
        </is>
      </c>
      <c r="Q25" t="inlineStr"/>
    </row>
    <row r="26">
      <c r="A26" t="inlineStr">
        <is>
          <t>PUTRI JIHAN</t>
        </is>
      </c>
      <c r="B26" t="inlineStr">
        <is>
          <t>Kab. Sampang</t>
        </is>
      </c>
      <c r="C26" t="inlineStr">
        <is>
          <t>082143266767</t>
        </is>
      </c>
      <c r="D26" t="inlineStr">
        <is>
          <t>uubaidillah99@yahoo.com</t>
        </is>
      </c>
      <c r="E26" t="inlineStr">
        <is>
          <t>https://lpjk.pu.go.id/search-badan-usaha-detail/NWtRbktEWjFMbkJBUDZybWFGV2xqQT09</t>
        </is>
      </c>
      <c r="F26" t="n">
        <v>2</v>
      </c>
      <c r="G26" t="inlineStr">
        <is>
          <t>BG005, BS001</t>
        </is>
      </c>
      <c r="H26" t="inlineStr">
        <is>
          <t>13 Maret 2019</t>
        </is>
      </c>
      <c r="I26" s="2" t="n">
        <v>46225</v>
      </c>
      <c r="J26" t="inlineStr">
        <is>
          <t>Disetujui, Pencabutan</t>
        </is>
      </c>
      <c r="K26" t="n">
        <v>60</v>
      </c>
      <c r="L26" t="inlineStr">
        <is>
          <t>22 Juli 2026</t>
        </is>
      </c>
      <c r="M26" t="inlineStr">
        <is>
          <t>Konstruksi Bangunan Sipil Jalan, Konstruksi Gedung Kesehatan</t>
        </is>
      </c>
      <c r="N26" t="inlineStr">
        <is>
          <t>K</t>
        </is>
      </c>
      <c r="O26" t="inlineStr">
        <is>
          <t>20230722</t>
        </is>
      </c>
      <c r="P26" t="inlineStr">
        <is>
          <t>Jawa Timur</t>
        </is>
      </c>
      <c r="Q26" t="inlineStr"/>
    </row>
    <row r="27">
      <c r="A27" t="inlineStr">
        <is>
          <t>RIZKY JAYA</t>
        </is>
      </c>
      <c r="B27" t="inlineStr">
        <is>
          <t>Kab. Kutai Kartanegara</t>
        </is>
      </c>
      <c r="C27" t="inlineStr">
        <is>
          <t>081347611936</t>
        </is>
      </c>
      <c r="D27" t="inlineStr">
        <is>
          <t>cvrizkyjaya5@gmail.com</t>
        </is>
      </c>
      <c r="E27" t="inlineStr">
        <is>
          <t>https://lpjk.pu.go.id/search-badan-usaha-detail/YUl1MWxtTzJ4dHluc0E2YWNlYmUrZz09</t>
        </is>
      </c>
      <c r="F27" t="n">
        <v>1</v>
      </c>
      <c r="G27" t="inlineStr">
        <is>
          <t>BS001</t>
        </is>
      </c>
      <c r="H27" t="inlineStr">
        <is>
          <t>13 Februari 2014</t>
        </is>
      </c>
      <c r="I27" s="2" t="n">
        <v>46225</v>
      </c>
      <c r="J27" t="inlineStr">
        <is>
          <t>Disetujui</t>
        </is>
      </c>
      <c r="K27" t="n">
        <v>60</v>
      </c>
      <c r="L27" t="inlineStr">
        <is>
          <t>22 Juli 2026</t>
        </is>
      </c>
      <c r="M27" t="inlineStr">
        <is>
          <t>Konstruksi Bangunan Sipil Jalan</t>
        </is>
      </c>
      <c r="N27" t="inlineStr">
        <is>
          <t>K</t>
        </is>
      </c>
      <c r="O27" t="inlineStr">
        <is>
          <t>20230611</t>
        </is>
      </c>
      <c r="P27" t="inlineStr">
        <is>
          <t>Kalimantan Timur</t>
        </is>
      </c>
      <c r="Q27" t="inlineStr"/>
    </row>
    <row r="28">
      <c r="A28" t="inlineStr">
        <is>
          <t>SEMANGAT BARU SEJATI</t>
        </is>
      </c>
      <c r="B28" t="inlineStr">
        <is>
          <t>Kota Palembang</t>
        </is>
      </c>
      <c r="C28" t="inlineStr">
        <is>
          <t>085382901982</t>
        </is>
      </c>
      <c r="D28" t="inlineStr">
        <is>
          <t>ptsemangatbarusejati@yahoo.com</t>
        </is>
      </c>
      <c r="E28" t="inlineStr">
        <is>
          <t>https://lpjk.pu.go.id/search-badan-usaha-detail/V1dzSVczN2dyN0xsbXNScnFoMHN3QT09</t>
        </is>
      </c>
      <c r="F28" t="n">
        <v>1</v>
      </c>
      <c r="G28" t="inlineStr">
        <is>
          <t>IN004</t>
        </is>
      </c>
      <c r="H28" t="inlineStr">
        <is>
          <t>7 Maret 2023</t>
        </is>
      </c>
      <c r="I28" s="2" t="n">
        <v>46225</v>
      </c>
      <c r="J28" t="inlineStr">
        <is>
          <t>Pembekuan</t>
        </is>
      </c>
      <c r="K28" t="n">
        <v>60</v>
      </c>
      <c r="L28" t="inlineStr">
        <is>
          <t>22 Juli 2026</t>
        </is>
      </c>
      <c r="M28" t="inlineStr">
        <is>
          <t>Instalasi Minyak dan Gas</t>
        </is>
      </c>
      <c r="N28" t="inlineStr">
        <is>
          <t>Spesialis</t>
        </is>
      </c>
      <c r="O28" t="inlineStr">
        <is>
          <t>20230711</t>
        </is>
      </c>
      <c r="P28" t="inlineStr">
        <is>
          <t>Sumatera Selatan</t>
        </is>
      </c>
      <c r="Q28" t="inlineStr"/>
    </row>
    <row r="29">
      <c r="A29" t="inlineStr">
        <is>
          <t>SINERGI KARYA HUTAMA</t>
        </is>
      </c>
      <c r="B29" t="inlineStr">
        <is>
          <t>Kab. Pasuruan</t>
        </is>
      </c>
      <c r="C29" t="inlineStr">
        <is>
          <t>081234970660</t>
        </is>
      </c>
      <c r="D29" t="inlineStr">
        <is>
          <t>sinergi.karyah@gmail.com</t>
        </is>
      </c>
      <c r="E29" t="inlineStr">
        <is>
          <t>https://lpjk.pu.go.id/search-badan-usaha-detail/dm9aSG5ZWFNUbXBrWDJJaDBXdFB1QT09</t>
        </is>
      </c>
      <c r="F29" t="n">
        <v>1</v>
      </c>
      <c r="G29" t="inlineStr">
        <is>
          <t>BS001</t>
        </is>
      </c>
      <c r="H29" t="inlineStr">
        <is>
          <t>21 Maret 2023</t>
        </is>
      </c>
      <c r="I29" s="2" t="n">
        <v>46225</v>
      </c>
      <c r="J29" t="inlineStr">
        <is>
          <t>Disetujui</t>
        </is>
      </c>
      <c r="K29" t="n">
        <v>60</v>
      </c>
      <c r="L29" t="inlineStr">
        <is>
          <t>22 Juli 2026</t>
        </is>
      </c>
      <c r="M29" t="inlineStr">
        <is>
          <t>Konstruksi Bangunan Sipil Jalan</t>
        </is>
      </c>
      <c r="N29" t="inlineStr">
        <is>
          <t>K</t>
        </is>
      </c>
      <c r="O29" t="inlineStr">
        <is>
          <t>20230717</t>
        </is>
      </c>
      <c r="P29" t="inlineStr">
        <is>
          <t>Jawa Timur</t>
        </is>
      </c>
      <c r="Q29" t="inlineStr"/>
    </row>
    <row r="30">
      <c r="A30" t="inlineStr">
        <is>
          <t>SUMBER TELAGA</t>
        </is>
      </c>
      <c r="B30" t="inlineStr">
        <is>
          <t>Kab. Hulu Sungai Selatan</t>
        </is>
      </c>
      <c r="C30" t="inlineStr">
        <is>
          <t>085345990606</t>
        </is>
      </c>
      <c r="D30" t="inlineStr">
        <is>
          <t>sumbertelaga36@gmail.com</t>
        </is>
      </c>
      <c r="E30" t="inlineStr">
        <is>
          <t>https://lpjk.pu.go.id/search-badan-usaha-detail/UHRaRWFtVGUrTHZGSWlVamdaZTJoZz09</t>
        </is>
      </c>
      <c r="F30" t="n">
        <v>2</v>
      </c>
      <c r="G30" t="inlineStr">
        <is>
          <t>BS004, BS005</t>
        </is>
      </c>
      <c r="H30" t="inlineStr">
        <is>
          <t>13 Juli 2016</t>
        </is>
      </c>
      <c r="I30" s="2" t="n">
        <v>46225</v>
      </c>
      <c r="J30" t="inlineStr">
        <is>
          <t>Disetujui</t>
        </is>
      </c>
      <c r="K30" t="n">
        <v>60</v>
      </c>
      <c r="L30" t="inlineStr">
        <is>
          <t>22 Juli 2026</t>
        </is>
      </c>
      <c r="M30" t="inlineStr">
        <is>
          <t>Konstruksi Bangunan Sipil Pengolahan Air Bersih, Konstruksi Jaringan Irigasi dan Drainase</t>
        </is>
      </c>
      <c r="N30" t="inlineStr">
        <is>
          <t>K</t>
        </is>
      </c>
      <c r="O30" t="inlineStr">
        <is>
          <t>20230722</t>
        </is>
      </c>
      <c r="P30" t="inlineStr">
        <is>
          <t>Kalimantan Selatan</t>
        </is>
      </c>
      <c r="Q30" t="inlineStr"/>
    </row>
    <row r="31">
      <c r="A31" t="inlineStr">
        <is>
          <t>SURYA CITRA PERSADA</t>
        </is>
      </c>
      <c r="B31" t="inlineStr">
        <is>
          <t>Kab. Maros</t>
        </is>
      </c>
      <c r="C31" t="inlineStr">
        <is>
          <t>081355344133</t>
        </is>
      </c>
      <c r="D31" t="inlineStr">
        <is>
          <t>suryacitrapersadacv@gmail.com</t>
        </is>
      </c>
      <c r="E31" t="inlineStr">
        <is>
          <t>https://lpjk.pu.go.id/search-badan-usaha-detail/YzVHcXYrSFdIWGk4c1RzaDlDejgwUT09</t>
        </is>
      </c>
      <c r="F31" t="n">
        <v>1</v>
      </c>
      <c r="G31" t="inlineStr">
        <is>
          <t>BS010</t>
        </is>
      </c>
      <c r="H31" t="inlineStr">
        <is>
          <t>15 Mei 2001</t>
        </is>
      </c>
      <c r="I31" s="2" t="n">
        <v>46225</v>
      </c>
      <c r="J31" t="inlineStr">
        <is>
          <t>Pencabutan</t>
        </is>
      </c>
      <c r="K31" t="n">
        <v>60</v>
      </c>
      <c r="L31" t="inlineStr">
        <is>
          <t>22 Juli 2026</t>
        </is>
      </c>
      <c r="M31" t="inlineStr">
        <is>
          <t>Konstruksi Bangunan Prasarana Sumber Daya Air</t>
        </is>
      </c>
      <c r="N31" t="inlineStr">
        <is>
          <t>K</t>
        </is>
      </c>
      <c r="O31" t="inlineStr">
        <is>
          <t>20230721</t>
        </is>
      </c>
      <c r="P31" t="inlineStr">
        <is>
          <t>Sulawesi Selatan</t>
        </is>
      </c>
      <c r="Q31" t="inlineStr"/>
    </row>
    <row r="32">
      <c r="A32" t="inlineStr">
        <is>
          <t>TIARA JATI</t>
        </is>
      </c>
      <c r="B32" t="inlineStr">
        <is>
          <t>Kab. Bireuen</t>
        </is>
      </c>
      <c r="C32" t="inlineStr">
        <is>
          <t>0811672400</t>
        </is>
      </c>
      <c r="D32" t="inlineStr">
        <is>
          <t>cvtiarajati@gmail.com</t>
        </is>
      </c>
      <c r="E32" t="inlineStr">
        <is>
          <t>https://lpjk.pu.go.id/search-badan-usaha-detail/WXVueWJvZlhjUEd3dkt3a2cvMDhzZz09</t>
        </is>
      </c>
      <c r="F32" t="n">
        <v>5</v>
      </c>
      <c r="G32" t="inlineStr">
        <is>
          <t>BG001, BG002, BG004, BG007, BG009</t>
        </is>
      </c>
      <c r="H32" t="inlineStr">
        <is>
          <t>3 Mei 2012</t>
        </is>
      </c>
      <c r="I32" s="2" t="n">
        <v>46225</v>
      </c>
      <c r="J32" t="inlineStr">
        <is>
          <t>Disetujui, Pembekuan</t>
        </is>
      </c>
      <c r="K32" t="n">
        <v>60</v>
      </c>
      <c r="L32" t="inlineStr">
        <is>
          <t>22 Juli 2026</t>
        </is>
      </c>
      <c r="M32" t="inlineStr">
        <is>
          <t>Konstruksi Gedung Hunian, Konstruksi Gedung Lainnya, Konstruksi Gedung Penginapan, Konstruksi Gedung Perbelanjaan, Konstruksi Gedung Perkantoran</t>
        </is>
      </c>
      <c r="N32" t="inlineStr">
        <is>
          <t>K</t>
        </is>
      </c>
      <c r="O32" t="inlineStr">
        <is>
          <t>20230615</t>
        </is>
      </c>
      <c r="P32" t="inlineStr">
        <is>
          <t>Aceh</t>
        </is>
      </c>
      <c r="Q32" t="inlineStr"/>
    </row>
    <row r="33">
      <c r="A33" t="inlineStr">
        <is>
          <t>TINADI DARYA</t>
        </is>
      </c>
      <c r="B33" t="inlineStr">
        <is>
          <t>Kab. Karimun</t>
        </is>
      </c>
      <c r="C33" t="inlineStr">
        <is>
          <t>085238206684</t>
        </is>
      </c>
      <c r="D33" t="inlineStr">
        <is>
          <t>cv.tinadidarya@gmail.com</t>
        </is>
      </c>
      <c r="E33" t="inlineStr">
        <is>
          <t>https://lpjk.pu.go.id/search-badan-usaha-detail/bEgxK3lML2pTRU1FUFNvSEJLOU5HQT09</t>
        </is>
      </c>
      <c r="F33" t="n">
        <v>2</v>
      </c>
      <c r="G33" t="inlineStr">
        <is>
          <t>BG006, BG009</t>
        </is>
      </c>
      <c r="H33" t="inlineStr">
        <is>
          <t>26 Januari 2021</t>
        </is>
      </c>
      <c r="I33" s="2" t="n">
        <v>46225</v>
      </c>
      <c r="J33" t="inlineStr">
        <is>
          <t>Disetujui</t>
        </is>
      </c>
      <c r="K33" t="n">
        <v>60</v>
      </c>
      <c r="L33" t="inlineStr">
        <is>
          <t>22 Juli 2026</t>
        </is>
      </c>
      <c r="M33" t="inlineStr">
        <is>
          <t>Konstruksi Gedung Lainnya, Konstruksi Gedung Pendidikan</t>
        </is>
      </c>
      <c r="N33" t="inlineStr">
        <is>
          <t>K</t>
        </is>
      </c>
      <c r="O33" t="inlineStr">
        <is>
          <t>20230519, 20230722</t>
        </is>
      </c>
      <c r="P33" t="inlineStr">
        <is>
          <t>Kepulauan Riau</t>
        </is>
      </c>
      <c r="Q33" t="inlineStr"/>
    </row>
    <row r="34">
      <c r="A34" t="inlineStr">
        <is>
          <t>TUJUH LANGIT UTARA</t>
        </is>
      </c>
      <c r="B34" t="inlineStr">
        <is>
          <t>Kab. Tanah Bumbu</t>
        </is>
      </c>
      <c r="C34" t="inlineStr">
        <is>
          <t>085251325002</t>
        </is>
      </c>
      <c r="D34" t="inlineStr">
        <is>
          <t>cv.7langit.utara@gmail.com</t>
        </is>
      </c>
      <c r="E34" t="inlineStr">
        <is>
          <t>https://lpjk.pu.go.id/search-badan-usaha-detail/MTcwMkJSMXdPd2V2ZWFOS2tVMmNQQT09</t>
        </is>
      </c>
      <c r="F34" t="n">
        <v>1</v>
      </c>
      <c r="G34" t="inlineStr">
        <is>
          <t>BG002</t>
        </is>
      </c>
      <c r="H34" t="inlineStr">
        <is>
          <t>25 November 2019</t>
        </is>
      </c>
      <c r="I34" s="2" t="n">
        <v>46225</v>
      </c>
      <c r="J34" t="inlineStr">
        <is>
          <t>Disetujui</t>
        </is>
      </c>
      <c r="K34" t="n">
        <v>60</v>
      </c>
      <c r="L34" t="inlineStr">
        <is>
          <t>22 Juli 2026</t>
        </is>
      </c>
      <c r="M34" t="inlineStr">
        <is>
          <t>Konstruksi Gedung Perkantoran</t>
        </is>
      </c>
      <c r="N34" t="inlineStr">
        <is>
          <t>K</t>
        </is>
      </c>
      <c r="O34" t="inlineStr">
        <is>
          <t>20230722</t>
        </is>
      </c>
      <c r="P34" t="inlineStr">
        <is>
          <t>Kalimantan Selatan</t>
        </is>
      </c>
      <c r="Q3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34"/>
  <sheetViews>
    <sheetView workbookViewId="0">
      <selection activeCell="A1" sqref="A1"/>
    </sheetView>
  </sheetViews>
  <sheetFormatPr baseColWidth="8" defaultRowHeight="15"/>
  <cols>
    <col width="38" customWidth="1" min="1" max="1"/>
    <col width="27" customWidth="1" min="2" max="2"/>
    <col width="16" customWidth="1" min="3" max="3"/>
    <col width="39" customWidth="1" min="4" max="4"/>
    <col width="50" customWidth="1" min="5" max="5"/>
    <col width="18" customWidth="1" min="6" max="6"/>
    <col width="42" customWidth="1" min="7" max="7"/>
    <col width="20" customWidth="1" min="8" max="8"/>
    <col width="28" customWidth="1" min="9" max="9"/>
    <col width="40"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AGHIRA HIDRA KONSULTAN</t>
        </is>
      </c>
      <c r="B2" t="inlineStr">
        <is>
          <t>Kota Bogor</t>
        </is>
      </c>
      <c r="C2" t="inlineStr">
        <is>
          <t>085697479288</t>
        </is>
      </c>
      <c r="D2" t="inlineStr">
        <is>
          <t>aghidra.consult@gmail.com</t>
        </is>
      </c>
      <c r="E2" t="inlineStr">
        <is>
          <t>https://lpjk.pu.go.id/search-badan-usaha-detail/Z0RpTmdQTWEyeVMwVVNBd214b3M4Zz09</t>
        </is>
      </c>
      <c r="F2" t="n">
        <v>4</v>
      </c>
      <c r="G2" t="inlineStr">
        <is>
          <t>RK001, RK002, RK003, RK005</t>
        </is>
      </c>
      <c r="H2" t="inlineStr">
        <is>
          <t>27 Maret 2023</t>
        </is>
      </c>
      <c r="I2" s="2" t="n">
        <v>46195</v>
      </c>
      <c r="J2" t="inlineStr">
        <is>
          <t>Disetujui</t>
        </is>
      </c>
      <c r="K2" t="n">
        <v>30</v>
      </c>
      <c r="L2" t="inlineStr">
        <is>
          <t>22 Juni 2026</t>
        </is>
      </c>
      <c r="M2" t="inlineStr">
        <is>
          <t>Jasa Rekayasa Konstruksi Bangunan Gedung Hunian dan Non Hunian, Jasa Rekayasa Lainnya, Jasa Rekayasa Pekerjaan Teknik Sipil Sumber Daya Air, Jasa Rekayasa Pekerjaan Teknik Sipil Transportasi</t>
        </is>
      </c>
      <c r="N2" t="inlineStr">
        <is>
          <t>K</t>
        </is>
      </c>
      <c r="O2" t="inlineStr">
        <is>
          <t>20230405, 20230614</t>
        </is>
      </c>
      <c r="P2" t="inlineStr">
        <is>
          <t>Jawa Barat</t>
        </is>
      </c>
      <c r="Q2" s="3">
        <f>HYPERLINK("https://wa.me/6285697479288?text=*[Pengingat Masa Berlaku SBU AGHIRA HIDRA KONSULTAN]*%0A%0AYth. Pimpinan AGHIRA HIDRA KONSULTAN,%0AMohon izin menginformasikan status SBU Anda:%0A%0A📄 SBU: RK001, RK002, RK003, RK005%0A📅 Expired: 22 Juni 2026 (30 Hari Lagi)%0A%0AKami tim PT. ESDEA Assistance Management siap men-support proses perpanjangan segera.", "Hubungi")</f>
        <v/>
      </c>
    </row>
    <row r="3">
      <c r="A3" t="inlineStr">
        <is>
          <t>ANUGERAH SEJAHTERA MANDIRI</t>
        </is>
      </c>
      <c r="B3" t="inlineStr">
        <is>
          <t>Kota Depok</t>
        </is>
      </c>
      <c r="C3" t="inlineStr">
        <is>
          <t>081292586812</t>
        </is>
      </c>
      <c r="D3" t="inlineStr">
        <is>
          <t>cv.anugerahsejahteramandiri@ymail.com</t>
        </is>
      </c>
      <c r="E3" t="inlineStr">
        <is>
          <t>https://lpjk.pu.go.id/search-badan-usaha-detail/S2ZldklhdUVrYlVjdTNNNldvQVF1QT09</t>
        </is>
      </c>
      <c r="F3" t="n">
        <v>4</v>
      </c>
      <c r="G3" t="inlineStr">
        <is>
          <t>BG006, BG009, BS001, BS004</t>
        </is>
      </c>
      <c r="H3" t="inlineStr">
        <is>
          <t>22 Juni 2012</t>
        </is>
      </c>
      <c r="I3" s="2" t="n">
        <v>46195</v>
      </c>
      <c r="J3" t="inlineStr">
        <is>
          <t>Pencabutan</t>
        </is>
      </c>
      <c r="K3" t="n">
        <v>30</v>
      </c>
      <c r="L3" t="inlineStr">
        <is>
          <t>22 Juni 2026</t>
        </is>
      </c>
      <c r="M3" t="inlineStr">
        <is>
          <t>Konstruksi Bangunan Sipil Jalan, Konstruksi Gedung Lainnya, Konstruksi Gedung Pendidikan, Konstruksi Jaringan Irigasi dan Drainase</t>
        </is>
      </c>
      <c r="N3" t="inlineStr">
        <is>
          <t>K</t>
        </is>
      </c>
      <c r="O3" t="inlineStr">
        <is>
          <t>20230621</t>
        </is>
      </c>
      <c r="P3" t="inlineStr">
        <is>
          <t>Jawa Barat</t>
        </is>
      </c>
      <c r="Q3" s="3">
        <f>HYPERLINK("https://wa.me/6281292586812?text=*[Pengingat Masa Berlaku SBU ANUGERAH SEJAHTERA MANDIRI]*%0A%0AYth. Pimpinan ANUGERAH SEJAHTERA MANDIRI,%0AMohon izin menginformasikan status SBU Anda:%0A%0A📄 SBU: BG006, BG009, BS001, BS004%0A📅 Expired: 22 Juni 2026 (30 Hari Lagi)%0A%0AKami tim PT. ESDEA Assistance Management siap men-support proses perpanjangan segera.", "Hubungi")</f>
        <v/>
      </c>
    </row>
    <row r="4">
      <c r="A4" t="inlineStr">
        <is>
          <t>BENGKEL KREASI</t>
        </is>
      </c>
      <c r="B4" t="inlineStr">
        <is>
          <t>Kab. Bekasi</t>
        </is>
      </c>
      <c r="C4" t="inlineStr">
        <is>
          <t>081292663135</t>
        </is>
      </c>
      <c r="D4" t="inlineStr">
        <is>
          <t>bengkelkreasi.official@gmail.com</t>
        </is>
      </c>
      <c r="E4" t="inlineStr">
        <is>
          <t>https://lpjk.pu.go.id/search-badan-usaha-detail/bWxvc1NDdndWQ21oQXdaaHJRbVArUT09</t>
        </is>
      </c>
      <c r="F4" t="n">
        <v>2</v>
      </c>
      <c r="G4" t="inlineStr">
        <is>
          <t>AR002, AR003</t>
        </is>
      </c>
      <c r="H4" t="inlineStr">
        <is>
          <t>21 Februari 2025</t>
        </is>
      </c>
      <c r="I4" s="2" t="n">
        <v>46195</v>
      </c>
      <c r="J4" t="inlineStr">
        <is>
          <t>Disetujui</t>
        </is>
      </c>
      <c r="K4" t="n">
        <v>30</v>
      </c>
      <c r="L4" t="inlineStr">
        <is>
          <t>22 Juni 2026</t>
        </is>
      </c>
      <c r="M4" t="inlineStr">
        <is>
          <t>Jasa Arsitektural Lainnya, Jasa Desain Interior pada Bangunan Gedung dan Bangunan Sipil</t>
        </is>
      </c>
      <c r="N4" t="inlineStr">
        <is>
          <t>K</t>
        </is>
      </c>
      <c r="O4" t="inlineStr">
        <is>
          <t>20230601</t>
        </is>
      </c>
      <c r="P4" t="inlineStr">
        <is>
          <t>Jawa Barat</t>
        </is>
      </c>
      <c r="Q4" s="3">
        <f>HYPERLINK("https://wa.me/6281292663135?text=*[Pengingat Masa Berlaku SBU BENGKEL KREASI]*%0A%0AYth. Pimpinan BENGKEL KREASI,%0AMohon izin menginformasikan status SBU Anda:%0A%0A📄 SBU: AR002, AR003%0A📅 Expired: 22 Juni 2026 (30 Hari Lagi)%0A%0AKami tim PT. ESDEA Assistance Management siap men-support proses perpanjangan segera.", "Hubungi")</f>
        <v/>
      </c>
    </row>
    <row r="5">
      <c r="A5" t="inlineStr">
        <is>
          <t>BETAPRIMA</t>
        </is>
      </c>
      <c r="B5" t="inlineStr">
        <is>
          <t>Kab. Bogor</t>
        </is>
      </c>
      <c r="C5" t="inlineStr">
        <is>
          <t>02187919036</t>
        </is>
      </c>
      <c r="D5" t="inlineStr">
        <is>
          <t>belman_betaprima@yahoo.com</t>
        </is>
      </c>
      <c r="E5" t="inlineStr">
        <is>
          <t>https://lpjk.pu.go.id/search-badan-usaha-detail/ZGF6cnV4ZzZQTVpQbHozcGRCcHE2QT09</t>
        </is>
      </c>
      <c r="F5" t="n">
        <v>2</v>
      </c>
      <c r="G5" t="inlineStr">
        <is>
          <t>BS002</t>
        </is>
      </c>
      <c r="H5" t="inlineStr">
        <is>
          <t>10 Februari 2011</t>
        </is>
      </c>
      <c r="I5" s="2" t="n">
        <v>46195</v>
      </c>
      <c r="J5" t="inlineStr">
        <is>
          <t>Disetujui</t>
        </is>
      </c>
      <c r="K5" t="n">
        <v>30</v>
      </c>
      <c r="L5" t="inlineStr">
        <is>
          <t>22 Juni 2026</t>
        </is>
      </c>
      <c r="M5" t="inlineStr">
        <is>
          <t>Bangunan Sipil Jembatan, Jalan Layang, Fly Over, dan Underpass</t>
        </is>
      </c>
      <c r="N5" t="inlineStr">
        <is>
          <t>K</t>
        </is>
      </c>
      <c r="O5" t="inlineStr">
        <is>
          <t>20230621</t>
        </is>
      </c>
      <c r="P5" t="inlineStr">
        <is>
          <t>Jawa Barat</t>
        </is>
      </c>
      <c r="Q5" t="inlineStr"/>
    </row>
    <row r="6">
      <c r="A6" t="inlineStr">
        <is>
          <t>DINAR NAZMI</t>
        </is>
      </c>
      <c r="B6" t="inlineStr">
        <is>
          <t>Kab. Bogor</t>
        </is>
      </c>
      <c r="C6" t="inlineStr">
        <is>
          <t>08158377738</t>
        </is>
      </c>
      <c r="D6" t="inlineStr">
        <is>
          <t>cvdinarnazmi@gmail.com</t>
        </is>
      </c>
      <c r="E6" t="inlineStr">
        <is>
          <t>https://lpjk.pu.go.id/search-badan-usaha-detail/Mk5ncFJjN3NyRTVCeGdqek0vZCtadz09</t>
        </is>
      </c>
      <c r="F6" t="n">
        <v>3</v>
      </c>
      <c r="G6" t="inlineStr">
        <is>
          <t>BS004</t>
        </is>
      </c>
      <c r="H6" t="inlineStr">
        <is>
          <t>19 Maret 2021</t>
        </is>
      </c>
      <c r="I6" s="2" t="n">
        <v>46195</v>
      </c>
      <c r="J6" t="inlineStr">
        <is>
          <t>Disetujui</t>
        </is>
      </c>
      <c r="K6" t="n">
        <v>30</v>
      </c>
      <c r="L6" t="inlineStr">
        <is>
          <t>22 Juni 2026</t>
        </is>
      </c>
      <c r="M6" t="inlineStr">
        <is>
          <t>Konstruksi Jaringan Irigasi dan Drainase</t>
        </is>
      </c>
      <c r="N6" t="inlineStr">
        <is>
          <t>K</t>
        </is>
      </c>
      <c r="O6" t="inlineStr">
        <is>
          <t>20230616</t>
        </is>
      </c>
      <c r="P6" t="inlineStr">
        <is>
          <t>Jawa Barat</t>
        </is>
      </c>
      <c r="Q6" s="3">
        <f>HYPERLINK("https://wa.me/628158377738?text=*[Pengingat Masa Berlaku SBU DINAR NAZMI]*%0A%0AYth. Pimpinan DINAR NAZMI,%0AMohon izin menginformasikan status SBU Anda:%0A%0A📄 SBU: BS004%0A📅 Expired: 22 Juni 2026 (30 Hari Lagi)%0A%0AKami tim PT. ESDEA Assistance Management siap men-support proses perpanjangan segera.", "Hubungi")</f>
        <v/>
      </c>
    </row>
    <row r="7">
      <c r="A7" t="inlineStr">
        <is>
          <t>DUTA TONDON PERKASA</t>
        </is>
      </c>
      <c r="B7" t="inlineStr">
        <is>
          <t>Kota Adm. Jakarta Timur</t>
        </is>
      </c>
      <c r="C7" t="inlineStr">
        <is>
          <t>02186604017</t>
        </is>
      </c>
      <c r="D7" t="inlineStr">
        <is>
          <t>pt.dutatondonperkasa62@gmail.com</t>
        </is>
      </c>
      <c r="E7" t="inlineStr">
        <is>
          <t>https://lpjk.pu.go.id/search-badan-usaha-detail/NHYzakpHdHpkdjZpUWVyZFltQ2oxdz09</t>
        </is>
      </c>
      <c r="F7" t="n">
        <v>2</v>
      </c>
      <c r="G7" t="inlineStr">
        <is>
          <t>BG009</t>
        </is>
      </c>
      <c r="H7" t="inlineStr">
        <is>
          <t>28 Desember 1996</t>
        </is>
      </c>
      <c r="I7" s="2" t="n">
        <v>46195</v>
      </c>
      <c r="J7" t="inlineStr">
        <is>
          <t>Disetujui</t>
        </is>
      </c>
      <c r="K7" t="n">
        <v>30</v>
      </c>
      <c r="L7" t="inlineStr">
        <is>
          <t>22 Juni 2026</t>
        </is>
      </c>
      <c r="M7" t="inlineStr">
        <is>
          <t>Konstruksi Gedung Lainnya</t>
        </is>
      </c>
      <c r="N7" t="inlineStr">
        <is>
          <t>K</t>
        </is>
      </c>
      <c r="O7" t="inlineStr">
        <is>
          <t>20230612</t>
        </is>
      </c>
      <c r="P7" t="inlineStr">
        <is>
          <t>DKI Jakarta</t>
        </is>
      </c>
      <c r="Q7" t="inlineStr"/>
    </row>
    <row r="8">
      <c r="A8" t="inlineStr">
        <is>
          <t>ELLA MULYA</t>
        </is>
      </c>
      <c r="B8" t="inlineStr">
        <is>
          <t>Kab. Bogor</t>
        </is>
      </c>
      <c r="C8" t="inlineStr">
        <is>
          <t>85925067158</t>
        </is>
      </c>
      <c r="D8" t="inlineStr">
        <is>
          <t>cv.ellamulya@gmail.com</t>
        </is>
      </c>
      <c r="E8" t="inlineStr">
        <is>
          <t>https://lpjk.pu.go.id/search-badan-usaha-detail/VVRvVFNkZExMVGlSanJESmIvWVo4UT09</t>
        </is>
      </c>
      <c r="F8" t="n">
        <v>1</v>
      </c>
      <c r="G8" t="inlineStr">
        <is>
          <t>BS002</t>
        </is>
      </c>
      <c r="H8" t="inlineStr">
        <is>
          <t>16 Maret 2020</t>
        </is>
      </c>
      <c r="I8" s="2" t="n">
        <v>46195</v>
      </c>
      <c r="J8" t="inlineStr">
        <is>
          <t>Disetujui</t>
        </is>
      </c>
      <c r="K8" t="n">
        <v>30</v>
      </c>
      <c r="L8" t="inlineStr">
        <is>
          <t>22 Juni 2026</t>
        </is>
      </c>
      <c r="M8" t="inlineStr">
        <is>
          <t>Bangunan Sipil Jembatan, Jalan Layang, Fly Over, dan Underpass</t>
        </is>
      </c>
      <c r="N8" t="inlineStr">
        <is>
          <t>K</t>
        </is>
      </c>
      <c r="O8" t="inlineStr">
        <is>
          <t>20230621</t>
        </is>
      </c>
      <c r="P8" t="inlineStr">
        <is>
          <t>Jawa Barat</t>
        </is>
      </c>
      <c r="Q8" s="3">
        <f>HYPERLINK("https://wa.me/6285925067158?text=*[Pengingat Masa Berlaku SBU ELLA MULYA]*%0A%0AYth. Pimpinan ELLA MULYA,%0AMohon izin menginformasikan status SBU Anda:%0A%0A📄 SBU: BS002%0A📅 Expired: 22 Juni 2026 (30 Hari Lagi)%0A%0AKami tim PT. ESDEA Assistance Management siap men-support proses perpanjangan segera.", "Hubungi")</f>
        <v/>
      </c>
    </row>
    <row r="9">
      <c r="A9" t="inlineStr">
        <is>
          <t>LOGAWA MITRA PERKASA</t>
        </is>
      </c>
      <c r="B9" t="inlineStr">
        <is>
          <t>Kota Bekasi</t>
        </is>
      </c>
      <c r="C9" t="inlineStr">
        <is>
          <t>08119901111</t>
        </is>
      </c>
      <c r="D9" t="inlineStr">
        <is>
          <t>logawamitraperkasa70@gmail.com</t>
        </is>
      </c>
      <c r="E9" t="inlineStr">
        <is>
          <t>https://lpjk.pu.go.id/search-badan-usaha-detail/K1M1MWxxZUEwZTY4cjBzV1Q4WGo4UT09</t>
        </is>
      </c>
      <c r="F9" t="n">
        <v>2</v>
      </c>
      <c r="G9" t="inlineStr">
        <is>
          <t>BG009, BS001</t>
        </is>
      </c>
      <c r="H9" t="inlineStr">
        <is>
          <t>5 Desember 2017</t>
        </is>
      </c>
      <c r="I9" s="2" t="n">
        <v>46195</v>
      </c>
      <c r="J9" t="inlineStr">
        <is>
          <t>Disetujui</t>
        </is>
      </c>
      <c r="K9" t="n">
        <v>30</v>
      </c>
      <c r="L9" t="inlineStr">
        <is>
          <t>22 Juni 2026</t>
        </is>
      </c>
      <c r="M9" t="inlineStr">
        <is>
          <t>Konstruksi Bangunan Sipil Jalan, Konstruksi Gedung Lainnya</t>
        </is>
      </c>
      <c r="N9" t="inlineStr">
        <is>
          <t>K</t>
        </is>
      </c>
      <c r="O9" t="inlineStr">
        <is>
          <t>20230621</t>
        </is>
      </c>
      <c r="P9" t="inlineStr">
        <is>
          <t>Jawa Barat</t>
        </is>
      </c>
      <c r="Q9" s="3">
        <f>HYPERLINK("https://wa.me/628119901111?text=*[Pengingat Masa Berlaku SBU LOGAWA MITRA PERKASA]*%0A%0AYth. Pimpinan LOGAWA MITRA PERKASA,%0AMohon izin menginformasikan status SBU Anda:%0A%0A📄 SBU: BG009, BS001%0A📅 Expired: 22 Juni 2026 (30 Hari Lagi)%0A%0AKami tim PT. ESDEA Assistance Management siap men-support proses perpanjangan segera.", "Hubungi")</f>
        <v/>
      </c>
    </row>
    <row r="10">
      <c r="A10" t="inlineStr">
        <is>
          <t>METRO SUKSES BERKARYA</t>
        </is>
      </c>
      <c r="B10" t="inlineStr">
        <is>
          <t>Kota Adm. Jakarta Timur</t>
        </is>
      </c>
      <c r="C10" t="inlineStr">
        <is>
          <t>02182695850</t>
        </is>
      </c>
      <c r="D10" t="inlineStr">
        <is>
          <t>metsuka99@gmail.com</t>
        </is>
      </c>
      <c r="E10" t="inlineStr">
        <is>
          <t>https://lpjk.pu.go.id/search-badan-usaha-detail/RVdoMGoyUW0zbGQvMzdreWZNa3I1Zz09</t>
        </is>
      </c>
      <c r="F10" t="n">
        <v>2</v>
      </c>
      <c r="G10" t="inlineStr">
        <is>
          <t>BG001, BG009</t>
        </is>
      </c>
      <c r="H10" t="inlineStr">
        <is>
          <t>23 Desember 2014</t>
        </is>
      </c>
      <c r="I10" s="2" t="n">
        <v>46195</v>
      </c>
      <c r="J10" t="inlineStr">
        <is>
          <t>Disetujui</t>
        </is>
      </c>
      <c r="K10" t="n">
        <v>30</v>
      </c>
      <c r="L10" t="inlineStr">
        <is>
          <t>22 Juni 2026</t>
        </is>
      </c>
      <c r="M10" t="inlineStr">
        <is>
          <t>Konstruksi Gedung Hunian, Konstruksi Gedung Lainnya</t>
        </is>
      </c>
      <c r="N10" t="inlineStr">
        <is>
          <t>K</t>
        </is>
      </c>
      <c r="O10" t="inlineStr">
        <is>
          <t>20230622</t>
        </is>
      </c>
      <c r="P10" t="inlineStr">
        <is>
          <t>DKI Jakarta</t>
        </is>
      </c>
      <c r="Q10" t="inlineStr"/>
    </row>
    <row r="11">
      <c r="A11" t="inlineStr">
        <is>
          <t>MITRA BANGUN SELAMAT</t>
        </is>
      </c>
      <c r="B11" t="inlineStr">
        <is>
          <t>Kab. Bogor</t>
        </is>
      </c>
      <c r="C11" t="inlineStr">
        <is>
          <t>085780565937</t>
        </is>
      </c>
      <c r="D11" t="inlineStr">
        <is>
          <t>mitrabangunslamet@gmail.com</t>
        </is>
      </c>
      <c r="E11" t="inlineStr">
        <is>
          <t>https://lpjk.pu.go.id/search-badan-usaha-detail/TGVKSnFicUdpSzhqKzMyT3R4OGk5UT09</t>
        </is>
      </c>
      <c r="F11" t="n">
        <v>3</v>
      </c>
      <c r="G11" t="inlineStr">
        <is>
          <t>BG001, BG004, BG006</t>
        </is>
      </c>
      <c r="H11" t="inlineStr">
        <is>
          <t>4 Desember 2013</t>
        </is>
      </c>
      <c r="I11" s="2" t="n">
        <v>46195</v>
      </c>
      <c r="J11" t="inlineStr">
        <is>
          <t>Pencabutan</t>
        </is>
      </c>
      <c r="K11" t="n">
        <v>30</v>
      </c>
      <c r="L11" t="inlineStr">
        <is>
          <t>22 Juni 2026</t>
        </is>
      </c>
      <c r="M11" t="inlineStr">
        <is>
          <t>Konstruksi Gedung Hunian, Konstruksi Gedung Pendidikan, Konstruksi Gedung Perbelanjaan</t>
        </is>
      </c>
      <c r="N11" t="inlineStr">
        <is>
          <t>K</t>
        </is>
      </c>
      <c r="O11" t="inlineStr">
        <is>
          <t>20230615</t>
        </is>
      </c>
      <c r="P11" t="inlineStr">
        <is>
          <t>Jawa Barat</t>
        </is>
      </c>
      <c r="Q11" s="3">
        <f>HYPERLINK("https://wa.me/6285780565937?text=*[Pengingat Masa Berlaku SBU MITRA BANGUN SELAMAT]*%0A%0AYth. Pimpinan MITRA BANGUN SELAMAT,%0AMohon izin menginformasikan status SBU Anda:%0A%0A📄 SBU: BG001, BG004, BG006%0A📅 Expired: 22 Juni 2026 (30 Hari Lagi)%0A%0AKami tim PT. ESDEA Assistance Management siap men-support proses perpanjangan segera.", "Hubungi")</f>
        <v/>
      </c>
    </row>
    <row r="12">
      <c r="A12" t="inlineStr">
        <is>
          <t>MUSTIKA WIJAYA KUSUMA</t>
        </is>
      </c>
      <c r="B12" t="inlineStr">
        <is>
          <t>Kab. Bekasi</t>
        </is>
      </c>
      <c r="C12" t="inlineStr">
        <is>
          <t>085784627871</t>
        </is>
      </c>
      <c r="D12" t="inlineStr">
        <is>
          <t>mustikawijayakusuma79@gmail.com</t>
        </is>
      </c>
      <c r="E12" t="inlineStr">
        <is>
          <t>https://lpjk.pu.go.id/search-badan-usaha-detail/Y1JENm9oeCszWlNXclZUZDJGaVJjQT09</t>
        </is>
      </c>
      <c r="F12" t="n">
        <v>1</v>
      </c>
      <c r="G12" t="inlineStr">
        <is>
          <t>BS001</t>
        </is>
      </c>
      <c r="H12" t="inlineStr">
        <is>
          <t>10 Februari 2020</t>
        </is>
      </c>
      <c r="I12" s="2" t="n">
        <v>46195</v>
      </c>
      <c r="J12" t="inlineStr">
        <is>
          <t>Disetujui</t>
        </is>
      </c>
      <c r="K12" t="n">
        <v>30</v>
      </c>
      <c r="L12" t="inlineStr">
        <is>
          <t>22 Juni 2026</t>
        </is>
      </c>
      <c r="M12" t="inlineStr">
        <is>
          <t>Konstruksi Bangunan Sipil Jalan</t>
        </is>
      </c>
      <c r="N12" t="inlineStr">
        <is>
          <t>K</t>
        </is>
      </c>
      <c r="O12" t="inlineStr">
        <is>
          <t>20230621</t>
        </is>
      </c>
      <c r="P12" t="inlineStr">
        <is>
          <t>Jawa Barat</t>
        </is>
      </c>
      <c r="Q12" s="3">
        <f>HYPERLINK("https://wa.me/6285784627871?text=*[Pengingat Masa Berlaku SBU MUSTIKA WIJAYA KUSUMA]*%0A%0AYth. Pimpinan MUSTIKA WIJAYA KUSUMA,%0AMohon izin menginformasikan status SBU Anda:%0A%0A📄 SBU: BS001%0A📅 Expired: 22 Juni 2026 (30 Hari Lagi)%0A%0AKami tim PT. ESDEA Assistance Management siap men-support proses perpanjangan segera.", "Hubungi")</f>
        <v/>
      </c>
    </row>
    <row r="13">
      <c r="A13" t="inlineStr">
        <is>
          <t>NUSA UTAMA KONSTRUKSI</t>
        </is>
      </c>
      <c r="B13" t="inlineStr">
        <is>
          <t>Kota Depok</t>
        </is>
      </c>
      <c r="C13" t="inlineStr">
        <is>
          <t>081288899261</t>
        </is>
      </c>
      <c r="D13" t="inlineStr">
        <is>
          <t>nusautama.pt@gmail.com</t>
        </is>
      </c>
      <c r="E13" t="inlineStr">
        <is>
          <t>https://lpjk.pu.go.id/search-badan-usaha-detail/QVpuaUFIZFp0dk0zS3BXbXczNzJTZz09</t>
        </is>
      </c>
      <c r="F13" t="n">
        <v>1</v>
      </c>
      <c r="G13" t="inlineStr">
        <is>
          <t>BG003</t>
        </is>
      </c>
      <c r="H13" t="inlineStr">
        <is>
          <t>20 September 2019</t>
        </is>
      </c>
      <c r="I13" s="2" t="n">
        <v>46195</v>
      </c>
      <c r="J13" t="inlineStr">
        <is>
          <t>Pencabutan</t>
        </is>
      </c>
      <c r="K13" t="n">
        <v>30</v>
      </c>
      <c r="L13" t="inlineStr">
        <is>
          <t>22 Juni 2026</t>
        </is>
      </c>
      <c r="M13" t="inlineStr">
        <is>
          <t>Konstruksi Gedung Industri</t>
        </is>
      </c>
      <c r="N13" t="inlineStr">
        <is>
          <t>K</t>
        </is>
      </c>
      <c r="O13" t="inlineStr">
        <is>
          <t>20230619</t>
        </is>
      </c>
      <c r="P13" t="inlineStr">
        <is>
          <t>Jawa Barat</t>
        </is>
      </c>
      <c r="Q13" s="3">
        <f>HYPERLINK("https://wa.me/6281288899261?text=*[Pengingat Masa Berlaku SBU NUSA UTAMA KONSTRUKSI]*%0A%0AYth. Pimpinan NUSA UTAMA KONSTRUKSI,%0AMohon izin menginformasikan status SBU Anda:%0A%0A📄 SBU: BG003%0A📅 Expired: 22 Juni 2026 (30 Hari Lagi)%0A%0AKami tim PT. ESDEA Assistance Management siap men-support proses perpanjangan segera.", "Hubungi")</f>
        <v/>
      </c>
    </row>
    <row r="14">
      <c r="A14" t="inlineStr">
        <is>
          <t>PRIMA PELANGI ABADI</t>
        </is>
      </c>
      <c r="B14" t="inlineStr">
        <is>
          <t>Kota Adm. Jakarta Timur</t>
        </is>
      </c>
      <c r="C14" t="inlineStr">
        <is>
          <t>02129825429</t>
        </is>
      </c>
      <c r="D14" t="inlineStr">
        <is>
          <t>primapelangiabadi@ymail.com</t>
        </is>
      </c>
      <c r="E14" t="inlineStr">
        <is>
          <t>https://lpjk.pu.go.id/search-badan-usaha-detail/RGFVWStaVmZ0LzlRb3owZ2xhQ2U3QT09</t>
        </is>
      </c>
      <c r="F14" t="n">
        <v>2</v>
      </c>
      <c r="G14" t="inlineStr">
        <is>
          <t>BG003, BG009</t>
        </is>
      </c>
      <c r="H14" t="inlineStr">
        <is>
          <t>19 Agustus 2011</t>
        </is>
      </c>
      <c r="I14" s="2" t="n">
        <v>46195</v>
      </c>
      <c r="J14" t="inlineStr">
        <is>
          <t>Disetujui</t>
        </is>
      </c>
      <c r="K14" t="n">
        <v>30</v>
      </c>
      <c r="L14" t="inlineStr">
        <is>
          <t>22 Juni 2026</t>
        </is>
      </c>
      <c r="M14" t="inlineStr">
        <is>
          <t>Konstruksi Gedung Industri, Konstruksi Gedung Lainnya</t>
        </is>
      </c>
      <c r="N14" t="inlineStr">
        <is>
          <t>K</t>
        </is>
      </c>
      <c r="O14" t="inlineStr">
        <is>
          <t>20230620</t>
        </is>
      </c>
      <c r="P14" t="inlineStr">
        <is>
          <t>DKI Jakarta</t>
        </is>
      </c>
      <c r="Q14" t="inlineStr"/>
    </row>
    <row r="15">
      <c r="A15" t="inlineStr">
        <is>
          <t>PUTRA TOBA HAMONANGAN</t>
        </is>
      </c>
      <c r="B15" t="inlineStr">
        <is>
          <t>Kota Depok</t>
        </is>
      </c>
      <c r="C15" t="inlineStr">
        <is>
          <t>081319921606</t>
        </is>
      </c>
      <c r="D15" t="inlineStr">
        <is>
          <t>tobahamonanganputra@yahoo.com</t>
        </is>
      </c>
      <c r="E15" t="inlineStr">
        <is>
          <t>https://lpjk.pu.go.id/search-badan-usaha-detail/clh5L3NDeFlSTXNUakVHd1FOS2ZzUT09</t>
        </is>
      </c>
      <c r="F15" t="n">
        <v>1</v>
      </c>
      <c r="G15" t="inlineStr">
        <is>
          <t>BG009</t>
        </is>
      </c>
      <c r="H15" t="inlineStr">
        <is>
          <t>5 Februari 2010</t>
        </is>
      </c>
      <c r="I15" s="2" t="n">
        <v>46195</v>
      </c>
      <c r="J15" t="inlineStr">
        <is>
          <t>Disetujui</t>
        </is>
      </c>
      <c r="K15" t="n">
        <v>30</v>
      </c>
      <c r="L15" t="inlineStr">
        <is>
          <t>22 Juni 2026</t>
        </is>
      </c>
      <c r="M15" t="inlineStr">
        <is>
          <t>Konstruksi Gedung Lainnya</t>
        </is>
      </c>
      <c r="N15" t="inlineStr">
        <is>
          <t>K</t>
        </is>
      </c>
      <c r="O15" t="inlineStr">
        <is>
          <t>20230620</t>
        </is>
      </c>
      <c r="P15" t="inlineStr">
        <is>
          <t>Jawa Barat</t>
        </is>
      </c>
      <c r="Q15" s="3">
        <f>HYPERLINK("https://wa.me/6281319921606?text=*[Pengingat Masa Berlaku SBU PUTRA TOBA HAMONANGAN]*%0A%0AYth. Pimpinan PUTRA TOBA HAMONANGAN,%0AMohon izin menginformasikan status SBU Anda:%0A%0A📄 SBU: BG009%0A📅 Expired: 22 Juni 2026 (30 Hari Lagi)%0A%0AKami tim PT. ESDEA Assistance Management siap men-support proses perpanjangan segera.", "Hubungi")</f>
        <v/>
      </c>
    </row>
    <row r="16">
      <c r="A16" t="inlineStr">
        <is>
          <t>RUANG ASRI UNTUKMU</t>
        </is>
      </c>
      <c r="B16" t="inlineStr">
        <is>
          <t>Kota Bekasi</t>
        </is>
      </c>
      <c r="C16" t="inlineStr">
        <is>
          <t>02188961324</t>
        </is>
      </c>
      <c r="D16" t="inlineStr">
        <is>
          <t>raumhaus@yahoo.com</t>
        </is>
      </c>
      <c r="E16" t="inlineStr">
        <is>
          <t>https://lpjk.pu.go.id/search-badan-usaha-detail/a1NSdk5qWEdRQ1FDT2pXa01DS09IQT09</t>
        </is>
      </c>
      <c r="F16" t="n">
        <v>2</v>
      </c>
      <c r="G16" t="inlineStr">
        <is>
          <t>BG002, BG009</t>
        </is>
      </c>
      <c r="H16" t="inlineStr">
        <is>
          <t>6 Agustus 1996</t>
        </is>
      </c>
      <c r="I16" s="2" t="n">
        <v>46195</v>
      </c>
      <c r="J16" t="inlineStr">
        <is>
          <t>Disetujui</t>
        </is>
      </c>
      <c r="K16" t="n">
        <v>30</v>
      </c>
      <c r="L16" t="inlineStr">
        <is>
          <t>22 Juni 2026</t>
        </is>
      </c>
      <c r="M16" t="inlineStr">
        <is>
          <t>Konstruksi Gedung Lainnya, Konstruksi Gedung Perkantoran</t>
        </is>
      </c>
      <c r="N16" t="inlineStr">
        <is>
          <t>K</t>
        </is>
      </c>
      <c r="O16" t="inlineStr">
        <is>
          <t>20230622</t>
        </is>
      </c>
      <c r="P16" t="inlineStr">
        <is>
          <t>Jawa Barat</t>
        </is>
      </c>
      <c r="Q16" t="inlineStr"/>
    </row>
    <row r="17">
      <c r="A17" t="inlineStr">
        <is>
          <t>SARANA KOMUNIKASI DATA</t>
        </is>
      </c>
      <c r="B17" t="inlineStr">
        <is>
          <t>Kab. Bekasi</t>
        </is>
      </c>
      <c r="C17" t="inlineStr">
        <is>
          <t>081398498583</t>
        </is>
      </c>
      <c r="D17" t="inlineStr">
        <is>
          <t>marketing.skd83@gmail.com</t>
        </is>
      </c>
      <c r="E17" t="inlineStr">
        <is>
          <t>https://lpjk.pu.go.id/search-badan-usaha-detail/RmJqWGplQ2RnQzYweWNWdExLdlJSQT09</t>
        </is>
      </c>
      <c r="F17" t="n">
        <v>1</v>
      </c>
      <c r="G17" t="inlineStr">
        <is>
          <t>BS009</t>
        </is>
      </c>
      <c r="H17" t="inlineStr">
        <is>
          <t>26 Juni 2018</t>
        </is>
      </c>
      <c r="I17" s="2" t="n">
        <v>46195</v>
      </c>
      <c r="J17" t="inlineStr">
        <is>
          <t>Disetujui</t>
        </is>
      </c>
      <c r="K17" t="n">
        <v>30</v>
      </c>
      <c r="L17" t="inlineStr">
        <is>
          <t>22 Juni 2026</t>
        </is>
      </c>
      <c r="M17" t="inlineStr">
        <is>
          <t>Konstruksi Sentral Telekomunikasi</t>
        </is>
      </c>
      <c r="N17" t="inlineStr">
        <is>
          <t>M</t>
        </is>
      </c>
      <c r="O17" t="inlineStr">
        <is>
          <t>20230526</t>
        </is>
      </c>
      <c r="P17" t="inlineStr">
        <is>
          <t>Jawa Barat</t>
        </is>
      </c>
      <c r="Q17" s="3">
        <f>HYPERLINK("https://wa.me/6281398498583?text=*[Pengingat Masa Berlaku SBU SARANA KOMUNIKASI DATA]*%0A%0AYth. Pimpinan SARANA KOMUNIKASI DATA,%0AMohon izin menginformasikan status SBU Anda:%0A%0A📄 SBU: BS009%0A📅 Expired: 22 Juni 2026 (30 Hari Lagi)%0A%0AKami tim PT. ESDEA Assistance Management siap men-support proses perpanjangan segera.", "Hubungi")</f>
        <v/>
      </c>
    </row>
    <row r="18">
      <c r="A18" t="inlineStr">
        <is>
          <t>SIMAN KARYA</t>
        </is>
      </c>
      <c r="B18" t="inlineStr">
        <is>
          <t>Kota Depok</t>
        </is>
      </c>
      <c r="C18" t="inlineStr">
        <is>
          <t>081316780320</t>
        </is>
      </c>
      <c r="D18" t="inlineStr">
        <is>
          <t>cv.simankarya@gmail.com</t>
        </is>
      </c>
      <c r="E18" t="inlineStr">
        <is>
          <t>https://lpjk.pu.go.id/search-badan-usaha-detail/MmlUdTFXL1dxREVwdXZQUEs1YnUwdz09</t>
        </is>
      </c>
      <c r="F18" t="n">
        <v>6</v>
      </c>
      <c r="G18" t="inlineStr">
        <is>
          <t>BG009, BS001, BS004</t>
        </is>
      </c>
      <c r="H18" t="inlineStr">
        <is>
          <t>26 Maret 2018</t>
        </is>
      </c>
      <c r="I18" s="2" t="n">
        <v>46195</v>
      </c>
      <c r="J18" t="inlineStr">
        <is>
          <t>Disetujui</t>
        </is>
      </c>
      <c r="K18" t="n">
        <v>30</v>
      </c>
      <c r="L18" t="inlineStr">
        <is>
          <t>22 Juni 2026</t>
        </is>
      </c>
      <c r="M18" t="inlineStr">
        <is>
          <t>Konstruksi Bangunan Sipil Jalan, Konstruksi Gedung Lainnya, Konstruksi Jaringan Irigasi dan Drainase</t>
        </is>
      </c>
      <c r="N18" t="inlineStr">
        <is>
          <t>K</t>
        </is>
      </c>
      <c r="O18" t="inlineStr">
        <is>
          <t>20230524, 20230608, 20230615</t>
        </is>
      </c>
      <c r="P18" t="inlineStr">
        <is>
          <t>Jawa Barat</t>
        </is>
      </c>
      <c r="Q18" s="3">
        <f>HYPERLINK("https://wa.me/6281316780320?text=*[Pengingat Masa Berlaku SBU SIMAN KARYA]*%0A%0AYth. Pimpinan SIMAN KARYA,%0AMohon izin menginformasikan status SBU Anda:%0A%0A📄 SBU: BG009, BS001, BS004%0A📅 Expired: 22 Juni 2026 (30 Hari Lagi)%0A%0AKami tim PT. ESDEA Assistance Management siap men-support proses perpanjangan segera.", "Hubungi")</f>
        <v/>
      </c>
    </row>
    <row r="19">
      <c r="A19" t="inlineStr">
        <is>
          <t>SINAR GADING SAKTI</t>
        </is>
      </c>
      <c r="B19" t="inlineStr">
        <is>
          <t>Kab. Bekasi</t>
        </is>
      </c>
      <c r="C19" t="inlineStr">
        <is>
          <t>02128518989</t>
        </is>
      </c>
      <c r="D19" t="inlineStr">
        <is>
          <t>pt.sinargadingsakti@gmail.com</t>
        </is>
      </c>
      <c r="E19" t="inlineStr">
        <is>
          <t>https://lpjk.pu.go.id/search-badan-usaha-detail/UEwwREJFR3ZNZHduTVI3RGN2Ly90UT09</t>
        </is>
      </c>
      <c r="F19" t="n">
        <v>1</v>
      </c>
      <c r="G19" t="inlineStr">
        <is>
          <t>BG003</t>
        </is>
      </c>
      <c r="H19" t="inlineStr">
        <is>
          <t>5 Oktober 2021</t>
        </is>
      </c>
      <c r="I19" s="2" t="n">
        <v>46195</v>
      </c>
      <c r="J19" t="inlineStr">
        <is>
          <t>Disetujui</t>
        </is>
      </c>
      <c r="K19" t="n">
        <v>30</v>
      </c>
      <c r="L19" t="inlineStr">
        <is>
          <t>22 Juni 2026</t>
        </is>
      </c>
      <c r="M19" t="inlineStr">
        <is>
          <t>Konstruksi Gedung Industri</t>
        </is>
      </c>
      <c r="N19" t="inlineStr">
        <is>
          <t>K</t>
        </is>
      </c>
      <c r="O19" t="inlineStr">
        <is>
          <t>20230616</t>
        </is>
      </c>
      <c r="P19" t="inlineStr">
        <is>
          <t>Jawa Barat</t>
        </is>
      </c>
      <c r="Q19" t="inlineStr"/>
    </row>
    <row r="20">
      <c r="A20" t="inlineStr">
        <is>
          <t>SINERGI CIPTA PRESISI</t>
        </is>
      </c>
      <c r="B20" t="inlineStr">
        <is>
          <t>Kota Adm. Jakarta Timur</t>
        </is>
      </c>
      <c r="C20" t="inlineStr">
        <is>
          <t>02184343657</t>
        </is>
      </c>
      <c r="D20" t="inlineStr">
        <is>
          <t>sinergiciptapresisi@gmail.com</t>
        </is>
      </c>
      <c r="E20" t="inlineStr">
        <is>
          <t>https://lpjk.pu.go.id/search-badan-usaha-detail/VDJMT3ZUeHRtVHVpaFpIV3o4NGtVUT09</t>
        </is>
      </c>
      <c r="F20" t="n">
        <v>1</v>
      </c>
      <c r="G20" t="inlineStr">
        <is>
          <t>BS004</t>
        </is>
      </c>
      <c r="H20" t="inlineStr">
        <is>
          <t>14 Februari 2023</t>
        </is>
      </c>
      <c r="I20" s="2" t="n">
        <v>46195</v>
      </c>
      <c r="J20" t="inlineStr">
        <is>
          <t>Pencabutan</t>
        </is>
      </c>
      <c r="K20" t="n">
        <v>30</v>
      </c>
      <c r="L20" t="inlineStr">
        <is>
          <t>22 Juni 2026</t>
        </is>
      </c>
      <c r="M20" t="inlineStr">
        <is>
          <t>Konstruksi Jaringan Irigasi dan Drainase</t>
        </is>
      </c>
      <c r="N20" t="inlineStr">
        <is>
          <t>K</t>
        </is>
      </c>
      <c r="O20" t="inlineStr">
        <is>
          <t>20230612</t>
        </is>
      </c>
      <c r="P20" t="inlineStr">
        <is>
          <t>DKI Jakarta</t>
        </is>
      </c>
      <c r="Q20" t="inlineStr"/>
    </row>
    <row r="21">
      <c r="A21" t="inlineStr">
        <is>
          <t>SUMBER REJEKI</t>
        </is>
      </c>
      <c r="B21" t="inlineStr">
        <is>
          <t>Kab. Bogor</t>
        </is>
      </c>
      <c r="C21" t="inlineStr">
        <is>
          <t>081282802307</t>
        </is>
      </c>
      <c r="D21" t="inlineStr">
        <is>
          <t>sumberrejeki1982@gmail.com</t>
        </is>
      </c>
      <c r="E21" t="inlineStr">
        <is>
          <t>https://lpjk.pu.go.id/search-badan-usaha-detail/U1BiQm83Ty96SGtFVW9aQUYrSklJUT09</t>
        </is>
      </c>
      <c r="F21" t="n">
        <v>1</v>
      </c>
      <c r="G21" t="inlineStr">
        <is>
          <t>BG005</t>
        </is>
      </c>
      <c r="H21" t="inlineStr">
        <is>
          <t>6 Maret 2014</t>
        </is>
      </c>
      <c r="I21" s="2" t="n">
        <v>46195</v>
      </c>
      <c r="J21" t="inlineStr">
        <is>
          <t>Disetujui</t>
        </is>
      </c>
      <c r="K21" t="n">
        <v>30</v>
      </c>
      <c r="L21" t="inlineStr">
        <is>
          <t>22 Juni 2026</t>
        </is>
      </c>
      <c r="M21" t="inlineStr">
        <is>
          <t>Konstruksi Gedung Kesehatan</t>
        </is>
      </c>
      <c r="N21" t="inlineStr">
        <is>
          <t>K</t>
        </is>
      </c>
      <c r="O21" t="inlineStr">
        <is>
          <t>20230509</t>
        </is>
      </c>
      <c r="P21" t="inlineStr">
        <is>
          <t>Jawa Barat</t>
        </is>
      </c>
      <c r="Q21" s="3">
        <f>HYPERLINK("https://wa.me/6281282802307?text=*[Pengingat Masa Berlaku SBU SUMBER REJEKI]*%0A%0AYth. Pimpinan SUMBER REJEKI,%0AMohon izin menginformasikan status SBU Anda:%0A%0A📄 SBU: BG005%0A📅 Expired: 22 Juni 2026 (30 Hari Lagi)%0A%0AKami tim PT. ESDEA Assistance Management siap men-support proses perpanjangan segera.", "Hubungi")</f>
        <v/>
      </c>
    </row>
    <row r="22">
      <c r="A22" t="inlineStr">
        <is>
          <t>ABADI MANDIRI</t>
        </is>
      </c>
      <c r="B22" t="inlineStr">
        <is>
          <t>Kab. Muko Muko</t>
        </is>
      </c>
      <c r="C22" t="inlineStr">
        <is>
          <t>085268047588</t>
        </is>
      </c>
      <c r="D22" t="inlineStr">
        <is>
          <t>abadimandiri03@gmail.com</t>
        </is>
      </c>
      <c r="E22" t="inlineStr">
        <is>
          <t>https://lpjk.pu.go.id/search-badan-usaha-detail/N2lnK2c5V2lENHh3VG9maTlyazc5UT09</t>
        </is>
      </c>
      <c r="F22" t="n">
        <v>2</v>
      </c>
      <c r="G22" t="inlineStr">
        <is>
          <t>BG006</t>
        </is>
      </c>
      <c r="H22" t="inlineStr">
        <is>
          <t>6 November 2007</t>
        </is>
      </c>
      <c r="I22" s="2" t="n">
        <v>46195</v>
      </c>
      <c r="J22" t="inlineStr">
        <is>
          <t>Disetujui</t>
        </is>
      </c>
      <c r="K22" t="n">
        <v>30</v>
      </c>
      <c r="L22" t="inlineStr">
        <is>
          <t>22 Juni 2026</t>
        </is>
      </c>
      <c r="M22" t="inlineStr">
        <is>
          <t>Konstruksi Gedung Pendidikan</t>
        </is>
      </c>
      <c r="N22" t="inlineStr">
        <is>
          <t>K</t>
        </is>
      </c>
      <c r="O22" t="inlineStr">
        <is>
          <t>20230621</t>
        </is>
      </c>
      <c r="P22" t="inlineStr">
        <is>
          <t>Bengkulu</t>
        </is>
      </c>
      <c r="Q22" t="inlineStr"/>
    </row>
    <row r="23">
      <c r="A23" t="inlineStr">
        <is>
          <t>ADICIPTA MARITIM HUTAMA</t>
        </is>
      </c>
      <c r="B23" t="inlineStr">
        <is>
          <t>Kota Adm. Jakarta Selatan</t>
        </is>
      </c>
      <c r="C23" t="inlineStr">
        <is>
          <t>085894717473</t>
        </is>
      </c>
      <c r="D23" t="inlineStr">
        <is>
          <t>adiciptamaritimhutama@yahoo.com</t>
        </is>
      </c>
      <c r="E23" t="inlineStr">
        <is>
          <t>https://lpjk.pu.go.id/search-badan-usaha-detail/L1A0TVN0TzBRVnJBUHpKejRuNWdhZz09</t>
        </is>
      </c>
      <c r="F23" t="n">
        <v>1</v>
      </c>
      <c r="G23" t="inlineStr">
        <is>
          <t>BS009</t>
        </is>
      </c>
      <c r="H23" t="inlineStr">
        <is>
          <t>18 April 2022</t>
        </is>
      </c>
      <c r="I23" s="2" t="n">
        <v>46195</v>
      </c>
      <c r="J23" t="inlineStr">
        <is>
          <t>Disetujui</t>
        </is>
      </c>
      <c r="K23" t="n">
        <v>30</v>
      </c>
      <c r="L23" t="inlineStr">
        <is>
          <t>22 Juni 2026</t>
        </is>
      </c>
      <c r="M23" t="inlineStr">
        <is>
          <t>Konstruksi Sentral Telekomunikasi</t>
        </is>
      </c>
      <c r="N23" t="inlineStr">
        <is>
          <t>K</t>
        </is>
      </c>
      <c r="O23" t="inlineStr">
        <is>
          <t>20230619</t>
        </is>
      </c>
      <c r="P23" t="inlineStr">
        <is>
          <t>DKI Jakarta</t>
        </is>
      </c>
      <c r="Q23" t="inlineStr"/>
    </row>
    <row r="24">
      <c r="A24" t="inlineStr">
        <is>
          <t>ADIYASA PUTRA UTAMA</t>
        </is>
      </c>
      <c r="B24" t="inlineStr">
        <is>
          <t>Kota Adm. Jakarta Selatan</t>
        </is>
      </c>
      <c r="C24" t="inlineStr">
        <is>
          <t>02173881106</t>
        </is>
      </c>
      <c r="D24" t="inlineStr">
        <is>
          <t>ptadiyasaputrautama@yahoo.co.id</t>
        </is>
      </c>
      <c r="E24" t="inlineStr">
        <is>
          <t>https://lpjk.pu.go.id/search-badan-usaha-detail/V091K2E2RzRHaEhzZ3A1V0FOeFY1QT09</t>
        </is>
      </c>
      <c r="F24" t="n">
        <v>1</v>
      </c>
      <c r="G24" t="inlineStr">
        <is>
          <t>BS001</t>
        </is>
      </c>
      <c r="H24" t="inlineStr">
        <is>
          <t>12 November 2003</t>
        </is>
      </c>
      <c r="I24" s="2" t="n">
        <v>46195</v>
      </c>
      <c r="J24" t="inlineStr">
        <is>
          <t>Disetujui</t>
        </is>
      </c>
      <c r="K24" t="n">
        <v>30</v>
      </c>
      <c r="L24" t="inlineStr">
        <is>
          <t>22 Juni 2026</t>
        </is>
      </c>
      <c r="M24" t="inlineStr">
        <is>
          <t>Konstruksi Bangunan Sipil Jalan</t>
        </is>
      </c>
      <c r="N24" t="inlineStr">
        <is>
          <t>K</t>
        </is>
      </c>
      <c r="O24" t="inlineStr">
        <is>
          <t>20230621</t>
        </is>
      </c>
      <c r="P24" t="inlineStr">
        <is>
          <t>DKI Jakarta</t>
        </is>
      </c>
      <c r="Q24" t="inlineStr"/>
    </row>
    <row r="25">
      <c r="A25" t="inlineStr">
        <is>
          <t>AGUNG WIRA TAMA</t>
        </is>
      </c>
      <c r="B25" t="inlineStr">
        <is>
          <t>Kab. Jember</t>
        </is>
      </c>
      <c r="C25" t="inlineStr">
        <is>
          <t>082330207490</t>
        </is>
      </c>
      <c r="D25" t="inlineStr">
        <is>
          <t>agung_wiratamacv@yahoo.co.id</t>
        </is>
      </c>
      <c r="E25" t="inlineStr">
        <is>
          <t>https://lpjk.pu.go.id/search-badan-usaha-detail/NklJTDUvVkZSR3NJVHBMb3U2WjdjQT09</t>
        </is>
      </c>
      <c r="F25" t="n">
        <v>4</v>
      </c>
      <c r="G25" t="inlineStr">
        <is>
          <t>BG005, BG008</t>
        </is>
      </c>
      <c r="H25" t="inlineStr">
        <is>
          <t>28 Agustus 1993</t>
        </is>
      </c>
      <c r="I25" s="2" t="n">
        <v>46195</v>
      </c>
      <c r="J25" t="inlineStr">
        <is>
          <t>Disetujui</t>
        </is>
      </c>
      <c r="K25" t="n">
        <v>30</v>
      </c>
      <c r="L25" t="inlineStr">
        <is>
          <t>22 Juni 2026</t>
        </is>
      </c>
      <c r="M25" t="inlineStr">
        <is>
          <t>Konstruksi Gedung Kesehatan, Konstruksi Gedung Tempat Hiburan dan Olahraga</t>
        </is>
      </c>
      <c r="N25" t="inlineStr">
        <is>
          <t>K</t>
        </is>
      </c>
      <c r="O25" t="inlineStr">
        <is>
          <t>20230620</t>
        </is>
      </c>
      <c r="P25" t="inlineStr">
        <is>
          <t>Jawa Timur</t>
        </is>
      </c>
      <c r="Q25" t="inlineStr"/>
    </row>
    <row r="26">
      <c r="A26" t="inlineStr">
        <is>
          <t>ALBA MAS</t>
        </is>
      </c>
      <c r="B26" t="inlineStr">
        <is>
          <t>Kab. Wonosobo</t>
        </is>
      </c>
      <c r="C26" t="inlineStr">
        <is>
          <t>-</t>
        </is>
      </c>
      <c r="D26" t="inlineStr">
        <is>
          <t>cvalbamaswonosobo@gmail.com</t>
        </is>
      </c>
      <c r="E26" t="inlineStr">
        <is>
          <t>https://lpjk.pu.go.id/search-badan-usaha-detail/K0hJejhibUMwa0t2K2tmMVY5WHFOQT09</t>
        </is>
      </c>
      <c r="F26" t="n">
        <v>3</v>
      </c>
      <c r="G26" t="inlineStr">
        <is>
          <t>BG002, BG004, BG008</t>
        </is>
      </c>
      <c r="H26" t="inlineStr">
        <is>
          <t>21 Januari 2009</t>
        </is>
      </c>
      <c r="I26" s="2" t="n">
        <v>46195</v>
      </c>
      <c r="J26" t="inlineStr">
        <is>
          <t>Disetujui</t>
        </is>
      </c>
      <c r="K26" t="n">
        <v>30</v>
      </c>
      <c r="L26" t="inlineStr">
        <is>
          <t>22 Juni 2026</t>
        </is>
      </c>
      <c r="M26" t="inlineStr">
        <is>
          <t>Konstruksi Gedung Perbelanjaan, Konstruksi Gedung Perkantoran, Konstruksi Gedung Tempat Hiburan dan Olahraga</t>
        </is>
      </c>
      <c r="N26" t="inlineStr">
        <is>
          <t>K</t>
        </is>
      </c>
      <c r="O26" t="inlineStr">
        <is>
          <t>20230621, 20230622</t>
        </is>
      </c>
      <c r="P26" t="inlineStr">
        <is>
          <t>Jawa Tengah</t>
        </is>
      </c>
      <c r="Q26" t="inlineStr"/>
    </row>
    <row r="27">
      <c r="A27" t="inlineStr">
        <is>
          <t>ALFA HPD</t>
        </is>
      </c>
      <c r="B27" t="inlineStr">
        <is>
          <t>Kab. Sukabumi</t>
        </is>
      </c>
      <c r="C27" t="inlineStr">
        <is>
          <t>085280769364</t>
        </is>
      </c>
      <c r="D27" t="inlineStr">
        <is>
          <t>cvalfahpd488@gmail.com</t>
        </is>
      </c>
      <c r="E27" t="inlineStr">
        <is>
          <t>https://lpjk.pu.go.id/search-badan-usaha-detail/NXE0ZUQwaU9IenlkNCt1eDBvVjBnQT09</t>
        </is>
      </c>
      <c r="F27" t="n">
        <v>1</v>
      </c>
      <c r="G27" t="inlineStr">
        <is>
          <t>BG006</t>
        </is>
      </c>
      <c r="H27" t="inlineStr">
        <is>
          <t>27 Januari 2017</t>
        </is>
      </c>
      <c r="I27" s="2" t="n">
        <v>46195</v>
      </c>
      <c r="J27" t="inlineStr">
        <is>
          <t>Pencabutan</t>
        </is>
      </c>
      <c r="K27" t="n">
        <v>30</v>
      </c>
      <c r="L27" t="inlineStr">
        <is>
          <t>22 Juni 2026</t>
        </is>
      </c>
      <c r="M27" t="inlineStr">
        <is>
          <t>Konstruksi Gedung Pendidikan</t>
        </is>
      </c>
      <c r="N27" t="inlineStr">
        <is>
          <t>K</t>
        </is>
      </c>
      <c r="O27" t="inlineStr">
        <is>
          <t>20230616</t>
        </is>
      </c>
      <c r="P27" t="inlineStr">
        <is>
          <t>Jawa Barat</t>
        </is>
      </c>
      <c r="Q27" t="inlineStr"/>
    </row>
    <row r="28">
      <c r="A28" t="inlineStr">
        <is>
          <t>ALFALAH DS</t>
        </is>
      </c>
      <c r="B28" t="inlineStr">
        <is>
          <t>Kab. Konawe Selatan</t>
        </is>
      </c>
      <c r="C28" t="inlineStr">
        <is>
          <t>081230038716</t>
        </is>
      </c>
      <c r="D28" t="inlineStr">
        <is>
          <t>osssardiman@gmail.com</t>
        </is>
      </c>
      <c r="E28" t="inlineStr">
        <is>
          <t>https://lpjk.pu.go.id/search-badan-usaha-detail/REtiT0VzRElvckVpb1YwbFNOdm1vZz09</t>
        </is>
      </c>
      <c r="F28" t="n">
        <v>2</v>
      </c>
      <c r="G28" t="inlineStr">
        <is>
          <t>BG001, BG005</t>
        </is>
      </c>
      <c r="H28" t="inlineStr">
        <is>
          <t>23 Januari 2020</t>
        </is>
      </c>
      <c r="I28" s="2" t="n">
        <v>46195</v>
      </c>
      <c r="J28" t="inlineStr">
        <is>
          <t>Disetujui</t>
        </is>
      </c>
      <c r="K28" t="n">
        <v>30</v>
      </c>
      <c r="L28" t="inlineStr">
        <is>
          <t>22 Juni 2026</t>
        </is>
      </c>
      <c r="M28" t="inlineStr">
        <is>
          <t>Konstruksi Gedung Hunian, Konstruksi Gedung Kesehatan</t>
        </is>
      </c>
      <c r="N28" t="inlineStr">
        <is>
          <t>K</t>
        </is>
      </c>
      <c r="O28" t="inlineStr">
        <is>
          <t>20230622</t>
        </is>
      </c>
      <c r="P28" t="inlineStr">
        <is>
          <t>Sulawesi Tenggara</t>
        </is>
      </c>
      <c r="Q28" t="inlineStr"/>
    </row>
    <row r="29">
      <c r="A29" t="inlineStr">
        <is>
          <t>ALIF UTAMA</t>
        </is>
      </c>
      <c r="B29" t="inlineStr">
        <is>
          <t>Kab. Batu Bara</t>
        </is>
      </c>
      <c r="C29" t="inlineStr">
        <is>
          <t>082275353700</t>
        </is>
      </c>
      <c r="D29" t="inlineStr">
        <is>
          <t>cvalifutama11@yahoo.com</t>
        </is>
      </c>
      <c r="E29" t="inlineStr">
        <is>
          <t>https://lpjk.pu.go.id/search-badan-usaha-detail/WWowK1k4WEdDL0hvckdveWw4dmpzUT09</t>
        </is>
      </c>
      <c r="F29" t="n">
        <v>1</v>
      </c>
      <c r="G29" t="inlineStr">
        <is>
          <t>BG001</t>
        </is>
      </c>
      <c r="H29" t="inlineStr">
        <is>
          <t>31 Juli 2009</t>
        </is>
      </c>
      <c r="I29" s="2" t="n">
        <v>46195</v>
      </c>
      <c r="J29" t="inlineStr">
        <is>
          <t>Pencabutan</t>
        </is>
      </c>
      <c r="K29" t="n">
        <v>30</v>
      </c>
      <c r="L29" t="inlineStr">
        <is>
          <t>22 Juni 2026</t>
        </is>
      </c>
      <c r="M29" t="inlineStr">
        <is>
          <t>Konstruksi Gedung Hunian</t>
        </is>
      </c>
      <c r="N29" t="inlineStr">
        <is>
          <t>K</t>
        </is>
      </c>
      <c r="O29" t="inlineStr">
        <is>
          <t>20230622</t>
        </is>
      </c>
      <c r="P29" t="inlineStr">
        <is>
          <t>Sumatera Utara</t>
        </is>
      </c>
      <c r="Q29" t="inlineStr"/>
    </row>
    <row r="30">
      <c r="A30" t="inlineStr">
        <is>
          <t>AMAN LANCAR BERKAH</t>
        </is>
      </c>
      <c r="B30" t="inlineStr">
        <is>
          <t>Kota Salatiga</t>
        </is>
      </c>
      <c r="C30" t="inlineStr">
        <is>
          <t>085640776669</t>
        </is>
      </c>
      <c r="D30" t="inlineStr">
        <is>
          <t>cvamanlancarberkah@gmail.com</t>
        </is>
      </c>
      <c r="E30" t="inlineStr">
        <is>
          <t>https://lpjk.pu.go.id/search-badan-usaha-detail/WlFWY3MzdjkvWVhvZFZlWjVXd1UvZz09</t>
        </is>
      </c>
      <c r="F30" t="n">
        <v>1</v>
      </c>
      <c r="G30" t="inlineStr">
        <is>
          <t>BG009</t>
        </is>
      </c>
      <c r="H30" t="inlineStr">
        <is>
          <t>27 Januari 2023</t>
        </is>
      </c>
      <c r="I30" s="2" t="n">
        <v>46195</v>
      </c>
      <c r="J30" t="inlineStr">
        <is>
          <t>Dokumen Lengkap</t>
        </is>
      </c>
      <c r="K30" t="n">
        <v>30</v>
      </c>
      <c r="L30" t="inlineStr">
        <is>
          <t>22 Juni 2026</t>
        </is>
      </c>
      <c r="M30" t="inlineStr">
        <is>
          <t>Konstruksi Gedung Lainnya</t>
        </is>
      </c>
      <c r="N30" t="inlineStr">
        <is>
          <t>K</t>
        </is>
      </c>
      <c r="O30" t="inlineStr">
        <is>
          <t>20230621</t>
        </is>
      </c>
      <c r="P30" t="inlineStr">
        <is>
          <t>Jawa Tengah</t>
        </is>
      </c>
      <c r="Q30" t="inlineStr"/>
    </row>
    <row r="31">
      <c r="A31" t="inlineStr">
        <is>
          <t>ANANDA PUTRA MANDIRI</t>
        </is>
      </c>
      <c r="B31" t="inlineStr">
        <is>
          <t>Kota Padang</t>
        </is>
      </c>
      <c r="C31" t="inlineStr">
        <is>
          <t>081363081887</t>
        </is>
      </c>
      <c r="D31" t="inlineStr">
        <is>
          <t>anandamandiri7@gmail.com</t>
        </is>
      </c>
      <c r="E31" t="inlineStr">
        <is>
          <t>https://lpjk.pu.go.id/search-badan-usaha-detail/Tm5lUnJuY2JaWXRSV0liYW9VeE5lZz09</t>
        </is>
      </c>
      <c r="F31" t="n">
        <v>8</v>
      </c>
      <c r="G31" t="inlineStr">
        <is>
          <t>BG005, BG006, BG009, BS005</t>
        </is>
      </c>
      <c r="H31" t="inlineStr">
        <is>
          <t>6 Juli 2006</t>
        </is>
      </c>
      <c r="I31" s="2" t="n">
        <v>46195</v>
      </c>
      <c r="J31" t="inlineStr">
        <is>
          <t>Disetujui</t>
        </is>
      </c>
      <c r="K31" t="n">
        <v>30</v>
      </c>
      <c r="L31" t="inlineStr">
        <is>
          <t>22 Juni 2026</t>
        </is>
      </c>
      <c r="M31" t="inlineStr">
        <is>
          <t>Konstruksi Bangunan Sipil Pengolahan Air Bersih, Konstruksi Gedung Kesehatan, Konstruksi Gedung Lainnya, Konstruksi Gedung Pendidikan</t>
        </is>
      </c>
      <c r="N31" t="inlineStr">
        <is>
          <t>K</t>
        </is>
      </c>
      <c r="O31" t="inlineStr">
        <is>
          <t>20230616</t>
        </is>
      </c>
      <c r="P31" t="inlineStr">
        <is>
          <t>Sumatera Barat</t>
        </is>
      </c>
      <c r="Q31" t="inlineStr"/>
    </row>
    <row r="32">
      <c r="A32" t="inlineStr">
        <is>
          <t>ANEKA JASA BERDIKARI</t>
        </is>
      </c>
      <c r="B32" t="inlineStr">
        <is>
          <t>Kota Kendari</t>
        </is>
      </c>
      <c r="C32" t="inlineStr">
        <is>
          <t>N/A</t>
        </is>
      </c>
      <c r="D32" t="inlineStr">
        <is>
          <t>N/A</t>
        </is>
      </c>
      <c r="E32" t="inlineStr">
        <is>
          <t>https://lpjk.pu.go.id/search-badan-usaha-detail/MC9HZmNpUldwRklralNFUysxOFRMQT09</t>
        </is>
      </c>
      <c r="F32" t="n">
        <v>1</v>
      </c>
      <c r="G32" t="inlineStr">
        <is>
          <t>BG009</t>
        </is>
      </c>
      <c r="H32" t="inlineStr"/>
      <c r="I32" s="2" t="n">
        <v>46195</v>
      </c>
      <c r="J32" t="inlineStr">
        <is>
          <t>Pencabutan</t>
        </is>
      </c>
      <c r="K32" t="n">
        <v>30</v>
      </c>
      <c r="L32" t="inlineStr">
        <is>
          <t>22 Juni 2026</t>
        </is>
      </c>
      <c r="M32" t="inlineStr">
        <is>
          <t>Konstruksi Gedung Lainnya</t>
        </is>
      </c>
      <c r="N32" t="inlineStr">
        <is>
          <t>K</t>
        </is>
      </c>
      <c r="O32" t="inlineStr">
        <is>
          <t>20230619</t>
        </is>
      </c>
      <c r="P32" t="inlineStr">
        <is>
          <t>Sulawesi Tenggara</t>
        </is>
      </c>
      <c r="Q32" t="inlineStr"/>
    </row>
    <row r="33">
      <c r="A33" t="inlineStr">
        <is>
          <t>ANGKASA KARYA</t>
        </is>
      </c>
      <c r="B33" t="inlineStr">
        <is>
          <t>Kota Jayapura</t>
        </is>
      </c>
      <c r="C33" t="inlineStr">
        <is>
          <t>085244617184</t>
        </is>
      </c>
      <c r="D33" t="inlineStr">
        <is>
          <t>angkasakarya18@gmail.com</t>
        </is>
      </c>
      <c r="E33" t="inlineStr">
        <is>
          <t>https://lpjk.pu.go.id/search-badan-usaha-detail/cGllYUx3dEpsRWx5VmxDZFc4dXRaQT09</t>
        </is>
      </c>
      <c r="F33" t="n">
        <v>2</v>
      </c>
      <c r="G33" t="inlineStr">
        <is>
          <t>BG001</t>
        </is>
      </c>
      <c r="H33" t="inlineStr">
        <is>
          <t>7 September 2015</t>
        </is>
      </c>
      <c r="I33" s="2" t="n">
        <v>46195</v>
      </c>
      <c r="J33" t="inlineStr">
        <is>
          <t>Pencabutan</t>
        </is>
      </c>
      <c r="K33" t="n">
        <v>30</v>
      </c>
      <c r="L33" t="inlineStr">
        <is>
          <t>22 Juni 2026</t>
        </is>
      </c>
      <c r="M33" t="inlineStr">
        <is>
          <t>Konstruksi Gedung Hunian</t>
        </is>
      </c>
      <c r="N33" t="inlineStr">
        <is>
          <t>K</t>
        </is>
      </c>
      <c r="O33" t="inlineStr">
        <is>
          <t>20230619</t>
        </is>
      </c>
      <c r="P33" t="inlineStr">
        <is>
          <t>Papua</t>
        </is>
      </c>
      <c r="Q33" t="inlineStr"/>
    </row>
    <row r="34">
      <c r="A34" t="inlineStr">
        <is>
          <t>AQILA KONSTRUKSI</t>
        </is>
      </c>
      <c r="B34" t="inlineStr">
        <is>
          <t>Kab. Pasaman</t>
        </is>
      </c>
      <c r="C34" t="inlineStr">
        <is>
          <t>081266158893</t>
        </is>
      </c>
      <c r="D34" t="inlineStr">
        <is>
          <t>a.kontruksi78@gmail.com</t>
        </is>
      </c>
      <c r="E34" t="inlineStr">
        <is>
          <t>https://lpjk.pu.go.id/search-badan-usaha-detail/ZEdRVHloZXorQVczdnRQOVR0OTMrQT09</t>
        </is>
      </c>
      <c r="F34" t="n">
        <v>1</v>
      </c>
      <c r="G34" t="inlineStr">
        <is>
          <t>BS004</t>
        </is>
      </c>
      <c r="H34" t="inlineStr">
        <is>
          <t>26 April 2016</t>
        </is>
      </c>
      <c r="I34" s="2" t="n">
        <v>46195</v>
      </c>
      <c r="J34" t="inlineStr">
        <is>
          <t>Disetujui</t>
        </is>
      </c>
      <c r="K34" t="n">
        <v>30</v>
      </c>
      <c r="L34" t="inlineStr">
        <is>
          <t>22 Juni 2026</t>
        </is>
      </c>
      <c r="M34" t="inlineStr">
        <is>
          <t>Konstruksi Jaringan Irigasi dan Drainase</t>
        </is>
      </c>
      <c r="N34" t="inlineStr">
        <is>
          <t>K</t>
        </is>
      </c>
      <c r="O34" t="inlineStr">
        <is>
          <t>20230606</t>
        </is>
      </c>
      <c r="P34" t="inlineStr">
        <is>
          <t>Sumatera Barat</t>
        </is>
      </c>
      <c r="Q34" t="inlineStr"/>
    </row>
    <row r="35">
      <c r="A35" t="inlineStr">
        <is>
          <t>ARKA MANDIRI UTAMA</t>
        </is>
      </c>
      <c r="B35" t="inlineStr">
        <is>
          <t>Kota Tasikmalaya</t>
        </is>
      </c>
      <c r="C35" t="inlineStr">
        <is>
          <t>081223584440</t>
        </is>
      </c>
      <c r="D35" t="inlineStr">
        <is>
          <t>arkamandiriutama@gmail.com</t>
        </is>
      </c>
      <c r="E35" t="inlineStr">
        <is>
          <t>https://lpjk.pu.go.id/search-badan-usaha-detail/SFBmbFVaV1orSHJ5VGQ0RGkvblc3QT09</t>
        </is>
      </c>
      <c r="F35" t="n">
        <v>1</v>
      </c>
      <c r="G35" t="inlineStr">
        <is>
          <t>BG006</t>
        </is>
      </c>
      <c r="H35" t="inlineStr">
        <is>
          <t>22 Februari 2023</t>
        </is>
      </c>
      <c r="I35" s="2" t="n">
        <v>46195</v>
      </c>
      <c r="J35" t="inlineStr">
        <is>
          <t>Disetujui</t>
        </is>
      </c>
      <c r="K35" t="n">
        <v>30</v>
      </c>
      <c r="L35" t="inlineStr">
        <is>
          <t>22 Juni 2026</t>
        </is>
      </c>
      <c r="M35" t="inlineStr">
        <is>
          <t>Konstruksi Gedung Pendidikan</t>
        </is>
      </c>
      <c r="N35" t="inlineStr">
        <is>
          <t>K</t>
        </is>
      </c>
      <c r="O35" t="inlineStr">
        <is>
          <t>20230616</t>
        </is>
      </c>
      <c r="P35" t="inlineStr">
        <is>
          <t>Jawa Barat</t>
        </is>
      </c>
      <c r="Q35" t="inlineStr"/>
    </row>
    <row r="36">
      <c r="A36" t="inlineStr">
        <is>
          <t>ARKAN INDOTAMA</t>
        </is>
      </c>
      <c r="B36" t="inlineStr">
        <is>
          <t>Kab. Kampar</t>
        </is>
      </c>
      <c r="C36" t="inlineStr">
        <is>
          <t>082388215018</t>
        </is>
      </c>
      <c r="D36" t="inlineStr">
        <is>
          <t>cvarkanindotama@yahoo.com</t>
        </is>
      </c>
      <c r="E36" t="inlineStr">
        <is>
          <t>https://lpjk.pu.go.id/search-badan-usaha-detail/Vnl3QStkWS9MazJta3BkdFE0YjJJUT09</t>
        </is>
      </c>
      <c r="F36" t="n">
        <v>4</v>
      </c>
      <c r="G36" t="inlineStr">
        <is>
          <t>BG009, BS001</t>
        </is>
      </c>
      <c r="H36" t="inlineStr">
        <is>
          <t>3 Maret 2017</t>
        </is>
      </c>
      <c r="I36" s="2" t="n">
        <v>46195</v>
      </c>
      <c r="J36" t="inlineStr">
        <is>
          <t>Disetujui</t>
        </is>
      </c>
      <c r="K36" t="n">
        <v>30</v>
      </c>
      <c r="L36" t="inlineStr">
        <is>
          <t>22 Juni 2026</t>
        </is>
      </c>
      <c r="M36" t="inlineStr">
        <is>
          <t>Konstruksi Bangunan Sipil Jalan, Konstruksi Gedung Lainnya</t>
        </is>
      </c>
      <c r="N36" t="inlineStr">
        <is>
          <t>K</t>
        </is>
      </c>
      <c r="O36" t="inlineStr">
        <is>
          <t>20230620</t>
        </is>
      </c>
      <c r="P36" t="inlineStr">
        <is>
          <t>Riau</t>
        </is>
      </c>
      <c r="Q36" t="inlineStr"/>
    </row>
    <row r="37">
      <c r="A37" t="inlineStr">
        <is>
          <t>ARKANA ENJINERING</t>
        </is>
      </c>
      <c r="B37" t="inlineStr">
        <is>
          <t>Kab. Lombok Tengah</t>
        </is>
      </c>
      <c r="C37" t="inlineStr">
        <is>
          <t>087765767775</t>
        </is>
      </c>
      <c r="D37" t="inlineStr">
        <is>
          <t>thisismyarkana@gmail.com</t>
        </is>
      </c>
      <c r="E37" t="inlineStr">
        <is>
          <t>https://lpjk.pu.go.id/search-badan-usaha-detail/eVp5TEgvZDJCMmhHNGdaY2M2eGlBZz09</t>
        </is>
      </c>
      <c r="F37" t="n">
        <v>9</v>
      </c>
      <c r="G37" t="inlineStr">
        <is>
          <t>RK001, RK002, RK003</t>
        </is>
      </c>
      <c r="H37" t="inlineStr">
        <is>
          <t>30 Desember 2019</t>
        </is>
      </c>
      <c r="I37" s="2" t="n">
        <v>46195</v>
      </c>
      <c r="J37" t="inlineStr">
        <is>
          <t>Disetujui</t>
        </is>
      </c>
      <c r="K37" t="n">
        <v>30</v>
      </c>
      <c r="L37" t="inlineStr">
        <is>
          <t>22 Juni 2026</t>
        </is>
      </c>
      <c r="M37" t="inlineStr">
        <is>
          <t>Jasa Rekayasa Konstruksi Bangunan Gedung Hunian dan Non Hunian, Jasa Rekayasa Pekerjaan Teknik Sipil Sumber Daya Air, Jasa Rekayasa Pekerjaan Teknik Sipil Transportasi</t>
        </is>
      </c>
      <c r="N37" t="inlineStr">
        <is>
          <t>K</t>
        </is>
      </c>
      <c r="O37" t="inlineStr">
        <is>
          <t>20230321</t>
        </is>
      </c>
      <c r="P37" t="inlineStr">
        <is>
          <t>Nusa Tenggara Barat</t>
        </is>
      </c>
      <c r="Q37" t="inlineStr"/>
    </row>
    <row r="38">
      <c r="A38" t="inlineStr">
        <is>
          <t>ARSYA JAYA SAKTI</t>
        </is>
      </c>
      <c r="B38" t="inlineStr">
        <is>
          <t>Kota Pasuruan</t>
        </is>
      </c>
      <c r="C38" t="inlineStr">
        <is>
          <t>082231404487</t>
        </is>
      </c>
      <c r="D38" t="inlineStr">
        <is>
          <t>cvarsyajayasakti@gmail.com</t>
        </is>
      </c>
      <c r="E38" t="inlineStr">
        <is>
          <t>https://lpjk.pu.go.id/search-badan-usaha-detail/eWJ5UERlc1I2MG9NamxTeWMrMkFQdz09</t>
        </is>
      </c>
      <c r="F38" t="n">
        <v>1</v>
      </c>
      <c r="G38" t="inlineStr">
        <is>
          <t>BS001</t>
        </is>
      </c>
      <c r="H38" t="inlineStr">
        <is>
          <t>26 Juni 2019</t>
        </is>
      </c>
      <c r="I38" s="2" t="n">
        <v>46195</v>
      </c>
      <c r="J38" t="inlineStr">
        <is>
          <t>Disetujui</t>
        </is>
      </c>
      <c r="K38" t="n">
        <v>30</v>
      </c>
      <c r="L38" t="inlineStr">
        <is>
          <t>22 Juni 2026</t>
        </is>
      </c>
      <c r="M38" t="inlineStr">
        <is>
          <t>Konstruksi Bangunan Sipil Jalan</t>
        </is>
      </c>
      <c r="N38" t="inlineStr">
        <is>
          <t>K</t>
        </is>
      </c>
      <c r="O38" t="inlineStr">
        <is>
          <t>20230622</t>
        </is>
      </c>
      <c r="P38" t="inlineStr">
        <is>
          <t>Jawa Timur</t>
        </is>
      </c>
      <c r="Q38" t="inlineStr"/>
    </row>
    <row r="39">
      <c r="A39" t="inlineStr">
        <is>
          <t>ARTA BANYU ALAM</t>
        </is>
      </c>
      <c r="B39" t="inlineStr">
        <is>
          <t>Kab. Kubu Raya</t>
        </is>
      </c>
      <c r="C39" t="inlineStr">
        <is>
          <t>085222893389</t>
        </is>
      </c>
      <c r="D39" t="inlineStr">
        <is>
          <t>artabanyualam@gmail.com</t>
        </is>
      </c>
      <c r="E39" t="inlineStr">
        <is>
          <t>https://lpjk.pu.go.id/search-badan-usaha-detail/MWlGMzY5RnE5dEQ2S2ZqOEYvSVRBQT09</t>
        </is>
      </c>
      <c r="F39" t="n">
        <v>1</v>
      </c>
      <c r="G39" t="inlineStr">
        <is>
          <t>BS004</t>
        </is>
      </c>
      <c r="H39" t="inlineStr">
        <is>
          <t>18 Juli 2019</t>
        </is>
      </c>
      <c r="I39" s="2" t="n">
        <v>46195</v>
      </c>
      <c r="J39" t="inlineStr">
        <is>
          <t>Disetujui</t>
        </is>
      </c>
      <c r="K39" t="n">
        <v>30</v>
      </c>
      <c r="L39" t="inlineStr">
        <is>
          <t>22 Juni 2026</t>
        </is>
      </c>
      <c r="M39" t="inlineStr">
        <is>
          <t>Konstruksi Jaringan Irigasi dan Drainase</t>
        </is>
      </c>
      <c r="N39" t="inlineStr">
        <is>
          <t>K</t>
        </is>
      </c>
      <c r="O39" t="inlineStr">
        <is>
          <t>20230531</t>
        </is>
      </c>
      <c r="P39" t="inlineStr">
        <is>
          <t>Kalimantan Barat</t>
        </is>
      </c>
      <c r="Q39" t="inlineStr"/>
    </row>
    <row r="40">
      <c r="A40" t="inlineStr">
        <is>
          <t>ARTHA BUANA PRIMACOAL</t>
        </is>
      </c>
      <c r="B40" t="inlineStr">
        <is>
          <t>Kab. Mimika</t>
        </is>
      </c>
      <c r="C40" t="inlineStr">
        <is>
          <t>081234067237</t>
        </is>
      </c>
      <c r="D40" t="inlineStr">
        <is>
          <t>arthabuana.timika@gmail.com</t>
        </is>
      </c>
      <c r="E40" t="inlineStr">
        <is>
          <t>https://lpjk.pu.go.id/search-badan-usaha-detail/YTEyL2xHZGd2Yy8rR29QeHNjL3owUT09</t>
        </is>
      </c>
      <c r="F40" t="n">
        <v>5</v>
      </c>
      <c r="G40" t="inlineStr">
        <is>
          <t>BG001, BG002, BG005, BG006, BG009</t>
        </is>
      </c>
      <c r="H40" t="inlineStr">
        <is>
          <t>15 September 2015</t>
        </is>
      </c>
      <c r="I40" s="2" t="n">
        <v>46195</v>
      </c>
      <c r="J40" t="inlineStr">
        <is>
          <t>Disetujui</t>
        </is>
      </c>
      <c r="K40" t="n">
        <v>30</v>
      </c>
      <c r="L40" t="inlineStr">
        <is>
          <t>22 Juni 2026</t>
        </is>
      </c>
      <c r="M40" t="inlineStr">
        <is>
          <t>Konstruksi Gedung Hunian, Konstruksi Gedung Kesehatan, Konstruksi Gedung Lainnya, Konstruksi Gedung Pendidikan, Konstruksi Gedung Perkantoran</t>
        </is>
      </c>
      <c r="N40" t="inlineStr">
        <is>
          <t>K</t>
        </is>
      </c>
      <c r="O40" t="inlineStr">
        <is>
          <t>20230605, 20230623</t>
        </is>
      </c>
      <c r="P40" t="inlineStr">
        <is>
          <t>Papua</t>
        </is>
      </c>
      <c r="Q40" t="inlineStr"/>
    </row>
    <row r="41">
      <c r="A41" t="inlineStr">
        <is>
          <t>ARTHA JAYA KONSULTAN</t>
        </is>
      </c>
      <c r="B41" t="inlineStr">
        <is>
          <t>Kota Medan</t>
        </is>
      </c>
      <c r="C41" t="inlineStr">
        <is>
          <t>082141521765</t>
        </is>
      </c>
      <c r="D41" t="inlineStr">
        <is>
          <t>pt.arthajayakonsultan@gmail.com</t>
        </is>
      </c>
      <c r="E41" t="inlineStr">
        <is>
          <t>https://lpjk.pu.go.id/search-badan-usaha-detail/QWJsQkgydVllUFUwSXlLODV3ZUJyUT09</t>
        </is>
      </c>
      <c r="F41" t="n">
        <v>1</v>
      </c>
      <c r="G41" t="inlineStr">
        <is>
          <t>RK002</t>
        </is>
      </c>
      <c r="H41" t="inlineStr">
        <is>
          <t>14 Februari 2023</t>
        </is>
      </c>
      <c r="I41" s="2" t="n">
        <v>46195</v>
      </c>
      <c r="J41" t="inlineStr">
        <is>
          <t>Disetujui</t>
        </is>
      </c>
      <c r="K41" t="n">
        <v>30</v>
      </c>
      <c r="L41" t="inlineStr">
        <is>
          <t>22 Juni 2026</t>
        </is>
      </c>
      <c r="M41" t="inlineStr">
        <is>
          <t>Jasa Rekayasa Pekerjaan Teknik Sipil Sumber Daya Air</t>
        </is>
      </c>
      <c r="N41" t="inlineStr">
        <is>
          <t>K</t>
        </is>
      </c>
      <c r="O41" t="inlineStr">
        <is>
          <t>20230511</t>
        </is>
      </c>
      <c r="P41" t="inlineStr">
        <is>
          <t>Sumatera Utara</t>
        </is>
      </c>
      <c r="Q41" t="inlineStr"/>
    </row>
    <row r="42">
      <c r="A42" t="inlineStr">
        <is>
          <t>ASA WIRA</t>
        </is>
      </c>
      <c r="B42" t="inlineStr">
        <is>
          <t>Kab. Lampung Tengah</t>
        </is>
      </c>
      <c r="C42" t="inlineStr">
        <is>
          <t>082279297273</t>
        </is>
      </c>
      <c r="D42" t="inlineStr">
        <is>
          <t>asawira.cv@gmail.com</t>
        </is>
      </c>
      <c r="E42" t="inlineStr">
        <is>
          <t>https://lpjk.pu.go.id/search-badan-usaha-detail/SVVyUlliamVJVmpZMWhMMlA0Q25qdz09</t>
        </is>
      </c>
      <c r="F42" t="n">
        <v>1</v>
      </c>
      <c r="G42" t="inlineStr">
        <is>
          <t>BG002</t>
        </is>
      </c>
      <c r="H42" t="inlineStr">
        <is>
          <t>20 November 2017</t>
        </is>
      </c>
      <c r="I42" s="2" t="n">
        <v>46195</v>
      </c>
      <c r="J42" t="inlineStr">
        <is>
          <t>Disetujui</t>
        </is>
      </c>
      <c r="K42" t="n">
        <v>30</v>
      </c>
      <c r="L42" t="inlineStr">
        <is>
          <t>22 Juni 2026</t>
        </is>
      </c>
      <c r="M42" t="inlineStr">
        <is>
          <t>Konstruksi Gedung Perkantoran</t>
        </is>
      </c>
      <c r="N42" t="inlineStr">
        <is>
          <t>K</t>
        </is>
      </c>
      <c r="O42" t="inlineStr">
        <is>
          <t>20221018</t>
        </is>
      </c>
      <c r="P42" t="inlineStr">
        <is>
          <t>Lampung</t>
        </is>
      </c>
      <c r="Q42" t="inlineStr"/>
    </row>
    <row r="43">
      <c r="A43" t="inlineStr">
        <is>
          <t>ASIA KARYA</t>
        </is>
      </c>
      <c r="B43" t="inlineStr">
        <is>
          <t>Kota Medan</t>
        </is>
      </c>
      <c r="C43" t="inlineStr">
        <is>
          <t>081396860131</t>
        </is>
      </c>
      <c r="D43" t="inlineStr">
        <is>
          <t>-</t>
        </is>
      </c>
      <c r="E43" t="inlineStr">
        <is>
          <t>https://lpjk.pu.go.id/search-badan-usaha-detail/VUEvUHFOS1phV051NllzWThoM1ltdz09</t>
        </is>
      </c>
      <c r="F43" t="n">
        <v>1</v>
      </c>
      <c r="G43" t="inlineStr">
        <is>
          <t>BG001</t>
        </is>
      </c>
      <c r="H43" t="inlineStr">
        <is>
          <t>5 Juni 2015</t>
        </is>
      </c>
      <c r="I43" s="2" t="n">
        <v>46195</v>
      </c>
      <c r="J43" t="inlineStr">
        <is>
          <t>Pencabutan</t>
        </is>
      </c>
      <c r="K43" t="n">
        <v>30</v>
      </c>
      <c r="L43" t="inlineStr">
        <is>
          <t>22 Juni 2026</t>
        </is>
      </c>
      <c r="M43" t="inlineStr">
        <is>
          <t>Konstruksi Gedung Hunian</t>
        </is>
      </c>
      <c r="N43" t="inlineStr">
        <is>
          <t>K</t>
        </is>
      </c>
      <c r="O43" t="inlineStr">
        <is>
          <t>20230622</t>
        </is>
      </c>
      <c r="P43" t="inlineStr">
        <is>
          <t>Sumatera Utara</t>
        </is>
      </c>
      <c r="Q43" t="inlineStr"/>
    </row>
    <row r="44">
      <c r="A44" t="inlineStr">
        <is>
          <t>ASTRINA BANGKIT</t>
        </is>
      </c>
      <c r="B44" t="inlineStr">
        <is>
          <t>Kab. Muna</t>
        </is>
      </c>
      <c r="C44" t="inlineStr">
        <is>
          <t>085397363335</t>
        </is>
      </c>
      <c r="D44" t="inlineStr">
        <is>
          <t>astrinabangkit2020@gmail.com</t>
        </is>
      </c>
      <c r="E44" t="inlineStr">
        <is>
          <t>https://lpjk.pu.go.id/search-badan-usaha-detail/Y0lDTWY4WjVYU0pURTF1d0xiUUlhZz09</t>
        </is>
      </c>
      <c r="F44" t="n">
        <v>2</v>
      </c>
      <c r="G44" t="inlineStr">
        <is>
          <t>BG006</t>
        </is>
      </c>
      <c r="H44" t="inlineStr">
        <is>
          <t>17 September 2003</t>
        </is>
      </c>
      <c r="I44" s="2" t="n">
        <v>46195</v>
      </c>
      <c r="J44" t="inlineStr">
        <is>
          <t>Disetujui</t>
        </is>
      </c>
      <c r="K44" t="n">
        <v>30</v>
      </c>
      <c r="L44" t="inlineStr">
        <is>
          <t>22 Juni 2026</t>
        </is>
      </c>
      <c r="M44" t="inlineStr">
        <is>
          <t>Konstruksi Gedung Pendidikan</t>
        </is>
      </c>
      <c r="N44" t="inlineStr">
        <is>
          <t>K</t>
        </is>
      </c>
      <c r="O44" t="inlineStr">
        <is>
          <t>20230622</t>
        </is>
      </c>
      <c r="P44" t="inlineStr">
        <is>
          <t>Sulawesi Tenggara</t>
        </is>
      </c>
      <c r="Q44" t="inlineStr"/>
    </row>
    <row r="45">
      <c r="A45" t="inlineStr">
        <is>
          <t>AUDI DAYA PERKASA</t>
        </is>
      </c>
      <c r="B45" t="inlineStr">
        <is>
          <t>Kab. Bengkayang</t>
        </is>
      </c>
      <c r="C45" t="inlineStr">
        <is>
          <t>081348794973</t>
        </is>
      </c>
      <c r="D45" t="inlineStr">
        <is>
          <t>audidayaperkasa@gmail.com</t>
        </is>
      </c>
      <c r="E45" t="inlineStr">
        <is>
          <t>https://lpjk.pu.go.id/search-badan-usaha-detail/NVpCa21JWjVYd3pnYk5VQTVoQ3ZUdz09</t>
        </is>
      </c>
      <c r="F45" t="n">
        <v>2</v>
      </c>
      <c r="G45" t="inlineStr">
        <is>
          <t>BS001, BS004</t>
        </is>
      </c>
      <c r="H45" t="inlineStr">
        <is>
          <t>28 Juni 2022</t>
        </is>
      </c>
      <c r="I45" s="2" t="n">
        <v>46195</v>
      </c>
      <c r="J45" t="inlineStr">
        <is>
          <t>Disetujui</t>
        </is>
      </c>
      <c r="K45" t="n">
        <v>30</v>
      </c>
      <c r="L45" t="inlineStr">
        <is>
          <t>22 Juni 2026</t>
        </is>
      </c>
      <c r="M45" t="inlineStr">
        <is>
          <t>Konstruksi Bangunan Sipil Jalan, Konstruksi Jaringan Irigasi dan Drainase</t>
        </is>
      </c>
      <c r="N45" t="inlineStr">
        <is>
          <t>K</t>
        </is>
      </c>
      <c r="O45" t="inlineStr">
        <is>
          <t>20230621</t>
        </is>
      </c>
      <c r="P45" t="inlineStr">
        <is>
          <t>Kalimantan Barat</t>
        </is>
      </c>
      <c r="Q45" t="inlineStr"/>
    </row>
    <row r="46">
      <c r="A46" t="inlineStr">
        <is>
          <t>BAKTI MULIA</t>
        </is>
      </c>
      <c r="B46" t="inlineStr">
        <is>
          <t>Kota Blitar</t>
        </is>
      </c>
      <c r="C46" t="inlineStr">
        <is>
          <t>083834714719</t>
        </is>
      </c>
      <c r="D46" t="inlineStr">
        <is>
          <t>baktimuliacv@yahoo.co.id</t>
        </is>
      </c>
      <c r="E46" t="inlineStr">
        <is>
          <t>https://lpjk.pu.go.id/search-badan-usaha-detail/bzk1Q1lBU3IzY1JZTTd5Z29ycW9xQT09</t>
        </is>
      </c>
      <c r="F46" t="n">
        <v>2</v>
      </c>
      <c r="G46" t="inlineStr">
        <is>
          <t>BS001, BS004</t>
        </is>
      </c>
      <c r="H46" t="inlineStr">
        <is>
          <t>6 Februari 2008</t>
        </is>
      </c>
      <c r="I46" s="2" t="n">
        <v>46195</v>
      </c>
      <c r="J46" t="inlineStr">
        <is>
          <t>Disetujui</t>
        </is>
      </c>
      <c r="K46" t="n">
        <v>30</v>
      </c>
      <c r="L46" t="inlineStr">
        <is>
          <t>22 Juni 2026</t>
        </is>
      </c>
      <c r="M46" t="inlineStr">
        <is>
          <t>Konstruksi Bangunan Sipil Jalan, Konstruksi Jaringan Irigasi dan Drainase</t>
        </is>
      </c>
      <c r="N46" t="inlineStr">
        <is>
          <t>K</t>
        </is>
      </c>
      <c r="O46" t="inlineStr">
        <is>
          <t>20230622, 20230623</t>
        </is>
      </c>
      <c r="P46" t="inlineStr">
        <is>
          <t>Jawa Timur</t>
        </is>
      </c>
      <c r="Q46" t="inlineStr"/>
    </row>
    <row r="47">
      <c r="A47" t="inlineStr">
        <is>
          <t>BANGKIT JAYA PRATAMA</t>
        </is>
      </c>
      <c r="B47" t="inlineStr">
        <is>
          <t>Kota Bau Bau</t>
        </is>
      </c>
      <c r="C47" t="inlineStr">
        <is>
          <t>085210353488</t>
        </is>
      </c>
      <c r="D47" t="inlineStr">
        <is>
          <t>gamsir2020@gmail.com</t>
        </is>
      </c>
      <c r="E47" t="inlineStr">
        <is>
          <t>https://lpjk.pu.go.id/search-badan-usaha-detail/KzR3Smt2cDNoeFJ5RHNCeldYQ0hTZz09</t>
        </is>
      </c>
      <c r="F47" t="n">
        <v>1</v>
      </c>
      <c r="G47" t="inlineStr">
        <is>
          <t>BG002</t>
        </is>
      </c>
      <c r="H47" t="inlineStr">
        <is>
          <t>9 November 2006</t>
        </is>
      </c>
      <c r="I47" s="2" t="n">
        <v>46195</v>
      </c>
      <c r="J47" t="inlineStr">
        <is>
          <t>Disetujui</t>
        </is>
      </c>
      <c r="K47" t="n">
        <v>30</v>
      </c>
      <c r="L47" t="inlineStr">
        <is>
          <t>22 Juni 2026</t>
        </is>
      </c>
      <c r="M47" t="inlineStr">
        <is>
          <t>Konstruksi Gedung Perkantoran</t>
        </is>
      </c>
      <c r="N47" t="inlineStr">
        <is>
          <t>K</t>
        </is>
      </c>
      <c r="O47" t="inlineStr">
        <is>
          <t>20230621</t>
        </is>
      </c>
      <c r="P47" t="inlineStr">
        <is>
          <t>Sulawesi Tenggara</t>
        </is>
      </c>
      <c r="Q47" t="inlineStr"/>
    </row>
    <row r="48">
      <c r="A48" t="inlineStr">
        <is>
          <t>BANGUN BERSAMA BONARDO</t>
        </is>
      </c>
      <c r="B48" t="inlineStr">
        <is>
          <t>Kota Adm. Jakarta Selatan</t>
        </is>
      </c>
      <c r="C48" t="inlineStr">
        <is>
          <t>0817204415</t>
        </is>
      </c>
      <c r="D48" t="inlineStr">
        <is>
          <t>ask@bonardo.info</t>
        </is>
      </c>
      <c r="E48" t="inlineStr">
        <is>
          <t>https://lpjk.pu.go.id/search-badan-usaha-detail/eC9WTzIzM3U3VU5qcW9tcEZMWDRUQT09</t>
        </is>
      </c>
      <c r="F48" t="n">
        <v>1</v>
      </c>
      <c r="G48" t="inlineStr">
        <is>
          <t>BG009</t>
        </is>
      </c>
      <c r="H48" t="inlineStr">
        <is>
          <t>3 Februari 2023</t>
        </is>
      </c>
      <c r="I48" s="2" t="n">
        <v>46195</v>
      </c>
      <c r="J48" t="inlineStr">
        <is>
          <t>Disetujui</t>
        </is>
      </c>
      <c r="K48" t="n">
        <v>30</v>
      </c>
      <c r="L48" t="inlineStr">
        <is>
          <t>22 Juni 2026</t>
        </is>
      </c>
      <c r="M48" t="inlineStr">
        <is>
          <t>Konstruksi Gedung Lainnya</t>
        </is>
      </c>
      <c r="N48" t="inlineStr">
        <is>
          <t>K</t>
        </is>
      </c>
      <c r="O48" t="inlineStr">
        <is>
          <t>20230622</t>
        </is>
      </c>
      <c r="P48" t="inlineStr">
        <is>
          <t>DKI Jakarta</t>
        </is>
      </c>
      <c r="Q48" t="inlineStr"/>
    </row>
    <row r="49">
      <c r="A49" t="inlineStr">
        <is>
          <t>BANGUN CIPTA SARANA</t>
        </is>
      </c>
      <c r="B49" t="inlineStr">
        <is>
          <t>Kota Sukabumi</t>
        </is>
      </c>
      <c r="C49" t="inlineStr">
        <is>
          <t>0266-219684</t>
        </is>
      </c>
      <c r="D49" t="inlineStr">
        <is>
          <t>bcs.lpse@gmail.com</t>
        </is>
      </c>
      <c r="E49" t="inlineStr">
        <is>
          <t>https://lpjk.pu.go.id/search-badan-usaha-detail/MXdlTnB6N3puOVhJMUR1S3haMC8vQT09</t>
        </is>
      </c>
      <c r="F49" t="n">
        <v>2</v>
      </c>
      <c r="G49" t="inlineStr">
        <is>
          <t>BG005, BG006</t>
        </is>
      </c>
      <c r="H49" t="inlineStr">
        <is>
          <t>3 September 2002</t>
        </is>
      </c>
      <c r="I49" s="2" t="n">
        <v>46195</v>
      </c>
      <c r="J49" t="inlineStr">
        <is>
          <t>Disetujui</t>
        </is>
      </c>
      <c r="K49" t="n">
        <v>30</v>
      </c>
      <c r="L49" t="inlineStr">
        <is>
          <t>22 Juni 2026</t>
        </is>
      </c>
      <c r="M49" t="inlineStr">
        <is>
          <t>Konstruksi Gedung Kesehatan, Konstruksi Gedung Pendidikan</t>
        </is>
      </c>
      <c r="N49" t="inlineStr">
        <is>
          <t>K</t>
        </is>
      </c>
      <c r="O49" t="inlineStr">
        <is>
          <t>20230622</t>
        </is>
      </c>
      <c r="P49" t="inlineStr">
        <is>
          <t>Jawa Barat</t>
        </is>
      </c>
      <c r="Q49" t="inlineStr"/>
    </row>
    <row r="50">
      <c r="A50" t="inlineStr">
        <is>
          <t>BANGUN INDAH LESTARI</t>
        </is>
      </c>
      <c r="B50" t="inlineStr">
        <is>
          <t>Kab. Sumbawa Barat</t>
        </is>
      </c>
      <c r="C50" t="inlineStr">
        <is>
          <t>085205858272</t>
        </is>
      </c>
      <c r="D50" t="inlineStr">
        <is>
          <t>juwinoindahlestari@gmail.com</t>
        </is>
      </c>
      <c r="E50" t="inlineStr">
        <is>
          <t>https://lpjk.pu.go.id/search-badan-usaha-detail/ZkV4OHFRK2taME1ZN0hsbW1nampnQT09</t>
        </is>
      </c>
      <c r="F50" t="n">
        <v>1</v>
      </c>
      <c r="G50" t="inlineStr">
        <is>
          <t>BG009</t>
        </is>
      </c>
      <c r="H50" t="inlineStr">
        <is>
          <t>22 November 2011</t>
        </is>
      </c>
      <c r="I50" s="2" t="n">
        <v>46195</v>
      </c>
      <c r="J50" t="inlineStr">
        <is>
          <t>Disetujui</t>
        </is>
      </c>
      <c r="K50" t="n">
        <v>30</v>
      </c>
      <c r="L50" t="inlineStr">
        <is>
          <t>22 Juni 2026</t>
        </is>
      </c>
      <c r="M50" t="inlineStr">
        <is>
          <t>Konstruksi Gedung Lainnya</t>
        </is>
      </c>
      <c r="N50" t="inlineStr">
        <is>
          <t>K</t>
        </is>
      </c>
      <c r="O50" t="inlineStr">
        <is>
          <t>20230615</t>
        </is>
      </c>
      <c r="P50" t="inlineStr">
        <is>
          <t>Nusa Tenggara Barat</t>
        </is>
      </c>
      <c r="Q50" t="inlineStr"/>
    </row>
    <row r="51">
      <c r="A51" t="inlineStr">
        <is>
          <t>BANGUN MAKMUR</t>
        </is>
      </c>
      <c r="B51" t="inlineStr">
        <is>
          <t>Kab. Sukabumi</t>
        </is>
      </c>
      <c r="C51" t="inlineStr">
        <is>
          <t>081563153999</t>
        </is>
      </c>
      <c r="D51" t="inlineStr">
        <is>
          <t>bangunmakmurmep@gmail.com</t>
        </is>
      </c>
      <c r="E51" t="inlineStr">
        <is>
          <t>https://lpjk.pu.go.id/search-badan-usaha-detail/bjFpbEJxN3Q3Z3Z2dFdkTFhuNEZ6QT09</t>
        </is>
      </c>
      <c r="F51" t="n">
        <v>1</v>
      </c>
      <c r="G51" t="inlineStr">
        <is>
          <t>BG006</t>
        </is>
      </c>
      <c r="H51" t="inlineStr">
        <is>
          <t>29 Desember 2015</t>
        </is>
      </c>
      <c r="I51" s="2" t="n">
        <v>46195</v>
      </c>
      <c r="J51" t="inlineStr">
        <is>
          <t>Disetujui</t>
        </is>
      </c>
      <c r="K51" t="n">
        <v>30</v>
      </c>
      <c r="L51" t="inlineStr">
        <is>
          <t>22 Juni 2026</t>
        </is>
      </c>
      <c r="M51" t="inlineStr">
        <is>
          <t>Konstruksi Gedung Pendidikan</t>
        </is>
      </c>
      <c r="N51" t="inlineStr">
        <is>
          <t>K</t>
        </is>
      </c>
      <c r="O51" t="inlineStr">
        <is>
          <t>20230614</t>
        </is>
      </c>
      <c r="P51" t="inlineStr">
        <is>
          <t>Jawa Barat</t>
        </is>
      </c>
      <c r="Q51" t="inlineStr"/>
    </row>
    <row r="52">
      <c r="A52" t="inlineStr">
        <is>
          <t>BARRA PRATAMA GROUP</t>
        </is>
      </c>
      <c r="B52" t="inlineStr">
        <is>
          <t>Kab. Kuningan</t>
        </is>
      </c>
      <c r="C52" t="inlineStr">
        <is>
          <t>081223237654</t>
        </is>
      </c>
      <c r="D52" t="inlineStr">
        <is>
          <t>barrapratamagroup@gmail.com</t>
        </is>
      </c>
      <c r="E52" t="inlineStr">
        <is>
          <t>https://lpjk.pu.go.id/search-badan-usaha-detail/QTlZUjVkUjNaSEx3VnlwN3NWQWU0QT09</t>
        </is>
      </c>
      <c r="F52" t="n">
        <v>1</v>
      </c>
      <c r="G52" t="inlineStr">
        <is>
          <t>BS005</t>
        </is>
      </c>
      <c r="H52" t="inlineStr">
        <is>
          <t>22 Juni 2012</t>
        </is>
      </c>
      <c r="I52" s="2" t="n">
        <v>46195</v>
      </c>
      <c r="J52" t="inlineStr">
        <is>
          <t>Disetujui</t>
        </is>
      </c>
      <c r="K52" t="n">
        <v>30</v>
      </c>
      <c r="L52" t="inlineStr">
        <is>
          <t>22 Juni 2026</t>
        </is>
      </c>
      <c r="M52" t="inlineStr">
        <is>
          <t>Konstruksi Bangunan Sipil Pengolahan Air Bersih</t>
        </is>
      </c>
      <c r="N52" t="inlineStr">
        <is>
          <t>K</t>
        </is>
      </c>
      <c r="O52" t="inlineStr">
        <is>
          <t>20230615</t>
        </is>
      </c>
      <c r="P52" t="inlineStr">
        <is>
          <t>Jawa Barat</t>
        </is>
      </c>
      <c r="Q52" t="inlineStr"/>
    </row>
    <row r="53">
      <c r="A53" t="inlineStr">
        <is>
          <t>BERKAH FADILLAH</t>
        </is>
      </c>
      <c r="B53" t="inlineStr">
        <is>
          <t>Kota Medan</t>
        </is>
      </c>
      <c r="C53" t="inlineStr">
        <is>
          <t>081370588003</t>
        </is>
      </c>
      <c r="D53" t="inlineStr">
        <is>
          <t>cv.berkah_fadillah@yahoo.com</t>
        </is>
      </c>
      <c r="E53" t="inlineStr">
        <is>
          <t>https://lpjk.pu.go.id/search-badan-usaha-detail/b1ZtRDN1RXkxalFVLzNna09WQjdWQT09</t>
        </is>
      </c>
      <c r="F53" t="n">
        <v>2</v>
      </c>
      <c r="G53" t="inlineStr">
        <is>
          <t>BG009</t>
        </is>
      </c>
      <c r="H53" t="inlineStr">
        <is>
          <t>14 Januari 2016</t>
        </is>
      </c>
      <c r="I53" s="2" t="n">
        <v>46195</v>
      </c>
      <c r="J53" t="inlineStr">
        <is>
          <t>Disetujui</t>
        </is>
      </c>
      <c r="K53" t="n">
        <v>30</v>
      </c>
      <c r="L53" t="inlineStr">
        <is>
          <t>22 Juni 2026</t>
        </is>
      </c>
      <c r="M53" t="inlineStr">
        <is>
          <t>Konstruksi Gedung Lainnya</t>
        </is>
      </c>
      <c r="N53" t="inlineStr">
        <is>
          <t>K</t>
        </is>
      </c>
      <c r="O53" t="inlineStr">
        <is>
          <t>20230530</t>
        </is>
      </c>
      <c r="P53" t="inlineStr">
        <is>
          <t>Sumatera Utara</t>
        </is>
      </c>
      <c r="Q53" t="inlineStr"/>
    </row>
    <row r="54">
      <c r="A54" t="inlineStr">
        <is>
          <t>BERKAH TERANG RAHMAT</t>
        </is>
      </c>
      <c r="B54" t="inlineStr">
        <is>
          <t>Kab. Tanah Laut</t>
        </is>
      </c>
      <c r="C54" t="inlineStr">
        <is>
          <t>085345480000</t>
        </is>
      </c>
      <c r="D54" t="inlineStr">
        <is>
          <t>rahmatberkahterang@gmail.com</t>
        </is>
      </c>
      <c r="E54" t="inlineStr">
        <is>
          <t>https://lpjk.pu.go.id/search-badan-usaha-detail/cGZIK2hXYlJTcDcwZDhCb0ZkVzFGQT09</t>
        </is>
      </c>
      <c r="F54" t="n">
        <v>2</v>
      </c>
      <c r="G54" t="inlineStr">
        <is>
          <t>BG009</t>
        </is>
      </c>
      <c r="H54" t="inlineStr">
        <is>
          <t>3 Agustus 2016</t>
        </is>
      </c>
      <c r="I54" s="2" t="n">
        <v>46195</v>
      </c>
      <c r="J54" t="inlineStr">
        <is>
          <t>Pencabutan</t>
        </is>
      </c>
      <c r="K54" t="n">
        <v>30</v>
      </c>
      <c r="L54" t="inlineStr">
        <is>
          <t>22 Juni 2026</t>
        </is>
      </c>
      <c r="M54" t="inlineStr">
        <is>
          <t>Konstruksi Gedung Lainnya</t>
        </is>
      </c>
      <c r="N54" t="inlineStr">
        <is>
          <t>K</t>
        </is>
      </c>
      <c r="O54" t="inlineStr">
        <is>
          <t>20230512</t>
        </is>
      </c>
      <c r="P54" t="inlineStr">
        <is>
          <t>Kalimantan Selatan</t>
        </is>
      </c>
      <c r="Q54" t="inlineStr"/>
    </row>
    <row r="55">
      <c r="A55" t="inlineStr">
        <is>
          <t>BERKAT KARYA</t>
        </is>
      </c>
      <c r="B55" t="inlineStr">
        <is>
          <t>Kota Ambon</t>
        </is>
      </c>
      <c r="C55" t="inlineStr">
        <is>
          <t>0911353905</t>
        </is>
      </c>
      <c r="D55" t="inlineStr">
        <is>
          <t>dyongalan@yahoo.com</t>
        </is>
      </c>
      <c r="E55" t="inlineStr">
        <is>
          <t>https://lpjk.pu.go.id/search-badan-usaha-detail/Y1d1YlBudGNQVktMM3VrSWYxMGpxdz09</t>
        </is>
      </c>
      <c r="F55" t="n">
        <v>2</v>
      </c>
      <c r="G55" t="inlineStr">
        <is>
          <t>BG005</t>
        </is>
      </c>
      <c r="H55" t="inlineStr">
        <is>
          <t>10 Oktober 1985</t>
        </is>
      </c>
      <c r="I55" s="2" t="n">
        <v>46195</v>
      </c>
      <c r="J55" t="inlineStr">
        <is>
          <t>Disetujui</t>
        </is>
      </c>
      <c r="K55" t="n">
        <v>30</v>
      </c>
      <c r="L55" t="inlineStr">
        <is>
          <t>22 Juni 2026</t>
        </is>
      </c>
      <c r="M55" t="inlineStr">
        <is>
          <t>Konstruksi Gedung Kesehatan</t>
        </is>
      </c>
      <c r="N55" t="inlineStr">
        <is>
          <t>K</t>
        </is>
      </c>
      <c r="O55" t="inlineStr">
        <is>
          <t>20230623</t>
        </is>
      </c>
      <c r="P55" t="inlineStr">
        <is>
          <t>Maluku</t>
        </is>
      </c>
      <c r="Q55" t="inlineStr"/>
    </row>
    <row r="56">
      <c r="A56" t="inlineStr">
        <is>
          <t>BHAKTI MULYA MANDIRI</t>
        </is>
      </c>
      <c r="B56" t="inlineStr">
        <is>
          <t>Kota Palu</t>
        </is>
      </c>
      <c r="C56" t="inlineStr">
        <is>
          <t>082348770678</t>
        </is>
      </c>
      <c r="D56" t="inlineStr">
        <is>
          <t>bhaktimulya_11@yahoo.co.id</t>
        </is>
      </c>
      <c r="E56" t="inlineStr">
        <is>
          <t>https://lpjk.pu.go.id/search-badan-usaha-detail/MTlKckVUUVhXMEV1TGc5UFJZNDFIdz09</t>
        </is>
      </c>
      <c r="F56" t="n">
        <v>1</v>
      </c>
      <c r="G56" t="inlineStr">
        <is>
          <t>BG006</t>
        </is>
      </c>
      <c r="H56" t="inlineStr">
        <is>
          <t>8 April 1993</t>
        </is>
      </c>
      <c r="I56" s="2" t="n">
        <v>46195</v>
      </c>
      <c r="J56" t="inlineStr">
        <is>
          <t>Disetujui</t>
        </is>
      </c>
      <c r="K56" t="n">
        <v>30</v>
      </c>
      <c r="L56" t="inlineStr">
        <is>
          <t>22 Juni 2026</t>
        </is>
      </c>
      <c r="M56" t="inlineStr">
        <is>
          <t>Konstruksi Gedung Pendidikan</t>
        </is>
      </c>
      <c r="N56" t="inlineStr">
        <is>
          <t>K</t>
        </is>
      </c>
      <c r="O56" t="inlineStr">
        <is>
          <t>20230530</t>
        </is>
      </c>
      <c r="P56" t="inlineStr">
        <is>
          <t>Sulawesi Tengah</t>
        </is>
      </c>
      <c r="Q56" t="inlineStr"/>
    </row>
    <row r="57">
      <c r="A57" t="inlineStr">
        <is>
          <t>BIMA SAKTI KONSTRUKSI</t>
        </is>
      </c>
      <c r="B57" t="inlineStr">
        <is>
          <t>Kota Kendari</t>
        </is>
      </c>
      <c r="C57" t="inlineStr">
        <is>
          <t>085340593377</t>
        </is>
      </c>
      <c r="D57" t="inlineStr">
        <is>
          <t>bimasaktikonstruksi189@yahoo.com</t>
        </is>
      </c>
      <c r="E57" t="inlineStr">
        <is>
          <t>https://lpjk.pu.go.id/search-badan-usaha-detail/eG55TWVtTUYxSVRVaTg1UEpkRFlSdz09</t>
        </is>
      </c>
      <c r="F57" t="n">
        <v>2</v>
      </c>
      <c r="G57" t="inlineStr">
        <is>
          <t>BG001, BG002</t>
        </is>
      </c>
      <c r="H57" t="inlineStr">
        <is>
          <t>11 Juni 2020</t>
        </is>
      </c>
      <c r="I57" s="2" t="n">
        <v>46195</v>
      </c>
      <c r="J57" t="inlineStr">
        <is>
          <t>Disetujui</t>
        </is>
      </c>
      <c r="K57" t="n">
        <v>30</v>
      </c>
      <c r="L57" t="inlineStr">
        <is>
          <t>22 Juni 2026</t>
        </is>
      </c>
      <c r="M57" t="inlineStr">
        <is>
          <t>Konstruksi Gedung Hunian, Konstruksi Gedung Perkantoran</t>
        </is>
      </c>
      <c r="N57" t="inlineStr">
        <is>
          <t>K</t>
        </is>
      </c>
      <c r="O57" t="inlineStr">
        <is>
          <t>20230621, 20230622</t>
        </is>
      </c>
      <c r="P57" t="inlineStr">
        <is>
          <t>Sulawesi Tenggara</t>
        </is>
      </c>
      <c r="Q57" t="inlineStr"/>
    </row>
    <row r="58">
      <c r="A58" t="inlineStr">
        <is>
          <t>BINA KARYA MANDIRI</t>
        </is>
      </c>
      <c r="B58" t="inlineStr">
        <is>
          <t>Kab. Lombok Utara</t>
        </is>
      </c>
      <c r="C58" t="inlineStr">
        <is>
          <t>087758583163</t>
        </is>
      </c>
      <c r="D58" t="inlineStr">
        <is>
          <t>cvbinakarya351@gmail.com</t>
        </is>
      </c>
      <c r="E58" t="inlineStr">
        <is>
          <t>https://lpjk.pu.go.id/search-badan-usaha-detail/NW9HOWVVSEhrM3EvaWE5V0g4VE5YQT09</t>
        </is>
      </c>
      <c r="F58" t="n">
        <v>1</v>
      </c>
      <c r="G58" t="inlineStr">
        <is>
          <t>BG006</t>
        </is>
      </c>
      <c r="H58" t="inlineStr">
        <is>
          <t>27 Desember 2013</t>
        </is>
      </c>
      <c r="I58" s="2" t="n">
        <v>46195</v>
      </c>
      <c r="J58" t="inlineStr">
        <is>
          <t>Pencabutan</t>
        </is>
      </c>
      <c r="K58" t="n">
        <v>30</v>
      </c>
      <c r="L58" t="inlineStr">
        <is>
          <t>22 Juni 2026</t>
        </is>
      </c>
      <c r="M58" t="inlineStr">
        <is>
          <t>Konstruksi Gedung Pendidikan</t>
        </is>
      </c>
      <c r="N58" t="inlineStr">
        <is>
          <t>K</t>
        </is>
      </c>
      <c r="O58" t="inlineStr">
        <is>
          <t>20230622</t>
        </is>
      </c>
      <c r="P58" t="inlineStr">
        <is>
          <t>Nusa Tenggara Barat</t>
        </is>
      </c>
      <c r="Q58" t="inlineStr"/>
    </row>
    <row r="59">
      <c r="A59" t="inlineStr">
        <is>
          <t>BINTANG BUMI BAHARI</t>
        </is>
      </c>
      <c r="B59" t="inlineStr">
        <is>
          <t>Kab. Cilacap</t>
        </is>
      </c>
      <c r="C59" t="inlineStr">
        <is>
          <t>081332145012</t>
        </is>
      </c>
      <c r="D59" t="inlineStr">
        <is>
          <t>bintangbumibahari@gmail.com</t>
        </is>
      </c>
      <c r="E59" t="inlineStr">
        <is>
          <t>https://lpjk.pu.go.id/search-badan-usaha-detail/NENKeTVOajU5N3FhcEd6OXlUaGJCdz09</t>
        </is>
      </c>
      <c r="F59" t="n">
        <v>2</v>
      </c>
      <c r="G59" t="inlineStr">
        <is>
          <t>BG009</t>
        </is>
      </c>
      <c r="H59" t="inlineStr">
        <is>
          <t>12 Februari 1993</t>
        </is>
      </c>
      <c r="I59" s="2" t="n">
        <v>46195</v>
      </c>
      <c r="J59" t="inlineStr">
        <is>
          <t>Pencabutan</t>
        </is>
      </c>
      <c r="K59" t="n">
        <v>30</v>
      </c>
      <c r="L59" t="inlineStr">
        <is>
          <t>22 Juni 2026</t>
        </is>
      </c>
      <c r="M59" t="inlineStr">
        <is>
          <t>Konstruksi Gedung Lainnya</t>
        </is>
      </c>
      <c r="N59" t="inlineStr">
        <is>
          <t>K</t>
        </is>
      </c>
      <c r="O59" t="inlineStr">
        <is>
          <t>20230609</t>
        </is>
      </c>
      <c r="P59" t="inlineStr">
        <is>
          <t>Jawa Tengah</t>
        </is>
      </c>
      <c r="Q59" t="inlineStr"/>
    </row>
    <row r="60">
      <c r="A60" t="inlineStr">
        <is>
          <t>BINTANG KALTARA</t>
        </is>
      </c>
      <c r="B60" t="inlineStr">
        <is>
          <t>Kab. Bulungan</t>
        </is>
      </c>
      <c r="C60" t="inlineStr">
        <is>
          <t>085246541716</t>
        </is>
      </c>
      <c r="D60" t="inlineStr">
        <is>
          <t>andiasdar.aa77@gmail.com</t>
        </is>
      </c>
      <c r="E60" t="inlineStr">
        <is>
          <t>https://lpjk.pu.go.id/search-badan-usaha-detail/NFVvQXNMbE83VzFGekxzT3R4UGlJUT09</t>
        </is>
      </c>
      <c r="F60" t="n">
        <v>4</v>
      </c>
      <c r="G60" t="inlineStr">
        <is>
          <t>BS001, BS004</t>
        </is>
      </c>
      <c r="H60" t="inlineStr">
        <is>
          <t>25 Juni 2014</t>
        </is>
      </c>
      <c r="I60" s="2" t="n">
        <v>46195</v>
      </c>
      <c r="J60" t="inlineStr">
        <is>
          <t>Disetujui, Pencabutan</t>
        </is>
      </c>
      <c r="K60" t="n">
        <v>30</v>
      </c>
      <c r="L60" t="inlineStr">
        <is>
          <t>22 Juni 2026</t>
        </is>
      </c>
      <c r="M60" t="inlineStr">
        <is>
          <t>Konstruksi Bangunan Sipil Jalan, Konstruksi Jaringan Irigasi dan Drainase</t>
        </is>
      </c>
      <c r="N60" t="inlineStr">
        <is>
          <t>K</t>
        </is>
      </c>
      <c r="O60" t="inlineStr">
        <is>
          <t>20230618, 20230621</t>
        </is>
      </c>
      <c r="P60" t="inlineStr">
        <is>
          <t>Kalimantan Utara</t>
        </is>
      </c>
      <c r="Q60" t="inlineStr"/>
    </row>
    <row r="61">
      <c r="A61" t="inlineStr">
        <is>
          <t>BINTANG LAKSMANA</t>
        </is>
      </c>
      <c r="B61" t="inlineStr">
        <is>
          <t>Kab. Kuantan Singingi</t>
        </is>
      </c>
      <c r="C61" t="inlineStr">
        <is>
          <t>085265362468</t>
        </is>
      </c>
      <c r="D61" t="inlineStr">
        <is>
          <t>cvbintanglaksmana2019@gmail.com</t>
        </is>
      </c>
      <c r="E61" t="inlineStr">
        <is>
          <t>https://lpjk.pu.go.id/search-badan-usaha-detail/aDVydUJ0bjNTUys0RGpIRmZ5OFZrUT09</t>
        </is>
      </c>
      <c r="F61" t="n">
        <v>8</v>
      </c>
      <c r="G61" t="inlineStr">
        <is>
          <t>BG002, BG004, BG005, BG006</t>
        </is>
      </c>
      <c r="H61" t="inlineStr">
        <is>
          <t>2 Januari 2007</t>
        </is>
      </c>
      <c r="I61" s="2" t="n">
        <v>46195</v>
      </c>
      <c r="J61" t="inlineStr">
        <is>
          <t>Pencabutan</t>
        </is>
      </c>
      <c r="K61" t="n">
        <v>30</v>
      </c>
      <c r="L61" t="inlineStr">
        <is>
          <t>22 Juni 2026</t>
        </is>
      </c>
      <c r="M61" t="inlineStr">
        <is>
          <t>Konstruksi Gedung Kesehatan, Konstruksi Gedung Pendidikan, Konstruksi Gedung Perbelanjaan, Konstruksi Gedung Perkantoran</t>
        </is>
      </c>
      <c r="N61" t="inlineStr">
        <is>
          <t>K</t>
        </is>
      </c>
      <c r="O61" t="inlineStr">
        <is>
          <t>20230622</t>
        </is>
      </c>
      <c r="P61" t="inlineStr">
        <is>
          <t>Riau</t>
        </is>
      </c>
      <c r="Q61" t="inlineStr"/>
    </row>
    <row r="62">
      <c r="A62" t="inlineStr">
        <is>
          <t>BINTANG RAYA MANDIRI</t>
        </is>
      </c>
      <c r="B62" t="inlineStr">
        <is>
          <t>Kab. Aceh Tamiang</t>
        </is>
      </c>
      <c r="C62" t="inlineStr">
        <is>
          <t>085276194987</t>
        </is>
      </c>
      <c r="D62" t="inlineStr">
        <is>
          <t>bintangrayamandiri@yahoo.co.id</t>
        </is>
      </c>
      <c r="E62" t="inlineStr">
        <is>
          <t>https://lpjk.pu.go.id/search-badan-usaha-detail/dDR3YjFCcVlkaFR1VGRtSVRYaVRuQT09</t>
        </is>
      </c>
      <c r="F62" t="n">
        <v>2</v>
      </c>
      <c r="G62" t="inlineStr">
        <is>
          <t>BG002</t>
        </is>
      </c>
      <c r="H62" t="inlineStr">
        <is>
          <t>6 April 1982</t>
        </is>
      </c>
      <c r="I62" s="2" t="n">
        <v>46195</v>
      </c>
      <c r="J62" t="inlineStr">
        <is>
          <t>Disetujui</t>
        </is>
      </c>
      <c r="K62" t="n">
        <v>30</v>
      </c>
      <c r="L62" t="inlineStr">
        <is>
          <t>22 Juni 2026</t>
        </is>
      </c>
      <c r="M62" t="inlineStr">
        <is>
          <t>Konstruksi Gedung Perkantoran</t>
        </is>
      </c>
      <c r="N62" t="inlineStr">
        <is>
          <t>K</t>
        </is>
      </c>
      <c r="O62" t="inlineStr">
        <is>
          <t>20230403</t>
        </is>
      </c>
      <c r="P62" t="inlineStr">
        <is>
          <t>Aceh</t>
        </is>
      </c>
      <c r="Q62" t="inlineStr"/>
    </row>
    <row r="63">
      <c r="A63" t="inlineStr">
        <is>
          <t>BINTANG SURYA GEMILANG</t>
        </is>
      </c>
      <c r="B63" t="inlineStr">
        <is>
          <t>Kab. Demak</t>
        </is>
      </c>
      <c r="C63" t="inlineStr">
        <is>
          <t>085693855199</t>
        </is>
      </c>
      <c r="D63" t="inlineStr">
        <is>
          <t>bintangsuryagemilang.cv@gmail.com</t>
        </is>
      </c>
      <c r="E63" t="inlineStr">
        <is>
          <t>https://lpjk.pu.go.id/search-badan-usaha-detail/UzlUSDErMzlrS0w5RzFqa0JWQjdmQT09</t>
        </is>
      </c>
      <c r="F63" t="n">
        <v>2</v>
      </c>
      <c r="G63" t="inlineStr">
        <is>
          <t>BG009</t>
        </is>
      </c>
      <c r="H63" t="inlineStr">
        <is>
          <t>30 April 2020</t>
        </is>
      </c>
      <c r="I63" s="2" t="n">
        <v>46195</v>
      </c>
      <c r="J63" t="inlineStr">
        <is>
          <t>Disetujui</t>
        </is>
      </c>
      <c r="K63" t="n">
        <v>30</v>
      </c>
      <c r="L63" t="inlineStr">
        <is>
          <t>22 Juni 2026</t>
        </is>
      </c>
      <c r="M63" t="inlineStr">
        <is>
          <t>Konstruksi Gedung Lainnya</t>
        </is>
      </c>
      <c r="N63" t="inlineStr">
        <is>
          <t>K</t>
        </is>
      </c>
      <c r="O63" t="inlineStr">
        <is>
          <t>20230622</t>
        </is>
      </c>
      <c r="P63" t="inlineStr">
        <is>
          <t>Jawa Tengah</t>
        </is>
      </c>
      <c r="Q63" t="inlineStr"/>
    </row>
    <row r="64">
      <c r="A64" t="inlineStr">
        <is>
          <t>BORNEO MANTUIL CONSTRUCTION</t>
        </is>
      </c>
      <c r="B64" t="inlineStr">
        <is>
          <t>Kota Banjarmasin</t>
        </is>
      </c>
      <c r="C64" t="inlineStr">
        <is>
          <t>085389097771</t>
        </is>
      </c>
      <c r="D64" t="inlineStr">
        <is>
          <t>cvborneomantuilconstruction@gmail.com</t>
        </is>
      </c>
      <c r="E64" t="inlineStr">
        <is>
          <t>https://lpjk.pu.go.id/search-badan-usaha-detail/bS9DcEVsbWpCQWFmazgwSVo4QzZtZz09</t>
        </is>
      </c>
      <c r="F64" t="n">
        <v>2</v>
      </c>
      <c r="G64" t="inlineStr">
        <is>
          <t>BG003, BG004</t>
        </is>
      </c>
      <c r="H64" t="inlineStr">
        <is>
          <t>14 Maret 2022</t>
        </is>
      </c>
      <c r="I64" s="2" t="n">
        <v>46195</v>
      </c>
      <c r="J64" t="inlineStr">
        <is>
          <t>Pencabutan</t>
        </is>
      </c>
      <c r="K64" t="n">
        <v>30</v>
      </c>
      <c r="L64" t="inlineStr">
        <is>
          <t>22 Juni 2026</t>
        </is>
      </c>
      <c r="M64" t="inlineStr">
        <is>
          <t>Konstruksi Gedung Industri, Konstruksi Gedung Perbelanjaan</t>
        </is>
      </c>
      <c r="N64" t="inlineStr">
        <is>
          <t>K</t>
        </is>
      </c>
      <c r="O64" t="inlineStr">
        <is>
          <t>20230610, 20230622</t>
        </is>
      </c>
      <c r="P64" t="inlineStr">
        <is>
          <t>Kalimantan Selatan</t>
        </is>
      </c>
      <c r="Q64" t="inlineStr"/>
    </row>
    <row r="65">
      <c r="A65" t="inlineStr">
        <is>
          <t>BUANA PRIMA LESTARI</t>
        </is>
      </c>
      <c r="B65" t="inlineStr">
        <is>
          <t>Kota Bontang</t>
        </is>
      </c>
      <c r="C65" t="inlineStr">
        <is>
          <t>081347236286</t>
        </is>
      </c>
      <c r="D65" t="inlineStr">
        <is>
          <t>buanaprimalestari@gmail.com</t>
        </is>
      </c>
      <c r="E65" t="inlineStr">
        <is>
          <t>https://lpjk.pu.go.id/search-badan-usaha-detail/ek9pcWZuc3d1dnFPSkNUNTM0L2FkQT09</t>
        </is>
      </c>
      <c r="F65" t="n">
        <v>2</v>
      </c>
      <c r="G65" t="inlineStr">
        <is>
          <t>BS001, BS004</t>
        </is>
      </c>
      <c r="H65" t="inlineStr">
        <is>
          <t>4 Maret 2019</t>
        </is>
      </c>
      <c r="I65" s="2" t="n">
        <v>46195</v>
      </c>
      <c r="J65" t="inlineStr">
        <is>
          <t>Disetujui</t>
        </is>
      </c>
      <c r="K65" t="n">
        <v>30</v>
      </c>
      <c r="L65" t="inlineStr">
        <is>
          <t>22 Juni 2026</t>
        </is>
      </c>
      <c r="M65" t="inlineStr">
        <is>
          <t>Konstruksi Bangunan Sipil Jalan, Konstruksi Jaringan Irigasi dan Drainase</t>
        </is>
      </c>
      <c r="N65" t="inlineStr">
        <is>
          <t>K</t>
        </is>
      </c>
      <c r="O65" t="inlineStr">
        <is>
          <t>20230622</t>
        </is>
      </c>
      <c r="P65" t="inlineStr">
        <is>
          <t>Kalimantan Timur</t>
        </is>
      </c>
      <c r="Q65" t="inlineStr"/>
    </row>
    <row r="66">
      <c r="A66" t="inlineStr">
        <is>
          <t>BUDI ADHI PRATAMA</t>
        </is>
      </c>
      <c r="B66" t="inlineStr">
        <is>
          <t>Kota Semarang</t>
        </is>
      </c>
      <c r="C66" t="inlineStr">
        <is>
          <t>02476581281</t>
        </is>
      </c>
      <c r="D66" t="inlineStr">
        <is>
          <t>budiadhip@gmail.com</t>
        </is>
      </c>
      <c r="E66" t="inlineStr">
        <is>
          <t>https://lpjk.pu.go.id/search-badan-usaha-detail/amg5UEF2MXhvckhEemc1dU1OVC9vQT09</t>
        </is>
      </c>
      <c r="F66" t="n">
        <v>4</v>
      </c>
      <c r="G66" t="inlineStr">
        <is>
          <t>BG006, BG009, BS001, BS004</t>
        </is>
      </c>
      <c r="H66" t="inlineStr">
        <is>
          <t>30 Maret 2015</t>
        </is>
      </c>
      <c r="I66" s="2" t="n">
        <v>46195</v>
      </c>
      <c r="J66" t="inlineStr">
        <is>
          <t>Disetujui</t>
        </is>
      </c>
      <c r="K66" t="n">
        <v>30</v>
      </c>
      <c r="L66" t="inlineStr">
        <is>
          <t>22 Juni 2026</t>
        </is>
      </c>
      <c r="M66" t="inlineStr">
        <is>
          <t>Konstruksi Bangunan Sipil Jalan, Konstruksi Gedung Lainnya, Konstruksi Gedung Pendidikan, Konstruksi Jaringan Irigasi dan Drainase</t>
        </is>
      </c>
      <c r="N66" t="inlineStr">
        <is>
          <t>K</t>
        </is>
      </c>
      <c r="O66" t="inlineStr">
        <is>
          <t>20230221</t>
        </is>
      </c>
      <c r="P66" t="inlineStr">
        <is>
          <t>Jawa Tengah</t>
        </is>
      </c>
      <c r="Q66" t="inlineStr"/>
    </row>
    <row r="67">
      <c r="A67" t="inlineStr">
        <is>
          <t>BUMI ANOA UTAMA</t>
        </is>
      </c>
      <c r="B67" t="inlineStr">
        <is>
          <t>Kota Kendari</t>
        </is>
      </c>
      <c r="C67" t="inlineStr">
        <is>
          <t>085240033395</t>
        </is>
      </c>
      <c r="D67" t="inlineStr">
        <is>
          <t>bumianoautama777@gmail.com</t>
        </is>
      </c>
      <c r="E67" t="inlineStr">
        <is>
          <t>https://lpjk.pu.go.id/search-badan-usaha-detail/dDMrUU91MUR3QW5HN0VTaWxLMTFtUT09</t>
        </is>
      </c>
      <c r="F67" t="n">
        <v>1</v>
      </c>
      <c r="G67" t="inlineStr">
        <is>
          <t>BG005</t>
        </is>
      </c>
      <c r="H67" t="inlineStr">
        <is>
          <t>15 Februari 2021</t>
        </is>
      </c>
      <c r="I67" s="2" t="n">
        <v>46195</v>
      </c>
      <c r="J67" t="inlineStr">
        <is>
          <t>Disetujui</t>
        </is>
      </c>
      <c r="K67" t="n">
        <v>30</v>
      </c>
      <c r="L67" t="inlineStr">
        <is>
          <t>22 Juni 2026</t>
        </is>
      </c>
      <c r="M67" t="inlineStr">
        <is>
          <t>Konstruksi Gedung Kesehatan</t>
        </is>
      </c>
      <c r="N67" t="inlineStr">
        <is>
          <t>K</t>
        </is>
      </c>
      <c r="O67" t="inlineStr">
        <is>
          <t>20230620</t>
        </is>
      </c>
      <c r="P67" t="inlineStr">
        <is>
          <t>Sulawesi Tenggara</t>
        </is>
      </c>
      <c r="Q67" t="inlineStr"/>
    </row>
    <row r="68">
      <c r="A68" t="inlineStr">
        <is>
          <t>BUMI ZHAFIRAH</t>
        </is>
      </c>
      <c r="B68" t="inlineStr">
        <is>
          <t>Kab. Gresik</t>
        </is>
      </c>
      <c r="C68" t="inlineStr">
        <is>
          <t>085645288226</t>
        </is>
      </c>
      <c r="D68" t="inlineStr">
        <is>
          <t>bumizhafirahcv@gmail.com</t>
        </is>
      </c>
      <c r="E68" t="inlineStr">
        <is>
          <t>https://lpjk.pu.go.id/search-badan-usaha-detail/SmFvNnBVT0R0UHRiODZJSGVxM3NPZz09</t>
        </is>
      </c>
      <c r="F68" t="n">
        <v>1</v>
      </c>
      <c r="G68" t="inlineStr">
        <is>
          <t>BG005</t>
        </is>
      </c>
      <c r="H68" t="inlineStr">
        <is>
          <t>5 Desember 2019</t>
        </is>
      </c>
      <c r="I68" s="2" t="n">
        <v>46195</v>
      </c>
      <c r="J68" t="inlineStr">
        <is>
          <t>Disetujui</t>
        </is>
      </c>
      <c r="K68" t="n">
        <v>30</v>
      </c>
      <c r="L68" t="inlineStr">
        <is>
          <t>22 Juni 2026</t>
        </is>
      </c>
      <c r="M68" t="inlineStr">
        <is>
          <t>Konstruksi Gedung Kesehatan</t>
        </is>
      </c>
      <c r="N68" t="inlineStr">
        <is>
          <t>K</t>
        </is>
      </c>
      <c r="O68" t="inlineStr">
        <is>
          <t>20230619</t>
        </is>
      </c>
      <c r="P68" t="inlineStr">
        <is>
          <t>Jawa Timur</t>
        </is>
      </c>
      <c r="Q68" t="inlineStr"/>
    </row>
    <row r="69">
      <c r="A69" t="inlineStr">
        <is>
          <t>CAHAYA ASYAH</t>
        </is>
      </c>
      <c r="B69" t="inlineStr">
        <is>
          <t>Kab. Manokwari</t>
        </is>
      </c>
      <c r="C69" t="inlineStr">
        <is>
          <t>085241560248</t>
        </is>
      </c>
      <c r="D69" t="inlineStr">
        <is>
          <t>cahayasyah2023.pt@gmail.com</t>
        </is>
      </c>
      <c r="E69" t="inlineStr">
        <is>
          <t>https://lpjk.pu.go.id/search-badan-usaha-detail/dVY3dVVPR0xQZ2hxemtKcUU2SWNUQT09</t>
        </is>
      </c>
      <c r="F69" t="n">
        <v>1</v>
      </c>
      <c r="G69" t="inlineStr">
        <is>
          <t>BS001</t>
        </is>
      </c>
      <c r="H69" t="inlineStr">
        <is>
          <t>30 Oktober 2008</t>
        </is>
      </c>
      <c r="I69" s="2" t="n">
        <v>46195</v>
      </c>
      <c r="J69" t="inlineStr">
        <is>
          <t>Pencabutan</t>
        </is>
      </c>
      <c r="K69" t="n">
        <v>30</v>
      </c>
      <c r="L69" t="inlineStr">
        <is>
          <t>22 Juni 2026</t>
        </is>
      </c>
      <c r="M69" t="inlineStr">
        <is>
          <t>Konstruksi Bangunan Sipil Jalan</t>
        </is>
      </c>
      <c r="N69" t="inlineStr">
        <is>
          <t>M</t>
        </is>
      </c>
      <c r="O69" t="inlineStr">
        <is>
          <t>20230504</t>
        </is>
      </c>
      <c r="P69" t="inlineStr">
        <is>
          <t>Papua Barat</t>
        </is>
      </c>
      <c r="Q69" t="inlineStr"/>
    </row>
    <row r="70">
      <c r="A70" t="inlineStr">
        <is>
          <t>CAHAYA CERAH</t>
        </is>
      </c>
      <c r="B70" t="inlineStr">
        <is>
          <t>Kota Surabaya</t>
        </is>
      </c>
      <c r="C70" t="inlineStr">
        <is>
          <t>0318493138</t>
        </is>
      </c>
      <c r="D70" t="inlineStr">
        <is>
          <t>ptcahayacerah88@gmail.com</t>
        </is>
      </c>
      <c r="E70" t="inlineStr">
        <is>
          <t>https://lpjk.pu.go.id/search-badan-usaha-detail/VjFPVlV5S1FhRzBtdzlqdlJVbXJqUT09</t>
        </is>
      </c>
      <c r="F70" t="n">
        <v>1</v>
      </c>
      <c r="G70" t="inlineStr">
        <is>
          <t>BG009</t>
        </is>
      </c>
      <c r="H70" t="inlineStr">
        <is>
          <t>31 Mei 1986</t>
        </is>
      </c>
      <c r="I70" s="2" t="n">
        <v>46195</v>
      </c>
      <c r="J70" t="inlineStr">
        <is>
          <t>Pencabutan</t>
        </is>
      </c>
      <c r="K70" t="n">
        <v>30</v>
      </c>
      <c r="L70" t="inlineStr">
        <is>
          <t>22 Juni 2026</t>
        </is>
      </c>
      <c r="M70" t="inlineStr">
        <is>
          <t>Konstruksi Gedung Lainnya</t>
        </is>
      </c>
      <c r="N70" t="inlineStr">
        <is>
          <t>K</t>
        </is>
      </c>
      <c r="O70" t="inlineStr">
        <is>
          <t>20230608</t>
        </is>
      </c>
      <c r="P70" t="inlineStr">
        <is>
          <t>Jawa Timur</t>
        </is>
      </c>
      <c r="Q70" t="inlineStr"/>
    </row>
    <row r="71">
      <c r="A71" t="inlineStr">
        <is>
          <t>CANDI SARI</t>
        </is>
      </c>
      <c r="B71" t="inlineStr">
        <is>
          <t>Kab. Bantul</t>
        </is>
      </c>
      <c r="C71" t="inlineStr">
        <is>
          <t>08122735288</t>
        </is>
      </c>
      <c r="D71" t="inlineStr">
        <is>
          <t>cv_candisari19@yahoo.co.id</t>
        </is>
      </c>
      <c r="E71" t="inlineStr">
        <is>
          <t>https://lpjk.pu.go.id/search-badan-usaha-detail/UTcwQWtBV0ovUUQ2RC9LZVZvSUtpUT09</t>
        </is>
      </c>
      <c r="F71" t="n">
        <v>1</v>
      </c>
      <c r="G71" t="inlineStr">
        <is>
          <t>BG001</t>
        </is>
      </c>
      <c r="H71" t="inlineStr">
        <is>
          <t>2 Agustus 2000</t>
        </is>
      </c>
      <c r="I71" s="2" t="n">
        <v>46195</v>
      </c>
      <c r="J71" t="inlineStr">
        <is>
          <t>Disetujui</t>
        </is>
      </c>
      <c r="K71" t="n">
        <v>30</v>
      </c>
      <c r="L71" t="inlineStr">
        <is>
          <t>22 Juni 2026</t>
        </is>
      </c>
      <c r="M71" t="inlineStr">
        <is>
          <t>Konstruksi Gedung Hunian</t>
        </is>
      </c>
      <c r="N71" t="inlineStr">
        <is>
          <t>K</t>
        </is>
      </c>
      <c r="O71" t="inlineStr">
        <is>
          <t>20230619</t>
        </is>
      </c>
      <c r="P71" t="inlineStr">
        <is>
          <t>DI Yogyakarta</t>
        </is>
      </c>
      <c r="Q71" t="inlineStr"/>
    </row>
    <row r="72">
      <c r="A72" t="inlineStr">
        <is>
          <t>CIPTA INDAH KONSTRUKSI</t>
        </is>
      </c>
      <c r="B72" t="inlineStr">
        <is>
          <t>Kab. Kubu Raya</t>
        </is>
      </c>
      <c r="C72" t="inlineStr">
        <is>
          <t>05616711824</t>
        </is>
      </c>
      <c r="D72" t="inlineStr">
        <is>
          <t>ciptaindahkonstruksi.cv@gmail.com</t>
        </is>
      </c>
      <c r="E72" t="inlineStr">
        <is>
          <t>https://lpjk.pu.go.id/search-badan-usaha-detail/Q3A0TUN6VVBsdnZsa0tYdUxTanlDdz09</t>
        </is>
      </c>
      <c r="F72" t="n">
        <v>1</v>
      </c>
      <c r="G72" t="inlineStr">
        <is>
          <t>BG004</t>
        </is>
      </c>
      <c r="H72" t="inlineStr">
        <is>
          <t>23 September 2019</t>
        </is>
      </c>
      <c r="I72" s="2" t="n">
        <v>46195</v>
      </c>
      <c r="J72" t="inlineStr">
        <is>
          <t>Disetujui</t>
        </is>
      </c>
      <c r="K72" t="n">
        <v>30</v>
      </c>
      <c r="L72" t="inlineStr">
        <is>
          <t>22 Juni 2026</t>
        </is>
      </c>
      <c r="M72" t="inlineStr">
        <is>
          <t>Konstruksi Gedung Perbelanjaan</t>
        </is>
      </c>
      <c r="N72" t="inlineStr">
        <is>
          <t>K</t>
        </is>
      </c>
      <c r="O72" t="inlineStr">
        <is>
          <t>20230516</t>
        </is>
      </c>
      <c r="P72" t="inlineStr">
        <is>
          <t>Kalimantan Barat</t>
        </is>
      </c>
      <c r="Q72" t="inlineStr"/>
    </row>
    <row r="73">
      <c r="A73" t="inlineStr">
        <is>
          <t>CIPTA KARYA MESARI</t>
        </is>
      </c>
      <c r="B73" t="inlineStr">
        <is>
          <t>Kab. Karangasem</t>
        </is>
      </c>
      <c r="C73" t="inlineStr">
        <is>
          <t>081999946244</t>
        </is>
      </c>
      <c r="D73" t="inlineStr">
        <is>
          <t>ciptakaryamesari@gmail.com</t>
        </is>
      </c>
      <c r="E73" t="inlineStr">
        <is>
          <t>https://lpjk.pu.go.id/search-badan-usaha-detail/VU5MdFUya3ZOU3ZMK3lvMjdQTTZOdz09</t>
        </is>
      </c>
      <c r="F73" t="n">
        <v>1</v>
      </c>
      <c r="G73" t="inlineStr">
        <is>
          <t>BG002</t>
        </is>
      </c>
      <c r="H73" t="inlineStr">
        <is>
          <t>16 Januari 2023</t>
        </is>
      </c>
      <c r="I73" s="2" t="n">
        <v>46195</v>
      </c>
      <c r="J73" t="inlineStr">
        <is>
          <t>Disetujui</t>
        </is>
      </c>
      <c r="K73" t="n">
        <v>30</v>
      </c>
      <c r="L73" t="inlineStr">
        <is>
          <t>22 Juni 2026</t>
        </is>
      </c>
      <c r="M73" t="inlineStr">
        <is>
          <t>Konstruksi Gedung Perkantoran</t>
        </is>
      </c>
      <c r="N73" t="inlineStr">
        <is>
          <t>K</t>
        </is>
      </c>
      <c r="O73" t="inlineStr">
        <is>
          <t>20230307</t>
        </is>
      </c>
      <c r="P73" t="inlineStr">
        <is>
          <t>Bali</t>
        </is>
      </c>
      <c r="Q73" t="inlineStr"/>
    </row>
    <row r="74">
      <c r="A74" t="inlineStr">
        <is>
          <t>CITRA MANDIRI</t>
        </is>
      </c>
      <c r="B74" t="inlineStr">
        <is>
          <t>Kab. Sumba Barat Daya</t>
        </is>
      </c>
      <c r="C74" t="inlineStr">
        <is>
          <t>082139044552</t>
        </is>
      </c>
      <c r="D74" t="inlineStr">
        <is>
          <t>citrananikmandiri926@gmail.com</t>
        </is>
      </c>
      <c r="E74" t="inlineStr">
        <is>
          <t>https://lpjk.pu.go.id/search-badan-usaha-detail/TktHRVgwd3lER3cwM2psSmVVYWpBZz09</t>
        </is>
      </c>
      <c r="F74" t="n">
        <v>1</v>
      </c>
      <c r="G74" t="inlineStr">
        <is>
          <t>BG009</t>
        </is>
      </c>
      <c r="H74" t="inlineStr">
        <is>
          <t>30 Januari 2009</t>
        </is>
      </c>
      <c r="I74" s="2" t="n">
        <v>46195</v>
      </c>
      <c r="J74" t="inlineStr">
        <is>
          <t>Disetujui</t>
        </is>
      </c>
      <c r="K74" t="n">
        <v>30</v>
      </c>
      <c r="L74" t="inlineStr">
        <is>
          <t>22 Juni 2026</t>
        </is>
      </c>
      <c r="M74" t="inlineStr">
        <is>
          <t>Konstruksi Gedung Lainnya</t>
        </is>
      </c>
      <c r="N74" t="inlineStr">
        <is>
          <t>K</t>
        </is>
      </c>
      <c r="O74" t="inlineStr">
        <is>
          <t>20230616</t>
        </is>
      </c>
      <c r="P74" t="inlineStr">
        <is>
          <t>Nusa Tenggara Timur</t>
        </is>
      </c>
      <c r="Q74" t="inlineStr"/>
    </row>
    <row r="75">
      <c r="A75" t="inlineStr">
        <is>
          <t>CITRA USAHA MANDIRI</t>
        </is>
      </c>
      <c r="B75" t="inlineStr">
        <is>
          <t>Kab. Pasuruan</t>
        </is>
      </c>
      <c r="C75" t="inlineStr">
        <is>
          <t>081333237681</t>
        </is>
      </c>
      <c r="D75" t="inlineStr">
        <is>
          <t>mandiricitra06@gmail.com</t>
        </is>
      </c>
      <c r="E75" t="inlineStr">
        <is>
          <t>https://lpjk.pu.go.id/search-badan-usaha-detail/dW4xYy93eUVZZEMyYktFcWVUdUNpQT09</t>
        </is>
      </c>
      <c r="F75" t="n">
        <v>4</v>
      </c>
      <c r="G75" t="inlineStr">
        <is>
          <t>BG005, BG009, BS001, BS002</t>
        </is>
      </c>
      <c r="H75" t="inlineStr">
        <is>
          <t>31 Januari 2001</t>
        </is>
      </c>
      <c r="I75" s="2" t="n">
        <v>46195</v>
      </c>
      <c r="J75" t="inlineStr">
        <is>
          <t>Disetujui</t>
        </is>
      </c>
      <c r="K75" t="n">
        <v>30</v>
      </c>
      <c r="L75" t="inlineStr">
        <is>
          <t>22 Juni 2026</t>
        </is>
      </c>
      <c r="M75" t="inlineStr">
        <is>
          <t>Bangunan Sipil Jembatan, Jalan Layang, Fly Over, dan Underpass, Konstruksi Bangunan Sipil Jalan, Konstruksi Gedung Kesehatan, Konstruksi Gedung Lainnya</t>
        </is>
      </c>
      <c r="N75" t="inlineStr">
        <is>
          <t>K</t>
        </is>
      </c>
      <c r="O75" t="inlineStr">
        <is>
          <t>20230612</t>
        </is>
      </c>
      <c r="P75" t="inlineStr">
        <is>
          <t>Jawa Timur</t>
        </is>
      </c>
      <c r="Q75" t="inlineStr"/>
    </row>
    <row r="76">
      <c r="A76" t="inlineStr">
        <is>
          <t>CITRAPRISMA MANDIRI</t>
        </is>
      </c>
      <c r="B76" t="inlineStr">
        <is>
          <t>Kota Surabaya</t>
        </is>
      </c>
      <c r="C76" t="inlineStr">
        <is>
          <t>0315040788</t>
        </is>
      </c>
      <c r="D76" t="inlineStr">
        <is>
          <t>hrd-citra@citraprisma.com</t>
        </is>
      </c>
      <c r="E76" t="inlineStr">
        <is>
          <t>https://lpjk.pu.go.id/search-badan-usaha-detail/ZCtvYjB2K05ub3prTUVhMUV3ZlVsQT09</t>
        </is>
      </c>
      <c r="F76" t="n">
        <v>1</v>
      </c>
      <c r="G76" t="inlineStr">
        <is>
          <t>BG001</t>
        </is>
      </c>
      <c r="H76" t="inlineStr">
        <is>
          <t>5 Oktober 1994</t>
        </is>
      </c>
      <c r="I76" s="2" t="n">
        <v>46195</v>
      </c>
      <c r="J76" t="inlineStr">
        <is>
          <t>Disetujui</t>
        </is>
      </c>
      <c r="K76" t="n">
        <v>30</v>
      </c>
      <c r="L76" t="inlineStr">
        <is>
          <t>22 Juni 2026</t>
        </is>
      </c>
      <c r="M76" t="inlineStr">
        <is>
          <t>Konstruksi Gedung Hunian</t>
        </is>
      </c>
      <c r="N76" t="inlineStr">
        <is>
          <t>K</t>
        </is>
      </c>
      <c r="O76" t="inlineStr">
        <is>
          <t>20230612</t>
        </is>
      </c>
      <c r="P76" t="inlineStr">
        <is>
          <t>Jawa Timur</t>
        </is>
      </c>
      <c r="Q76" t="inlineStr"/>
    </row>
    <row r="77">
      <c r="A77" t="inlineStr">
        <is>
          <t>CV. SINAR KARYA SETIA</t>
        </is>
      </c>
      <c r="B77" t="inlineStr">
        <is>
          <t>Kota Padang Sidempuan</t>
        </is>
      </c>
      <c r="C77" t="inlineStr">
        <is>
          <t>063421829</t>
        </is>
      </c>
      <c r="D77" t="inlineStr">
        <is>
          <t>cv.sinarkaryasetia@yahoo.co.id</t>
        </is>
      </c>
      <c r="E77" t="inlineStr">
        <is>
          <t>https://lpjk.pu.go.id/search-badan-usaha-detail/MXJnbzZjNzE4TG5oaC9HSjdMOVpGUT09</t>
        </is>
      </c>
      <c r="F77" t="n">
        <v>6</v>
      </c>
      <c r="G77" t="inlineStr">
        <is>
          <t>BG005, BG006, BG009</t>
        </is>
      </c>
      <c r="H77" t="inlineStr">
        <is>
          <t>6 Oktober 1982</t>
        </is>
      </c>
      <c r="I77" s="2" t="n">
        <v>46195</v>
      </c>
      <c r="J77" t="inlineStr">
        <is>
          <t>Disetujui</t>
        </is>
      </c>
      <c r="K77" t="n">
        <v>30</v>
      </c>
      <c r="L77" t="inlineStr">
        <is>
          <t>22 Juni 2026</t>
        </is>
      </c>
      <c r="M77" t="inlineStr">
        <is>
          <t>Konstruksi Gedung Kesehatan, Konstruksi Gedung Lainnya, Konstruksi Gedung Pendidikan</t>
        </is>
      </c>
      <c r="N77" t="inlineStr">
        <is>
          <t>K</t>
        </is>
      </c>
      <c r="O77" t="inlineStr">
        <is>
          <t>20230622</t>
        </is>
      </c>
      <c r="P77" t="inlineStr">
        <is>
          <t>Sumatera Utara</t>
        </is>
      </c>
      <c r="Q77" t="inlineStr"/>
    </row>
    <row r="78">
      <c r="A78" t="inlineStr">
        <is>
          <t>DASA KARYA KONSULTAN</t>
        </is>
      </c>
      <c r="B78" t="inlineStr">
        <is>
          <t>Kab. Jember</t>
        </is>
      </c>
      <c r="C78" t="inlineStr">
        <is>
          <t>082257772952</t>
        </is>
      </c>
      <c r="D78" t="inlineStr">
        <is>
          <t>dasa10karyakonsultan@gmail.com</t>
        </is>
      </c>
      <c r="E78" t="inlineStr">
        <is>
          <t>https://lpjk.pu.go.id/search-badan-usaha-detail/eXpQQkZkR0ZGc1R5NERXYk11dkxsdz09</t>
        </is>
      </c>
      <c r="F78" t="n">
        <v>3</v>
      </c>
      <c r="G78" t="inlineStr">
        <is>
          <t>RK001, RK002, RK003</t>
        </is>
      </c>
      <c r="H78" t="inlineStr">
        <is>
          <t>5 Januari 2022</t>
        </is>
      </c>
      <c r="I78" s="2" t="n">
        <v>46195</v>
      </c>
      <c r="J78" t="inlineStr">
        <is>
          <t>Dokumen Lengkap, Verifikasi Pembayaran</t>
        </is>
      </c>
      <c r="K78" t="n">
        <v>30</v>
      </c>
      <c r="L78" t="inlineStr">
        <is>
          <t>22 Juni 2026</t>
        </is>
      </c>
      <c r="M78" t="inlineStr">
        <is>
          <t>Jasa Rekayasa Konstruksi Bangunan Gedung Hunian dan Non Hunian, Jasa Rekayasa Pekerjaan Teknik Sipil Sumber Daya Air, Jasa Rekayasa Pekerjaan Teknik Sipil Transportasi</t>
        </is>
      </c>
      <c r="N78" t="inlineStr">
        <is>
          <t>K</t>
        </is>
      </c>
      <c r="O78" t="inlineStr">
        <is>
          <t>20230620</t>
        </is>
      </c>
      <c r="P78" t="inlineStr">
        <is>
          <t>Jawa Timur</t>
        </is>
      </c>
      <c r="Q78" t="inlineStr"/>
    </row>
    <row r="79">
      <c r="A79" t="inlineStr">
        <is>
          <t>DATA KARYA UTAMA</t>
        </is>
      </c>
      <c r="B79" t="inlineStr">
        <is>
          <t>Kota Jayapura</t>
        </is>
      </c>
      <c r="C79" t="inlineStr">
        <is>
          <t>081248104735</t>
        </is>
      </c>
      <c r="D79" t="inlineStr">
        <is>
          <t>datakarya_2016@yahoo.com</t>
        </is>
      </c>
      <c r="E79" t="inlineStr">
        <is>
          <t>https://lpjk.pu.go.id/search-badan-usaha-detail/SmxxdVFJaGRjZkFSWjM0MWljRkNidz09</t>
        </is>
      </c>
      <c r="F79" t="n">
        <v>1</v>
      </c>
      <c r="G79" t="inlineStr">
        <is>
          <t>BS002</t>
        </is>
      </c>
      <c r="H79" t="inlineStr">
        <is>
          <t>23 Februari 2007</t>
        </is>
      </c>
      <c r="I79" s="2" t="n">
        <v>46195</v>
      </c>
      <c r="J79" t="inlineStr">
        <is>
          <t>Disetujui</t>
        </is>
      </c>
      <c r="K79" t="n">
        <v>30</v>
      </c>
      <c r="L79" t="inlineStr">
        <is>
          <t>22 Juni 2026</t>
        </is>
      </c>
      <c r="M79" t="inlineStr">
        <is>
          <t>Bangunan Sipil Jembatan, Jalan Layang, Fly Over, dan Underpass</t>
        </is>
      </c>
      <c r="N79" t="inlineStr">
        <is>
          <t>K</t>
        </is>
      </c>
      <c r="O79" t="inlineStr">
        <is>
          <t>20230609</t>
        </is>
      </c>
      <c r="P79" t="inlineStr">
        <is>
          <t>Papua</t>
        </is>
      </c>
      <c r="Q79" t="inlineStr"/>
    </row>
    <row r="80">
      <c r="A80" t="inlineStr">
        <is>
          <t>DAYA GUNA &amp; CO</t>
        </is>
      </c>
      <c r="B80" t="inlineStr">
        <is>
          <t>Kab. Banyumas</t>
        </is>
      </c>
      <c r="C80" t="inlineStr">
        <is>
          <t>085226308660</t>
        </is>
      </c>
      <c r="D80" t="inlineStr">
        <is>
          <t>cv.dayaguna06@gmail.com</t>
        </is>
      </c>
      <c r="E80" t="inlineStr">
        <is>
          <t>https://lpjk.pu.go.id/search-badan-usaha-detail/MFZTNnQ2Uy9saUx3MzNoWDRFMTVsdz09</t>
        </is>
      </c>
      <c r="F80" t="n">
        <v>1</v>
      </c>
      <c r="G80" t="inlineStr">
        <is>
          <t>BG002</t>
        </is>
      </c>
      <c r="H80" t="inlineStr">
        <is>
          <t>17 Januari 2003</t>
        </is>
      </c>
      <c r="I80" s="2" t="n">
        <v>46195</v>
      </c>
      <c r="J80" t="inlineStr">
        <is>
          <t>Disetujui</t>
        </is>
      </c>
      <c r="K80" t="n">
        <v>30</v>
      </c>
      <c r="L80" t="inlineStr">
        <is>
          <t>22 Juni 2026</t>
        </is>
      </c>
      <c r="M80" t="inlineStr">
        <is>
          <t>Konstruksi Gedung Perkantoran</t>
        </is>
      </c>
      <c r="N80" t="inlineStr">
        <is>
          <t>K</t>
        </is>
      </c>
      <c r="O80" t="inlineStr">
        <is>
          <t>20230621</t>
        </is>
      </c>
      <c r="P80" t="inlineStr">
        <is>
          <t>Jawa Tengah</t>
        </is>
      </c>
      <c r="Q80" t="inlineStr"/>
    </row>
    <row r="81">
      <c r="A81" t="inlineStr">
        <is>
          <t>DENITA PUTRI</t>
        </is>
      </c>
      <c r="B81" t="inlineStr">
        <is>
          <t>Kab. Lampung Barat</t>
        </is>
      </c>
      <c r="C81" t="inlineStr">
        <is>
          <t>0812 7970 212_</t>
        </is>
      </c>
      <c r="D81" t="inlineStr">
        <is>
          <t>cv.denitaputri@gmail.com</t>
        </is>
      </c>
      <c r="E81" t="inlineStr">
        <is>
          <t>https://lpjk.pu.go.id/search-badan-usaha-detail/NjVCa0pYaTh3YU1JUnhBeUJ4Y2lvdz09</t>
        </is>
      </c>
      <c r="F81" t="n">
        <v>1</v>
      </c>
      <c r="G81" t="inlineStr">
        <is>
          <t>BS001</t>
        </is>
      </c>
      <c r="H81" t="inlineStr">
        <is>
          <t>18 Februari 2016</t>
        </is>
      </c>
      <c r="I81" s="2" t="n">
        <v>46195</v>
      </c>
      <c r="J81" t="inlineStr">
        <is>
          <t>Disetujui</t>
        </is>
      </c>
      <c r="K81" t="n">
        <v>30</v>
      </c>
      <c r="L81" t="inlineStr">
        <is>
          <t>22 Juni 2026</t>
        </is>
      </c>
      <c r="M81" t="inlineStr">
        <is>
          <t>Konstruksi Bangunan Sipil Jalan</t>
        </is>
      </c>
      <c r="N81" t="inlineStr">
        <is>
          <t>K</t>
        </is>
      </c>
      <c r="O81" t="inlineStr">
        <is>
          <t>20230619</t>
        </is>
      </c>
      <c r="P81" t="inlineStr">
        <is>
          <t>Lampung</t>
        </is>
      </c>
      <c r="Q81" t="inlineStr"/>
    </row>
    <row r="82">
      <c r="A82" t="inlineStr">
        <is>
          <t>DEWATA PERKASA</t>
        </is>
      </c>
      <c r="B82" t="inlineStr">
        <is>
          <t>Kab. Jembrana</t>
        </is>
      </c>
      <c r="C82" t="inlineStr">
        <is>
          <t>081999035295</t>
        </is>
      </c>
      <c r="D82" t="inlineStr">
        <is>
          <t>dewataperkasa78@gmail.com</t>
        </is>
      </c>
      <c r="E82" t="inlineStr">
        <is>
          <t>https://lpjk.pu.go.id/search-badan-usaha-detail/SS8vdmNuY3NJMmNFWEcvNkNGckxKdz09</t>
        </is>
      </c>
      <c r="F82" t="n">
        <v>2</v>
      </c>
      <c r="G82" t="inlineStr">
        <is>
          <t>BG006</t>
        </is>
      </c>
      <c r="H82" t="inlineStr">
        <is>
          <t>10 Agustus 2021</t>
        </is>
      </c>
      <c r="I82" s="2" t="n">
        <v>46195</v>
      </c>
      <c r="J82" t="inlineStr">
        <is>
          <t>Disetujui</t>
        </is>
      </c>
      <c r="K82" t="n">
        <v>30</v>
      </c>
      <c r="L82" t="inlineStr">
        <is>
          <t>22 Juni 2026</t>
        </is>
      </c>
      <c r="M82" t="inlineStr">
        <is>
          <t>Konstruksi Gedung Pendidikan</t>
        </is>
      </c>
      <c r="N82" t="inlineStr">
        <is>
          <t>K</t>
        </is>
      </c>
      <c r="O82" t="inlineStr">
        <is>
          <t>20230622</t>
        </is>
      </c>
      <c r="P82" t="inlineStr">
        <is>
          <t>Bali</t>
        </is>
      </c>
      <c r="Q82" t="inlineStr"/>
    </row>
    <row r="83">
      <c r="A83" t="inlineStr">
        <is>
          <t>DEWATAKARYA ANUGRAH</t>
        </is>
      </c>
      <c r="B83" t="inlineStr">
        <is>
          <t>Kota Denpasar</t>
        </is>
      </c>
      <c r="C83" t="inlineStr">
        <is>
          <t>081321336696</t>
        </is>
      </c>
      <c r="D83" t="inlineStr">
        <is>
          <t>dewata.karya.anugrah@gmail.com</t>
        </is>
      </c>
      <c r="E83" t="inlineStr">
        <is>
          <t>https://lpjk.pu.go.id/search-badan-usaha-detail/TmNJdlZ2b2F6c1VMZFMra3NESXJnUT09</t>
        </is>
      </c>
      <c r="F83" t="n">
        <v>2</v>
      </c>
      <c r="G83" t="inlineStr">
        <is>
          <t>BG005</t>
        </is>
      </c>
      <c r="H83" t="inlineStr">
        <is>
          <t>18 Oktober 1996</t>
        </is>
      </c>
      <c r="I83" s="2" t="n">
        <v>46195</v>
      </c>
      <c r="J83" t="inlineStr">
        <is>
          <t>Disetujui</t>
        </is>
      </c>
      <c r="K83" t="n">
        <v>30</v>
      </c>
      <c r="L83" t="inlineStr">
        <is>
          <t>22 Juni 2026</t>
        </is>
      </c>
      <c r="M83" t="inlineStr">
        <is>
          <t>Konstruksi Gedung Kesehatan</t>
        </is>
      </c>
      <c r="N83" t="inlineStr">
        <is>
          <t>K</t>
        </is>
      </c>
      <c r="O83" t="inlineStr">
        <is>
          <t>20230614</t>
        </is>
      </c>
      <c r="P83" t="inlineStr">
        <is>
          <t>Bali</t>
        </is>
      </c>
      <c r="Q83" t="inlineStr"/>
    </row>
    <row r="84">
      <c r="A84" t="inlineStr">
        <is>
          <t>DIASH DIRAYA PLANS</t>
        </is>
      </c>
      <c r="B84" t="inlineStr">
        <is>
          <t>Kota Makassar</t>
        </is>
      </c>
      <c r="C84" t="inlineStr">
        <is>
          <t>081342001001</t>
        </is>
      </c>
      <c r="D84" t="inlineStr">
        <is>
          <t>pt.diash@gmail.com</t>
        </is>
      </c>
      <c r="E84" t="inlineStr">
        <is>
          <t>https://lpjk.pu.go.id/search-badan-usaha-detail/T1hFRTdTZ3UvSjZqVTNKSzhBY0F2QT09</t>
        </is>
      </c>
      <c r="F84" t="n">
        <v>1</v>
      </c>
      <c r="G84" t="inlineStr">
        <is>
          <t>BS005</t>
        </is>
      </c>
      <c r="H84" t="inlineStr">
        <is>
          <t>10 Maret 2022</t>
        </is>
      </c>
      <c r="I84" s="2" t="n">
        <v>46195</v>
      </c>
      <c r="J84" t="inlineStr">
        <is>
          <t>Disetujui</t>
        </is>
      </c>
      <c r="K84" t="n">
        <v>30</v>
      </c>
      <c r="L84" t="inlineStr">
        <is>
          <t>22 Juni 2026</t>
        </is>
      </c>
      <c r="M84" t="inlineStr">
        <is>
          <t>Konstruksi Bangunan Sipil Pengolahan Air Bersih</t>
        </is>
      </c>
      <c r="N84" t="inlineStr">
        <is>
          <t>K</t>
        </is>
      </c>
      <c r="O84" t="inlineStr">
        <is>
          <t>20230622</t>
        </is>
      </c>
      <c r="P84" t="inlineStr">
        <is>
          <t>Sulawesi Selatan</t>
        </is>
      </c>
      <c r="Q84" t="inlineStr"/>
    </row>
    <row r="85">
      <c r="A85" t="inlineStr">
        <is>
          <t>DIFA INDO PROFIL</t>
        </is>
      </c>
      <c r="B85" t="inlineStr">
        <is>
          <t>Kota Jambi</t>
        </is>
      </c>
      <c r="C85" t="inlineStr">
        <is>
          <t>082182201919</t>
        </is>
      </c>
      <c r="D85" t="inlineStr">
        <is>
          <t>cvdifaindoprofil@yahoo.co.id</t>
        </is>
      </c>
      <c r="E85" t="inlineStr">
        <is>
          <t>https://lpjk.pu.go.id/search-badan-usaha-detail/NzlvdDVod2dteDd4bzBsRVFPNjFrUT09</t>
        </is>
      </c>
      <c r="F85" t="n">
        <v>1</v>
      </c>
      <c r="G85" t="inlineStr">
        <is>
          <t>BS004</t>
        </is>
      </c>
      <c r="H85" t="inlineStr">
        <is>
          <t>29 Desember 2005</t>
        </is>
      </c>
      <c r="I85" s="2" t="n">
        <v>46195</v>
      </c>
      <c r="J85" t="inlineStr">
        <is>
          <t>Disetujui</t>
        </is>
      </c>
      <c r="K85" t="n">
        <v>30</v>
      </c>
      <c r="L85" t="inlineStr">
        <is>
          <t>22 Juni 2026</t>
        </is>
      </c>
      <c r="M85" t="inlineStr">
        <is>
          <t>Konstruksi Jaringan Irigasi dan Drainase</t>
        </is>
      </c>
      <c r="N85" t="inlineStr">
        <is>
          <t>K</t>
        </is>
      </c>
      <c r="O85" t="inlineStr">
        <is>
          <t>20230619</t>
        </is>
      </c>
      <c r="P85" t="inlineStr">
        <is>
          <t>Jambi</t>
        </is>
      </c>
      <c r="Q85" t="inlineStr"/>
    </row>
    <row r="86">
      <c r="A86" t="inlineStr">
        <is>
          <t>DUTA CAHAYA DESIGN</t>
        </is>
      </c>
      <c r="B86" t="inlineStr">
        <is>
          <t>Kab. Blora</t>
        </is>
      </c>
      <c r="C86" t="inlineStr">
        <is>
          <t>085145718253</t>
        </is>
      </c>
      <c r="D86" t="inlineStr">
        <is>
          <t>dutacahayadesign117@gmail.com</t>
        </is>
      </c>
      <c r="E86" t="inlineStr">
        <is>
          <t>https://lpjk.pu.go.id/search-badan-usaha-detail/RXJZRTdmV2UzS0RLVFR4UXdKTlNLZz09</t>
        </is>
      </c>
      <c r="F86" t="n">
        <v>5</v>
      </c>
      <c r="G86" t="inlineStr">
        <is>
          <t>AR001, AR002, AR003, RK001, RK003</t>
        </is>
      </c>
      <c r="H86" t="inlineStr">
        <is>
          <t>30 Maret 2020</t>
        </is>
      </c>
      <c r="I86" s="2" t="n">
        <v>46195</v>
      </c>
      <c r="J86" t="inlineStr">
        <is>
          <t>Disetujui</t>
        </is>
      </c>
      <c r="K86" t="n">
        <v>30</v>
      </c>
      <c r="L86" t="inlineStr">
        <is>
          <t>22 Juni 2026</t>
        </is>
      </c>
      <c r="M86" t="inlineStr">
        <is>
          <t>Jasa Arsitektural Bangunan Gedung Hunian dan Non Hunian, Jasa Arsitektural Lainnya, Jasa Desain Interior pada Bangunan Gedung dan Bangunan Sipil, Jasa Rekayasa Konstruksi Bangunan Gedung Hunian dan Non Hunian, Jasa Rekayasa Pekerjaan Teknik Sipil Transportasi</t>
        </is>
      </c>
      <c r="N86" t="inlineStr">
        <is>
          <t>K</t>
        </is>
      </c>
      <c r="O86" t="inlineStr">
        <is>
          <t>20230607, 20230613</t>
        </is>
      </c>
      <c r="P86" t="inlineStr">
        <is>
          <t>Jawa Tengah</t>
        </is>
      </c>
      <c r="Q86" t="inlineStr"/>
    </row>
    <row r="87">
      <c r="A87" t="inlineStr">
        <is>
          <t>DUTA JAYA ABADI</t>
        </is>
      </c>
      <c r="B87" t="inlineStr">
        <is>
          <t>Kota Bandung</t>
        </is>
      </c>
      <c r="C87" t="inlineStr">
        <is>
          <t>08122126071</t>
        </is>
      </c>
      <c r="D87" t="inlineStr">
        <is>
          <t>cvdutajayaabadi@yahoo.com</t>
        </is>
      </c>
      <c r="E87" t="inlineStr">
        <is>
          <t>https://lpjk.pu.go.id/search-badan-usaha-detail/akR4WXdNSGYvVDFEOWYxdSt1SVFHZz09</t>
        </is>
      </c>
      <c r="F87" t="n">
        <v>1</v>
      </c>
      <c r="G87" t="inlineStr">
        <is>
          <t>BG009</t>
        </is>
      </c>
      <c r="H87" t="inlineStr">
        <is>
          <t>18 Februari 2009</t>
        </is>
      </c>
      <c r="I87" s="2" t="n">
        <v>46195</v>
      </c>
      <c r="J87" t="inlineStr">
        <is>
          <t>Disetujui</t>
        </is>
      </c>
      <c r="K87" t="n">
        <v>30</v>
      </c>
      <c r="L87" t="inlineStr">
        <is>
          <t>22 Juni 2026</t>
        </is>
      </c>
      <c r="M87" t="inlineStr">
        <is>
          <t>Konstruksi Gedung Lainnya</t>
        </is>
      </c>
      <c r="N87" t="inlineStr">
        <is>
          <t>K</t>
        </is>
      </c>
      <c r="O87" t="inlineStr">
        <is>
          <t>20230622</t>
        </is>
      </c>
      <c r="P87" t="inlineStr">
        <is>
          <t>Jawa Barat</t>
        </is>
      </c>
      <c r="Q87" t="inlineStr"/>
    </row>
    <row r="88">
      <c r="A88" t="inlineStr">
        <is>
          <t>DUTA KAMUNING</t>
        </is>
      </c>
      <c r="B88" t="inlineStr">
        <is>
          <t>Kab. Kuningan</t>
        </is>
      </c>
      <c r="C88" t="inlineStr">
        <is>
          <t>081394102061</t>
        </is>
      </c>
      <c r="D88" t="inlineStr">
        <is>
          <t>ptsinarchulamega@gmail.com</t>
        </is>
      </c>
      <c r="E88" t="inlineStr">
        <is>
          <t>https://lpjk.pu.go.id/search-badan-usaha-detail/ckFUejBXL1ZhdTVOdURyODhaMzFmZz09</t>
        </is>
      </c>
      <c r="F88" t="n">
        <v>1</v>
      </c>
      <c r="G88" t="inlineStr">
        <is>
          <t>BS001</t>
        </is>
      </c>
      <c r="H88" t="inlineStr">
        <is>
          <t>6 Februari 1973</t>
        </is>
      </c>
      <c r="I88" s="2" t="n">
        <v>46195</v>
      </c>
      <c r="J88" t="inlineStr">
        <is>
          <t>Disetujui</t>
        </is>
      </c>
      <c r="K88" t="n">
        <v>30</v>
      </c>
      <c r="L88" t="inlineStr">
        <is>
          <t>22 Juni 2026</t>
        </is>
      </c>
      <c r="M88" t="inlineStr">
        <is>
          <t>Konstruksi Bangunan Sipil Jalan</t>
        </is>
      </c>
      <c r="N88" t="inlineStr">
        <is>
          <t>K</t>
        </is>
      </c>
      <c r="O88" t="inlineStr">
        <is>
          <t>20230620</t>
        </is>
      </c>
      <c r="P88" t="inlineStr">
        <is>
          <t>Jawa Barat</t>
        </is>
      </c>
      <c r="Q88" t="inlineStr"/>
    </row>
    <row r="89">
      <c r="A89" t="inlineStr">
        <is>
          <t>DUTA REGIONAL CONSULTANT</t>
        </is>
      </c>
      <c r="B89" t="inlineStr">
        <is>
          <t>Kota Pekanbaru</t>
        </is>
      </c>
      <c r="C89" t="inlineStr">
        <is>
          <t>081365373466</t>
        </is>
      </c>
      <c r="D89" t="inlineStr">
        <is>
          <t>dutaregional@gmail.com</t>
        </is>
      </c>
      <c r="E89" t="inlineStr">
        <is>
          <t>https://lpjk.pu.go.id/search-badan-usaha-detail/NmpLaWI0Q1Z5cTR5QXd4NlBIb0c5Zz09</t>
        </is>
      </c>
      <c r="F89" t="n">
        <v>4</v>
      </c>
      <c r="G89" t="inlineStr">
        <is>
          <t>AR001, RK001, RK002, RK003</t>
        </is>
      </c>
      <c r="H89" t="inlineStr">
        <is>
          <t>7 Desember 2006</t>
        </is>
      </c>
      <c r="I89" s="2" t="n">
        <v>46195</v>
      </c>
      <c r="J89" t="inlineStr">
        <is>
          <t>Disetujui</t>
        </is>
      </c>
      <c r="K89" t="n">
        <v>30</v>
      </c>
      <c r="L89" t="inlineStr">
        <is>
          <t>22 Juni 2026</t>
        </is>
      </c>
      <c r="M89" t="inlineStr">
        <is>
          <t>Jasa Arsitektural Bangunan Gedung Hunian dan Non Hunian, Jasa Rekayasa Konstruksi Bangunan Gedung Hunian dan Non Hunian, Jasa Rekayasa Pekerjaan Teknik Sipil Sumber Daya Air, Jasa Rekayasa Pekerjaan Teknik Sipil Transportasi</t>
        </is>
      </c>
      <c r="N89" t="inlineStr">
        <is>
          <t>K</t>
        </is>
      </c>
      <c r="O89" t="inlineStr">
        <is>
          <t>20230615, 20230616</t>
        </is>
      </c>
      <c r="P89" t="inlineStr">
        <is>
          <t>Riau</t>
        </is>
      </c>
      <c r="Q89" t="inlineStr"/>
    </row>
    <row r="90">
      <c r="A90" t="inlineStr">
        <is>
          <t>DWI INDAH MANDIRI</t>
        </is>
      </c>
      <c r="B90" t="inlineStr">
        <is>
          <t>Kab. Hulu Sungai Tengah</t>
        </is>
      </c>
      <c r="C90" t="inlineStr">
        <is>
          <t>085393826363</t>
        </is>
      </c>
      <c r="D90" t="inlineStr">
        <is>
          <t>syahrifani335@gmail.com</t>
        </is>
      </c>
      <c r="E90" t="inlineStr">
        <is>
          <t>https://lpjk.pu.go.id/search-badan-usaha-detail/NHdnU3o4NG9SSklGNGtlWmROQys5UT09</t>
        </is>
      </c>
      <c r="F90" t="n">
        <v>3</v>
      </c>
      <c r="G90" t="inlineStr">
        <is>
          <t>BG009, BS001, BS004</t>
        </is>
      </c>
      <c r="H90" t="inlineStr">
        <is>
          <t>23 April 2008</t>
        </is>
      </c>
      <c r="I90" s="2" t="n">
        <v>46195</v>
      </c>
      <c r="J90" t="inlineStr">
        <is>
          <t>Disetujui</t>
        </is>
      </c>
      <c r="K90" t="n">
        <v>30</v>
      </c>
      <c r="L90" t="inlineStr">
        <is>
          <t>22 Juni 2026</t>
        </is>
      </c>
      <c r="M90" t="inlineStr">
        <is>
          <t>Konstruksi Bangunan Sipil Jalan, Konstruksi Gedung Lainnya, Konstruksi Jaringan Irigasi dan Drainase</t>
        </is>
      </c>
      <c r="N90" t="inlineStr">
        <is>
          <t>K</t>
        </is>
      </c>
      <c r="O90" t="inlineStr">
        <is>
          <t>20230609</t>
        </is>
      </c>
      <c r="P90" t="inlineStr">
        <is>
          <t>Kalimantan Selatan</t>
        </is>
      </c>
      <c r="Q90" t="inlineStr"/>
    </row>
    <row r="91">
      <c r="A91" t="inlineStr">
        <is>
          <t>EKA JAYA ABADI</t>
        </is>
      </c>
      <c r="B91" t="inlineStr">
        <is>
          <t>Kab. Sidoarjo</t>
        </is>
      </c>
      <c r="C91" t="inlineStr">
        <is>
          <t>081357105807</t>
        </is>
      </c>
      <c r="D91" t="inlineStr">
        <is>
          <t>ekajaya516@yahoo.com</t>
        </is>
      </c>
      <c r="E91" t="inlineStr">
        <is>
          <t>https://lpjk.pu.go.id/search-badan-usaha-detail/R0dNNFBhSkVYa1o3T0c1UnVHRW1HZz09</t>
        </is>
      </c>
      <c r="F91" t="n">
        <v>3</v>
      </c>
      <c r="G91" t="inlineStr">
        <is>
          <t>BG002, BG004, BG009</t>
        </is>
      </c>
      <c r="H91" t="inlineStr">
        <is>
          <t>19 April 2017</t>
        </is>
      </c>
      <c r="I91" s="2" t="n">
        <v>46195</v>
      </c>
      <c r="J91" t="inlineStr">
        <is>
          <t>Pencabutan</t>
        </is>
      </c>
      <c r="K91" t="n">
        <v>30</v>
      </c>
      <c r="L91" t="inlineStr">
        <is>
          <t>22 Juni 2026</t>
        </is>
      </c>
      <c r="M91" t="inlineStr">
        <is>
          <t>Konstruksi Gedung Lainnya, Konstruksi Gedung Perbelanjaan, Konstruksi Gedung Perkantoran</t>
        </is>
      </c>
      <c r="N91" t="inlineStr">
        <is>
          <t>K</t>
        </is>
      </c>
      <c r="O91" t="inlineStr">
        <is>
          <t>20230621, 20230623</t>
        </is>
      </c>
      <c r="P91" t="inlineStr">
        <is>
          <t>Jawa Timur</t>
        </is>
      </c>
      <c r="Q91" t="inlineStr"/>
    </row>
    <row r="92">
      <c r="A92" t="inlineStr">
        <is>
          <t>ELISSA JAYA PERKASA</t>
        </is>
      </c>
      <c r="B92" t="inlineStr">
        <is>
          <t>Kab. Indramayu</t>
        </is>
      </c>
      <c r="C92" t="inlineStr">
        <is>
          <t>08122140860</t>
        </is>
      </c>
      <c r="D92" t="inlineStr">
        <is>
          <t>jaeniakhmad66@yahoo.com</t>
        </is>
      </c>
      <c r="E92" t="inlineStr">
        <is>
          <t>https://lpjk.pu.go.id/search-badan-usaha-detail/eFZ5Ti85aVFibktTUFhZUTJpOGhHQT09</t>
        </is>
      </c>
      <c r="F92" t="n">
        <v>1</v>
      </c>
      <c r="G92" t="inlineStr">
        <is>
          <t>BG009</t>
        </is>
      </c>
      <c r="H92" t="inlineStr">
        <is>
          <t>2 Agustus 2007</t>
        </is>
      </c>
      <c r="I92" s="2" t="n">
        <v>46195</v>
      </c>
      <c r="J92" t="inlineStr">
        <is>
          <t>Disetujui</t>
        </is>
      </c>
      <c r="K92" t="n">
        <v>30</v>
      </c>
      <c r="L92" t="inlineStr">
        <is>
          <t>22 Juni 2026</t>
        </is>
      </c>
      <c r="M92" t="inlineStr">
        <is>
          <t>Konstruksi Gedung Lainnya</t>
        </is>
      </c>
      <c r="N92" t="inlineStr">
        <is>
          <t>K</t>
        </is>
      </c>
      <c r="O92" t="inlineStr">
        <is>
          <t>20230530</t>
        </is>
      </c>
      <c r="P92" t="inlineStr">
        <is>
          <t>Jawa Barat</t>
        </is>
      </c>
      <c r="Q92" t="inlineStr"/>
    </row>
    <row r="93">
      <c r="A93" t="inlineStr">
        <is>
          <t>ERA KARYA MAKMUR</t>
        </is>
      </c>
      <c r="B93" t="inlineStr">
        <is>
          <t>Kota Palembang</t>
        </is>
      </c>
      <c r="C93" t="inlineStr">
        <is>
          <t>07115704249</t>
        </is>
      </c>
      <c r="D93" t="inlineStr">
        <is>
          <t>cv.jayaberkatmakmur@gmail.com</t>
        </is>
      </c>
      <c r="E93" t="inlineStr">
        <is>
          <t>https://lpjk.pu.go.id/search-badan-usaha-detail/SGRmaE1iZ2Q2Y0VHanAvTU1qRG8yZz09</t>
        </is>
      </c>
      <c r="F93" t="n">
        <v>2</v>
      </c>
      <c r="G93" t="inlineStr">
        <is>
          <t>BS001</t>
        </is>
      </c>
      <c r="H93" t="inlineStr">
        <is>
          <t>29 November 2017</t>
        </is>
      </c>
      <c r="I93" s="2" t="n">
        <v>46195</v>
      </c>
      <c r="J93" t="inlineStr">
        <is>
          <t>Pencabutan</t>
        </is>
      </c>
      <c r="K93" t="n">
        <v>30</v>
      </c>
      <c r="L93" t="inlineStr">
        <is>
          <t>22 Juni 2026</t>
        </is>
      </c>
      <c r="M93" t="inlineStr">
        <is>
          <t>Konstruksi Bangunan Sipil Jalan</t>
        </is>
      </c>
      <c r="N93" t="inlineStr">
        <is>
          <t>K</t>
        </is>
      </c>
      <c r="O93" t="inlineStr">
        <is>
          <t>20230622</t>
        </is>
      </c>
      <c r="P93" t="inlineStr">
        <is>
          <t>Sumatera Selatan</t>
        </is>
      </c>
      <c r="Q93" t="inlineStr"/>
    </row>
    <row r="94">
      <c r="A94" t="inlineStr">
        <is>
          <t>ETIKA SARANA ABADI</t>
        </is>
      </c>
      <c r="B94" t="inlineStr">
        <is>
          <t>Kab. Indramayu</t>
        </is>
      </c>
      <c r="C94" t="inlineStr">
        <is>
          <t>087875121651</t>
        </is>
      </c>
      <c r="D94" t="inlineStr">
        <is>
          <t>etikasaranaabadipt@gmail.com</t>
        </is>
      </c>
      <c r="E94" t="inlineStr">
        <is>
          <t>https://lpjk.pu.go.id/search-badan-usaha-detail/ZHlZTUFwaXRwbmNua2hsaUt5eUtvZz09</t>
        </is>
      </c>
      <c r="F94" t="n">
        <v>1</v>
      </c>
      <c r="G94" t="inlineStr">
        <is>
          <t>BS001</t>
        </is>
      </c>
      <c r="H94" t="inlineStr">
        <is>
          <t>8 Maret 2021</t>
        </is>
      </c>
      <c r="I94" s="2" t="n">
        <v>46195</v>
      </c>
      <c r="J94" t="inlineStr">
        <is>
          <t>Pencabutan</t>
        </is>
      </c>
      <c r="K94" t="n">
        <v>30</v>
      </c>
      <c r="L94" t="inlineStr">
        <is>
          <t>22 Juni 2026</t>
        </is>
      </c>
      <c r="M94" t="inlineStr">
        <is>
          <t>Konstruksi Bangunan Sipil Jalan</t>
        </is>
      </c>
      <c r="N94" t="inlineStr">
        <is>
          <t>K</t>
        </is>
      </c>
      <c r="O94" t="inlineStr">
        <is>
          <t>20230618</t>
        </is>
      </c>
      <c r="P94" t="inlineStr">
        <is>
          <t>Jawa Barat</t>
        </is>
      </c>
      <c r="Q94" t="inlineStr"/>
    </row>
    <row r="95">
      <c r="A95" t="inlineStr">
        <is>
          <t>FALAH KONSTRUKSI</t>
        </is>
      </c>
      <c r="B95" t="inlineStr">
        <is>
          <t>Kab. Sarolangun</t>
        </is>
      </c>
      <c r="C95" t="inlineStr">
        <is>
          <t>81274213004</t>
        </is>
      </c>
      <c r="D95" t="inlineStr">
        <is>
          <t>falahkonstruksi@gmail.com</t>
        </is>
      </c>
      <c r="E95" t="inlineStr">
        <is>
          <t>https://lpjk.pu.go.id/search-badan-usaha-detail/NmRPMllGSGlFQlBMdng1WDdDbEZHdz09</t>
        </is>
      </c>
      <c r="F95" t="n">
        <v>1</v>
      </c>
      <c r="G95" t="inlineStr">
        <is>
          <t>BG009</t>
        </is>
      </c>
      <c r="H95" t="inlineStr">
        <is>
          <t>5 Desember 2017</t>
        </is>
      </c>
      <c r="I95" s="2" t="n">
        <v>46195</v>
      </c>
      <c r="J95" t="inlineStr">
        <is>
          <t>Disetujui</t>
        </is>
      </c>
      <c r="K95" t="n">
        <v>30</v>
      </c>
      <c r="L95" t="inlineStr">
        <is>
          <t>22 Juni 2026</t>
        </is>
      </c>
      <c r="M95" t="inlineStr">
        <is>
          <t>Konstruksi Gedung Lainnya</t>
        </is>
      </c>
      <c r="N95" t="inlineStr">
        <is>
          <t>K</t>
        </is>
      </c>
      <c r="O95" t="inlineStr">
        <is>
          <t>20230608</t>
        </is>
      </c>
      <c r="P95" t="inlineStr">
        <is>
          <t>Jambi</t>
        </is>
      </c>
      <c r="Q95" t="inlineStr"/>
    </row>
    <row r="96">
      <c r="A96" t="inlineStr">
        <is>
          <t>FARESTA</t>
        </is>
      </c>
      <c r="B96" t="inlineStr">
        <is>
          <t>Kota Singkawang</t>
        </is>
      </c>
      <c r="C96" t="inlineStr">
        <is>
          <t>089694238221</t>
        </is>
      </c>
      <c r="D96" t="inlineStr">
        <is>
          <t>cvfarestaskw@gmail.com</t>
        </is>
      </c>
      <c r="E96" t="inlineStr">
        <is>
          <t>https://lpjk.pu.go.id/search-badan-usaha-detail/MVNQSE51dDV2VDE0ZWdIYUs2R3lTZz09</t>
        </is>
      </c>
      <c r="F96" t="n">
        <v>1</v>
      </c>
      <c r="G96" t="inlineStr">
        <is>
          <t>BG006</t>
        </is>
      </c>
      <c r="H96" t="inlineStr">
        <is>
          <t>23 Agustus 2021</t>
        </is>
      </c>
      <c r="I96" s="2" t="n">
        <v>46195</v>
      </c>
      <c r="J96" t="inlineStr">
        <is>
          <t>Pencabutan</t>
        </is>
      </c>
      <c r="K96" t="n">
        <v>30</v>
      </c>
      <c r="L96" t="inlineStr">
        <is>
          <t>22 Juni 2026</t>
        </is>
      </c>
      <c r="M96" t="inlineStr">
        <is>
          <t>Konstruksi Gedung Pendidikan</t>
        </is>
      </c>
      <c r="N96" t="inlineStr">
        <is>
          <t>K</t>
        </is>
      </c>
      <c r="O96" t="inlineStr">
        <is>
          <t>20230608</t>
        </is>
      </c>
      <c r="P96" t="inlineStr">
        <is>
          <t>Kalimantan Barat</t>
        </is>
      </c>
      <c r="Q96" t="inlineStr"/>
    </row>
    <row r="97">
      <c r="A97" t="inlineStr">
        <is>
          <t>FIRDAUS PUTRA</t>
        </is>
      </c>
      <c r="B97" t="inlineStr">
        <is>
          <t>Kab. Bojonegoro</t>
        </is>
      </c>
      <c r="C97" t="inlineStr">
        <is>
          <t>081381482019</t>
        </is>
      </c>
      <c r="D97" t="inlineStr">
        <is>
          <t>cvfirdausputra99@gmail.com</t>
        </is>
      </c>
      <c r="E97" t="inlineStr">
        <is>
          <t>https://lpjk.pu.go.id/search-badan-usaha-detail/NXRJb1NLS2J2bmxOWjhESmRMYThZQT09</t>
        </is>
      </c>
      <c r="F97" t="n">
        <v>2</v>
      </c>
      <c r="G97" t="inlineStr">
        <is>
          <t>BG009</t>
        </is>
      </c>
      <c r="H97" t="inlineStr">
        <is>
          <t>19 Maret 2020</t>
        </is>
      </c>
      <c r="I97" s="2" t="n">
        <v>46195</v>
      </c>
      <c r="J97" t="inlineStr">
        <is>
          <t>Disetujui</t>
        </is>
      </c>
      <c r="K97" t="n">
        <v>30</v>
      </c>
      <c r="L97" t="inlineStr">
        <is>
          <t>22 Juni 2026</t>
        </is>
      </c>
      <c r="M97" t="inlineStr">
        <is>
          <t>Konstruksi Gedung Lainnya</t>
        </is>
      </c>
      <c r="N97" t="inlineStr">
        <is>
          <t>K</t>
        </is>
      </c>
      <c r="O97" t="inlineStr">
        <is>
          <t>20230617</t>
        </is>
      </c>
      <c r="P97" t="inlineStr">
        <is>
          <t>Jawa Timur</t>
        </is>
      </c>
      <c r="Q97" t="inlineStr"/>
    </row>
    <row r="98">
      <c r="A98" t="inlineStr">
        <is>
          <t>GALAKSI MECCADINA KONSULTAN</t>
        </is>
      </c>
      <c r="B98" t="inlineStr">
        <is>
          <t>Kota Madiun</t>
        </is>
      </c>
      <c r="C98" t="inlineStr">
        <is>
          <t>0351451050</t>
        </is>
      </c>
      <c r="D98" t="inlineStr">
        <is>
          <t>cv.gmkonsultan@gmail.com</t>
        </is>
      </c>
      <c r="E98" t="inlineStr">
        <is>
          <t>https://lpjk.pu.go.id/search-badan-usaha-detail/c0orY0dycUxLUlp6MHd3b2lucFpmQT09</t>
        </is>
      </c>
      <c r="F98" t="n">
        <v>1</v>
      </c>
      <c r="G98" t="inlineStr">
        <is>
          <t>RK002</t>
        </is>
      </c>
      <c r="H98" t="inlineStr">
        <is>
          <t>20 November 2012</t>
        </is>
      </c>
      <c r="I98" s="2" t="n">
        <v>46195</v>
      </c>
      <c r="J98" t="inlineStr">
        <is>
          <t>Disetujui</t>
        </is>
      </c>
      <c r="K98" t="n">
        <v>30</v>
      </c>
      <c r="L98" t="inlineStr">
        <is>
          <t>22 Juni 2026</t>
        </is>
      </c>
      <c r="M98" t="inlineStr">
        <is>
          <t>Jasa Rekayasa Pekerjaan Teknik Sipil Sumber Daya Air</t>
        </is>
      </c>
      <c r="N98" t="inlineStr">
        <is>
          <t>K</t>
        </is>
      </c>
      <c r="O98" t="inlineStr">
        <is>
          <t>20230607</t>
        </is>
      </c>
      <c r="P98" t="inlineStr">
        <is>
          <t>Jawa Timur</t>
        </is>
      </c>
      <c r="Q98" t="inlineStr"/>
    </row>
    <row r="99">
      <c r="A99" t="inlineStr">
        <is>
          <t>GENESIS PLUS</t>
        </is>
      </c>
      <c r="B99" t="inlineStr">
        <is>
          <t>Kota Bandung</t>
        </is>
      </c>
      <c r="C99" t="inlineStr">
        <is>
          <t>02286061062</t>
        </is>
      </c>
      <c r="D99" t="inlineStr">
        <is>
          <t>info@genesisplus.co.id</t>
        </is>
      </c>
      <c r="E99" t="inlineStr">
        <is>
          <t>https://lpjk.pu.go.id/search-badan-usaha-detail/V01CVEFCOWZSS0FqdXZVZDBQK01RQT09</t>
        </is>
      </c>
      <c r="F99" t="n">
        <v>3</v>
      </c>
      <c r="G99" t="inlineStr">
        <is>
          <t>BG004, BG005, BG006</t>
        </is>
      </c>
      <c r="H99" t="inlineStr">
        <is>
          <t>25 Mei 2023</t>
        </is>
      </c>
      <c r="I99" s="2" t="n">
        <v>46195</v>
      </c>
      <c r="J99" t="inlineStr">
        <is>
          <t>Disetujui</t>
        </is>
      </c>
      <c r="K99" t="n">
        <v>30</v>
      </c>
      <c r="L99" t="inlineStr">
        <is>
          <t>22 Juni 2026</t>
        </is>
      </c>
      <c r="M99" t="inlineStr">
        <is>
          <t>Konstruksi Gedung Kesehatan, Konstruksi Gedung Pendidikan, Konstruksi Gedung Perbelanjaan</t>
        </is>
      </c>
      <c r="N99" t="inlineStr">
        <is>
          <t>K</t>
        </is>
      </c>
      <c r="O99" t="inlineStr">
        <is>
          <t>20230620</t>
        </is>
      </c>
      <c r="P99" t="inlineStr">
        <is>
          <t>Jawa Barat</t>
        </is>
      </c>
      <c r="Q99" t="inlineStr"/>
    </row>
    <row r="100">
      <c r="A100" t="inlineStr">
        <is>
          <t>GHANIM KONSTRUKSI</t>
        </is>
      </c>
      <c r="B100" t="inlineStr">
        <is>
          <t>Kab. Pasaman</t>
        </is>
      </c>
      <c r="C100" t="inlineStr">
        <is>
          <t>085365372009</t>
        </is>
      </c>
      <c r="D100" t="inlineStr">
        <is>
          <t>ghanimkonstruksi@gmail.com</t>
        </is>
      </c>
      <c r="E100" t="inlineStr">
        <is>
          <t>https://lpjk.pu.go.id/search-badan-usaha-detail/RkhtWkNiZUhsTllhY0ttUUFXSGtLQT09</t>
        </is>
      </c>
      <c r="F100" t="n">
        <v>1</v>
      </c>
      <c r="G100" t="inlineStr">
        <is>
          <t>BG009</t>
        </is>
      </c>
      <c r="H100" t="inlineStr">
        <is>
          <t>17 Januari 2007</t>
        </is>
      </c>
      <c r="I100" s="2" t="n">
        <v>46195</v>
      </c>
      <c r="J100" t="inlineStr">
        <is>
          <t>Pencabutan</t>
        </is>
      </c>
      <c r="K100" t="n">
        <v>30</v>
      </c>
      <c r="L100" t="inlineStr">
        <is>
          <t>22 Juni 2026</t>
        </is>
      </c>
      <c r="M100" t="inlineStr">
        <is>
          <t>Konstruksi Gedung Lainnya</t>
        </is>
      </c>
      <c r="N100" t="inlineStr">
        <is>
          <t>K</t>
        </is>
      </c>
      <c r="O100" t="inlineStr">
        <is>
          <t>20230102</t>
        </is>
      </c>
      <c r="P100" t="inlineStr">
        <is>
          <t>Sumatera Barat</t>
        </is>
      </c>
      <c r="Q100" t="inlineStr"/>
    </row>
    <row r="101">
      <c r="A101" t="inlineStr">
        <is>
          <t>GLOBAL KONSTRUKSI</t>
        </is>
      </c>
      <c r="B101" t="inlineStr">
        <is>
          <t>Kota Bandar Lampung</t>
        </is>
      </c>
      <c r="C101" t="inlineStr">
        <is>
          <t>085365139944</t>
        </is>
      </c>
      <c r="D101" t="inlineStr">
        <is>
          <t>global.konstruksi@yahoo.com</t>
        </is>
      </c>
      <c r="E101" t="inlineStr">
        <is>
          <t>https://lpjk.pu.go.id/search-badan-usaha-detail/QWd1dUF2ZHZnUjltQXVWTG04bzdQQT09</t>
        </is>
      </c>
      <c r="F101" t="n">
        <v>1</v>
      </c>
      <c r="G101" t="inlineStr">
        <is>
          <t>BG006</t>
        </is>
      </c>
      <c r="H101" t="inlineStr">
        <is>
          <t>31 Januari 2017</t>
        </is>
      </c>
      <c r="I101" s="2" t="n">
        <v>46195</v>
      </c>
      <c r="J101" t="inlineStr">
        <is>
          <t>Pencabutan</t>
        </is>
      </c>
      <c r="K101" t="n">
        <v>30</v>
      </c>
      <c r="L101" t="inlineStr">
        <is>
          <t>22 Juni 2026</t>
        </is>
      </c>
      <c r="M101" t="inlineStr">
        <is>
          <t>Konstruksi Gedung Pendidikan</t>
        </is>
      </c>
      <c r="N101" t="inlineStr">
        <is>
          <t>K</t>
        </is>
      </c>
      <c r="O101" t="inlineStr">
        <is>
          <t>20230622</t>
        </is>
      </c>
      <c r="P101" t="inlineStr">
        <is>
          <t>Lampung</t>
        </is>
      </c>
      <c r="Q101" t="inlineStr"/>
    </row>
    <row r="102">
      <c r="A102" t="inlineStr">
        <is>
          <t>GUNUNG SEKAR MANDIRI</t>
        </is>
      </c>
      <c r="B102" t="inlineStr">
        <is>
          <t>Kab. Sampang</t>
        </is>
      </c>
      <c r="C102" t="inlineStr">
        <is>
          <t>081803137099</t>
        </is>
      </c>
      <c r="D102" t="inlineStr">
        <is>
          <t>cgunungsekarmandiri@gmail.com</t>
        </is>
      </c>
      <c r="E102" t="inlineStr">
        <is>
          <t>https://lpjk.pu.go.id/search-badan-usaha-detail/WEczSjNMR2VrNDQzN2lxRHRDZmJXQT09</t>
        </is>
      </c>
      <c r="F102" t="n">
        <v>6</v>
      </c>
      <c r="G102" t="inlineStr">
        <is>
          <t>BG001, BG004, BG006, BG009, BS001, BS004</t>
        </is>
      </c>
      <c r="H102" t="inlineStr">
        <is>
          <t>7 Januari 2017</t>
        </is>
      </c>
      <c r="I102" s="2" t="n">
        <v>46195</v>
      </c>
      <c r="J102" t="inlineStr">
        <is>
          <t>Disetujui</t>
        </is>
      </c>
      <c r="K102" t="n">
        <v>30</v>
      </c>
      <c r="L102" t="inlineStr">
        <is>
          <t>22 Juni 2026</t>
        </is>
      </c>
      <c r="M102" t="inlineStr">
        <is>
          <t>Konstruksi Bangunan Sipil Jalan, Konstruksi Gedung Hunian, Konstruksi Gedung Lainnya, Konstruksi Gedung Pendidikan, Konstruksi Gedung Perbelanjaan, Konstruksi Jaringan Irigasi dan Drainase</t>
        </is>
      </c>
      <c r="N102" t="inlineStr">
        <is>
          <t>K</t>
        </is>
      </c>
      <c r="O102" t="inlineStr">
        <is>
          <t>20230606, 20230607, 20230608</t>
        </is>
      </c>
      <c r="P102" t="inlineStr">
        <is>
          <t>Jawa Timur</t>
        </is>
      </c>
      <c r="Q102" t="inlineStr"/>
    </row>
    <row r="103">
      <c r="A103" t="inlineStr">
        <is>
          <t>HANDAYANI</t>
        </is>
      </c>
      <c r="B103" t="inlineStr">
        <is>
          <t>Kab. Trenggalek</t>
        </is>
      </c>
      <c r="C103" t="inlineStr">
        <is>
          <t>081259119111</t>
        </is>
      </c>
      <c r="D103" t="inlineStr">
        <is>
          <t>satriyoyoyok1973@gmail.com</t>
        </is>
      </c>
      <c r="E103" t="inlineStr">
        <is>
          <t>https://lpjk.pu.go.id/search-badan-usaha-detail/K25RYnlCbGo4MmsvNlJ2eTZYUVF6QT09</t>
        </is>
      </c>
      <c r="F103" t="n">
        <v>4</v>
      </c>
      <c r="G103" t="inlineStr">
        <is>
          <t>BS001, BS004</t>
        </is>
      </c>
      <c r="H103" t="inlineStr">
        <is>
          <t>5 Desember 1972</t>
        </is>
      </c>
      <c r="I103" s="2" t="n">
        <v>46195</v>
      </c>
      <c r="J103" t="inlineStr">
        <is>
          <t>Disetujui</t>
        </is>
      </c>
      <c r="K103" t="n">
        <v>30</v>
      </c>
      <c r="L103" t="inlineStr">
        <is>
          <t>22 Juni 2026</t>
        </is>
      </c>
      <c r="M103" t="inlineStr">
        <is>
          <t>Konstruksi Bangunan Sipil Jalan, Konstruksi Jaringan Irigasi dan Drainase</t>
        </is>
      </c>
      <c r="N103" t="inlineStr">
        <is>
          <t>K</t>
        </is>
      </c>
      <c r="O103" t="inlineStr">
        <is>
          <t>20230621</t>
        </is>
      </c>
      <c r="P103" t="inlineStr">
        <is>
          <t>Jawa Timur</t>
        </is>
      </c>
      <c r="Q103" t="inlineStr"/>
    </row>
    <row r="104">
      <c r="A104" t="inlineStr">
        <is>
          <t>HANIF ADHYA MEGA</t>
        </is>
      </c>
      <c r="B104" t="inlineStr">
        <is>
          <t>Kota Bandar Lampung</t>
        </is>
      </c>
      <c r="C104" t="inlineStr">
        <is>
          <t>081279796413</t>
        </is>
      </c>
      <c r="D104" t="inlineStr">
        <is>
          <t>hanifadhyamega@gmail.com</t>
        </is>
      </c>
      <c r="E104" t="inlineStr">
        <is>
          <t>https://lpjk.pu.go.id/search-badan-usaha-detail/N1M2b291ZThiV3VuQVZ6WEx6b2F0QT09</t>
        </is>
      </c>
      <c r="F104" t="n">
        <v>2</v>
      </c>
      <c r="G104" t="inlineStr">
        <is>
          <t>RK002</t>
        </is>
      </c>
      <c r="H104" t="inlineStr">
        <is>
          <t>21 Februari 2023</t>
        </is>
      </c>
      <c r="I104" s="2" t="n">
        <v>46195</v>
      </c>
      <c r="J104" t="inlineStr">
        <is>
          <t>Disetujui</t>
        </is>
      </c>
      <c r="K104" t="n">
        <v>30</v>
      </c>
      <c r="L104" t="inlineStr">
        <is>
          <t>22 Juni 2026</t>
        </is>
      </c>
      <c r="M104" t="inlineStr">
        <is>
          <t>Jasa Rekayasa Pekerjaan Teknik Sipil Sumber Daya Air</t>
        </is>
      </c>
      <c r="N104" t="inlineStr">
        <is>
          <t>K</t>
        </is>
      </c>
      <c r="O104" t="inlineStr">
        <is>
          <t>20230609</t>
        </is>
      </c>
      <c r="P104" t="inlineStr">
        <is>
          <t>Lampung</t>
        </is>
      </c>
      <c r="Q104" t="inlineStr"/>
    </row>
    <row r="105">
      <c r="A105" t="inlineStr">
        <is>
          <t>HILMAN PUTRA</t>
        </is>
      </c>
      <c r="B105" t="inlineStr">
        <is>
          <t>Kota Bandung</t>
        </is>
      </c>
      <c r="C105" t="inlineStr">
        <is>
          <t>08122117279</t>
        </is>
      </c>
      <c r="D105" t="inlineStr">
        <is>
          <t>cvhilmanputraizin@yahoo.com</t>
        </is>
      </c>
      <c r="E105" t="inlineStr">
        <is>
          <t>https://lpjk.pu.go.id/search-badan-usaha-detail/MG5CY0FXOWd3SitzVmlTYlArNGF3UT09</t>
        </is>
      </c>
      <c r="F105" t="n">
        <v>1</v>
      </c>
      <c r="G105" t="inlineStr">
        <is>
          <t>BS004</t>
        </is>
      </c>
      <c r="H105" t="inlineStr">
        <is>
          <t>5 Februari 2009</t>
        </is>
      </c>
      <c r="I105" s="2" t="n">
        <v>46195</v>
      </c>
      <c r="J105" t="inlineStr">
        <is>
          <t>Disetujui</t>
        </is>
      </c>
      <c r="K105" t="n">
        <v>30</v>
      </c>
      <c r="L105" t="inlineStr">
        <is>
          <t>22 Juni 2026</t>
        </is>
      </c>
      <c r="M105" t="inlineStr">
        <is>
          <t>Konstruksi Jaringan Irigasi dan Drainase</t>
        </is>
      </c>
      <c r="N105" t="inlineStr">
        <is>
          <t>K</t>
        </is>
      </c>
      <c r="O105" t="inlineStr">
        <is>
          <t>20230616</t>
        </is>
      </c>
      <c r="P105" t="inlineStr">
        <is>
          <t>Jawa Barat</t>
        </is>
      </c>
      <c r="Q105" t="inlineStr"/>
    </row>
    <row r="106">
      <c r="A106" t="inlineStr">
        <is>
          <t>INDRA JAYA PERKASA NUSANTARA</t>
        </is>
      </c>
      <c r="B106" t="inlineStr">
        <is>
          <t>Kota Bandung</t>
        </is>
      </c>
      <c r="C106" t="inlineStr">
        <is>
          <t>0817223501</t>
        </is>
      </c>
      <c r="D106" t="inlineStr">
        <is>
          <t>legal.indrajpn@gmail.com</t>
        </is>
      </c>
      <c r="E106" t="inlineStr">
        <is>
          <t>https://lpjk.pu.go.id/search-badan-usaha-detail/bjIwUC8yYWF1ditkc0o1eG1DWW1ldz09</t>
        </is>
      </c>
      <c r="F106" t="n">
        <v>2</v>
      </c>
      <c r="G106" t="inlineStr">
        <is>
          <t>BG006, BG009</t>
        </is>
      </c>
      <c r="H106" t="inlineStr">
        <is>
          <t>13 Juni 2023</t>
        </is>
      </c>
      <c r="I106" s="2" t="n">
        <v>46195</v>
      </c>
      <c r="J106" t="inlineStr">
        <is>
          <t>Disetujui</t>
        </is>
      </c>
      <c r="K106" t="n">
        <v>30</v>
      </c>
      <c r="L106" t="inlineStr">
        <is>
          <t>22 Juni 2026</t>
        </is>
      </c>
      <c r="M106" t="inlineStr">
        <is>
          <t>Konstruksi Gedung Lainnya, Konstruksi Gedung Pendidikan</t>
        </is>
      </c>
      <c r="N106" t="inlineStr">
        <is>
          <t>K</t>
        </is>
      </c>
      <c r="O106" t="inlineStr">
        <is>
          <t>20230620</t>
        </is>
      </c>
      <c r="P106" t="inlineStr">
        <is>
          <t>Jawa Barat</t>
        </is>
      </c>
      <c r="Q106" t="inlineStr"/>
    </row>
    <row r="107">
      <c r="A107" t="inlineStr">
        <is>
          <t>INTI SARI MAJU BERSAMA</t>
        </is>
      </c>
      <c r="B107" t="inlineStr">
        <is>
          <t>Kota Jayapura</t>
        </is>
      </c>
      <c r="C107" t="inlineStr">
        <is>
          <t>082199183168</t>
        </is>
      </c>
      <c r="D107" t="inlineStr">
        <is>
          <t>pt.imb.jpr@gmail.com</t>
        </is>
      </c>
      <c r="E107" t="inlineStr">
        <is>
          <t>https://lpjk.pu.go.id/search-badan-usaha-detail/NTFSVDRZNUVoTFQ1Ri84T1pqMjAvQT09</t>
        </is>
      </c>
      <c r="F107" t="n">
        <v>1</v>
      </c>
      <c r="G107" t="inlineStr">
        <is>
          <t>BG008</t>
        </is>
      </c>
      <c r="H107" t="inlineStr">
        <is>
          <t>27 Juni 2012</t>
        </is>
      </c>
      <c r="I107" s="2" t="n">
        <v>46195</v>
      </c>
      <c r="J107" t="inlineStr">
        <is>
          <t>Pencabutan</t>
        </is>
      </c>
      <c r="K107" t="n">
        <v>30</v>
      </c>
      <c r="L107" t="inlineStr">
        <is>
          <t>22 Juni 2026</t>
        </is>
      </c>
      <c r="M107" t="inlineStr">
        <is>
          <t>Konstruksi Gedung Tempat Hiburan dan Olahraga</t>
        </is>
      </c>
      <c r="N107" t="inlineStr">
        <is>
          <t>M</t>
        </is>
      </c>
      <c r="O107" t="inlineStr">
        <is>
          <t>20230516</t>
        </is>
      </c>
      <c r="P107" t="inlineStr">
        <is>
          <t>Papua</t>
        </is>
      </c>
      <c r="Q107" t="inlineStr"/>
    </row>
    <row r="108">
      <c r="A108" t="inlineStr">
        <is>
          <t>JAGAT MANDALA</t>
        </is>
      </c>
      <c r="B108" t="inlineStr">
        <is>
          <t>Kab. Kapuas Hulu</t>
        </is>
      </c>
      <c r="C108" t="inlineStr">
        <is>
          <t>082253661500</t>
        </is>
      </c>
      <c r="D108" t="inlineStr">
        <is>
          <t>jagadmandala207@gmail.com</t>
        </is>
      </c>
      <c r="E108" t="inlineStr">
        <is>
          <t>https://lpjk.pu.go.id/search-badan-usaha-detail/WENSWnhFdDRHUkU3N0FpbE9xd3BYQT09</t>
        </is>
      </c>
      <c r="F108" t="n">
        <v>1</v>
      </c>
      <c r="G108" t="inlineStr">
        <is>
          <t>BS001</t>
        </is>
      </c>
      <c r="H108" t="inlineStr">
        <is>
          <t>3 November 2021</t>
        </is>
      </c>
      <c r="I108" s="2" t="n">
        <v>46195</v>
      </c>
      <c r="J108" t="inlineStr">
        <is>
          <t>Disetujui</t>
        </is>
      </c>
      <c r="K108" t="n">
        <v>30</v>
      </c>
      <c r="L108" t="inlineStr">
        <is>
          <t>22 Juni 2026</t>
        </is>
      </c>
      <c r="M108" t="inlineStr">
        <is>
          <t>Konstruksi Bangunan Sipil Jalan</t>
        </is>
      </c>
      <c r="N108" t="inlineStr">
        <is>
          <t>K</t>
        </is>
      </c>
      <c r="O108" t="inlineStr">
        <is>
          <t>20230606</t>
        </is>
      </c>
      <c r="P108" t="inlineStr">
        <is>
          <t>Kalimantan Barat</t>
        </is>
      </c>
      <c r="Q108" t="inlineStr"/>
    </row>
    <row r="109">
      <c r="A109" t="inlineStr">
        <is>
          <t>JANUR KUNING SENTOSA</t>
        </is>
      </c>
      <c r="B109" t="inlineStr">
        <is>
          <t>Kab. Jombang</t>
        </is>
      </c>
      <c r="C109" t="inlineStr">
        <is>
          <t>081335017770</t>
        </is>
      </c>
      <c r="D109" t="inlineStr">
        <is>
          <t>wicaksonoariiii02@gmail.com</t>
        </is>
      </c>
      <c r="E109" t="inlineStr">
        <is>
          <t>https://lpjk.pu.go.id/search-badan-usaha-detail/enBJVHluTjBxYjFkU0JnNUdVa2d6Zz09</t>
        </is>
      </c>
      <c r="F109" t="n">
        <v>1</v>
      </c>
      <c r="G109" t="inlineStr">
        <is>
          <t>BG009</t>
        </is>
      </c>
      <c r="H109" t="inlineStr">
        <is>
          <t>3 April 2023</t>
        </is>
      </c>
      <c r="I109" s="2" t="n">
        <v>46195</v>
      </c>
      <c r="J109" t="inlineStr">
        <is>
          <t>Disetujui</t>
        </is>
      </c>
      <c r="K109" t="n">
        <v>30</v>
      </c>
      <c r="L109" t="inlineStr">
        <is>
          <t>22 Juni 2026</t>
        </is>
      </c>
      <c r="M109" t="inlineStr">
        <is>
          <t>Konstruksi Gedung Lainnya</t>
        </is>
      </c>
      <c r="N109" t="inlineStr">
        <is>
          <t>K</t>
        </is>
      </c>
      <c r="O109" t="inlineStr">
        <is>
          <t>20230622</t>
        </is>
      </c>
      <c r="P109" t="inlineStr">
        <is>
          <t>Jawa Timur</t>
        </is>
      </c>
      <c r="Q109" t="inlineStr"/>
    </row>
    <row r="110">
      <c r="A110" t="inlineStr">
        <is>
          <t>JAYA ABADI TROPAS</t>
        </is>
      </c>
      <c r="B110" t="inlineStr">
        <is>
          <t>Kab. Sukoharjo</t>
        </is>
      </c>
      <c r="C110" t="inlineStr">
        <is>
          <t>02717880829</t>
        </is>
      </c>
      <c r="D110" t="inlineStr">
        <is>
          <t>jayaabaditropas.skh@gmail.com</t>
        </is>
      </c>
      <c r="E110" t="inlineStr">
        <is>
          <t>https://lpjk.pu.go.id/search-badan-usaha-detail/SVV4OTVyVkUxNGZnbUxMbndkM2kvQT09</t>
        </is>
      </c>
      <c r="F110" t="n">
        <v>1</v>
      </c>
      <c r="G110" t="inlineStr">
        <is>
          <t>PL005</t>
        </is>
      </c>
      <c r="H110" t="inlineStr">
        <is>
          <t>6 Juni 2023</t>
        </is>
      </c>
      <c r="I110" s="2" t="n">
        <v>46195</v>
      </c>
      <c r="J110" t="inlineStr">
        <is>
          <t>Disetujui</t>
        </is>
      </c>
      <c r="K110" t="n">
        <v>30</v>
      </c>
      <c r="L110" t="inlineStr">
        <is>
          <t>22 Juni 2026</t>
        </is>
      </c>
      <c r="M110" t="inlineStr">
        <is>
          <t>Pembuatan/Pengeboran Sumur Air Tanah</t>
        </is>
      </c>
      <c r="N110" t="inlineStr">
        <is>
          <t>Spesialis</t>
        </is>
      </c>
      <c r="O110" t="inlineStr">
        <is>
          <t>20230610</t>
        </is>
      </c>
      <c r="P110" t="inlineStr">
        <is>
          <t>Jawa Tengah</t>
        </is>
      </c>
      <c r="Q110" t="inlineStr"/>
    </row>
    <row r="111">
      <c r="A111" t="inlineStr">
        <is>
          <t>JAYA BERSAMA</t>
        </is>
      </c>
      <c r="B111" t="inlineStr">
        <is>
          <t>Kota Lubuk Linggau</t>
        </is>
      </c>
      <c r="C111" t="inlineStr">
        <is>
          <t>081367669939</t>
        </is>
      </c>
      <c r="D111" t="inlineStr">
        <is>
          <t>cvjayabersama235@gmail.com</t>
        </is>
      </c>
      <c r="E111" t="inlineStr">
        <is>
          <t>https://lpjk.pu.go.id/search-badan-usaha-detail/c3NBdnZJMENNekpQcklZMVZkdE1JUT09</t>
        </is>
      </c>
      <c r="F111" t="n">
        <v>1</v>
      </c>
      <c r="G111" t="inlineStr">
        <is>
          <t>BS004</t>
        </is>
      </c>
      <c r="H111" t="inlineStr">
        <is>
          <t>20 Januari 2003</t>
        </is>
      </c>
      <c r="I111" s="2" t="n">
        <v>46195</v>
      </c>
      <c r="J111" t="inlineStr">
        <is>
          <t>Disetujui</t>
        </is>
      </c>
      <c r="K111" t="n">
        <v>30</v>
      </c>
      <c r="L111" t="inlineStr">
        <is>
          <t>22 Juni 2026</t>
        </is>
      </c>
      <c r="M111" t="inlineStr">
        <is>
          <t>Konstruksi Jaringan Irigasi dan Drainase</t>
        </is>
      </c>
      <c r="N111" t="inlineStr">
        <is>
          <t>K</t>
        </is>
      </c>
      <c r="O111" t="inlineStr">
        <is>
          <t>20230616</t>
        </is>
      </c>
      <c r="P111" t="inlineStr">
        <is>
          <t>Sumatera Selatan</t>
        </is>
      </c>
      <c r="Q111" t="inlineStr"/>
    </row>
    <row r="112">
      <c r="A112" t="inlineStr">
        <is>
          <t>JAYA CIPTA SEMESTA</t>
        </is>
      </c>
      <c r="B112" t="inlineStr">
        <is>
          <t>Kab. Bandung Barat</t>
        </is>
      </c>
      <c r="C112" t="inlineStr">
        <is>
          <t>085252677247</t>
        </is>
      </c>
      <c r="D112" t="inlineStr">
        <is>
          <t>ciptajayasemesta@gmail.com</t>
        </is>
      </c>
      <c r="E112" t="inlineStr">
        <is>
          <t>https://lpjk.pu.go.id/search-badan-usaha-detail/QVN6SEp3bjkyLzgzYjdjdnRtSmlaZz09</t>
        </is>
      </c>
      <c r="F112" t="n">
        <v>1</v>
      </c>
      <c r="G112" t="inlineStr">
        <is>
          <t>BG009</t>
        </is>
      </c>
      <c r="H112" t="inlineStr">
        <is>
          <t>6 Maret 2018</t>
        </is>
      </c>
      <c r="I112" s="2" t="n">
        <v>46195</v>
      </c>
      <c r="J112" t="inlineStr">
        <is>
          <t>Pembekuan</t>
        </is>
      </c>
      <c r="K112" t="n">
        <v>30</v>
      </c>
      <c r="L112" t="inlineStr">
        <is>
          <t>22 Juni 2026</t>
        </is>
      </c>
      <c r="M112" t="inlineStr">
        <is>
          <t>Konstruksi Gedung Lainnya</t>
        </is>
      </c>
      <c r="N112" t="inlineStr">
        <is>
          <t>M</t>
        </is>
      </c>
      <c r="O112" t="inlineStr">
        <is>
          <t>20230621</t>
        </is>
      </c>
      <c r="P112" t="inlineStr">
        <is>
          <t>Jawa Barat</t>
        </is>
      </c>
      <c r="Q112" t="inlineStr"/>
    </row>
    <row r="113">
      <c r="A113" t="inlineStr">
        <is>
          <t>JAYA MULIA</t>
        </is>
      </c>
      <c r="B113" t="inlineStr">
        <is>
          <t>Kab. Sidoarjo</t>
        </is>
      </c>
      <c r="C113" t="inlineStr">
        <is>
          <t>082264004949</t>
        </is>
      </c>
      <c r="D113" t="inlineStr">
        <is>
          <t>jayamuliacv@yahoo.com</t>
        </is>
      </c>
      <c r="E113" t="inlineStr">
        <is>
          <t>https://lpjk.pu.go.id/search-badan-usaha-detail/TytUSVhJWld6MDI2VW1YVEE2VWlVdz09</t>
        </is>
      </c>
      <c r="F113" t="n">
        <v>1</v>
      </c>
      <c r="G113" t="inlineStr">
        <is>
          <t>BS010</t>
        </is>
      </c>
      <c r="H113" t="inlineStr">
        <is>
          <t>7 Februari 2014</t>
        </is>
      </c>
      <c r="I113" s="2" t="n">
        <v>46195</v>
      </c>
      <c r="J113" t="inlineStr">
        <is>
          <t>Disetujui</t>
        </is>
      </c>
      <c r="K113" t="n">
        <v>30</v>
      </c>
      <c r="L113" t="inlineStr">
        <is>
          <t>22 Juni 2026</t>
        </is>
      </c>
      <c r="M113" t="inlineStr">
        <is>
          <t>Konstruksi Bangunan Prasarana Sumber Daya Air</t>
        </is>
      </c>
      <c r="N113" t="inlineStr">
        <is>
          <t>K</t>
        </is>
      </c>
      <c r="O113" t="inlineStr">
        <is>
          <t>20230622</t>
        </is>
      </c>
      <c r="P113" t="inlineStr">
        <is>
          <t>Jawa Timur</t>
        </is>
      </c>
      <c r="Q113" t="inlineStr"/>
    </row>
    <row r="114">
      <c r="A114" t="inlineStr">
        <is>
          <t>JUNATA PERKASA</t>
        </is>
      </c>
      <c r="B114" t="inlineStr">
        <is>
          <t>Kab. Rokan Hulu</t>
        </is>
      </c>
      <c r="C114" t="inlineStr">
        <is>
          <t>081378531456</t>
        </is>
      </c>
      <c r="D114" t="inlineStr">
        <is>
          <t>junataperkasa@gmail.com</t>
        </is>
      </c>
      <c r="E114" t="inlineStr">
        <is>
          <t>https://lpjk.pu.go.id/search-badan-usaha-detail/OVNqUEhGTVNVVE1TajhrNXF5T05adz09</t>
        </is>
      </c>
      <c r="F114" t="n">
        <v>3</v>
      </c>
      <c r="G114" t="inlineStr">
        <is>
          <t>BG006, BS001, BS004</t>
        </is>
      </c>
      <c r="H114" t="inlineStr">
        <is>
          <t>12 Januari 2018</t>
        </is>
      </c>
      <c r="I114" s="2" t="n">
        <v>46195</v>
      </c>
      <c r="J114" t="inlineStr">
        <is>
          <t>Disetujui</t>
        </is>
      </c>
      <c r="K114" t="n">
        <v>30</v>
      </c>
      <c r="L114" t="inlineStr">
        <is>
          <t>22 Juni 2026</t>
        </is>
      </c>
      <c r="M114" t="inlineStr">
        <is>
          <t>Konstruksi Bangunan Sipil Jalan, Konstruksi Gedung Pendidikan, Konstruksi Jaringan Irigasi dan Drainase</t>
        </is>
      </c>
      <c r="N114" t="inlineStr">
        <is>
          <t>K</t>
        </is>
      </c>
      <c r="O114" t="inlineStr">
        <is>
          <t>20230622</t>
        </is>
      </c>
      <c r="P114" t="inlineStr">
        <is>
          <t>Riau</t>
        </is>
      </c>
      <c r="Q114" t="inlineStr"/>
    </row>
    <row r="115">
      <c r="A115" t="inlineStr">
        <is>
          <t>KARUNIA DHIBA ALMAHERA</t>
        </is>
      </c>
      <c r="B115" t="inlineStr">
        <is>
          <t>Kab. Hulu Sungai Tengah</t>
        </is>
      </c>
      <c r="C115" t="inlineStr">
        <is>
          <t>081213219449</t>
        </is>
      </c>
      <c r="D115" t="inlineStr">
        <is>
          <t>cvkaruniadhibaalmahera@gmail.com</t>
        </is>
      </c>
      <c r="E115" t="inlineStr">
        <is>
          <t>https://lpjk.pu.go.id/search-badan-usaha-detail/UTl6WXZrNytRVXlHNDlkbndQOFk4dz09</t>
        </is>
      </c>
      <c r="F115" t="n">
        <v>2</v>
      </c>
      <c r="G115" t="inlineStr">
        <is>
          <t>BG005</t>
        </is>
      </c>
      <c r="H115" t="inlineStr">
        <is>
          <t>24 Mei 2023</t>
        </is>
      </c>
      <c r="I115" s="2" t="n">
        <v>46195</v>
      </c>
      <c r="J115" t="inlineStr">
        <is>
          <t>Disetujui</t>
        </is>
      </c>
      <c r="K115" t="n">
        <v>30</v>
      </c>
      <c r="L115" t="inlineStr">
        <is>
          <t>22 Juni 2026</t>
        </is>
      </c>
      <c r="M115" t="inlineStr">
        <is>
          <t>Konstruksi Gedung Kesehatan</t>
        </is>
      </c>
      <c r="N115" t="inlineStr">
        <is>
          <t>K</t>
        </is>
      </c>
      <c r="O115" t="inlineStr">
        <is>
          <t>20230623</t>
        </is>
      </c>
      <c r="P115" t="inlineStr">
        <is>
          <t>Kalimantan Selatan</t>
        </is>
      </c>
      <c r="Q115" t="inlineStr"/>
    </row>
    <row r="116">
      <c r="A116" t="inlineStr">
        <is>
          <t>KARYA BAHARI</t>
        </is>
      </c>
      <c r="B116" t="inlineStr">
        <is>
          <t>Kota Jambi</t>
        </is>
      </c>
      <c r="C116" t="inlineStr">
        <is>
          <t>081313632607</t>
        </is>
      </c>
      <c r="D116" t="inlineStr">
        <is>
          <t>pt.karyabahari01@gmail.com</t>
        </is>
      </c>
      <c r="E116" t="inlineStr">
        <is>
          <t>https://lpjk.pu.go.id/search-badan-usaha-detail/MHJFZHV3M0RYR0IyRG9DNzZDZ0NCUT09</t>
        </is>
      </c>
      <c r="F116" t="n">
        <v>2</v>
      </c>
      <c r="G116" t="inlineStr">
        <is>
          <t>BS001, BS010</t>
        </is>
      </c>
      <c r="H116" t="inlineStr">
        <is>
          <t>17 Februari 1978</t>
        </is>
      </c>
      <c r="I116" s="2" t="n">
        <v>46195</v>
      </c>
      <c r="J116" t="inlineStr">
        <is>
          <t>Disetujui</t>
        </is>
      </c>
      <c r="K116" t="n">
        <v>30</v>
      </c>
      <c r="L116" t="inlineStr">
        <is>
          <t>22 Juni 2026</t>
        </is>
      </c>
      <c r="M116" t="inlineStr">
        <is>
          <t>Konstruksi Bangunan Prasarana Sumber Daya Air, Konstruksi Bangunan Sipil Jalan</t>
        </is>
      </c>
      <c r="N116" t="inlineStr">
        <is>
          <t>M</t>
        </is>
      </c>
      <c r="O116" t="inlineStr">
        <is>
          <t>20230620</t>
        </is>
      </c>
      <c r="P116" t="inlineStr">
        <is>
          <t>Jambi</t>
        </is>
      </c>
      <c r="Q116" t="inlineStr"/>
    </row>
    <row r="117">
      <c r="A117" t="inlineStr">
        <is>
          <t>KARYA BERSATU</t>
        </is>
      </c>
      <c r="B117" t="inlineStr">
        <is>
          <t>Kab. Sekadau</t>
        </is>
      </c>
      <c r="C117" t="inlineStr">
        <is>
          <t>085246558552</t>
        </is>
      </c>
      <c r="D117" t="inlineStr">
        <is>
          <t>karyabersatu.cv@gmail.com</t>
        </is>
      </c>
      <c r="E117" t="inlineStr">
        <is>
          <t>https://lpjk.pu.go.id/search-badan-usaha-detail/ODBuR3dDWlVOdzVZbXhHUXNwdkJaUT09</t>
        </is>
      </c>
      <c r="F117" t="n">
        <v>1</v>
      </c>
      <c r="G117" t="inlineStr">
        <is>
          <t>BG006</t>
        </is>
      </c>
      <c r="H117" t="inlineStr">
        <is>
          <t>19 November 2014</t>
        </is>
      </c>
      <c r="I117" s="2" t="n">
        <v>46195</v>
      </c>
      <c r="J117" t="inlineStr">
        <is>
          <t>Disetujui</t>
        </is>
      </c>
      <c r="K117" t="n">
        <v>30</v>
      </c>
      <c r="L117" t="inlineStr">
        <is>
          <t>22 Juni 2026</t>
        </is>
      </c>
      <c r="M117" t="inlineStr">
        <is>
          <t>Konstruksi Gedung Pendidikan</t>
        </is>
      </c>
      <c r="N117" t="inlineStr">
        <is>
          <t>K</t>
        </is>
      </c>
      <c r="O117" t="inlineStr">
        <is>
          <t>20230529</t>
        </is>
      </c>
      <c r="P117" t="inlineStr">
        <is>
          <t>Kalimantan Barat</t>
        </is>
      </c>
      <c r="Q117" t="inlineStr"/>
    </row>
    <row r="118">
      <c r="A118" t="inlineStr">
        <is>
          <t>KONSTRUKSI MULTI CIPTA SARANA</t>
        </is>
      </c>
      <c r="B118" t="inlineStr">
        <is>
          <t>Kota Makassar</t>
        </is>
      </c>
      <c r="C118" t="inlineStr">
        <is>
          <t>081342748004</t>
        </is>
      </c>
      <c r="D118" t="inlineStr">
        <is>
          <t>konstruksimulticiptasarana@gmail.com</t>
        </is>
      </c>
      <c r="E118" t="inlineStr">
        <is>
          <t>https://lpjk.pu.go.id/search-badan-usaha-detail/Y3JEWkhCcFJRbFhJdWgzVVNIVjNEdz09</t>
        </is>
      </c>
      <c r="F118" t="n">
        <v>1</v>
      </c>
      <c r="G118" t="inlineStr">
        <is>
          <t>BS004</t>
        </is>
      </c>
      <c r="H118" t="inlineStr">
        <is>
          <t>6 November 1990</t>
        </is>
      </c>
      <c r="I118" s="2" t="n">
        <v>46195</v>
      </c>
      <c r="J118" t="inlineStr">
        <is>
          <t>Disetujui</t>
        </is>
      </c>
      <c r="K118" t="n">
        <v>30</v>
      </c>
      <c r="L118" t="inlineStr">
        <is>
          <t>22 Juni 2026</t>
        </is>
      </c>
      <c r="M118" t="inlineStr">
        <is>
          <t>Konstruksi Jaringan Irigasi dan Drainase</t>
        </is>
      </c>
      <c r="N118" t="inlineStr">
        <is>
          <t>K</t>
        </is>
      </c>
      <c r="O118" t="inlineStr">
        <is>
          <t>20230622</t>
        </is>
      </c>
      <c r="P118" t="inlineStr">
        <is>
          <t>Sulawesi Selatan</t>
        </is>
      </c>
      <c r="Q118" t="inlineStr"/>
    </row>
    <row r="119">
      <c r="A119" t="inlineStr">
        <is>
          <t>KURNIA JAYA ARSY</t>
        </is>
      </c>
      <c r="B119" t="inlineStr">
        <is>
          <t>Kota Jayapura</t>
        </is>
      </c>
      <c r="C119" t="inlineStr">
        <is>
          <t>082349992513</t>
        </is>
      </c>
      <c r="D119" t="inlineStr">
        <is>
          <t>kurniajayapt@gmail.com</t>
        </is>
      </c>
      <c r="E119" t="inlineStr">
        <is>
          <t>https://lpjk.pu.go.id/search-badan-usaha-detail/RGlMdGdxbU91WHU0N3l4dVRxdXRMdz09</t>
        </is>
      </c>
      <c r="F119" t="n">
        <v>1</v>
      </c>
      <c r="G119" t="inlineStr">
        <is>
          <t>BS001</t>
        </is>
      </c>
      <c r="H119" t="inlineStr">
        <is>
          <t>13 September 2017</t>
        </is>
      </c>
      <c r="I119" s="2" t="n">
        <v>46195</v>
      </c>
      <c r="J119" t="inlineStr">
        <is>
          <t>Pembekuan</t>
        </is>
      </c>
      <c r="K119" t="n">
        <v>30</v>
      </c>
      <c r="L119" t="inlineStr">
        <is>
          <t>22 Juni 2026</t>
        </is>
      </c>
      <c r="M119" t="inlineStr">
        <is>
          <t>Konstruksi Bangunan Sipil Jalan</t>
        </is>
      </c>
      <c r="N119" t="inlineStr">
        <is>
          <t>M</t>
        </is>
      </c>
      <c r="O119" t="inlineStr">
        <is>
          <t>20230622</t>
        </is>
      </c>
      <c r="P119" t="inlineStr">
        <is>
          <t>Papua</t>
        </is>
      </c>
      <c r="Q119" t="inlineStr"/>
    </row>
    <row r="120">
      <c r="A120" t="inlineStr">
        <is>
          <t>LAMPUNG BINA SEJAHTERA</t>
        </is>
      </c>
      <c r="B120" t="inlineStr">
        <is>
          <t>Kota Bandar Lampung</t>
        </is>
      </c>
      <c r="C120" t="inlineStr">
        <is>
          <t>-</t>
        </is>
      </c>
      <c r="D120" t="inlineStr">
        <is>
          <t>lampungbinasejahtera.cv@gmail.com</t>
        </is>
      </c>
      <c r="E120" t="inlineStr">
        <is>
          <t>https://lpjk.pu.go.id/search-badan-usaha-detail/VzFBN3RpY2RoSGpuK25TYTRETGJIdz09</t>
        </is>
      </c>
      <c r="F120" t="n">
        <v>2</v>
      </c>
      <c r="G120" t="inlineStr">
        <is>
          <t>BS001, BS004</t>
        </is>
      </c>
      <c r="H120" t="inlineStr">
        <is>
          <t>19 Januari 2007</t>
        </is>
      </c>
      <c r="I120" s="2" t="n">
        <v>46195</v>
      </c>
      <c r="J120" t="inlineStr">
        <is>
          <t>Disetujui</t>
        </is>
      </c>
      <c r="K120" t="n">
        <v>30</v>
      </c>
      <c r="L120" t="inlineStr">
        <is>
          <t>22 Juni 2026</t>
        </is>
      </c>
      <c r="M120" t="inlineStr">
        <is>
          <t>Konstruksi Bangunan Sipil Jalan, Konstruksi Jaringan Irigasi dan Drainase</t>
        </is>
      </c>
      <c r="N120" t="inlineStr">
        <is>
          <t>K</t>
        </is>
      </c>
      <c r="O120" t="inlineStr">
        <is>
          <t>20230622</t>
        </is>
      </c>
      <c r="P120" t="inlineStr">
        <is>
          <t>Lampung</t>
        </is>
      </c>
      <c r="Q120" t="inlineStr"/>
    </row>
    <row r="121">
      <c r="A121" t="inlineStr">
        <is>
          <t>LIMA MUDA</t>
        </is>
      </c>
      <c r="B121" t="inlineStr">
        <is>
          <t>Kab. Mamuju</t>
        </is>
      </c>
      <c r="C121" t="inlineStr">
        <is>
          <t>087808948954</t>
        </is>
      </c>
      <c r="D121" t="inlineStr">
        <is>
          <t>limamuda279@gmail.com</t>
        </is>
      </c>
      <c r="E121" t="inlineStr">
        <is>
          <t>https://lpjk.pu.go.id/search-badan-usaha-detail/bVplRGpEVS9zZ1ZROWpPa01ZMDFhUT09</t>
        </is>
      </c>
      <c r="F121" t="n">
        <v>1</v>
      </c>
      <c r="G121" t="inlineStr">
        <is>
          <t>BS002</t>
        </is>
      </c>
      <c r="H121" t="inlineStr">
        <is>
          <t>7 Januari 2016</t>
        </is>
      </c>
      <c r="I121" s="2" t="n">
        <v>46195</v>
      </c>
      <c r="J121" t="inlineStr">
        <is>
          <t>Pencabutan</t>
        </is>
      </c>
      <c r="K121" t="n">
        <v>30</v>
      </c>
      <c r="L121" t="inlineStr">
        <is>
          <t>22 Juni 2026</t>
        </is>
      </c>
      <c r="M121" t="inlineStr">
        <is>
          <t>Bangunan Sipil Jembatan, Jalan Layang, Fly Over, dan Underpass</t>
        </is>
      </c>
      <c r="N121" t="inlineStr">
        <is>
          <t>K</t>
        </is>
      </c>
      <c r="O121" t="inlineStr">
        <is>
          <t>20230610</t>
        </is>
      </c>
      <c r="P121" t="inlineStr">
        <is>
          <t>Sulawesi Barat</t>
        </is>
      </c>
      <c r="Q121" t="inlineStr"/>
    </row>
    <row r="122">
      <c r="A122" t="inlineStr">
        <is>
          <t>MAHA PUTRA MULIA</t>
        </is>
      </c>
      <c r="B122" t="inlineStr">
        <is>
          <t>Kab. Lamongan</t>
        </is>
      </c>
      <c r="C122" t="inlineStr">
        <is>
          <t>081230111149</t>
        </is>
      </c>
      <c r="D122" t="inlineStr">
        <is>
          <t>cv_mpm_579@yahoo.com</t>
        </is>
      </c>
      <c r="E122" t="inlineStr">
        <is>
          <t>https://lpjk.pu.go.id/search-badan-usaha-detail/Zkk2MnF5YlhuY3NsV1NpaG5XU3FPZz09</t>
        </is>
      </c>
      <c r="F122" t="n">
        <v>1</v>
      </c>
      <c r="G122" t="inlineStr">
        <is>
          <t>BS005</t>
        </is>
      </c>
      <c r="H122" t="inlineStr">
        <is>
          <t>25 Juli 2003</t>
        </is>
      </c>
      <c r="I122" s="2" t="n">
        <v>46195</v>
      </c>
      <c r="J122" t="inlineStr">
        <is>
          <t>Disetujui</t>
        </is>
      </c>
      <c r="K122" t="n">
        <v>30</v>
      </c>
      <c r="L122" t="inlineStr">
        <is>
          <t>22 Juni 2026</t>
        </is>
      </c>
      <c r="M122" t="inlineStr">
        <is>
          <t>Konstruksi Bangunan Sipil Pengolahan Air Bersih</t>
        </is>
      </c>
      <c r="N122" t="inlineStr">
        <is>
          <t>K</t>
        </is>
      </c>
      <c r="O122" t="inlineStr">
        <is>
          <t>20220510</t>
        </is>
      </c>
      <c r="P122" t="inlineStr">
        <is>
          <t>Jawa Timur</t>
        </is>
      </c>
      <c r="Q122" t="inlineStr"/>
    </row>
    <row r="123">
      <c r="A123" t="inlineStr">
        <is>
          <t>MAHIRA KONSULINDO</t>
        </is>
      </c>
      <c r="B123" t="inlineStr">
        <is>
          <t>Kab. Malang</t>
        </is>
      </c>
      <c r="C123" t="inlineStr">
        <is>
          <t>081334044403</t>
        </is>
      </c>
      <c r="D123" t="inlineStr">
        <is>
          <t>mahira2567@gmail.com</t>
        </is>
      </c>
      <c r="E123" t="inlineStr">
        <is>
          <t>https://lpjk.pu.go.id/search-badan-usaha-detail/UDNWTzg3THo2ZFlmY3lSbmJRdVBvZz09</t>
        </is>
      </c>
      <c r="F123" t="n">
        <v>1</v>
      </c>
      <c r="G123" t="inlineStr">
        <is>
          <t>RK001</t>
        </is>
      </c>
      <c r="H123" t="inlineStr">
        <is>
          <t>1 September 2006</t>
        </is>
      </c>
      <c r="I123" s="2" t="n">
        <v>46195</v>
      </c>
      <c r="J123" t="inlineStr">
        <is>
          <t>Disetujui</t>
        </is>
      </c>
      <c r="K123" t="n">
        <v>30</v>
      </c>
      <c r="L123" t="inlineStr">
        <is>
          <t>22 Juni 2026</t>
        </is>
      </c>
      <c r="M123" t="inlineStr">
        <is>
          <t>Jasa Rekayasa Konstruksi Bangunan Gedung Hunian dan Non Hunian</t>
        </is>
      </c>
      <c r="N123" t="inlineStr">
        <is>
          <t>K</t>
        </is>
      </c>
      <c r="O123" t="inlineStr">
        <is>
          <t>20230616</t>
        </is>
      </c>
      <c r="P123" t="inlineStr">
        <is>
          <t>Jawa Timur</t>
        </is>
      </c>
      <c r="Q123" t="inlineStr"/>
    </row>
    <row r="124">
      <c r="A124" t="inlineStr">
        <is>
          <t>MAHKOTA</t>
        </is>
      </c>
      <c r="B124" t="inlineStr">
        <is>
          <t>Kab. Bulungan</t>
        </is>
      </c>
      <c r="C124" t="inlineStr">
        <is>
          <t>085252692438</t>
        </is>
      </c>
      <c r="D124" t="inlineStr">
        <is>
          <t>putramangkupadi88@gmail.com</t>
        </is>
      </c>
      <c r="E124" t="inlineStr">
        <is>
          <t>https://lpjk.pu.go.id/search-badan-usaha-detail/RXpBUzBWZzZpTkNlMnhoMVJXVm5DZz09</t>
        </is>
      </c>
      <c r="F124" t="n">
        <v>1</v>
      </c>
      <c r="G124" t="inlineStr">
        <is>
          <t>BG006</t>
        </is>
      </c>
      <c r="H124" t="inlineStr">
        <is>
          <t>6 Januari 2011</t>
        </is>
      </c>
      <c r="I124" s="2" t="n">
        <v>46195</v>
      </c>
      <c r="J124" t="inlineStr">
        <is>
          <t>Disetujui</t>
        </is>
      </c>
      <c r="K124" t="n">
        <v>30</v>
      </c>
      <c r="L124" t="inlineStr">
        <is>
          <t>22 Juni 2026</t>
        </is>
      </c>
      <c r="M124" t="inlineStr">
        <is>
          <t>Konstruksi Gedung Pendidikan</t>
        </is>
      </c>
      <c r="N124" t="inlineStr">
        <is>
          <t>K</t>
        </is>
      </c>
      <c r="O124" t="inlineStr">
        <is>
          <t>20230508</t>
        </is>
      </c>
      <c r="P124" t="inlineStr">
        <is>
          <t>Kalimantan Utara</t>
        </is>
      </c>
      <c r="Q124" t="inlineStr"/>
    </row>
    <row r="125">
      <c r="A125" t="inlineStr">
        <is>
          <t>MAJU JAYA</t>
        </is>
      </c>
      <c r="B125" t="inlineStr">
        <is>
          <t>Kab. Blora</t>
        </is>
      </c>
      <c r="C125" t="inlineStr">
        <is>
          <t>081390108639</t>
        </is>
      </c>
      <c r="D125" t="inlineStr">
        <is>
          <t>MAJUJAYA45@GMAIL.COM</t>
        </is>
      </c>
      <c r="E125" t="inlineStr">
        <is>
          <t>https://lpjk.pu.go.id/search-badan-usaha-detail/S3NNQzg3dWdHSkc5K2Y0Z1p0cUdWZz09</t>
        </is>
      </c>
      <c r="F125" t="n">
        <v>2</v>
      </c>
      <c r="G125" t="inlineStr">
        <is>
          <t>BS004</t>
        </is>
      </c>
      <c r="H125" t="inlineStr">
        <is>
          <t>11 Mei 1989</t>
        </is>
      </c>
      <c r="I125" s="2" t="n">
        <v>46195</v>
      </c>
      <c r="J125" t="inlineStr">
        <is>
          <t>Disetujui</t>
        </is>
      </c>
      <c r="K125" t="n">
        <v>30</v>
      </c>
      <c r="L125" t="inlineStr">
        <is>
          <t>22 Juni 2026</t>
        </is>
      </c>
      <c r="M125" t="inlineStr">
        <is>
          <t>Konstruksi Jaringan Irigasi dan Drainase</t>
        </is>
      </c>
      <c r="N125" t="inlineStr">
        <is>
          <t>K</t>
        </is>
      </c>
      <c r="O125" t="inlineStr">
        <is>
          <t>20230620</t>
        </is>
      </c>
      <c r="P125" t="inlineStr">
        <is>
          <t>Jawa Tengah</t>
        </is>
      </c>
      <c r="Q125" t="inlineStr"/>
    </row>
    <row r="126">
      <c r="A126" t="inlineStr">
        <is>
          <t>MANDIRI RAYA BORNEO</t>
        </is>
      </c>
      <c r="B126" t="inlineStr">
        <is>
          <t>Kab. Bulungan</t>
        </is>
      </c>
      <c r="C126" t="inlineStr">
        <is>
          <t>081346828555</t>
        </is>
      </c>
      <c r="D126" t="inlineStr">
        <is>
          <t>mandirirayaborneo@gmail.com</t>
        </is>
      </c>
      <c r="E126" t="inlineStr">
        <is>
          <t>https://lpjk.pu.go.id/search-badan-usaha-detail/M2tHNVFDMk1GZ1BTRkU4emhPVDkrUT09</t>
        </is>
      </c>
      <c r="F126" t="n">
        <v>2</v>
      </c>
      <c r="G126" t="inlineStr">
        <is>
          <t>BG002, BG006</t>
        </is>
      </c>
      <c r="H126" t="inlineStr">
        <is>
          <t>31 Mei 2023</t>
        </is>
      </c>
      <c r="I126" s="2" t="n">
        <v>46195</v>
      </c>
      <c r="J126" t="inlineStr">
        <is>
          <t>Disetujui</t>
        </is>
      </c>
      <c r="K126" t="n">
        <v>30</v>
      </c>
      <c r="L126" t="inlineStr">
        <is>
          <t>22 Juni 2026</t>
        </is>
      </c>
      <c r="M126" t="inlineStr">
        <is>
          <t>Konstruksi Gedung Pendidikan, Konstruksi Gedung Perkantoran</t>
        </is>
      </c>
      <c r="N126" t="inlineStr">
        <is>
          <t>K</t>
        </is>
      </c>
      <c r="O126" t="inlineStr">
        <is>
          <t>20230616</t>
        </is>
      </c>
      <c r="P126" t="inlineStr">
        <is>
          <t>Kalimantan Utara</t>
        </is>
      </c>
      <c r="Q126" t="inlineStr"/>
    </row>
    <row r="127">
      <c r="A127" t="inlineStr">
        <is>
          <t>MARGA KONSTRUKSI</t>
        </is>
      </c>
      <c r="B127" t="inlineStr">
        <is>
          <t>Kota Madiun</t>
        </is>
      </c>
      <c r="C127" t="inlineStr">
        <is>
          <t>0351 4583 38__</t>
        </is>
      </c>
      <c r="D127" t="inlineStr">
        <is>
          <t>cvmargakonstruksi@yahoo.co.id</t>
        </is>
      </c>
      <c r="E127" t="inlineStr">
        <is>
          <t>https://lpjk.pu.go.id/search-badan-usaha-detail/bVA4V2NQcG5LWUpMYW1RZVoxS1Jxdz09</t>
        </is>
      </c>
      <c r="F127" t="n">
        <v>1</v>
      </c>
      <c r="G127" t="inlineStr">
        <is>
          <t>BG006</t>
        </is>
      </c>
      <c r="H127" t="inlineStr">
        <is>
          <t>22 Juni 2012</t>
        </is>
      </c>
      <c r="I127" s="2" t="n">
        <v>46195</v>
      </c>
      <c r="J127" t="inlineStr">
        <is>
          <t>Disetujui</t>
        </is>
      </c>
      <c r="K127" t="n">
        <v>30</v>
      </c>
      <c r="L127" t="inlineStr">
        <is>
          <t>22 Juni 2026</t>
        </is>
      </c>
      <c r="M127" t="inlineStr">
        <is>
          <t>Konstruksi Gedung Pendidikan</t>
        </is>
      </c>
      <c r="N127" t="inlineStr">
        <is>
          <t>K</t>
        </is>
      </c>
      <c r="O127" t="inlineStr">
        <is>
          <t>20230613</t>
        </is>
      </c>
      <c r="P127" t="inlineStr">
        <is>
          <t>Jawa Timur</t>
        </is>
      </c>
      <c r="Q127" t="inlineStr"/>
    </row>
    <row r="128">
      <c r="A128" t="inlineStr">
        <is>
          <t>MASTER MANUNGGAL FABRIKASI</t>
        </is>
      </c>
      <c r="B128" t="inlineStr">
        <is>
          <t>Kota Adm. Jakarta Utara</t>
        </is>
      </c>
      <c r="C128" t="inlineStr">
        <is>
          <t>0214602937</t>
        </is>
      </c>
      <c r="D128" t="inlineStr">
        <is>
          <t>mfab.jakarta@gmail.com</t>
        </is>
      </c>
      <c r="E128" t="inlineStr">
        <is>
          <t>https://lpjk.pu.go.id/search-badan-usaha-detail/QWhsMVhEaTRvT3ZYczdrN1Z5ZkE2QT09</t>
        </is>
      </c>
      <c r="F128" t="n">
        <v>5</v>
      </c>
      <c r="G128" t="inlineStr">
        <is>
          <t>BG001, BG002, BG003, BG004, BG009</t>
        </is>
      </c>
      <c r="H128" t="inlineStr">
        <is>
          <t>9 September 2015</t>
        </is>
      </c>
      <c r="I128" s="2" t="n">
        <v>46195</v>
      </c>
      <c r="J128" t="inlineStr">
        <is>
          <t>Disetujui</t>
        </is>
      </c>
      <c r="K128" t="n">
        <v>30</v>
      </c>
      <c r="L128" t="inlineStr">
        <is>
          <t>22 Juni 2026</t>
        </is>
      </c>
      <c r="M128" t="inlineStr">
        <is>
          <t>Konstruksi Gedung Hunian, Konstruksi Gedung Industri, Konstruksi Gedung Lainnya, Konstruksi Gedung Perbelanjaan, Konstruksi Gedung Perkantoran</t>
        </is>
      </c>
      <c r="N128" t="inlineStr">
        <is>
          <t>K</t>
        </is>
      </c>
      <c r="O128" t="inlineStr">
        <is>
          <t>20230613, 20230623</t>
        </is>
      </c>
      <c r="P128" t="inlineStr">
        <is>
          <t>DKI Jakarta</t>
        </is>
      </c>
      <c r="Q128" t="inlineStr"/>
    </row>
    <row r="129">
      <c r="A129" t="inlineStr">
        <is>
          <t>MATABIRU INDONESIA</t>
        </is>
      </c>
      <c r="B129" t="inlineStr">
        <is>
          <t>Kab. Sidoarjo</t>
        </is>
      </c>
      <c r="C129" t="inlineStr">
        <is>
          <t>0318075579</t>
        </is>
      </c>
      <c r="D129" t="inlineStr">
        <is>
          <t>matabiru888@gmail.com</t>
        </is>
      </c>
      <c r="E129" t="inlineStr">
        <is>
          <t>https://lpjk.pu.go.id/search-badan-usaha-detail/OHo0MkNvRmhyNTZJeitvckxNS0dxQT09</t>
        </is>
      </c>
      <c r="F129" t="n">
        <v>1</v>
      </c>
      <c r="G129" t="inlineStr">
        <is>
          <t>BG003</t>
        </is>
      </c>
      <c r="H129" t="inlineStr">
        <is>
          <t>14 September 2012</t>
        </is>
      </c>
      <c r="I129" s="2" t="n">
        <v>46195</v>
      </c>
      <c r="J129" t="inlineStr">
        <is>
          <t>Disetujui</t>
        </is>
      </c>
      <c r="K129" t="n">
        <v>30</v>
      </c>
      <c r="L129" t="inlineStr">
        <is>
          <t>22 Juni 2026</t>
        </is>
      </c>
      <c r="M129" t="inlineStr">
        <is>
          <t>Konstruksi Gedung Industri</t>
        </is>
      </c>
      <c r="N129" t="inlineStr">
        <is>
          <t>K</t>
        </is>
      </c>
      <c r="O129" t="inlineStr">
        <is>
          <t>20230620</t>
        </is>
      </c>
      <c r="P129" t="inlineStr">
        <is>
          <t>Jawa Timur</t>
        </is>
      </c>
      <c r="Q129" t="inlineStr"/>
    </row>
    <row r="130">
      <c r="A130" t="inlineStr">
        <is>
          <t>MATAHARI RIAU BERJAYA</t>
        </is>
      </c>
      <c r="B130" t="inlineStr">
        <is>
          <t>Kota Pekanbaru</t>
        </is>
      </c>
      <c r="C130" t="inlineStr">
        <is>
          <t>081365914024</t>
        </is>
      </c>
      <c r="D130" t="inlineStr">
        <is>
          <t>cv.matahaririauberjaya@yahoo.com</t>
        </is>
      </c>
      <c r="E130" t="inlineStr">
        <is>
          <t>https://lpjk.pu.go.id/search-badan-usaha-detail/RUFYcEJpWHRjV25VSk02VTMwZVd6dz09</t>
        </is>
      </c>
      <c r="F130" t="n">
        <v>2</v>
      </c>
      <c r="G130" t="inlineStr">
        <is>
          <t>BS001</t>
        </is>
      </c>
      <c r="H130" t="inlineStr">
        <is>
          <t>21 Agustus 2014</t>
        </is>
      </c>
      <c r="I130" s="2" t="n">
        <v>46195</v>
      </c>
      <c r="J130" t="inlineStr">
        <is>
          <t>Disetujui</t>
        </is>
      </c>
      <c r="K130" t="n">
        <v>30</v>
      </c>
      <c r="L130" t="inlineStr">
        <is>
          <t>22 Juni 2026</t>
        </is>
      </c>
      <c r="M130" t="inlineStr">
        <is>
          <t>Konstruksi Bangunan Sipil Jalan</t>
        </is>
      </c>
      <c r="N130" t="inlineStr">
        <is>
          <t>K</t>
        </is>
      </c>
      <c r="O130" t="inlineStr">
        <is>
          <t>20230619</t>
        </is>
      </c>
      <c r="P130" t="inlineStr">
        <is>
          <t>Riau</t>
        </is>
      </c>
      <c r="Q130" t="inlineStr"/>
    </row>
    <row r="131">
      <c r="A131" t="inlineStr">
        <is>
          <t>MAXIMA SINERGI VISITEK</t>
        </is>
      </c>
      <c r="B131" t="inlineStr">
        <is>
          <t>Kota Adm. Jakarta Selatan</t>
        </is>
      </c>
      <c r="C131" t="inlineStr">
        <is>
          <t>02179193310</t>
        </is>
      </c>
      <c r="D131" t="inlineStr">
        <is>
          <t>maximasinergivisitek@gmail.com</t>
        </is>
      </c>
      <c r="E131" t="inlineStr">
        <is>
          <t>https://lpjk.pu.go.id/search-badan-usaha-detail/ck5vQVZZWGx3S09sdVphcWZwY095QT09</t>
        </is>
      </c>
      <c r="F131" t="n">
        <v>8</v>
      </c>
      <c r="G131" t="inlineStr">
        <is>
          <t>BG002, BG005, BG006, BG009</t>
        </is>
      </c>
      <c r="H131" t="inlineStr">
        <is>
          <t>4 September 2014</t>
        </is>
      </c>
      <c r="I131" s="2" t="n">
        <v>46195</v>
      </c>
      <c r="J131" t="inlineStr">
        <is>
          <t>Disetujui</t>
        </is>
      </c>
      <c r="K131" t="n">
        <v>30</v>
      </c>
      <c r="L131" t="inlineStr">
        <is>
          <t>22 Juni 2026</t>
        </is>
      </c>
      <c r="M131" t="inlineStr">
        <is>
          <t>Konstruksi Gedung Kesehatan, Konstruksi Gedung Lainnya, Konstruksi Gedung Pendidikan, Konstruksi Gedung Perkantoran</t>
        </is>
      </c>
      <c r="N131" t="inlineStr">
        <is>
          <t>K</t>
        </is>
      </c>
      <c r="O131" t="inlineStr">
        <is>
          <t>20230518, 20230519, 20230613</t>
        </is>
      </c>
      <c r="P131" t="inlineStr">
        <is>
          <t>DKI Jakarta</t>
        </is>
      </c>
      <c r="Q131" t="inlineStr"/>
    </row>
    <row r="132">
      <c r="A132" t="inlineStr">
        <is>
          <t>MEGA</t>
        </is>
      </c>
      <c r="B132" t="inlineStr">
        <is>
          <t>Kota Pariaman</t>
        </is>
      </c>
      <c r="C132" t="inlineStr">
        <is>
          <t>085263498914</t>
        </is>
      </c>
      <c r="D132" t="inlineStr">
        <is>
          <t>cvmega26@gmail.com</t>
        </is>
      </c>
      <c r="E132" t="inlineStr">
        <is>
          <t>https://lpjk.pu.go.id/search-badan-usaha-detail/VlpMNmsybWVTMU4rK1FhM3B2c0JkQT09</t>
        </is>
      </c>
      <c r="F132" t="n">
        <v>5</v>
      </c>
      <c r="G132" t="inlineStr">
        <is>
          <t>BG005, BG006, BG009, BS002, BS005</t>
        </is>
      </c>
      <c r="H132" t="inlineStr">
        <is>
          <t>19 Oktober 1992</t>
        </is>
      </c>
      <c r="I132" s="2" t="n">
        <v>46195</v>
      </c>
      <c r="J132" t="inlineStr">
        <is>
          <t>Pencabutan</t>
        </is>
      </c>
      <c r="K132" t="n">
        <v>30</v>
      </c>
      <c r="L132" t="inlineStr">
        <is>
          <t>22 Juni 2026</t>
        </is>
      </c>
      <c r="M132" t="inlineStr">
        <is>
          <t>Bangunan Sipil Jembatan, Jalan Layang, Fly Over, dan Underpass, Konstruksi Bangunan Sipil Pengolahan Air Bersih, Konstruksi Gedung Kesehatan, Konstruksi Gedung Lainnya, Konstruksi Gedung Pendidikan</t>
        </is>
      </c>
      <c r="N132" t="inlineStr">
        <is>
          <t>K</t>
        </is>
      </c>
      <c r="O132" t="inlineStr">
        <is>
          <t>20230622</t>
        </is>
      </c>
      <c r="P132" t="inlineStr">
        <is>
          <t>Sumatera Barat</t>
        </is>
      </c>
      <c r="Q132" t="inlineStr"/>
    </row>
    <row r="133">
      <c r="A133" t="inlineStr">
        <is>
          <t>MEGA BHAKTI KONSTRUKSI</t>
        </is>
      </c>
      <c r="B133" t="inlineStr">
        <is>
          <t>Kota Blitar</t>
        </is>
      </c>
      <c r="C133" t="inlineStr">
        <is>
          <t>085766776665</t>
        </is>
      </c>
      <c r="D133" t="inlineStr">
        <is>
          <t>megabhaktikonstruksi@yahoo.co.id</t>
        </is>
      </c>
      <c r="E133" t="inlineStr">
        <is>
          <t>https://lpjk.pu.go.id/search-badan-usaha-detail/dlgvNE5yNll5T1hpR25HTWVBS0E5UT09</t>
        </is>
      </c>
      <c r="F133" t="n">
        <v>2</v>
      </c>
      <c r="G133" t="inlineStr">
        <is>
          <t>BS001, BS004</t>
        </is>
      </c>
      <c r="H133" t="inlineStr">
        <is>
          <t>29 Januari 2010</t>
        </is>
      </c>
      <c r="I133" s="2" t="n">
        <v>46195</v>
      </c>
      <c r="J133" t="inlineStr">
        <is>
          <t>Disetujui</t>
        </is>
      </c>
      <c r="K133" t="n">
        <v>30</v>
      </c>
      <c r="L133" t="inlineStr">
        <is>
          <t>22 Juni 2026</t>
        </is>
      </c>
      <c r="M133" t="inlineStr">
        <is>
          <t>Konstruksi Bangunan Sipil Jalan, Konstruksi Jaringan Irigasi dan Drainase</t>
        </is>
      </c>
      <c r="N133" t="inlineStr">
        <is>
          <t>K</t>
        </is>
      </c>
      <c r="O133" t="inlineStr">
        <is>
          <t>20230622</t>
        </is>
      </c>
      <c r="P133" t="inlineStr">
        <is>
          <t>Jawa Timur</t>
        </is>
      </c>
      <c r="Q133" t="inlineStr"/>
    </row>
    <row r="134">
      <c r="A134" t="inlineStr">
        <is>
          <t>MEGA KARUNIA</t>
        </is>
      </c>
      <c r="B134" t="inlineStr">
        <is>
          <t>Kota Semarang</t>
        </is>
      </c>
      <c r="C134" t="inlineStr">
        <is>
          <t>082133815555</t>
        </is>
      </c>
      <c r="D134" t="inlineStr">
        <is>
          <t>megakaruniasiujk@gmail.com</t>
        </is>
      </c>
      <c r="E134" t="inlineStr">
        <is>
          <t>https://lpjk.pu.go.id/search-badan-usaha-detail/UmdranhvN2hpZjVDQWM0cjZJS0REUT09</t>
        </is>
      </c>
      <c r="F134" t="n">
        <v>2</v>
      </c>
      <c r="G134" t="inlineStr">
        <is>
          <t>BG006, BG009</t>
        </is>
      </c>
      <c r="H134" t="inlineStr">
        <is>
          <t>23 Oktober 2009</t>
        </is>
      </c>
      <c r="I134" s="2" t="n">
        <v>46195</v>
      </c>
      <c r="J134" t="inlineStr">
        <is>
          <t>Disetujui</t>
        </is>
      </c>
      <c r="K134" t="n">
        <v>30</v>
      </c>
      <c r="L134" t="inlineStr">
        <is>
          <t>22 Juni 2026</t>
        </is>
      </c>
      <c r="M134" t="inlineStr">
        <is>
          <t>Konstruksi Gedung Lainnya, Konstruksi Gedung Pendidikan</t>
        </is>
      </c>
      <c r="N134" t="inlineStr">
        <is>
          <t>K</t>
        </is>
      </c>
      <c r="O134" t="inlineStr">
        <is>
          <t>20230620</t>
        </is>
      </c>
      <c r="P134" t="inlineStr">
        <is>
          <t>Jawa Tengah</t>
        </is>
      </c>
      <c r="Q134" t="inlineStr"/>
    </row>
    <row r="135">
      <c r="A135" t="inlineStr">
        <is>
          <t>MENARA DIVA KARYA</t>
        </is>
      </c>
      <c r="B135" t="inlineStr">
        <is>
          <t>Kab. Pesisir Selatan</t>
        </is>
      </c>
      <c r="C135" t="inlineStr">
        <is>
          <t>08217447778</t>
        </is>
      </c>
      <c r="D135" t="inlineStr">
        <is>
          <t>cv.menaradiva@gmail.com</t>
        </is>
      </c>
      <c r="E135" t="inlineStr">
        <is>
          <t>https://lpjk.pu.go.id/search-badan-usaha-detail/SXhpNFd0MUloUWUwVHQ5Q3ZReXg3UT09</t>
        </is>
      </c>
      <c r="F135" t="n">
        <v>2</v>
      </c>
      <c r="G135" t="inlineStr">
        <is>
          <t>BG004, BG006</t>
        </is>
      </c>
      <c r="H135" t="inlineStr">
        <is>
          <t>15 Februari 2012</t>
        </is>
      </c>
      <c r="I135" s="2" t="n">
        <v>46195</v>
      </c>
      <c r="J135" t="inlineStr">
        <is>
          <t>Disetujui</t>
        </is>
      </c>
      <c r="K135" t="n">
        <v>30</v>
      </c>
      <c r="L135" t="inlineStr">
        <is>
          <t>22 Juni 2026</t>
        </is>
      </c>
      <c r="M135" t="inlineStr">
        <is>
          <t>Konstruksi Gedung Pendidikan, Konstruksi Gedung Perbelanjaan</t>
        </is>
      </c>
      <c r="N135" t="inlineStr">
        <is>
          <t>K</t>
        </is>
      </c>
      <c r="O135" t="inlineStr">
        <is>
          <t>20230623</t>
        </is>
      </c>
      <c r="P135" t="inlineStr">
        <is>
          <t>Sumatera Barat</t>
        </is>
      </c>
      <c r="Q135" t="inlineStr"/>
    </row>
    <row r="136">
      <c r="A136" t="inlineStr">
        <is>
          <t>METROPOLIS</t>
        </is>
      </c>
      <c r="B136" t="inlineStr">
        <is>
          <t>Kab. Situbondo</t>
        </is>
      </c>
      <c r="C136" t="inlineStr">
        <is>
          <t>085315561556</t>
        </is>
      </c>
      <c r="D136" t="inlineStr">
        <is>
          <t>cv.metropolis777@gmail.com</t>
        </is>
      </c>
      <c r="E136" t="inlineStr">
        <is>
          <t>https://lpjk.pu.go.id/search-badan-usaha-detail/T1MwcHhBL1dCUmVteDdZa3BaMzhsZz09</t>
        </is>
      </c>
      <c r="F136" t="n">
        <v>1</v>
      </c>
      <c r="G136" t="inlineStr">
        <is>
          <t>PB010</t>
        </is>
      </c>
      <c r="H136" t="inlineStr">
        <is>
          <t>23 April 2015</t>
        </is>
      </c>
      <c r="I136" s="2" t="n">
        <v>46195</v>
      </c>
      <c r="J136" t="inlineStr">
        <is>
          <t>Pencabutan</t>
        </is>
      </c>
      <c r="K136" t="n">
        <v>30</v>
      </c>
      <c r="L136" t="inlineStr">
        <is>
          <t>22 Juni 2026</t>
        </is>
      </c>
      <c r="M136" t="inlineStr">
        <is>
          <t>Pekerjaan Lanskap, Pertamanan, dan Penanaman Vegetasi</t>
        </is>
      </c>
      <c r="N136" t="inlineStr">
        <is>
          <t>Spesialis</t>
        </is>
      </c>
      <c r="O136" t="inlineStr">
        <is>
          <t>20230617</t>
        </is>
      </c>
      <c r="P136" t="inlineStr">
        <is>
          <t>Jawa Timur</t>
        </is>
      </c>
      <c r="Q136" t="inlineStr"/>
    </row>
    <row r="137">
      <c r="A137" t="inlineStr">
        <is>
          <t>MIRA PERDANA</t>
        </is>
      </c>
      <c r="B137" t="inlineStr">
        <is>
          <t>Kota Batam</t>
        </is>
      </c>
      <c r="C137" t="inlineStr">
        <is>
          <t>08127027792</t>
        </is>
      </c>
      <c r="D137" t="inlineStr">
        <is>
          <t>miraperdana72@gmail.com</t>
        </is>
      </c>
      <c r="E137" t="inlineStr">
        <is>
          <t>https://lpjk.pu.go.id/search-badan-usaha-detail/WTM2Ni9Yck9ncE5mRk9kZHVTSG5kUT09</t>
        </is>
      </c>
      <c r="F137" t="n">
        <v>1</v>
      </c>
      <c r="G137" t="inlineStr">
        <is>
          <t>BS001</t>
        </is>
      </c>
      <c r="H137" t="inlineStr">
        <is>
          <t>31 Mei 2000</t>
        </is>
      </c>
      <c r="I137" s="2" t="n">
        <v>46195</v>
      </c>
      <c r="J137" t="inlineStr">
        <is>
          <t>Disetujui</t>
        </is>
      </c>
      <c r="K137" t="n">
        <v>30</v>
      </c>
      <c r="L137" t="inlineStr">
        <is>
          <t>22 Juni 2026</t>
        </is>
      </c>
      <c r="M137" t="inlineStr">
        <is>
          <t>Konstruksi Bangunan Sipil Jalan</t>
        </is>
      </c>
      <c r="N137" t="inlineStr">
        <is>
          <t>K</t>
        </is>
      </c>
      <c r="O137" t="inlineStr">
        <is>
          <t>20230612</t>
        </is>
      </c>
      <c r="P137" t="inlineStr">
        <is>
          <t>Kepulauan Riau</t>
        </is>
      </c>
      <c r="Q137" t="inlineStr"/>
    </row>
    <row r="138">
      <c r="A138" t="inlineStr">
        <is>
          <t>MITRA ABADI</t>
        </is>
      </c>
      <c r="B138" t="inlineStr">
        <is>
          <t>Kab. Kutai Barat</t>
        </is>
      </c>
      <c r="C138" t="inlineStr">
        <is>
          <t>082254264001</t>
        </is>
      </c>
      <c r="D138" t="inlineStr">
        <is>
          <t>cv.mitra_abadi80@yahoo.com</t>
        </is>
      </c>
      <c r="E138" t="inlineStr">
        <is>
          <t>https://lpjk.pu.go.id/search-badan-usaha-detail/ZWNpYWZGc1llQXNrSkJGMGdqWlZEUT09</t>
        </is>
      </c>
      <c r="F138" t="n">
        <v>1</v>
      </c>
      <c r="G138" t="inlineStr">
        <is>
          <t>BG009</t>
        </is>
      </c>
      <c r="H138" t="inlineStr">
        <is>
          <t>23 Maret 2006</t>
        </is>
      </c>
      <c r="I138" s="2" t="n">
        <v>46195</v>
      </c>
      <c r="J138" t="inlineStr">
        <is>
          <t>Pencabutan</t>
        </is>
      </c>
      <c r="K138" t="n">
        <v>30</v>
      </c>
      <c r="L138" t="inlineStr">
        <is>
          <t>22 Juni 2026</t>
        </is>
      </c>
      <c r="M138" t="inlineStr">
        <is>
          <t>Konstruksi Gedung Lainnya</t>
        </is>
      </c>
      <c r="N138" t="inlineStr">
        <is>
          <t>K</t>
        </is>
      </c>
      <c r="O138" t="inlineStr">
        <is>
          <t>20230622</t>
        </is>
      </c>
      <c r="P138" t="inlineStr">
        <is>
          <t>Kalimantan Timur</t>
        </is>
      </c>
      <c r="Q138" t="inlineStr"/>
    </row>
    <row r="139">
      <c r="A139" t="inlineStr">
        <is>
          <t>MITRA HARAPAN KITA</t>
        </is>
      </c>
      <c r="B139" t="inlineStr">
        <is>
          <t>Kab. Halmahera Selatan</t>
        </is>
      </c>
      <c r="C139" t="inlineStr">
        <is>
          <t>081312364353</t>
        </is>
      </c>
      <c r="D139" t="inlineStr">
        <is>
          <t>cv.mitraharapankita@gmail.com</t>
        </is>
      </c>
      <c r="E139" t="inlineStr">
        <is>
          <t>https://lpjk.pu.go.id/search-badan-usaha-detail/WTQwVUIzRG9paFQyTHZXK3dnRjRJUT09</t>
        </is>
      </c>
      <c r="F139" t="n">
        <v>3</v>
      </c>
      <c r="G139" t="inlineStr">
        <is>
          <t>BG002, BG005, BG006</t>
        </is>
      </c>
      <c r="H139" t="inlineStr">
        <is>
          <t>6 Juni 2023</t>
        </is>
      </c>
      <c r="I139" s="2" t="n">
        <v>46195</v>
      </c>
      <c r="J139" t="inlineStr">
        <is>
          <t>Pencabutan</t>
        </is>
      </c>
      <c r="K139" t="n">
        <v>30</v>
      </c>
      <c r="L139" t="inlineStr">
        <is>
          <t>22 Juni 2026</t>
        </is>
      </c>
      <c r="M139" t="inlineStr">
        <is>
          <t>Konstruksi Gedung Kesehatan, Konstruksi Gedung Pendidikan, Konstruksi Gedung Perkantoran</t>
        </is>
      </c>
      <c r="N139" t="inlineStr">
        <is>
          <t>K</t>
        </is>
      </c>
      <c r="O139" t="inlineStr">
        <is>
          <t>20230623</t>
        </is>
      </c>
      <c r="P139" t="inlineStr">
        <is>
          <t>Maluku Utara</t>
        </is>
      </c>
      <c r="Q139" t="inlineStr"/>
    </row>
    <row r="140">
      <c r="A140" t="inlineStr">
        <is>
          <t>MITRA PERDANA</t>
        </is>
      </c>
      <c r="B140" t="inlineStr">
        <is>
          <t>Kab. Soppeng</t>
        </is>
      </c>
      <c r="C140" t="inlineStr">
        <is>
          <t>085255233232</t>
        </is>
      </c>
      <c r="D140" t="inlineStr">
        <is>
          <t>mitraperdana_cv@yahoo.com</t>
        </is>
      </c>
      <c r="E140" t="inlineStr">
        <is>
          <t>https://lpjk.pu.go.id/search-badan-usaha-detail/YS9CS0Z6WXdPY2o3ZU9wRy9pQjBlUT09</t>
        </is>
      </c>
      <c r="F140" t="n">
        <v>1</v>
      </c>
      <c r="G140" t="inlineStr">
        <is>
          <t>BG004</t>
        </is>
      </c>
      <c r="H140" t="inlineStr">
        <is>
          <t>27 Maret 2007</t>
        </is>
      </c>
      <c r="I140" s="2" t="n">
        <v>46195</v>
      </c>
      <c r="J140" t="inlineStr">
        <is>
          <t>Disetujui</t>
        </is>
      </c>
      <c r="K140" t="n">
        <v>30</v>
      </c>
      <c r="L140" t="inlineStr">
        <is>
          <t>22 Juni 2026</t>
        </is>
      </c>
      <c r="M140" t="inlineStr">
        <is>
          <t>Konstruksi Gedung Perbelanjaan</t>
        </is>
      </c>
      <c r="N140" t="inlineStr">
        <is>
          <t>K</t>
        </is>
      </c>
      <c r="O140" t="inlineStr">
        <is>
          <t>20230616</t>
        </is>
      </c>
      <c r="P140" t="inlineStr">
        <is>
          <t>Sulawesi Selatan</t>
        </is>
      </c>
      <c r="Q140" t="inlineStr"/>
    </row>
    <row r="141">
      <c r="A141" t="inlineStr">
        <is>
          <t>MITRA PUTRI SALJU</t>
        </is>
      </c>
      <c r="B141" t="inlineStr">
        <is>
          <t>Kab. Kapuas Hulu</t>
        </is>
      </c>
      <c r="C141" t="inlineStr">
        <is>
          <t>081350477977</t>
        </is>
      </c>
      <c r="D141" t="inlineStr">
        <is>
          <t>mps.psu@gmail.com</t>
        </is>
      </c>
      <c r="E141" t="inlineStr">
        <is>
          <t>https://lpjk.pu.go.id/search-badan-usaha-detail/aHNXSWdYQ1R5THhGRXJtRzNERjhMUT09</t>
        </is>
      </c>
      <c r="F141" t="n">
        <v>1</v>
      </c>
      <c r="G141" t="inlineStr">
        <is>
          <t>BS001</t>
        </is>
      </c>
      <c r="H141" t="inlineStr">
        <is>
          <t>27 Januari 2022</t>
        </is>
      </c>
      <c r="I141" s="2" t="n">
        <v>46195</v>
      </c>
      <c r="J141" t="inlineStr">
        <is>
          <t>Disetujui</t>
        </is>
      </c>
      <c r="K141" t="n">
        <v>30</v>
      </c>
      <c r="L141" t="inlineStr">
        <is>
          <t>22 Juni 2026</t>
        </is>
      </c>
      <c r="M141" t="inlineStr">
        <is>
          <t>Konstruksi Bangunan Sipil Jalan</t>
        </is>
      </c>
      <c r="N141" t="inlineStr">
        <is>
          <t>K</t>
        </is>
      </c>
      <c r="O141" t="inlineStr">
        <is>
          <t>20230609</t>
        </is>
      </c>
      <c r="P141" t="inlineStr">
        <is>
          <t>Kalimantan Barat</t>
        </is>
      </c>
      <c r="Q141" t="inlineStr"/>
    </row>
    <row r="142">
      <c r="A142" t="inlineStr">
        <is>
          <t>MITRARAHAYU KARYANUGRAHA</t>
        </is>
      </c>
      <c r="B142" t="inlineStr">
        <is>
          <t>Kota Serang</t>
        </is>
      </c>
      <c r="C142" t="inlineStr">
        <is>
          <t>087771110588</t>
        </is>
      </c>
      <c r="D142" t="inlineStr">
        <is>
          <t>hjkidppbanten@gmail.com</t>
        </is>
      </c>
      <c r="E142" t="inlineStr">
        <is>
          <t>https://lpjk.pu.go.id/search-badan-usaha-detail/Ukw5clAzS0NiZGQ0WUFVR09qVmVCZz09</t>
        </is>
      </c>
      <c r="F142" t="n">
        <v>1</v>
      </c>
      <c r="G142" t="inlineStr">
        <is>
          <t>BG001</t>
        </is>
      </c>
      <c r="H142" t="inlineStr">
        <is>
          <t>15 Mei 1992</t>
        </is>
      </c>
      <c r="I142" s="2" t="n">
        <v>46195</v>
      </c>
      <c r="J142" t="inlineStr">
        <is>
          <t>Disetujui</t>
        </is>
      </c>
      <c r="K142" t="n">
        <v>30</v>
      </c>
      <c r="L142" t="inlineStr">
        <is>
          <t>22 Juni 2026</t>
        </is>
      </c>
      <c r="M142" t="inlineStr">
        <is>
          <t>Konstruksi Gedung Hunian</t>
        </is>
      </c>
      <c r="N142" t="inlineStr">
        <is>
          <t>K</t>
        </is>
      </c>
      <c r="O142" t="inlineStr">
        <is>
          <t>20230609</t>
        </is>
      </c>
      <c r="P142" t="inlineStr">
        <is>
          <t>Banten</t>
        </is>
      </c>
      <c r="Q142" t="inlineStr"/>
    </row>
    <row r="143">
      <c r="A143" t="inlineStr">
        <is>
          <t>MUGI JAYA PUTRI</t>
        </is>
      </c>
      <c r="B143" t="inlineStr">
        <is>
          <t>Kab. Tangerang</t>
        </is>
      </c>
      <c r="C143" t="inlineStr">
        <is>
          <t>083890324562</t>
        </is>
      </c>
      <c r="D143" t="inlineStr">
        <is>
          <t>cv.mugijayaputri01@gmail.com</t>
        </is>
      </c>
      <c r="E143" t="inlineStr">
        <is>
          <t>https://lpjk.pu.go.id/search-badan-usaha-detail/SWQwUFJxRkFXdnhYS284UldrRWg2UT09</t>
        </is>
      </c>
      <c r="F143" t="n">
        <v>2</v>
      </c>
      <c r="G143" t="inlineStr">
        <is>
          <t>BG009, BS001</t>
        </is>
      </c>
      <c r="H143" t="inlineStr">
        <is>
          <t>15 Januari 2016</t>
        </is>
      </c>
      <c r="I143" s="2" t="n">
        <v>46195</v>
      </c>
      <c r="J143" t="inlineStr">
        <is>
          <t>Disetujui</t>
        </is>
      </c>
      <c r="K143" t="n">
        <v>30</v>
      </c>
      <c r="L143" t="inlineStr">
        <is>
          <t>22 Juni 2026</t>
        </is>
      </c>
      <c r="M143" t="inlineStr">
        <is>
          <t>Konstruksi Bangunan Sipil Jalan, Konstruksi Gedung Lainnya</t>
        </is>
      </c>
      <c r="N143" t="inlineStr">
        <is>
          <t>K</t>
        </is>
      </c>
      <c r="O143" t="inlineStr">
        <is>
          <t>20230616, 20230617</t>
        </is>
      </c>
      <c r="P143" t="inlineStr">
        <is>
          <t>Banten</t>
        </is>
      </c>
      <c r="Q143" t="inlineStr"/>
    </row>
    <row r="144">
      <c r="A144" t="inlineStr">
        <is>
          <t>MUHAMMAD BAGUS BINTANG MULIA</t>
        </is>
      </c>
      <c r="B144" t="inlineStr">
        <is>
          <t>Kab. Klaten</t>
        </is>
      </c>
      <c r="C144" t="inlineStr">
        <is>
          <t>08121508216</t>
        </is>
      </c>
      <c r="D144" t="inlineStr">
        <is>
          <t>cv_mbm@yahoo.co.id</t>
        </is>
      </c>
      <c r="E144" t="inlineStr">
        <is>
          <t>https://lpjk.pu.go.id/search-badan-usaha-detail/dEVRWldIOXk0eTdUaVR0U3VTd0Vtdz09</t>
        </is>
      </c>
      <c r="F144" t="n">
        <v>2</v>
      </c>
      <c r="G144" t="inlineStr">
        <is>
          <t>BG002, BG004</t>
        </is>
      </c>
      <c r="H144" t="inlineStr">
        <is>
          <t>5 November 2009</t>
        </is>
      </c>
      <c r="I144" s="2" t="n">
        <v>46195</v>
      </c>
      <c r="J144" t="inlineStr">
        <is>
          <t>Disetujui</t>
        </is>
      </c>
      <c r="K144" t="n">
        <v>30</v>
      </c>
      <c r="L144" t="inlineStr">
        <is>
          <t>22 Juni 2026</t>
        </is>
      </c>
      <c r="M144" t="inlineStr">
        <is>
          <t>Konstruksi Gedung Perbelanjaan, Konstruksi Gedung Perkantoran</t>
        </is>
      </c>
      <c r="N144" t="inlineStr">
        <is>
          <t>K</t>
        </is>
      </c>
      <c r="O144" t="inlineStr">
        <is>
          <t>20230610, 20230621</t>
        </is>
      </c>
      <c r="P144" t="inlineStr">
        <is>
          <t>Jawa Tengah</t>
        </is>
      </c>
      <c r="Q144" t="inlineStr"/>
    </row>
    <row r="145">
      <c r="A145" t="inlineStr">
        <is>
          <t>MULTI MECHANICAL DRIVE</t>
        </is>
      </c>
      <c r="B145" t="inlineStr">
        <is>
          <t>Kab. Deli Serdang</t>
        </is>
      </c>
      <c r="C145" t="inlineStr">
        <is>
          <t>085261107855</t>
        </is>
      </c>
      <c r="D145" t="inlineStr">
        <is>
          <t>multimechanicaldrivept@gmail.com</t>
        </is>
      </c>
      <c r="E145" t="inlineStr">
        <is>
          <t>https://lpjk.pu.go.id/search-badan-usaha-detail/VXpiZnJwZ3hWTVZnNXNsbkxHZmVsdz09</t>
        </is>
      </c>
      <c r="F145" t="n">
        <v>1</v>
      </c>
      <c r="G145" t="inlineStr">
        <is>
          <t>KP001</t>
        </is>
      </c>
      <c r="H145" t="inlineStr">
        <is>
          <t>25 Oktober 2011</t>
        </is>
      </c>
      <c r="I145" s="2" t="n">
        <v>46195</v>
      </c>
      <c r="J145" t="inlineStr">
        <is>
          <t>Disetujui</t>
        </is>
      </c>
      <c r="K145" t="n">
        <v>30</v>
      </c>
      <c r="L145" t="inlineStr">
        <is>
          <t>22 Juni 2026</t>
        </is>
      </c>
      <c r="M145" t="inlineStr">
        <is>
          <t>Pekerjaan Konstruksi Prapabrikasi Bangunan Gedung</t>
        </is>
      </c>
      <c r="N145" t="inlineStr">
        <is>
          <t>Spesialis</t>
        </is>
      </c>
      <c r="O145" t="inlineStr">
        <is>
          <t>20230620</t>
        </is>
      </c>
      <c r="P145" t="inlineStr">
        <is>
          <t>Sumatera Utara</t>
        </is>
      </c>
      <c r="Q145" t="inlineStr"/>
    </row>
    <row r="146">
      <c r="A146" t="inlineStr">
        <is>
          <t>MULTI TALENTA</t>
        </is>
      </c>
      <c r="B146" t="inlineStr">
        <is>
          <t>Kab. Manggarai Barat</t>
        </is>
      </c>
      <c r="C146" t="inlineStr">
        <is>
          <t>081238166459</t>
        </is>
      </c>
      <c r="D146" t="inlineStr">
        <is>
          <t>yustinusterang@gmail.com</t>
        </is>
      </c>
      <c r="E146" t="inlineStr">
        <is>
          <t>https://lpjk.pu.go.id/search-badan-usaha-detail/Tmo5U21NK3hhRmRFd0EvQmZhUWM0dz09</t>
        </is>
      </c>
      <c r="F146" t="n">
        <v>1</v>
      </c>
      <c r="G146" t="inlineStr">
        <is>
          <t>BG001</t>
        </is>
      </c>
      <c r="H146" t="inlineStr">
        <is>
          <t>30 Januari 2013</t>
        </is>
      </c>
      <c r="I146" s="2" t="n">
        <v>46195</v>
      </c>
      <c r="J146" t="inlineStr">
        <is>
          <t>Disetujui</t>
        </is>
      </c>
      <c r="K146" t="n">
        <v>30</v>
      </c>
      <c r="L146" t="inlineStr">
        <is>
          <t>22 Juni 2026</t>
        </is>
      </c>
      <c r="M146" t="inlineStr">
        <is>
          <t>Konstruksi Gedung Hunian</t>
        </is>
      </c>
      <c r="N146" t="inlineStr">
        <is>
          <t>K</t>
        </is>
      </c>
      <c r="O146" t="inlineStr">
        <is>
          <t>20230620</t>
        </is>
      </c>
      <c r="P146" t="inlineStr">
        <is>
          <t>Nusa Tenggara Timur</t>
        </is>
      </c>
      <c r="Q146" t="inlineStr"/>
    </row>
    <row r="147">
      <c r="A147" t="inlineStr">
        <is>
          <t>MULTI TEKNIK</t>
        </is>
      </c>
      <c r="B147" t="inlineStr">
        <is>
          <t>Kab. Lombok Tengah</t>
        </is>
      </c>
      <c r="C147" t="inlineStr">
        <is>
          <t>087862842204</t>
        </is>
      </c>
      <c r="D147" t="inlineStr">
        <is>
          <t>cvmultiteknik2023@gmail.com</t>
        </is>
      </c>
      <c r="E147" t="inlineStr">
        <is>
          <t>https://lpjk.pu.go.id/search-badan-usaha-detail/ZzhWcmRuYTA1UlZlVDYrcjk3ZmtKdz09</t>
        </is>
      </c>
      <c r="F147" t="n">
        <v>1</v>
      </c>
      <c r="G147" t="inlineStr">
        <is>
          <t>BS001</t>
        </is>
      </c>
      <c r="H147" t="inlineStr">
        <is>
          <t>11 Februari 2016</t>
        </is>
      </c>
      <c r="I147" s="2" t="n">
        <v>46195</v>
      </c>
      <c r="J147" t="inlineStr">
        <is>
          <t>Pencabutan</t>
        </is>
      </c>
      <c r="K147" t="n">
        <v>30</v>
      </c>
      <c r="L147" t="inlineStr">
        <is>
          <t>22 Juni 2026</t>
        </is>
      </c>
      <c r="M147" t="inlineStr">
        <is>
          <t>Konstruksi Bangunan Sipil Jalan</t>
        </is>
      </c>
      <c r="N147" t="inlineStr">
        <is>
          <t>K</t>
        </is>
      </c>
      <c r="O147" t="inlineStr">
        <is>
          <t>20230616</t>
        </is>
      </c>
      <c r="P147" t="inlineStr">
        <is>
          <t>Nusa Tenggara Barat</t>
        </is>
      </c>
      <c r="Q147" t="inlineStr"/>
    </row>
    <row r="148">
      <c r="A148" t="inlineStr">
        <is>
          <t>MULTI USAHA</t>
        </is>
      </c>
      <c r="B148" t="inlineStr">
        <is>
          <t>Kab. Blitar</t>
        </is>
      </c>
      <c r="C148" t="inlineStr">
        <is>
          <t>081332403080</t>
        </is>
      </c>
      <c r="D148" t="inlineStr">
        <is>
          <t>multiusahacv99@yahoo.com</t>
        </is>
      </c>
      <c r="E148" t="inlineStr">
        <is>
          <t>https://lpjk.pu.go.id/search-badan-usaha-detail/MFBRdDVydU45dUFvN3FOTS9NWUxyUT09</t>
        </is>
      </c>
      <c r="F148" t="n">
        <v>1</v>
      </c>
      <c r="G148" t="inlineStr">
        <is>
          <t>BS008</t>
        </is>
      </c>
      <c r="H148" t="inlineStr">
        <is>
          <t>25 Januari 2018</t>
        </is>
      </c>
      <c r="I148" s="2" t="n">
        <v>46195</v>
      </c>
      <c r="J148" t="inlineStr">
        <is>
          <t>Disetujui</t>
        </is>
      </c>
      <c r="K148" t="n">
        <v>30</v>
      </c>
      <c r="L148" t="inlineStr">
        <is>
          <t>22 Juni 2026</t>
        </is>
      </c>
      <c r="M148" t="inlineStr">
        <is>
          <t>Konstruksi Bangunan Sipil Telekomunikasi untuk Prasarana Transportasi</t>
        </is>
      </c>
      <c r="N148" t="inlineStr">
        <is>
          <t>K</t>
        </is>
      </c>
      <c r="O148" t="inlineStr">
        <is>
          <t>20230618</t>
        </is>
      </c>
      <c r="P148" t="inlineStr">
        <is>
          <t>Jawa Timur</t>
        </is>
      </c>
      <c r="Q148" t="inlineStr"/>
    </row>
    <row r="149">
      <c r="A149" t="inlineStr">
        <is>
          <t>MUSTIKA BANGUN ALAM</t>
        </is>
      </c>
      <c r="B149" t="inlineStr">
        <is>
          <t>Kota Tangerang Selatan</t>
        </is>
      </c>
      <c r="C149" t="inlineStr">
        <is>
          <t>02153161210</t>
        </is>
      </c>
      <c r="D149" t="inlineStr">
        <is>
          <t>mustikabangunalam17@gmail.com</t>
        </is>
      </c>
      <c r="E149" t="inlineStr">
        <is>
          <t>https://lpjk.pu.go.id/search-badan-usaha-detail/UDA5ZGpxT0tiNThjSUUyajl2c3Jndz09</t>
        </is>
      </c>
      <c r="F149" t="n">
        <v>4</v>
      </c>
      <c r="G149" t="inlineStr">
        <is>
          <t>BG002, BG004, BG006, BG007</t>
        </is>
      </c>
      <c r="H149" t="inlineStr">
        <is>
          <t>28 Mei 2014</t>
        </is>
      </c>
      <c r="I149" s="2" t="n">
        <v>46195</v>
      </c>
      <c r="J149" t="inlineStr">
        <is>
          <t>Disetujui, Pembekuan</t>
        </is>
      </c>
      <c r="K149" t="n">
        <v>30</v>
      </c>
      <c r="L149" t="inlineStr">
        <is>
          <t>22 Juni 2026</t>
        </is>
      </c>
      <c r="M149" t="inlineStr">
        <is>
          <t>Konstruksi Gedung Pendidikan, Konstruksi Gedung Penginapan, Konstruksi Gedung Perbelanjaan, Konstruksi Gedung Perkantoran</t>
        </is>
      </c>
      <c r="N149" t="inlineStr">
        <is>
          <t>K, M</t>
        </is>
      </c>
      <c r="O149" t="inlineStr">
        <is>
          <t>20230616, 20230617</t>
        </is>
      </c>
      <c r="P149" t="inlineStr">
        <is>
          <t>Banten</t>
        </is>
      </c>
      <c r="Q149" t="inlineStr"/>
    </row>
    <row r="150">
      <c r="A150" t="inlineStr">
        <is>
          <t>MUSTIKA EMPAT LIMA</t>
        </is>
      </c>
      <c r="B150" t="inlineStr">
        <is>
          <t>Kab. Lombok Barat</t>
        </is>
      </c>
      <c r="C150" t="inlineStr">
        <is>
          <t>082147222682</t>
        </is>
      </c>
      <c r="D150" t="inlineStr">
        <is>
          <t>mustikaempatlima@gmail.com</t>
        </is>
      </c>
      <c r="E150" t="inlineStr">
        <is>
          <t>https://lpjk.pu.go.id/search-badan-usaha-detail/b2hibDlPWW82NVVxR3dseEtqK3lHZz09</t>
        </is>
      </c>
      <c r="F150" t="n">
        <v>1</v>
      </c>
      <c r="G150" t="inlineStr">
        <is>
          <t>BG003</t>
        </is>
      </c>
      <c r="H150" t="inlineStr">
        <is>
          <t>23 Mei 2016</t>
        </is>
      </c>
      <c r="I150" s="2" t="n">
        <v>46195</v>
      </c>
      <c r="J150" t="inlineStr">
        <is>
          <t>Disetujui</t>
        </is>
      </c>
      <c r="K150" t="n">
        <v>30</v>
      </c>
      <c r="L150" t="inlineStr">
        <is>
          <t>22 Juni 2026</t>
        </is>
      </c>
      <c r="M150" t="inlineStr">
        <is>
          <t>Konstruksi Gedung Industri</t>
        </is>
      </c>
      <c r="N150" t="inlineStr">
        <is>
          <t>K</t>
        </is>
      </c>
      <c r="O150" t="inlineStr">
        <is>
          <t>20230622</t>
        </is>
      </c>
      <c r="P150" t="inlineStr">
        <is>
          <t>Nusa Tenggara Barat</t>
        </is>
      </c>
      <c r="Q150" t="inlineStr"/>
    </row>
    <row r="151">
      <c r="A151" t="inlineStr">
        <is>
          <t>MUSTIKA JAYA</t>
        </is>
      </c>
      <c r="B151" t="inlineStr">
        <is>
          <t>Kab. Kapuas Hulu</t>
        </is>
      </c>
      <c r="C151" t="inlineStr">
        <is>
          <t>081256260008</t>
        </is>
      </c>
      <c r="D151" t="inlineStr">
        <is>
          <t>cvmustikajaya1977@gmail.com</t>
        </is>
      </c>
      <c r="E151" t="inlineStr">
        <is>
          <t>https://lpjk.pu.go.id/search-badan-usaha-detail/ZVZIeWJOU0VyUHk5K3BPcklsQys0dz09</t>
        </is>
      </c>
      <c r="F151" t="n">
        <v>1</v>
      </c>
      <c r="G151" t="inlineStr">
        <is>
          <t>BG006</t>
        </is>
      </c>
      <c r="H151" t="inlineStr">
        <is>
          <t>22 April 2002</t>
        </is>
      </c>
      <c r="I151" s="2" t="n">
        <v>46195</v>
      </c>
      <c r="J151" t="inlineStr">
        <is>
          <t>Disetujui</t>
        </is>
      </c>
      <c r="K151" t="n">
        <v>30</v>
      </c>
      <c r="L151" t="inlineStr">
        <is>
          <t>22 Juni 2026</t>
        </is>
      </c>
      <c r="M151" t="inlineStr">
        <is>
          <t>Konstruksi Gedung Pendidikan</t>
        </is>
      </c>
      <c r="N151" t="inlineStr">
        <is>
          <t>K</t>
        </is>
      </c>
      <c r="O151" t="inlineStr">
        <is>
          <t>20230613</t>
        </is>
      </c>
      <c r="P151" t="inlineStr">
        <is>
          <t>Kalimantan Barat</t>
        </is>
      </c>
      <c r="Q151" t="inlineStr"/>
    </row>
    <row r="152">
      <c r="A152" t="inlineStr">
        <is>
          <t>NABIL</t>
        </is>
      </c>
      <c r="B152" t="inlineStr">
        <is>
          <t>Kab. Tasikmalaya</t>
        </is>
      </c>
      <c r="C152" t="inlineStr">
        <is>
          <t>082320814219</t>
        </is>
      </c>
      <c r="D152" t="inlineStr">
        <is>
          <t>cvnabil2020@gmail.com</t>
        </is>
      </c>
      <c r="E152" t="inlineStr">
        <is>
          <t>https://lpjk.pu.go.id/search-badan-usaha-detail/dUdpaVJKTTkya1FMVXRTMUtubit5dz09</t>
        </is>
      </c>
      <c r="F152" t="n">
        <v>1</v>
      </c>
      <c r="G152" t="inlineStr">
        <is>
          <t>BG005</t>
        </is>
      </c>
      <c r="H152" t="inlineStr">
        <is>
          <t>19 Agustus 2016</t>
        </is>
      </c>
      <c r="I152" s="2" t="n">
        <v>46195</v>
      </c>
      <c r="J152" t="inlineStr">
        <is>
          <t>Disetujui</t>
        </is>
      </c>
      <c r="K152" t="n">
        <v>30</v>
      </c>
      <c r="L152" t="inlineStr">
        <is>
          <t>22 Juni 2026</t>
        </is>
      </c>
      <c r="M152" t="inlineStr">
        <is>
          <t>Konstruksi Gedung Kesehatan</t>
        </is>
      </c>
      <c r="N152" t="inlineStr">
        <is>
          <t>K</t>
        </is>
      </c>
      <c r="O152" t="inlineStr">
        <is>
          <t>20230617</t>
        </is>
      </c>
      <c r="P152" t="inlineStr">
        <is>
          <t>Jawa Barat</t>
        </is>
      </c>
      <c r="Q152" t="inlineStr"/>
    </row>
    <row r="153">
      <c r="A153" t="inlineStr">
        <is>
          <t>NAFAS BERKAH ABADI</t>
        </is>
      </c>
      <c r="B153" t="inlineStr">
        <is>
          <t>Kota Cilegon</t>
        </is>
      </c>
      <c r="C153" t="inlineStr">
        <is>
          <t>0254382976</t>
        </is>
      </c>
      <c r="D153" t="inlineStr">
        <is>
          <t>nafasberkahabadi@gmail.com</t>
        </is>
      </c>
      <c r="E153" t="inlineStr">
        <is>
          <t>https://lpjk.pu.go.id/search-badan-usaha-detail/TDc3eWdOcVlpYzFDeHJ2Y1g1YUNSZz09</t>
        </is>
      </c>
      <c r="F153" t="n">
        <v>1</v>
      </c>
      <c r="G153" t="inlineStr">
        <is>
          <t>BG009</t>
        </is>
      </c>
      <c r="H153" t="inlineStr">
        <is>
          <t>18 Januari 2023</t>
        </is>
      </c>
      <c r="I153" s="2" t="n">
        <v>46195</v>
      </c>
      <c r="J153" t="inlineStr">
        <is>
          <t>Disetujui</t>
        </is>
      </c>
      <c r="K153" t="n">
        <v>30</v>
      </c>
      <c r="L153" t="inlineStr">
        <is>
          <t>22 Juni 2026</t>
        </is>
      </c>
      <c r="M153" t="inlineStr">
        <is>
          <t>Konstruksi Gedung Lainnya</t>
        </is>
      </c>
      <c r="N153" t="inlineStr">
        <is>
          <t>K</t>
        </is>
      </c>
      <c r="O153" t="inlineStr">
        <is>
          <t>20230621</t>
        </is>
      </c>
      <c r="P153" t="inlineStr">
        <is>
          <t>Banten</t>
        </is>
      </c>
      <c r="Q153" t="inlineStr"/>
    </row>
    <row r="154">
      <c r="A154" t="inlineStr">
        <is>
          <t>NAVA ANUGERAH</t>
        </is>
      </c>
      <c r="B154" t="inlineStr">
        <is>
          <t>Kab. Bandung</t>
        </is>
      </c>
      <c r="C154" t="inlineStr">
        <is>
          <t>-</t>
        </is>
      </c>
      <c r="D154" t="inlineStr">
        <is>
          <t>navaanugerah@gmail.com</t>
        </is>
      </c>
      <c r="E154" t="inlineStr">
        <is>
          <t>https://lpjk.pu.go.id/search-badan-usaha-detail/bnJzK3cyOFlTZ0RYcW45RGl3bktGUT09</t>
        </is>
      </c>
      <c r="F154" t="n">
        <v>1</v>
      </c>
      <c r="G154" t="inlineStr">
        <is>
          <t>BG009</t>
        </is>
      </c>
      <c r="H154" t="inlineStr">
        <is>
          <t>22 November 2016</t>
        </is>
      </c>
      <c r="I154" s="2" t="n">
        <v>46195</v>
      </c>
      <c r="J154" t="inlineStr">
        <is>
          <t>Disetujui</t>
        </is>
      </c>
      <c r="K154" t="n">
        <v>30</v>
      </c>
      <c r="L154" t="inlineStr">
        <is>
          <t>22 Juni 2026</t>
        </is>
      </c>
      <c r="M154" t="inlineStr">
        <is>
          <t>Konstruksi Gedung Lainnya</t>
        </is>
      </c>
      <c r="N154" t="inlineStr">
        <is>
          <t>K</t>
        </is>
      </c>
      <c r="O154" t="inlineStr">
        <is>
          <t>20230623</t>
        </is>
      </c>
      <c r="P154" t="inlineStr">
        <is>
          <t>Jawa Barat</t>
        </is>
      </c>
      <c r="Q154" t="inlineStr"/>
    </row>
    <row r="155">
      <c r="A155" t="inlineStr">
        <is>
          <t>NAWASENA RAFFLESIA KONSTRUKSI</t>
        </is>
      </c>
      <c r="B155" t="inlineStr">
        <is>
          <t>Kota Bengkulu</t>
        </is>
      </c>
      <c r="C155" t="inlineStr">
        <is>
          <t>082345594904</t>
        </is>
      </c>
      <c r="D155" t="inlineStr">
        <is>
          <t>nawasenarafflesia@gmail.com</t>
        </is>
      </c>
      <c r="E155" t="inlineStr">
        <is>
          <t>https://lpjk.pu.go.id/search-badan-usaha-detail/clZNdUhZZVR2VGI1RWdrMS9YMWtBUT09</t>
        </is>
      </c>
      <c r="F155" t="n">
        <v>2</v>
      </c>
      <c r="G155" t="inlineStr">
        <is>
          <t>BG006</t>
        </is>
      </c>
      <c r="H155" t="inlineStr">
        <is>
          <t>13 Februari 2023</t>
        </is>
      </c>
      <c r="I155" s="2" t="n">
        <v>46195</v>
      </c>
      <c r="J155" t="inlineStr">
        <is>
          <t>Disetujui</t>
        </is>
      </c>
      <c r="K155" t="n">
        <v>30</v>
      </c>
      <c r="L155" t="inlineStr">
        <is>
          <t>22 Juni 2026</t>
        </is>
      </c>
      <c r="M155" t="inlineStr">
        <is>
          <t>Konstruksi Gedung Pendidikan</t>
        </is>
      </c>
      <c r="N155" t="inlineStr">
        <is>
          <t>K</t>
        </is>
      </c>
      <c r="O155" t="inlineStr">
        <is>
          <t>20230621</t>
        </is>
      </c>
      <c r="P155" t="inlineStr">
        <is>
          <t>Bengkulu</t>
        </is>
      </c>
      <c r="Q155" t="inlineStr"/>
    </row>
    <row r="156">
      <c r="A156" t="inlineStr">
        <is>
          <t>NIZAR</t>
        </is>
      </c>
      <c r="B156" t="inlineStr">
        <is>
          <t>Kab. Jember</t>
        </is>
      </c>
      <c r="C156" t="inlineStr">
        <is>
          <t>082234849874</t>
        </is>
      </c>
      <c r="D156" t="inlineStr">
        <is>
          <t>nizarjbr99@gmail.com</t>
        </is>
      </c>
      <c r="E156" t="inlineStr">
        <is>
          <t>https://lpjk.pu.go.id/search-badan-usaha-detail/MWtONHR6K0lhVTZWUmk1N1lBYmVMZz09</t>
        </is>
      </c>
      <c r="F156" t="n">
        <v>1</v>
      </c>
      <c r="G156" t="inlineStr">
        <is>
          <t>BG009</t>
        </is>
      </c>
      <c r="H156" t="inlineStr">
        <is>
          <t>9 Februari 2016</t>
        </is>
      </c>
      <c r="I156" s="2" t="n">
        <v>46195</v>
      </c>
      <c r="J156" t="inlineStr">
        <is>
          <t>Disetujui</t>
        </is>
      </c>
      <c r="K156" t="n">
        <v>30</v>
      </c>
      <c r="L156" t="inlineStr">
        <is>
          <t>22 Juni 2026</t>
        </is>
      </c>
      <c r="M156" t="inlineStr">
        <is>
          <t>Konstruksi Gedung Lainnya</t>
        </is>
      </c>
      <c r="N156" t="inlineStr">
        <is>
          <t>K</t>
        </is>
      </c>
      <c r="O156" t="inlineStr">
        <is>
          <t>20230620</t>
        </is>
      </c>
      <c r="P156" t="inlineStr">
        <is>
          <t>Jawa Timur</t>
        </is>
      </c>
      <c r="Q156" t="inlineStr"/>
    </row>
    <row r="157">
      <c r="A157" t="inlineStr">
        <is>
          <t>NURUL HIKMAH</t>
        </is>
      </c>
      <c r="B157" t="inlineStr">
        <is>
          <t>Kota Makassar</t>
        </is>
      </c>
      <c r="C157" t="inlineStr">
        <is>
          <t>081242700098</t>
        </is>
      </c>
      <c r="D157" t="inlineStr">
        <is>
          <t>armanhs60@yahoo.co.id</t>
        </is>
      </c>
      <c r="E157" t="inlineStr">
        <is>
          <t>https://lpjk.pu.go.id/search-badan-usaha-detail/UEpFZk1jbCtQTTdPZHdaVjlJcm00UT09</t>
        </is>
      </c>
      <c r="F157" t="n">
        <v>1</v>
      </c>
      <c r="G157" t="inlineStr">
        <is>
          <t>BG009</t>
        </is>
      </c>
      <c r="H157" t="inlineStr">
        <is>
          <t>22 Oktober 2002</t>
        </is>
      </c>
      <c r="I157" s="2" t="n">
        <v>46195</v>
      </c>
      <c r="J157" t="inlineStr">
        <is>
          <t>Pencabutan</t>
        </is>
      </c>
      <c r="K157" t="n">
        <v>30</v>
      </c>
      <c r="L157" t="inlineStr">
        <is>
          <t>22 Juni 2026</t>
        </is>
      </c>
      <c r="M157" t="inlineStr">
        <is>
          <t>Konstruksi Gedung Lainnya</t>
        </is>
      </c>
      <c r="N157" t="inlineStr">
        <is>
          <t>K</t>
        </is>
      </c>
      <c r="O157" t="inlineStr">
        <is>
          <t>20230622</t>
        </is>
      </c>
      <c r="P157" t="inlineStr">
        <is>
          <t>Sulawesi Selatan</t>
        </is>
      </c>
      <c r="Q157" t="inlineStr"/>
    </row>
    <row r="158">
      <c r="A158" t="inlineStr">
        <is>
          <t>OPTIMA A-Z CONSULTING</t>
        </is>
      </c>
      <c r="B158" t="inlineStr">
        <is>
          <t>Kota Blitar</t>
        </is>
      </c>
      <c r="C158" t="inlineStr">
        <is>
          <t>081252728747</t>
        </is>
      </c>
      <c r="D158" t="inlineStr">
        <is>
          <t>cv.optima5758@gmail.com</t>
        </is>
      </c>
      <c r="E158" t="inlineStr">
        <is>
          <t>https://lpjk.pu.go.id/search-badan-usaha-detail/R2NBcy9QdHJpbzFHN3I0aGNQVGVPZz09</t>
        </is>
      </c>
      <c r="F158" t="n">
        <v>2</v>
      </c>
      <c r="G158" t="inlineStr">
        <is>
          <t>RK001, RK003</t>
        </is>
      </c>
      <c r="H158" t="inlineStr">
        <is>
          <t>31 Mei 2021</t>
        </is>
      </c>
      <c r="I158" s="2" t="n">
        <v>46195</v>
      </c>
      <c r="J158" t="inlineStr">
        <is>
          <t>Disetujui</t>
        </is>
      </c>
      <c r="K158" t="n">
        <v>30</v>
      </c>
      <c r="L158" t="inlineStr">
        <is>
          <t>22 Juni 2026</t>
        </is>
      </c>
      <c r="M158" t="inlineStr">
        <is>
          <t>Jasa Rekayasa Konstruksi Bangunan Gedung Hunian dan Non Hunian, Jasa Rekayasa Pekerjaan Teknik Sipil Transportasi</t>
        </is>
      </c>
      <c r="N158" t="inlineStr">
        <is>
          <t>K</t>
        </is>
      </c>
      <c r="O158" t="inlineStr">
        <is>
          <t>20230619, 20230620</t>
        </is>
      </c>
      <c r="P158" t="inlineStr">
        <is>
          <t>Jawa Timur</t>
        </is>
      </c>
      <c r="Q158" t="inlineStr"/>
    </row>
    <row r="159">
      <c r="A159" t="inlineStr">
        <is>
          <t>PANDAWA TIGA PERDANA</t>
        </is>
      </c>
      <c r="B159" t="inlineStr">
        <is>
          <t>Kab. Garut</t>
        </is>
      </c>
      <c r="C159" t="inlineStr">
        <is>
          <t>081573330313</t>
        </is>
      </c>
      <c r="D159" t="inlineStr">
        <is>
          <t>pandawatigaperdana@gmail.com</t>
        </is>
      </c>
      <c r="E159" t="inlineStr">
        <is>
          <t>https://lpjk.pu.go.id/search-badan-usaha-detail/T3p1ekZuR1lIZjFNWHFIY25XbGg4dz09</t>
        </is>
      </c>
      <c r="F159" t="n">
        <v>2</v>
      </c>
      <c r="G159" t="inlineStr">
        <is>
          <t>BG006</t>
        </is>
      </c>
      <c r="H159" t="inlineStr">
        <is>
          <t>13 Maret 2023</t>
        </is>
      </c>
      <c r="I159" s="2" t="n">
        <v>46195</v>
      </c>
      <c r="J159" t="inlineStr">
        <is>
          <t>Pencabutan</t>
        </is>
      </c>
      <c r="K159" t="n">
        <v>30</v>
      </c>
      <c r="L159" t="inlineStr">
        <is>
          <t>22 Juni 2026</t>
        </is>
      </c>
      <c r="M159" t="inlineStr">
        <is>
          <t>Konstruksi Gedung Pendidikan</t>
        </is>
      </c>
      <c r="N159" t="inlineStr">
        <is>
          <t>K</t>
        </is>
      </c>
      <c r="O159" t="inlineStr">
        <is>
          <t>20230619</t>
        </is>
      </c>
      <c r="P159" t="inlineStr">
        <is>
          <t>Jawa Barat</t>
        </is>
      </c>
      <c r="Q159" t="inlineStr"/>
    </row>
    <row r="160">
      <c r="A160" t="inlineStr">
        <is>
          <t>PANORAMA CAHAYA KONSTRUKSI</t>
        </is>
      </c>
      <c r="B160" t="inlineStr">
        <is>
          <t>Kota Batam</t>
        </is>
      </c>
      <c r="C160" t="inlineStr">
        <is>
          <t>081270001986</t>
        </is>
      </c>
      <c r="D160" t="inlineStr">
        <is>
          <t>pt.panoramacahayakonstruksi@gmail.com</t>
        </is>
      </c>
      <c r="E160" t="inlineStr">
        <is>
          <t>https://lpjk.pu.go.id/search-badan-usaha-detail/d2wyNUVwYTd2MkplYU5XN0gxWWlDQT09</t>
        </is>
      </c>
      <c r="F160" t="n">
        <v>5</v>
      </c>
      <c r="G160" t="inlineStr">
        <is>
          <t>BG001, BG003, BG004, BG006, BG009</t>
        </is>
      </c>
      <c r="H160" t="inlineStr">
        <is>
          <t>24 Mei 2023</t>
        </is>
      </c>
      <c r="I160" s="2" t="n">
        <v>46195</v>
      </c>
      <c r="J160" t="inlineStr">
        <is>
          <t>Pencabutan</t>
        </is>
      </c>
      <c r="K160" t="n">
        <v>30</v>
      </c>
      <c r="L160" t="inlineStr">
        <is>
          <t>22 Juni 2026</t>
        </is>
      </c>
      <c r="M160" t="inlineStr">
        <is>
          <t>Konstruksi Gedung Hunian, Konstruksi Gedung Industri, Konstruksi Gedung Lainnya, Konstruksi Gedung Pendidikan, Konstruksi Gedung Perbelanjaan</t>
        </is>
      </c>
      <c r="N160" t="inlineStr">
        <is>
          <t>K</t>
        </is>
      </c>
      <c r="O160" t="inlineStr">
        <is>
          <t>20230620</t>
        </is>
      </c>
      <c r="P160" t="inlineStr">
        <is>
          <t>Kepulauan Riau</t>
        </is>
      </c>
      <c r="Q160" t="inlineStr"/>
    </row>
    <row r="161">
      <c r="A161" t="inlineStr">
        <is>
          <t>PERMATA</t>
        </is>
      </c>
      <c r="B161" t="inlineStr">
        <is>
          <t>Kab. Bengkulu Utara</t>
        </is>
      </c>
      <c r="C161" t="inlineStr">
        <is>
          <t>085273857770</t>
        </is>
      </c>
      <c r="D161" t="inlineStr">
        <is>
          <t>cvpermata2023@gmail.com</t>
        </is>
      </c>
      <c r="E161" t="inlineStr">
        <is>
          <t>https://lpjk.pu.go.id/search-badan-usaha-detail/LzlzUWx5ZHByQ1Fnc00rNCtMRnppUT09</t>
        </is>
      </c>
      <c r="F161" t="n">
        <v>1</v>
      </c>
      <c r="G161" t="inlineStr">
        <is>
          <t>BG006</t>
        </is>
      </c>
      <c r="H161" t="inlineStr">
        <is>
          <t>10 April 2013</t>
        </is>
      </c>
      <c r="I161" s="2" t="n">
        <v>46195</v>
      </c>
      <c r="J161" t="inlineStr">
        <is>
          <t>Konfirmasi Pembayaran</t>
        </is>
      </c>
      <c r="K161" t="n">
        <v>30</v>
      </c>
      <c r="L161" t="inlineStr">
        <is>
          <t>22 Juni 2026</t>
        </is>
      </c>
      <c r="M161" t="inlineStr">
        <is>
          <t>Konstruksi Gedung Pendidikan</t>
        </is>
      </c>
      <c r="N161" t="inlineStr">
        <is>
          <t>K</t>
        </is>
      </c>
      <c r="O161" t="inlineStr">
        <is>
          <t>20230616</t>
        </is>
      </c>
      <c r="P161" t="inlineStr">
        <is>
          <t>Bengkulu</t>
        </is>
      </c>
      <c r="Q161" t="inlineStr"/>
    </row>
    <row r="162">
      <c r="A162" t="inlineStr">
        <is>
          <t>PERMATA SARI</t>
        </is>
      </c>
      <c r="B162" t="inlineStr">
        <is>
          <t>Kota Banjarmasin</t>
        </is>
      </c>
      <c r="C162" t="inlineStr">
        <is>
          <t>08125064537</t>
        </is>
      </c>
      <c r="D162" t="inlineStr">
        <is>
          <t>selvy0123@gmail.com</t>
        </is>
      </c>
      <c r="E162" t="inlineStr">
        <is>
          <t>https://lpjk.pu.go.id/search-badan-usaha-detail/SXBYdmx4cHZrWmtSR2tCcXdJQ2ZCQT09</t>
        </is>
      </c>
      <c r="F162" t="n">
        <v>1</v>
      </c>
      <c r="G162" t="inlineStr">
        <is>
          <t>BG005</t>
        </is>
      </c>
      <c r="H162" t="inlineStr">
        <is>
          <t>25 Januari 2001</t>
        </is>
      </c>
      <c r="I162" s="2" t="n">
        <v>46195</v>
      </c>
      <c r="J162" t="inlineStr">
        <is>
          <t>Disetujui</t>
        </is>
      </c>
      <c r="K162" t="n">
        <v>30</v>
      </c>
      <c r="L162" t="inlineStr">
        <is>
          <t>22 Juni 2026</t>
        </is>
      </c>
      <c r="M162" t="inlineStr">
        <is>
          <t>Konstruksi Gedung Kesehatan</t>
        </is>
      </c>
      <c r="N162" t="inlineStr">
        <is>
          <t>K</t>
        </is>
      </c>
      <c r="O162" t="inlineStr">
        <is>
          <t>20230619</t>
        </is>
      </c>
      <c r="P162" t="inlineStr">
        <is>
          <t>Kalimantan Selatan</t>
        </is>
      </c>
      <c r="Q162" t="inlineStr"/>
    </row>
    <row r="163">
      <c r="A163" t="inlineStr">
        <is>
          <t>PESONA NUSANTARA SUKSES</t>
        </is>
      </c>
      <c r="B163" t="inlineStr">
        <is>
          <t>Kota Kendari</t>
        </is>
      </c>
      <c r="C163" t="inlineStr">
        <is>
          <t>082291234585</t>
        </is>
      </c>
      <c r="D163" t="inlineStr">
        <is>
          <t>pesonanusantarasukses@gmail.com</t>
        </is>
      </c>
      <c r="E163" t="inlineStr">
        <is>
          <t>https://lpjk.pu.go.id/search-badan-usaha-detail/RzFESW5wcHBtL0p2dTFtbEowejNLdz09</t>
        </is>
      </c>
      <c r="F163" t="n">
        <v>3</v>
      </c>
      <c r="G163" t="inlineStr">
        <is>
          <t>BG008, BS001, BS004</t>
        </is>
      </c>
      <c r="H163" t="inlineStr">
        <is>
          <t>17 Juli 2020</t>
        </is>
      </c>
      <c r="I163" s="2" t="n">
        <v>46195</v>
      </c>
      <c r="J163" t="inlineStr">
        <is>
          <t>Disetujui</t>
        </is>
      </c>
      <c r="K163" t="n">
        <v>30</v>
      </c>
      <c r="L163" t="inlineStr">
        <is>
          <t>22 Juni 2026</t>
        </is>
      </c>
      <c r="M163" t="inlineStr">
        <is>
          <t>Konstruksi Bangunan Sipil Jalan, Konstruksi Gedung Tempat Hiburan dan Olahraga, Konstruksi Jaringan Irigasi dan Drainase</t>
        </is>
      </c>
      <c r="N163" t="inlineStr">
        <is>
          <t>K</t>
        </is>
      </c>
      <c r="O163" t="inlineStr">
        <is>
          <t>20230620</t>
        </is>
      </c>
      <c r="P163" t="inlineStr">
        <is>
          <t>Sulawesi Tenggara</t>
        </is>
      </c>
      <c r="Q163" t="inlineStr"/>
    </row>
    <row r="164">
      <c r="A164" t="inlineStr">
        <is>
          <t>PRATAMA CHATUR TEE</t>
        </is>
      </c>
      <c r="B164" t="inlineStr">
        <is>
          <t>Kota Surabaya</t>
        </is>
      </c>
      <c r="C164" t="inlineStr">
        <is>
          <t>0317664307</t>
        </is>
      </c>
      <c r="D164" t="inlineStr">
        <is>
          <t>cvpratama33@gmail.com</t>
        </is>
      </c>
      <c r="E164" t="inlineStr">
        <is>
          <t>https://lpjk.pu.go.id/search-badan-usaha-detail/R3Z2WlFIZWZaUmV0NXM0TVppSnNSdz09</t>
        </is>
      </c>
      <c r="F164" t="n">
        <v>1</v>
      </c>
      <c r="G164" t="inlineStr">
        <is>
          <t>BG001</t>
        </is>
      </c>
      <c r="H164" t="inlineStr">
        <is>
          <t>5 April 2007</t>
        </is>
      </c>
      <c r="I164" s="2" t="n">
        <v>46195</v>
      </c>
      <c r="J164" t="inlineStr">
        <is>
          <t>Disetujui</t>
        </is>
      </c>
      <c r="K164" t="n">
        <v>30</v>
      </c>
      <c r="L164" t="inlineStr">
        <is>
          <t>22 Juni 2026</t>
        </is>
      </c>
      <c r="M164" t="inlineStr">
        <is>
          <t>Konstruksi Gedung Hunian</t>
        </is>
      </c>
      <c r="N164" t="inlineStr">
        <is>
          <t>K</t>
        </is>
      </c>
      <c r="O164" t="inlineStr">
        <is>
          <t>20230616</t>
        </is>
      </c>
      <c r="P164" t="inlineStr">
        <is>
          <t>Jawa Timur</t>
        </is>
      </c>
      <c r="Q164" t="inlineStr"/>
    </row>
    <row r="165">
      <c r="A165" t="inlineStr">
        <is>
          <t>PRIMA MANDIRI UTAMA</t>
        </is>
      </c>
      <c r="B165" t="inlineStr">
        <is>
          <t>Kota Pangkal Pinang</t>
        </is>
      </c>
      <c r="C165" t="inlineStr">
        <is>
          <t>082372299542</t>
        </is>
      </c>
      <c r="D165" t="inlineStr">
        <is>
          <t>primamandiri789@gmail.com</t>
        </is>
      </c>
      <c r="E165" t="inlineStr">
        <is>
          <t>https://lpjk.pu.go.id/search-badan-usaha-detail/Z0NGZVZLSXpRRGZyOUZiSitJVjh5dz09</t>
        </is>
      </c>
      <c r="F165" t="n">
        <v>2</v>
      </c>
      <c r="G165" t="inlineStr">
        <is>
          <t>BG002, BG009</t>
        </is>
      </c>
      <c r="H165" t="inlineStr">
        <is>
          <t>17 Maret 1994</t>
        </is>
      </c>
      <c r="I165" s="2" t="n">
        <v>46195</v>
      </c>
      <c r="J165" t="inlineStr">
        <is>
          <t>Disetujui</t>
        </is>
      </c>
      <c r="K165" t="n">
        <v>30</v>
      </c>
      <c r="L165" t="inlineStr">
        <is>
          <t>22 Juni 2026</t>
        </is>
      </c>
      <c r="M165" t="inlineStr">
        <is>
          <t>Konstruksi Gedung Lainnya, Konstruksi Gedung Perkantoran</t>
        </is>
      </c>
      <c r="N165" t="inlineStr">
        <is>
          <t>K</t>
        </is>
      </c>
      <c r="O165" t="inlineStr">
        <is>
          <t>20230622, 20230623</t>
        </is>
      </c>
      <c r="P165" t="inlineStr">
        <is>
          <t>Kepulauan Bangka Belitung</t>
        </is>
      </c>
      <c r="Q165" t="inlineStr"/>
    </row>
    <row r="166">
      <c r="A166" t="inlineStr">
        <is>
          <t>PRISMA ARCHI</t>
        </is>
      </c>
      <c r="B166" t="inlineStr">
        <is>
          <t>Kota Kendari</t>
        </is>
      </c>
      <c r="C166" t="inlineStr">
        <is>
          <t>082154400909</t>
        </is>
      </c>
      <c r="D166" t="inlineStr">
        <is>
          <t>prismaarchi07@gmail.com</t>
        </is>
      </c>
      <c r="E166" t="inlineStr">
        <is>
          <t>https://lpjk.pu.go.id/search-badan-usaha-detail/bFZUWEtBbm5Ba0paMm1MakFSZlNYUT09</t>
        </is>
      </c>
      <c r="F166" t="n">
        <v>1</v>
      </c>
      <c r="G166" t="inlineStr">
        <is>
          <t>BG001</t>
        </is>
      </c>
      <c r="H166" t="inlineStr">
        <is>
          <t>19 Mei 2007</t>
        </is>
      </c>
      <c r="I166" s="2" t="n">
        <v>46195</v>
      </c>
      <c r="J166" t="inlineStr">
        <is>
          <t>Pencabutan</t>
        </is>
      </c>
      <c r="K166" t="n">
        <v>30</v>
      </c>
      <c r="L166" t="inlineStr">
        <is>
          <t>22 Juni 2026</t>
        </is>
      </c>
      <c r="M166" t="inlineStr">
        <is>
          <t>Konstruksi Gedung Hunian</t>
        </is>
      </c>
      <c r="N166" t="inlineStr">
        <is>
          <t>K</t>
        </is>
      </c>
      <c r="O166" t="inlineStr">
        <is>
          <t>20230620</t>
        </is>
      </c>
      <c r="P166" t="inlineStr">
        <is>
          <t>Sulawesi Tenggara</t>
        </is>
      </c>
      <c r="Q166" t="inlineStr"/>
    </row>
    <row r="167">
      <c r="A167" t="inlineStr">
        <is>
          <t>PUJA BUANA INDAH</t>
        </is>
      </c>
      <c r="B167" t="inlineStr">
        <is>
          <t>Kota Bima</t>
        </is>
      </c>
      <c r="C167" t="inlineStr">
        <is>
          <t>0823 3903 9180</t>
        </is>
      </c>
      <c r="D167" t="inlineStr">
        <is>
          <t>buanabima123@gmail.com</t>
        </is>
      </c>
      <c r="E167" t="inlineStr">
        <is>
          <t>https://lpjk.pu.go.id/search-badan-usaha-detail/Sm44WTFVYzNSTm5pVHBMSFpMU1ZjZz09</t>
        </is>
      </c>
      <c r="F167" t="n">
        <v>1</v>
      </c>
      <c r="G167" t="inlineStr">
        <is>
          <t>BG005</t>
        </is>
      </c>
      <c r="H167" t="inlineStr">
        <is>
          <t>1 Agustus 1998</t>
        </is>
      </c>
      <c r="I167" s="2" t="n">
        <v>46195</v>
      </c>
      <c r="J167" t="inlineStr">
        <is>
          <t>Disetujui</t>
        </is>
      </c>
      <c r="K167" t="n">
        <v>30</v>
      </c>
      <c r="L167" t="inlineStr">
        <is>
          <t>22 Juni 2026</t>
        </is>
      </c>
      <c r="M167" t="inlineStr">
        <is>
          <t>Konstruksi Gedung Kesehatan</t>
        </is>
      </c>
      <c r="N167" t="inlineStr">
        <is>
          <t>K</t>
        </is>
      </c>
      <c r="O167" t="inlineStr">
        <is>
          <t>20230614</t>
        </is>
      </c>
      <c r="P167" t="inlineStr">
        <is>
          <t>Nusa Tenggara Barat</t>
        </is>
      </c>
      <c r="Q167" t="inlineStr"/>
    </row>
    <row r="168">
      <c r="A168" t="inlineStr">
        <is>
          <t>PUSPITA CIPTA</t>
        </is>
      </c>
      <c r="B168" t="inlineStr">
        <is>
          <t>Kab. Kuningan</t>
        </is>
      </c>
      <c r="C168" t="inlineStr">
        <is>
          <t>087729166661</t>
        </is>
      </c>
      <c r="D168" t="inlineStr">
        <is>
          <t>pcglegal@gmail.com</t>
        </is>
      </c>
      <c r="E168" t="inlineStr">
        <is>
          <t>https://lpjk.pu.go.id/search-badan-usaha-detail/OGxOVndkd095Q1BFZWJ0b2JhazVtZz09</t>
        </is>
      </c>
      <c r="F168" t="n">
        <v>1</v>
      </c>
      <c r="G168" t="inlineStr">
        <is>
          <t>BS001</t>
        </is>
      </c>
      <c r="H168" t="inlineStr">
        <is>
          <t>14 Oktober 2004</t>
        </is>
      </c>
      <c r="I168" s="2" t="n">
        <v>46195</v>
      </c>
      <c r="J168" t="inlineStr">
        <is>
          <t>Disetujui</t>
        </is>
      </c>
      <c r="K168" t="n">
        <v>30</v>
      </c>
      <c r="L168" t="inlineStr">
        <is>
          <t>22 Juni 2026</t>
        </is>
      </c>
      <c r="M168" t="inlineStr">
        <is>
          <t>Konstruksi Bangunan Sipil Jalan</t>
        </is>
      </c>
      <c r="N168" t="inlineStr">
        <is>
          <t>K</t>
        </is>
      </c>
      <c r="O168" t="inlineStr">
        <is>
          <t>20230615</t>
        </is>
      </c>
      <c r="P168" t="inlineStr">
        <is>
          <t>Jawa Barat</t>
        </is>
      </c>
      <c r="Q168" t="inlineStr"/>
    </row>
    <row r="169">
      <c r="A169" t="inlineStr">
        <is>
          <t>PUTRA AGUNG</t>
        </is>
      </c>
      <c r="B169" t="inlineStr">
        <is>
          <t>Kab. Sanggau</t>
        </is>
      </c>
      <c r="C169" t="inlineStr">
        <is>
          <t>08125712711</t>
        </is>
      </c>
      <c r="D169" t="inlineStr">
        <is>
          <t>cvputraagungsgu@gmail.com</t>
        </is>
      </c>
      <c r="E169" t="inlineStr">
        <is>
          <t>https://lpjk.pu.go.id/search-badan-usaha-detail/WUdNYjk4TERSaVhrdkd5NDJnaGt0QT09</t>
        </is>
      </c>
      <c r="F169" t="n">
        <v>1</v>
      </c>
      <c r="G169" t="inlineStr">
        <is>
          <t>BS004</t>
        </is>
      </c>
      <c r="H169" t="inlineStr">
        <is>
          <t>4 Mei 2015</t>
        </is>
      </c>
      <c r="I169" s="2" t="n">
        <v>46195</v>
      </c>
      <c r="J169" t="inlineStr">
        <is>
          <t>Pencabutan</t>
        </is>
      </c>
      <c r="K169" t="n">
        <v>30</v>
      </c>
      <c r="L169" t="inlineStr">
        <is>
          <t>22 Juni 2026</t>
        </is>
      </c>
      <c r="M169" t="inlineStr">
        <is>
          <t>Konstruksi Jaringan Irigasi dan Drainase</t>
        </is>
      </c>
      <c r="N169" t="inlineStr">
        <is>
          <t>K</t>
        </is>
      </c>
      <c r="O169" t="inlineStr">
        <is>
          <t>20230621</t>
        </is>
      </c>
      <c r="P169" t="inlineStr">
        <is>
          <t>Kalimantan Barat</t>
        </is>
      </c>
      <c r="Q169" t="inlineStr"/>
    </row>
    <row r="170">
      <c r="A170" t="inlineStr">
        <is>
          <t>PUTRA ALFARIZQI</t>
        </is>
      </c>
      <c r="B170" t="inlineStr">
        <is>
          <t>Kab. Bandung Barat</t>
        </is>
      </c>
      <c r="C170" t="inlineStr">
        <is>
          <t>081804042014</t>
        </is>
      </c>
      <c r="D170" t="inlineStr">
        <is>
          <t>cvputraalfarizqi@gmail.com</t>
        </is>
      </c>
      <c r="E170" t="inlineStr">
        <is>
          <t>https://lpjk.pu.go.id/search-badan-usaha-detail/Nm1sWWFLVFl3aFl0N0pOWGNlUFNXZz09</t>
        </is>
      </c>
      <c r="F170" t="n">
        <v>2</v>
      </c>
      <c r="G170" t="inlineStr">
        <is>
          <t>BG009, BS001</t>
        </is>
      </c>
      <c r="H170" t="inlineStr">
        <is>
          <t>14 Februari 2023</t>
        </is>
      </c>
      <c r="I170" s="2" t="n">
        <v>46195</v>
      </c>
      <c r="J170" t="inlineStr">
        <is>
          <t>Disetujui</t>
        </is>
      </c>
      <c r="K170" t="n">
        <v>30</v>
      </c>
      <c r="L170" t="inlineStr">
        <is>
          <t>22 Juni 2026</t>
        </is>
      </c>
      <c r="M170" t="inlineStr">
        <is>
          <t>Konstruksi Bangunan Sipil Jalan, Konstruksi Gedung Lainnya</t>
        </is>
      </c>
      <c r="N170" t="inlineStr">
        <is>
          <t>K</t>
        </is>
      </c>
      <c r="O170" t="inlineStr">
        <is>
          <t>20230622</t>
        </is>
      </c>
      <c r="P170" t="inlineStr">
        <is>
          <t>Jawa Barat</t>
        </is>
      </c>
      <c r="Q170" t="inlineStr"/>
    </row>
    <row r="171">
      <c r="A171" t="inlineStr">
        <is>
          <t>PUTRA BALEPOH</t>
        </is>
      </c>
      <c r="B171" t="inlineStr">
        <is>
          <t>Kota Pariaman</t>
        </is>
      </c>
      <c r="C171" t="inlineStr">
        <is>
          <t>085263113947</t>
        </is>
      </c>
      <c r="D171" t="inlineStr">
        <is>
          <t>putrabalepoh10@gmail.com</t>
        </is>
      </c>
      <c r="E171" t="inlineStr">
        <is>
          <t>https://lpjk.pu.go.id/search-badan-usaha-detail/UFdBTHU1NzBDSWFQN2tMSHU3cGRaUT09</t>
        </is>
      </c>
      <c r="F171" t="n">
        <v>1</v>
      </c>
      <c r="G171" t="inlineStr">
        <is>
          <t>BS001</t>
        </is>
      </c>
      <c r="H171" t="inlineStr">
        <is>
          <t>4 Oktober 2007</t>
        </is>
      </c>
      <c r="I171" s="2" t="n">
        <v>46195</v>
      </c>
      <c r="J171" t="inlineStr">
        <is>
          <t>Disetujui</t>
        </is>
      </c>
      <c r="K171" t="n">
        <v>30</v>
      </c>
      <c r="L171" t="inlineStr">
        <is>
          <t>22 Juni 2026</t>
        </is>
      </c>
      <c r="M171" t="inlineStr">
        <is>
          <t>Konstruksi Bangunan Sipil Jalan</t>
        </is>
      </c>
      <c r="N171" t="inlineStr">
        <is>
          <t>K</t>
        </is>
      </c>
      <c r="O171" t="inlineStr">
        <is>
          <t>20230622</t>
        </is>
      </c>
      <c r="P171" t="inlineStr">
        <is>
          <t>Sumatera Barat</t>
        </is>
      </c>
      <c r="Q171" t="inlineStr"/>
    </row>
    <row r="172">
      <c r="A172" t="inlineStr">
        <is>
          <t>PUTRA JAYA MANDIRI</t>
        </is>
      </c>
      <c r="B172" t="inlineStr">
        <is>
          <t>Kab. Indramayu</t>
        </is>
      </c>
      <c r="C172" t="inlineStr">
        <is>
          <t>081294397452</t>
        </is>
      </c>
      <c r="D172" t="inlineStr">
        <is>
          <t>putra.jayamandiri@yahoo.com</t>
        </is>
      </c>
      <c r="E172" t="inlineStr">
        <is>
          <t>https://lpjk.pu.go.id/search-badan-usaha-detail/SDRpL3QzMGRJYmZ5VG9KNExnbXhYQT09</t>
        </is>
      </c>
      <c r="F172" t="n">
        <v>2</v>
      </c>
      <c r="G172" t="inlineStr">
        <is>
          <t>BG006, BS004</t>
        </is>
      </c>
      <c r="H172" t="inlineStr">
        <is>
          <t>19 Januari 2017</t>
        </is>
      </c>
      <c r="I172" s="2" t="n">
        <v>46195</v>
      </c>
      <c r="J172" t="inlineStr">
        <is>
          <t>Disetujui</t>
        </is>
      </c>
      <c r="K172" t="n">
        <v>30</v>
      </c>
      <c r="L172" t="inlineStr">
        <is>
          <t>22 Juni 2026</t>
        </is>
      </c>
      <c r="M172" t="inlineStr">
        <is>
          <t>Konstruksi Gedung Pendidikan, Konstruksi Jaringan Irigasi dan Drainase</t>
        </is>
      </c>
      <c r="N172" t="inlineStr">
        <is>
          <t>K</t>
        </is>
      </c>
      <c r="O172" t="inlineStr">
        <is>
          <t>20230615</t>
        </is>
      </c>
      <c r="P172" t="inlineStr">
        <is>
          <t>Jawa Barat</t>
        </is>
      </c>
      <c r="Q172" t="inlineStr"/>
    </row>
    <row r="173">
      <c r="A173" t="inlineStr">
        <is>
          <t>PUTRA KEMBAR</t>
        </is>
      </c>
      <c r="B173" t="inlineStr">
        <is>
          <t>Kota Mataram</t>
        </is>
      </c>
      <c r="C173" t="inlineStr">
        <is>
          <t>0818 5468 61__</t>
        </is>
      </c>
      <c r="D173" t="inlineStr">
        <is>
          <t>pelecingkangkung159@gmail.com</t>
        </is>
      </c>
      <c r="E173" t="inlineStr">
        <is>
          <t>https://lpjk.pu.go.id/search-badan-usaha-detail/SngvVUhTRmhEM2d6SUw5dTZvSHdUUT09</t>
        </is>
      </c>
      <c r="F173" t="n">
        <v>1</v>
      </c>
      <c r="G173" t="inlineStr">
        <is>
          <t>BS001</t>
        </is>
      </c>
      <c r="H173" t="inlineStr">
        <is>
          <t>12 Februari 2016</t>
        </is>
      </c>
      <c r="I173" s="2" t="n">
        <v>46195</v>
      </c>
      <c r="J173" t="inlineStr">
        <is>
          <t>Disetujui</t>
        </is>
      </c>
      <c r="K173" t="n">
        <v>30</v>
      </c>
      <c r="L173" t="inlineStr">
        <is>
          <t>22 Juni 2026</t>
        </is>
      </c>
      <c r="M173" t="inlineStr">
        <is>
          <t>Konstruksi Bangunan Sipil Jalan</t>
        </is>
      </c>
      <c r="N173" t="inlineStr">
        <is>
          <t>K</t>
        </is>
      </c>
      <c r="O173" t="inlineStr">
        <is>
          <t>20230619</t>
        </is>
      </c>
      <c r="P173" t="inlineStr">
        <is>
          <t>Nusa Tenggara Barat</t>
        </is>
      </c>
      <c r="Q173" t="inlineStr"/>
    </row>
    <row r="174">
      <c r="A174" t="inlineStr">
        <is>
          <t>PUTRA SIGEGAR BUMI</t>
        </is>
      </c>
      <c r="B174" t="inlineStr">
        <is>
          <t>Kab. Kerinci</t>
        </is>
      </c>
      <c r="C174" t="inlineStr">
        <is>
          <t>081273024645</t>
        </is>
      </c>
      <c r="D174" t="inlineStr">
        <is>
          <t>putrasigegarbumicv@gmail.com</t>
        </is>
      </c>
      <c r="E174" t="inlineStr">
        <is>
          <t>https://lpjk.pu.go.id/search-badan-usaha-detail/TEYrMlR5dUlHTWZjT1NxTDR4dUw0Zz09</t>
        </is>
      </c>
      <c r="F174" t="n">
        <v>1</v>
      </c>
      <c r="G174" t="inlineStr">
        <is>
          <t>BS004</t>
        </is>
      </c>
      <c r="H174" t="inlineStr">
        <is>
          <t>15 Mei 2023</t>
        </is>
      </c>
      <c r="I174" s="2" t="n">
        <v>46195</v>
      </c>
      <c r="J174" t="inlineStr">
        <is>
          <t>Disetujui</t>
        </is>
      </c>
      <c r="K174" t="n">
        <v>30</v>
      </c>
      <c r="L174" t="inlineStr">
        <is>
          <t>22 Juni 2026</t>
        </is>
      </c>
      <c r="M174" t="inlineStr">
        <is>
          <t>Konstruksi Jaringan Irigasi dan Drainase</t>
        </is>
      </c>
      <c r="N174" t="inlineStr">
        <is>
          <t>K</t>
        </is>
      </c>
      <c r="O174" t="inlineStr">
        <is>
          <t>20230620</t>
        </is>
      </c>
      <c r="P174" t="inlineStr">
        <is>
          <t>Jambi</t>
        </is>
      </c>
      <c r="Q174" t="inlineStr"/>
    </row>
    <row r="175">
      <c r="A175" t="inlineStr">
        <is>
          <t>PUTRA TANJUNG PERMAI</t>
        </is>
      </c>
      <c r="B175" t="inlineStr">
        <is>
          <t>Kab. Batu Bara</t>
        </is>
      </c>
      <c r="C175" t="inlineStr">
        <is>
          <t>081372431912</t>
        </is>
      </c>
      <c r="D175" t="inlineStr">
        <is>
          <t>putratanjungpermai12@gmail.com</t>
        </is>
      </c>
      <c r="E175" t="inlineStr">
        <is>
          <t>https://lpjk.pu.go.id/search-badan-usaha-detail/dmowaU9kaDc5WlRpSER0Si92OU45QT09</t>
        </is>
      </c>
      <c r="F175" t="n">
        <v>2</v>
      </c>
      <c r="G175" t="inlineStr">
        <is>
          <t>BG009, BS007</t>
        </is>
      </c>
      <c r="H175" t="inlineStr">
        <is>
          <t>26 November 2019</t>
        </is>
      </c>
      <c r="I175" s="2" t="n">
        <v>46195</v>
      </c>
      <c r="J175" t="inlineStr">
        <is>
          <t>Disetujui</t>
        </is>
      </c>
      <c r="K175" t="n">
        <v>30</v>
      </c>
      <c r="L175" t="inlineStr">
        <is>
          <t>22 Juni 2026</t>
        </is>
      </c>
      <c r="M175" t="inlineStr">
        <is>
          <t>Konstruksi Bangunan Sipil Elektrikal, Konstruksi Gedung Lainnya</t>
        </is>
      </c>
      <c r="N175" t="inlineStr">
        <is>
          <t>K</t>
        </is>
      </c>
      <c r="O175" t="inlineStr">
        <is>
          <t>20230621</t>
        </is>
      </c>
      <c r="P175" t="inlineStr">
        <is>
          <t>Sumatera Utara</t>
        </is>
      </c>
      <c r="Q175" t="inlineStr"/>
    </row>
    <row r="176">
      <c r="A176" t="inlineStr">
        <is>
          <t>PUTRA WIJAYA</t>
        </is>
      </c>
      <c r="B176" t="inlineStr">
        <is>
          <t>Kab. Indramayu</t>
        </is>
      </c>
      <c r="C176" t="inlineStr">
        <is>
          <t>0818642141</t>
        </is>
      </c>
      <c r="D176" t="inlineStr">
        <is>
          <t>cvputrawijayaindonesia@yahoo.com</t>
        </is>
      </c>
      <c r="E176" t="inlineStr">
        <is>
          <t>https://lpjk.pu.go.id/search-badan-usaha-detail/QXJOdld5c0RlRDNiRWVyeUJDM2luUT09</t>
        </is>
      </c>
      <c r="F176" t="n">
        <v>2</v>
      </c>
      <c r="G176" t="inlineStr">
        <is>
          <t>BS001, BS004</t>
        </is>
      </c>
      <c r="H176" t="inlineStr">
        <is>
          <t>2 Juli 2015</t>
        </is>
      </c>
      <c r="I176" s="2" t="n">
        <v>46195</v>
      </c>
      <c r="J176" t="inlineStr">
        <is>
          <t>Pencabutan</t>
        </is>
      </c>
      <c r="K176" t="n">
        <v>30</v>
      </c>
      <c r="L176" t="inlineStr">
        <is>
          <t>22 Juni 2026</t>
        </is>
      </c>
      <c r="M176" t="inlineStr">
        <is>
          <t>Konstruksi Bangunan Sipil Jalan, Konstruksi Jaringan Irigasi dan Drainase</t>
        </is>
      </c>
      <c r="N176" t="inlineStr">
        <is>
          <t>K</t>
        </is>
      </c>
      <c r="O176" t="inlineStr">
        <is>
          <t>20230620, 20230621</t>
        </is>
      </c>
      <c r="P176" t="inlineStr">
        <is>
          <t>Jawa Barat</t>
        </is>
      </c>
      <c r="Q176" t="inlineStr"/>
    </row>
    <row r="177">
      <c r="A177" t="inlineStr">
        <is>
          <t>PUTRI WALET</t>
        </is>
      </c>
      <c r="B177" t="inlineStr">
        <is>
          <t>Kab. Kapuas Hulu</t>
        </is>
      </c>
      <c r="C177" t="inlineStr">
        <is>
          <t>081256790239</t>
        </is>
      </c>
      <c r="D177" t="inlineStr">
        <is>
          <t>putriwalet.cv@gmail.com</t>
        </is>
      </c>
      <c r="E177" t="inlineStr">
        <is>
          <t>https://lpjk.pu.go.id/search-badan-usaha-detail/b2RIU2ladFZWTFVsNXdBbUhLWUhGUT09</t>
        </is>
      </c>
      <c r="F177" t="n">
        <v>1</v>
      </c>
      <c r="G177" t="inlineStr">
        <is>
          <t>BS001</t>
        </is>
      </c>
      <c r="H177" t="inlineStr">
        <is>
          <t>18 September 2006</t>
        </is>
      </c>
      <c r="I177" s="2" t="n">
        <v>46195</v>
      </c>
      <c r="J177" t="inlineStr">
        <is>
          <t>Pencabutan</t>
        </is>
      </c>
      <c r="K177" t="n">
        <v>30</v>
      </c>
      <c r="L177" t="inlineStr">
        <is>
          <t>22 Juni 2026</t>
        </is>
      </c>
      <c r="M177" t="inlineStr">
        <is>
          <t>Konstruksi Bangunan Sipil Jalan</t>
        </is>
      </c>
      <c r="N177" t="inlineStr">
        <is>
          <t>K</t>
        </is>
      </c>
      <c r="O177" t="inlineStr">
        <is>
          <t>20230426</t>
        </is>
      </c>
      <c r="P177" t="inlineStr">
        <is>
          <t>Kalimantan Barat</t>
        </is>
      </c>
      <c r="Q177" t="inlineStr"/>
    </row>
    <row r="178">
      <c r="A178" t="inlineStr">
        <is>
          <t>QUADRAN INFRA KARYA SINERGI</t>
        </is>
      </c>
      <c r="B178" t="inlineStr">
        <is>
          <t>Kota Bandung</t>
        </is>
      </c>
      <c r="C178" t="inlineStr">
        <is>
          <t>08112182294</t>
        </is>
      </c>
      <c r="D178" t="inlineStr">
        <is>
          <t>infoquadraniks@gmail.com</t>
        </is>
      </c>
      <c r="E178" t="inlineStr">
        <is>
          <t>https://lpjk.pu.go.id/search-badan-usaha-detail/ZnZuWkM5MVRsTWgxQVNTdVhsQXhqUT09</t>
        </is>
      </c>
      <c r="F178" t="n">
        <v>1</v>
      </c>
      <c r="G178" t="inlineStr">
        <is>
          <t>IN002</t>
        </is>
      </c>
      <c r="H178" t="inlineStr">
        <is>
          <t>1 Februari 2019</t>
        </is>
      </c>
      <c r="I178" s="2" t="n">
        <v>46195</v>
      </c>
      <c r="J178" t="inlineStr">
        <is>
          <t>Pembekuan</t>
        </is>
      </c>
      <c r="K178" t="n">
        <v>30</v>
      </c>
      <c r="L178" t="inlineStr">
        <is>
          <t>22 Juni 2026</t>
        </is>
      </c>
      <c r="M178" t="inlineStr">
        <is>
          <t>Instalasi Telekomunikasi</t>
        </is>
      </c>
      <c r="N178" t="inlineStr">
        <is>
          <t>Spesialis</t>
        </is>
      </c>
      <c r="O178" t="inlineStr">
        <is>
          <t>20230621</t>
        </is>
      </c>
      <c r="P178" t="inlineStr">
        <is>
          <t>Jawa Barat</t>
        </is>
      </c>
      <c r="Q178" t="inlineStr"/>
    </row>
    <row r="179">
      <c r="A179" t="inlineStr">
        <is>
          <t>RAFI PERMATA JAYA</t>
        </is>
      </c>
      <c r="B179" t="inlineStr">
        <is>
          <t>Kota Surakarta</t>
        </is>
      </c>
      <c r="C179" t="inlineStr">
        <is>
          <t>081229798738</t>
        </is>
      </c>
      <c r="D179" t="inlineStr">
        <is>
          <t>rafipermatajaya@gmail.com</t>
        </is>
      </c>
      <c r="E179" t="inlineStr">
        <is>
          <t>https://lpjk.pu.go.id/search-badan-usaha-detail/R0paeU1wdStqV0J0QXdtWWlncHFyZz09</t>
        </is>
      </c>
      <c r="F179" t="n">
        <v>1</v>
      </c>
      <c r="G179" t="inlineStr">
        <is>
          <t>RK002</t>
        </is>
      </c>
      <c r="H179" t="inlineStr">
        <is>
          <t>16 Desember 2019</t>
        </is>
      </c>
      <c r="I179" s="2" t="n">
        <v>46195</v>
      </c>
      <c r="J179" t="inlineStr">
        <is>
          <t>Disetujui</t>
        </is>
      </c>
      <c r="K179" t="n">
        <v>30</v>
      </c>
      <c r="L179" t="inlineStr">
        <is>
          <t>22 Juni 2026</t>
        </is>
      </c>
      <c r="M179" t="inlineStr">
        <is>
          <t>Jasa Rekayasa Pekerjaan Teknik Sipil Sumber Daya Air</t>
        </is>
      </c>
      <c r="N179" t="inlineStr">
        <is>
          <t>K</t>
        </is>
      </c>
      <c r="O179" t="inlineStr">
        <is>
          <t>20230619</t>
        </is>
      </c>
      <c r="P179" t="inlineStr">
        <is>
          <t>Jawa Tengah</t>
        </is>
      </c>
      <c r="Q179" t="inlineStr"/>
    </row>
    <row r="180">
      <c r="A180" t="inlineStr">
        <is>
          <t>RAFINDO JAYA ABADI</t>
        </is>
      </c>
      <c r="B180" t="inlineStr">
        <is>
          <t>Kota Adm. Jakarta Pusat</t>
        </is>
      </c>
      <c r="C180" t="inlineStr">
        <is>
          <t>087866855251</t>
        </is>
      </c>
      <c r="D180" t="inlineStr">
        <is>
          <t>fuad.alsilbi@gmail.com</t>
        </is>
      </c>
      <c r="E180" t="inlineStr">
        <is>
          <t>https://lpjk.pu.go.id/search-badan-usaha-detail/bERVK0ZJaTA1RmtqOVBPSTV0MVpwdz09</t>
        </is>
      </c>
      <c r="F180" t="n">
        <v>2</v>
      </c>
      <c r="G180" t="inlineStr">
        <is>
          <t>BG005</t>
        </is>
      </c>
      <c r="H180" t="inlineStr">
        <is>
          <t>12 Februari 2015</t>
        </is>
      </c>
      <c r="I180" s="2" t="n">
        <v>46195</v>
      </c>
      <c r="J180" t="inlineStr">
        <is>
          <t>Disetujui</t>
        </is>
      </c>
      <c r="K180" t="n">
        <v>30</v>
      </c>
      <c r="L180" t="inlineStr">
        <is>
          <t>22 Juni 2026</t>
        </is>
      </c>
      <c r="M180" t="inlineStr">
        <is>
          <t>Konstruksi Gedung Kesehatan</t>
        </is>
      </c>
      <c r="N180" t="inlineStr">
        <is>
          <t>K</t>
        </is>
      </c>
      <c r="O180" t="inlineStr">
        <is>
          <t>20230620</t>
        </is>
      </c>
      <c r="P180" t="inlineStr">
        <is>
          <t>DKI Jakarta</t>
        </is>
      </c>
      <c r="Q180" t="inlineStr"/>
    </row>
    <row r="181">
      <c r="A181" t="inlineStr">
        <is>
          <t>RAIHAN ADIKARYA UTAMA</t>
        </is>
      </c>
      <c r="B181" t="inlineStr">
        <is>
          <t>Kab. Bantul</t>
        </is>
      </c>
      <c r="C181" t="inlineStr">
        <is>
          <t>088221809106</t>
        </is>
      </c>
      <c r="D181" t="inlineStr">
        <is>
          <t>raihanadikarya@gmail.com</t>
        </is>
      </c>
      <c r="E181" t="inlineStr">
        <is>
          <t>https://lpjk.pu.go.id/search-badan-usaha-detail/S1d4MDVMbW9VSnRRby8wa3RtQ1VFQT09</t>
        </is>
      </c>
      <c r="F181" t="n">
        <v>2</v>
      </c>
      <c r="G181" t="inlineStr">
        <is>
          <t>BS010</t>
        </is>
      </c>
      <c r="H181" t="inlineStr">
        <is>
          <t>16 Januari 2019</t>
        </is>
      </c>
      <c r="I181" s="2" t="n">
        <v>46195</v>
      </c>
      <c r="J181" t="inlineStr">
        <is>
          <t>Disetujui</t>
        </is>
      </c>
      <c r="K181" t="n">
        <v>30</v>
      </c>
      <c r="L181" t="inlineStr">
        <is>
          <t>22 Juni 2026</t>
        </is>
      </c>
      <c r="M181" t="inlineStr">
        <is>
          <t>Konstruksi Bangunan Prasarana Sumber Daya Air</t>
        </is>
      </c>
      <c r="N181" t="inlineStr">
        <is>
          <t>K</t>
        </is>
      </c>
      <c r="O181" t="inlineStr">
        <is>
          <t>20230505</t>
        </is>
      </c>
      <c r="P181" t="inlineStr">
        <is>
          <t>DI Yogyakarta</t>
        </is>
      </c>
      <c r="Q181" t="inlineStr"/>
    </row>
    <row r="182">
      <c r="A182" t="inlineStr">
        <is>
          <t>RAMA WIJAYA</t>
        </is>
      </c>
      <c r="B182" t="inlineStr">
        <is>
          <t>Kab. Banyuwangi</t>
        </is>
      </c>
      <c r="C182" t="inlineStr">
        <is>
          <t>082334204747</t>
        </is>
      </c>
      <c r="D182" t="inlineStr">
        <is>
          <t>rama.wijaya_bwi@yahoo.com</t>
        </is>
      </c>
      <c r="E182" t="inlineStr">
        <is>
          <t>https://lpjk.pu.go.id/search-badan-usaha-detail/OUdLK2xPK01QdmlsV1Q3K0h3aE50UT09</t>
        </is>
      </c>
      <c r="F182" t="n">
        <v>1</v>
      </c>
      <c r="G182" t="inlineStr">
        <is>
          <t>BG009</t>
        </is>
      </c>
      <c r="H182" t="inlineStr">
        <is>
          <t>21 Januari 1998</t>
        </is>
      </c>
      <c r="I182" s="2" t="n">
        <v>46195</v>
      </c>
      <c r="J182" t="inlineStr">
        <is>
          <t>Disetujui</t>
        </is>
      </c>
      <c r="K182" t="n">
        <v>30</v>
      </c>
      <c r="L182" t="inlineStr">
        <is>
          <t>22 Juni 2026</t>
        </is>
      </c>
      <c r="M182" t="inlineStr">
        <is>
          <t>Konstruksi Gedung Lainnya</t>
        </is>
      </c>
      <c r="N182" t="inlineStr">
        <is>
          <t>K</t>
        </is>
      </c>
      <c r="O182" t="inlineStr">
        <is>
          <t>20230621</t>
        </is>
      </c>
      <c r="P182" t="inlineStr">
        <is>
          <t>Jawa Timur</t>
        </is>
      </c>
      <c r="Q182" t="inlineStr"/>
    </row>
    <row r="183">
      <c r="A183" t="inlineStr">
        <is>
          <t>RAYA BENING</t>
        </is>
      </c>
      <c r="B183" t="inlineStr">
        <is>
          <t>Kab. Muara Enim</t>
        </is>
      </c>
      <c r="C183" t="inlineStr">
        <is>
          <t>081271798267</t>
        </is>
      </c>
      <c r="D183" t="inlineStr">
        <is>
          <t>beningraya18@gmail.com</t>
        </is>
      </c>
      <c r="E183" t="inlineStr">
        <is>
          <t>https://lpjk.pu.go.id/search-badan-usaha-detail/eVJnNEpLZzdnemZ0OGJ5VG5EMkMrdz09</t>
        </is>
      </c>
      <c r="F183" t="n">
        <v>1</v>
      </c>
      <c r="G183" t="inlineStr">
        <is>
          <t>BG006</t>
        </is>
      </c>
      <c r="H183" t="inlineStr">
        <is>
          <t>13 September 2005</t>
        </is>
      </c>
      <c r="I183" s="2" t="n">
        <v>46195</v>
      </c>
      <c r="J183" t="inlineStr">
        <is>
          <t>Pencabutan</t>
        </is>
      </c>
      <c r="K183" t="n">
        <v>30</v>
      </c>
      <c r="L183" t="inlineStr">
        <is>
          <t>22 Juni 2026</t>
        </is>
      </c>
      <c r="M183" t="inlineStr">
        <is>
          <t>Konstruksi Gedung Pendidikan</t>
        </is>
      </c>
      <c r="N183" t="inlineStr">
        <is>
          <t>K</t>
        </is>
      </c>
      <c r="O183" t="inlineStr">
        <is>
          <t>20230608</t>
        </is>
      </c>
      <c r="P183" t="inlineStr">
        <is>
          <t>Sumatera Selatan</t>
        </is>
      </c>
      <c r="Q183" t="inlineStr"/>
    </row>
    <row r="184">
      <c r="A184" t="inlineStr">
        <is>
          <t>RAYYAN FIRDAUS</t>
        </is>
      </c>
      <c r="B184" t="inlineStr">
        <is>
          <t>Kota Bima</t>
        </is>
      </c>
      <c r="C184" t="inlineStr">
        <is>
          <t>085337244513</t>
        </is>
      </c>
      <c r="D184" t="inlineStr">
        <is>
          <t>rayyanfirdaus185@gmail.com</t>
        </is>
      </c>
      <c r="E184" t="inlineStr">
        <is>
          <t>https://lpjk.pu.go.id/search-badan-usaha-detail/empoNGoxaXFTYytqcUI5UDFLdXRjQT09</t>
        </is>
      </c>
      <c r="F184" t="n">
        <v>8</v>
      </c>
      <c r="G184" t="inlineStr">
        <is>
          <t>BG002, BG005, BG006, BG009</t>
        </is>
      </c>
      <c r="H184" t="inlineStr">
        <is>
          <t>7 Januari 2021</t>
        </is>
      </c>
      <c r="I184" s="2" t="n">
        <v>46195</v>
      </c>
      <c r="J184" t="inlineStr">
        <is>
          <t>Disetujui</t>
        </is>
      </c>
      <c r="K184" t="n">
        <v>30</v>
      </c>
      <c r="L184" t="inlineStr">
        <is>
          <t>22 Juni 2026</t>
        </is>
      </c>
      <c r="M184" t="inlineStr">
        <is>
          <t>Konstruksi Gedung Kesehatan, Konstruksi Gedung Lainnya, Konstruksi Gedung Pendidikan, Konstruksi Gedung Perkantoran</t>
        </is>
      </c>
      <c r="N184" t="inlineStr">
        <is>
          <t>K</t>
        </is>
      </c>
      <c r="O184" t="inlineStr">
        <is>
          <t>20230613</t>
        </is>
      </c>
      <c r="P184" t="inlineStr">
        <is>
          <t>Nusa Tenggara Barat</t>
        </is>
      </c>
      <c r="Q184" t="inlineStr"/>
    </row>
    <row r="185">
      <c r="A185" t="inlineStr">
        <is>
          <t>RAYYAN MAKMUR</t>
        </is>
      </c>
      <c r="B185" t="inlineStr">
        <is>
          <t>Kab. Kolaka Utara</t>
        </is>
      </c>
      <c r="C185" t="inlineStr">
        <is>
          <t>082190018679</t>
        </is>
      </c>
      <c r="D185" t="inlineStr">
        <is>
          <t>rayyanmakmur123@gmail.com</t>
        </is>
      </c>
      <c r="E185" t="inlineStr">
        <is>
          <t>https://lpjk.pu.go.id/search-badan-usaha-detail/QkU0Y2ZMT3A0cCtJb0JkT3VVanIrZz09</t>
        </is>
      </c>
      <c r="F185" t="n">
        <v>2</v>
      </c>
      <c r="G185" t="inlineStr">
        <is>
          <t>BS001</t>
        </is>
      </c>
      <c r="H185" t="inlineStr">
        <is>
          <t>27 Januari 2023</t>
        </is>
      </c>
      <c r="I185" s="2" t="n">
        <v>46195</v>
      </c>
      <c r="J185" t="inlineStr">
        <is>
          <t>Pencabutan</t>
        </is>
      </c>
      <c r="K185" t="n">
        <v>30</v>
      </c>
      <c r="L185" t="inlineStr">
        <is>
          <t>22 Juni 2026</t>
        </is>
      </c>
      <c r="M185" t="inlineStr">
        <is>
          <t>Konstruksi Bangunan Sipil Jalan</t>
        </is>
      </c>
      <c r="N185" t="inlineStr">
        <is>
          <t>K</t>
        </is>
      </c>
      <c r="O185" t="inlineStr">
        <is>
          <t>20230621</t>
        </is>
      </c>
      <c r="P185" t="inlineStr">
        <is>
          <t>Sulawesi Tenggara</t>
        </is>
      </c>
      <c r="Q185" t="inlineStr"/>
    </row>
    <row r="186">
      <c r="A186" t="inlineStr">
        <is>
          <t>REKARUPA TEKNIK</t>
        </is>
      </c>
      <c r="B186" t="inlineStr">
        <is>
          <t>Kab. Toli Toli</t>
        </is>
      </c>
      <c r="C186" t="inlineStr">
        <is>
          <t>082292645282</t>
        </is>
      </c>
      <c r="D186" t="inlineStr">
        <is>
          <t>rekakonsultan@gmail.com</t>
        </is>
      </c>
      <c r="E186" t="inlineStr">
        <is>
          <t>https://lpjk.pu.go.id/search-badan-usaha-detail/VUwvQkE2Z3FzSkhPZC80MWttSFpjZz09</t>
        </is>
      </c>
      <c r="F186" t="n">
        <v>1</v>
      </c>
      <c r="G186" t="inlineStr">
        <is>
          <t>AR003</t>
        </is>
      </c>
      <c r="H186" t="inlineStr">
        <is>
          <t>22 Juni 2012</t>
        </is>
      </c>
      <c r="I186" s="2" t="n">
        <v>46195</v>
      </c>
      <c r="J186" t="inlineStr">
        <is>
          <t>Disetujui</t>
        </is>
      </c>
      <c r="K186" t="n">
        <v>30</v>
      </c>
      <c r="L186" t="inlineStr">
        <is>
          <t>22 Juni 2026</t>
        </is>
      </c>
      <c r="M186" t="inlineStr">
        <is>
          <t>Jasa Desain Interior pada Bangunan Gedung dan Bangunan Sipil</t>
        </is>
      </c>
      <c r="N186" t="inlineStr">
        <is>
          <t>K</t>
        </is>
      </c>
      <c r="O186" t="inlineStr">
        <is>
          <t>20230615</t>
        </is>
      </c>
      <c r="P186" t="inlineStr">
        <is>
          <t>Sulawesi Tengah</t>
        </is>
      </c>
      <c r="Q186" t="inlineStr"/>
    </row>
    <row r="187">
      <c r="A187" t="inlineStr">
        <is>
          <t>REVANINDO BORNEO SEJATI</t>
        </is>
      </c>
      <c r="B187" t="inlineStr">
        <is>
          <t>Kota Banjarbaru</t>
        </is>
      </c>
      <c r="C187" t="inlineStr">
        <is>
          <t>081348779966</t>
        </is>
      </c>
      <c r="D187" t="inlineStr">
        <is>
          <t>revanindoborneo@gmail.com</t>
        </is>
      </c>
      <c r="E187" t="inlineStr">
        <is>
          <t>https://lpjk.pu.go.id/search-badan-usaha-detail/amJYNDRKa0NreFVBcG1ZVnZKenNsZz09</t>
        </is>
      </c>
      <c r="F187" t="n">
        <v>2</v>
      </c>
      <c r="G187" t="inlineStr">
        <is>
          <t>BS001</t>
        </is>
      </c>
      <c r="H187" t="inlineStr">
        <is>
          <t>2 September 2022</t>
        </is>
      </c>
      <c r="I187" s="2" t="n">
        <v>46195</v>
      </c>
      <c r="J187" t="inlineStr">
        <is>
          <t>Disetujui</t>
        </is>
      </c>
      <c r="K187" t="n">
        <v>30</v>
      </c>
      <c r="L187" t="inlineStr">
        <is>
          <t>22 Juni 2026</t>
        </is>
      </c>
      <c r="M187" t="inlineStr">
        <is>
          <t>Konstruksi Bangunan Sipil Jalan</t>
        </is>
      </c>
      <c r="N187" t="inlineStr">
        <is>
          <t>K</t>
        </is>
      </c>
      <c r="O187" t="inlineStr">
        <is>
          <t>20230622</t>
        </is>
      </c>
      <c r="P187" t="inlineStr">
        <is>
          <t>Kalimantan Selatan</t>
        </is>
      </c>
      <c r="Q187" t="inlineStr"/>
    </row>
    <row r="188">
      <c r="A188" t="inlineStr">
        <is>
          <t>RHAGASINDO MITRA UTAMA</t>
        </is>
      </c>
      <c r="B188" t="inlineStr">
        <is>
          <t>Kab. Sukabumi</t>
        </is>
      </c>
      <c r="C188" t="inlineStr">
        <is>
          <t>085659553525</t>
        </is>
      </c>
      <c r="D188" t="inlineStr">
        <is>
          <t>rhagasindo68@gmail.com</t>
        </is>
      </c>
      <c r="E188" t="inlineStr">
        <is>
          <t>https://lpjk.pu.go.id/search-badan-usaha-detail/WWtIQVB0NC9nekNnelE1MVQrU0Y0dz09</t>
        </is>
      </c>
      <c r="F188" t="n">
        <v>2</v>
      </c>
      <c r="G188" t="inlineStr">
        <is>
          <t>BG006, BG009</t>
        </is>
      </c>
      <c r="H188" t="inlineStr">
        <is>
          <t>4 Agustus 2016</t>
        </is>
      </c>
      <c r="I188" s="2" t="n">
        <v>46195</v>
      </c>
      <c r="J188" t="inlineStr">
        <is>
          <t>Disetujui</t>
        </is>
      </c>
      <c r="K188" t="n">
        <v>30</v>
      </c>
      <c r="L188" t="inlineStr">
        <is>
          <t>22 Juni 2026</t>
        </is>
      </c>
      <c r="M188" t="inlineStr">
        <is>
          <t>Konstruksi Gedung Lainnya, Konstruksi Gedung Pendidikan</t>
        </is>
      </c>
      <c r="N188" t="inlineStr">
        <is>
          <t>K</t>
        </is>
      </c>
      <c r="O188" t="inlineStr">
        <is>
          <t>20230618</t>
        </is>
      </c>
      <c r="P188" t="inlineStr">
        <is>
          <t>Jawa Barat</t>
        </is>
      </c>
      <c r="Q188" t="inlineStr"/>
    </row>
    <row r="189">
      <c r="A189" t="inlineStr">
        <is>
          <t>RIDHO ENGINEERING PERKASA</t>
        </is>
      </c>
      <c r="B189" t="inlineStr">
        <is>
          <t>Kota Cimahi</t>
        </is>
      </c>
      <c r="C189" t="inlineStr">
        <is>
          <t>02286691645</t>
        </is>
      </c>
      <c r="D189" t="inlineStr">
        <is>
          <t>pt.ridhoengineeringperkasa@gmail.com</t>
        </is>
      </c>
      <c r="E189" t="inlineStr">
        <is>
          <t>https://lpjk.pu.go.id/search-badan-usaha-detail/SjZVM092T1dtWmk4cGpMQm1CcjJZdz09</t>
        </is>
      </c>
      <c r="F189" t="n">
        <v>1</v>
      </c>
      <c r="G189" t="inlineStr">
        <is>
          <t>RK003</t>
        </is>
      </c>
      <c r="H189" t="inlineStr">
        <is>
          <t>31 Januari 2020</t>
        </is>
      </c>
      <c r="I189" s="2" t="n">
        <v>46195</v>
      </c>
      <c r="J189" t="inlineStr">
        <is>
          <t>Disetujui</t>
        </is>
      </c>
      <c r="K189" t="n">
        <v>30</v>
      </c>
      <c r="L189" t="inlineStr">
        <is>
          <t>22 Juni 2026</t>
        </is>
      </c>
      <c r="M189" t="inlineStr">
        <is>
          <t>Jasa Rekayasa Pekerjaan Teknik Sipil Transportasi</t>
        </is>
      </c>
      <c r="N189" t="inlineStr">
        <is>
          <t>M</t>
        </is>
      </c>
      <c r="O189" t="inlineStr">
        <is>
          <t>20230329</t>
        </is>
      </c>
      <c r="P189" t="inlineStr">
        <is>
          <t>Jawa Barat</t>
        </is>
      </c>
      <c r="Q189" t="inlineStr"/>
    </row>
    <row r="190">
      <c r="A190" t="inlineStr">
        <is>
          <t>RIZAL PUTRA JAYA</t>
        </is>
      </c>
      <c r="B190" t="inlineStr">
        <is>
          <t>Kab. Bangkalan</t>
        </is>
      </c>
      <c r="C190" t="inlineStr">
        <is>
          <t>087837151136</t>
        </is>
      </c>
      <c r="D190" t="inlineStr">
        <is>
          <t>cv.rizalputrajaya@gmail.com</t>
        </is>
      </c>
      <c r="E190" t="inlineStr">
        <is>
          <t>https://lpjk.pu.go.id/search-badan-usaha-detail/aWVOeUtwUzNRT2dZUFJiMk9ZanhhQT09</t>
        </is>
      </c>
      <c r="F190" t="n">
        <v>1</v>
      </c>
      <c r="G190" t="inlineStr">
        <is>
          <t>BS001</t>
        </is>
      </c>
      <c r="H190" t="inlineStr">
        <is>
          <t>26 Desember 2019</t>
        </is>
      </c>
      <c r="I190" s="2" t="n">
        <v>46195</v>
      </c>
      <c r="J190" t="inlineStr">
        <is>
          <t>Disetujui</t>
        </is>
      </c>
      <c r="K190" t="n">
        <v>30</v>
      </c>
      <c r="L190" t="inlineStr">
        <is>
          <t>22 Juni 2026</t>
        </is>
      </c>
      <c r="M190" t="inlineStr">
        <is>
          <t>Konstruksi Bangunan Sipil Jalan</t>
        </is>
      </c>
      <c r="N190" t="inlineStr">
        <is>
          <t>K</t>
        </is>
      </c>
      <c r="O190" t="inlineStr">
        <is>
          <t>20230523</t>
        </is>
      </c>
      <c r="P190" t="inlineStr">
        <is>
          <t>Jawa Timur</t>
        </is>
      </c>
      <c r="Q190" t="inlineStr"/>
    </row>
    <row r="191">
      <c r="A191" t="inlineStr">
        <is>
          <t>RIZKI BANGUN KONSTRUKSI</t>
        </is>
      </c>
      <c r="B191" t="inlineStr">
        <is>
          <t>Kota Banjarmasin</t>
        </is>
      </c>
      <c r="C191" t="inlineStr">
        <is>
          <t>085391288891</t>
        </is>
      </c>
      <c r="D191" t="inlineStr">
        <is>
          <t>cvrizkibangunkonstruksi@gmail.com</t>
        </is>
      </c>
      <c r="E191" t="inlineStr">
        <is>
          <t>https://lpjk.pu.go.id/search-badan-usaha-detail/d2JhRFVhOEwya2FpMHlDVURIMHVYZz09</t>
        </is>
      </c>
      <c r="F191" t="n">
        <v>5</v>
      </c>
      <c r="G191" t="inlineStr">
        <is>
          <t>BG001, BG004, BG005, BG006, BG009</t>
        </is>
      </c>
      <c r="H191" t="inlineStr">
        <is>
          <t>29 April 2021</t>
        </is>
      </c>
      <c r="I191" s="2" t="n">
        <v>46195</v>
      </c>
      <c r="J191" t="inlineStr">
        <is>
          <t>Disetujui</t>
        </is>
      </c>
      <c r="K191" t="n">
        <v>30</v>
      </c>
      <c r="L191" t="inlineStr">
        <is>
          <t>22 Juni 2026</t>
        </is>
      </c>
      <c r="M191" t="inlineStr">
        <is>
          <t>Konstruksi Gedung Hunian, Konstruksi Gedung Kesehatan, Konstruksi Gedung Lainnya, Konstruksi Gedung Pendidikan, Konstruksi Gedung Perbelanjaan</t>
        </is>
      </c>
      <c r="N191" t="inlineStr">
        <is>
          <t>K</t>
        </is>
      </c>
      <c r="O191" t="inlineStr">
        <is>
          <t>20230619</t>
        </is>
      </c>
      <c r="P191" t="inlineStr">
        <is>
          <t>Kalimantan Selatan</t>
        </is>
      </c>
      <c r="Q191" t="inlineStr"/>
    </row>
    <row r="192">
      <c r="A192" t="inlineStr">
        <is>
          <t>SABANDARI</t>
        </is>
      </c>
      <c r="B192" t="inlineStr">
        <is>
          <t>Kab. Sambas</t>
        </is>
      </c>
      <c r="C192" t="inlineStr">
        <is>
          <t>082250684868</t>
        </is>
      </c>
      <c r="D192" t="inlineStr">
        <is>
          <t>cv.sabandari@gmail.com</t>
        </is>
      </c>
      <c r="E192" t="inlineStr">
        <is>
          <t>https://lpjk.pu.go.id/search-badan-usaha-detail/UER5S3ZOM1FnWWRqQzIzWDQ3NnZDQT09</t>
        </is>
      </c>
      <c r="F192" t="n">
        <v>2</v>
      </c>
      <c r="G192" t="inlineStr">
        <is>
          <t>BG005</t>
        </is>
      </c>
      <c r="H192" t="inlineStr">
        <is>
          <t>21 Desember 2005</t>
        </is>
      </c>
      <c r="I192" s="2" t="n">
        <v>46195</v>
      </c>
      <c r="J192" t="inlineStr">
        <is>
          <t>Pencabutan</t>
        </is>
      </c>
      <c r="K192" t="n">
        <v>30</v>
      </c>
      <c r="L192" t="inlineStr">
        <is>
          <t>22 Juni 2026</t>
        </is>
      </c>
      <c r="M192" t="inlineStr">
        <is>
          <t>Konstruksi Gedung Kesehatan</t>
        </is>
      </c>
      <c r="N192" t="inlineStr">
        <is>
          <t>K</t>
        </is>
      </c>
      <c r="O192" t="inlineStr">
        <is>
          <t>20230619</t>
        </is>
      </c>
      <c r="P192" t="inlineStr">
        <is>
          <t>Kalimantan Barat</t>
        </is>
      </c>
      <c r="Q192" t="inlineStr"/>
    </row>
    <row r="193">
      <c r="A193" t="inlineStr">
        <is>
          <t>SAHARA UTAMA</t>
        </is>
      </c>
      <c r="B193" t="inlineStr">
        <is>
          <t>Kab. Muna</t>
        </is>
      </c>
      <c r="C193" t="inlineStr">
        <is>
          <t>085340209909</t>
        </is>
      </c>
      <c r="D193" t="inlineStr">
        <is>
          <t>saharautama31@gmail.com</t>
        </is>
      </c>
      <c r="E193" t="inlineStr">
        <is>
          <t>https://lpjk.pu.go.id/search-badan-usaha-detail/SjU5NnVjWUt4c0FpUno2SzhzMVBDUT09</t>
        </is>
      </c>
      <c r="F193" t="n">
        <v>1</v>
      </c>
      <c r="G193" t="inlineStr">
        <is>
          <t>BG006</t>
        </is>
      </c>
      <c r="H193" t="inlineStr">
        <is>
          <t>15 November 1994</t>
        </is>
      </c>
      <c r="I193" s="2" t="n">
        <v>46195</v>
      </c>
      <c r="J193" t="inlineStr">
        <is>
          <t>Pencabutan</t>
        </is>
      </c>
      <c r="K193" t="n">
        <v>30</v>
      </c>
      <c r="L193" t="inlineStr">
        <is>
          <t>22 Juni 2026</t>
        </is>
      </c>
      <c r="M193" t="inlineStr">
        <is>
          <t>Konstruksi Gedung Pendidikan</t>
        </is>
      </c>
      <c r="N193" t="inlineStr">
        <is>
          <t>K</t>
        </is>
      </c>
      <c r="O193" t="inlineStr">
        <is>
          <t>20230622</t>
        </is>
      </c>
      <c r="P193" t="inlineStr">
        <is>
          <t>Sulawesi Tenggara</t>
        </is>
      </c>
      <c r="Q193" t="inlineStr"/>
    </row>
    <row r="194">
      <c r="A194" t="inlineStr">
        <is>
          <t>SAKHA PRATAMA</t>
        </is>
      </c>
      <c r="B194" t="inlineStr">
        <is>
          <t>Kota Blitar</t>
        </is>
      </c>
      <c r="C194" t="inlineStr">
        <is>
          <t>081333995936</t>
        </is>
      </c>
      <c r="D194" t="inlineStr">
        <is>
          <t>cv.sakha_pratama@yahoo.com</t>
        </is>
      </c>
      <c r="E194" t="inlineStr">
        <is>
          <t>https://lpjk.pu.go.id/search-badan-usaha-detail/QktOTDFCMjdMN1RXN1VZczJ3dkRWQT09</t>
        </is>
      </c>
      <c r="F194" t="n">
        <v>3</v>
      </c>
      <c r="G194" t="inlineStr">
        <is>
          <t>BG002, BG006, BS001</t>
        </is>
      </c>
      <c r="H194" t="inlineStr">
        <is>
          <t>22 Juni 2012</t>
        </is>
      </c>
      <c r="I194" s="2" t="n">
        <v>46195</v>
      </c>
      <c r="J194" t="inlineStr">
        <is>
          <t>Disetujui</t>
        </is>
      </c>
      <c r="K194" t="n">
        <v>30</v>
      </c>
      <c r="L194" t="inlineStr">
        <is>
          <t>22 Juni 2026</t>
        </is>
      </c>
      <c r="M194" t="inlineStr">
        <is>
          <t>Konstruksi Bangunan Sipil Jalan, Konstruksi Gedung Pendidikan, Konstruksi Gedung Perkantoran</t>
        </is>
      </c>
      <c r="N194" t="inlineStr">
        <is>
          <t>K</t>
        </is>
      </c>
      <c r="O194" t="inlineStr">
        <is>
          <t>20230621, 20230622</t>
        </is>
      </c>
      <c r="P194" t="inlineStr">
        <is>
          <t>Jawa Timur</t>
        </is>
      </c>
      <c r="Q194" t="inlineStr"/>
    </row>
    <row r="195">
      <c r="A195" t="inlineStr">
        <is>
          <t>SAMUDRA JAYA KONSULTAN</t>
        </is>
      </c>
      <c r="B195" t="inlineStr">
        <is>
          <t>Kab. Indramayu</t>
        </is>
      </c>
      <c r="C195" t="inlineStr">
        <is>
          <t>-</t>
        </is>
      </c>
      <c r="D195" t="inlineStr">
        <is>
          <t>-</t>
        </is>
      </c>
      <c r="E195" t="inlineStr">
        <is>
          <t>https://lpjk.pu.go.id/search-badan-usaha-detail/S3YzNUlCUEJrZkpEUnlYTGM0SUdQdz09</t>
        </is>
      </c>
      <c r="F195" t="n">
        <v>4</v>
      </c>
      <c r="G195" t="inlineStr">
        <is>
          <t>AR001, AR002, RK001, RK002</t>
        </is>
      </c>
      <c r="H195" t="inlineStr">
        <is>
          <t>7 Februari 2014</t>
        </is>
      </c>
      <c r="I195" s="2" t="n">
        <v>46195</v>
      </c>
      <c r="J195" t="inlineStr">
        <is>
          <t>Disetujui</t>
        </is>
      </c>
      <c r="K195" t="n">
        <v>30</v>
      </c>
      <c r="L195" t="inlineStr">
        <is>
          <t>22 Juni 2026</t>
        </is>
      </c>
      <c r="M195" t="inlineStr">
        <is>
          <t>Jasa Arsitektural Bangunan Gedung Hunian dan Non Hunian, Jasa Arsitektural Lainnya, Jasa Rekayasa Konstruksi Bangunan Gedung Hunian dan Non Hunian, Jasa Rekayasa Pekerjaan Teknik Sipil Sumber Daya Air</t>
        </is>
      </c>
      <c r="N195" t="inlineStr">
        <is>
          <t>K</t>
        </is>
      </c>
      <c r="O195" t="inlineStr">
        <is>
          <t>20230606</t>
        </is>
      </c>
      <c r="P195" t="inlineStr">
        <is>
          <t>Jawa Barat</t>
        </is>
      </c>
      <c r="Q195" t="inlineStr"/>
    </row>
    <row r="196">
      <c r="A196" t="inlineStr">
        <is>
          <t>SANGKAROPI MANDIRI</t>
        </is>
      </c>
      <c r="B196" t="inlineStr">
        <is>
          <t>Kota Kendari</t>
        </is>
      </c>
      <c r="C196" t="inlineStr">
        <is>
          <t>085340427609</t>
        </is>
      </c>
      <c r="D196" t="inlineStr">
        <is>
          <t>sangkaropimandiri@gmail.com</t>
        </is>
      </c>
      <c r="E196" t="inlineStr">
        <is>
          <t>https://lpjk.pu.go.id/search-badan-usaha-detail/WWFGeG5iMkFLZzg4L1VLR3lYMGppdz09</t>
        </is>
      </c>
      <c r="F196" t="n">
        <v>1</v>
      </c>
      <c r="G196" t="inlineStr">
        <is>
          <t>BG005</t>
        </is>
      </c>
      <c r="H196" t="inlineStr">
        <is>
          <t>16 Agustus 2021</t>
        </is>
      </c>
      <c r="I196" s="2" t="n">
        <v>46195</v>
      </c>
      <c r="J196" t="inlineStr">
        <is>
          <t>Disetujui</t>
        </is>
      </c>
      <c r="K196" t="n">
        <v>30</v>
      </c>
      <c r="L196" t="inlineStr">
        <is>
          <t>22 Juni 2026</t>
        </is>
      </c>
      <c r="M196" t="inlineStr">
        <is>
          <t>Konstruksi Gedung Kesehatan</t>
        </is>
      </c>
      <c r="N196" t="inlineStr">
        <is>
          <t>K</t>
        </is>
      </c>
      <c r="O196" t="inlineStr">
        <is>
          <t>20230621</t>
        </is>
      </c>
      <c r="P196" t="inlineStr">
        <is>
          <t>Sulawesi Tenggara</t>
        </is>
      </c>
      <c r="Q196" t="inlineStr"/>
    </row>
    <row r="197">
      <c r="A197" t="inlineStr">
        <is>
          <t>SARANA LANCAR ABADI</t>
        </is>
      </c>
      <c r="B197" t="inlineStr">
        <is>
          <t>Kab. Tangerang</t>
        </is>
      </c>
      <c r="C197" t="inlineStr">
        <is>
          <t>02129222999</t>
        </is>
      </c>
      <c r="D197" t="inlineStr">
        <is>
          <t>Saranagroup.sla@gmail.com</t>
        </is>
      </c>
      <c r="E197" t="inlineStr">
        <is>
          <t>https://lpjk.pu.go.id/search-badan-usaha-detail/NElOS3hVMEgvSm9TWHRTY0lSYXVIUT09</t>
        </is>
      </c>
      <c r="F197" t="n">
        <v>1</v>
      </c>
      <c r="G197" t="inlineStr">
        <is>
          <t>BS001</t>
        </is>
      </c>
      <c r="H197" t="inlineStr">
        <is>
          <t>30 Oktober 2019</t>
        </is>
      </c>
      <c r="I197" s="2" t="n">
        <v>46195</v>
      </c>
      <c r="J197" t="inlineStr">
        <is>
          <t>Pencabutan</t>
        </is>
      </c>
      <c r="K197" t="n">
        <v>30</v>
      </c>
      <c r="L197" t="inlineStr">
        <is>
          <t>22 Juni 2026</t>
        </is>
      </c>
      <c r="M197" t="inlineStr">
        <is>
          <t>Konstruksi Bangunan Sipil Jalan</t>
        </is>
      </c>
      <c r="N197" t="inlineStr">
        <is>
          <t>K</t>
        </is>
      </c>
      <c r="O197" t="inlineStr">
        <is>
          <t>20230621</t>
        </is>
      </c>
      <c r="P197" t="inlineStr">
        <is>
          <t>Banten</t>
        </is>
      </c>
      <c r="Q197" t="inlineStr"/>
    </row>
    <row r="198">
      <c r="A198" t="inlineStr">
        <is>
          <t>SARI KASIH</t>
        </is>
      </c>
      <c r="B198" t="inlineStr">
        <is>
          <t>Kota Medan</t>
        </is>
      </c>
      <c r="C198" t="inlineStr">
        <is>
          <t>081361686305</t>
        </is>
      </c>
      <c r="D198" t="inlineStr">
        <is>
          <t>cv.sarikasih@yahoo.co.id</t>
        </is>
      </c>
      <c r="E198" t="inlineStr">
        <is>
          <t>https://lpjk.pu.go.id/search-badan-usaha-detail/VE85M1Z1WWM0RmZtelVkMFlaelZQUT09</t>
        </is>
      </c>
      <c r="F198" t="n">
        <v>1</v>
      </c>
      <c r="G198" t="inlineStr">
        <is>
          <t>BS002</t>
        </is>
      </c>
      <c r="H198" t="inlineStr">
        <is>
          <t>28 Juni 2007</t>
        </is>
      </c>
      <c r="I198" s="2" t="n">
        <v>46195</v>
      </c>
      <c r="J198" t="inlineStr">
        <is>
          <t>Disetujui</t>
        </is>
      </c>
      <c r="K198" t="n">
        <v>30</v>
      </c>
      <c r="L198" t="inlineStr">
        <is>
          <t>22 Juni 2026</t>
        </is>
      </c>
      <c r="M198" t="inlineStr">
        <is>
          <t>Bangunan Sipil Jembatan, Jalan Layang, Fly Over, dan Underpass</t>
        </is>
      </c>
      <c r="N198" t="inlineStr">
        <is>
          <t>K</t>
        </is>
      </c>
      <c r="O198" t="inlineStr">
        <is>
          <t>20230621</t>
        </is>
      </c>
      <c r="P198" t="inlineStr">
        <is>
          <t>Sumatera Utara</t>
        </is>
      </c>
      <c r="Q198" t="inlineStr"/>
    </row>
    <row r="199">
      <c r="A199" t="inlineStr">
        <is>
          <t>SARI RAYA</t>
        </is>
      </c>
      <c r="B199" t="inlineStr">
        <is>
          <t>Kab. Jember</t>
        </is>
      </c>
      <c r="C199" t="inlineStr">
        <is>
          <t>082245060123</t>
        </is>
      </c>
      <c r="D199" t="inlineStr">
        <is>
          <t>sari_raya10@yahoo.co.id</t>
        </is>
      </c>
      <c r="E199" t="inlineStr">
        <is>
          <t>https://lpjk.pu.go.id/search-badan-usaha-detail/K09BeVdxZTRFU2xnZWR6dlhNTmU2QT09</t>
        </is>
      </c>
      <c r="F199" t="n">
        <v>1</v>
      </c>
      <c r="G199" t="inlineStr">
        <is>
          <t>BG004</t>
        </is>
      </c>
      <c r="H199" t="inlineStr">
        <is>
          <t>20 Juli 1989</t>
        </is>
      </c>
      <c r="I199" s="2" t="n">
        <v>46195</v>
      </c>
      <c r="J199" t="inlineStr">
        <is>
          <t>Disetujui</t>
        </is>
      </c>
      <c r="K199" t="n">
        <v>30</v>
      </c>
      <c r="L199" t="inlineStr">
        <is>
          <t>22 Juni 2026</t>
        </is>
      </c>
      <c r="M199" t="inlineStr">
        <is>
          <t>Konstruksi Gedung Perbelanjaan</t>
        </is>
      </c>
      <c r="N199" t="inlineStr">
        <is>
          <t>K</t>
        </is>
      </c>
      <c r="O199" t="inlineStr">
        <is>
          <t>20230621</t>
        </is>
      </c>
      <c r="P199" t="inlineStr">
        <is>
          <t>Jawa Timur</t>
        </is>
      </c>
      <c r="Q199" t="inlineStr"/>
    </row>
    <row r="200">
      <c r="A200" t="inlineStr">
        <is>
          <t>SEKAR ARUM ABADI</t>
        </is>
      </c>
      <c r="B200" t="inlineStr">
        <is>
          <t>Kab. Gresik</t>
        </is>
      </c>
      <c r="C200" t="inlineStr">
        <is>
          <t>082229554546</t>
        </is>
      </c>
      <c r="D200" t="inlineStr">
        <is>
          <t>cv.sekararumabadi@gmail.com</t>
        </is>
      </c>
      <c r="E200" t="inlineStr">
        <is>
          <t>https://lpjk.pu.go.id/search-badan-usaha-detail/T2NyRG1BMFg0czR2eUNHQU5aYkxOZz09</t>
        </is>
      </c>
      <c r="F200" t="n">
        <v>4</v>
      </c>
      <c r="G200" t="inlineStr">
        <is>
          <t>BG005, BG008</t>
        </is>
      </c>
      <c r="H200" t="inlineStr">
        <is>
          <t>24 Februari 2020</t>
        </is>
      </c>
      <c r="I200" s="2" t="n">
        <v>46195</v>
      </c>
      <c r="J200" t="inlineStr">
        <is>
          <t>Disetujui</t>
        </is>
      </c>
      <c r="K200" t="n">
        <v>30</v>
      </c>
      <c r="L200" t="inlineStr">
        <is>
          <t>22 Juni 2026</t>
        </is>
      </c>
      <c r="M200" t="inlineStr">
        <is>
          <t>Konstruksi Gedung Kesehatan, Konstruksi Gedung Tempat Hiburan dan Olahraga</t>
        </is>
      </c>
      <c r="N200" t="inlineStr">
        <is>
          <t>K</t>
        </is>
      </c>
      <c r="O200" t="inlineStr">
        <is>
          <t>20230619</t>
        </is>
      </c>
      <c r="P200" t="inlineStr">
        <is>
          <t>Jawa Timur</t>
        </is>
      </c>
      <c r="Q200" t="inlineStr"/>
    </row>
    <row r="201">
      <c r="A201" t="inlineStr">
        <is>
          <t>SEKAWAN JAYA ABADI</t>
        </is>
      </c>
      <c r="B201" t="inlineStr">
        <is>
          <t>Kota Padang</t>
        </is>
      </c>
      <c r="C201" t="inlineStr">
        <is>
          <t>081261648836</t>
        </is>
      </c>
      <c r="D201" t="inlineStr">
        <is>
          <t>cvsekawanjayaabadi@gmail.com</t>
        </is>
      </c>
      <c r="E201" t="inlineStr">
        <is>
          <t>https://lpjk.pu.go.id/search-badan-usaha-detail/UlVJZjZsRkNmbDBkWlZEeXhuQlFDZz09</t>
        </is>
      </c>
      <c r="F201" t="n">
        <v>4</v>
      </c>
      <c r="G201" t="inlineStr">
        <is>
          <t>BG006, BG009</t>
        </is>
      </c>
      <c r="H201" t="inlineStr">
        <is>
          <t>5 Desember 2020</t>
        </is>
      </c>
      <c r="I201" s="2" t="n">
        <v>46195</v>
      </c>
      <c r="J201" t="inlineStr">
        <is>
          <t>Pencabutan</t>
        </is>
      </c>
      <c r="K201" t="n">
        <v>30</v>
      </c>
      <c r="L201" t="inlineStr">
        <is>
          <t>22 Juni 2026</t>
        </is>
      </c>
      <c r="M201" t="inlineStr">
        <is>
          <t>Konstruksi Gedung Lainnya, Konstruksi Gedung Pendidikan</t>
        </is>
      </c>
      <c r="N201" t="inlineStr">
        <is>
          <t>K</t>
        </is>
      </c>
      <c r="O201" t="inlineStr">
        <is>
          <t>20230622</t>
        </is>
      </c>
      <c r="P201" t="inlineStr">
        <is>
          <t>Sumatera Barat</t>
        </is>
      </c>
      <c r="Q201" t="inlineStr"/>
    </row>
    <row r="202">
      <c r="A202" t="inlineStr">
        <is>
          <t>SEMBILAN PULUH SEMBILAN</t>
        </is>
      </c>
      <c r="B202" t="inlineStr">
        <is>
          <t>Kab. Pasuruan</t>
        </is>
      </c>
      <c r="C202" t="inlineStr">
        <is>
          <t>081217831601</t>
        </is>
      </c>
      <c r="D202" t="inlineStr">
        <is>
          <t>sembilanorang997@gmail.com</t>
        </is>
      </c>
      <c r="E202" t="inlineStr">
        <is>
          <t>https://lpjk.pu.go.id/search-badan-usaha-detail/akdZSE9EYVVPQWlsUW8xaVBUMmMzZz09</t>
        </is>
      </c>
      <c r="F202" t="n">
        <v>1</v>
      </c>
      <c r="G202" t="inlineStr">
        <is>
          <t>BS001</t>
        </is>
      </c>
      <c r="H202" t="inlineStr">
        <is>
          <t>24 Agustus 2022</t>
        </is>
      </c>
      <c r="I202" s="2" t="n">
        <v>46195</v>
      </c>
      <c r="J202" t="inlineStr">
        <is>
          <t>Disetujui</t>
        </is>
      </c>
      <c r="K202" t="n">
        <v>30</v>
      </c>
      <c r="L202" t="inlineStr">
        <is>
          <t>22 Juni 2026</t>
        </is>
      </c>
      <c r="M202" t="inlineStr">
        <is>
          <t>Konstruksi Bangunan Sipil Jalan</t>
        </is>
      </c>
      <c r="N202" t="inlineStr">
        <is>
          <t>K</t>
        </is>
      </c>
      <c r="O202" t="inlineStr">
        <is>
          <t>20230619</t>
        </is>
      </c>
      <c r="P202" t="inlineStr">
        <is>
          <t>Jawa Timur</t>
        </is>
      </c>
      <c r="Q202" t="inlineStr"/>
    </row>
    <row r="203">
      <c r="A203" t="inlineStr">
        <is>
          <t>SENIHASTA GRAHA DESAIN</t>
        </is>
      </c>
      <c r="B203" t="inlineStr">
        <is>
          <t>Kab. Banjarnegara</t>
        </is>
      </c>
      <c r="C203" t="inlineStr">
        <is>
          <t>082242292942</t>
        </is>
      </c>
      <c r="D203" t="inlineStr">
        <is>
          <t>senihastagrahadesain@gmail.com</t>
        </is>
      </c>
      <c r="E203" t="inlineStr">
        <is>
          <t>https://lpjk.pu.go.id/search-badan-usaha-detail/V0huRFJ4Vm1lMTNmazlidmV6aTU2Zz09</t>
        </is>
      </c>
      <c r="F203" t="n">
        <v>4</v>
      </c>
      <c r="G203" t="inlineStr">
        <is>
          <t>AR001, RK001, RK002, RK003</t>
        </is>
      </c>
      <c r="H203" t="inlineStr">
        <is>
          <t>20 September 2017</t>
        </is>
      </c>
      <c r="I203" s="2" t="n">
        <v>46195</v>
      </c>
      <c r="J203" t="inlineStr">
        <is>
          <t>Disetujui</t>
        </is>
      </c>
      <c r="K203" t="n">
        <v>30</v>
      </c>
      <c r="L203" t="inlineStr">
        <is>
          <t>22 Juni 2026</t>
        </is>
      </c>
      <c r="M203" t="inlineStr">
        <is>
          <t>Jasa Arsitektural Bangunan Gedung Hunian dan Non Hunian, Jasa Rekayasa Konstruksi Bangunan Gedung Hunian dan Non Hunian, Jasa Rekayasa Pekerjaan Teknik Sipil Sumber Daya Air, Jasa Rekayasa Pekerjaan Teknik Sipil Transportasi</t>
        </is>
      </c>
      <c r="N203" t="inlineStr">
        <is>
          <t>K</t>
        </is>
      </c>
      <c r="O203" t="inlineStr">
        <is>
          <t>20230511, 20230612</t>
        </is>
      </c>
      <c r="P203" t="inlineStr">
        <is>
          <t>Jawa Tengah</t>
        </is>
      </c>
      <c r="Q203" t="inlineStr"/>
    </row>
    <row r="204">
      <c r="A204" t="inlineStr">
        <is>
          <t>SENTRAL JAYA</t>
        </is>
      </c>
      <c r="B204" t="inlineStr">
        <is>
          <t>Kota Pontianak</t>
        </is>
      </c>
      <c r="C204" t="inlineStr">
        <is>
          <t>082148852288</t>
        </is>
      </c>
      <c r="D204" t="inlineStr">
        <is>
          <t>sentraljaya.2008@gmail.com</t>
        </is>
      </c>
      <c r="E204" t="inlineStr">
        <is>
          <t>https://lpjk.pu.go.id/search-badan-usaha-detail/R0VBVVIrNDhQYmdGdEY4WjZKd0QrUT09</t>
        </is>
      </c>
      <c r="F204" t="n">
        <v>2</v>
      </c>
      <c r="G204" t="inlineStr">
        <is>
          <t>BS004</t>
        </is>
      </c>
      <c r="H204" t="inlineStr">
        <is>
          <t>27 Maret 2008</t>
        </is>
      </c>
      <c r="I204" s="2" t="n">
        <v>46195</v>
      </c>
      <c r="J204" t="inlineStr">
        <is>
          <t>Disetujui</t>
        </is>
      </c>
      <c r="K204" t="n">
        <v>30</v>
      </c>
      <c r="L204" t="inlineStr">
        <is>
          <t>22 Juni 2026</t>
        </is>
      </c>
      <c r="M204" t="inlineStr">
        <is>
          <t>Konstruksi Jaringan Irigasi dan Drainase</t>
        </is>
      </c>
      <c r="N204" t="inlineStr">
        <is>
          <t>K</t>
        </is>
      </c>
      <c r="O204" t="inlineStr">
        <is>
          <t>20230621</t>
        </is>
      </c>
      <c r="P204" t="inlineStr">
        <is>
          <t>Kalimantan Barat</t>
        </is>
      </c>
      <c r="Q204" t="inlineStr"/>
    </row>
    <row r="205">
      <c r="A205" t="inlineStr">
        <is>
          <t>SHANDY PUTRA</t>
        </is>
      </c>
      <c r="B205" t="inlineStr">
        <is>
          <t>Kota Jambi</t>
        </is>
      </c>
      <c r="C205" t="inlineStr">
        <is>
          <t>085266428855</t>
        </is>
      </c>
      <c r="D205" t="inlineStr">
        <is>
          <t>cv.shandyputra1@gmail.com</t>
        </is>
      </c>
      <c r="E205" t="inlineStr">
        <is>
          <t>https://lpjk.pu.go.id/search-badan-usaha-detail/T0lKNnNYR29ZUWRYYUtzR0drUHp2UT09</t>
        </is>
      </c>
      <c r="F205" t="n">
        <v>2</v>
      </c>
      <c r="G205" t="inlineStr">
        <is>
          <t>BS001, BS002</t>
        </is>
      </c>
      <c r="H205" t="inlineStr">
        <is>
          <t>22 Januari 2018</t>
        </is>
      </c>
      <c r="I205" s="2" t="n">
        <v>46195</v>
      </c>
      <c r="J205" t="inlineStr">
        <is>
          <t>Disetujui</t>
        </is>
      </c>
      <c r="K205" t="n">
        <v>30</v>
      </c>
      <c r="L205" t="inlineStr">
        <is>
          <t>22 Juni 2026</t>
        </is>
      </c>
      <c r="M205" t="inlineStr">
        <is>
          <t>Bangunan Sipil Jembatan, Jalan Layang, Fly Over, dan Underpass, Konstruksi Bangunan Sipil Jalan</t>
        </is>
      </c>
      <c r="N205" t="inlineStr">
        <is>
          <t>K</t>
        </is>
      </c>
      <c r="O205" t="inlineStr">
        <is>
          <t>20230607, 20230622</t>
        </is>
      </c>
      <c r="P205" t="inlineStr">
        <is>
          <t>Jambi</t>
        </is>
      </c>
      <c r="Q205" t="inlineStr"/>
    </row>
    <row r="206">
      <c r="A206" t="inlineStr">
        <is>
          <t>SIGMA</t>
        </is>
      </c>
      <c r="B206" t="inlineStr">
        <is>
          <t>Kab. Bangkalan</t>
        </is>
      </c>
      <c r="C206" t="inlineStr">
        <is>
          <t>82333644451</t>
        </is>
      </c>
      <c r="D206" t="inlineStr">
        <is>
          <t>sigmacv_endang@yahoo.com</t>
        </is>
      </c>
      <c r="E206" t="inlineStr">
        <is>
          <t>https://lpjk.pu.go.id/search-badan-usaha-detail/MGxyV1k4V1hHV2NJZFN4NlE3NTcyUT09</t>
        </is>
      </c>
      <c r="F206" t="n">
        <v>2</v>
      </c>
      <c r="G206" t="inlineStr">
        <is>
          <t>BS001</t>
        </is>
      </c>
      <c r="H206" t="inlineStr">
        <is>
          <t>26 Januari 1982</t>
        </is>
      </c>
      <c r="I206" s="2" t="n">
        <v>46195</v>
      </c>
      <c r="J206" t="inlineStr">
        <is>
          <t>Pencabutan</t>
        </is>
      </c>
      <c r="K206" t="n">
        <v>30</v>
      </c>
      <c r="L206" t="inlineStr">
        <is>
          <t>22 Juni 2026</t>
        </is>
      </c>
      <c r="M206" t="inlineStr">
        <is>
          <t>Konstruksi Bangunan Sipil Jalan</t>
        </is>
      </c>
      <c r="N206" t="inlineStr">
        <is>
          <t>K</t>
        </is>
      </c>
      <c r="O206" t="inlineStr">
        <is>
          <t>20230622</t>
        </is>
      </c>
      <c r="P206" t="inlineStr">
        <is>
          <t>Jawa Timur</t>
        </is>
      </c>
      <c r="Q206" t="inlineStr"/>
    </row>
    <row r="207">
      <c r="A207" t="inlineStr">
        <is>
          <t>SINAR CENDERAWASIH</t>
        </is>
      </c>
      <c r="B207" t="inlineStr">
        <is>
          <t>Kab. Kepulauan Yapen</t>
        </is>
      </c>
      <c r="C207" t="inlineStr">
        <is>
          <t>081296760009</t>
        </is>
      </c>
      <c r="D207" t="inlineStr">
        <is>
          <t>sinarcendrawasih@gmail.com</t>
        </is>
      </c>
      <c r="E207" t="inlineStr">
        <is>
          <t>https://lpjk.pu.go.id/search-badan-usaha-detail/SGVkMkFoQjNDODlzYWcxQ3Y5dWVmZz09</t>
        </is>
      </c>
      <c r="F207" t="n">
        <v>1</v>
      </c>
      <c r="G207" t="inlineStr">
        <is>
          <t>BG001</t>
        </is>
      </c>
      <c r="H207" t="inlineStr">
        <is>
          <t>7 Maret 2023</t>
        </is>
      </c>
      <c r="I207" s="2" t="n">
        <v>46195</v>
      </c>
      <c r="J207" t="inlineStr">
        <is>
          <t>Disetujui</t>
        </is>
      </c>
      <c r="K207" t="n">
        <v>30</v>
      </c>
      <c r="L207" t="inlineStr">
        <is>
          <t>22 Juni 2026</t>
        </is>
      </c>
      <c r="M207" t="inlineStr">
        <is>
          <t>Konstruksi Gedung Hunian</t>
        </is>
      </c>
      <c r="N207" t="inlineStr">
        <is>
          <t>K</t>
        </is>
      </c>
      <c r="O207" t="inlineStr">
        <is>
          <t>20230622</t>
        </is>
      </c>
      <c r="P207" t="inlineStr">
        <is>
          <t>Papua</t>
        </is>
      </c>
      <c r="Q207" t="inlineStr"/>
    </row>
    <row r="208">
      <c r="A208" t="inlineStr">
        <is>
          <t>SINAR FADILLAH</t>
        </is>
      </c>
      <c r="B208" t="inlineStr">
        <is>
          <t>Kab. Tebo</t>
        </is>
      </c>
      <c r="C208" t="inlineStr">
        <is>
          <t>085266331776</t>
        </is>
      </c>
      <c r="D208" t="inlineStr">
        <is>
          <t>cvsinarfadillah@gmail.com</t>
        </is>
      </c>
      <c r="E208" t="inlineStr">
        <is>
          <t>https://lpjk.pu.go.id/search-badan-usaha-detail/Sjc2b29DTUVaME1tS1hGOXdwanJUdz09</t>
        </is>
      </c>
      <c r="F208" t="n">
        <v>1</v>
      </c>
      <c r="G208" t="inlineStr">
        <is>
          <t>BS004</t>
        </is>
      </c>
      <c r="H208" t="inlineStr">
        <is>
          <t>8 Oktober 2020</t>
        </is>
      </c>
      <c r="I208" s="2" t="n">
        <v>46195</v>
      </c>
      <c r="J208" t="inlineStr">
        <is>
          <t>Disetujui</t>
        </is>
      </c>
      <c r="K208" t="n">
        <v>30</v>
      </c>
      <c r="L208" t="inlineStr">
        <is>
          <t>22 Juni 2026</t>
        </is>
      </c>
      <c r="M208" t="inlineStr">
        <is>
          <t>Konstruksi Jaringan Irigasi dan Drainase</t>
        </is>
      </c>
      <c r="N208" t="inlineStr">
        <is>
          <t>K</t>
        </is>
      </c>
      <c r="O208" t="inlineStr">
        <is>
          <t>20230301</t>
        </is>
      </c>
      <c r="P208" t="inlineStr">
        <is>
          <t>Jambi</t>
        </is>
      </c>
      <c r="Q208" t="inlineStr"/>
    </row>
    <row r="209">
      <c r="A209" t="inlineStr">
        <is>
          <t>SINAR KEBUMEN PERKASA</t>
        </is>
      </c>
      <c r="B209" t="inlineStr">
        <is>
          <t>Kab. Kebumen</t>
        </is>
      </c>
      <c r="C209" t="inlineStr">
        <is>
          <t>085225161666</t>
        </is>
      </c>
      <c r="D209" t="inlineStr">
        <is>
          <t>skpkebumen@yahoo.com</t>
        </is>
      </c>
      <c r="E209" t="inlineStr">
        <is>
          <t>https://lpjk.pu.go.id/search-badan-usaha-detail/NFpPWkhiTE93T2tIZ3daTEZVRExrdz09</t>
        </is>
      </c>
      <c r="F209" t="n">
        <v>1</v>
      </c>
      <c r="G209" t="inlineStr">
        <is>
          <t>BS001</t>
        </is>
      </c>
      <c r="H209" t="inlineStr">
        <is>
          <t>24 Januari 2005</t>
        </is>
      </c>
      <c r="I209" s="2" t="n">
        <v>46195</v>
      </c>
      <c r="J209" t="inlineStr">
        <is>
          <t>Disetujui</t>
        </is>
      </c>
      <c r="K209" t="n">
        <v>30</v>
      </c>
      <c r="L209" t="inlineStr">
        <is>
          <t>22 Juni 2026</t>
        </is>
      </c>
      <c r="M209" t="inlineStr">
        <is>
          <t>Konstruksi Bangunan Sipil Jalan</t>
        </is>
      </c>
      <c r="N209" t="inlineStr">
        <is>
          <t>K</t>
        </is>
      </c>
      <c r="O209" t="inlineStr">
        <is>
          <t>20230620</t>
        </is>
      </c>
      <c r="P209" t="inlineStr">
        <is>
          <t>Jawa Tengah</t>
        </is>
      </c>
      <c r="Q209" t="inlineStr"/>
    </row>
    <row r="210">
      <c r="A210" t="inlineStr">
        <is>
          <t>SINAR TIMUR DRILLINDO</t>
        </is>
      </c>
      <c r="B210" t="inlineStr">
        <is>
          <t>Kota Tangerang Selatan</t>
        </is>
      </c>
      <c r="C210" t="inlineStr">
        <is>
          <t>02166841048</t>
        </is>
      </c>
      <c r="D210" t="inlineStr">
        <is>
          <t>mjsirait@gmail.com</t>
        </is>
      </c>
      <c r="E210" t="inlineStr">
        <is>
          <t>https://lpjk.pu.go.id/search-badan-usaha-detail/T3hMQXNtVlpVd0ZhZjJPampzaWxlZz09</t>
        </is>
      </c>
      <c r="F210" t="n">
        <v>1</v>
      </c>
      <c r="G210" t="inlineStr">
        <is>
          <t>PL005</t>
        </is>
      </c>
      <c r="H210" t="inlineStr">
        <is>
          <t>10 Mei 2011</t>
        </is>
      </c>
      <c r="I210" s="2" t="n">
        <v>46195</v>
      </c>
      <c r="J210" t="inlineStr">
        <is>
          <t>Pembekuan</t>
        </is>
      </c>
      <c r="K210" t="n">
        <v>30</v>
      </c>
      <c r="L210" t="inlineStr">
        <is>
          <t>22 Juni 2026</t>
        </is>
      </c>
      <c r="M210" t="inlineStr">
        <is>
          <t>Pembuatan/Pengeboran Sumur Air Tanah</t>
        </is>
      </c>
      <c r="N210" t="inlineStr">
        <is>
          <t>Spesialis</t>
        </is>
      </c>
      <c r="O210" t="inlineStr">
        <is>
          <t>20230619</t>
        </is>
      </c>
      <c r="P210" t="inlineStr">
        <is>
          <t>Banten</t>
        </is>
      </c>
      <c r="Q210" t="inlineStr"/>
    </row>
    <row r="211">
      <c r="A211" t="inlineStr">
        <is>
          <t>SINERGI BANYUBENING</t>
        </is>
      </c>
      <c r="B211" t="inlineStr">
        <is>
          <t>Kab. Garut</t>
        </is>
      </c>
      <c r="C211" t="inlineStr">
        <is>
          <t>085314781956</t>
        </is>
      </c>
      <c r="D211" t="inlineStr">
        <is>
          <t>cv.sinergibanyubening@gmail.com</t>
        </is>
      </c>
      <c r="E211" t="inlineStr">
        <is>
          <t>https://lpjk.pu.go.id/search-badan-usaha-detail/VE5VWmRpWUxQbUt0bTJUT2tVLzVJdz09</t>
        </is>
      </c>
      <c r="F211" t="n">
        <v>5</v>
      </c>
      <c r="G211" t="inlineStr">
        <is>
          <t>BG006, BG009, BS001, BS002, BS004</t>
        </is>
      </c>
      <c r="H211" t="inlineStr">
        <is>
          <t>10 Juli 2019</t>
        </is>
      </c>
      <c r="I211" s="2" t="n">
        <v>46195</v>
      </c>
      <c r="J211" t="inlineStr">
        <is>
          <t>Disetujui</t>
        </is>
      </c>
      <c r="K211" t="n">
        <v>30</v>
      </c>
      <c r="L211" t="inlineStr">
        <is>
          <t>22 Juni 2026</t>
        </is>
      </c>
      <c r="M211" t="inlineStr">
        <is>
          <t>Bangunan Sipil Jembatan, Jalan Layang, Fly Over, dan Underpass, Konstruksi Bangunan Sipil Jalan, Konstruksi Gedung Lainnya, Konstruksi Gedung Pendidikan, Konstruksi Jaringan Irigasi dan Drainase</t>
        </is>
      </c>
      <c r="N211" t="inlineStr">
        <is>
          <t>K</t>
        </is>
      </c>
      <c r="O211" t="inlineStr">
        <is>
          <t>20230622</t>
        </is>
      </c>
      <c r="P211" t="inlineStr">
        <is>
          <t>Jawa Barat</t>
        </is>
      </c>
      <c r="Q211" t="inlineStr"/>
    </row>
    <row r="212">
      <c r="A212" t="inlineStr">
        <is>
          <t>SOFIL MIRZA PRATAMA</t>
        </is>
      </c>
      <c r="B212" t="inlineStr">
        <is>
          <t>Kota Palopo</t>
        </is>
      </c>
      <c r="C212" t="inlineStr">
        <is>
          <t>085256487216</t>
        </is>
      </c>
      <c r="D212" t="inlineStr">
        <is>
          <t>pt.sofilmirzapratama@gmail.com</t>
        </is>
      </c>
      <c r="E212" t="inlineStr">
        <is>
          <t>https://lpjk.pu.go.id/search-badan-usaha-detail/dWNMVGFMWW5GaFQ5RzZzVEJrdnovdz09</t>
        </is>
      </c>
      <c r="F212" t="n">
        <v>1</v>
      </c>
      <c r="G212" t="inlineStr">
        <is>
          <t>BG001</t>
        </is>
      </c>
      <c r="H212" t="inlineStr">
        <is>
          <t>25 Januari 2011</t>
        </is>
      </c>
      <c r="I212" s="2" t="n">
        <v>46195</v>
      </c>
      <c r="J212" t="inlineStr">
        <is>
          <t>Pencabutan</t>
        </is>
      </c>
      <c r="K212" t="n">
        <v>30</v>
      </c>
      <c r="L212" t="inlineStr">
        <is>
          <t>22 Juni 2026</t>
        </is>
      </c>
      <c r="M212" t="inlineStr">
        <is>
          <t>Konstruksi Gedung Hunian</t>
        </is>
      </c>
      <c r="N212" t="inlineStr">
        <is>
          <t>K</t>
        </is>
      </c>
      <c r="O212" t="inlineStr">
        <is>
          <t>20230622</t>
        </is>
      </c>
      <c r="P212" t="inlineStr">
        <is>
          <t>Sulawesi Selatan</t>
        </is>
      </c>
      <c r="Q212" t="inlineStr"/>
    </row>
    <row r="213">
      <c r="A213" t="inlineStr">
        <is>
          <t>SUKSES CIPTA MANDIRI</t>
        </is>
      </c>
      <c r="B213" t="inlineStr">
        <is>
          <t>Kota Palembang</t>
        </is>
      </c>
      <c r="C213" t="inlineStr">
        <is>
          <t>07115704680</t>
        </is>
      </c>
      <c r="D213" t="inlineStr">
        <is>
          <t>cv.sciptamandiri@gmail.com</t>
        </is>
      </c>
      <c r="E213" t="inlineStr">
        <is>
          <t>https://lpjk.pu.go.id/search-badan-usaha-detail/Z3pTVEdOWE9PeVVWbElEM292UkRiUT09</t>
        </is>
      </c>
      <c r="F213" t="n">
        <v>3</v>
      </c>
      <c r="G213" t="inlineStr">
        <is>
          <t>BG009, BS001, BS004</t>
        </is>
      </c>
      <c r="H213" t="inlineStr">
        <is>
          <t>29 November 2017</t>
        </is>
      </c>
      <c r="I213" s="2" t="n">
        <v>46195</v>
      </c>
      <c r="J213" t="inlineStr">
        <is>
          <t>Disetujui</t>
        </is>
      </c>
      <c r="K213" t="n">
        <v>30</v>
      </c>
      <c r="L213" t="inlineStr">
        <is>
          <t>22 Juni 2026</t>
        </is>
      </c>
      <c r="M213" t="inlineStr">
        <is>
          <t>Konstruksi Bangunan Sipil Jalan, Konstruksi Gedung Lainnya, Konstruksi Jaringan Irigasi dan Drainase</t>
        </is>
      </c>
      <c r="N213" t="inlineStr">
        <is>
          <t>K</t>
        </is>
      </c>
      <c r="O213" t="inlineStr">
        <is>
          <t>20230621, 20230622, 20230623</t>
        </is>
      </c>
      <c r="P213" t="inlineStr">
        <is>
          <t>Sumatera Selatan</t>
        </is>
      </c>
      <c r="Q213" t="inlineStr"/>
    </row>
    <row r="214">
      <c r="A214" t="inlineStr">
        <is>
          <t>SUMBER RESKY ABADI</t>
        </is>
      </c>
      <c r="B214" t="inlineStr">
        <is>
          <t>Kab. Soppeng</t>
        </is>
      </c>
      <c r="C214" t="inlineStr">
        <is>
          <t>081355846777</t>
        </is>
      </c>
      <c r="D214" t="inlineStr">
        <is>
          <t>sumber_resky_abadi@yahoo.co.id</t>
        </is>
      </c>
      <c r="E214" t="inlineStr">
        <is>
          <t>https://lpjk.pu.go.id/search-badan-usaha-detail/bW1sVW1mNjdtTkJEZXNOS1R0Rm9iUT09</t>
        </is>
      </c>
      <c r="F214" t="n">
        <v>1</v>
      </c>
      <c r="G214" t="inlineStr">
        <is>
          <t>BS001</t>
        </is>
      </c>
      <c r="H214" t="inlineStr">
        <is>
          <t>4 Juni 2012</t>
        </is>
      </c>
      <c r="I214" s="2" t="n">
        <v>46195</v>
      </c>
      <c r="J214" t="inlineStr">
        <is>
          <t>Pencabutan</t>
        </is>
      </c>
      <c r="K214" t="n">
        <v>30</v>
      </c>
      <c r="L214" t="inlineStr">
        <is>
          <t>22 Juni 2026</t>
        </is>
      </c>
      <c r="M214" t="inlineStr">
        <is>
          <t>Konstruksi Bangunan Sipil Jalan</t>
        </is>
      </c>
      <c r="N214" t="inlineStr">
        <is>
          <t>K</t>
        </is>
      </c>
      <c r="O214" t="inlineStr">
        <is>
          <t>20230621</t>
        </is>
      </c>
      <c r="P214" t="inlineStr">
        <is>
          <t>Sulawesi Selatan</t>
        </is>
      </c>
      <c r="Q214" t="inlineStr"/>
    </row>
    <row r="215">
      <c r="A215" t="inlineStr">
        <is>
          <t>SURYA ABADI</t>
        </is>
      </c>
      <c r="B215" t="inlineStr">
        <is>
          <t>Kab. Jember</t>
        </is>
      </c>
      <c r="C215" t="inlineStr">
        <is>
          <t>082334637388</t>
        </is>
      </c>
      <c r="D215" t="inlineStr">
        <is>
          <t>abadisurya724@yahoo.com</t>
        </is>
      </c>
      <c r="E215" t="inlineStr">
        <is>
          <t>https://lpjk.pu.go.id/search-badan-usaha-detail/cS9WRTBkMU5NcjNFeXhmS29hKzBXZz09</t>
        </is>
      </c>
      <c r="F215" t="n">
        <v>1</v>
      </c>
      <c r="G215" t="inlineStr">
        <is>
          <t>BS002</t>
        </is>
      </c>
      <c r="H215" t="inlineStr">
        <is>
          <t>11 November 2003</t>
        </is>
      </c>
      <c r="I215" s="2" t="n">
        <v>46195</v>
      </c>
      <c r="J215" t="inlineStr">
        <is>
          <t>Disetujui</t>
        </is>
      </c>
      <c r="K215" t="n">
        <v>30</v>
      </c>
      <c r="L215" t="inlineStr">
        <is>
          <t>22 Juni 2026</t>
        </is>
      </c>
      <c r="M215" t="inlineStr">
        <is>
          <t>Bangunan Sipil Jembatan, Jalan Layang, Fly Over, dan Underpass</t>
        </is>
      </c>
      <c r="N215" t="inlineStr">
        <is>
          <t>K</t>
        </is>
      </c>
      <c r="O215" t="inlineStr">
        <is>
          <t>20230607</t>
        </is>
      </c>
      <c r="P215" t="inlineStr">
        <is>
          <t>Jawa Timur</t>
        </is>
      </c>
      <c r="Q215" t="inlineStr"/>
    </row>
    <row r="216">
      <c r="A216" t="inlineStr">
        <is>
          <t>TAMARO REJEKI</t>
        </is>
      </c>
      <c r="B216" t="inlineStr">
        <is>
          <t>Kota Medan</t>
        </is>
      </c>
      <c r="C216" t="inlineStr">
        <is>
          <t>0811611171</t>
        </is>
      </c>
      <c r="D216" t="inlineStr">
        <is>
          <t>tamaro.rejeki@gmail.com</t>
        </is>
      </c>
      <c r="E216" t="inlineStr">
        <is>
          <t>https://lpjk.pu.go.id/search-badan-usaha-detail/MDNrN2x6RGh5cjQzZHdLWVg2d2NjQT09</t>
        </is>
      </c>
      <c r="F216" t="n">
        <v>2</v>
      </c>
      <c r="G216" t="inlineStr">
        <is>
          <t>BG003</t>
        </is>
      </c>
      <c r="H216" t="inlineStr">
        <is>
          <t>22 Februari 2011</t>
        </is>
      </c>
      <c r="I216" s="2" t="n">
        <v>46195</v>
      </c>
      <c r="J216" t="inlineStr">
        <is>
          <t>Disetujui</t>
        </is>
      </c>
      <c r="K216" t="n">
        <v>30</v>
      </c>
      <c r="L216" t="inlineStr">
        <is>
          <t>22 Juni 2026</t>
        </is>
      </c>
      <c r="M216" t="inlineStr">
        <is>
          <t>Konstruksi Gedung Industri</t>
        </is>
      </c>
      <c r="N216" t="inlineStr">
        <is>
          <t>K</t>
        </is>
      </c>
      <c r="O216" t="inlineStr">
        <is>
          <t>20230613</t>
        </is>
      </c>
      <c r="P216" t="inlineStr">
        <is>
          <t>Sumatera Utara</t>
        </is>
      </c>
      <c r="Q216" t="inlineStr"/>
    </row>
    <row r="217">
      <c r="A217" t="inlineStr">
        <is>
          <t>TARUNA CITAPRASADA</t>
        </is>
      </c>
      <c r="B217" t="inlineStr">
        <is>
          <t>Kab. Kulon Progo</t>
        </is>
      </c>
      <c r="C217" t="inlineStr">
        <is>
          <t>087738316972</t>
        </is>
      </c>
      <c r="D217" t="inlineStr">
        <is>
          <t>tarunacitaprasada@gmail.com</t>
        </is>
      </c>
      <c r="E217" t="inlineStr">
        <is>
          <t>https://lpjk.pu.go.id/search-badan-usaha-detail/TFlNeVlULzkzNUg1RGE5Vlg3akc0dz09</t>
        </is>
      </c>
      <c r="F217" t="n">
        <v>1</v>
      </c>
      <c r="G217" t="inlineStr">
        <is>
          <t>BS004</t>
        </is>
      </c>
      <c r="H217" t="inlineStr">
        <is>
          <t>3 Februari 2023</t>
        </is>
      </c>
      <c r="I217" s="2" t="n">
        <v>46195</v>
      </c>
      <c r="J217" t="inlineStr">
        <is>
          <t>Pencabutan</t>
        </is>
      </c>
      <c r="K217" t="n">
        <v>30</v>
      </c>
      <c r="L217" t="inlineStr">
        <is>
          <t>22 Juni 2026</t>
        </is>
      </c>
      <c r="M217" t="inlineStr">
        <is>
          <t>Konstruksi Jaringan Irigasi dan Drainase</t>
        </is>
      </c>
      <c r="N217" t="inlineStr">
        <is>
          <t>K</t>
        </is>
      </c>
      <c r="O217" t="inlineStr">
        <is>
          <t>20230613</t>
        </is>
      </c>
      <c r="P217" t="inlineStr">
        <is>
          <t>DI Yogyakarta</t>
        </is>
      </c>
      <c r="Q217" t="inlineStr"/>
    </row>
    <row r="218">
      <c r="A218" t="inlineStr">
        <is>
          <t>TEGAR</t>
        </is>
      </c>
      <c r="B218" t="inlineStr">
        <is>
          <t>Kab. Sukabumi</t>
        </is>
      </c>
      <c r="C218" t="inlineStr">
        <is>
          <t>085721880444</t>
        </is>
      </c>
      <c r="D218" t="inlineStr">
        <is>
          <t>cvtegar@gmail.com</t>
        </is>
      </c>
      <c r="E218" t="inlineStr">
        <is>
          <t>https://lpjk.pu.go.id/search-badan-usaha-detail/SGF1SkhSTUk3UCtzalNIdmVoY1Q2QT09</t>
        </is>
      </c>
      <c r="F218" t="n">
        <v>1</v>
      </c>
      <c r="G218" t="inlineStr">
        <is>
          <t>BG004</t>
        </is>
      </c>
      <c r="H218" t="inlineStr">
        <is>
          <t>13 November 2001</t>
        </is>
      </c>
      <c r="I218" s="2" t="n">
        <v>46195</v>
      </c>
      <c r="J218" t="inlineStr">
        <is>
          <t>Disetujui</t>
        </is>
      </c>
      <c r="K218" t="n">
        <v>30</v>
      </c>
      <c r="L218" t="inlineStr">
        <is>
          <t>22 Juni 2026</t>
        </is>
      </c>
      <c r="M218" t="inlineStr">
        <is>
          <t>Konstruksi Gedung Perbelanjaan</t>
        </is>
      </c>
      <c r="N218" t="inlineStr">
        <is>
          <t>K</t>
        </is>
      </c>
      <c r="O218" t="inlineStr">
        <is>
          <t>20230621</t>
        </is>
      </c>
      <c r="P218" t="inlineStr">
        <is>
          <t>Jawa Barat</t>
        </is>
      </c>
      <c r="Q218" t="inlineStr"/>
    </row>
    <row r="219">
      <c r="A219" t="inlineStr">
        <is>
          <t>TEGUH PUTRA BUNGSU</t>
        </is>
      </c>
      <c r="B219" t="inlineStr">
        <is>
          <t>Kab. Tangerang</t>
        </is>
      </c>
      <c r="C219" t="inlineStr">
        <is>
          <t>085945795122</t>
        </is>
      </c>
      <c r="D219" t="inlineStr">
        <is>
          <t>teguhputrab73@yahoo.com</t>
        </is>
      </c>
      <c r="E219" t="inlineStr">
        <is>
          <t>https://lpjk.pu.go.id/search-badan-usaha-detail/dFhtUDIxK2pVcjNJRWROclhpdnB4Zz09</t>
        </is>
      </c>
      <c r="F219" t="n">
        <v>2</v>
      </c>
      <c r="G219" t="inlineStr">
        <is>
          <t>BS001, BS004</t>
        </is>
      </c>
      <c r="H219" t="inlineStr">
        <is>
          <t>3 Juni 2015</t>
        </is>
      </c>
      <c r="I219" s="2" t="n">
        <v>46195</v>
      </c>
      <c r="J219" t="inlineStr">
        <is>
          <t>Disetujui</t>
        </is>
      </c>
      <c r="K219" t="n">
        <v>30</v>
      </c>
      <c r="L219" t="inlineStr">
        <is>
          <t>22 Juni 2026</t>
        </is>
      </c>
      <c r="M219" t="inlineStr">
        <is>
          <t>Konstruksi Bangunan Sipil Jalan, Konstruksi Jaringan Irigasi dan Drainase</t>
        </is>
      </c>
      <c r="N219" t="inlineStr">
        <is>
          <t>K</t>
        </is>
      </c>
      <c r="O219" t="inlineStr">
        <is>
          <t>20230621</t>
        </is>
      </c>
      <c r="P219" t="inlineStr">
        <is>
          <t>Banten</t>
        </is>
      </c>
      <c r="Q219" t="inlineStr"/>
    </row>
    <row r="220">
      <c r="A220" t="inlineStr">
        <is>
          <t>TEKNIK PELABUHAN INDONESIA</t>
        </is>
      </c>
      <c r="B220" t="inlineStr">
        <is>
          <t>Kota Adm. Jakarta Barat</t>
        </is>
      </c>
      <c r="C220" t="inlineStr">
        <is>
          <t>082123069090</t>
        </is>
      </c>
      <c r="D220" t="inlineStr">
        <is>
          <t>teknikpelabuhanindonesia@gmail.com</t>
        </is>
      </c>
      <c r="E220" t="inlineStr">
        <is>
          <t>https://lpjk.pu.go.id/search-badan-usaha-detail/VitrZnYybUZkb0tPczc2K1pPeGgwQT09</t>
        </is>
      </c>
      <c r="F220" t="n">
        <v>1</v>
      </c>
      <c r="G220" t="inlineStr">
        <is>
          <t>KK001</t>
        </is>
      </c>
      <c r="H220" t="inlineStr">
        <is>
          <t>28 Desember 2022</t>
        </is>
      </c>
      <c r="I220" s="2" t="n">
        <v>46195</v>
      </c>
      <c r="J220" t="inlineStr">
        <is>
          <t>Pencabutan</t>
        </is>
      </c>
      <c r="K220" t="n">
        <v>30</v>
      </c>
      <c r="L220" t="inlineStr">
        <is>
          <t>22 Juni 2026</t>
        </is>
      </c>
      <c r="M220" t="inlineStr">
        <is>
          <t>Pondasi Konstruksi</t>
        </is>
      </c>
      <c r="N220" t="inlineStr">
        <is>
          <t>Spesialis</t>
        </is>
      </c>
      <c r="O220" t="inlineStr">
        <is>
          <t>20230606</t>
        </is>
      </c>
      <c r="P220" t="inlineStr">
        <is>
          <t>DKI Jakarta</t>
        </is>
      </c>
      <c r="Q220" t="inlineStr"/>
    </row>
    <row r="221">
      <c r="A221" t="inlineStr">
        <is>
          <t>TIAN PAWAI</t>
        </is>
      </c>
      <c r="B221" t="inlineStr">
        <is>
          <t>Kab. Jayapura</t>
        </is>
      </c>
      <c r="C221" t="inlineStr">
        <is>
          <t>082238131719</t>
        </is>
      </c>
      <c r="D221" t="inlineStr">
        <is>
          <t>cvtianpawai@gmail.com</t>
        </is>
      </c>
      <c r="E221" t="inlineStr">
        <is>
          <t>https://lpjk.pu.go.id/search-badan-usaha-detail/T00zMnVqWkpVK21Nd0poQ3ozSTdIQT09</t>
        </is>
      </c>
      <c r="F221" t="n">
        <v>2</v>
      </c>
      <c r="G221" t="inlineStr">
        <is>
          <t>BG001, BG009</t>
        </is>
      </c>
      <c r="H221" t="inlineStr">
        <is>
          <t>30 April 2019</t>
        </is>
      </c>
      <c r="I221" s="2" t="n">
        <v>46195</v>
      </c>
      <c r="J221" t="inlineStr">
        <is>
          <t>Pencabutan</t>
        </is>
      </c>
      <c r="K221" t="n">
        <v>30</v>
      </c>
      <c r="L221" t="inlineStr">
        <is>
          <t>22 Juni 2026</t>
        </is>
      </c>
      <c r="M221" t="inlineStr">
        <is>
          <t>Konstruksi Gedung Hunian, Konstruksi Gedung Lainnya</t>
        </is>
      </c>
      <c r="N221" t="inlineStr">
        <is>
          <t>K</t>
        </is>
      </c>
      <c r="O221" t="inlineStr">
        <is>
          <t>20230601, 20230615</t>
        </is>
      </c>
      <c r="P221" t="inlineStr">
        <is>
          <t>Papua</t>
        </is>
      </c>
      <c r="Q221" t="inlineStr"/>
    </row>
    <row r="222">
      <c r="A222" t="inlineStr">
        <is>
          <t>TIRTA ARUM</t>
        </is>
      </c>
      <c r="B222" t="inlineStr">
        <is>
          <t>Kab. Gresik</t>
        </is>
      </c>
      <c r="C222" t="inlineStr">
        <is>
          <t>082141122332</t>
        </is>
      </c>
      <c r="D222" t="inlineStr">
        <is>
          <t>tirtaarumgresik@gmail.com</t>
        </is>
      </c>
      <c r="E222" t="inlineStr">
        <is>
          <t>https://lpjk.pu.go.id/search-badan-usaha-detail/TUdhNzFQbWt0eXdKSzJkSjF0clNyQT09</t>
        </is>
      </c>
      <c r="F222" t="n">
        <v>1</v>
      </c>
      <c r="G222" t="inlineStr">
        <is>
          <t>BS002</t>
        </is>
      </c>
      <c r="H222" t="inlineStr">
        <is>
          <t>29 November 2016</t>
        </is>
      </c>
      <c r="I222" s="2" t="n">
        <v>46195</v>
      </c>
      <c r="J222" t="inlineStr">
        <is>
          <t>Disetujui</t>
        </is>
      </c>
      <c r="K222" t="n">
        <v>30</v>
      </c>
      <c r="L222" t="inlineStr">
        <is>
          <t>22 Juni 2026</t>
        </is>
      </c>
      <c r="M222" t="inlineStr">
        <is>
          <t>Bangunan Sipil Jembatan, Jalan Layang, Fly Over, dan Underpass</t>
        </is>
      </c>
      <c r="N222" t="inlineStr">
        <is>
          <t>K</t>
        </is>
      </c>
      <c r="O222" t="inlineStr">
        <is>
          <t>20230612</t>
        </is>
      </c>
      <c r="P222" t="inlineStr">
        <is>
          <t>Jawa Timur</t>
        </is>
      </c>
      <c r="Q222" t="inlineStr"/>
    </row>
    <row r="223">
      <c r="A223" t="inlineStr">
        <is>
          <t>TJAKRA KARYA KRISTADE</t>
        </is>
      </c>
      <c r="B223" t="inlineStr">
        <is>
          <t>Kab. Kediri</t>
        </is>
      </c>
      <c r="C223" t="inlineStr">
        <is>
          <t>082141023032</t>
        </is>
      </c>
      <c r="D223" t="inlineStr">
        <is>
          <t>cvtjakrakaryakristade1@gmail.com</t>
        </is>
      </c>
      <c r="E223" t="inlineStr">
        <is>
          <t>https://lpjk.pu.go.id/search-badan-usaha-detail/Q2MzZXhiZjAza3F3dzZSRGRsczRkZz09</t>
        </is>
      </c>
      <c r="F223" t="n">
        <v>1</v>
      </c>
      <c r="G223" t="inlineStr">
        <is>
          <t>BS004</t>
        </is>
      </c>
      <c r="H223" t="inlineStr">
        <is>
          <t>3 Maret 2017</t>
        </is>
      </c>
      <c r="I223" s="2" t="n">
        <v>46195</v>
      </c>
      <c r="J223" t="inlineStr">
        <is>
          <t>Disetujui</t>
        </is>
      </c>
      <c r="K223" t="n">
        <v>30</v>
      </c>
      <c r="L223" t="inlineStr">
        <is>
          <t>22 Juni 2026</t>
        </is>
      </c>
      <c r="M223" t="inlineStr">
        <is>
          <t>Konstruksi Jaringan Irigasi dan Drainase</t>
        </is>
      </c>
      <c r="N223" t="inlineStr">
        <is>
          <t>K</t>
        </is>
      </c>
      <c r="O223" t="inlineStr">
        <is>
          <t>20230616</t>
        </is>
      </c>
      <c r="P223" t="inlineStr">
        <is>
          <t>Jawa Timur</t>
        </is>
      </c>
      <c r="Q223" t="inlineStr"/>
    </row>
    <row r="224">
      <c r="A224" t="inlineStr">
        <is>
          <t>TRANSPORT SYSTEM SOLUTIONS INDONESIA</t>
        </is>
      </c>
      <c r="B224" t="inlineStr">
        <is>
          <t>Kota Bandung</t>
        </is>
      </c>
      <c r="C224" t="inlineStr">
        <is>
          <t>0222021656</t>
        </is>
      </c>
      <c r="D224" t="inlineStr">
        <is>
          <t>tss.indo@gmail.com</t>
        </is>
      </c>
      <c r="E224" t="inlineStr">
        <is>
          <t>https://lpjk.pu.go.id/search-badan-usaha-detail/SlNaNkFqSmpzN2dPMU5WNTFmTnErZz09</t>
        </is>
      </c>
      <c r="F224" t="n">
        <v>3</v>
      </c>
      <c r="G224" t="inlineStr">
        <is>
          <t>IN012</t>
        </is>
      </c>
      <c r="H224" t="inlineStr">
        <is>
          <t>12 Januari 2023</t>
        </is>
      </c>
      <c r="I224" s="2" t="n">
        <v>46195</v>
      </c>
      <c r="J224" t="inlineStr">
        <is>
          <t>Pembekuan</t>
        </is>
      </c>
      <c r="K224" t="n">
        <v>30</v>
      </c>
      <c r="L224" t="inlineStr">
        <is>
          <t>22 Juni 2026</t>
        </is>
      </c>
      <c r="M224" t="inlineStr">
        <is>
          <t>Instalasi Sinyal dan Telekomunikasi Kereta Api</t>
        </is>
      </c>
      <c r="N224" t="inlineStr">
        <is>
          <t>Spesialis</t>
        </is>
      </c>
      <c r="O224" t="inlineStr">
        <is>
          <t>20230622</t>
        </is>
      </c>
      <c r="P224" t="inlineStr">
        <is>
          <t>Jawa Barat</t>
        </is>
      </c>
      <c r="Q224" t="inlineStr"/>
    </row>
    <row r="225">
      <c r="A225" t="inlineStr">
        <is>
          <t>TRIJAYA BANGUN INDONESIA</t>
        </is>
      </c>
      <c r="B225" t="inlineStr">
        <is>
          <t>Kota Adm. Jakarta Selatan</t>
        </is>
      </c>
      <c r="C225" t="inlineStr">
        <is>
          <t>08127798988</t>
        </is>
      </c>
      <c r="D225" t="inlineStr">
        <is>
          <t>pt.tbindonesia@gmail.com</t>
        </is>
      </c>
      <c r="E225" t="inlineStr">
        <is>
          <t>https://lpjk.pu.go.id/search-badan-usaha-detail/WFpNSk1ERC9YU2FHQ2JpcWFUYUU5dz09</t>
        </is>
      </c>
      <c r="F225" t="n">
        <v>1</v>
      </c>
      <c r="G225" t="inlineStr">
        <is>
          <t>BG001</t>
        </is>
      </c>
      <c r="H225" t="inlineStr">
        <is>
          <t>21 Maret 2023</t>
        </is>
      </c>
      <c r="I225" s="2" t="n">
        <v>46195</v>
      </c>
      <c r="J225" t="inlineStr">
        <is>
          <t>Pencabutan</t>
        </is>
      </c>
      <c r="K225" t="n">
        <v>30</v>
      </c>
      <c r="L225" t="inlineStr">
        <is>
          <t>22 Juni 2026</t>
        </is>
      </c>
      <c r="M225" t="inlineStr">
        <is>
          <t>Konstruksi Gedung Hunian</t>
        </is>
      </c>
      <c r="N225" t="inlineStr">
        <is>
          <t>K</t>
        </is>
      </c>
      <c r="O225" t="inlineStr">
        <is>
          <t>20230510</t>
        </is>
      </c>
      <c r="P225" t="inlineStr">
        <is>
          <t>DKI Jakarta</t>
        </is>
      </c>
      <c r="Q225" t="inlineStr"/>
    </row>
    <row r="226">
      <c r="A226" t="inlineStr">
        <is>
          <t>TRIJAYAMAHE</t>
        </is>
      </c>
      <c r="B226" t="inlineStr">
        <is>
          <t>Kota Surabaya</t>
        </is>
      </c>
      <c r="C226" t="inlineStr">
        <is>
          <t>031-8291317</t>
        </is>
      </c>
      <c r="D226" t="inlineStr">
        <is>
          <t>trijayamahe_cv@yahoo.co.id</t>
        </is>
      </c>
      <c r="E226" t="inlineStr">
        <is>
          <t>https://lpjk.pu.go.id/search-badan-usaha-detail/K2FVM09pMmdzcnJZckJTVEQvamM3dz09</t>
        </is>
      </c>
      <c r="F226" t="n">
        <v>2</v>
      </c>
      <c r="G226" t="inlineStr">
        <is>
          <t>IN004</t>
        </is>
      </c>
      <c r="H226" t="inlineStr">
        <is>
          <t>14 Oktober 2014</t>
        </is>
      </c>
      <c r="I226" s="2" t="n">
        <v>46195</v>
      </c>
      <c r="J226" t="inlineStr">
        <is>
          <t>Disetujui</t>
        </is>
      </c>
      <c r="K226" t="n">
        <v>30</v>
      </c>
      <c r="L226" t="inlineStr">
        <is>
          <t>22 Juni 2026</t>
        </is>
      </c>
      <c r="M226" t="inlineStr">
        <is>
          <t>Instalasi Minyak dan Gas</t>
        </is>
      </c>
      <c r="N226" t="inlineStr">
        <is>
          <t>Spesialis</t>
        </is>
      </c>
      <c r="O226" t="inlineStr">
        <is>
          <t>20230622</t>
        </is>
      </c>
      <c r="P226" t="inlineStr">
        <is>
          <t>Jawa Timur</t>
        </is>
      </c>
      <c r="Q226" t="inlineStr"/>
    </row>
    <row r="227">
      <c r="A227" t="inlineStr">
        <is>
          <t>WAHYU TUNGGAL PUTRA</t>
        </is>
      </c>
      <c r="B227" t="inlineStr">
        <is>
          <t>Kab. Kapuas Hulu</t>
        </is>
      </c>
      <c r="C227" t="inlineStr">
        <is>
          <t>0822543479</t>
        </is>
      </c>
      <c r="D227" t="inlineStr">
        <is>
          <t>wahyutunggalputra1001@gmail.com</t>
        </is>
      </c>
      <c r="E227" t="inlineStr">
        <is>
          <t>https://lpjk.pu.go.id/search-badan-usaha-detail/QnZoYTR2Y0VwendJdkUzU3VHdFljZz09</t>
        </is>
      </c>
      <c r="F227" t="n">
        <v>2</v>
      </c>
      <c r="G227" t="inlineStr">
        <is>
          <t>BG001, BG006</t>
        </is>
      </c>
      <c r="H227" t="inlineStr">
        <is>
          <t>13 Desember 1999</t>
        </is>
      </c>
      <c r="I227" s="2" t="n">
        <v>46195</v>
      </c>
      <c r="J227" t="inlineStr">
        <is>
          <t>Disetujui</t>
        </is>
      </c>
      <c r="K227" t="n">
        <v>30</v>
      </c>
      <c r="L227" t="inlineStr">
        <is>
          <t>22 Juni 2026</t>
        </is>
      </c>
      <c r="M227" t="inlineStr">
        <is>
          <t>Konstruksi Gedung Hunian, Konstruksi Gedung Pendidikan</t>
        </is>
      </c>
      <c r="N227" t="inlineStr">
        <is>
          <t>K</t>
        </is>
      </c>
      <c r="O227" t="inlineStr">
        <is>
          <t>20230622</t>
        </is>
      </c>
      <c r="P227" t="inlineStr">
        <is>
          <t>Kalimantan Barat</t>
        </is>
      </c>
      <c r="Q227" t="inlineStr"/>
    </row>
    <row r="228">
      <c r="A228" t="inlineStr">
        <is>
          <t>WASTU GATRA ARTISTIKA</t>
        </is>
      </c>
      <c r="B228" t="inlineStr">
        <is>
          <t>Kota Adm. Jakarta Selatan</t>
        </is>
      </c>
      <c r="C228" t="inlineStr">
        <is>
          <t>0217971255</t>
        </is>
      </c>
      <c r="D228" t="inlineStr">
        <is>
          <t>wastu.gatra@gmail.com</t>
        </is>
      </c>
      <c r="E228" t="inlineStr">
        <is>
          <t>https://lpjk.pu.go.id/search-badan-usaha-detail/NnloWjB6SEVQWEpjR0UvKzV5NWxzdz09</t>
        </is>
      </c>
      <c r="F228" t="n">
        <v>4</v>
      </c>
      <c r="G228" t="inlineStr">
        <is>
          <t>AR001, AR002, AR003, RK001</t>
        </is>
      </c>
      <c r="H228" t="inlineStr">
        <is>
          <t>15 September 2005</t>
        </is>
      </c>
      <c r="I228" s="2" t="n">
        <v>46195</v>
      </c>
      <c r="J228" t="inlineStr">
        <is>
          <t>Disetujui</t>
        </is>
      </c>
      <c r="K228" t="n">
        <v>30</v>
      </c>
      <c r="L228" t="inlineStr">
        <is>
          <t>22 Juni 2026</t>
        </is>
      </c>
      <c r="M228" t="inlineStr">
        <is>
          <t>Jasa Arsitektural Bangunan Gedung Hunian dan Non Hunian, Jasa Arsitektural Lainnya, Jasa Desain Interior pada Bangunan Gedung dan Bangunan Sipil, Jasa Rekayasa Konstruksi Bangunan Gedung Hunian dan Non Hunian</t>
        </is>
      </c>
      <c r="N228" t="inlineStr">
        <is>
          <t>K, M</t>
        </is>
      </c>
      <c r="O228" t="inlineStr">
        <is>
          <t>20230605, 20230607</t>
        </is>
      </c>
      <c r="P228" t="inlineStr">
        <is>
          <t>DKI Jakarta</t>
        </is>
      </c>
      <c r="Q228" t="inlineStr"/>
    </row>
    <row r="229">
      <c r="A229" t="inlineStr">
        <is>
          <t>WIRATMAN CHODAI INDONESIA</t>
        </is>
      </c>
      <c r="B229" t="inlineStr">
        <is>
          <t>Kota Adm. Jakarta Selatan</t>
        </is>
      </c>
      <c r="C229" t="inlineStr">
        <is>
          <t>0217817777</t>
        </is>
      </c>
      <c r="D229" t="inlineStr">
        <is>
          <t>wci@wiratman.co.id</t>
        </is>
      </c>
      <c r="E229" t="inlineStr">
        <is>
          <t>https://lpjk.pu.go.id/search-badan-usaha-detail/S2xkLzhaNWJmcWpPOTZZSjJwOGdMdz09</t>
        </is>
      </c>
      <c r="F229" t="n">
        <v>2</v>
      </c>
      <c r="G229" t="inlineStr">
        <is>
          <t>RK003</t>
        </is>
      </c>
      <c r="H229" t="inlineStr">
        <is>
          <t>28 April 2015</t>
        </is>
      </c>
      <c r="I229" s="2" t="n">
        <v>46195</v>
      </c>
      <c r="J229" t="inlineStr">
        <is>
          <t>Disetujui</t>
        </is>
      </c>
      <c r="K229" t="n">
        <v>30</v>
      </c>
      <c r="L229" t="inlineStr">
        <is>
          <t>22 Juni 2026</t>
        </is>
      </c>
      <c r="M229" t="inlineStr">
        <is>
          <t>Jasa Rekayasa Pekerjaan Teknik Sipil Transportasi</t>
        </is>
      </c>
      <c r="N229" t="inlineStr">
        <is>
          <t>B</t>
        </is>
      </c>
      <c r="O229" t="inlineStr">
        <is>
          <t>20230614</t>
        </is>
      </c>
      <c r="P229" t="inlineStr">
        <is>
          <t>DKI Jakarta</t>
        </is>
      </c>
      <c r="Q229" t="inlineStr"/>
    </row>
    <row r="230">
      <c r="A230" t="inlineStr">
        <is>
          <t>YAYAT MANDIRI PRATAMA</t>
        </is>
      </c>
      <c r="B230" t="inlineStr">
        <is>
          <t>Kab. Morowali Utara</t>
        </is>
      </c>
      <c r="C230" t="inlineStr">
        <is>
          <t>082319911777</t>
        </is>
      </c>
      <c r="D230" t="inlineStr">
        <is>
          <t>cv.ymp2002@mail.com</t>
        </is>
      </c>
      <c r="E230" t="inlineStr">
        <is>
          <t>https://lpjk.pu.go.id/search-badan-usaha-detail/RDEvMmNqYzdNbHJ3bTBwN3RybnFRUT09</t>
        </is>
      </c>
      <c r="F230" t="n">
        <v>2</v>
      </c>
      <c r="G230" t="inlineStr">
        <is>
          <t>BS001</t>
        </is>
      </c>
      <c r="H230" t="inlineStr">
        <is>
          <t>12 Desember 2002</t>
        </is>
      </c>
      <c r="I230" s="2" t="n">
        <v>46195</v>
      </c>
      <c r="J230" t="inlineStr">
        <is>
          <t>Pencabutan</t>
        </is>
      </c>
      <c r="K230" t="n">
        <v>30</v>
      </c>
      <c r="L230" t="inlineStr">
        <is>
          <t>22 Juni 2026</t>
        </is>
      </c>
      <c r="M230" t="inlineStr">
        <is>
          <t>Konstruksi Bangunan Sipil Jalan</t>
        </is>
      </c>
      <c r="N230" t="inlineStr">
        <is>
          <t>K</t>
        </is>
      </c>
      <c r="O230" t="inlineStr">
        <is>
          <t>20230622</t>
        </is>
      </c>
      <c r="P230" t="inlineStr">
        <is>
          <t>Sulawesi Tengah</t>
        </is>
      </c>
      <c r="Q230" t="inlineStr"/>
    </row>
    <row r="231">
      <c r="A231" t="inlineStr">
        <is>
          <t>YUNIOR</t>
        </is>
      </c>
      <c r="B231" t="inlineStr">
        <is>
          <t>Kab. Belu</t>
        </is>
      </c>
      <c r="C231" t="inlineStr">
        <is>
          <t>082130294995</t>
        </is>
      </c>
      <c r="D231" t="inlineStr">
        <is>
          <t>ayuslay53@gmail.com</t>
        </is>
      </c>
      <c r="E231" t="inlineStr">
        <is>
          <t>https://lpjk.pu.go.id/search-badan-usaha-detail/Qm15VHhuWXB5QlpTS2pPWUNZQjI3dz09</t>
        </is>
      </c>
      <c r="F231" t="n">
        <v>1</v>
      </c>
      <c r="G231" t="inlineStr">
        <is>
          <t>BG001</t>
        </is>
      </c>
      <c r="H231" t="inlineStr">
        <is>
          <t>5 Juni 2012</t>
        </is>
      </c>
      <c r="I231" s="2" t="n">
        <v>46195</v>
      </c>
      <c r="J231" t="inlineStr">
        <is>
          <t>Disetujui</t>
        </is>
      </c>
      <c r="K231" t="n">
        <v>30</v>
      </c>
      <c r="L231" t="inlineStr">
        <is>
          <t>22 Juni 2026</t>
        </is>
      </c>
      <c r="M231" t="inlineStr">
        <is>
          <t>Konstruksi Gedung Hunian</t>
        </is>
      </c>
      <c r="N231" t="inlineStr">
        <is>
          <t>K</t>
        </is>
      </c>
      <c r="O231" t="inlineStr">
        <is>
          <t>20230606</t>
        </is>
      </c>
      <c r="P231" t="inlineStr">
        <is>
          <t>Nusa Tenggara Timur</t>
        </is>
      </c>
      <c r="Q231" t="inlineStr"/>
    </row>
    <row r="232">
      <c r="A232" t="inlineStr">
        <is>
          <t>ZAIDEN HAS</t>
        </is>
      </c>
      <c r="B232" t="inlineStr">
        <is>
          <t>Kab. Garut</t>
        </is>
      </c>
      <c r="C232" t="inlineStr">
        <is>
          <t>082120723439</t>
        </is>
      </c>
      <c r="D232" t="inlineStr">
        <is>
          <t>zaidenhas@yahoo.com</t>
        </is>
      </c>
      <c r="E232" t="inlineStr">
        <is>
          <t>https://lpjk.pu.go.id/search-badan-usaha-detail/am9CcGl2d0RpWHlmWlhVTG50L2VUQT09</t>
        </is>
      </c>
      <c r="F232" t="n">
        <v>2</v>
      </c>
      <c r="G232" t="inlineStr">
        <is>
          <t>BG002</t>
        </is>
      </c>
      <c r="H232" t="inlineStr">
        <is>
          <t>30 September 2011</t>
        </is>
      </c>
      <c r="I232" s="2" t="n">
        <v>46195</v>
      </c>
      <c r="J232" t="inlineStr">
        <is>
          <t>Disetujui</t>
        </is>
      </c>
      <c r="K232" t="n">
        <v>30</v>
      </c>
      <c r="L232" t="inlineStr">
        <is>
          <t>22 Juni 2026</t>
        </is>
      </c>
      <c r="M232" t="inlineStr">
        <is>
          <t>Konstruksi Gedung Perkantoran</t>
        </is>
      </c>
      <c r="N232" t="inlineStr">
        <is>
          <t>K</t>
        </is>
      </c>
      <c r="O232" t="inlineStr">
        <is>
          <t>20230623</t>
        </is>
      </c>
      <c r="P232" t="inlineStr">
        <is>
          <t>Jawa Barat</t>
        </is>
      </c>
      <c r="Q232" t="inlineStr"/>
    </row>
    <row r="233">
      <c r="A233" t="inlineStr">
        <is>
          <t>ZAM-ZAM</t>
        </is>
      </c>
      <c r="B233" t="inlineStr">
        <is>
          <t>Kab. Solok</t>
        </is>
      </c>
      <c r="C233" t="inlineStr">
        <is>
          <t>08129637002</t>
        </is>
      </c>
      <c r="D233" t="inlineStr">
        <is>
          <t>cvzamzam55@gmail.com</t>
        </is>
      </c>
      <c r="E233" t="inlineStr">
        <is>
          <t>https://lpjk.pu.go.id/search-badan-usaha-detail/V3hna2F6SDNyV256Y082UDR4UkprZz09</t>
        </is>
      </c>
      <c r="F233" t="n">
        <v>1</v>
      </c>
      <c r="G233" t="inlineStr">
        <is>
          <t>BS001</t>
        </is>
      </c>
      <c r="H233" t="inlineStr">
        <is>
          <t>27 Desember 2006</t>
        </is>
      </c>
      <c r="I233" s="2" t="n">
        <v>46195</v>
      </c>
      <c r="J233" t="inlineStr">
        <is>
          <t>Dokumen Tidak Lengkap</t>
        </is>
      </c>
      <c r="K233" t="n">
        <v>30</v>
      </c>
      <c r="L233" t="inlineStr">
        <is>
          <t>22 Juni 2026</t>
        </is>
      </c>
      <c r="M233" t="inlineStr">
        <is>
          <t>Konstruksi Bangunan Sipil Jalan</t>
        </is>
      </c>
      <c r="N233" t="inlineStr">
        <is>
          <t>K</t>
        </is>
      </c>
      <c r="O233" t="inlineStr">
        <is>
          <t>20230602</t>
        </is>
      </c>
      <c r="P233" t="inlineStr">
        <is>
          <t>Sumatera Barat</t>
        </is>
      </c>
      <c r="Q233" t="inlineStr"/>
    </row>
    <row r="234">
      <c r="A234" t="inlineStr">
        <is>
          <t>ZEIN KARYA</t>
        </is>
      </c>
      <c r="B234" t="inlineStr">
        <is>
          <t>Kab. Pesisir Selatan</t>
        </is>
      </c>
      <c r="C234" t="inlineStr">
        <is>
          <t>085274719990</t>
        </is>
      </c>
      <c r="D234" t="inlineStr">
        <is>
          <t>zeinkarya1@gmail.com</t>
        </is>
      </c>
      <c r="E234" t="inlineStr">
        <is>
          <t>https://lpjk.pu.go.id/search-badan-usaha-detail/NWc0NG0yclVDZTlFM1d4YmlXQ1lJZz09</t>
        </is>
      </c>
      <c r="F234" t="n">
        <v>2</v>
      </c>
      <c r="G234" t="inlineStr">
        <is>
          <t>BS001, BS004</t>
        </is>
      </c>
      <c r="H234" t="inlineStr">
        <is>
          <t>6 Maret 2007</t>
        </is>
      </c>
      <c r="I234" s="2" t="n">
        <v>46195</v>
      </c>
      <c r="J234" t="inlineStr">
        <is>
          <t>Disetujui</t>
        </is>
      </c>
      <c r="K234" t="n">
        <v>30</v>
      </c>
      <c r="L234" t="inlineStr">
        <is>
          <t>22 Juni 2026</t>
        </is>
      </c>
      <c r="M234" t="inlineStr">
        <is>
          <t>Konstruksi Bangunan Sipil Jalan, Konstruksi Jaringan Irigasi dan Drainase</t>
        </is>
      </c>
      <c r="N234" t="inlineStr">
        <is>
          <t>K</t>
        </is>
      </c>
      <c r="O234" t="inlineStr">
        <is>
          <t>20230622</t>
        </is>
      </c>
      <c r="P234" t="inlineStr">
        <is>
          <t>Sumatera Barat</t>
        </is>
      </c>
      <c r="Q2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2026-05-23T02:02:52Z</dcterms:created>
  <dcterms:modified xsi:type="dcterms:W3CDTF">2026-05-23T02:02:52Z</dcterms:modified>
</cp:coreProperties>
</file>