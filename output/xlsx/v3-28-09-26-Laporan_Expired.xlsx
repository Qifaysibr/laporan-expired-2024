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cols>
    <col width="17" customWidth="1" min="1" max="1"/>
    <col width="16" customWidth="1" min="2" max="2"/>
    <col width="9" customWidth="1" min="3" max="3"/>
    <col width="7" customWidth="1" min="4" max="4"/>
    <col width="6" customWidth="1" min="5" max="5"/>
    <col width="18" customWidth="1" min="6" max="6"/>
    <col width="21" customWidth="1" min="7" max="7"/>
    <col width="20" customWidth="1" min="8" max="8"/>
    <col width="28" customWidth="1" min="9" max="9"/>
    <col width="8" customWidth="1" min="10" max="10"/>
    <col width="11" customWidth="1" min="11" max="11"/>
    <col width="17" customWidth="1" min="12" max="12"/>
    <col width="16" customWidth="1" min="13" max="13"/>
    <col width="13" customWidth="1" min="14" max="14"/>
    <col width="19" customWidth="1" min="15" max="15"/>
    <col width="10"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2"/>
  <sheetViews>
    <sheetView workbookViewId="0">
      <selection activeCell="A1" sqref="A1"/>
    </sheetView>
  </sheetViews>
  <sheetFormatPr baseColWidth="8" defaultRowHeight="15"/>
  <cols>
    <col width="35" customWidth="1" min="1" max="1"/>
    <col width="27" customWidth="1" min="2" max="2"/>
    <col width="15" customWidth="1" min="3" max="3"/>
    <col width="45"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ADHITAMA MULTI PRIMA</t>
        </is>
      </c>
      <c r="B2" t="inlineStr">
        <is>
          <t>Kab. Bogor</t>
        </is>
      </c>
      <c r="C2" t="inlineStr">
        <is>
          <t>081299147455</t>
        </is>
      </c>
      <c r="D2" t="inlineStr">
        <is>
          <t>adhitamamultiprima@gmail.com</t>
        </is>
      </c>
      <c r="E2" t="inlineStr">
        <is>
          <t>https://lpjk.pu.go.id/search-badan-usaha-detail/b3VWUm1XY1ZmNTFOc0VjNTdZYVRrQT09</t>
        </is>
      </c>
      <c r="F2" t="n">
        <v>2</v>
      </c>
      <c r="G2" t="inlineStr">
        <is>
          <t>BG009</t>
        </is>
      </c>
      <c r="H2" t="inlineStr">
        <is>
          <t>16 Agustus 2023</t>
        </is>
      </c>
      <c r="I2" s="2" t="n">
        <v>46353</v>
      </c>
      <c r="J2" t="inlineStr">
        <is>
          <t>Disetujui</t>
        </is>
      </c>
      <c r="K2" t="n">
        <v>60</v>
      </c>
      <c r="L2" t="inlineStr">
        <is>
          <t>27 November 2026</t>
        </is>
      </c>
      <c r="M2" t="inlineStr">
        <is>
          <t>Konstruksi Gedung Lainnya</t>
        </is>
      </c>
      <c r="N2" t="inlineStr">
        <is>
          <t>K</t>
        </is>
      </c>
      <c r="O2" t="inlineStr">
        <is>
          <t>20231124</t>
        </is>
      </c>
      <c r="P2" t="inlineStr">
        <is>
          <t>Jawa Barat</t>
        </is>
      </c>
      <c r="Q2" s="3">
        <f>HYPERLINK("https://wa.me/6281299147455?text=*[PENGINGAT MASA BERLAKU SBU ADHITAMA MULTI PRIMA]*%0A%0AYth. Pimpinan ADHITAMA MULTI PRIMA,%0AMohon izin menginformasikan status SBU Anda di sistem LPJK:%0A%0A📄 SBU: BG009%0A📅 Expired: 27 November 2026 (60 Hari Lagi)%0A%0AKami tim PT. ESDEA Assistance Management siap men-support proses perpanjangan segera agar administrasi proyek tidak terhambat%0A%0AApakah boleh saya bantu siapkan estimasi biaya dan waktu pengerjaannya?.", "Hubungi")</f>
        <v/>
      </c>
    </row>
    <row r="3">
      <c r="A3" t="inlineStr">
        <is>
          <t>FATH RISKY</t>
        </is>
      </c>
      <c r="B3" t="inlineStr">
        <is>
          <t>Kab. Bogor</t>
        </is>
      </c>
      <c r="C3" t="inlineStr">
        <is>
          <t>087709999345</t>
        </is>
      </c>
      <c r="D3" t="inlineStr">
        <is>
          <t>fath.risky2017@gmail.com</t>
        </is>
      </c>
      <c r="E3" t="inlineStr">
        <is>
          <t>https://lpjk.pu.go.id/search-badan-usaha-detail/MzNndm40UDF0WklRSzBpTExQTjJuQT09</t>
        </is>
      </c>
      <c r="F3" t="n">
        <v>1</v>
      </c>
      <c r="G3" t="inlineStr">
        <is>
          <t>BG009</t>
        </is>
      </c>
      <c r="H3" t="inlineStr">
        <is>
          <t>18 Mei 2017</t>
        </is>
      </c>
      <c r="I3" s="2" t="n">
        <v>46353</v>
      </c>
      <c r="J3" t="inlineStr">
        <is>
          <t>Pencabutan</t>
        </is>
      </c>
      <c r="K3" t="n">
        <v>60</v>
      </c>
      <c r="L3" t="inlineStr">
        <is>
          <t>27 November 2026</t>
        </is>
      </c>
      <c r="M3" t="inlineStr">
        <is>
          <t>Konstruksi Gedung Lainnya</t>
        </is>
      </c>
      <c r="N3" t="inlineStr">
        <is>
          <t>K</t>
        </is>
      </c>
      <c r="O3" t="inlineStr">
        <is>
          <t>20231124</t>
        </is>
      </c>
      <c r="P3" t="inlineStr">
        <is>
          <t>Jawa Barat</t>
        </is>
      </c>
      <c r="Q3" s="3">
        <f>HYPERLINK("https://wa.me/6287709999345?text=*[PENGINGAT MASA BERLAKU SBU FATH RISKY]*%0A%0AYth. Pimpinan FATH RISKY,%0AMohon izin menginformasikan status SBU Anda di sistem LPJK:%0A%0A📄 SBU: BG009%0A📅 Expired: 27 November 2026 (60 Hari Lagi)%0A%0AKami tim PT. ESDEA Assistance Management siap men-support proses perpanjangan segera agar administrasi proyek tidak terhambat%0A%0AApakah boleh saya bantu siapkan estimasi biaya dan waktu pengerjaannya?.", "Hubungi")</f>
        <v/>
      </c>
    </row>
    <row r="4">
      <c r="A4" t="inlineStr">
        <is>
          <t>KARAWANG ARRAYAN DEVELOPMENT</t>
        </is>
      </c>
      <c r="B4" t="inlineStr">
        <is>
          <t>Kab. Bekasi</t>
        </is>
      </c>
      <c r="C4" t="inlineStr">
        <is>
          <t>082111199941</t>
        </is>
      </c>
      <c r="D4" t="inlineStr">
        <is>
          <t>arrayankarawang.dev@gmail.com</t>
        </is>
      </c>
      <c r="E4" t="inlineStr">
        <is>
          <t>https://lpjk.pu.go.id/search-badan-usaha-detail/N2RWaStyQ1hXNUNxbkkyYXdRZXBRZz09</t>
        </is>
      </c>
      <c r="F4" t="n">
        <v>1</v>
      </c>
      <c r="G4" t="inlineStr">
        <is>
          <t>BG001</t>
        </is>
      </c>
      <c r="H4" t="inlineStr">
        <is>
          <t>5 September 2023</t>
        </is>
      </c>
      <c r="I4" s="2" t="n">
        <v>46353</v>
      </c>
      <c r="J4" t="inlineStr">
        <is>
          <t>Disetujui</t>
        </is>
      </c>
      <c r="K4" t="n">
        <v>60</v>
      </c>
      <c r="L4" t="inlineStr">
        <is>
          <t>27 November 2026</t>
        </is>
      </c>
      <c r="M4" t="inlineStr">
        <is>
          <t>Konstruksi Gedung Hunian</t>
        </is>
      </c>
      <c r="N4" t="inlineStr">
        <is>
          <t>K</t>
        </is>
      </c>
      <c r="O4" t="inlineStr">
        <is>
          <t>20231107</t>
        </is>
      </c>
      <c r="P4" t="inlineStr">
        <is>
          <t>Jawa Barat</t>
        </is>
      </c>
      <c r="Q4" s="3">
        <f>HYPERLINK("https://wa.me/6282111199941?text=*[PENGINGAT MASA BERLAKU SBU KARAWANG ARRAYAN DEVELOPMENT]*%0A%0AYth. Pimpinan KARAWANG ARRAYAN DEVELOPMENT,%0AMohon izin menginformasikan status SBU Anda di sistem LPJK:%0A%0A📄 SBU: BG001%0A📅 Expired: 27 November 2026 (60 Hari Lagi)%0A%0AKami tim PT. ESDEA Assistance Management siap men-support proses perpanjangan segera agar administrasi proyek tidak terhambat%0A%0AApakah boleh saya bantu siapkan estimasi biaya dan waktu pengerjaannya?.", "Hubungi")</f>
        <v/>
      </c>
    </row>
    <row r="5">
      <c r="A5" t="inlineStr">
        <is>
          <t>KARYA WIKA KONSTRUKSI</t>
        </is>
      </c>
      <c r="B5" t="inlineStr">
        <is>
          <t>Kota Depok</t>
        </is>
      </c>
      <c r="C5" t="inlineStr">
        <is>
          <t>08111115153</t>
        </is>
      </c>
      <c r="D5" t="inlineStr">
        <is>
          <t>karyawika.konstruksi@gmail.com</t>
        </is>
      </c>
      <c r="E5" t="inlineStr">
        <is>
          <t>https://lpjk.pu.go.id/search-badan-usaha-detail/OFBmNW0yZXcwb3N1dEYxZEwrbXJIQT09</t>
        </is>
      </c>
      <c r="F5" t="n">
        <v>1</v>
      </c>
      <c r="G5" t="inlineStr">
        <is>
          <t>BG004</t>
        </is>
      </c>
      <c r="H5" t="inlineStr">
        <is>
          <t>24 Agustus 2023</t>
        </is>
      </c>
      <c r="I5" s="2" t="n">
        <v>46353</v>
      </c>
      <c r="J5" t="inlineStr">
        <is>
          <t>Disetujui</t>
        </is>
      </c>
      <c r="K5" t="n">
        <v>60</v>
      </c>
      <c r="L5" t="inlineStr">
        <is>
          <t>27 November 2026</t>
        </is>
      </c>
      <c r="M5" t="inlineStr">
        <is>
          <t>Konstruksi Gedung Perbelanjaan</t>
        </is>
      </c>
      <c r="N5" t="inlineStr">
        <is>
          <t>K</t>
        </is>
      </c>
      <c r="O5" t="inlineStr">
        <is>
          <t>20231123</t>
        </is>
      </c>
      <c r="P5" t="inlineStr">
        <is>
          <t>Jawa Barat</t>
        </is>
      </c>
      <c r="Q5" s="3">
        <f>HYPERLINK("https://wa.me/628111115153?text=*[PENGINGAT MASA BERLAKU SBU KARYA WIKA KONSTRUKSI]*%0A%0AYth. Pimpinan KARYA WIKA KONSTRUKSI,%0AMohon izin menginformasikan status SBU Anda di sistem LPJK:%0A%0A📄 SBU: BG004%0A📅 Expired: 27 November 2026 (60 Hari Lagi)%0A%0AKami tim PT. ESDEA Assistance Management siap men-support proses perpanjangan segera agar administrasi proyek tidak terhambat%0A%0AApakah boleh saya bantu siapkan estimasi biaya dan waktu pengerjaannya?.", "Hubungi")</f>
        <v/>
      </c>
    </row>
    <row r="6">
      <c r="A6" t="inlineStr">
        <is>
          <t>NAYAKA MITRARENOV INDOTAMA</t>
        </is>
      </c>
      <c r="B6" t="inlineStr">
        <is>
          <t>Kota Adm. Jakarta Timur</t>
        </is>
      </c>
      <c r="C6" t="inlineStr">
        <is>
          <t>02186908744</t>
        </is>
      </c>
      <c r="D6" t="inlineStr">
        <is>
          <t>info@mitrarenov.com</t>
        </is>
      </c>
      <c r="E6" t="inlineStr">
        <is>
          <t>https://lpjk.pu.go.id/search-badan-usaha-detail/NEtadFk1UzZqUWh6ZmtrUTRpYXVxdz09</t>
        </is>
      </c>
      <c r="F6" t="n">
        <v>1</v>
      </c>
      <c r="G6" t="inlineStr">
        <is>
          <t>BG006</t>
        </is>
      </c>
      <c r="H6" t="inlineStr">
        <is>
          <t>18 Agustus 2021</t>
        </is>
      </c>
      <c r="I6" s="2" t="n">
        <v>46353</v>
      </c>
      <c r="J6" t="inlineStr">
        <is>
          <t>Disetujui</t>
        </is>
      </c>
      <c r="K6" t="n">
        <v>60</v>
      </c>
      <c r="L6" t="inlineStr">
        <is>
          <t>27 November 2026</t>
        </is>
      </c>
      <c r="M6" t="inlineStr">
        <is>
          <t>Konstruksi Gedung Pendidikan</t>
        </is>
      </c>
      <c r="N6" t="inlineStr">
        <is>
          <t>K</t>
        </is>
      </c>
      <c r="O6" t="inlineStr">
        <is>
          <t>20231108</t>
        </is>
      </c>
      <c r="P6" t="inlineStr">
        <is>
          <t>DKI Jakarta</t>
        </is>
      </c>
      <c r="Q6" t="inlineStr"/>
    </row>
    <row r="7">
      <c r="A7" t="inlineStr">
        <is>
          <t>NUSANTARA KAUTSAR</t>
        </is>
      </c>
      <c r="B7" t="inlineStr">
        <is>
          <t>Kota Bogor</t>
        </is>
      </c>
      <c r="C7" t="inlineStr">
        <is>
          <t>087873428768</t>
        </is>
      </c>
      <c r="D7" t="inlineStr">
        <is>
          <t>cv.nusantarakautsar001@gmail.com</t>
        </is>
      </c>
      <c r="E7" t="inlineStr">
        <is>
          <t>https://lpjk.pu.go.id/search-badan-usaha-detail/U3lYcHpGYXlSY3dzaExGZENvdFlWQT09</t>
        </is>
      </c>
      <c r="F7" t="n">
        <v>5</v>
      </c>
      <c r="G7" t="inlineStr">
        <is>
          <t>BG005, BG006, BG009, BS001, BS004</t>
        </is>
      </c>
      <c r="H7" t="inlineStr">
        <is>
          <t>15 Maret 2017</t>
        </is>
      </c>
      <c r="I7" s="2" t="n">
        <v>46353</v>
      </c>
      <c r="J7" t="inlineStr">
        <is>
          <t>Disetujui</t>
        </is>
      </c>
      <c r="K7" t="n">
        <v>60</v>
      </c>
      <c r="L7" t="inlineStr">
        <is>
          <t>27 November 2026</t>
        </is>
      </c>
      <c r="M7" t="inlineStr">
        <is>
          <t>Konstruksi Bangunan Sipil Jalan, Konstruksi Gedung Kesehatan, Konstruksi Gedung Lainnya, Konstruksi Gedung Pendidikan, Konstruksi Jaringan Irigasi dan Drainase</t>
        </is>
      </c>
      <c r="N7" t="inlineStr">
        <is>
          <t>K</t>
        </is>
      </c>
      <c r="O7" t="inlineStr">
        <is>
          <t>20231124</t>
        </is>
      </c>
      <c r="P7" t="inlineStr">
        <is>
          <t>Jawa Barat</t>
        </is>
      </c>
      <c r="Q7" s="3">
        <f>HYPERLINK("https://wa.me/6287873428768?text=*[PENGINGAT MASA BERLAKU SBU NUSANTARA KAUTSAR]*%0A%0AYth. Pimpinan NUSANTARA KAUTSAR,%0AMohon izin menginformasikan status SBU Anda di sistem LPJK:%0A%0A📄 SBU: BG005, BG006, BG009, BS001, BS004%0A📅 Expired: 27 November 2026 (60 Hari Lagi)%0A%0AKami tim PT. ESDEA Assistance Management siap men-support proses perpanjangan segera agar administrasi proyek tidak terhambat%0A%0AApakah boleh saya bantu siapkan estimasi biaya dan waktu pengerjaannya?.", "Hubungi")</f>
        <v/>
      </c>
    </row>
    <row r="8">
      <c r="A8" t="inlineStr">
        <is>
          <t>RISQIANA ATHA</t>
        </is>
      </c>
      <c r="B8" t="inlineStr">
        <is>
          <t>Kab. Bogor</t>
        </is>
      </c>
      <c r="C8" t="inlineStr">
        <is>
          <t>089667654077</t>
        </is>
      </c>
      <c r="D8" t="inlineStr">
        <is>
          <t>cv.risqianaatha@gmail.com</t>
        </is>
      </c>
      <c r="E8" t="inlineStr">
        <is>
          <t>https://lpjk.pu.go.id/search-badan-usaha-detail/dDVVd2xId0JSbWN1aStoTCtidjNSdz09</t>
        </is>
      </c>
      <c r="F8" t="n">
        <v>1</v>
      </c>
      <c r="G8" t="inlineStr">
        <is>
          <t>BG009</t>
        </is>
      </c>
      <c r="H8" t="inlineStr">
        <is>
          <t>6 Oktober 2020</t>
        </is>
      </c>
      <c r="I8" s="2" t="n">
        <v>46353</v>
      </c>
      <c r="J8" t="inlineStr">
        <is>
          <t>Disetujui</t>
        </is>
      </c>
      <c r="K8" t="n">
        <v>60</v>
      </c>
      <c r="L8" t="inlineStr">
        <is>
          <t>27 November 2026</t>
        </is>
      </c>
      <c r="M8" t="inlineStr">
        <is>
          <t>Konstruksi Gedung Lainnya</t>
        </is>
      </c>
      <c r="N8" t="inlineStr">
        <is>
          <t>K</t>
        </is>
      </c>
      <c r="O8" t="inlineStr">
        <is>
          <t>20231124</t>
        </is>
      </c>
      <c r="P8" t="inlineStr">
        <is>
          <t>Jawa Barat</t>
        </is>
      </c>
      <c r="Q8" s="3">
        <f>HYPERLINK("https://wa.me/6289667654077?text=*[PENGINGAT MASA BERLAKU SBU RISQIANA ATHA]*%0A%0AYth. Pimpinan RISQIANA ATHA,%0AMohon izin menginformasikan status SBU Anda di sistem LPJK:%0A%0A📄 SBU: BG009%0A📅 Expired: 27 November 2026 (60 Hari Lagi)%0A%0AKami tim PT. ESDEA Assistance Management siap men-support proses perpanjangan segera agar administrasi proyek tidak terhambat%0A%0AApakah boleh saya bantu siapkan estimasi biaya dan waktu pengerjaannya?.", "Hubungi")</f>
        <v/>
      </c>
    </row>
    <row r="9">
      <c r="A9" t="inlineStr">
        <is>
          <t>SATIA JAYA UNGGUL</t>
        </is>
      </c>
      <c r="B9" t="inlineStr">
        <is>
          <t>Kota Bekasi</t>
        </is>
      </c>
      <c r="C9" t="inlineStr">
        <is>
          <t>08156051991</t>
        </is>
      </c>
      <c r="D9" t="inlineStr">
        <is>
          <t>sjuroof2015@gmail.com</t>
        </is>
      </c>
      <c r="E9" t="inlineStr">
        <is>
          <t>https://lpjk.pu.go.id/search-badan-usaha-detail/djhDQlBnWlpkQzNVTGs2aXJ6WTVhZz09</t>
        </is>
      </c>
      <c r="F9" t="n">
        <v>2</v>
      </c>
      <c r="G9" t="inlineStr">
        <is>
          <t>BS001, BS004</t>
        </is>
      </c>
      <c r="H9" t="inlineStr">
        <is>
          <t>16 Januari 2015</t>
        </is>
      </c>
      <c r="I9" s="2" t="n">
        <v>46353</v>
      </c>
      <c r="J9" t="inlineStr">
        <is>
          <t>Disetujui</t>
        </is>
      </c>
      <c r="K9" t="n">
        <v>60</v>
      </c>
      <c r="L9" t="inlineStr">
        <is>
          <t>27 November 2026</t>
        </is>
      </c>
      <c r="M9" t="inlineStr">
        <is>
          <t>Konstruksi Bangunan Sipil Jalan, Konstruksi Jaringan Irigasi dan Drainase</t>
        </is>
      </c>
      <c r="N9" t="inlineStr">
        <is>
          <t>K</t>
        </is>
      </c>
      <c r="O9" t="inlineStr">
        <is>
          <t>20231125</t>
        </is>
      </c>
      <c r="P9" t="inlineStr">
        <is>
          <t>Jawa Barat</t>
        </is>
      </c>
      <c r="Q9" s="3">
        <f>HYPERLINK("https://wa.me/628156051991?text=*[PENGINGAT MASA BERLAKU SBU SATIA JAYA UNGGUL]*%0A%0AYth. Pimpinan SATIA JAYA UNGGUL,%0AMohon izin menginformasikan status SBU Anda di sistem LPJK:%0A%0A📄 SBU: BS001, BS004%0A📅 Expired: 27 November 2026 (60 Hari Lagi)%0A%0AKami tim PT. ESDEA Assistance Management siap men-support proses perpanjangan segera agar administrasi proyek tidak terhambat%0A%0AApakah boleh saya bantu siapkan estimasi biaya dan waktu pengerjaannya?.", "Hubungi")</f>
        <v/>
      </c>
    </row>
    <row r="10">
      <c r="A10" t="inlineStr">
        <is>
          <t>STUDIO CMGS</t>
        </is>
      </c>
      <c r="B10" t="inlineStr">
        <is>
          <t>Kota Depok</t>
        </is>
      </c>
      <c r="C10" t="inlineStr">
        <is>
          <t>081314775187</t>
        </is>
      </c>
      <c r="D10" t="inlineStr">
        <is>
          <t>cv.studiocmgs@gmail.com</t>
        </is>
      </c>
      <c r="E10" t="inlineStr">
        <is>
          <t>https://lpjk.pu.go.id/search-badan-usaha-detail/ekliS1d3QUU0cWtibW9XTVBlcUorQT09</t>
        </is>
      </c>
      <c r="F10" t="n">
        <v>1</v>
      </c>
      <c r="G10" t="inlineStr">
        <is>
          <t>BG009</t>
        </is>
      </c>
      <c r="H10" t="inlineStr">
        <is>
          <t>27 Maret 2023</t>
        </is>
      </c>
      <c r="I10" s="2" t="n">
        <v>46353</v>
      </c>
      <c r="J10" t="inlineStr">
        <is>
          <t>Disetujui</t>
        </is>
      </c>
      <c r="K10" t="n">
        <v>60</v>
      </c>
      <c r="L10" t="inlineStr">
        <is>
          <t>27 November 2026</t>
        </is>
      </c>
      <c r="M10" t="inlineStr">
        <is>
          <t>Konstruksi Gedung Lainnya</t>
        </is>
      </c>
      <c r="N10" t="inlineStr">
        <is>
          <t>K</t>
        </is>
      </c>
      <c r="O10" t="inlineStr">
        <is>
          <t>20231124</t>
        </is>
      </c>
      <c r="P10" t="inlineStr">
        <is>
          <t>Jawa Barat</t>
        </is>
      </c>
      <c r="Q10" s="3">
        <f>HYPERLINK("https://wa.me/6281314775187?text=*[PENGINGAT MASA BERLAKU SBU STUDIO CMGS]*%0A%0AYth. Pimpinan STUDIO CMGS,%0AMohon izin menginformasikan status SBU Anda di sistem LPJK:%0A%0A📄 SBU: BG009%0A📅 Expired: 27 November 2026 (60 Hari Lagi)%0A%0AKami tim PT. ESDEA Assistance Management siap men-support proses perpanjangan segera agar administrasi proyek tidak terhambat%0A%0AApakah boleh saya bantu siapkan estimasi biaya dan waktu pengerjaannya?.", "Hubungi")</f>
        <v/>
      </c>
    </row>
    <row r="11">
      <c r="A11" t="inlineStr">
        <is>
          <t>WOKATUBA INDONESIA</t>
        </is>
      </c>
      <c r="B11" t="inlineStr">
        <is>
          <t>Kab. Bekasi</t>
        </is>
      </c>
      <c r="C11" t="inlineStr">
        <is>
          <t>081283780827</t>
        </is>
      </c>
      <c r="D11" t="inlineStr">
        <is>
          <t>wokatuba@gmail.com</t>
        </is>
      </c>
      <c r="E11" t="inlineStr">
        <is>
          <t>https://lpjk.pu.go.id/search-badan-usaha-detail/bEZaaTdXYS8yY1QrL3BFb0F3eHJXQT09</t>
        </is>
      </c>
      <c r="F11" t="n">
        <v>1</v>
      </c>
      <c r="G11" t="inlineStr">
        <is>
          <t>IN004</t>
        </is>
      </c>
      <c r="H11" t="inlineStr">
        <is>
          <t>5 Agustus 2013</t>
        </is>
      </c>
      <c r="I11" s="2" t="n">
        <v>46353</v>
      </c>
      <c r="J11" t="inlineStr">
        <is>
          <t>Pencabutan</t>
        </is>
      </c>
      <c r="K11" t="n">
        <v>60</v>
      </c>
      <c r="L11" t="inlineStr">
        <is>
          <t>27 November 2026</t>
        </is>
      </c>
      <c r="M11" t="inlineStr">
        <is>
          <t>Instalasi Minyak dan Gas</t>
        </is>
      </c>
      <c r="N11" t="inlineStr">
        <is>
          <t>Spesialis</t>
        </is>
      </c>
      <c r="O11" t="inlineStr">
        <is>
          <t>20231120</t>
        </is>
      </c>
      <c r="P11" t="inlineStr">
        <is>
          <t>Jawa Barat</t>
        </is>
      </c>
      <c r="Q11" s="3">
        <f>HYPERLINK("https://wa.me/6281283780827?text=*[PENGINGAT MASA BERLAKU SBU WOKATUBA INDONESIA]*%0A%0AYth. Pimpinan WOKATUBA INDONESIA,%0AMohon izin menginformasikan status SBU Anda di sistem LPJK:%0A%0A📄 SBU: IN004%0A📅 Expired: 27 November 2026 (60 Hari Lagi)%0A%0AKami tim PT. ESDEA Assistance Management siap men-support proses perpanjangan segera agar administrasi proyek tidak terhambat%0A%0AApakah boleh saya bantu siapkan estimasi biaya dan waktu pengerjaannya?.", "Hubungi")</f>
        <v/>
      </c>
    </row>
    <row r="12">
      <c r="A12" t="inlineStr">
        <is>
          <t>YANTO OTAKA PONDASI</t>
        </is>
      </c>
      <c r="B12" t="inlineStr">
        <is>
          <t>Kota Bekasi</t>
        </is>
      </c>
      <c r="C12" t="inlineStr">
        <is>
          <t>0216401677</t>
        </is>
      </c>
      <c r="D12" t="inlineStr">
        <is>
          <t>otakapondasiyanto@gmail.com</t>
        </is>
      </c>
      <c r="E12" t="inlineStr">
        <is>
          <t>https://lpjk.pu.go.id/search-badan-usaha-detail/RkRUekhqcUhwc1A5L0ZGekI5WldIQT09</t>
        </is>
      </c>
      <c r="F12" t="n">
        <v>2</v>
      </c>
      <c r="G12" t="inlineStr">
        <is>
          <t>BG003, BG009</t>
        </is>
      </c>
      <c r="H12" t="inlineStr">
        <is>
          <t>10 Agustus 2020</t>
        </is>
      </c>
      <c r="I12" s="2" t="n">
        <v>46353</v>
      </c>
      <c r="J12" t="inlineStr">
        <is>
          <t>Disetujui</t>
        </is>
      </c>
      <c r="K12" t="n">
        <v>60</v>
      </c>
      <c r="L12" t="inlineStr">
        <is>
          <t>27 November 2026</t>
        </is>
      </c>
      <c r="M12" t="inlineStr">
        <is>
          <t>Konstruksi Gedung Industri, Konstruksi Gedung Lainnya</t>
        </is>
      </c>
      <c r="N12" t="inlineStr">
        <is>
          <t>K</t>
        </is>
      </c>
      <c r="O12" t="inlineStr">
        <is>
          <t>20231115</t>
        </is>
      </c>
      <c r="P12" t="inlineStr">
        <is>
          <t>Jawa Barat</t>
        </is>
      </c>
      <c r="Q12" t="inlineStr"/>
    </row>
    <row r="13">
      <c r="A13" t="inlineStr">
        <is>
          <t>YASO DANA PRIMA</t>
        </is>
      </c>
      <c r="B13" t="inlineStr">
        <is>
          <t>Kab. Bekasi</t>
        </is>
      </c>
      <c r="C13" t="inlineStr">
        <is>
          <t>081286765917</t>
        </is>
      </c>
      <c r="D13" t="inlineStr">
        <is>
          <t>yasodanaprima@gmail.com</t>
        </is>
      </c>
      <c r="E13" t="inlineStr">
        <is>
          <t>https://lpjk.pu.go.id/search-badan-usaha-detail/RDE0bEtkRHJta1UvZFBTWC85WlpSQT09</t>
        </is>
      </c>
      <c r="F13" t="n">
        <v>4</v>
      </c>
      <c r="G13" t="inlineStr">
        <is>
          <t>BG009, BS001</t>
        </is>
      </c>
      <c r="H13" t="inlineStr">
        <is>
          <t>28 Maret 2023</t>
        </is>
      </c>
      <c r="I13" s="2" t="n">
        <v>46353</v>
      </c>
      <c r="J13" t="inlineStr">
        <is>
          <t>Disetujui</t>
        </is>
      </c>
      <c r="K13" t="n">
        <v>60</v>
      </c>
      <c r="L13" t="inlineStr">
        <is>
          <t>27 November 2026</t>
        </is>
      </c>
      <c r="M13" t="inlineStr">
        <is>
          <t>Konstruksi Bangunan Sipil Jalan, Konstruksi Gedung Lainnya</t>
        </is>
      </c>
      <c r="N13" t="inlineStr">
        <is>
          <t>K</t>
        </is>
      </c>
      <c r="O13" t="inlineStr">
        <is>
          <t>20231030, 20231202</t>
        </is>
      </c>
      <c r="P13" t="inlineStr">
        <is>
          <t>Jawa Barat</t>
        </is>
      </c>
      <c r="Q13" s="3">
        <f>HYPERLINK("https://wa.me/6281286765917?text=*[PENGINGAT MASA BERLAKU SBU YASO DANA PRIMA]*%0A%0AYth. Pimpinan YASO DANA PRIMA,%0AMohon izin menginformasikan status SBU Anda di sistem LPJK:%0A%0A📄 SBU: BG009, BS001%0A📅 Expired: 27 November 2026 (60 Hari Lagi)%0A%0AKami tim PT. ESDEA Assistance Management siap men-support proses perpanjangan segera agar administrasi proyek tidak terhambat%0A%0AApakah boleh saya bantu siapkan estimasi biaya dan waktu pengerjaannya?.", "Hubungi")</f>
        <v/>
      </c>
    </row>
    <row r="14">
      <c r="A14" t="inlineStr">
        <is>
          <t>YAYA BERKAH NUSANTARA</t>
        </is>
      </c>
      <c r="B14" t="inlineStr">
        <is>
          <t>Kab. Bogor</t>
        </is>
      </c>
      <c r="C14" t="inlineStr">
        <is>
          <t>081559669383</t>
        </is>
      </c>
      <c r="D14" t="inlineStr">
        <is>
          <t>yayaberkahnusantara@gmail.com</t>
        </is>
      </c>
      <c r="E14" t="inlineStr">
        <is>
          <t>https://lpjk.pu.go.id/search-badan-usaha-detail/TFJWL20yWS82OGdGTVBkWjdFcHRTdz09</t>
        </is>
      </c>
      <c r="F14" t="n">
        <v>2</v>
      </c>
      <c r="G14" t="inlineStr">
        <is>
          <t>BG003</t>
        </is>
      </c>
      <c r="H14" t="inlineStr">
        <is>
          <t>8 November 2021</t>
        </is>
      </c>
      <c r="I14" s="2" t="n">
        <v>46353</v>
      </c>
      <c r="J14" t="inlineStr">
        <is>
          <t>Disetujui</t>
        </is>
      </c>
      <c r="K14" t="n">
        <v>60</v>
      </c>
      <c r="L14" t="inlineStr">
        <is>
          <t>27 November 2026</t>
        </is>
      </c>
      <c r="M14" t="inlineStr">
        <is>
          <t>Konstruksi Gedung Industri</t>
        </is>
      </c>
      <c r="N14" t="inlineStr">
        <is>
          <t>K</t>
        </is>
      </c>
      <c r="O14" t="inlineStr">
        <is>
          <t>20231128</t>
        </is>
      </c>
      <c r="P14" t="inlineStr">
        <is>
          <t>Jawa Barat</t>
        </is>
      </c>
      <c r="Q14" s="3">
        <f>HYPERLINK("https://wa.me/6281559669383?text=*[PENGINGAT MASA BERLAKU SBU YAYA BERKAH NUSANTARA]*%0A%0AYth. Pimpinan YAYA BERKAH NUSANTARA,%0AMohon izin menginformasikan status SBU Anda di sistem LPJK:%0A%0A📄 SBU: BG003%0A📅 Expired: 27 November 2026 (60 Hari Lagi)%0A%0AKami tim PT. ESDEA Assistance Management siap men-support proses perpanjangan segera agar administrasi proyek tidak terhambat%0A%0AApakah boleh saya bantu siapkan estimasi biaya dan waktu pengerjaannya?.", "Hubungi")</f>
        <v/>
      </c>
    </row>
    <row r="15">
      <c r="A15" t="inlineStr">
        <is>
          <t>ABYUDAYA TATA ANUGRAH MANDIRI</t>
        </is>
      </c>
      <c r="B15" t="inlineStr">
        <is>
          <t>Kota Yogyakarta</t>
        </is>
      </c>
      <c r="C15" t="inlineStr">
        <is>
          <t>0812881111848</t>
        </is>
      </c>
      <c r="D15" t="inlineStr">
        <is>
          <t>jakarta.atam@gmail.com</t>
        </is>
      </c>
      <c r="E15" t="inlineStr">
        <is>
          <t>https://lpjk.pu.go.id/search-badan-usaha-detail/TFFadGkzalRBWUJLL2JhOEVNemg5UT09</t>
        </is>
      </c>
      <c r="F15" t="n">
        <v>1</v>
      </c>
      <c r="G15" t="inlineStr">
        <is>
          <t>BS009</t>
        </is>
      </c>
      <c r="H15" t="inlineStr">
        <is>
          <t>11 Februari 2017</t>
        </is>
      </c>
      <c r="I15" s="2" t="n">
        <v>46353</v>
      </c>
      <c r="J15" t="inlineStr">
        <is>
          <t>Disetujui</t>
        </is>
      </c>
      <c r="K15" t="n">
        <v>60</v>
      </c>
      <c r="L15" t="inlineStr">
        <is>
          <t>27 November 2026</t>
        </is>
      </c>
      <c r="M15" t="inlineStr">
        <is>
          <t>Konstruksi Sentral Telekomunikasi</t>
        </is>
      </c>
      <c r="N15" t="inlineStr">
        <is>
          <t>K</t>
        </is>
      </c>
      <c r="O15" t="inlineStr">
        <is>
          <t>20231122</t>
        </is>
      </c>
      <c r="P15" t="inlineStr">
        <is>
          <t>DI Yogyakarta</t>
        </is>
      </c>
      <c r="Q15" t="inlineStr"/>
    </row>
    <row r="16">
      <c r="A16" t="inlineStr">
        <is>
          <t>AGUNG PUNCAKMAS RAYA</t>
        </is>
      </c>
      <c r="B16" t="inlineStr">
        <is>
          <t>Kota Langsa</t>
        </is>
      </c>
      <c r="C16" t="inlineStr">
        <is>
          <t>082311630508</t>
        </is>
      </c>
      <c r="D16" t="inlineStr">
        <is>
          <t>agungpuncakmasraya@gmail.com</t>
        </is>
      </c>
      <c r="E16" t="inlineStr">
        <is>
          <t>https://lpjk.pu.go.id/search-badan-usaha-detail/SE5kMGlWcDRIY1JUVTlQY01sVGF5Zz09</t>
        </is>
      </c>
      <c r="F16" t="n">
        <v>2</v>
      </c>
      <c r="G16" t="inlineStr">
        <is>
          <t>BS011</t>
        </is>
      </c>
      <c r="H16" t="inlineStr">
        <is>
          <t>1 Agustus 2022</t>
        </is>
      </c>
      <c r="I16" s="2" t="n">
        <v>46353</v>
      </c>
      <c r="J16" t="inlineStr">
        <is>
          <t>Disetujui</t>
        </is>
      </c>
      <c r="K16" t="n">
        <v>60</v>
      </c>
      <c r="L16" t="inlineStr">
        <is>
          <t>27 November 2026</t>
        </is>
      </c>
      <c r="M16" t="inlineStr">
        <is>
          <t>Konstruksi Bangunan Pelabuhan Bukan Perikanan</t>
        </is>
      </c>
      <c r="N16" t="inlineStr">
        <is>
          <t>K</t>
        </is>
      </c>
      <c r="O16" t="inlineStr">
        <is>
          <t>20231127</t>
        </is>
      </c>
      <c r="P16" t="inlineStr">
        <is>
          <t>Aceh</t>
        </is>
      </c>
      <c r="Q16" t="inlineStr"/>
    </row>
    <row r="17">
      <c r="A17" t="inlineStr">
        <is>
          <t>ALKAFILA</t>
        </is>
      </c>
      <c r="B17" t="inlineStr">
        <is>
          <t>Kab. Blitar</t>
        </is>
      </c>
      <c r="C17" t="inlineStr">
        <is>
          <t>0</t>
        </is>
      </c>
      <c r="D17" t="inlineStr">
        <is>
          <t>cvalkafila@gmail.com</t>
        </is>
      </c>
      <c r="E17" t="inlineStr">
        <is>
          <t>https://lpjk.pu.go.id/search-badan-usaha-detail/SlEyQzdHc3pOVWVKSDhTQ09kU21UUT09</t>
        </is>
      </c>
      <c r="F17" t="n">
        <v>2</v>
      </c>
      <c r="G17" t="inlineStr">
        <is>
          <t>BS004</t>
        </is>
      </c>
      <c r="H17" t="inlineStr">
        <is>
          <t>13 Juni 2008</t>
        </is>
      </c>
      <c r="I17" s="2" t="n">
        <v>46353</v>
      </c>
      <c r="J17" t="inlineStr">
        <is>
          <t>Disetujui</t>
        </is>
      </c>
      <c r="K17" t="n">
        <v>60</v>
      </c>
      <c r="L17" t="inlineStr">
        <is>
          <t>27 November 2026</t>
        </is>
      </c>
      <c r="M17" t="inlineStr">
        <is>
          <t>Konstruksi Jaringan Irigasi dan Drainase</t>
        </is>
      </c>
      <c r="N17" t="inlineStr">
        <is>
          <t>K</t>
        </is>
      </c>
      <c r="O17" t="inlineStr">
        <is>
          <t>20231113</t>
        </is>
      </c>
      <c r="P17" t="inlineStr">
        <is>
          <t>Jawa Timur</t>
        </is>
      </c>
      <c r="Q17" t="inlineStr"/>
    </row>
    <row r="18">
      <c r="A18" t="inlineStr">
        <is>
          <t>ANGGREK MAS JAYA</t>
        </is>
      </c>
      <c r="B18" t="inlineStr">
        <is>
          <t>Kota Batam</t>
        </is>
      </c>
      <c r="C18" t="inlineStr">
        <is>
          <t>081991095091</t>
        </is>
      </c>
      <c r="D18" t="inlineStr">
        <is>
          <t>cv.amj321@gmail.com</t>
        </is>
      </c>
      <c r="E18" t="inlineStr">
        <is>
          <t>https://lpjk.pu.go.id/search-badan-usaha-detail/dHNvbXRlcExjUVRJZzM5V28vS1pNdz09</t>
        </is>
      </c>
      <c r="F18" t="n">
        <v>2</v>
      </c>
      <c r="G18" t="inlineStr">
        <is>
          <t>BS004, BS016</t>
        </is>
      </c>
      <c r="H18" t="inlineStr">
        <is>
          <t>13 Oktober 2023</t>
        </is>
      </c>
      <c r="I18" s="2" t="n">
        <v>46353</v>
      </c>
      <c r="J18" t="inlineStr">
        <is>
          <t>Disetujui</t>
        </is>
      </c>
      <c r="K18" t="n">
        <v>60</v>
      </c>
      <c r="L18" t="inlineStr">
        <is>
          <t>27 November 2026</t>
        </is>
      </c>
      <c r="M18" t="inlineStr">
        <is>
          <t>Konstruksi Bangunan Sipil Fasilitas Olah Raga, Konstruksi Jaringan Irigasi dan Drainase</t>
        </is>
      </c>
      <c r="N18" t="inlineStr">
        <is>
          <t>K</t>
        </is>
      </c>
      <c r="O18" t="inlineStr">
        <is>
          <t>20231122</t>
        </is>
      </c>
      <c r="P18" t="inlineStr">
        <is>
          <t>Kepulauan Riau</t>
        </is>
      </c>
      <c r="Q18" t="inlineStr"/>
    </row>
    <row r="19">
      <c r="A19" t="inlineStr">
        <is>
          <t>ANUGRAH BORNEO JAYA</t>
        </is>
      </c>
      <c r="B19" t="inlineStr">
        <is>
          <t>Kota Bontang</t>
        </is>
      </c>
      <c r="C19" t="inlineStr">
        <is>
          <t>081213564468</t>
        </is>
      </c>
      <c r="D19" t="inlineStr">
        <is>
          <t>cv.anugrahborneojaya@yahoo.com</t>
        </is>
      </c>
      <c r="E19" t="inlineStr">
        <is>
          <t>https://lpjk.pu.go.id/search-badan-usaha-detail/UWxvSHh4WDFqT1BYRE4rVWZwNEtTUT09</t>
        </is>
      </c>
      <c r="F19" t="n">
        <v>6</v>
      </c>
      <c r="G19" t="inlineStr">
        <is>
          <t>BG001, BG003, BG009</t>
        </is>
      </c>
      <c r="H19" t="inlineStr">
        <is>
          <t>29 Desember 2021</t>
        </is>
      </c>
      <c r="I19" s="2" t="n">
        <v>46353</v>
      </c>
      <c r="J19" t="inlineStr">
        <is>
          <t>Disetujui</t>
        </is>
      </c>
      <c r="K19" t="n">
        <v>60</v>
      </c>
      <c r="L19" t="inlineStr">
        <is>
          <t>27 November 2026</t>
        </is>
      </c>
      <c r="M19" t="inlineStr">
        <is>
          <t>Konstruksi Gedung Hunian, Konstruksi Gedung Industri, Konstruksi Gedung Lainnya</t>
        </is>
      </c>
      <c r="N19" t="inlineStr">
        <is>
          <t>K</t>
        </is>
      </c>
      <c r="O19" t="inlineStr">
        <is>
          <t>20231127, 20231128</t>
        </is>
      </c>
      <c r="P19" t="inlineStr">
        <is>
          <t>Kalimantan Timur</t>
        </is>
      </c>
      <c r="Q19" t="inlineStr"/>
    </row>
    <row r="20">
      <c r="A20" t="inlineStr">
        <is>
          <t>ANUGRAH JAYA</t>
        </is>
      </c>
      <c r="B20" t="inlineStr">
        <is>
          <t>Kab. Klungkung</t>
        </is>
      </c>
      <c r="C20" t="inlineStr">
        <is>
          <t>081337885568</t>
        </is>
      </c>
      <c r="D20" t="inlineStr">
        <is>
          <t>anugrah_jaya68@yahoo.co.id</t>
        </is>
      </c>
      <c r="E20" t="inlineStr">
        <is>
          <t>https://lpjk.pu.go.id/search-badan-usaha-detail/MCt3emJSakN1Zm55aSs4T3dURG5hQT09</t>
        </is>
      </c>
      <c r="F20" t="n">
        <v>10</v>
      </c>
      <c r="G20" t="inlineStr">
        <is>
          <t>BG002, BG005, BG006, BG009, BS004</t>
        </is>
      </c>
      <c r="H20" t="inlineStr">
        <is>
          <t>3 Januari 2007</t>
        </is>
      </c>
      <c r="I20" s="2" t="n">
        <v>46353</v>
      </c>
      <c r="J20" t="inlineStr">
        <is>
          <t>Disetujui</t>
        </is>
      </c>
      <c r="K20" t="n">
        <v>60</v>
      </c>
      <c r="L20" t="inlineStr">
        <is>
          <t>27 November 2026</t>
        </is>
      </c>
      <c r="M20" t="inlineStr">
        <is>
          <t>Konstruksi Gedung Kesehatan, Konstruksi Gedung Lainnya, Konstruksi Gedung Pendidikan, Konstruksi Gedung Perkantoran, Konstruksi Jaringan Irigasi dan Drainase</t>
        </is>
      </c>
      <c r="N20" t="inlineStr">
        <is>
          <t>K</t>
        </is>
      </c>
      <c r="O20" t="inlineStr">
        <is>
          <t>20231124</t>
        </is>
      </c>
      <c r="P20" t="inlineStr">
        <is>
          <t>Bali</t>
        </is>
      </c>
      <c r="Q20" t="inlineStr"/>
    </row>
    <row r="21">
      <c r="A21" t="inlineStr">
        <is>
          <t>AQUATEC REKATAMA KONSTRUKSI</t>
        </is>
      </c>
      <c r="B21" t="inlineStr">
        <is>
          <t>Kota Adm. Jakarta Utara</t>
        </is>
      </c>
      <c r="C21" t="inlineStr">
        <is>
          <t>0214523536</t>
        </is>
      </c>
      <c r="D21" t="inlineStr">
        <is>
          <t>aquatec.indo@yahoo.com</t>
        </is>
      </c>
      <c r="E21" t="inlineStr">
        <is>
          <t>https://lpjk.pu.go.id/search-badan-usaha-detail/RXFhOFlNZ1A1Z1Fpa0JKcFpOaXZSUT09</t>
        </is>
      </c>
      <c r="F21" t="n">
        <v>1</v>
      </c>
      <c r="G21" t="inlineStr">
        <is>
          <t>BG007</t>
        </is>
      </c>
      <c r="H21" t="inlineStr">
        <is>
          <t>4 Februari 2013</t>
        </is>
      </c>
      <c r="I21" s="2" t="n">
        <v>46353</v>
      </c>
      <c r="J21" t="inlineStr">
        <is>
          <t>Disetujui</t>
        </is>
      </c>
      <c r="K21" t="n">
        <v>60</v>
      </c>
      <c r="L21" t="inlineStr">
        <is>
          <t>27 November 2026</t>
        </is>
      </c>
      <c r="M21" t="inlineStr">
        <is>
          <t>Konstruksi Gedung Penginapan</t>
        </is>
      </c>
      <c r="N21" t="inlineStr">
        <is>
          <t>B</t>
        </is>
      </c>
      <c r="O21" t="inlineStr">
        <is>
          <t>20231110</t>
        </is>
      </c>
      <c r="P21" t="inlineStr">
        <is>
          <t>DKI Jakarta</t>
        </is>
      </c>
      <c r="Q21" t="inlineStr"/>
    </row>
    <row r="22">
      <c r="A22" t="inlineStr">
        <is>
          <t>ARTHA CITRA PERSADA</t>
        </is>
      </c>
      <c r="B22" t="inlineStr">
        <is>
          <t>Kota Palangkaraya</t>
        </is>
      </c>
      <c r="C22" t="inlineStr">
        <is>
          <t>081250866366</t>
        </is>
      </c>
      <c r="D22" t="inlineStr">
        <is>
          <t>cvarthacitrapersada@gmail.com</t>
        </is>
      </c>
      <c r="E22" t="inlineStr">
        <is>
          <t>https://lpjk.pu.go.id/search-badan-usaha-detail/TTcrRjhkUUh6bjdhdDVBWmE5MDZLQT09</t>
        </is>
      </c>
      <c r="F22" t="n">
        <v>6</v>
      </c>
      <c r="G22" t="inlineStr">
        <is>
          <t>BG001, BG002, BG006, BG009, BS001, BS004</t>
        </is>
      </c>
      <c r="H22" t="inlineStr">
        <is>
          <t>13 Juli 2022</t>
        </is>
      </c>
      <c r="I22" s="2" t="n">
        <v>46353</v>
      </c>
      <c r="J22" t="inlineStr">
        <is>
          <t>Disetujui</t>
        </is>
      </c>
      <c r="K22" t="n">
        <v>60</v>
      </c>
      <c r="L22" t="inlineStr">
        <is>
          <t>27 November 2026</t>
        </is>
      </c>
      <c r="M22" t="inlineStr">
        <is>
          <t>Konstruksi Bangunan Sipil Jalan, Konstruksi Gedung Hunian, Konstruksi Gedung Lainnya, Konstruksi Gedung Pendidikan, Konstruksi Gedung Perkantoran, Konstruksi Jaringan Irigasi dan Drainase</t>
        </is>
      </c>
      <c r="N22" t="inlineStr">
        <is>
          <t>K</t>
        </is>
      </c>
      <c r="O22" t="inlineStr">
        <is>
          <t>20231125, 20231129</t>
        </is>
      </c>
      <c r="P22" t="inlineStr">
        <is>
          <t>Kalimantan Tengah</t>
        </is>
      </c>
      <c r="Q22" t="inlineStr"/>
    </row>
    <row r="23">
      <c r="A23" t="inlineStr">
        <is>
          <t>BAHANA MAKMUR UTAMA</t>
        </is>
      </c>
      <c r="B23" t="inlineStr">
        <is>
          <t>Kota Semarang</t>
        </is>
      </c>
      <c r="C23" t="inlineStr">
        <is>
          <t>0246594244</t>
        </is>
      </c>
      <c r="D23" t="inlineStr">
        <is>
          <t>bahanamakmurutama@yahoo.com</t>
        </is>
      </c>
      <c r="E23" t="inlineStr">
        <is>
          <t>https://lpjk.pu.go.id/search-badan-usaha-detail/aWhIL1lkRFFRbmxPalk4L25MbXZ5Zz09</t>
        </is>
      </c>
      <c r="F23" t="n">
        <v>1</v>
      </c>
      <c r="G23" t="inlineStr">
        <is>
          <t>BS001</t>
        </is>
      </c>
      <c r="H23" t="inlineStr">
        <is>
          <t>8 Februari 2003</t>
        </is>
      </c>
      <c r="I23" s="2" t="n">
        <v>46353</v>
      </c>
      <c r="J23" t="inlineStr">
        <is>
          <t>Disetujui</t>
        </is>
      </c>
      <c r="K23" t="n">
        <v>60</v>
      </c>
      <c r="L23" t="inlineStr">
        <is>
          <t>27 November 2026</t>
        </is>
      </c>
      <c r="M23" t="inlineStr">
        <is>
          <t>Konstruksi Bangunan Sipil Jalan</t>
        </is>
      </c>
      <c r="N23" t="inlineStr">
        <is>
          <t>M</t>
        </is>
      </c>
      <c r="O23" t="inlineStr">
        <is>
          <t>20230704</t>
        </is>
      </c>
      <c r="P23" t="inlineStr">
        <is>
          <t>Jawa Tengah</t>
        </is>
      </c>
      <c r="Q23" t="inlineStr"/>
    </row>
    <row r="24">
      <c r="A24" t="inlineStr">
        <is>
          <t>BANGUN INDAH</t>
        </is>
      </c>
      <c r="B24" t="inlineStr">
        <is>
          <t>Kab. Gunungkidul</t>
        </is>
      </c>
      <c r="C24" t="inlineStr">
        <is>
          <t>087839882308</t>
        </is>
      </c>
      <c r="D24" t="inlineStr">
        <is>
          <t>bangunindahcv@yahoo.com</t>
        </is>
      </c>
      <c r="E24" t="inlineStr">
        <is>
          <t>https://lpjk.pu.go.id/search-badan-usaha-detail/Z1Yxd2tmVFBzb1AvZ1pDdEpBWVlSUT09</t>
        </is>
      </c>
      <c r="F24" t="n">
        <v>2</v>
      </c>
      <c r="G24" t="inlineStr">
        <is>
          <t>BS005, BS006</t>
        </is>
      </c>
      <c r="H24" t="inlineStr">
        <is>
          <t>5 Oktober 2000</t>
        </is>
      </c>
      <c r="I24" s="2" t="n">
        <v>46353</v>
      </c>
      <c r="J24" t="inlineStr">
        <is>
          <t>Disetujui</t>
        </is>
      </c>
      <c r="K24" t="n">
        <v>60</v>
      </c>
      <c r="L24" t="inlineStr">
        <is>
          <t>27 November 2026</t>
        </is>
      </c>
      <c r="M24" t="inlineStr">
        <is>
          <t>Konstruksi Bangunan Sipil Pengolahan Air Bersih, Konstruksi Bangunan Sipil Prasarana dan Sarana Sistem Pengolahan Limbah Padat, Cair, dan Gas</t>
        </is>
      </c>
      <c r="N24" t="inlineStr">
        <is>
          <t>K</t>
        </is>
      </c>
      <c r="O24" t="inlineStr">
        <is>
          <t>20231118, 20231122</t>
        </is>
      </c>
      <c r="P24" t="inlineStr">
        <is>
          <t>DI Yogyakarta</t>
        </is>
      </c>
      <c r="Q24" t="inlineStr"/>
    </row>
    <row r="25">
      <c r="A25" t="inlineStr">
        <is>
          <t>BANGUN MAKMUR UTAMA</t>
        </is>
      </c>
      <c r="B25" t="inlineStr">
        <is>
          <t>Kab. Kebumen</t>
        </is>
      </c>
      <c r="C25" t="inlineStr">
        <is>
          <t>083862211187</t>
        </is>
      </c>
      <c r="D25" t="inlineStr">
        <is>
          <t>bangunmakmurutamacv@gmail.com</t>
        </is>
      </c>
      <c r="E25" t="inlineStr">
        <is>
          <t>https://lpjk.pu.go.id/search-badan-usaha-detail/bitJdnBGekZWbG16RFp1bFB0L0Fzdz09</t>
        </is>
      </c>
      <c r="F25" t="n">
        <v>3</v>
      </c>
      <c r="G25" t="inlineStr">
        <is>
          <t>BG009, BS001, BS004</t>
        </is>
      </c>
      <c r="H25" t="inlineStr">
        <is>
          <t>10 Oktober 2023</t>
        </is>
      </c>
      <c r="I25" s="2" t="n">
        <v>46353</v>
      </c>
      <c r="J25" t="inlineStr">
        <is>
          <t>Disetujui</t>
        </is>
      </c>
      <c r="K25" t="n">
        <v>60</v>
      </c>
      <c r="L25" t="inlineStr">
        <is>
          <t>27 November 2026</t>
        </is>
      </c>
      <c r="M25" t="inlineStr">
        <is>
          <t>Konstruksi Bangunan Sipil Jalan, Konstruksi Gedung Lainnya, Konstruksi Jaringan Irigasi dan Drainase</t>
        </is>
      </c>
      <c r="N25" t="inlineStr">
        <is>
          <t>K</t>
        </is>
      </c>
      <c r="O25" t="inlineStr">
        <is>
          <t>20231104, 20231116, 20231117</t>
        </is>
      </c>
      <c r="P25" t="inlineStr">
        <is>
          <t>Jawa Tengah</t>
        </is>
      </c>
      <c r="Q25" t="inlineStr"/>
    </row>
    <row r="26">
      <c r="A26" t="inlineStr">
        <is>
          <t>BEJO MAKMUR SENTOSA</t>
        </is>
      </c>
      <c r="B26" t="inlineStr">
        <is>
          <t>Kab. Banyumas</t>
        </is>
      </c>
      <c r="C26" t="inlineStr">
        <is>
          <t>02817773677</t>
        </is>
      </c>
      <c r="D26" t="inlineStr">
        <is>
          <t>pt.bejomakmursentosa@gmail.com</t>
        </is>
      </c>
      <c r="E26" t="inlineStr">
        <is>
          <t>https://lpjk.pu.go.id/search-badan-usaha-detail/RENDL1lzSmFqZHlOcVQzN2xqRzFTZz09</t>
        </is>
      </c>
      <c r="F26" t="n">
        <v>1</v>
      </c>
      <c r="G26" t="inlineStr">
        <is>
          <t>BS003</t>
        </is>
      </c>
      <c r="H26" t="inlineStr">
        <is>
          <t>23 April 2019</t>
        </is>
      </c>
      <c r="I26" s="2" t="n">
        <v>46353</v>
      </c>
      <c r="J26" t="inlineStr">
        <is>
          <t>Disetujui</t>
        </is>
      </c>
      <c r="K26" t="n">
        <v>60</v>
      </c>
      <c r="L26" t="inlineStr">
        <is>
          <t>27 November 2026</t>
        </is>
      </c>
      <c r="M26" t="inlineStr">
        <is>
          <t>Konstruksi Jalan Rel</t>
        </is>
      </c>
      <c r="N26" t="inlineStr">
        <is>
          <t>K</t>
        </is>
      </c>
      <c r="O26" t="inlineStr">
        <is>
          <t>20231127</t>
        </is>
      </c>
      <c r="P26" t="inlineStr">
        <is>
          <t>Jawa Tengah</t>
        </is>
      </c>
      <c r="Q26" t="inlineStr"/>
    </row>
    <row r="27">
      <c r="A27" t="inlineStr">
        <is>
          <t>BERKAH</t>
        </is>
      </c>
      <c r="B27" t="inlineStr">
        <is>
          <t>Kota Pariaman</t>
        </is>
      </c>
      <c r="C27" t="inlineStr">
        <is>
          <t>085364190091</t>
        </is>
      </c>
      <c r="D27" t="inlineStr">
        <is>
          <t>efendisyamri@gmail.com</t>
        </is>
      </c>
      <c r="E27" t="inlineStr">
        <is>
          <t>https://lpjk.pu.go.id/search-badan-usaha-detail/UlYrUms4QS9SNnJaamR6Qmxick43Zz09</t>
        </is>
      </c>
      <c r="F27" t="n">
        <v>2</v>
      </c>
      <c r="G27" t="inlineStr">
        <is>
          <t>BS001</t>
        </is>
      </c>
      <c r="H27" t="inlineStr">
        <is>
          <t>3 Februari 2004</t>
        </is>
      </c>
      <c r="I27" s="2" t="n">
        <v>46353</v>
      </c>
      <c r="J27" t="inlineStr">
        <is>
          <t>Disetujui</t>
        </is>
      </c>
      <c r="K27" t="n">
        <v>60</v>
      </c>
      <c r="L27" t="inlineStr">
        <is>
          <t>27 November 2026</t>
        </is>
      </c>
      <c r="M27" t="inlineStr">
        <is>
          <t>Konstruksi Bangunan Sipil Jalan</t>
        </is>
      </c>
      <c r="N27" t="inlineStr">
        <is>
          <t>K</t>
        </is>
      </c>
      <c r="O27" t="inlineStr">
        <is>
          <t>20231122</t>
        </is>
      </c>
      <c r="P27" t="inlineStr">
        <is>
          <t>Sumatera Barat</t>
        </is>
      </c>
      <c r="Q27" t="inlineStr"/>
    </row>
    <row r="28">
      <c r="A28" t="inlineStr">
        <is>
          <t>BERKAH BANGUN BANGSA</t>
        </is>
      </c>
      <c r="B28" t="inlineStr">
        <is>
          <t>Kab. Lombok Barat</t>
        </is>
      </c>
      <c r="C28" t="inlineStr">
        <is>
          <t>081237160067</t>
        </is>
      </c>
      <c r="D28" t="inlineStr">
        <is>
          <t>ptbbbangsa@gmail.com</t>
        </is>
      </c>
      <c r="E28" t="inlineStr">
        <is>
          <t>https://lpjk.pu.go.id/search-badan-usaha-detail/S3V1dWpsZFg2b0V2U0FLMzFaVEVXZz09</t>
        </is>
      </c>
      <c r="F28" t="n">
        <v>8</v>
      </c>
      <c r="G28" t="inlineStr">
        <is>
          <t>BG002, BG005, BG006, BG009</t>
        </is>
      </c>
      <c r="H28" t="inlineStr">
        <is>
          <t>21 Juni 2023</t>
        </is>
      </c>
      <c r="I28" s="2" t="n">
        <v>46353</v>
      </c>
      <c r="J28" t="inlineStr">
        <is>
          <t>Disetujui</t>
        </is>
      </c>
      <c r="K28" t="n">
        <v>60</v>
      </c>
      <c r="L28" t="inlineStr">
        <is>
          <t>27 November 2026</t>
        </is>
      </c>
      <c r="M28" t="inlineStr">
        <is>
          <t>Konstruksi Gedung Kesehatan, Konstruksi Gedung Lainnya, Konstruksi Gedung Pendidikan, Konstruksi Gedung Perkantoran</t>
        </is>
      </c>
      <c r="N28" t="inlineStr">
        <is>
          <t>K</t>
        </is>
      </c>
      <c r="O28" t="inlineStr">
        <is>
          <t>20231121, 20231122, 20231127</t>
        </is>
      </c>
      <c r="P28" t="inlineStr">
        <is>
          <t>Nusa Tenggara Barat</t>
        </is>
      </c>
      <c r="Q28" t="inlineStr"/>
    </row>
    <row r="29">
      <c r="A29" t="inlineStr">
        <is>
          <t>BIMA SAKTI</t>
        </is>
      </c>
      <c r="B29" t="inlineStr">
        <is>
          <t>Kab. Dompu</t>
        </is>
      </c>
      <c r="C29" t="inlineStr">
        <is>
          <t>085216482831</t>
        </is>
      </c>
      <c r="D29" t="inlineStr">
        <is>
          <t>cvbimasakti1974@gmail.com</t>
        </is>
      </c>
      <c r="E29" t="inlineStr">
        <is>
          <t>https://lpjk.pu.go.id/search-badan-usaha-detail/aUMrNFFWVEV3ZVpMQUFBTjdjSHB4dz09</t>
        </is>
      </c>
      <c r="F29" t="n">
        <v>1</v>
      </c>
      <c r="G29" t="inlineStr">
        <is>
          <t>BG003</t>
        </is>
      </c>
      <c r="H29" t="inlineStr">
        <is>
          <t>1 Agustus 2005</t>
        </is>
      </c>
      <c r="I29" s="2" t="n">
        <v>46353</v>
      </c>
      <c r="J29" t="inlineStr">
        <is>
          <t>Disetujui</t>
        </is>
      </c>
      <c r="K29" t="n">
        <v>60</v>
      </c>
      <c r="L29" t="inlineStr">
        <is>
          <t>27 November 2026</t>
        </is>
      </c>
      <c r="M29" t="inlineStr">
        <is>
          <t>Konstruksi Gedung Industri</t>
        </is>
      </c>
      <c r="N29" t="inlineStr">
        <is>
          <t>K</t>
        </is>
      </c>
      <c r="O29" t="inlineStr">
        <is>
          <t>20231122</t>
        </is>
      </c>
      <c r="P29" t="inlineStr">
        <is>
          <t>Nusa Tenggara Barat</t>
        </is>
      </c>
      <c r="Q29" t="inlineStr"/>
    </row>
    <row r="30">
      <c r="A30" t="inlineStr">
        <is>
          <t>BONA DWITAMA GROUP</t>
        </is>
      </c>
      <c r="B30" t="inlineStr">
        <is>
          <t>Kota Pekanbaru</t>
        </is>
      </c>
      <c r="C30" t="inlineStr">
        <is>
          <t>081260199262</t>
        </is>
      </c>
      <c r="D30" t="inlineStr">
        <is>
          <t>bdgriau2023@gmail.com</t>
        </is>
      </c>
      <c r="E30" t="inlineStr">
        <is>
          <t>https://lpjk.pu.go.id/search-badan-usaha-detail/TnNBUnNyUm9jV1V1Q0FBRENWb3FlZz09</t>
        </is>
      </c>
      <c r="F30" t="n">
        <v>4</v>
      </c>
      <c r="G30" t="inlineStr">
        <is>
          <t>BG006, BG009, BS001, BS004</t>
        </is>
      </c>
      <c r="H30" t="inlineStr">
        <is>
          <t>24 Oktober 2023</t>
        </is>
      </c>
      <c r="I30" s="2" t="n">
        <v>46353</v>
      </c>
      <c r="J30" t="inlineStr">
        <is>
          <t>Disetujui</t>
        </is>
      </c>
      <c r="K30" t="n">
        <v>60</v>
      </c>
      <c r="L30" t="inlineStr">
        <is>
          <t>27 November 2026</t>
        </is>
      </c>
      <c r="M30" t="inlineStr">
        <is>
          <t>Konstruksi Bangunan Sipil Jalan, Konstruksi Gedung Lainnya, Konstruksi Gedung Pendidikan, Konstruksi Jaringan Irigasi dan Drainase</t>
        </is>
      </c>
      <c r="N30" t="inlineStr">
        <is>
          <t>K</t>
        </is>
      </c>
      <c r="O30" t="inlineStr">
        <is>
          <t>20231128, 20231204</t>
        </is>
      </c>
      <c r="P30" t="inlineStr">
        <is>
          <t>Riau</t>
        </is>
      </c>
      <c r="Q30" t="inlineStr"/>
    </row>
    <row r="31">
      <c r="A31" t="inlineStr">
        <is>
          <t>BUMI KARYA</t>
        </is>
      </c>
      <c r="B31" t="inlineStr">
        <is>
          <t>Kab. Jombang</t>
        </is>
      </c>
      <c r="C31" t="inlineStr">
        <is>
          <t>085257225654</t>
        </is>
      </c>
      <c r="D31" t="inlineStr">
        <is>
          <t>suradi.60th@gmail.com</t>
        </is>
      </c>
      <c r="E31" t="inlineStr">
        <is>
          <t>https://lpjk.pu.go.id/search-badan-usaha-detail/UFNjWTFCTEJoQkhFM3NKQjFrTGJuZz09</t>
        </is>
      </c>
      <c r="F31" t="n">
        <v>3</v>
      </c>
      <c r="G31" t="inlineStr">
        <is>
          <t>BG005, BG006, BG009</t>
        </is>
      </c>
      <c r="H31" t="inlineStr">
        <is>
          <t>19 November 1998</t>
        </is>
      </c>
      <c r="I31" s="2" t="n">
        <v>46353</v>
      </c>
      <c r="J31" t="inlineStr">
        <is>
          <t>Disetujui</t>
        </is>
      </c>
      <c r="K31" t="n">
        <v>60</v>
      </c>
      <c r="L31" t="inlineStr">
        <is>
          <t>27 November 2026</t>
        </is>
      </c>
      <c r="M31" t="inlineStr">
        <is>
          <t>Konstruksi Gedung Kesehatan, Konstruksi Gedung Lainnya, Konstruksi Gedung Pendidikan</t>
        </is>
      </c>
      <c r="N31" t="inlineStr">
        <is>
          <t>K</t>
        </is>
      </c>
      <c r="O31" t="inlineStr">
        <is>
          <t>20231122, 20231127, 20231129</t>
        </is>
      </c>
      <c r="P31" t="inlineStr">
        <is>
          <t>Jawa Timur</t>
        </is>
      </c>
      <c r="Q31" t="inlineStr"/>
    </row>
    <row r="32">
      <c r="A32" t="inlineStr">
        <is>
          <t>CAHAYA TEKNIK PUTRA NUSANTARA</t>
        </is>
      </c>
      <c r="B32" t="inlineStr">
        <is>
          <t>Kab. Garut</t>
        </is>
      </c>
      <c r="C32" t="inlineStr">
        <is>
          <t>081214295653</t>
        </is>
      </c>
      <c r="D32" t="inlineStr">
        <is>
          <t>sales@ctpn.co.id</t>
        </is>
      </c>
      <c r="E32" t="inlineStr">
        <is>
          <t>https://lpjk.pu.go.id/search-badan-usaha-detail/bHA3RDh1ODZDZktpMTEyNXJ0N0RzUT09</t>
        </is>
      </c>
      <c r="F32" t="n">
        <v>1</v>
      </c>
      <c r="G32" t="inlineStr">
        <is>
          <t>BG004</t>
        </is>
      </c>
      <c r="H32" t="inlineStr">
        <is>
          <t>23 November 2016</t>
        </is>
      </c>
      <c r="I32" s="2" t="n">
        <v>46353</v>
      </c>
      <c r="J32" t="inlineStr">
        <is>
          <t>Pencabutan</t>
        </is>
      </c>
      <c r="K32" t="n">
        <v>60</v>
      </c>
      <c r="L32" t="inlineStr">
        <is>
          <t>27 November 2026</t>
        </is>
      </c>
      <c r="M32" t="inlineStr">
        <is>
          <t>Konstruksi Gedung Perbelanjaan</t>
        </is>
      </c>
      <c r="N32" t="inlineStr">
        <is>
          <t>M</t>
        </is>
      </c>
      <c r="O32" t="inlineStr">
        <is>
          <t>20231123</t>
        </is>
      </c>
      <c r="P32" t="inlineStr">
        <is>
          <t>Jawa Barat</t>
        </is>
      </c>
      <c r="Q32" t="inlineStr"/>
    </row>
    <row r="33">
      <c r="A33" t="inlineStr">
        <is>
          <t>CANDI PENATARAN INDAH</t>
        </is>
      </c>
      <c r="B33" t="inlineStr">
        <is>
          <t>Kota Semarang</t>
        </is>
      </c>
      <c r="C33" t="inlineStr">
        <is>
          <t>085865578877</t>
        </is>
      </c>
      <c r="D33" t="inlineStr">
        <is>
          <t>cpindah@yahoo.com</t>
        </is>
      </c>
      <c r="E33" t="inlineStr">
        <is>
          <t>https://lpjk.pu.go.id/search-badan-usaha-detail/ZmczM1pwZWZCUWRNcXpFbVROdFZ3QT09</t>
        </is>
      </c>
      <c r="F33" t="n">
        <v>2</v>
      </c>
      <c r="G33" t="inlineStr">
        <is>
          <t>BG003, BG009</t>
        </is>
      </c>
      <c r="H33" t="inlineStr">
        <is>
          <t>19 Maret 2017</t>
        </is>
      </c>
      <c r="I33" s="2" t="n">
        <v>46353</v>
      </c>
      <c r="J33" t="inlineStr">
        <is>
          <t>Disetujui</t>
        </is>
      </c>
      <c r="K33" t="n">
        <v>60</v>
      </c>
      <c r="L33" t="inlineStr">
        <is>
          <t>27 November 2026</t>
        </is>
      </c>
      <c r="M33" t="inlineStr">
        <is>
          <t>Konstruksi Gedung Industri, Konstruksi Gedung Lainnya</t>
        </is>
      </c>
      <c r="N33" t="inlineStr">
        <is>
          <t>K</t>
        </is>
      </c>
      <c r="O33" t="inlineStr">
        <is>
          <t>20231107</t>
        </is>
      </c>
      <c r="P33" t="inlineStr">
        <is>
          <t>Jawa Tengah</t>
        </is>
      </c>
      <c r="Q33" t="inlineStr"/>
    </row>
    <row r="34">
      <c r="A34" t="inlineStr">
        <is>
          <t>CEMPAKA NUSANTARA</t>
        </is>
      </c>
      <c r="B34" t="inlineStr">
        <is>
          <t>Kota Makassar</t>
        </is>
      </c>
      <c r="C34" t="inlineStr">
        <is>
          <t>085255107529</t>
        </is>
      </c>
      <c r="D34" t="inlineStr">
        <is>
          <t>pt.cempakanusantara@gmail.com</t>
        </is>
      </c>
      <c r="E34" t="inlineStr">
        <is>
          <t>https://lpjk.pu.go.id/search-badan-usaha-detail/MSs4WHZFVWtRRHYycER6RlJrQW0rQT09</t>
        </is>
      </c>
      <c r="F34" t="n">
        <v>1</v>
      </c>
      <c r="G34" t="inlineStr">
        <is>
          <t>BS004</t>
        </is>
      </c>
      <c r="H34" t="inlineStr">
        <is>
          <t>31 Mei 2004</t>
        </is>
      </c>
      <c r="I34" s="2" t="n">
        <v>46353</v>
      </c>
      <c r="J34" t="inlineStr">
        <is>
          <t>Disetujui</t>
        </is>
      </c>
      <c r="K34" t="n">
        <v>60</v>
      </c>
      <c r="L34" t="inlineStr">
        <is>
          <t>27 November 2026</t>
        </is>
      </c>
      <c r="M34" t="inlineStr">
        <is>
          <t>Konstruksi Jaringan Irigasi dan Drainase</t>
        </is>
      </c>
      <c r="N34" t="inlineStr">
        <is>
          <t>M</t>
        </is>
      </c>
      <c r="O34" t="inlineStr">
        <is>
          <t>20231127</t>
        </is>
      </c>
      <c r="P34" t="inlineStr">
        <is>
          <t>Sulawesi Selatan</t>
        </is>
      </c>
      <c r="Q34" t="inlineStr"/>
    </row>
    <row r="35">
      <c r="A35" t="inlineStr">
        <is>
          <t>CENTRAL GRAFIKA PRINT</t>
        </is>
      </c>
      <c r="B35" t="inlineStr">
        <is>
          <t>Kab. Mandailing Natal</t>
        </is>
      </c>
      <c r="C35" t="inlineStr">
        <is>
          <t>082166466469</t>
        </is>
      </c>
      <c r="D35" t="inlineStr">
        <is>
          <t>centralgrafikaprint.cv@gmail.com</t>
        </is>
      </c>
      <c r="E35" t="inlineStr">
        <is>
          <t>https://lpjk.pu.go.id/search-badan-usaha-detail/MmxiU25aY2FnZkN2R0V5M0VKSVI4UT09</t>
        </is>
      </c>
      <c r="F35" t="n">
        <v>2</v>
      </c>
      <c r="G35" t="inlineStr">
        <is>
          <t>BG009</t>
        </is>
      </c>
      <c r="H35" t="inlineStr">
        <is>
          <t>6 Mei 2019</t>
        </is>
      </c>
      <c r="I35" s="2" t="n">
        <v>46353</v>
      </c>
      <c r="J35" t="inlineStr">
        <is>
          <t>Disetujui</t>
        </is>
      </c>
      <c r="K35" t="n">
        <v>60</v>
      </c>
      <c r="L35" t="inlineStr">
        <is>
          <t>27 November 2026</t>
        </is>
      </c>
      <c r="M35" t="inlineStr">
        <is>
          <t>Konstruksi Gedung Lainnya</t>
        </is>
      </c>
      <c r="N35" t="inlineStr">
        <is>
          <t>K</t>
        </is>
      </c>
      <c r="O35" t="inlineStr">
        <is>
          <t>20231124</t>
        </is>
      </c>
      <c r="P35" t="inlineStr">
        <is>
          <t>Sumatera Utara</t>
        </is>
      </c>
      <c r="Q35" t="inlineStr"/>
    </row>
    <row r="36">
      <c r="A36" t="inlineStr">
        <is>
          <t>CHANDRA KARYA NUSANTARA</t>
        </is>
      </c>
      <c r="B36" t="inlineStr">
        <is>
          <t>Kab. Sleman</t>
        </is>
      </c>
      <c r="C36" t="inlineStr">
        <is>
          <t>08112541225</t>
        </is>
      </c>
      <c r="D36" t="inlineStr">
        <is>
          <t>chandra.karya.nusantara@gmail.com</t>
        </is>
      </c>
      <c r="E36" t="inlineStr">
        <is>
          <t>https://lpjk.pu.go.id/search-badan-usaha-detail/WHdsb3hMaDNFNlNmYW94MnF6QldmQT09</t>
        </is>
      </c>
      <c r="F36" t="n">
        <v>2</v>
      </c>
      <c r="G36" t="inlineStr">
        <is>
          <t>BG001, BG003</t>
        </is>
      </c>
      <c r="H36" t="inlineStr">
        <is>
          <t>22 Maret 2022</t>
        </is>
      </c>
      <c r="I36" s="2" t="n">
        <v>46353</v>
      </c>
      <c r="J36" t="inlineStr">
        <is>
          <t>Disetujui</t>
        </is>
      </c>
      <c r="K36" t="n">
        <v>60</v>
      </c>
      <c r="L36" t="inlineStr">
        <is>
          <t>27 November 2026</t>
        </is>
      </c>
      <c r="M36" t="inlineStr">
        <is>
          <t>Konstruksi Gedung Hunian, Konstruksi Gedung Industri</t>
        </is>
      </c>
      <c r="N36" t="inlineStr">
        <is>
          <t>K</t>
        </is>
      </c>
      <c r="O36" t="inlineStr">
        <is>
          <t>20231122</t>
        </is>
      </c>
      <c r="P36" t="inlineStr">
        <is>
          <t>DI Yogyakarta</t>
        </is>
      </c>
      <c r="Q36" t="inlineStr"/>
    </row>
    <row r="37">
      <c r="A37" t="inlineStr">
        <is>
          <t>CIPTA ENGINEERING</t>
        </is>
      </c>
      <c r="B37" t="inlineStr">
        <is>
          <t>Kota Banda Aceh</t>
        </is>
      </c>
      <c r="C37" t="inlineStr">
        <is>
          <t>082360000028</t>
        </is>
      </c>
      <c r="D37" t="inlineStr">
        <is>
          <t>cvce.engineering@gmail.com</t>
        </is>
      </c>
      <c r="E37" t="inlineStr">
        <is>
          <t>https://lpjk.pu.go.id/search-badan-usaha-detail/QWdkZHNwdTdIMVNZSERNbjc5elhGZz09</t>
        </is>
      </c>
      <c r="F37" t="n">
        <v>16</v>
      </c>
      <c r="G37" t="inlineStr">
        <is>
          <t>BG001, BG002, BG005, BG006, BG009, BS001, BS016, BS020</t>
        </is>
      </c>
      <c r="H37" t="inlineStr">
        <is>
          <t>29 Maret 2011</t>
        </is>
      </c>
      <c r="I37" s="2" t="n">
        <v>46353</v>
      </c>
      <c r="J37" t="inlineStr">
        <is>
          <t>Disetujui</t>
        </is>
      </c>
      <c r="K37" t="n">
        <v>60</v>
      </c>
      <c r="L37" t="inlineStr">
        <is>
          <t>27 November 2026</t>
        </is>
      </c>
      <c r="M37" t="inlineStr">
        <is>
          <t>Konstruksi Bangunan Sipil Fasilitas Olah Raga, Konstruksi Bangunan Sipil Jalan, Konstruksi Gedung Hunian, Konstruksi Gedung Kesehatan, Konstruksi Gedung Lainnya, Konstruksi Gedung Pendidikan, Konstruksi Gedung Perkantoran, Konstruksi Jaringan Irigasi, Komunikasi, dan Limbah Lainnya</t>
        </is>
      </c>
      <c r="N37" t="inlineStr">
        <is>
          <t>K</t>
        </is>
      </c>
      <c r="O37" t="inlineStr">
        <is>
          <t>20231127</t>
        </is>
      </c>
      <c r="P37" t="inlineStr">
        <is>
          <t>Aceh</t>
        </is>
      </c>
      <c r="Q37" t="inlineStr"/>
    </row>
    <row r="38">
      <c r="A38" t="inlineStr">
        <is>
          <t>CIPTA MADANI PRATAMA</t>
        </is>
      </c>
      <c r="B38" t="inlineStr">
        <is>
          <t>Kab. Bandung</t>
        </is>
      </c>
      <c r="C38" t="inlineStr">
        <is>
          <t>085220215671</t>
        </is>
      </c>
      <c r="D38" t="inlineStr">
        <is>
          <t>ciptamadani43@gmail.com</t>
        </is>
      </c>
      <c r="E38" t="inlineStr">
        <is>
          <t>https://lpjk.pu.go.id/search-badan-usaha-detail/WDVmcVd6RmtiRkVtWDNsTncyWFBvQT09</t>
        </is>
      </c>
      <c r="F38" t="n">
        <v>4</v>
      </c>
      <c r="G38" t="inlineStr">
        <is>
          <t>BG002, BG009</t>
        </is>
      </c>
      <c r="H38" t="inlineStr">
        <is>
          <t>8 Mei 2017</t>
        </is>
      </c>
      <c r="I38" s="2" t="n">
        <v>46353</v>
      </c>
      <c r="J38" t="inlineStr">
        <is>
          <t>Disetujui</t>
        </is>
      </c>
      <c r="K38" t="n">
        <v>60</v>
      </c>
      <c r="L38" t="inlineStr">
        <is>
          <t>27 November 2026</t>
        </is>
      </c>
      <c r="M38" t="inlineStr">
        <is>
          <t>Konstruksi Gedung Lainnya, Konstruksi Gedung Perkantoran</t>
        </is>
      </c>
      <c r="N38" t="inlineStr">
        <is>
          <t>K</t>
        </is>
      </c>
      <c r="O38" t="inlineStr">
        <is>
          <t>20231126, 20231127</t>
        </is>
      </c>
      <c r="P38" t="inlineStr">
        <is>
          <t>Jawa Barat</t>
        </is>
      </c>
      <c r="Q38" t="inlineStr"/>
    </row>
    <row r="39">
      <c r="A39" t="inlineStr">
        <is>
          <t>DAFFA MERANGIN KONSTRUKSI</t>
        </is>
      </c>
      <c r="B39" t="inlineStr">
        <is>
          <t>Kab. Merangin</t>
        </is>
      </c>
      <c r="C39" t="inlineStr">
        <is>
          <t>085216637476</t>
        </is>
      </c>
      <c r="D39" t="inlineStr">
        <is>
          <t>dewimariaF@gmail.com</t>
        </is>
      </c>
      <c r="E39" t="inlineStr">
        <is>
          <t>https://lpjk.pu.go.id/search-badan-usaha-detail/dEFvSHVZQ1duMWV2QzhSUklaTHVZdz09</t>
        </is>
      </c>
      <c r="F39" t="n">
        <v>2</v>
      </c>
      <c r="G39" t="inlineStr">
        <is>
          <t>BS001</t>
        </is>
      </c>
      <c r="H39" t="inlineStr">
        <is>
          <t>19 Agustus 2022</t>
        </is>
      </c>
      <c r="I39" s="2" t="n">
        <v>46353</v>
      </c>
      <c r="J39" t="inlineStr">
        <is>
          <t>Disetujui</t>
        </is>
      </c>
      <c r="K39" t="n">
        <v>60</v>
      </c>
      <c r="L39" t="inlineStr">
        <is>
          <t>27 November 2026</t>
        </is>
      </c>
      <c r="M39" t="inlineStr">
        <is>
          <t>Konstruksi Bangunan Sipil Jalan</t>
        </is>
      </c>
      <c r="N39" t="inlineStr">
        <is>
          <t>K</t>
        </is>
      </c>
      <c r="O39" t="inlineStr">
        <is>
          <t>20231128</t>
        </is>
      </c>
      <c r="P39" t="inlineStr">
        <is>
          <t>Jambi</t>
        </is>
      </c>
      <c r="Q39" t="inlineStr"/>
    </row>
    <row r="40">
      <c r="A40" t="inlineStr">
        <is>
          <t>DEFANI ENERGI INDONESIA</t>
        </is>
      </c>
      <c r="B40" t="inlineStr">
        <is>
          <t>Kota Surabaya</t>
        </is>
      </c>
      <c r="C40" t="inlineStr">
        <is>
          <t>03135959022</t>
        </is>
      </c>
      <c r="D40" t="inlineStr">
        <is>
          <t>devani_energy@yahoo.co.id</t>
        </is>
      </c>
      <c r="E40" t="inlineStr">
        <is>
          <t>https://lpjk.pu.go.id/search-badan-usaha-detail/QThVeWloUHlLVVdlZGh4cjBSL2tTdz09</t>
        </is>
      </c>
      <c r="F40" t="n">
        <v>1</v>
      </c>
      <c r="G40" t="inlineStr">
        <is>
          <t>BS001</t>
        </is>
      </c>
      <c r="H40" t="inlineStr">
        <is>
          <t>1 Maret 2012</t>
        </is>
      </c>
      <c r="I40" s="2" t="n">
        <v>46353</v>
      </c>
      <c r="J40" t="inlineStr">
        <is>
          <t>Disetujui</t>
        </is>
      </c>
      <c r="K40" t="n">
        <v>60</v>
      </c>
      <c r="L40" t="inlineStr">
        <is>
          <t>27 November 2026</t>
        </is>
      </c>
      <c r="M40" t="inlineStr">
        <is>
          <t>Konstruksi Bangunan Sipil Jalan</t>
        </is>
      </c>
      <c r="N40" t="inlineStr">
        <is>
          <t>K</t>
        </is>
      </c>
      <c r="O40" t="inlineStr">
        <is>
          <t>20231125</t>
        </is>
      </c>
      <c r="P40" t="inlineStr">
        <is>
          <t>Jawa Timur</t>
        </is>
      </c>
      <c r="Q40" t="inlineStr"/>
    </row>
    <row r="41">
      <c r="A41" t="inlineStr">
        <is>
          <t>DEWANGGA SAKTI REKADAYA</t>
        </is>
      </c>
      <c r="B41" t="inlineStr">
        <is>
          <t>Kota Tangerang Selatan</t>
        </is>
      </c>
      <c r="C41" t="inlineStr">
        <is>
          <t>081218505861</t>
        </is>
      </c>
      <c r="D41" t="inlineStr">
        <is>
          <t>cvdsrd2020@gmail.com</t>
        </is>
      </c>
      <c r="E41" t="inlineStr">
        <is>
          <t>https://lpjk.pu.go.id/search-badan-usaha-detail/YXZuZnozQWU1Skc1SEJkSDdGNDlKQT09</t>
        </is>
      </c>
      <c r="F41" t="n">
        <v>2</v>
      </c>
      <c r="G41" t="inlineStr">
        <is>
          <t>BG006</t>
        </is>
      </c>
      <c r="H41" t="inlineStr">
        <is>
          <t>22 Februari 2019</t>
        </is>
      </c>
      <c r="I41" s="2" t="n">
        <v>46353</v>
      </c>
      <c r="J41" t="inlineStr">
        <is>
          <t>Disetujui</t>
        </is>
      </c>
      <c r="K41" t="n">
        <v>60</v>
      </c>
      <c r="L41" t="inlineStr">
        <is>
          <t>27 November 2026</t>
        </is>
      </c>
      <c r="M41" t="inlineStr">
        <is>
          <t>Konstruksi Gedung Pendidikan</t>
        </is>
      </c>
      <c r="N41" t="inlineStr">
        <is>
          <t>K</t>
        </is>
      </c>
      <c r="O41" t="inlineStr">
        <is>
          <t>20231127</t>
        </is>
      </c>
      <c r="P41" t="inlineStr">
        <is>
          <t>Banten</t>
        </is>
      </c>
      <c r="Q41" t="inlineStr"/>
    </row>
    <row r="42">
      <c r="A42" t="inlineStr">
        <is>
          <t>DUTA JAYA</t>
        </is>
      </c>
      <c r="B42" t="inlineStr">
        <is>
          <t>Kab. Pasuruan</t>
        </is>
      </c>
      <c r="C42" t="inlineStr">
        <is>
          <t>0343611699</t>
        </is>
      </c>
      <c r="D42" t="inlineStr">
        <is>
          <t>cvdutajaya123@gmail.com</t>
        </is>
      </c>
      <c r="E42" t="inlineStr">
        <is>
          <t>https://lpjk.pu.go.id/search-badan-usaha-detail/OHZzRzVlT09YU0xQRWI0L3Roa0R1UT09</t>
        </is>
      </c>
      <c r="F42" t="n">
        <v>2</v>
      </c>
      <c r="G42" t="inlineStr">
        <is>
          <t>BS001, BS004</t>
        </is>
      </c>
      <c r="H42" t="inlineStr">
        <is>
          <t>31 Agustus 2004</t>
        </is>
      </c>
      <c r="I42" s="2" t="n">
        <v>46353</v>
      </c>
      <c r="J42" t="inlineStr">
        <is>
          <t>Disetujui</t>
        </is>
      </c>
      <c r="K42" t="n">
        <v>60</v>
      </c>
      <c r="L42" t="inlineStr">
        <is>
          <t>27 November 2026</t>
        </is>
      </c>
      <c r="M42" t="inlineStr">
        <is>
          <t>Konstruksi Bangunan Sipil Jalan, Konstruksi Jaringan Irigasi dan Drainase</t>
        </is>
      </c>
      <c r="N42" t="inlineStr">
        <is>
          <t>K</t>
        </is>
      </c>
      <c r="O42" t="inlineStr">
        <is>
          <t>20231128</t>
        </is>
      </c>
      <c r="P42" t="inlineStr">
        <is>
          <t>Jawa Timur</t>
        </is>
      </c>
      <c r="Q42" t="inlineStr"/>
    </row>
    <row r="43">
      <c r="A43" t="inlineStr">
        <is>
          <t>DUTA WAHANA SEJAHTERA</t>
        </is>
      </c>
      <c r="B43" t="inlineStr">
        <is>
          <t>Kab. Jember</t>
        </is>
      </c>
      <c r="C43" t="inlineStr">
        <is>
          <t>082257023447</t>
        </is>
      </c>
      <c r="D43" t="inlineStr">
        <is>
          <t>dutawahanasejahtera@gmail.com</t>
        </is>
      </c>
      <c r="E43" t="inlineStr">
        <is>
          <t>https://lpjk.pu.go.id/search-badan-usaha-detail/TFhGZWp2RU41QkNDL09YL1UzV3hmUT09</t>
        </is>
      </c>
      <c r="F43" t="n">
        <v>2</v>
      </c>
      <c r="G43" t="inlineStr">
        <is>
          <t>BG006, BG009</t>
        </is>
      </c>
      <c r="H43" t="inlineStr">
        <is>
          <t>28 Oktober 2023</t>
        </is>
      </c>
      <c r="I43" s="2" t="n">
        <v>46353</v>
      </c>
      <c r="J43" t="inlineStr">
        <is>
          <t>Disetujui</t>
        </is>
      </c>
      <c r="K43" t="n">
        <v>60</v>
      </c>
      <c r="L43" t="inlineStr">
        <is>
          <t>27 November 2026</t>
        </is>
      </c>
      <c r="M43" t="inlineStr">
        <is>
          <t>Konstruksi Gedung Lainnya, Konstruksi Gedung Pendidikan</t>
        </is>
      </c>
      <c r="N43" t="inlineStr">
        <is>
          <t>K</t>
        </is>
      </c>
      <c r="O43" t="inlineStr">
        <is>
          <t>20231127</t>
        </is>
      </c>
      <c r="P43" t="inlineStr">
        <is>
          <t>Jawa Timur</t>
        </is>
      </c>
      <c r="Q43" t="inlineStr"/>
    </row>
    <row r="44">
      <c r="A44" t="inlineStr">
        <is>
          <t>ERIKSON PROFESIONAL INDONESIA</t>
        </is>
      </c>
      <c r="B44" t="inlineStr">
        <is>
          <t>Kota Medan</t>
        </is>
      </c>
      <c r="C44" t="inlineStr">
        <is>
          <t>081210900707</t>
        </is>
      </c>
      <c r="D44" t="inlineStr">
        <is>
          <t>info@eriksonprofesional.co.id</t>
        </is>
      </c>
      <c r="E44" t="inlineStr">
        <is>
          <t>https://lpjk.pu.go.id/search-badan-usaha-detail/L202L01Dbkd1N0lWVWVnNmJuTzRJQT09</t>
        </is>
      </c>
      <c r="F44" t="n">
        <v>4</v>
      </c>
      <c r="G44" t="inlineStr">
        <is>
          <t>BG001, BS001</t>
        </is>
      </c>
      <c r="H44" t="inlineStr">
        <is>
          <t>21 Januari 2019</t>
        </is>
      </c>
      <c r="I44" s="2" t="n">
        <v>46353</v>
      </c>
      <c r="J44" t="inlineStr">
        <is>
          <t>Disetujui</t>
        </is>
      </c>
      <c r="K44" t="n">
        <v>60</v>
      </c>
      <c r="L44" t="inlineStr">
        <is>
          <t>27 November 2026</t>
        </is>
      </c>
      <c r="M44" t="inlineStr">
        <is>
          <t>Konstruksi Bangunan Sipil Jalan, Konstruksi Gedung Hunian</t>
        </is>
      </c>
      <c r="N44" t="inlineStr">
        <is>
          <t>K</t>
        </is>
      </c>
      <c r="O44" t="inlineStr">
        <is>
          <t>20231127</t>
        </is>
      </c>
      <c r="P44" t="inlineStr">
        <is>
          <t>Sumatera Utara</t>
        </is>
      </c>
      <c r="Q44" t="inlineStr"/>
    </row>
    <row r="45">
      <c r="A45" t="inlineStr">
        <is>
          <t>GANTARI DIPTA BUANA</t>
        </is>
      </c>
      <c r="B45" t="inlineStr">
        <is>
          <t>Kota Semarang</t>
        </is>
      </c>
      <c r="C45" t="inlineStr">
        <is>
          <t>082132109399</t>
        </is>
      </c>
      <c r="D45" t="inlineStr">
        <is>
          <t>diptamandiri@gmail.com</t>
        </is>
      </c>
      <c r="E45" t="inlineStr">
        <is>
          <t>https://lpjk.pu.go.id/search-badan-usaha-detail/WHRXYjdvOG5DR2JCWFRPMk5kSGphUT09</t>
        </is>
      </c>
      <c r="F45" t="n">
        <v>4</v>
      </c>
      <c r="G45" t="inlineStr">
        <is>
          <t>BG001, BG002, BG008, BG009</t>
        </is>
      </c>
      <c r="H45" t="inlineStr">
        <is>
          <t>2 Oktober 2023</t>
        </is>
      </c>
      <c r="I45" s="2" t="n">
        <v>46353</v>
      </c>
      <c r="J45" t="inlineStr">
        <is>
          <t>Disetujui</t>
        </is>
      </c>
      <c r="K45" t="n">
        <v>60</v>
      </c>
      <c r="L45" t="inlineStr">
        <is>
          <t>27 November 2026</t>
        </is>
      </c>
      <c r="M45" t="inlineStr">
        <is>
          <t>Konstruksi Gedung Hunian, Konstruksi Gedung Lainnya, Konstruksi Gedung Perkantoran, Konstruksi Gedung Tempat Hiburan dan Olahraga</t>
        </is>
      </c>
      <c r="N45" t="inlineStr">
        <is>
          <t>K</t>
        </is>
      </c>
      <c r="O45" t="inlineStr">
        <is>
          <t>20231013</t>
        </is>
      </c>
      <c r="P45" t="inlineStr">
        <is>
          <t>Jawa Tengah</t>
        </is>
      </c>
      <c r="Q45" t="inlineStr"/>
    </row>
    <row r="46">
      <c r="A46" t="inlineStr">
        <is>
          <t>GEMILANG NUR</t>
        </is>
      </c>
      <c r="B46" t="inlineStr">
        <is>
          <t>Kab. Sintang</t>
        </is>
      </c>
      <c r="C46" t="inlineStr">
        <is>
          <t>05652025581</t>
        </is>
      </c>
      <c r="D46" t="inlineStr">
        <is>
          <t>gmnurcv@gmail.com</t>
        </is>
      </c>
      <c r="E46" t="inlineStr">
        <is>
          <t>https://lpjk.pu.go.id/search-badan-usaha-detail/TkdWSWpGMFYweWpXY2hZeDdvSzdRdz09</t>
        </is>
      </c>
      <c r="F46" t="n">
        <v>7</v>
      </c>
      <c r="G46" t="inlineStr">
        <is>
          <t>BG001, BG002, BG005, BG006, BS001, BS004, BS005</t>
        </is>
      </c>
      <c r="H46" t="inlineStr">
        <is>
          <t>7 Januari 2016</t>
        </is>
      </c>
      <c r="I46" s="2" t="n">
        <v>46353</v>
      </c>
      <c r="J46" t="inlineStr">
        <is>
          <t>Disetujui</t>
        </is>
      </c>
      <c r="K46" t="n">
        <v>60</v>
      </c>
      <c r="L46" t="inlineStr">
        <is>
          <t>27 November 2026</t>
        </is>
      </c>
      <c r="M46" t="inlineStr">
        <is>
          <t>Konstruksi Bangunan Sipil Jalan, Konstruksi Bangunan Sipil Pengolahan Air Bersih, Konstruksi Gedung Hunian, Konstruksi Gedung Kesehatan, Konstruksi Gedung Pendidikan, Konstruksi Gedung Perkantoran, Konstruksi Jaringan Irigasi dan Drainase</t>
        </is>
      </c>
      <c r="N46" t="inlineStr">
        <is>
          <t>K</t>
        </is>
      </c>
      <c r="O46" t="inlineStr">
        <is>
          <t>20231127, 20231128</t>
        </is>
      </c>
      <c r="P46" t="inlineStr">
        <is>
          <t>Kalimantan Barat</t>
        </is>
      </c>
      <c r="Q46" t="inlineStr"/>
    </row>
    <row r="47">
      <c r="A47" t="inlineStr">
        <is>
          <t>GEO ART SCIENCE</t>
        </is>
      </c>
      <c r="B47" t="inlineStr">
        <is>
          <t>Kab. Sleman</t>
        </is>
      </c>
      <c r="C47" t="inlineStr">
        <is>
          <t>085231596174</t>
        </is>
      </c>
      <c r="D47" t="inlineStr">
        <is>
          <t>geoartscience@gmail.com</t>
        </is>
      </c>
      <c r="E47" t="inlineStr">
        <is>
          <t>https://lpjk.pu.go.id/search-badan-usaha-detail/clpvelhFV2g3aWhBbWhqbytlQ3o3UT09</t>
        </is>
      </c>
      <c r="F47" t="n">
        <v>1</v>
      </c>
      <c r="G47" t="inlineStr">
        <is>
          <t>AL004</t>
        </is>
      </c>
      <c r="H47" t="inlineStr">
        <is>
          <t>8 September 2015</t>
        </is>
      </c>
      <c r="I47" s="2" t="n">
        <v>46353</v>
      </c>
      <c r="J47" t="inlineStr">
        <is>
          <t>Disetujui</t>
        </is>
      </c>
      <c r="K47" t="n">
        <v>60</v>
      </c>
      <c r="L47" t="inlineStr">
        <is>
          <t>27 November 2026</t>
        </is>
      </c>
      <c r="M47" t="inlineStr">
        <is>
          <t>Jasa Pengembangan Lingkungan Bangunan dan Lanskap</t>
        </is>
      </c>
      <c r="N47" t="inlineStr">
        <is>
          <t>K</t>
        </is>
      </c>
      <c r="O47" t="inlineStr">
        <is>
          <t>20231108</t>
        </is>
      </c>
      <c r="P47" t="inlineStr">
        <is>
          <t>DI Yogyakarta</t>
        </is>
      </c>
      <c r="Q47" t="inlineStr"/>
    </row>
    <row r="48">
      <c r="A48" t="inlineStr">
        <is>
          <t>GUNA TEHNIK ENGINEERING</t>
        </is>
      </c>
      <c r="B48" t="inlineStr">
        <is>
          <t>Kota Medan</t>
        </is>
      </c>
      <c r="C48" t="inlineStr">
        <is>
          <t>081260183887</t>
        </is>
      </c>
      <c r="D48" t="inlineStr">
        <is>
          <t>gunatehnikengineering@yahoo.com</t>
        </is>
      </c>
      <c r="E48" t="inlineStr">
        <is>
          <t>https://lpjk.pu.go.id/search-badan-usaha-detail/TmZRMzA5dkpWMEdqZXUxUFBESFVoQT09</t>
        </is>
      </c>
      <c r="F48" t="n">
        <v>1</v>
      </c>
      <c r="G48" t="inlineStr">
        <is>
          <t>BS005</t>
        </is>
      </c>
      <c r="H48" t="inlineStr">
        <is>
          <t>28 November 2013</t>
        </is>
      </c>
      <c r="I48" s="2" t="n">
        <v>46353</v>
      </c>
      <c r="J48" t="inlineStr">
        <is>
          <t>Disetujui</t>
        </is>
      </c>
      <c r="K48" t="n">
        <v>60</v>
      </c>
      <c r="L48" t="inlineStr">
        <is>
          <t>27 November 2026</t>
        </is>
      </c>
      <c r="M48" t="inlineStr">
        <is>
          <t>Konstruksi Bangunan Sipil Pengolahan Air Bersih</t>
        </is>
      </c>
      <c r="N48" t="inlineStr">
        <is>
          <t>K</t>
        </is>
      </c>
      <c r="O48" t="inlineStr">
        <is>
          <t>20231120</t>
        </is>
      </c>
      <c r="P48" t="inlineStr">
        <is>
          <t>Sumatera Utara</t>
        </is>
      </c>
      <c r="Q48" t="inlineStr"/>
    </row>
    <row r="49">
      <c r="A49" t="inlineStr">
        <is>
          <t>GUNUNG LESTARI</t>
        </is>
      </c>
      <c r="B49" t="inlineStr">
        <is>
          <t>Kab. Morowali Utara</t>
        </is>
      </c>
      <c r="C49" t="inlineStr">
        <is>
          <t>081340851079</t>
        </is>
      </c>
      <c r="D49" t="inlineStr">
        <is>
          <t>cv.gununglestari10@gmail.com</t>
        </is>
      </c>
      <c r="E49" t="inlineStr">
        <is>
          <t>https://lpjk.pu.go.id/search-badan-usaha-detail/ckRuM20wZkxIZmVMSHJpeWRSRGVKUT09</t>
        </is>
      </c>
      <c r="F49" t="n">
        <v>3</v>
      </c>
      <c r="G49" t="inlineStr">
        <is>
          <t>BG001, BG005, BG006</t>
        </is>
      </c>
      <c r="H49" t="inlineStr">
        <is>
          <t>12 Januari 2017</t>
        </is>
      </c>
      <c r="I49" s="2" t="n">
        <v>46353</v>
      </c>
      <c r="J49" t="inlineStr">
        <is>
          <t>Disetujui</t>
        </is>
      </c>
      <c r="K49" t="n">
        <v>60</v>
      </c>
      <c r="L49" t="inlineStr">
        <is>
          <t>27 November 2026</t>
        </is>
      </c>
      <c r="M49" t="inlineStr">
        <is>
          <t>Konstruksi Gedung Hunian, Konstruksi Gedung Kesehatan, Konstruksi Gedung Pendidikan</t>
        </is>
      </c>
      <c r="N49" t="inlineStr">
        <is>
          <t>K</t>
        </is>
      </c>
      <c r="O49" t="inlineStr">
        <is>
          <t>20231120, 20231121</t>
        </is>
      </c>
      <c r="P49" t="inlineStr">
        <is>
          <t>Sulawesi Tengah</t>
        </is>
      </c>
      <c r="Q49" t="inlineStr"/>
    </row>
    <row r="50">
      <c r="A50" t="inlineStr">
        <is>
          <t>HEKSA SINERGI BERKAH</t>
        </is>
      </c>
      <c r="B50" t="inlineStr">
        <is>
          <t>Kota Surabaya</t>
        </is>
      </c>
      <c r="C50" t="inlineStr">
        <is>
          <t>0318714849</t>
        </is>
      </c>
      <c r="D50" t="inlineStr">
        <is>
          <t>heksasinergiberkah@yahoo.com</t>
        </is>
      </c>
      <c r="E50" t="inlineStr">
        <is>
          <t>https://lpjk.pu.go.id/search-badan-usaha-detail/dzR2OUduTzdFRkFiVWJCOXJvRVJkZz09</t>
        </is>
      </c>
      <c r="F50" t="n">
        <v>1</v>
      </c>
      <c r="G50" t="inlineStr">
        <is>
          <t>BS003</t>
        </is>
      </c>
      <c r="H50" t="inlineStr">
        <is>
          <t>23 Maret 2020</t>
        </is>
      </c>
      <c r="I50" s="2" t="n">
        <v>46353</v>
      </c>
      <c r="J50" t="inlineStr">
        <is>
          <t>Disetujui</t>
        </is>
      </c>
      <c r="K50" t="n">
        <v>60</v>
      </c>
      <c r="L50" t="inlineStr">
        <is>
          <t>27 November 2026</t>
        </is>
      </c>
      <c r="M50" t="inlineStr">
        <is>
          <t>Konstruksi Jalan Rel</t>
        </is>
      </c>
      <c r="N50" t="inlineStr">
        <is>
          <t>K</t>
        </is>
      </c>
      <c r="O50" t="inlineStr">
        <is>
          <t>20231113</t>
        </is>
      </c>
      <c r="P50" t="inlineStr">
        <is>
          <t>Jawa Timur</t>
        </is>
      </c>
      <c r="Q50" t="inlineStr"/>
    </row>
    <row r="51">
      <c r="A51" t="inlineStr">
        <is>
          <t>INTI FAREZA</t>
        </is>
      </c>
      <c r="B51" t="inlineStr">
        <is>
          <t>Kab. Banyuwangi</t>
        </is>
      </c>
      <c r="C51" t="inlineStr">
        <is>
          <t>081233106985</t>
        </is>
      </c>
      <c r="D51" t="inlineStr">
        <is>
          <t>intifareza.cv@gmail.com</t>
        </is>
      </c>
      <c r="E51" t="inlineStr">
        <is>
          <t>https://lpjk.pu.go.id/search-badan-usaha-detail/aEsrZ3VBWis4MUY3L2VIQkxuWUUvQT09</t>
        </is>
      </c>
      <c r="F51" t="n">
        <v>2</v>
      </c>
      <c r="G51" t="inlineStr">
        <is>
          <t>BG006, BG009</t>
        </is>
      </c>
      <c r="H51" t="inlineStr">
        <is>
          <t>31 Maret 2016</t>
        </is>
      </c>
      <c r="I51" s="2" t="n">
        <v>46353</v>
      </c>
      <c r="J51" t="inlineStr">
        <is>
          <t>Disetujui</t>
        </is>
      </c>
      <c r="K51" t="n">
        <v>60</v>
      </c>
      <c r="L51" t="inlineStr">
        <is>
          <t>27 November 2026</t>
        </is>
      </c>
      <c r="M51" t="inlineStr">
        <is>
          <t>Konstruksi Gedung Lainnya, Konstruksi Gedung Pendidikan</t>
        </is>
      </c>
      <c r="N51" t="inlineStr">
        <is>
          <t>K</t>
        </is>
      </c>
      <c r="O51" t="inlineStr">
        <is>
          <t>20231122, 20231128</t>
        </is>
      </c>
      <c r="P51" t="inlineStr">
        <is>
          <t>Jawa Timur</t>
        </is>
      </c>
      <c r="Q51" t="inlineStr"/>
    </row>
    <row r="52">
      <c r="A52" t="inlineStr">
        <is>
          <t>JATI PERKASA KONSULTAN</t>
        </is>
      </c>
      <c r="B52" t="inlineStr">
        <is>
          <t>Kab. Barito Utara</t>
        </is>
      </c>
      <c r="C52" t="inlineStr">
        <is>
          <t>085348637032</t>
        </is>
      </c>
      <c r="D52" t="inlineStr">
        <is>
          <t>konsultanjatiperkasa@gmail.com</t>
        </is>
      </c>
      <c r="E52" t="inlineStr">
        <is>
          <t>https://lpjk.pu.go.id/search-badan-usaha-detail/VTNWa3FDUytVSGoySlpkUUZiczlQQT09</t>
        </is>
      </c>
      <c r="F52" t="n">
        <v>1</v>
      </c>
      <c r="G52" t="inlineStr">
        <is>
          <t>RK001</t>
        </is>
      </c>
      <c r="H52" t="inlineStr">
        <is>
          <t>20 Desember 2022</t>
        </is>
      </c>
      <c r="I52" s="2" t="n">
        <v>46353</v>
      </c>
      <c r="J52" t="inlineStr">
        <is>
          <t>Disetujui</t>
        </is>
      </c>
      <c r="K52" t="n">
        <v>60</v>
      </c>
      <c r="L52" t="inlineStr">
        <is>
          <t>27 November 2026</t>
        </is>
      </c>
      <c r="M52" t="inlineStr">
        <is>
          <t>Jasa Rekayasa Konstruksi Bangunan Gedung Hunian dan Non Hunian</t>
        </is>
      </c>
      <c r="N52" t="inlineStr">
        <is>
          <t>K</t>
        </is>
      </c>
      <c r="O52" t="inlineStr">
        <is>
          <t>20231121</t>
        </is>
      </c>
      <c r="P52" t="inlineStr">
        <is>
          <t>Kalimantan Tengah</t>
        </is>
      </c>
      <c r="Q52" t="inlineStr"/>
    </row>
    <row r="53">
      <c r="A53" t="inlineStr">
        <is>
          <t>JAYA KONSTRUKSI NASIONAL</t>
        </is>
      </c>
      <c r="B53" t="inlineStr">
        <is>
          <t>Kota Surabaya</t>
        </is>
      </c>
      <c r="C53" t="inlineStr">
        <is>
          <t>03182531715</t>
        </is>
      </c>
      <c r="D53" t="inlineStr">
        <is>
          <t>jknkonstruksi20@gmail.com</t>
        </is>
      </c>
      <c r="E53" t="inlineStr">
        <is>
          <t>https://lpjk.pu.go.id/search-badan-usaha-detail/REhndEFmdFBUMDgvRTNVWnE1ak1DUT09</t>
        </is>
      </c>
      <c r="F53" t="n">
        <v>1</v>
      </c>
      <c r="G53" t="inlineStr">
        <is>
          <t>BS001</t>
        </is>
      </c>
      <c r="H53" t="inlineStr">
        <is>
          <t>31 Mei 2019</t>
        </is>
      </c>
      <c r="I53" s="2" t="n">
        <v>46353</v>
      </c>
      <c r="J53" t="inlineStr">
        <is>
          <t>Disetujui</t>
        </is>
      </c>
      <c r="K53" t="n">
        <v>60</v>
      </c>
      <c r="L53" t="inlineStr">
        <is>
          <t>27 November 2026</t>
        </is>
      </c>
      <c r="M53" t="inlineStr">
        <is>
          <t>Konstruksi Bangunan Sipil Jalan</t>
        </is>
      </c>
      <c r="N53" t="inlineStr">
        <is>
          <t>K</t>
        </is>
      </c>
      <c r="O53" t="inlineStr">
        <is>
          <t>20231125</t>
        </is>
      </c>
      <c r="P53" t="inlineStr">
        <is>
          <t>Jawa Timur</t>
        </is>
      </c>
      <c r="Q53" t="inlineStr"/>
    </row>
    <row r="54">
      <c r="A54" t="inlineStr">
        <is>
          <t>KARUNIA BANGUN SEMESTA</t>
        </is>
      </c>
      <c r="B54" t="inlineStr">
        <is>
          <t>Kab. Banyumas</t>
        </is>
      </c>
      <c r="C54" t="inlineStr">
        <is>
          <t>0811260018</t>
        </is>
      </c>
      <c r="D54" t="inlineStr">
        <is>
          <t>karuniabangunsemesta9@gmail.com</t>
        </is>
      </c>
      <c r="E54" t="inlineStr">
        <is>
          <t>https://lpjk.pu.go.id/search-badan-usaha-detail/eis4c1pEZk5MMVprSVpWWC9XQ2pDdz09</t>
        </is>
      </c>
      <c r="F54" t="n">
        <v>1</v>
      </c>
      <c r="G54" t="inlineStr">
        <is>
          <t>BG004</t>
        </is>
      </c>
      <c r="H54" t="inlineStr">
        <is>
          <t>5 Mei 2008</t>
        </is>
      </c>
      <c r="I54" s="2" t="n">
        <v>46353</v>
      </c>
      <c r="J54" t="inlineStr">
        <is>
          <t>Disetujui</t>
        </is>
      </c>
      <c r="K54" t="n">
        <v>60</v>
      </c>
      <c r="L54" t="inlineStr">
        <is>
          <t>27 November 2026</t>
        </is>
      </c>
      <c r="M54" t="inlineStr">
        <is>
          <t>Konstruksi Gedung Perbelanjaan</t>
        </is>
      </c>
      <c r="N54" t="inlineStr">
        <is>
          <t>M</t>
        </is>
      </c>
      <c r="O54" t="inlineStr">
        <is>
          <t>20231127</t>
        </is>
      </c>
      <c r="P54" t="inlineStr">
        <is>
          <t>Jawa Tengah</t>
        </is>
      </c>
      <c r="Q54" t="inlineStr"/>
    </row>
    <row r="55">
      <c r="A55" t="inlineStr">
        <is>
          <t>KARYA BUANA UTAMA</t>
        </is>
      </c>
      <c r="B55" t="inlineStr">
        <is>
          <t>Kota Mataram</t>
        </is>
      </c>
      <c r="C55" t="inlineStr">
        <is>
          <t>081918174238</t>
        </is>
      </c>
      <c r="D55" t="inlineStr">
        <is>
          <t>karya.buanautama@gmail.com</t>
        </is>
      </c>
      <c r="E55" t="inlineStr">
        <is>
          <t>https://lpjk.pu.go.id/search-badan-usaha-detail/RjM1bmdqL2tBWnB2SFB5TnI3S25idz09</t>
        </is>
      </c>
      <c r="F55" t="n">
        <v>1</v>
      </c>
      <c r="G55" t="inlineStr">
        <is>
          <t>BG009</t>
        </is>
      </c>
      <c r="H55" t="inlineStr">
        <is>
          <t>29 Agustus 2014</t>
        </is>
      </c>
      <c r="I55" s="2" t="n">
        <v>46353</v>
      </c>
      <c r="J55" t="inlineStr">
        <is>
          <t>Disetujui</t>
        </is>
      </c>
      <c r="K55" t="n">
        <v>60</v>
      </c>
      <c r="L55" t="inlineStr">
        <is>
          <t>27 November 2026</t>
        </is>
      </c>
      <c r="M55" t="inlineStr">
        <is>
          <t>Konstruksi Gedung Lainnya</t>
        </is>
      </c>
      <c r="N55" t="inlineStr">
        <is>
          <t>K</t>
        </is>
      </c>
      <c r="O55" t="inlineStr">
        <is>
          <t>20231116</t>
        </is>
      </c>
      <c r="P55" t="inlineStr">
        <is>
          <t>Nusa Tenggara Barat</t>
        </is>
      </c>
      <c r="Q55" t="inlineStr"/>
    </row>
    <row r="56">
      <c r="A56" t="inlineStr">
        <is>
          <t>KARYA INTEGRA</t>
        </is>
      </c>
      <c r="B56" t="inlineStr">
        <is>
          <t>Kota Malang</t>
        </is>
      </c>
      <c r="C56" t="inlineStr">
        <is>
          <t>081232576500</t>
        </is>
      </c>
      <c r="D56" t="inlineStr">
        <is>
          <t>karyaintegra.20@gmail.com</t>
        </is>
      </c>
      <c r="E56" t="inlineStr">
        <is>
          <t>https://lpjk.pu.go.id/search-badan-usaha-detail/U2xzRS9VQUd2aDJqaGlKcFllcTl0dz09</t>
        </is>
      </c>
      <c r="F56" t="n">
        <v>1</v>
      </c>
      <c r="G56" t="inlineStr">
        <is>
          <t>BG009</t>
        </is>
      </c>
      <c r="H56" t="inlineStr">
        <is>
          <t>22 Juni 2012</t>
        </is>
      </c>
      <c r="I56" s="2" t="n">
        <v>46353</v>
      </c>
      <c r="J56" t="inlineStr">
        <is>
          <t>Pencabutan</t>
        </is>
      </c>
      <c r="K56" t="n">
        <v>60</v>
      </c>
      <c r="L56" t="inlineStr">
        <is>
          <t>27 November 2026</t>
        </is>
      </c>
      <c r="M56" t="inlineStr">
        <is>
          <t>Konstruksi Gedung Lainnya</t>
        </is>
      </c>
      <c r="N56" t="inlineStr">
        <is>
          <t>K</t>
        </is>
      </c>
      <c r="O56" t="inlineStr">
        <is>
          <t>20231127</t>
        </is>
      </c>
      <c r="P56" t="inlineStr">
        <is>
          <t>Jawa Timur</t>
        </is>
      </c>
      <c r="Q56" t="inlineStr"/>
    </row>
    <row r="57">
      <c r="A57" t="inlineStr">
        <is>
          <t>KARYAWAN PT APLIKANUSA LINTASARTA</t>
        </is>
      </c>
      <c r="B57" t="inlineStr">
        <is>
          <t>Kota Adm. Jakarta Selatan</t>
        </is>
      </c>
      <c r="C57" t="inlineStr">
        <is>
          <t>02175909424</t>
        </is>
      </c>
      <c r="D57" t="inlineStr">
        <is>
          <t>info@kopkarla.co.id</t>
        </is>
      </c>
      <c r="E57" t="inlineStr">
        <is>
          <t>https://lpjk.pu.go.id/search-badan-usaha-detail/RFBJRDZUeUxJcStteU1mOC83a1RZdz09</t>
        </is>
      </c>
      <c r="F57" t="n">
        <v>1</v>
      </c>
      <c r="G57" t="inlineStr">
        <is>
          <t>IN002</t>
        </is>
      </c>
      <c r="H57" t="inlineStr">
        <is>
          <t>14 Juli 1992</t>
        </is>
      </c>
      <c r="I57" s="2" t="n">
        <v>46353</v>
      </c>
      <c r="J57" t="inlineStr">
        <is>
          <t>Pembekuan</t>
        </is>
      </c>
      <c r="K57" t="n">
        <v>60</v>
      </c>
      <c r="L57" t="inlineStr">
        <is>
          <t>27 November 2026</t>
        </is>
      </c>
      <c r="M57" t="inlineStr">
        <is>
          <t>Instalasi Telekomunikasi</t>
        </is>
      </c>
      <c r="N57" t="inlineStr">
        <is>
          <t>Spesialis</t>
        </is>
      </c>
      <c r="O57" t="inlineStr">
        <is>
          <t>20231128</t>
        </is>
      </c>
      <c r="P57" t="inlineStr">
        <is>
          <t>DKI Jakarta</t>
        </is>
      </c>
      <c r="Q57" t="inlineStr"/>
    </row>
    <row r="58">
      <c r="A58" t="inlineStr">
        <is>
          <t>KELUARGA HIDAYAT</t>
        </is>
      </c>
      <c r="B58" t="inlineStr">
        <is>
          <t>Kab. Lombok Tengah</t>
        </is>
      </c>
      <c r="C58" t="inlineStr">
        <is>
          <t>-</t>
        </is>
      </c>
      <c r="D58" t="inlineStr">
        <is>
          <t>ekahidayatjunaidi777@gmail.com</t>
        </is>
      </c>
      <c r="E58" t="inlineStr">
        <is>
          <t>https://lpjk.pu.go.id/search-badan-usaha-detail/Qk8rVHhxajhlWlZZalp6YmtteVUyUT09</t>
        </is>
      </c>
      <c r="F58" t="n">
        <v>1</v>
      </c>
      <c r="G58" t="inlineStr">
        <is>
          <t>BG009</t>
        </is>
      </c>
      <c r="H58" t="inlineStr">
        <is>
          <t>29 Juli 2002</t>
        </is>
      </c>
      <c r="I58" s="2" t="n">
        <v>46353</v>
      </c>
      <c r="J58" t="inlineStr">
        <is>
          <t>Pencabutan</t>
        </is>
      </c>
      <c r="K58" t="n">
        <v>60</v>
      </c>
      <c r="L58" t="inlineStr">
        <is>
          <t>27 November 2026</t>
        </is>
      </c>
      <c r="M58" t="inlineStr">
        <is>
          <t>Konstruksi Gedung Lainnya</t>
        </is>
      </c>
      <c r="N58" t="inlineStr">
        <is>
          <t>K</t>
        </is>
      </c>
      <c r="O58" t="inlineStr">
        <is>
          <t>20231127</t>
        </is>
      </c>
      <c r="P58" t="inlineStr">
        <is>
          <t>Nusa Tenggara Barat</t>
        </is>
      </c>
      <c r="Q58" t="inlineStr"/>
    </row>
    <row r="59">
      <c r="A59" t="inlineStr">
        <is>
          <t>KREASI BANGUN PERSADA</t>
        </is>
      </c>
      <c r="B59" t="inlineStr">
        <is>
          <t>Kab. Aceh Tamiang</t>
        </is>
      </c>
      <c r="C59" t="inlineStr">
        <is>
          <t>081376255577</t>
        </is>
      </c>
      <c r="D59" t="inlineStr">
        <is>
          <t>cv.kreasibangunpersada@gmail.com</t>
        </is>
      </c>
      <c r="E59" t="inlineStr">
        <is>
          <t>https://lpjk.pu.go.id/search-badan-usaha-detail/TUd2YWczWEJScW9oQ2h4YVJYQ0IyZz09</t>
        </is>
      </c>
      <c r="F59" t="n">
        <v>1</v>
      </c>
      <c r="G59" t="inlineStr">
        <is>
          <t>BG008</t>
        </is>
      </c>
      <c r="H59" t="inlineStr">
        <is>
          <t>10 Februari 2020</t>
        </is>
      </c>
      <c r="I59" s="2" t="n">
        <v>46353</v>
      </c>
      <c r="J59" t="inlineStr">
        <is>
          <t>Disetujui</t>
        </is>
      </c>
      <c r="K59" t="n">
        <v>60</v>
      </c>
      <c r="L59" t="inlineStr">
        <is>
          <t>27 November 2026</t>
        </is>
      </c>
      <c r="M59" t="inlineStr">
        <is>
          <t>Konstruksi Gedung Tempat Hiburan dan Olahraga</t>
        </is>
      </c>
      <c r="N59" t="inlineStr">
        <is>
          <t>K</t>
        </is>
      </c>
      <c r="O59" t="inlineStr">
        <is>
          <t>20231127</t>
        </is>
      </c>
      <c r="P59" t="inlineStr">
        <is>
          <t>Aceh</t>
        </is>
      </c>
      <c r="Q59" t="inlineStr"/>
    </row>
    <row r="60">
      <c r="A60" t="inlineStr">
        <is>
          <t>LOYAL JAYA ENERGI</t>
        </is>
      </c>
      <c r="B60" t="inlineStr">
        <is>
          <t>Kab. Bandung Barat</t>
        </is>
      </c>
      <c r="C60" t="inlineStr">
        <is>
          <t>081383247979</t>
        </is>
      </c>
      <c r="D60" t="inlineStr">
        <is>
          <t>loyaljayaenergi.pt@gmail.com</t>
        </is>
      </c>
      <c r="E60" t="inlineStr">
        <is>
          <t>https://lpjk.pu.go.id/search-badan-usaha-detail/NEx6bExLQXhNZWxSUXJQbjE2VUFYZz09</t>
        </is>
      </c>
      <c r="F60" t="n">
        <v>2</v>
      </c>
      <c r="G60" t="inlineStr">
        <is>
          <t>IN001, IN004</t>
        </is>
      </c>
      <c r="H60" t="inlineStr">
        <is>
          <t>3 Juli 2017</t>
        </is>
      </c>
      <c r="I60" s="2" t="n">
        <v>46353</v>
      </c>
      <c r="J60" t="inlineStr">
        <is>
          <t>Pembekuan</t>
        </is>
      </c>
      <c r="K60" t="n">
        <v>60</v>
      </c>
      <c r="L60" t="inlineStr">
        <is>
          <t>27 November 2026</t>
        </is>
      </c>
      <c r="M60" t="inlineStr">
        <is>
          <t>Instalasi Mekanikal, Instalasi Minyak dan Gas</t>
        </is>
      </c>
      <c r="N60" t="inlineStr">
        <is>
          <t>Spesialis</t>
        </is>
      </c>
      <c r="O60" t="inlineStr">
        <is>
          <t>20231127</t>
        </is>
      </c>
      <c r="P60" t="inlineStr">
        <is>
          <t>Jawa Barat</t>
        </is>
      </c>
      <c r="Q60" t="inlineStr"/>
    </row>
    <row r="61">
      <c r="A61" t="inlineStr">
        <is>
          <t>MAHARDHIKA CIPTA NIAGA</t>
        </is>
      </c>
      <c r="B61" t="inlineStr">
        <is>
          <t>Kota Adm. Jakarta Barat</t>
        </is>
      </c>
      <c r="C61" t="inlineStr">
        <is>
          <t>081262665588</t>
        </is>
      </c>
      <c r="D61" t="inlineStr">
        <is>
          <t>ptmahardhikaciptaniaga@gmail.com</t>
        </is>
      </c>
      <c r="E61" t="inlineStr">
        <is>
          <t>https://lpjk.pu.go.id/search-badan-usaha-detail/ZGE1Y2l2NVMxMHZRVkFRTHRKdCtjUT09</t>
        </is>
      </c>
      <c r="F61" t="n">
        <v>3</v>
      </c>
      <c r="G61" t="inlineStr">
        <is>
          <t>BG003</t>
        </is>
      </c>
      <c r="H61" t="inlineStr">
        <is>
          <t>26 Juli 2016</t>
        </is>
      </c>
      <c r="I61" s="2" t="n">
        <v>46353</v>
      </c>
      <c r="J61" t="inlineStr">
        <is>
          <t>Disetujui</t>
        </is>
      </c>
      <c r="K61" t="n">
        <v>60</v>
      </c>
      <c r="L61" t="inlineStr">
        <is>
          <t>27 November 2026</t>
        </is>
      </c>
      <c r="M61" t="inlineStr">
        <is>
          <t>Konstruksi Gedung Industri</t>
        </is>
      </c>
      <c r="N61" t="inlineStr">
        <is>
          <t>B</t>
        </is>
      </c>
      <c r="O61" t="inlineStr">
        <is>
          <t>20231125</t>
        </is>
      </c>
      <c r="P61" t="inlineStr">
        <is>
          <t>DKI Jakarta</t>
        </is>
      </c>
      <c r="Q61" t="inlineStr"/>
    </row>
    <row r="62">
      <c r="A62" t="inlineStr">
        <is>
          <t>MAHKOTA MUTIARA BANGGAI</t>
        </is>
      </c>
      <c r="B62" t="inlineStr">
        <is>
          <t>Kab. Tojo Una Una</t>
        </is>
      </c>
      <c r="C62" t="inlineStr">
        <is>
          <t>085299980926</t>
        </is>
      </c>
      <c r="D62" t="inlineStr">
        <is>
          <t>mahkotamutiarabanggai@gmail.com</t>
        </is>
      </c>
      <c r="E62" t="inlineStr">
        <is>
          <t>https://lpjk.pu.go.id/search-badan-usaha-detail/M1dWSG5keldjVlA1WHA0QytQWFRjZz09</t>
        </is>
      </c>
      <c r="F62" t="n">
        <v>2</v>
      </c>
      <c r="G62" t="inlineStr">
        <is>
          <t>BS004, BS006</t>
        </is>
      </c>
      <c r="H62" t="inlineStr">
        <is>
          <t>2 Oktober 2023</t>
        </is>
      </c>
      <c r="I62" s="2" t="n">
        <v>46353</v>
      </c>
      <c r="J62" t="inlineStr">
        <is>
          <t>Disetujui</t>
        </is>
      </c>
      <c r="K62" t="n">
        <v>60</v>
      </c>
      <c r="L62" t="inlineStr">
        <is>
          <t>27 November 2026</t>
        </is>
      </c>
      <c r="M62" t="inlineStr">
        <is>
          <t>Konstruksi Bangunan Sipil Prasarana dan Sarana Sistem Pengolahan Limbah Padat, Cair, dan Gas, Konstruksi Jaringan Irigasi dan Drainase</t>
        </is>
      </c>
      <c r="N62" t="inlineStr">
        <is>
          <t>K</t>
        </is>
      </c>
      <c r="O62" t="inlineStr">
        <is>
          <t>20231125</t>
        </is>
      </c>
      <c r="P62" t="inlineStr">
        <is>
          <t>Sulawesi Tengah</t>
        </is>
      </c>
      <c r="Q62" t="inlineStr"/>
    </row>
    <row r="63">
      <c r="A63" t="inlineStr">
        <is>
          <t>MAJU JAYA</t>
        </is>
      </c>
      <c r="B63" t="inlineStr">
        <is>
          <t>Kota Medan</t>
        </is>
      </c>
      <c r="C63" t="inlineStr">
        <is>
          <t>081264787782</t>
        </is>
      </c>
      <c r="D63" t="inlineStr">
        <is>
          <t>cv.majujaya56@gmail.com</t>
        </is>
      </c>
      <c r="E63" t="inlineStr">
        <is>
          <t>https://lpjk.pu.go.id/search-badan-usaha-detail/bWJDdHpxbTZpa0p3bVJweWltbTNOQT09</t>
        </is>
      </c>
      <c r="F63" t="n">
        <v>1</v>
      </c>
      <c r="G63" t="inlineStr">
        <is>
          <t>BS004</t>
        </is>
      </c>
      <c r="H63" t="inlineStr">
        <is>
          <t>25 November 2009</t>
        </is>
      </c>
      <c r="I63" s="2" t="n">
        <v>46353</v>
      </c>
      <c r="J63" t="inlineStr">
        <is>
          <t>Disetujui</t>
        </is>
      </c>
      <c r="K63" t="n">
        <v>60</v>
      </c>
      <c r="L63" t="inlineStr">
        <is>
          <t>27 November 2026</t>
        </is>
      </c>
      <c r="M63" t="inlineStr">
        <is>
          <t>Konstruksi Jaringan Irigasi dan Drainase</t>
        </is>
      </c>
      <c r="N63" t="inlineStr">
        <is>
          <t>K</t>
        </is>
      </c>
      <c r="O63" t="inlineStr">
        <is>
          <t>20231122</t>
        </is>
      </c>
      <c r="P63" t="inlineStr">
        <is>
          <t>Sumatera Utara</t>
        </is>
      </c>
      <c r="Q63" t="inlineStr"/>
    </row>
    <row r="64">
      <c r="A64" t="inlineStr">
        <is>
          <t>MAKMUR KARYA SEJAHTERA</t>
        </is>
      </c>
      <c r="B64" t="inlineStr">
        <is>
          <t>Kab. Banyuwangi</t>
        </is>
      </c>
      <c r="C64" t="inlineStr">
        <is>
          <t>081334713212</t>
        </is>
      </c>
      <c r="D64" t="inlineStr">
        <is>
          <t>makmurkaryasejahtera.bwi@gmail.com</t>
        </is>
      </c>
      <c r="E64" t="inlineStr">
        <is>
          <t>https://lpjk.pu.go.id/search-badan-usaha-detail/NCt3SnZjUkd2N09INGNUMlVMN3VlUT09</t>
        </is>
      </c>
      <c r="F64" t="n">
        <v>4</v>
      </c>
      <c r="G64" t="inlineStr">
        <is>
          <t>BG006, BG009, BS001, BS004</t>
        </is>
      </c>
      <c r="H64" t="inlineStr">
        <is>
          <t>6 Oktober 2023</t>
        </is>
      </c>
      <c r="I64" s="2" t="n">
        <v>46353</v>
      </c>
      <c r="J64" t="inlineStr">
        <is>
          <t>Disetujui</t>
        </is>
      </c>
      <c r="K64" t="n">
        <v>60</v>
      </c>
      <c r="L64" t="inlineStr">
        <is>
          <t>27 November 2026</t>
        </is>
      </c>
      <c r="M64" t="inlineStr">
        <is>
          <t>Konstruksi Bangunan Sipil Jalan, Konstruksi Gedung Lainnya, Konstruksi Gedung Pendidikan, Konstruksi Jaringan Irigasi dan Drainase</t>
        </is>
      </c>
      <c r="N64" t="inlineStr">
        <is>
          <t>K</t>
        </is>
      </c>
      <c r="O64" t="inlineStr">
        <is>
          <t>20231120, 20231128</t>
        </is>
      </c>
      <c r="P64" t="inlineStr">
        <is>
          <t>Jawa Timur</t>
        </is>
      </c>
      <c r="Q64" t="inlineStr"/>
    </row>
    <row r="65">
      <c r="A65" t="inlineStr">
        <is>
          <t>MANUNTUNG</t>
        </is>
      </c>
      <c r="B65" t="inlineStr">
        <is>
          <t>Kota Kendari</t>
        </is>
      </c>
      <c r="C65" t="inlineStr">
        <is>
          <t>081341789339</t>
        </is>
      </c>
      <c r="D65" t="inlineStr">
        <is>
          <t>sutrisnooss40@gmail.com</t>
        </is>
      </c>
      <c r="E65" t="inlineStr">
        <is>
          <t>https://lpjk.pu.go.id/search-badan-usaha-detail/MythRlJsNktjSHc0ZmlKQXU5L0o4QT09</t>
        </is>
      </c>
      <c r="F65" t="n">
        <v>1</v>
      </c>
      <c r="G65" t="inlineStr">
        <is>
          <t>BG002</t>
        </is>
      </c>
      <c r="H65" t="inlineStr">
        <is>
          <t>16 September 2004</t>
        </is>
      </c>
      <c r="I65" s="2" t="n">
        <v>46353</v>
      </c>
      <c r="J65" t="inlineStr">
        <is>
          <t>Pencabutan</t>
        </is>
      </c>
      <c r="K65" t="n">
        <v>60</v>
      </c>
      <c r="L65" t="inlineStr">
        <is>
          <t>27 November 2026</t>
        </is>
      </c>
      <c r="M65" t="inlineStr">
        <is>
          <t>Konstruksi Gedung Perkantoran</t>
        </is>
      </c>
      <c r="N65" t="inlineStr">
        <is>
          <t>K</t>
        </is>
      </c>
      <c r="O65" t="inlineStr">
        <is>
          <t>20230302</t>
        </is>
      </c>
      <c r="P65" t="inlineStr">
        <is>
          <t>Sulawesi Tenggara</t>
        </is>
      </c>
      <c r="Q65" t="inlineStr"/>
    </row>
    <row r="66">
      <c r="A66" t="inlineStr">
        <is>
          <t>MENARA MAS</t>
        </is>
      </c>
      <c r="B66" t="inlineStr">
        <is>
          <t>Kota Tarakan</t>
        </is>
      </c>
      <c r="C66" t="inlineStr">
        <is>
          <t>0811532857</t>
        </is>
      </c>
      <c r="D66" t="inlineStr">
        <is>
          <t>ptmenaramas88@gmail.com</t>
        </is>
      </c>
      <c r="E66" t="inlineStr">
        <is>
          <t>https://lpjk.pu.go.id/search-badan-usaha-detail/VVhpMHdVMG5MZyszTlZDRy9Mei9hQT09</t>
        </is>
      </c>
      <c r="F66" t="n">
        <v>1</v>
      </c>
      <c r="G66" t="inlineStr">
        <is>
          <t>IN004</t>
        </is>
      </c>
      <c r="H66" t="inlineStr">
        <is>
          <t>28 Agustus 2008</t>
        </is>
      </c>
      <c r="I66" s="2" t="n">
        <v>46353</v>
      </c>
      <c r="J66" t="inlineStr">
        <is>
          <t>Pembekuan</t>
        </is>
      </c>
      <c r="K66" t="n">
        <v>60</v>
      </c>
      <c r="L66" t="inlineStr">
        <is>
          <t>27 November 2026</t>
        </is>
      </c>
      <c r="M66" t="inlineStr">
        <is>
          <t>Instalasi Minyak dan Gas</t>
        </is>
      </c>
      <c r="N66" t="inlineStr">
        <is>
          <t>Spesialis</t>
        </is>
      </c>
      <c r="O66" t="inlineStr">
        <is>
          <t>20231107</t>
        </is>
      </c>
      <c r="P66" t="inlineStr">
        <is>
          <t>Kalimantan Utara</t>
        </is>
      </c>
      <c r="Q66" t="inlineStr"/>
    </row>
    <row r="67">
      <c r="A67" t="inlineStr">
        <is>
          <t>METAKOM ANDALAN PRANATA</t>
        </is>
      </c>
      <c r="B67" t="inlineStr">
        <is>
          <t>Kota Adm. Jakarta Barat</t>
        </is>
      </c>
      <c r="C67" t="inlineStr">
        <is>
          <t>5800503</t>
        </is>
      </c>
      <c r="D67" t="inlineStr">
        <is>
          <t>metakom.map@gmail.com</t>
        </is>
      </c>
      <c r="E67" t="inlineStr">
        <is>
          <t>https://lpjk.pu.go.id/search-badan-usaha-detail/OUdJZGhKb2JidHArSUxvZkd4aCtwZz09</t>
        </is>
      </c>
      <c r="F67" t="n">
        <v>1</v>
      </c>
      <c r="G67" t="inlineStr">
        <is>
          <t>RK004</t>
        </is>
      </c>
      <c r="H67" t="inlineStr">
        <is>
          <t>22 November 2016</t>
        </is>
      </c>
      <c r="I67" s="2" t="n">
        <v>46353</v>
      </c>
      <c r="J67" t="inlineStr">
        <is>
          <t>Disetujui</t>
        </is>
      </c>
      <c r="K67" t="n">
        <v>60</v>
      </c>
      <c r="L67" t="inlineStr">
        <is>
          <t>27 November 2026</t>
        </is>
      </c>
      <c r="M67" t="inlineStr">
        <is>
          <t>Jasa Rekayasa Pekerjaan Mekanikal Dalam Bangunan</t>
        </is>
      </c>
      <c r="N67" t="inlineStr">
        <is>
          <t>K</t>
        </is>
      </c>
      <c r="O67" t="inlineStr">
        <is>
          <t>20231116</t>
        </is>
      </c>
      <c r="P67" t="inlineStr">
        <is>
          <t>DKI Jakarta</t>
        </is>
      </c>
      <c r="Q67" t="inlineStr"/>
    </row>
    <row r="68">
      <c r="A68" t="inlineStr">
        <is>
          <t>MITRA MARGA MULYA SEJAHTERA</t>
        </is>
      </c>
      <c r="B68" t="inlineStr">
        <is>
          <t>Kab. Malang</t>
        </is>
      </c>
      <c r="C68" t="inlineStr">
        <is>
          <t>081615701381</t>
        </is>
      </c>
      <c r="D68" t="inlineStr">
        <is>
          <t>mitramargamulyasejahtera@gmail.com</t>
        </is>
      </c>
      <c r="E68" t="inlineStr">
        <is>
          <t>https://lpjk.pu.go.id/search-badan-usaha-detail/bFFFNm5BSjBoY1J5bXRNUnJWNXpxUT09</t>
        </is>
      </c>
      <c r="F68" t="n">
        <v>2</v>
      </c>
      <c r="G68" t="inlineStr">
        <is>
          <t>BG006, PB010</t>
        </is>
      </c>
      <c r="H68" t="inlineStr">
        <is>
          <t>20 Februari 2020</t>
        </is>
      </c>
      <c r="I68" s="2" t="n">
        <v>46353</v>
      </c>
      <c r="J68" t="inlineStr">
        <is>
          <t>Disetujui</t>
        </is>
      </c>
      <c r="K68" t="n">
        <v>60</v>
      </c>
      <c r="L68" t="inlineStr">
        <is>
          <t>27 November 2026</t>
        </is>
      </c>
      <c r="M68" t="inlineStr">
        <is>
          <t>Konstruksi Gedung Pendidikan, Pekerjaan Lanskap, Pertamanan, dan Penanaman Vegetasi</t>
        </is>
      </c>
      <c r="N68" t="inlineStr">
        <is>
          <t>K, Spesialis</t>
        </is>
      </c>
      <c r="O68" t="inlineStr">
        <is>
          <t>20231126</t>
        </is>
      </c>
      <c r="P68" t="inlineStr">
        <is>
          <t>Jawa Timur</t>
        </is>
      </c>
      <c r="Q68" t="inlineStr"/>
    </row>
    <row r="69">
      <c r="A69" t="inlineStr">
        <is>
          <t>MUTIARA FAJAR</t>
        </is>
      </c>
      <c r="B69" t="inlineStr">
        <is>
          <t>Kab. Sidoarjo</t>
        </is>
      </c>
      <c r="C69" t="inlineStr">
        <is>
          <t>0318852620</t>
        </is>
      </c>
      <c r="D69" t="inlineStr">
        <is>
          <t>mutiarafajar63@gmail.com</t>
        </is>
      </c>
      <c r="E69" t="inlineStr">
        <is>
          <t>https://lpjk.pu.go.id/search-badan-usaha-detail/SXllVUlKVTljTUNuWVcrMmFuNTFLUT09</t>
        </is>
      </c>
      <c r="F69" t="n">
        <v>2</v>
      </c>
      <c r="G69" t="inlineStr">
        <is>
          <t>BS001</t>
        </is>
      </c>
      <c r="H69" t="inlineStr">
        <is>
          <t>14 Maret 1995</t>
        </is>
      </c>
      <c r="I69" s="2" t="n">
        <v>46353</v>
      </c>
      <c r="J69" t="inlineStr">
        <is>
          <t>Disetujui</t>
        </is>
      </c>
      <c r="K69" t="n">
        <v>60</v>
      </c>
      <c r="L69" t="inlineStr">
        <is>
          <t>27 November 2026</t>
        </is>
      </c>
      <c r="M69" t="inlineStr">
        <is>
          <t>Konstruksi Bangunan Sipil Jalan</t>
        </is>
      </c>
      <c r="N69" t="inlineStr">
        <is>
          <t>K</t>
        </is>
      </c>
      <c r="O69" t="inlineStr">
        <is>
          <t>20231123</t>
        </is>
      </c>
      <c r="P69" t="inlineStr">
        <is>
          <t>Jawa Timur</t>
        </is>
      </c>
      <c r="Q69" t="inlineStr"/>
    </row>
    <row r="70">
      <c r="A70" t="inlineStr">
        <is>
          <t>MUTIARA PRIMA</t>
        </is>
      </c>
      <c r="B70" t="inlineStr">
        <is>
          <t>Kota Surabaya</t>
        </is>
      </c>
      <c r="C70" t="inlineStr">
        <is>
          <t>08123182484</t>
        </is>
      </c>
      <c r="D70" t="inlineStr">
        <is>
          <t>khoirulmuhfidin@gmail.com</t>
        </is>
      </c>
      <c r="E70" t="inlineStr">
        <is>
          <t>https://lpjk.pu.go.id/search-badan-usaha-detail/dTFwYzlFQmJiVVFZd3V4Y2NhT0ZQZz09</t>
        </is>
      </c>
      <c r="F70" t="n">
        <v>2</v>
      </c>
      <c r="G70" t="inlineStr">
        <is>
          <t>BG009</t>
        </is>
      </c>
      <c r="H70" t="inlineStr">
        <is>
          <t>12 Juli 1995</t>
        </is>
      </c>
      <c r="I70" s="2" t="n">
        <v>46353</v>
      </c>
      <c r="J70" t="inlineStr">
        <is>
          <t>Disetujui</t>
        </is>
      </c>
      <c r="K70" t="n">
        <v>60</v>
      </c>
      <c r="L70" t="inlineStr">
        <is>
          <t>27 November 2026</t>
        </is>
      </c>
      <c r="M70" t="inlineStr">
        <is>
          <t>Konstruksi Gedung Lainnya</t>
        </is>
      </c>
      <c r="N70" t="inlineStr">
        <is>
          <t>K</t>
        </is>
      </c>
      <c r="O70" t="inlineStr">
        <is>
          <t>20231119</t>
        </is>
      </c>
      <c r="P70" t="inlineStr">
        <is>
          <t>Jawa Timur</t>
        </is>
      </c>
      <c r="Q70" t="inlineStr"/>
    </row>
    <row r="71">
      <c r="A71" t="inlineStr">
        <is>
          <t>NUSANGGARA CAHAYA PERMATA</t>
        </is>
      </c>
      <c r="B71" t="inlineStr">
        <is>
          <t>Kab. Tanah Bumbu</t>
        </is>
      </c>
      <c r="C71" t="inlineStr">
        <is>
          <t>082255315365</t>
        </is>
      </c>
      <c r="D71" t="inlineStr">
        <is>
          <t>cv.nusanggaracahayapermata@gmail.com</t>
        </is>
      </c>
      <c r="E71" t="inlineStr">
        <is>
          <t>https://lpjk.pu.go.id/search-badan-usaha-detail/a2EyaEwxL215SzdqNnNrOFNzUTc3QT09</t>
        </is>
      </c>
      <c r="F71" t="n">
        <v>4</v>
      </c>
      <c r="G71" t="inlineStr">
        <is>
          <t>BG001, BG002, BG006, BS001</t>
        </is>
      </c>
      <c r="H71" t="inlineStr">
        <is>
          <t>1 Juli 2022</t>
        </is>
      </c>
      <c r="I71" s="2" t="n">
        <v>46353</v>
      </c>
      <c r="J71" t="inlineStr">
        <is>
          <t>Disetujui</t>
        </is>
      </c>
      <c r="K71" t="n">
        <v>60</v>
      </c>
      <c r="L71" t="inlineStr">
        <is>
          <t>27 November 2026</t>
        </is>
      </c>
      <c r="M71" t="inlineStr">
        <is>
          <t>Konstruksi Bangunan Sipil Jalan, Konstruksi Gedung Hunian, Konstruksi Gedung Pendidikan, Konstruksi Gedung Perkantoran</t>
        </is>
      </c>
      <c r="N71" t="inlineStr">
        <is>
          <t>K</t>
        </is>
      </c>
      <c r="O71" t="inlineStr">
        <is>
          <t>20231124</t>
        </is>
      </c>
      <c r="P71" t="inlineStr">
        <is>
          <t>Kalimantan Selatan</t>
        </is>
      </c>
      <c r="Q71" t="inlineStr"/>
    </row>
    <row r="72">
      <c r="A72" t="inlineStr">
        <is>
          <t>PAGAR BATU LESTARI</t>
        </is>
      </c>
      <c r="B72" t="inlineStr">
        <is>
          <t>Kota Adm. Jakarta Utara</t>
        </is>
      </c>
      <c r="C72" t="inlineStr">
        <is>
          <t>0214406753</t>
        </is>
      </c>
      <c r="D72" t="inlineStr">
        <is>
          <t>pagarbatulestari@yahoo.com</t>
        </is>
      </c>
      <c r="E72" t="inlineStr">
        <is>
          <t>https://lpjk.pu.go.id/search-badan-usaha-detail/NHZuWlYzUElVeXA3OU4xTTcxOThDQT09</t>
        </is>
      </c>
      <c r="F72" t="n">
        <v>1</v>
      </c>
      <c r="G72" t="inlineStr">
        <is>
          <t>PL003</t>
        </is>
      </c>
      <c r="H72" t="inlineStr">
        <is>
          <t>5 Februari 1988</t>
        </is>
      </c>
      <c r="I72" s="2" t="n">
        <v>46353</v>
      </c>
      <c r="J72" t="inlineStr">
        <is>
          <t>Pembekuan</t>
        </is>
      </c>
      <c r="K72" t="n">
        <v>60</v>
      </c>
      <c r="L72" t="inlineStr">
        <is>
          <t>27 November 2026</t>
        </is>
      </c>
      <c r="M72" t="inlineStr">
        <is>
          <t>Penyiapan Lahan Konstruksi</t>
        </is>
      </c>
      <c r="N72" t="inlineStr">
        <is>
          <t>Spesialis</t>
        </is>
      </c>
      <c r="O72" t="inlineStr">
        <is>
          <t>20231128</t>
        </is>
      </c>
      <c r="P72" t="inlineStr">
        <is>
          <t>DKI Jakarta</t>
        </is>
      </c>
      <c r="Q72" t="inlineStr"/>
    </row>
    <row r="73">
      <c r="A73" t="inlineStr">
        <is>
          <t>PAHLEVI UTAMA</t>
        </is>
      </c>
      <c r="B73" t="inlineStr">
        <is>
          <t>Kab. Cilacap</t>
        </is>
      </c>
      <c r="C73" t="inlineStr">
        <is>
          <t>0282545119</t>
        </is>
      </c>
      <c r="D73" t="inlineStr">
        <is>
          <t>utama.pahlevi@yahoo.co.id</t>
        </is>
      </c>
      <c r="E73" t="inlineStr">
        <is>
          <t>https://lpjk.pu.go.id/search-badan-usaha-detail/akRYVmt0R05nV1hJTmlRY0lKVjkzZz09</t>
        </is>
      </c>
      <c r="F73" t="n">
        <v>1</v>
      </c>
      <c r="G73" t="inlineStr">
        <is>
          <t>IN004</t>
        </is>
      </c>
      <c r="H73" t="inlineStr">
        <is>
          <t>28 Juni 2001</t>
        </is>
      </c>
      <c r="I73" s="2" t="n">
        <v>46353</v>
      </c>
      <c r="J73" t="inlineStr">
        <is>
          <t>Pembekuan</t>
        </is>
      </c>
      <c r="K73" t="n">
        <v>60</v>
      </c>
      <c r="L73" t="inlineStr">
        <is>
          <t>27 November 2026</t>
        </is>
      </c>
      <c r="M73" t="inlineStr">
        <is>
          <t>Instalasi Minyak dan Gas</t>
        </is>
      </c>
      <c r="N73" t="inlineStr">
        <is>
          <t>Spesialis</t>
        </is>
      </c>
      <c r="O73" t="inlineStr">
        <is>
          <t>20231110</t>
        </is>
      </c>
      <c r="P73" t="inlineStr">
        <is>
          <t>Jawa Tengah</t>
        </is>
      </c>
      <c r="Q73" t="inlineStr"/>
    </row>
    <row r="74">
      <c r="A74" t="inlineStr">
        <is>
          <t>PANCA GAGAS CIPTA</t>
        </is>
      </c>
      <c r="B74" t="inlineStr">
        <is>
          <t>Kota Cilegon</t>
        </is>
      </c>
      <c r="C74" t="inlineStr">
        <is>
          <t>081324389993</t>
        </is>
      </c>
      <c r="D74" t="inlineStr">
        <is>
          <t>gagaspanca@gmail.com</t>
        </is>
      </c>
      <c r="E74" t="inlineStr">
        <is>
          <t>https://lpjk.pu.go.id/search-badan-usaha-detail/dXkwRnl1OGZReVBVaEhiZnUwQkttZz09</t>
        </is>
      </c>
      <c r="F74" t="n">
        <v>6</v>
      </c>
      <c r="G74" t="inlineStr">
        <is>
          <t>AR001, AR002, AR003, RK001, RK002, RK003</t>
        </is>
      </c>
      <c r="H74" t="inlineStr">
        <is>
          <t>6 Maret 2000</t>
        </is>
      </c>
      <c r="I74" s="2" t="n">
        <v>46353</v>
      </c>
      <c r="J74" t="inlineStr">
        <is>
          <t>Disetujui</t>
        </is>
      </c>
      <c r="K74" t="n">
        <v>60</v>
      </c>
      <c r="L74" t="inlineStr">
        <is>
          <t>27 November 2026</t>
        </is>
      </c>
      <c r="M74" t="inlineStr">
        <is>
          <t>Jasa Arsitektural Bangunan Gedung Hunian dan Non Hunian, Jasa Arsitektural Lainnya, Jasa Desain Interior pada Bangunan Gedung dan Bangunan Sipil, Jasa Rekayasa Konstruksi Bangunan Gedung Hunian dan Non Hunian, Jasa Rekayasa Pekerjaan Teknik Sipil Sumber Daya Air, Jasa Rekayasa Pekerjaan Teknik Sipil Transportasi</t>
        </is>
      </c>
      <c r="N74" t="inlineStr">
        <is>
          <t>K</t>
        </is>
      </c>
      <c r="O74" t="inlineStr">
        <is>
          <t>20231114</t>
        </is>
      </c>
      <c r="P74" t="inlineStr">
        <is>
          <t>Banten</t>
        </is>
      </c>
      <c r="Q74" t="inlineStr"/>
    </row>
    <row r="75">
      <c r="A75" t="inlineStr">
        <is>
          <t>PANORAMA TIGA UTAMA KONSULTAN</t>
        </is>
      </c>
      <c r="B75" t="inlineStr">
        <is>
          <t>Kab. Gresik</t>
        </is>
      </c>
      <c r="C75" t="inlineStr">
        <is>
          <t>0313930027</t>
        </is>
      </c>
      <c r="D75" t="inlineStr">
        <is>
          <t>panoramatigautamakonsultan@gmail.com</t>
        </is>
      </c>
      <c r="E75" t="inlineStr">
        <is>
          <t>https://lpjk.pu.go.id/search-badan-usaha-detail/SUpYZy91cnR5eVVwREM0S2FoUTF5UT09</t>
        </is>
      </c>
      <c r="F75" t="n">
        <v>1</v>
      </c>
      <c r="G75" t="inlineStr">
        <is>
          <t>AR001</t>
        </is>
      </c>
      <c r="H75" t="inlineStr">
        <is>
          <t>16 Februari 2021</t>
        </is>
      </c>
      <c r="I75" s="2" t="n">
        <v>46353</v>
      </c>
      <c r="J75" t="inlineStr">
        <is>
          <t>Disetujui</t>
        </is>
      </c>
      <c r="K75" t="n">
        <v>60</v>
      </c>
      <c r="L75" t="inlineStr">
        <is>
          <t>27 November 2026</t>
        </is>
      </c>
      <c r="M75" t="inlineStr">
        <is>
          <t>Jasa Arsitektural Bangunan Gedung Hunian dan Non Hunian</t>
        </is>
      </c>
      <c r="N75" t="inlineStr">
        <is>
          <t>K</t>
        </is>
      </c>
      <c r="O75" t="inlineStr">
        <is>
          <t>20231120</t>
        </is>
      </c>
      <c r="P75" t="inlineStr">
        <is>
          <t>Jawa Timur</t>
        </is>
      </c>
      <c r="Q75" t="inlineStr"/>
    </row>
    <row r="76">
      <c r="A76" t="inlineStr">
        <is>
          <t>PARAMA YASA</t>
        </is>
      </c>
      <c r="B76" t="inlineStr">
        <is>
          <t>Kota Malang</t>
        </is>
      </c>
      <c r="C76" t="inlineStr">
        <is>
          <t>081231666767</t>
        </is>
      </c>
      <c r="D76" t="inlineStr">
        <is>
          <t>parama_yasa@yahoo.com</t>
        </is>
      </c>
      <c r="E76" t="inlineStr">
        <is>
          <t>https://lpjk.pu.go.id/search-badan-usaha-detail/TE1BekhZNFFKNWZYVU5RUEEvTHVlZz09</t>
        </is>
      </c>
      <c r="F76" t="n">
        <v>1</v>
      </c>
      <c r="G76" t="inlineStr">
        <is>
          <t>BS001</t>
        </is>
      </c>
      <c r="H76" t="inlineStr">
        <is>
          <t>4 Juni 2007</t>
        </is>
      </c>
      <c r="I76" s="2" t="n">
        <v>46353</v>
      </c>
      <c r="J76" t="inlineStr">
        <is>
          <t>Disetujui</t>
        </is>
      </c>
      <c r="K76" t="n">
        <v>60</v>
      </c>
      <c r="L76" t="inlineStr">
        <is>
          <t>27 November 2026</t>
        </is>
      </c>
      <c r="M76" t="inlineStr">
        <is>
          <t>Konstruksi Bangunan Sipil Jalan</t>
        </is>
      </c>
      <c r="N76" t="inlineStr">
        <is>
          <t>K</t>
        </is>
      </c>
      <c r="O76" t="inlineStr">
        <is>
          <t>20231127</t>
        </is>
      </c>
      <c r="P76" t="inlineStr">
        <is>
          <t>Jawa Timur</t>
        </is>
      </c>
      <c r="Q76" t="inlineStr"/>
    </row>
    <row r="77">
      <c r="A77" t="inlineStr">
        <is>
          <t>PILAR MANDALA PERKASA</t>
        </is>
      </c>
      <c r="B77" t="inlineStr">
        <is>
          <t>Kota Pekanbaru</t>
        </is>
      </c>
      <c r="C77" t="inlineStr">
        <is>
          <t>085374082588</t>
        </is>
      </c>
      <c r="D77" t="inlineStr">
        <is>
          <t>pilarmandalaperkasa1@gmail.com</t>
        </is>
      </c>
      <c r="E77" t="inlineStr">
        <is>
          <t>https://lpjk.pu.go.id/search-badan-usaha-detail/djFpWGt2aS92N1hLSzM1bEJtM0VEdz09</t>
        </is>
      </c>
      <c r="F77" t="n">
        <v>2</v>
      </c>
      <c r="G77" t="inlineStr">
        <is>
          <t>BG001, BG002</t>
        </is>
      </c>
      <c r="H77" t="inlineStr">
        <is>
          <t>27 Mei 2022</t>
        </is>
      </c>
      <c r="I77" s="2" t="n">
        <v>46353</v>
      </c>
      <c r="J77" t="inlineStr">
        <is>
          <t>Disetujui</t>
        </is>
      </c>
      <c r="K77" t="n">
        <v>60</v>
      </c>
      <c r="L77" t="inlineStr">
        <is>
          <t>27 November 2026</t>
        </is>
      </c>
      <c r="M77" t="inlineStr">
        <is>
          <t>Konstruksi Gedung Hunian, Konstruksi Gedung Perkantoran</t>
        </is>
      </c>
      <c r="N77" t="inlineStr">
        <is>
          <t>K</t>
        </is>
      </c>
      <c r="O77" t="inlineStr">
        <is>
          <t>20231127</t>
        </is>
      </c>
      <c r="P77" t="inlineStr">
        <is>
          <t>Riau</t>
        </is>
      </c>
      <c r="Q77" t="inlineStr"/>
    </row>
    <row r="78">
      <c r="A78" t="inlineStr">
        <is>
          <t>POETRA KONSTRUKSI</t>
        </is>
      </c>
      <c r="B78" t="inlineStr">
        <is>
          <t>Kab. Serang</t>
        </is>
      </c>
      <c r="C78" t="inlineStr">
        <is>
          <t>085280173848</t>
        </is>
      </c>
      <c r="D78" t="inlineStr">
        <is>
          <t>cvpoetrakonstruksi@gmail.com</t>
        </is>
      </c>
      <c r="E78" t="inlineStr">
        <is>
          <t>https://lpjk.pu.go.id/search-badan-usaha-detail/YWtQVU1sVzRzWUtUam5aNDhUelYzdz09</t>
        </is>
      </c>
      <c r="F78" t="n">
        <v>3</v>
      </c>
      <c r="G78" t="inlineStr">
        <is>
          <t>BG006, BS001, BS004</t>
        </is>
      </c>
      <c r="H78" t="inlineStr">
        <is>
          <t>22 Januari 2021</t>
        </is>
      </c>
      <c r="I78" s="2" t="n">
        <v>46353</v>
      </c>
      <c r="J78" t="inlineStr">
        <is>
          <t>Disetujui</t>
        </is>
      </c>
      <c r="K78" t="n">
        <v>60</v>
      </c>
      <c r="L78" t="inlineStr">
        <is>
          <t>27 November 2026</t>
        </is>
      </c>
      <c r="M78" t="inlineStr">
        <is>
          <t>Konstruksi Bangunan Sipil Jalan, Konstruksi Gedung Pendidikan, Konstruksi Jaringan Irigasi dan Drainase</t>
        </is>
      </c>
      <c r="N78" t="inlineStr">
        <is>
          <t>K</t>
        </is>
      </c>
      <c r="O78" t="inlineStr">
        <is>
          <t>20231121</t>
        </is>
      </c>
      <c r="P78" t="inlineStr">
        <is>
          <t>Banten</t>
        </is>
      </c>
      <c r="Q78" t="inlineStr"/>
    </row>
    <row r="79">
      <c r="A79" t="inlineStr">
        <is>
          <t>PRIMA SOLID ENERGIK</t>
        </is>
      </c>
      <c r="B79" t="inlineStr">
        <is>
          <t>Kota Bontang</t>
        </is>
      </c>
      <c r="C79" t="inlineStr">
        <is>
          <t>081347676575</t>
        </is>
      </c>
      <c r="D79" t="inlineStr">
        <is>
          <t>pt.primasolidenergik@gmail.com</t>
        </is>
      </c>
      <c r="E79" t="inlineStr">
        <is>
          <t>https://lpjk.pu.go.id/search-badan-usaha-detail/R1dHOXBOekNzRk1MWkxNRmZLWmdNZz09</t>
        </is>
      </c>
      <c r="F79" t="n">
        <v>6</v>
      </c>
      <c r="G79" t="inlineStr">
        <is>
          <t>BG001, BG002, BG003, BG006, BS001, BS004</t>
        </is>
      </c>
      <c r="H79" t="inlineStr">
        <is>
          <t>29 Mei 2020</t>
        </is>
      </c>
      <c r="I79" s="2" t="n">
        <v>46353</v>
      </c>
      <c r="J79" t="inlineStr">
        <is>
          <t>Disetujui</t>
        </is>
      </c>
      <c r="K79" t="n">
        <v>60</v>
      </c>
      <c r="L79" t="inlineStr">
        <is>
          <t>27 November 2026</t>
        </is>
      </c>
      <c r="M79" t="inlineStr">
        <is>
          <t>Konstruksi Bangunan Sipil Jalan, Konstruksi Gedung Hunian, Konstruksi Gedung Industri, Konstruksi Gedung Pendidikan, Konstruksi Gedung Perkantoran, Konstruksi Jaringan Irigasi dan Drainase</t>
        </is>
      </c>
      <c r="N79" t="inlineStr">
        <is>
          <t>K</t>
        </is>
      </c>
      <c r="O79" t="inlineStr">
        <is>
          <t>20231122, 20231123, 20231129</t>
        </is>
      </c>
      <c r="P79" t="inlineStr">
        <is>
          <t>Kalimantan Timur</t>
        </is>
      </c>
      <c r="Q79" t="inlineStr"/>
    </row>
    <row r="80">
      <c r="A80" t="inlineStr">
        <is>
          <t>PRISMA ALAM</t>
        </is>
      </c>
      <c r="B80" t="inlineStr">
        <is>
          <t>Kab. Tabanan</t>
        </is>
      </c>
      <c r="C80" t="inlineStr">
        <is>
          <t>082144060991</t>
        </is>
      </c>
      <c r="D80" t="inlineStr">
        <is>
          <t>prisma.alam@yahoo.co.id</t>
        </is>
      </c>
      <c r="E80" t="inlineStr">
        <is>
          <t>https://lpjk.pu.go.id/search-badan-usaha-detail/UU5iUFpXeU8zcTlKdEFhakUybmsxUT09</t>
        </is>
      </c>
      <c r="F80" t="n">
        <v>5</v>
      </c>
      <c r="G80" t="inlineStr">
        <is>
          <t>BG001, BG002, BG005, BG006, BG009</t>
        </is>
      </c>
      <c r="H80" t="inlineStr">
        <is>
          <t>9 Desember 2004</t>
        </is>
      </c>
      <c r="I80" s="2" t="n">
        <v>46353</v>
      </c>
      <c r="J80" t="inlineStr">
        <is>
          <t>Disetujui</t>
        </is>
      </c>
      <c r="K80" t="n">
        <v>60</v>
      </c>
      <c r="L80" t="inlineStr">
        <is>
          <t>27 November 2026</t>
        </is>
      </c>
      <c r="M80" t="inlineStr">
        <is>
          <t>Konstruksi Gedung Hunian, Konstruksi Gedung Kesehatan, Konstruksi Gedung Lainnya, Konstruksi Gedung Pendidikan, Konstruksi Gedung Perkantoran</t>
        </is>
      </c>
      <c r="N80" t="inlineStr">
        <is>
          <t>K</t>
        </is>
      </c>
      <c r="O80" t="inlineStr">
        <is>
          <t>20231120, 20231122</t>
        </is>
      </c>
      <c r="P80" t="inlineStr">
        <is>
          <t>Bali</t>
        </is>
      </c>
      <c r="Q80" t="inlineStr"/>
    </row>
    <row r="81">
      <c r="A81" t="inlineStr">
        <is>
          <t>PROFILE AIRY</t>
        </is>
      </c>
      <c r="B81" t="inlineStr">
        <is>
          <t>Kota Banda Aceh</t>
        </is>
      </c>
      <c r="C81" t="inlineStr">
        <is>
          <t>08116810026</t>
        </is>
      </c>
      <c r="D81" t="inlineStr">
        <is>
          <t>profileairy@gmail.com</t>
        </is>
      </c>
      <c r="E81" t="inlineStr">
        <is>
          <t>https://lpjk.pu.go.id/search-badan-usaha-detail/MnhqcFlldnlTcnBYcHYrb05vZktKdz09</t>
        </is>
      </c>
      <c r="F81" t="n">
        <v>7</v>
      </c>
      <c r="G81" t="inlineStr">
        <is>
          <t>BG001, BG002, BG003, BG006, BG009, BS001, BS004</t>
        </is>
      </c>
      <c r="H81" t="inlineStr">
        <is>
          <t>16 Oktober 2020</t>
        </is>
      </c>
      <c r="I81" s="2" t="n">
        <v>46353</v>
      </c>
      <c r="J81" t="inlineStr">
        <is>
          <t>Disetujui</t>
        </is>
      </c>
      <c r="K81" t="n">
        <v>60</v>
      </c>
      <c r="L81" t="inlineStr">
        <is>
          <t>27 November 2026</t>
        </is>
      </c>
      <c r="M81" t="inlineStr">
        <is>
          <t>Konstruksi Bangunan Sipil Jalan, Konstruksi Gedung Hunian, Konstruksi Gedung Industri, Konstruksi Gedung Lainnya, Konstruksi Gedung Pendidikan, Konstruksi Gedung Perkantoran, Konstruksi Jaringan Irigasi dan Drainase</t>
        </is>
      </c>
      <c r="N81" t="inlineStr">
        <is>
          <t>K</t>
        </is>
      </c>
      <c r="O81" t="inlineStr">
        <is>
          <t>20231122</t>
        </is>
      </c>
      <c r="P81" t="inlineStr">
        <is>
          <t>Aceh</t>
        </is>
      </c>
      <c r="Q81" t="inlineStr"/>
    </row>
    <row r="82">
      <c r="A82" t="inlineStr">
        <is>
          <t>PUTRA LANGGENG PERKASA</t>
        </is>
      </c>
      <c r="B82" t="inlineStr">
        <is>
          <t>Kota Tangerang Selatan</t>
        </is>
      </c>
      <c r="C82" t="inlineStr">
        <is>
          <t>081315963322</t>
        </is>
      </c>
      <c r="D82" t="inlineStr">
        <is>
          <t>pt.putralanggengperkasa@gmail.com</t>
        </is>
      </c>
      <c r="E82" t="inlineStr">
        <is>
          <t>https://lpjk.pu.go.id/search-badan-usaha-detail/QUo4MjhkSXc3Mk9scTNkdnJ2dFNrUT09</t>
        </is>
      </c>
      <c r="F82" t="n">
        <v>5</v>
      </c>
      <c r="G82" t="inlineStr">
        <is>
          <t>BG003, BG004, BG009, BS004, BS005</t>
        </is>
      </c>
      <c r="H82" t="inlineStr">
        <is>
          <t>9 April 2003</t>
        </is>
      </c>
      <c r="I82" s="2" t="n">
        <v>46353</v>
      </c>
      <c r="J82" t="inlineStr">
        <is>
          <t>Disetujui</t>
        </is>
      </c>
      <c r="K82" t="n">
        <v>60</v>
      </c>
      <c r="L82" t="inlineStr">
        <is>
          <t>27 November 2026</t>
        </is>
      </c>
      <c r="M82" t="inlineStr">
        <is>
          <t>Konstruksi Bangunan Sipil Pengolahan Air Bersih, Konstruksi Gedung Industri, Konstruksi Gedung Lainnya, Konstruksi Gedung Perbelanjaan, Konstruksi Jaringan Irigasi dan Drainase</t>
        </is>
      </c>
      <c r="N82" t="inlineStr">
        <is>
          <t>K</t>
        </is>
      </c>
      <c r="O82" t="inlineStr">
        <is>
          <t>20231004, 20231128, 20231129</t>
        </is>
      </c>
      <c r="P82" t="inlineStr">
        <is>
          <t>Banten</t>
        </is>
      </c>
      <c r="Q82" t="inlineStr"/>
    </row>
    <row r="83">
      <c r="A83" t="inlineStr">
        <is>
          <t>PUTRA MAHKOTA TELUK PANDAN</t>
        </is>
      </c>
      <c r="B83" t="inlineStr">
        <is>
          <t>Kab. Kutai Timur</t>
        </is>
      </c>
      <c r="C83" t="inlineStr">
        <is>
          <t>082252590553</t>
        </is>
      </c>
      <c r="D83" t="inlineStr">
        <is>
          <t>putramahkotatelukpandan.cv@gmail.com</t>
        </is>
      </c>
      <c r="E83" t="inlineStr">
        <is>
          <t>https://lpjk.pu.go.id/search-badan-usaha-detail/V3hjNEw2T1pkY1VQVTdJby81T1MzUT09</t>
        </is>
      </c>
      <c r="F83" t="n">
        <v>1</v>
      </c>
      <c r="G83" t="inlineStr">
        <is>
          <t>BG005</t>
        </is>
      </c>
      <c r="H83" t="inlineStr">
        <is>
          <t>2 September 2019</t>
        </is>
      </c>
      <c r="I83" s="2" t="n">
        <v>46353</v>
      </c>
      <c r="J83" t="inlineStr">
        <is>
          <t>Disetujui</t>
        </is>
      </c>
      <c r="K83" t="n">
        <v>60</v>
      </c>
      <c r="L83" t="inlineStr">
        <is>
          <t>27 November 2026</t>
        </is>
      </c>
      <c r="M83" t="inlineStr">
        <is>
          <t>Konstruksi Gedung Kesehatan</t>
        </is>
      </c>
      <c r="N83" t="inlineStr">
        <is>
          <t>K</t>
        </is>
      </c>
      <c r="O83" t="inlineStr">
        <is>
          <t>20231123</t>
        </is>
      </c>
      <c r="P83" t="inlineStr">
        <is>
          <t>Kalimantan Timur</t>
        </is>
      </c>
      <c r="Q83" t="inlineStr"/>
    </row>
    <row r="84">
      <c r="A84" t="inlineStr">
        <is>
          <t>PUTRA SULUNG</t>
        </is>
      </c>
      <c r="B84" t="inlineStr">
        <is>
          <t>Kab. Garut</t>
        </is>
      </c>
      <c r="C84" t="inlineStr">
        <is>
          <t>0817614916</t>
        </is>
      </c>
      <c r="D84" t="inlineStr">
        <is>
          <t>putrasulungcv21@gmail.com</t>
        </is>
      </c>
      <c r="E84" t="inlineStr">
        <is>
          <t>https://lpjk.pu.go.id/search-badan-usaha-detail/QWEzcFhIR0VFZXplenZ0NTJFMjZhdz09</t>
        </is>
      </c>
      <c r="F84" t="n">
        <v>1</v>
      </c>
      <c r="G84" t="inlineStr">
        <is>
          <t>BS001</t>
        </is>
      </c>
      <c r="H84" t="inlineStr">
        <is>
          <t>26 Februari 2014</t>
        </is>
      </c>
      <c r="I84" s="2" t="n">
        <v>46353</v>
      </c>
      <c r="J84" t="inlineStr">
        <is>
          <t>Disetujui</t>
        </is>
      </c>
      <c r="K84" t="n">
        <v>60</v>
      </c>
      <c r="L84" t="inlineStr">
        <is>
          <t>27 November 2026</t>
        </is>
      </c>
      <c r="M84" t="inlineStr">
        <is>
          <t>Konstruksi Bangunan Sipil Jalan</t>
        </is>
      </c>
      <c r="N84" t="inlineStr">
        <is>
          <t>K</t>
        </is>
      </c>
      <c r="O84" t="inlineStr">
        <is>
          <t>20231126</t>
        </is>
      </c>
      <c r="P84" t="inlineStr">
        <is>
          <t>Jawa Barat</t>
        </is>
      </c>
      <c r="Q84" t="inlineStr"/>
    </row>
    <row r="85">
      <c r="A85" t="inlineStr">
        <is>
          <t>PUTRACON PRIMA MANUNGGAL</t>
        </is>
      </c>
      <c r="B85" t="inlineStr">
        <is>
          <t>Kota Adm. Jakarta Barat</t>
        </is>
      </c>
      <c r="C85" t="inlineStr">
        <is>
          <t>02154365637</t>
        </is>
      </c>
      <c r="D85" t="inlineStr">
        <is>
          <t>putraconprima@gmail.com</t>
        </is>
      </c>
      <c r="E85" t="inlineStr">
        <is>
          <t>https://lpjk.pu.go.id/search-badan-usaha-detail/NWhvWTFxUy8vMWlRcGg1eFNRM3kvZz09</t>
        </is>
      </c>
      <c r="F85" t="n">
        <v>1</v>
      </c>
      <c r="G85" t="inlineStr">
        <is>
          <t>BG004</t>
        </is>
      </c>
      <c r="H85" t="inlineStr">
        <is>
          <t>26 Desember 2020</t>
        </is>
      </c>
      <c r="I85" s="2" t="n">
        <v>46353</v>
      </c>
      <c r="J85" t="inlineStr">
        <is>
          <t>Disetujui</t>
        </is>
      </c>
      <c r="K85" t="n">
        <v>60</v>
      </c>
      <c r="L85" t="inlineStr">
        <is>
          <t>27 November 2026</t>
        </is>
      </c>
      <c r="M85" t="inlineStr">
        <is>
          <t>Konstruksi Gedung Perbelanjaan</t>
        </is>
      </c>
      <c r="N85" t="inlineStr">
        <is>
          <t>M</t>
        </is>
      </c>
      <c r="O85" t="inlineStr">
        <is>
          <t>20231115</t>
        </is>
      </c>
      <c r="P85" t="inlineStr">
        <is>
          <t>DKI Jakarta</t>
        </is>
      </c>
      <c r="Q85" t="inlineStr"/>
    </row>
    <row r="86">
      <c r="A86" t="inlineStr">
        <is>
          <t>RAJA KARYA KONSULTAN</t>
        </is>
      </c>
      <c r="B86" t="inlineStr">
        <is>
          <t>Kota Pekanbaru</t>
        </is>
      </c>
      <c r="C86" t="inlineStr">
        <is>
          <t>085272150903</t>
        </is>
      </c>
      <c r="D86" t="inlineStr">
        <is>
          <t>rajakonsultan@yahoo.com</t>
        </is>
      </c>
      <c r="E86" t="inlineStr">
        <is>
          <t>https://lpjk.pu.go.id/search-badan-usaha-detail/QTc1OTNoWGdRYnN1eUxBcUVwOTZrQT09</t>
        </is>
      </c>
      <c r="F86" t="n">
        <v>4</v>
      </c>
      <c r="G86" t="inlineStr">
        <is>
          <t>RK001, RK002, RK003, RK005</t>
        </is>
      </c>
      <c r="H86" t="inlineStr">
        <is>
          <t>26 Desember 2022</t>
        </is>
      </c>
      <c r="I86" s="2" t="n">
        <v>46353</v>
      </c>
      <c r="J86" t="inlineStr">
        <is>
          <t>Pencabutan</t>
        </is>
      </c>
      <c r="K86" t="n">
        <v>60</v>
      </c>
      <c r="L86" t="inlineStr">
        <is>
          <t>27 November 2026</t>
        </is>
      </c>
      <c r="M86" t="inlineStr">
        <is>
          <t>Jasa Rekayasa Konstruksi Bangunan Gedung Hunian dan Non Hunian, Jasa Rekayasa Lainnya, Jasa Rekayasa Pekerjaan Teknik Sipil Sumber Daya Air, Jasa Rekayasa Pekerjaan Teknik Sipil Transportasi</t>
        </is>
      </c>
      <c r="N86" t="inlineStr">
        <is>
          <t>K</t>
        </is>
      </c>
      <c r="O86" t="inlineStr">
        <is>
          <t>20231121</t>
        </is>
      </c>
      <c r="P86" t="inlineStr">
        <is>
          <t>Riau</t>
        </is>
      </c>
      <c r="Q86" t="inlineStr"/>
    </row>
    <row r="87">
      <c r="A87" t="inlineStr">
        <is>
          <t>RANGGA BUANA</t>
        </is>
      </c>
      <c r="B87" t="inlineStr">
        <is>
          <t>Kota Sukabumi</t>
        </is>
      </c>
      <c r="C87" t="inlineStr">
        <is>
          <t>08571230979</t>
        </is>
      </c>
      <c r="D87" t="inlineStr">
        <is>
          <t>ranggabuana720@gmail.com</t>
        </is>
      </c>
      <c r="E87" t="inlineStr">
        <is>
          <t>https://lpjk.pu.go.id/search-badan-usaha-detail/MVgxOHFDb0pGZGZCNVREM0VZQ0ZNQT09</t>
        </is>
      </c>
      <c r="F87" t="n">
        <v>4</v>
      </c>
      <c r="G87" t="inlineStr">
        <is>
          <t>BG002, BG005, BG006, BG009</t>
        </is>
      </c>
      <c r="H87" t="inlineStr">
        <is>
          <t>26 Juni 2023</t>
        </is>
      </c>
      <c r="I87" s="2" t="n">
        <v>46353</v>
      </c>
      <c r="J87" t="inlineStr">
        <is>
          <t>Disetujui</t>
        </is>
      </c>
      <c r="K87" t="n">
        <v>60</v>
      </c>
      <c r="L87" t="inlineStr">
        <is>
          <t>27 November 2026</t>
        </is>
      </c>
      <c r="M87" t="inlineStr">
        <is>
          <t>Konstruksi Gedung Kesehatan, Konstruksi Gedung Lainnya, Konstruksi Gedung Pendidikan, Konstruksi Gedung Perkantoran</t>
        </is>
      </c>
      <c r="N87" t="inlineStr">
        <is>
          <t>K</t>
        </is>
      </c>
      <c r="O87" t="inlineStr">
        <is>
          <t>20231123, 20231127, 20231128</t>
        </is>
      </c>
      <c r="P87" t="inlineStr">
        <is>
          <t>Jawa Barat</t>
        </is>
      </c>
      <c r="Q87" t="inlineStr"/>
    </row>
    <row r="88">
      <c r="A88" t="inlineStr">
        <is>
          <t>RAYYAN ALFATIH</t>
        </is>
      </c>
      <c r="B88" t="inlineStr">
        <is>
          <t>Kab. Pasaman Barat</t>
        </is>
      </c>
      <c r="C88" t="inlineStr">
        <is>
          <t>082389521484</t>
        </is>
      </c>
      <c r="D88" t="inlineStr">
        <is>
          <t>cv.rayyanalfatih@gmail.com</t>
        </is>
      </c>
      <c r="E88" t="inlineStr">
        <is>
          <t>https://lpjk.pu.go.id/search-badan-usaha-detail/MVRSNVFQWlI5MmF1QXhhcFJ2ODlhQT09</t>
        </is>
      </c>
      <c r="F88" t="n">
        <v>2</v>
      </c>
      <c r="G88" t="inlineStr">
        <is>
          <t>BG003</t>
        </is>
      </c>
      <c r="H88" t="inlineStr">
        <is>
          <t>14 September 2023</t>
        </is>
      </c>
      <c r="I88" s="2" t="n">
        <v>46353</v>
      </c>
      <c r="J88" t="inlineStr">
        <is>
          <t>Disetujui</t>
        </is>
      </c>
      <c r="K88" t="n">
        <v>60</v>
      </c>
      <c r="L88" t="inlineStr">
        <is>
          <t>27 November 2026</t>
        </is>
      </c>
      <c r="M88" t="inlineStr">
        <is>
          <t>Konstruksi Gedung Industri</t>
        </is>
      </c>
      <c r="N88" t="inlineStr">
        <is>
          <t>K</t>
        </is>
      </c>
      <c r="O88" t="inlineStr">
        <is>
          <t>20231118</t>
        </is>
      </c>
      <c r="P88" t="inlineStr">
        <is>
          <t>Sumatera Barat</t>
        </is>
      </c>
      <c r="Q88" t="inlineStr"/>
    </row>
    <row r="89">
      <c r="A89" t="inlineStr">
        <is>
          <t>RAYYAN NUSANTARA</t>
        </is>
      </c>
      <c r="B89" t="inlineStr">
        <is>
          <t>Kab. Banyumas</t>
        </is>
      </c>
      <c r="C89" t="inlineStr">
        <is>
          <t>085726564312</t>
        </is>
      </c>
      <c r="D89" t="inlineStr">
        <is>
          <t>CVRAYYANNUSANTARA@gmail.com</t>
        </is>
      </c>
      <c r="E89" t="inlineStr">
        <is>
          <t>https://lpjk.pu.go.id/search-badan-usaha-detail/bDZZdzZLR2gxdCtoTGxrd1kzb0MwUT09</t>
        </is>
      </c>
      <c r="F89" t="n">
        <v>12</v>
      </c>
      <c r="G89" t="inlineStr">
        <is>
          <t>BG002, BG005, BG006, BG009, BS004, BS006</t>
        </is>
      </c>
      <c r="H89" t="inlineStr">
        <is>
          <t>27 Oktober 2023</t>
        </is>
      </c>
      <c r="I89" s="2" t="n">
        <v>46353</v>
      </c>
      <c r="J89" t="inlineStr">
        <is>
          <t>Disetujui</t>
        </is>
      </c>
      <c r="K89" t="n">
        <v>60</v>
      </c>
      <c r="L89" t="inlineStr">
        <is>
          <t>27 November 2026</t>
        </is>
      </c>
      <c r="M89" t="inlineStr">
        <is>
          <t>Konstruksi Bangunan Sipil Prasarana dan Sarana Sistem Pengolahan Limbah Padat, Cair, dan Gas, Konstruksi Gedung Kesehatan, Konstruksi Gedung Lainnya, Konstruksi Gedung Pendidikan, Konstruksi Gedung Perkantoran, Konstruksi Jaringan Irigasi dan Drainase</t>
        </is>
      </c>
      <c r="N89" t="inlineStr">
        <is>
          <t>K</t>
        </is>
      </c>
      <c r="O89" t="inlineStr">
        <is>
          <t>20231125</t>
        </is>
      </c>
      <c r="P89" t="inlineStr">
        <is>
          <t>Jawa Tengah</t>
        </is>
      </c>
      <c r="Q89" t="inlineStr"/>
    </row>
    <row r="90">
      <c r="A90" t="inlineStr">
        <is>
          <t>REJEKI MANDIRI PUTRA</t>
        </is>
      </c>
      <c r="B90" t="inlineStr">
        <is>
          <t>Kota Bandung</t>
        </is>
      </c>
      <c r="C90" t="inlineStr">
        <is>
          <t>081215593939</t>
        </is>
      </c>
      <c r="D90" t="inlineStr">
        <is>
          <t>rmpbdg39@gmail.com</t>
        </is>
      </c>
      <c r="E90" t="inlineStr">
        <is>
          <t>https://lpjk.pu.go.id/search-badan-usaha-detail/SS9jemlEeXpzV3R2UEhQMzMwYm5EUT09</t>
        </is>
      </c>
      <c r="F90" t="n">
        <v>1</v>
      </c>
      <c r="G90" t="inlineStr">
        <is>
          <t>BG005</t>
        </is>
      </c>
      <c r="H90" t="inlineStr">
        <is>
          <t>23 Agustus 2022</t>
        </is>
      </c>
      <c r="I90" s="2" t="n">
        <v>46353</v>
      </c>
      <c r="J90" t="inlineStr">
        <is>
          <t>Disetujui</t>
        </is>
      </c>
      <c r="K90" t="n">
        <v>60</v>
      </c>
      <c r="L90" t="inlineStr">
        <is>
          <t>27 November 2026</t>
        </is>
      </c>
      <c r="M90" t="inlineStr">
        <is>
          <t>Konstruksi Gedung Kesehatan</t>
        </is>
      </c>
      <c r="N90" t="inlineStr">
        <is>
          <t>K</t>
        </is>
      </c>
      <c r="O90" t="inlineStr">
        <is>
          <t>20231127</t>
        </is>
      </c>
      <c r="P90" t="inlineStr">
        <is>
          <t>Jawa Barat</t>
        </is>
      </c>
      <c r="Q90" t="inlineStr"/>
    </row>
    <row r="91">
      <c r="A91" t="inlineStr">
        <is>
          <t>RIDHO STAR</t>
        </is>
      </c>
      <c r="B91" t="inlineStr">
        <is>
          <t>Kota Medan</t>
        </is>
      </c>
      <c r="C91" t="inlineStr">
        <is>
          <t>081396778134</t>
        </is>
      </c>
      <c r="D91" t="inlineStr">
        <is>
          <t>ridhostar50@gmail.com</t>
        </is>
      </c>
      <c r="E91" t="inlineStr">
        <is>
          <t>https://lpjk.pu.go.id/search-badan-usaha-detail/THJHSG1Yc2NsMUt6bFdpcjNMUGFtQT09</t>
        </is>
      </c>
      <c r="F91" t="n">
        <v>1</v>
      </c>
      <c r="G91" t="inlineStr">
        <is>
          <t>BG009</t>
        </is>
      </c>
      <c r="H91" t="inlineStr">
        <is>
          <t>14 November 2011</t>
        </is>
      </c>
      <c r="I91" s="2" t="n">
        <v>46353</v>
      </c>
      <c r="J91" t="inlineStr">
        <is>
          <t>Disetujui</t>
        </is>
      </c>
      <c r="K91" t="n">
        <v>60</v>
      </c>
      <c r="L91" t="inlineStr">
        <is>
          <t>27 November 2026</t>
        </is>
      </c>
      <c r="M91" t="inlineStr">
        <is>
          <t>Konstruksi Gedung Lainnya</t>
        </is>
      </c>
      <c r="N91" t="inlineStr">
        <is>
          <t>K</t>
        </is>
      </c>
      <c r="O91" t="inlineStr">
        <is>
          <t>20231127</t>
        </is>
      </c>
      <c r="P91" t="inlineStr">
        <is>
          <t>Sumatera Utara</t>
        </is>
      </c>
      <c r="Q91" t="inlineStr"/>
    </row>
    <row r="92">
      <c r="A92" t="inlineStr">
        <is>
          <t>SAHABAT NUSANTARA ABADI</t>
        </is>
      </c>
      <c r="B92" t="inlineStr">
        <is>
          <t>Kota Adm. Jakarta Selatan</t>
        </is>
      </c>
      <c r="C92" t="inlineStr">
        <is>
          <t>082220653575</t>
        </is>
      </c>
      <c r="D92" t="inlineStr">
        <is>
          <t>cvsahabatnusantaraabadi@gmail.com</t>
        </is>
      </c>
      <c r="E92" t="inlineStr">
        <is>
          <t>https://lpjk.pu.go.id/search-badan-usaha-detail/em1iZXVZMlE5dWFrSU1lRzBqZWNIUT09</t>
        </is>
      </c>
      <c r="F92" t="n">
        <v>4</v>
      </c>
      <c r="G92" t="inlineStr">
        <is>
          <t>BG001, BG002, BG006, BG009</t>
        </is>
      </c>
      <c r="H92" t="inlineStr">
        <is>
          <t>14 September 2023</t>
        </is>
      </c>
      <c r="I92" s="2" t="n">
        <v>46353</v>
      </c>
      <c r="J92" t="inlineStr">
        <is>
          <t>Disetujui</t>
        </is>
      </c>
      <c r="K92" t="n">
        <v>60</v>
      </c>
      <c r="L92" t="inlineStr">
        <is>
          <t>27 November 2026</t>
        </is>
      </c>
      <c r="M92" t="inlineStr">
        <is>
          <t>Konstruksi Gedung Hunian, Konstruksi Gedung Lainnya, Konstruksi Gedung Pendidikan, Konstruksi Gedung Perkantoran</t>
        </is>
      </c>
      <c r="N92" t="inlineStr">
        <is>
          <t>K</t>
        </is>
      </c>
      <c r="O92" t="inlineStr">
        <is>
          <t>20231127</t>
        </is>
      </c>
      <c r="P92" t="inlineStr">
        <is>
          <t>DKI Jakarta</t>
        </is>
      </c>
      <c r="Q92" t="inlineStr"/>
    </row>
    <row r="93">
      <c r="A93" t="inlineStr">
        <is>
          <t>SAPTA GUNA</t>
        </is>
      </c>
      <c r="B93" t="inlineStr">
        <is>
          <t>Kota Malang</t>
        </is>
      </c>
      <c r="C93" t="inlineStr">
        <is>
          <t>081555600738</t>
        </is>
      </c>
      <c r="D93" t="inlineStr">
        <is>
          <t>guna_sapta@yahoo.co.id</t>
        </is>
      </c>
      <c r="E93" t="inlineStr">
        <is>
          <t>https://lpjk.pu.go.id/search-badan-usaha-detail/VlA4elhSZ1JUZlBZRDFDTEFOOHNRZz09</t>
        </is>
      </c>
      <c r="F93" t="n">
        <v>2</v>
      </c>
      <c r="G93" t="inlineStr">
        <is>
          <t>BG001, BG005</t>
        </is>
      </c>
      <c r="H93" t="inlineStr">
        <is>
          <t>20 Juni 1979</t>
        </is>
      </c>
      <c r="I93" s="2" t="n">
        <v>46353</v>
      </c>
      <c r="J93" t="inlineStr">
        <is>
          <t>Disetujui</t>
        </is>
      </c>
      <c r="K93" t="n">
        <v>60</v>
      </c>
      <c r="L93" t="inlineStr">
        <is>
          <t>27 November 2026</t>
        </is>
      </c>
      <c r="M93" t="inlineStr">
        <is>
          <t>Konstruksi Gedung Hunian, Konstruksi Gedung Kesehatan</t>
        </is>
      </c>
      <c r="N93" t="inlineStr">
        <is>
          <t>K</t>
        </is>
      </c>
      <c r="O93" t="inlineStr">
        <is>
          <t>20231127</t>
        </is>
      </c>
      <c r="P93" t="inlineStr">
        <is>
          <t>Jawa Timur</t>
        </is>
      </c>
      <c r="Q93" t="inlineStr"/>
    </row>
    <row r="94">
      <c r="A94" t="inlineStr">
        <is>
          <t>SARANA KONSTRUKSI</t>
        </is>
      </c>
      <c r="B94" t="inlineStr">
        <is>
          <t>Kota Makassar</t>
        </is>
      </c>
      <c r="C94" t="inlineStr">
        <is>
          <t>081242585949</t>
        </is>
      </c>
      <c r="D94" t="inlineStr">
        <is>
          <t>saranakonstruksicv@gmail.com</t>
        </is>
      </c>
      <c r="E94" t="inlineStr">
        <is>
          <t>https://lpjk.pu.go.id/search-badan-usaha-detail/cis1Qzk2VGpBMnFvVFdkV3A3eC9NQT09</t>
        </is>
      </c>
      <c r="F94" t="n">
        <v>5</v>
      </c>
      <c r="G94" t="inlineStr">
        <is>
          <t>BG001, BG002, BG005, BG006, BG009</t>
        </is>
      </c>
      <c r="H94" t="inlineStr">
        <is>
          <t>14 Januari 2002</t>
        </is>
      </c>
      <c r="I94" s="2" t="n">
        <v>46353</v>
      </c>
      <c r="J94" t="inlineStr">
        <is>
          <t>Disetujui, Pencabutan</t>
        </is>
      </c>
      <c r="K94" t="n">
        <v>60</v>
      </c>
      <c r="L94" t="inlineStr">
        <is>
          <t>27 November 2026</t>
        </is>
      </c>
      <c r="M94" t="inlineStr">
        <is>
          <t>Konstruksi Gedung Hunian, Konstruksi Gedung Kesehatan, Konstruksi Gedung Lainnya, Konstruksi Gedung Pendidikan, Konstruksi Gedung Perkantoran</t>
        </is>
      </c>
      <c r="N94" t="inlineStr">
        <is>
          <t>K</t>
        </is>
      </c>
      <c r="O94" t="inlineStr">
        <is>
          <t>20231114, 20231128</t>
        </is>
      </c>
      <c r="P94" t="inlineStr">
        <is>
          <t>Sulawesi Selatan</t>
        </is>
      </c>
      <c r="Q94" t="inlineStr"/>
    </row>
    <row r="95">
      <c r="A95" t="inlineStr">
        <is>
          <t>SATRIAMAS KARYATAMA</t>
        </is>
      </c>
      <c r="B95" t="inlineStr">
        <is>
          <t>Kota Semarang</t>
        </is>
      </c>
      <c r="C95" t="inlineStr">
        <is>
          <t>0243580362</t>
        </is>
      </c>
      <c r="D95" t="inlineStr">
        <is>
          <t>satriamas.karyatama@yahoo.com</t>
        </is>
      </c>
      <c r="E95" t="inlineStr">
        <is>
          <t>https://lpjk.pu.go.id/search-badan-usaha-detail/UFVtb21rZWprZGlRNGtyMlgzZldzdz09</t>
        </is>
      </c>
      <c r="F95" t="n">
        <v>1</v>
      </c>
      <c r="G95" t="inlineStr">
        <is>
          <t>BG006</t>
        </is>
      </c>
      <c r="H95" t="inlineStr">
        <is>
          <t>21 Juni 2003</t>
        </is>
      </c>
      <c r="I95" s="2" t="n">
        <v>46353</v>
      </c>
      <c r="J95" t="inlineStr">
        <is>
          <t>Disetujui</t>
        </is>
      </c>
      <c r="K95" t="n">
        <v>60</v>
      </c>
      <c r="L95" t="inlineStr">
        <is>
          <t>27 November 2026</t>
        </is>
      </c>
      <c r="M95" t="inlineStr">
        <is>
          <t>Konstruksi Gedung Pendidikan</t>
        </is>
      </c>
      <c r="N95" t="inlineStr">
        <is>
          <t>M</t>
        </is>
      </c>
      <c r="O95" t="inlineStr">
        <is>
          <t>20231024</t>
        </is>
      </c>
      <c r="P95" t="inlineStr">
        <is>
          <t>Jawa Tengah</t>
        </is>
      </c>
      <c r="Q95" t="inlineStr"/>
    </row>
    <row r="96">
      <c r="A96" t="inlineStr">
        <is>
          <t>SEBELAS PRATAMA</t>
        </is>
      </c>
      <c r="B96" t="inlineStr">
        <is>
          <t>Kota Padang</t>
        </is>
      </c>
      <c r="C96" t="inlineStr">
        <is>
          <t>082271601341</t>
        </is>
      </c>
      <c r="D96" t="inlineStr">
        <is>
          <t>sebelaspratama@gmail.com</t>
        </is>
      </c>
      <c r="E96" t="inlineStr">
        <is>
          <t>https://lpjk.pu.go.id/search-badan-usaha-detail/OHAzaEVlS3VlSk00bjY3ZUxmeGJ3QT09</t>
        </is>
      </c>
      <c r="F96" t="n">
        <v>1</v>
      </c>
      <c r="G96" t="inlineStr">
        <is>
          <t>BG009</t>
        </is>
      </c>
      <c r="H96" t="inlineStr">
        <is>
          <t>23 November 2017</t>
        </is>
      </c>
      <c r="I96" s="2" t="n">
        <v>46353</v>
      </c>
      <c r="J96" t="inlineStr">
        <is>
          <t>Disetujui</t>
        </is>
      </c>
      <c r="K96" t="n">
        <v>60</v>
      </c>
      <c r="L96" t="inlineStr">
        <is>
          <t>27 November 2026</t>
        </is>
      </c>
      <c r="M96" t="inlineStr">
        <is>
          <t>Konstruksi Gedung Lainnya</t>
        </is>
      </c>
      <c r="N96" t="inlineStr">
        <is>
          <t>K</t>
        </is>
      </c>
      <c r="O96" t="inlineStr">
        <is>
          <t>20231127</t>
        </is>
      </c>
      <c r="P96" t="inlineStr">
        <is>
          <t>Sumatera Barat</t>
        </is>
      </c>
      <c r="Q96" t="inlineStr"/>
    </row>
    <row r="97">
      <c r="A97" t="inlineStr">
        <is>
          <t>SEKAWAN JAYA UTAMA</t>
        </is>
      </c>
      <c r="B97" t="inlineStr">
        <is>
          <t>Kab. Jembrana</t>
        </is>
      </c>
      <c r="C97" t="inlineStr">
        <is>
          <t>085303620071</t>
        </is>
      </c>
      <c r="D97" t="inlineStr">
        <is>
          <t>sekawanjayautama.ngr@gmail.com</t>
        </is>
      </c>
      <c r="E97" t="inlineStr">
        <is>
          <t>https://lpjk.pu.go.id/search-badan-usaha-detail/SksxaTZOcDVpd2ZnZFBxU3lhOXlrZz09</t>
        </is>
      </c>
      <c r="F97" t="n">
        <v>4</v>
      </c>
      <c r="G97" t="inlineStr">
        <is>
          <t>BG001, BG004</t>
        </is>
      </c>
      <c r="H97" t="inlineStr">
        <is>
          <t>24 Februari 2003</t>
        </is>
      </c>
      <c r="I97" s="2" t="n">
        <v>46353</v>
      </c>
      <c r="J97" t="inlineStr">
        <is>
          <t>Disetujui</t>
        </is>
      </c>
      <c r="K97" t="n">
        <v>60</v>
      </c>
      <c r="L97" t="inlineStr">
        <is>
          <t>27 November 2026</t>
        </is>
      </c>
      <c r="M97" t="inlineStr">
        <is>
          <t>Konstruksi Gedung Hunian, Konstruksi Gedung Perbelanjaan</t>
        </is>
      </c>
      <c r="N97" t="inlineStr">
        <is>
          <t>K</t>
        </is>
      </c>
      <c r="O97" t="inlineStr">
        <is>
          <t>20231121</t>
        </is>
      </c>
      <c r="P97" t="inlineStr">
        <is>
          <t>Bali</t>
        </is>
      </c>
      <c r="Q97" t="inlineStr"/>
    </row>
    <row r="98">
      <c r="A98" t="inlineStr">
        <is>
          <t>SHANGKURIANG KONSTRUKSI INDONESIA</t>
        </is>
      </c>
      <c r="B98" t="inlineStr">
        <is>
          <t>Kota Sorong</t>
        </is>
      </c>
      <c r="C98" t="inlineStr">
        <is>
          <t>081144403040</t>
        </is>
      </c>
      <c r="D98" t="inlineStr">
        <is>
          <t>ptshangkuriangkonstruksiindonesia@gmail.com</t>
        </is>
      </c>
      <c r="E98" t="inlineStr">
        <is>
          <t>https://lpjk.pu.go.id/search-badan-usaha-detail/RytycXM5MDBia2UwcWl1VjlIUFBiZz09</t>
        </is>
      </c>
      <c r="F98" t="n">
        <v>8</v>
      </c>
      <c r="G98" t="inlineStr">
        <is>
          <t>BG002, BG004, BG005, BG006, BG009, BS001, BS002, BS004</t>
        </is>
      </c>
      <c r="H98" t="inlineStr">
        <is>
          <t>21 Agustus 2023</t>
        </is>
      </c>
      <c r="I98" s="2" t="n">
        <v>46353</v>
      </c>
      <c r="J98" t="inlineStr">
        <is>
          <t>Disetujui, Pencabutan</t>
        </is>
      </c>
      <c r="K98" t="n">
        <v>60</v>
      </c>
      <c r="L98" t="inlineStr">
        <is>
          <t>27 November 2026</t>
        </is>
      </c>
      <c r="M98"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98" t="inlineStr">
        <is>
          <t>K</t>
        </is>
      </c>
      <c r="O98" t="inlineStr">
        <is>
          <t>20231126</t>
        </is>
      </c>
      <c r="P98" t="inlineStr">
        <is>
          <t>Papua Barat</t>
        </is>
      </c>
      <c r="Q98" t="inlineStr"/>
    </row>
    <row r="99">
      <c r="A99" t="inlineStr">
        <is>
          <t>SINAR WARINGIN ADIKARYA</t>
        </is>
      </c>
      <c r="B99" t="inlineStr">
        <is>
          <t>Kota Surabaya</t>
        </is>
      </c>
      <c r="C99" t="inlineStr">
        <is>
          <t>0315625265</t>
        </is>
      </c>
      <c r="D99" t="inlineStr">
        <is>
          <t>sinarwaringinadikarya@gmail.com</t>
        </is>
      </c>
      <c r="E99" t="inlineStr">
        <is>
          <t>https://lpjk.pu.go.id/search-badan-usaha-detail/S3JPbjg3U1BWRHVHTlhkYk15d1NMUT09</t>
        </is>
      </c>
      <c r="F99" t="n">
        <v>3</v>
      </c>
      <c r="G99" t="inlineStr">
        <is>
          <t>BG002, BG007, BG009</t>
        </is>
      </c>
      <c r="H99" t="inlineStr">
        <is>
          <t>3 November 1988</t>
        </is>
      </c>
      <c r="I99" s="2" t="n">
        <v>46353</v>
      </c>
      <c r="J99" t="inlineStr">
        <is>
          <t>Disetujui</t>
        </is>
      </c>
      <c r="K99" t="n">
        <v>60</v>
      </c>
      <c r="L99" t="inlineStr">
        <is>
          <t>27 November 2026</t>
        </is>
      </c>
      <c r="M99" t="inlineStr">
        <is>
          <t>Konstruksi Gedung Lainnya, Konstruksi Gedung Penginapan, Konstruksi Gedung Perkantoran</t>
        </is>
      </c>
      <c r="N99" t="inlineStr">
        <is>
          <t>B, M</t>
        </is>
      </c>
      <c r="O99" t="inlineStr">
        <is>
          <t>20230323, 20230324, 20231125</t>
        </is>
      </c>
      <c r="P99" t="inlineStr">
        <is>
          <t>Jawa Timur</t>
        </is>
      </c>
      <c r="Q99" t="inlineStr"/>
    </row>
    <row r="100">
      <c r="A100" t="inlineStr">
        <is>
          <t>SUMBER GUNUNG ARTHA</t>
        </is>
      </c>
      <c r="B100" t="inlineStr">
        <is>
          <t>Kota Cimahi</t>
        </is>
      </c>
      <c r="C100" t="inlineStr">
        <is>
          <t>082117456395</t>
        </is>
      </c>
      <c r="D100" t="inlineStr">
        <is>
          <t>pt.sumbergunungartha@gmail.com</t>
        </is>
      </c>
      <c r="E100" t="inlineStr">
        <is>
          <t>https://lpjk.pu.go.id/search-badan-usaha-detail/OGVacXdvMWVvSGtsTE1CWVlTN0Zwdz09</t>
        </is>
      </c>
      <c r="F100" t="n">
        <v>1</v>
      </c>
      <c r="G100" t="inlineStr">
        <is>
          <t>BG002</t>
        </is>
      </c>
      <c r="H100" t="inlineStr">
        <is>
          <t>3 Mei 2017</t>
        </is>
      </c>
      <c r="I100" s="2" t="n">
        <v>46353</v>
      </c>
      <c r="J100" t="inlineStr">
        <is>
          <t>Disetujui</t>
        </is>
      </c>
      <c r="K100" t="n">
        <v>60</v>
      </c>
      <c r="L100" t="inlineStr">
        <is>
          <t>27 November 2026</t>
        </is>
      </c>
      <c r="M100" t="inlineStr">
        <is>
          <t>Konstruksi Gedung Perkantoran</t>
        </is>
      </c>
      <c r="N100" t="inlineStr">
        <is>
          <t>K</t>
        </is>
      </c>
      <c r="O100" t="inlineStr">
        <is>
          <t>20231121</t>
        </is>
      </c>
      <c r="P100" t="inlineStr">
        <is>
          <t>Jawa Barat</t>
        </is>
      </c>
      <c r="Q100" t="inlineStr"/>
    </row>
    <row r="101">
      <c r="A101" t="inlineStr">
        <is>
          <t>SUMBER MANDIRI AGUNG</t>
        </is>
      </c>
      <c r="B101" t="inlineStr">
        <is>
          <t>Kota Adm. Jakarta Barat</t>
        </is>
      </c>
      <c r="C101" t="inlineStr">
        <is>
          <t>02150282888</t>
        </is>
      </c>
      <c r="D101" t="inlineStr">
        <is>
          <t>pt.sumbermandiriagung@yahoo.com</t>
        </is>
      </c>
      <c r="E101" t="inlineStr">
        <is>
          <t>https://lpjk.pu.go.id/search-badan-usaha-detail/SUJ3Zk5BdkZxMVp0VnJFY3ZSTUFxUT09</t>
        </is>
      </c>
      <c r="F101" t="n">
        <v>2</v>
      </c>
      <c r="G101" t="inlineStr">
        <is>
          <t>BG001, BG002</t>
        </is>
      </c>
      <c r="H101" t="inlineStr">
        <is>
          <t>9 Mei 2003</t>
        </is>
      </c>
      <c r="I101" s="2" t="n">
        <v>46353</v>
      </c>
      <c r="J101" t="inlineStr">
        <is>
          <t>Disetujui</t>
        </is>
      </c>
      <c r="K101" t="n">
        <v>60</v>
      </c>
      <c r="L101" t="inlineStr">
        <is>
          <t>27 November 2026</t>
        </is>
      </c>
      <c r="M101" t="inlineStr">
        <is>
          <t>Konstruksi Gedung Hunian, Konstruksi Gedung Perkantoran</t>
        </is>
      </c>
      <c r="N101" t="inlineStr">
        <is>
          <t>K</t>
        </is>
      </c>
      <c r="O101" t="inlineStr">
        <is>
          <t>20231124</t>
        </is>
      </c>
      <c r="P101" t="inlineStr">
        <is>
          <t>DKI Jakarta</t>
        </is>
      </c>
      <c r="Q101" t="inlineStr"/>
    </row>
    <row r="102">
      <c r="A102" t="inlineStr">
        <is>
          <t>SUMBER SARANA MAS ABADI</t>
        </is>
      </c>
      <c r="B102" t="inlineStr">
        <is>
          <t>Kota Makassar</t>
        </is>
      </c>
      <c r="C102" t="inlineStr">
        <is>
          <t>04113624247</t>
        </is>
      </c>
      <c r="D102" t="inlineStr">
        <is>
          <t>ssmamks@gmail.com</t>
        </is>
      </c>
      <c r="E102" t="inlineStr">
        <is>
          <t>https://lpjk.pu.go.id/search-badan-usaha-detail/RXk0MlJBdzBOdllUT2hLTi9RcXpEZz09</t>
        </is>
      </c>
      <c r="F102" t="n">
        <v>1</v>
      </c>
      <c r="G102" t="inlineStr">
        <is>
          <t>BS001</t>
        </is>
      </c>
      <c r="H102" t="inlineStr">
        <is>
          <t>26 Agustus 1999</t>
        </is>
      </c>
      <c r="I102" s="2" t="n">
        <v>46353</v>
      </c>
      <c r="J102" t="inlineStr">
        <is>
          <t>Pencabutan</t>
        </is>
      </c>
      <c r="K102" t="n">
        <v>60</v>
      </c>
      <c r="L102" t="inlineStr">
        <is>
          <t>27 November 2026</t>
        </is>
      </c>
      <c r="M102" t="inlineStr">
        <is>
          <t>Konstruksi Bangunan Sipil Jalan</t>
        </is>
      </c>
      <c r="N102" t="inlineStr">
        <is>
          <t>M</t>
        </is>
      </c>
      <c r="O102" t="inlineStr">
        <is>
          <t>20231120</t>
        </is>
      </c>
      <c r="P102" t="inlineStr">
        <is>
          <t>Sulawesi Selatan</t>
        </is>
      </c>
      <c r="Q102" t="inlineStr"/>
    </row>
    <row r="103">
      <c r="A103" t="inlineStr">
        <is>
          <t>TEGAR SUKSES SEJAHTERA</t>
        </is>
      </c>
      <c r="B103" t="inlineStr">
        <is>
          <t>Kab. Gowa</t>
        </is>
      </c>
      <c r="C103" t="inlineStr">
        <is>
          <t>0811444313</t>
        </is>
      </c>
      <c r="D103" t="inlineStr">
        <is>
          <t>cv.tegarsuksessejahtera2013@gmail.com</t>
        </is>
      </c>
      <c r="E103" t="inlineStr">
        <is>
          <t>https://lpjk.pu.go.id/search-badan-usaha-detail/ZkFMME1rODhDUGRLRTlHMjJjT0IwUT09</t>
        </is>
      </c>
      <c r="F103" t="n">
        <v>6</v>
      </c>
      <c r="G103" t="inlineStr">
        <is>
          <t>BG001, BG002, BG005, BG006, BG009, BS004</t>
        </is>
      </c>
      <c r="H103" t="inlineStr">
        <is>
          <t>29 November 2013</t>
        </is>
      </c>
      <c r="I103" s="2" t="n">
        <v>46353</v>
      </c>
      <c r="J103" t="inlineStr">
        <is>
          <t>Disetujui, Pencabutan</t>
        </is>
      </c>
      <c r="K103" t="n">
        <v>60</v>
      </c>
      <c r="L103" t="inlineStr">
        <is>
          <t>27 November 2026</t>
        </is>
      </c>
      <c r="M103" t="inlineStr">
        <is>
          <t>Konstruksi Gedung Hunian, Konstruksi Gedung Kesehatan, Konstruksi Gedung Lainnya, Konstruksi Gedung Pendidikan, Konstruksi Gedung Perkantoran, Konstruksi Jaringan Irigasi dan Drainase</t>
        </is>
      </c>
      <c r="N103" t="inlineStr">
        <is>
          <t>K</t>
        </is>
      </c>
      <c r="O103" t="inlineStr">
        <is>
          <t>20231126, 20231127, 20231128</t>
        </is>
      </c>
      <c r="P103" t="inlineStr">
        <is>
          <t>Sulawesi Selatan</t>
        </is>
      </c>
      <c r="Q103" t="inlineStr"/>
    </row>
    <row r="104">
      <c r="A104" t="inlineStr">
        <is>
          <t>TIARA TEKNIK</t>
        </is>
      </c>
      <c r="B104" t="inlineStr">
        <is>
          <t>Kota Makassar</t>
        </is>
      </c>
      <c r="C104" t="inlineStr">
        <is>
          <t>085397578199</t>
        </is>
      </c>
      <c r="D104" t="inlineStr">
        <is>
          <t>zdavirmuhammad@gmail.com</t>
        </is>
      </c>
      <c r="E104" t="inlineStr">
        <is>
          <t>https://lpjk.pu.go.id/search-badan-usaha-detail/VFFYeGtDV1ZRN1hIQjZKOWw0cEE4UT09</t>
        </is>
      </c>
      <c r="F104" t="n">
        <v>2</v>
      </c>
      <c r="G104" t="inlineStr">
        <is>
          <t>BS005, BS010</t>
        </is>
      </c>
      <c r="H104" t="inlineStr">
        <is>
          <t>14 Agustus 2007</t>
        </is>
      </c>
      <c r="I104" s="2" t="n">
        <v>46353</v>
      </c>
      <c r="J104" t="inlineStr">
        <is>
          <t>Pembekuan</t>
        </is>
      </c>
      <c r="K104" t="n">
        <v>60</v>
      </c>
      <c r="L104" t="inlineStr">
        <is>
          <t>27 November 2026</t>
        </is>
      </c>
      <c r="M104" t="inlineStr">
        <is>
          <t>Konstruksi Bangunan Prasarana Sumber Daya Air, Konstruksi Bangunan Sipil Pengolahan Air Bersih</t>
        </is>
      </c>
      <c r="N104" t="inlineStr">
        <is>
          <t>M</t>
        </is>
      </c>
      <c r="O104" t="inlineStr">
        <is>
          <t>20231126, 20231128</t>
        </is>
      </c>
      <c r="P104" t="inlineStr">
        <is>
          <t>Sulawesi Selatan</t>
        </is>
      </c>
      <c r="Q104" t="inlineStr"/>
    </row>
    <row r="105">
      <c r="A105" t="inlineStr">
        <is>
          <t>TITIK BIDANG</t>
        </is>
      </c>
      <c r="B105" t="inlineStr">
        <is>
          <t>Kab. Jember</t>
        </is>
      </c>
      <c r="C105" t="inlineStr">
        <is>
          <t>082334955398</t>
        </is>
      </c>
      <c r="D105" t="inlineStr">
        <is>
          <t>titikbidang@gmail.com</t>
        </is>
      </c>
      <c r="E105" t="inlineStr">
        <is>
          <t>https://lpjk.pu.go.id/search-badan-usaha-detail/OWl1L0VaZzNYUU1XZTdpQ2RCWFpEQT09</t>
        </is>
      </c>
      <c r="F105" t="n">
        <v>1</v>
      </c>
      <c r="G105" t="inlineStr">
        <is>
          <t>BG009</t>
        </is>
      </c>
      <c r="H105" t="inlineStr">
        <is>
          <t>6 Juni 2023</t>
        </is>
      </c>
      <c r="I105" s="2" t="n">
        <v>46353</v>
      </c>
      <c r="J105" t="inlineStr">
        <is>
          <t>Disetujui</t>
        </is>
      </c>
      <c r="K105" t="n">
        <v>60</v>
      </c>
      <c r="L105" t="inlineStr">
        <is>
          <t>27 November 2026</t>
        </is>
      </c>
      <c r="M105" t="inlineStr">
        <is>
          <t>Konstruksi Gedung Lainnya</t>
        </is>
      </c>
      <c r="N105" t="inlineStr">
        <is>
          <t>K</t>
        </is>
      </c>
      <c r="O105" t="inlineStr">
        <is>
          <t>20231120</t>
        </is>
      </c>
      <c r="P105" t="inlineStr">
        <is>
          <t>Jawa Timur</t>
        </is>
      </c>
      <c r="Q105" t="inlineStr"/>
    </row>
    <row r="106">
      <c r="A106" t="inlineStr">
        <is>
          <t>TRIDAYA BAKTI NUSA</t>
        </is>
      </c>
      <c r="B106" t="inlineStr">
        <is>
          <t>Kota Adm. Jakarta Selatan</t>
        </is>
      </c>
      <c r="C106" t="inlineStr">
        <is>
          <t>081283780827</t>
        </is>
      </c>
      <c r="D106" t="inlineStr">
        <is>
          <t>pttridayabaktinusa@gmail.com</t>
        </is>
      </c>
      <c r="E106" t="inlineStr">
        <is>
          <t>https://lpjk.pu.go.id/search-badan-usaha-detail/dHdKSmxDZjU2SlFucmp2VTlNa2NIZz09</t>
        </is>
      </c>
      <c r="F106" t="n">
        <v>2</v>
      </c>
      <c r="G106" t="inlineStr">
        <is>
          <t>BS001, BS004</t>
        </is>
      </c>
      <c r="H106" t="inlineStr">
        <is>
          <t>31 Juli 2023</t>
        </is>
      </c>
      <c r="I106" s="2" t="n">
        <v>46353</v>
      </c>
      <c r="J106" t="inlineStr">
        <is>
          <t>Disetujui, Pencabutan</t>
        </is>
      </c>
      <c r="K106" t="n">
        <v>60</v>
      </c>
      <c r="L106" t="inlineStr">
        <is>
          <t>27 November 2026</t>
        </is>
      </c>
      <c r="M106" t="inlineStr">
        <is>
          <t>Konstruksi Bangunan Sipil Jalan, Konstruksi Jaringan Irigasi dan Drainase</t>
        </is>
      </c>
      <c r="N106" t="inlineStr">
        <is>
          <t>K</t>
        </is>
      </c>
      <c r="O106" t="inlineStr">
        <is>
          <t>20231128</t>
        </is>
      </c>
      <c r="P106" t="inlineStr">
        <is>
          <t>DKI Jakarta</t>
        </is>
      </c>
      <c r="Q106" t="inlineStr"/>
    </row>
    <row r="107">
      <c r="A107" t="inlineStr">
        <is>
          <t>UNIVERSAL CIPTA MANDIRI</t>
        </is>
      </c>
      <c r="B107" t="inlineStr">
        <is>
          <t>Kota Bandung</t>
        </is>
      </c>
      <c r="C107" t="inlineStr">
        <is>
          <t>081809698880</t>
        </is>
      </c>
      <c r="D107" t="inlineStr">
        <is>
          <t>a.rafid88@gmail.com</t>
        </is>
      </c>
      <c r="E107" t="inlineStr">
        <is>
          <t>https://lpjk.pu.go.id/search-badan-usaha-detail/bEZHeTVERVVEN2k3elpKTVNKMjVCdz09</t>
        </is>
      </c>
      <c r="F107" t="n">
        <v>2</v>
      </c>
      <c r="G107" t="inlineStr">
        <is>
          <t>BG002</t>
        </is>
      </c>
      <c r="H107" t="inlineStr">
        <is>
          <t>25 Mei 2014</t>
        </is>
      </c>
      <c r="I107" s="2" t="n">
        <v>46353</v>
      </c>
      <c r="J107" t="inlineStr">
        <is>
          <t>Disetujui</t>
        </is>
      </c>
      <c r="K107" t="n">
        <v>60</v>
      </c>
      <c r="L107" t="inlineStr">
        <is>
          <t>27 November 2026</t>
        </is>
      </c>
      <c r="M107" t="inlineStr">
        <is>
          <t>Konstruksi Gedung Perkantoran</t>
        </is>
      </c>
      <c r="N107" t="inlineStr">
        <is>
          <t>K</t>
        </is>
      </c>
      <c r="O107" t="inlineStr">
        <is>
          <t>20231128</t>
        </is>
      </c>
      <c r="P107" t="inlineStr">
        <is>
          <t>Jawa Barat</t>
        </is>
      </c>
      <c r="Q107" t="inlineStr"/>
    </row>
    <row r="108">
      <c r="A108" t="inlineStr">
        <is>
          <t>USAHA JAYA ENGINEERING</t>
        </is>
      </c>
      <c r="B108" t="inlineStr">
        <is>
          <t>Kota Adm. Jakarta Utara</t>
        </is>
      </c>
      <c r="C108" t="inlineStr">
        <is>
          <t>02165837136</t>
        </is>
      </c>
      <c r="D108" t="inlineStr">
        <is>
          <t>usaha.engineering@yahoo.com</t>
        </is>
      </c>
      <c r="E108" t="inlineStr">
        <is>
          <t>https://lpjk.pu.go.id/search-badan-usaha-detail/L1RCdnFkcW9RNVNRWmM5L3Z3a2xTdz09</t>
        </is>
      </c>
      <c r="F108" t="n">
        <v>1</v>
      </c>
      <c r="G108" t="inlineStr">
        <is>
          <t>BG009</t>
        </is>
      </c>
      <c r="H108" t="inlineStr">
        <is>
          <t>8 Februari 2006</t>
        </is>
      </c>
      <c r="I108" s="2" t="n">
        <v>46353</v>
      </c>
      <c r="J108" t="inlineStr">
        <is>
          <t>Pencabutan</t>
        </is>
      </c>
      <c r="K108" t="n">
        <v>60</v>
      </c>
      <c r="L108" t="inlineStr">
        <is>
          <t>27 November 2026</t>
        </is>
      </c>
      <c r="M108" t="inlineStr">
        <is>
          <t>Konstruksi Gedung Lainnya</t>
        </is>
      </c>
      <c r="N108" t="inlineStr">
        <is>
          <t>M</t>
        </is>
      </c>
      <c r="O108" t="inlineStr">
        <is>
          <t>20231108</t>
        </is>
      </c>
      <c r="P108" t="inlineStr">
        <is>
          <t>DKI Jakarta</t>
        </is>
      </c>
      <c r="Q108" t="inlineStr"/>
    </row>
    <row r="109">
      <c r="A109" t="inlineStr">
        <is>
          <t>UTARA DESAIN ARSITEKTUR</t>
        </is>
      </c>
      <c r="B109" t="inlineStr">
        <is>
          <t>Kab. Badung</t>
        </is>
      </c>
      <c r="C109" t="inlineStr">
        <is>
          <t>0361736400</t>
        </is>
      </c>
      <c r="D109" t="inlineStr">
        <is>
          <t>utarabali2023@gmail.com</t>
        </is>
      </c>
      <c r="E109" t="inlineStr">
        <is>
          <t>https://lpjk.pu.go.id/search-badan-usaha-detail/ODJQV0lNS3NKRWEva24vY0M2ZE9oQT09</t>
        </is>
      </c>
      <c r="F109" t="n">
        <v>1</v>
      </c>
      <c r="G109" t="inlineStr">
        <is>
          <t>AR001</t>
        </is>
      </c>
      <c r="H109" t="inlineStr">
        <is>
          <t>30 Maret 2023</t>
        </is>
      </c>
      <c r="I109" s="2" t="n">
        <v>46353</v>
      </c>
      <c r="J109" t="inlineStr">
        <is>
          <t>Disetujui</t>
        </is>
      </c>
      <c r="K109" t="n">
        <v>60</v>
      </c>
      <c r="L109" t="inlineStr">
        <is>
          <t>27 November 2026</t>
        </is>
      </c>
      <c r="M109" t="inlineStr">
        <is>
          <t>Jasa Arsitektural Bangunan Gedung Hunian dan Non Hunian</t>
        </is>
      </c>
      <c r="N109" t="inlineStr">
        <is>
          <t>K</t>
        </is>
      </c>
      <c r="O109" t="inlineStr">
        <is>
          <t>20231121</t>
        </is>
      </c>
      <c r="P109" t="inlineStr">
        <is>
          <t>Bali</t>
        </is>
      </c>
      <c r="Q109" t="inlineStr"/>
    </row>
    <row r="110">
      <c r="A110" t="inlineStr">
        <is>
          <t>WIRA SETIA NEGARA</t>
        </is>
      </c>
      <c r="B110" t="inlineStr">
        <is>
          <t>Kota Pematangsiantar</t>
        </is>
      </c>
      <c r="C110" t="inlineStr">
        <is>
          <t>087876939886</t>
        </is>
      </c>
      <c r="D110" t="inlineStr">
        <is>
          <t>pt.wirasetianegara@yahoo.com</t>
        </is>
      </c>
      <c r="E110" t="inlineStr">
        <is>
          <t>https://lpjk.pu.go.id/search-badan-usaha-detail/U3pwUitmOU5sRytDTytjREUwYkNYQT09</t>
        </is>
      </c>
      <c r="F110" t="n">
        <v>1</v>
      </c>
      <c r="G110" t="inlineStr">
        <is>
          <t>BG002</t>
        </is>
      </c>
      <c r="H110" t="inlineStr">
        <is>
          <t>15 Maret 2022</t>
        </is>
      </c>
      <c r="I110" s="2" t="n">
        <v>46353</v>
      </c>
      <c r="J110" t="inlineStr">
        <is>
          <t>Disetujui</t>
        </is>
      </c>
      <c r="K110" t="n">
        <v>60</v>
      </c>
      <c r="L110" t="inlineStr">
        <is>
          <t>27 November 2026</t>
        </is>
      </c>
      <c r="M110" t="inlineStr">
        <is>
          <t>Konstruksi Gedung Perkantoran</t>
        </is>
      </c>
      <c r="N110" t="inlineStr">
        <is>
          <t>K</t>
        </is>
      </c>
      <c r="O110" t="inlineStr">
        <is>
          <t>20231125</t>
        </is>
      </c>
      <c r="P110" t="inlineStr">
        <is>
          <t>Sumatera Utara</t>
        </is>
      </c>
      <c r="Q110" t="inlineStr"/>
    </row>
    <row r="111">
      <c r="A111" t="inlineStr">
        <is>
          <t>YOSANTAMA</t>
        </is>
      </c>
      <c r="B111" t="inlineStr">
        <is>
          <t>Kota Madiun</t>
        </is>
      </c>
      <c r="C111" t="inlineStr">
        <is>
          <t>0351458338</t>
        </is>
      </c>
      <c r="D111" t="inlineStr">
        <is>
          <t>ptyosantama@yahoo.co.id</t>
        </is>
      </c>
      <c r="E111" t="inlineStr">
        <is>
          <t>https://lpjk.pu.go.id/search-badan-usaha-detail/VFl0QWwxblFQVDFIT0lBWTQzZTBadz09</t>
        </is>
      </c>
      <c r="F111" t="n">
        <v>4</v>
      </c>
      <c r="G111" t="inlineStr">
        <is>
          <t>BG004, BG006</t>
        </is>
      </c>
      <c r="H111" t="inlineStr">
        <is>
          <t>22 Februari 2005</t>
        </is>
      </c>
      <c r="I111" s="2" t="n">
        <v>46353</v>
      </c>
      <c r="J111" t="inlineStr">
        <is>
          <t>Disetujui</t>
        </is>
      </c>
      <c r="K111" t="n">
        <v>60</v>
      </c>
      <c r="L111" t="inlineStr">
        <is>
          <t>27 November 2026</t>
        </is>
      </c>
      <c r="M111" t="inlineStr">
        <is>
          <t>Konstruksi Gedung Pendidikan, Konstruksi Gedung Perbelanjaan</t>
        </is>
      </c>
      <c r="N111" t="inlineStr">
        <is>
          <t>K</t>
        </is>
      </c>
      <c r="O111" t="inlineStr">
        <is>
          <t>20230831</t>
        </is>
      </c>
      <c r="P111" t="inlineStr">
        <is>
          <t>Jawa Timur</t>
        </is>
      </c>
      <c r="Q111" t="inlineStr"/>
    </row>
    <row r="112">
      <c r="A112" t="inlineStr">
        <is>
          <t>ZEKON INDONESIA</t>
        </is>
      </c>
      <c r="B112" t="inlineStr">
        <is>
          <t>Kota Bandung</t>
        </is>
      </c>
      <c r="C112" t="inlineStr">
        <is>
          <t>02263722092</t>
        </is>
      </c>
      <c r="D112" t="inlineStr">
        <is>
          <t>info@zekon.co.id</t>
        </is>
      </c>
      <c r="E112" t="inlineStr">
        <is>
          <t>https://lpjk.pu.go.id/search-badan-usaha-detail/OEFDZ283NHdESlh1N2ZYY1BrcE1Ydz09</t>
        </is>
      </c>
      <c r="F112" t="n">
        <v>1</v>
      </c>
      <c r="G112" t="inlineStr">
        <is>
          <t>BG002</t>
        </is>
      </c>
      <c r="H112" t="inlineStr">
        <is>
          <t>8 Juli 2013</t>
        </is>
      </c>
      <c r="I112" s="2" t="n">
        <v>46353</v>
      </c>
      <c r="J112" t="inlineStr">
        <is>
          <t>Disetujui</t>
        </is>
      </c>
      <c r="K112" t="n">
        <v>60</v>
      </c>
      <c r="L112" t="inlineStr">
        <is>
          <t>27 November 2026</t>
        </is>
      </c>
      <c r="M112" t="inlineStr">
        <is>
          <t>Konstruksi Gedung Perkantoran</t>
        </is>
      </c>
      <c r="N112" t="inlineStr">
        <is>
          <t>K</t>
        </is>
      </c>
      <c r="O112" t="inlineStr">
        <is>
          <t>20231124</t>
        </is>
      </c>
      <c r="P112" t="inlineStr">
        <is>
          <t>Jawa Barat</t>
        </is>
      </c>
      <c r="Q1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8"/>
  <sheetViews>
    <sheetView workbookViewId="0">
      <selection activeCell="A1" sqref="A1"/>
    </sheetView>
  </sheetViews>
  <sheetFormatPr baseColWidth="8" defaultRowHeight="15"/>
  <cols>
    <col width="31" customWidth="1" min="1" max="1"/>
    <col width="27" customWidth="1" min="2" max="2"/>
    <col width="16" customWidth="1" min="3" max="3"/>
    <col width="34" customWidth="1" min="4" max="4"/>
    <col width="50" customWidth="1" min="5" max="5"/>
    <col width="18" customWidth="1" min="6" max="6"/>
    <col width="35"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0"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GALAXY PERSADA</t>
        </is>
      </c>
      <c r="B2" t="inlineStr">
        <is>
          <t>Kota Bekasi</t>
        </is>
      </c>
      <c r="C2" t="inlineStr">
        <is>
          <t>0218203156</t>
        </is>
      </c>
      <c r="D2" t="inlineStr">
        <is>
          <t>ptgalaxypersada1@gmail.com</t>
        </is>
      </c>
      <c r="E2" t="inlineStr">
        <is>
          <t>https://lpjk.pu.go.id/search-badan-usaha-detail/V3oySUg0Ynh0Q1dMTWFXSko4ODBLUT09</t>
        </is>
      </c>
      <c r="F2" t="n">
        <v>1</v>
      </c>
      <c r="G2" t="inlineStr">
        <is>
          <t>BG009</t>
        </is>
      </c>
      <c r="H2" t="inlineStr">
        <is>
          <t>17 Februari 1994</t>
        </is>
      </c>
      <c r="I2" s="2" t="n">
        <v>46323</v>
      </c>
      <c r="J2" t="inlineStr">
        <is>
          <t>Pencabutan</t>
        </is>
      </c>
      <c r="K2" t="n">
        <v>30</v>
      </c>
      <c r="L2" t="inlineStr">
        <is>
          <t>28 Oktober 2026</t>
        </is>
      </c>
      <c r="M2" t="inlineStr">
        <is>
          <t>Konstruksi Gedung Lainnya</t>
        </is>
      </c>
      <c r="N2" t="inlineStr">
        <is>
          <t>M</t>
        </is>
      </c>
      <c r="O2" t="inlineStr">
        <is>
          <t>20231016</t>
        </is>
      </c>
      <c r="P2" t="inlineStr">
        <is>
          <t>Jawa Barat</t>
        </is>
      </c>
      <c r="Q2" t="inlineStr"/>
    </row>
    <row r="3">
      <c r="A3" t="inlineStr">
        <is>
          <t>ARTHA PRIMA RAYA MANDIRI</t>
        </is>
      </c>
      <c r="B3" t="inlineStr">
        <is>
          <t>Kota Palangkaraya</t>
        </is>
      </c>
      <c r="C3" t="inlineStr">
        <is>
          <t>082211863030</t>
        </is>
      </c>
      <c r="D3" t="inlineStr">
        <is>
          <t>arthaprima.rm@yahoo.com</t>
        </is>
      </c>
      <c r="E3" t="inlineStr">
        <is>
          <t>https://lpjk.pu.go.id/search-badan-usaha-detail/OWc4alY2K0V3S2t0c1VoR0pHQWM1dz09</t>
        </is>
      </c>
      <c r="F3" t="n">
        <v>5</v>
      </c>
      <c r="G3" t="inlineStr">
        <is>
          <t>BG002, BG005, BG006, BG009, BS001</t>
        </is>
      </c>
      <c r="H3" t="inlineStr">
        <is>
          <t>17 Oktober 2023</t>
        </is>
      </c>
      <c r="I3" s="2" t="n">
        <v>46323</v>
      </c>
      <c r="J3" t="inlineStr">
        <is>
          <t>Disetujui</t>
        </is>
      </c>
      <c r="K3" t="n">
        <v>30</v>
      </c>
      <c r="L3" t="inlineStr">
        <is>
          <t>28 Oktober 2026</t>
        </is>
      </c>
      <c r="M3" t="inlineStr">
        <is>
          <t>Konstruksi Bangunan Sipil Jalan, Konstruksi Gedung Kesehatan, Konstruksi Gedung Lainnya, Konstruksi Gedung Pendidikan, Konstruksi Gedung Perkantoran</t>
        </is>
      </c>
      <c r="N3" t="inlineStr">
        <is>
          <t>K</t>
        </is>
      </c>
      <c r="O3" t="inlineStr">
        <is>
          <t>20231026</t>
        </is>
      </c>
      <c r="P3" t="inlineStr">
        <is>
          <t>Kalimantan Tengah</t>
        </is>
      </c>
      <c r="Q3" t="inlineStr"/>
    </row>
    <row r="4">
      <c r="A4" t="inlineStr">
        <is>
          <t>ASRI BERKAH</t>
        </is>
      </c>
      <c r="B4" t="inlineStr">
        <is>
          <t>Kota Solok</t>
        </is>
      </c>
      <c r="C4" t="inlineStr">
        <is>
          <t>085356968552</t>
        </is>
      </c>
      <c r="D4" t="inlineStr">
        <is>
          <t>asriberkah4@gmail.com</t>
        </is>
      </c>
      <c r="E4" t="inlineStr">
        <is>
          <t>https://lpjk.pu.go.id/search-badan-usaha-detail/YkVHQmZRQ0YvY2MzNUdDNzZydGdVdz09</t>
        </is>
      </c>
      <c r="F4" t="n">
        <v>3</v>
      </c>
      <c r="G4" t="inlineStr">
        <is>
          <t>BG005, BG009, BS001</t>
        </is>
      </c>
      <c r="H4" t="inlineStr">
        <is>
          <t>10 Agustus 2022</t>
        </is>
      </c>
      <c r="I4" s="2" t="n">
        <v>46323</v>
      </c>
      <c r="J4" t="inlineStr">
        <is>
          <t>Disetujui</t>
        </is>
      </c>
      <c r="K4" t="n">
        <v>30</v>
      </c>
      <c r="L4" t="inlineStr">
        <is>
          <t>28 Oktober 2026</t>
        </is>
      </c>
      <c r="M4" t="inlineStr">
        <is>
          <t>Konstruksi Bangunan Sipil Jalan, Konstruksi Gedung Kesehatan, Konstruksi Gedung Lainnya</t>
        </is>
      </c>
      <c r="N4" t="inlineStr">
        <is>
          <t>K</t>
        </is>
      </c>
      <c r="O4" t="inlineStr">
        <is>
          <t>20231027, 20231028</t>
        </is>
      </c>
      <c r="P4" t="inlineStr">
        <is>
          <t>Sumatera Barat</t>
        </is>
      </c>
      <c r="Q4" t="inlineStr"/>
    </row>
    <row r="5">
      <c r="A5" t="inlineStr">
        <is>
          <t>AZALIA</t>
        </is>
      </c>
      <c r="B5" t="inlineStr">
        <is>
          <t>Kab. Bandung Barat</t>
        </is>
      </c>
      <c r="C5" t="inlineStr">
        <is>
          <t>0226625728</t>
        </is>
      </c>
      <c r="D5" t="inlineStr">
        <is>
          <t>cvazalia62@yahoo.com</t>
        </is>
      </c>
      <c r="E5" t="inlineStr">
        <is>
          <t>https://lpjk.pu.go.id/search-badan-usaha-detail/WnNEanBFVE02dTA4dHBoSmluVi9lUT09</t>
        </is>
      </c>
      <c r="F5" t="n">
        <v>1</v>
      </c>
      <c r="G5" t="inlineStr">
        <is>
          <t>BG006</t>
        </is>
      </c>
      <c r="H5" t="inlineStr">
        <is>
          <t>25 Juli 2007</t>
        </is>
      </c>
      <c r="I5" s="2" t="n">
        <v>46323</v>
      </c>
      <c r="J5" t="inlineStr">
        <is>
          <t>Disetujui</t>
        </is>
      </c>
      <c r="K5" t="n">
        <v>30</v>
      </c>
      <c r="L5" t="inlineStr">
        <is>
          <t>28 Oktober 2026</t>
        </is>
      </c>
      <c r="M5" t="inlineStr">
        <is>
          <t>Konstruksi Gedung Pendidikan</t>
        </is>
      </c>
      <c r="N5" t="inlineStr">
        <is>
          <t>K</t>
        </is>
      </c>
      <c r="O5" t="inlineStr">
        <is>
          <t>20231027</t>
        </is>
      </c>
      <c r="P5" t="inlineStr">
        <is>
          <t>Jawa Barat</t>
        </is>
      </c>
      <c r="Q5" t="inlineStr"/>
    </row>
    <row r="6">
      <c r="A6" t="inlineStr">
        <is>
          <t>BAGINDA JAYA</t>
        </is>
      </c>
      <c r="B6" t="inlineStr">
        <is>
          <t>Kab. Labuhanbatu</t>
        </is>
      </c>
      <c r="C6" t="inlineStr">
        <is>
          <t>0852 6124 2150</t>
        </is>
      </c>
      <c r="D6" t="inlineStr">
        <is>
          <t>ummirafa06@gmail.com</t>
        </is>
      </c>
      <c r="E6" t="inlineStr">
        <is>
          <t>https://lpjk.pu.go.id/search-badan-usaha-detail/bG5MSW9yd1dWNHJDdDBaelRPVG5EUT09</t>
        </is>
      </c>
      <c r="F6" t="n">
        <v>3</v>
      </c>
      <c r="G6" t="inlineStr">
        <is>
          <t>BG001, BG009, BS001</t>
        </is>
      </c>
      <c r="H6" t="inlineStr">
        <is>
          <t>24 Januari 2020</t>
        </is>
      </c>
      <c r="I6" s="2" t="n">
        <v>46323</v>
      </c>
      <c r="J6" t="inlineStr">
        <is>
          <t>Disetujui, Pencabutan</t>
        </is>
      </c>
      <c r="K6" t="n">
        <v>30</v>
      </c>
      <c r="L6" t="inlineStr">
        <is>
          <t>28 Oktober 2026</t>
        </is>
      </c>
      <c r="M6" t="inlineStr">
        <is>
          <t>Konstruksi Bangunan Sipil Jalan, Konstruksi Gedung Hunian, Konstruksi Gedung Lainnya</t>
        </is>
      </c>
      <c r="N6" t="inlineStr">
        <is>
          <t>K</t>
        </is>
      </c>
      <c r="O6" t="inlineStr">
        <is>
          <t>20231028</t>
        </is>
      </c>
      <c r="P6" t="inlineStr">
        <is>
          <t>Sumatera Utara</t>
        </is>
      </c>
      <c r="Q6" t="inlineStr"/>
    </row>
    <row r="7">
      <c r="A7" t="inlineStr">
        <is>
          <t>CAHAYA IBNU JAYA</t>
        </is>
      </c>
      <c r="B7" t="inlineStr">
        <is>
          <t>Kab. Banggai</t>
        </is>
      </c>
      <c r="C7" t="inlineStr">
        <is>
          <t>082291879264</t>
        </is>
      </c>
      <c r="D7" t="inlineStr">
        <is>
          <t>cahayaibnujaya@gmail.com</t>
        </is>
      </c>
      <c r="E7" t="inlineStr">
        <is>
          <t>https://lpjk.pu.go.id/search-badan-usaha-detail/Z0pNanVpTHA3N1JOODE2UHA5ZkRqdz09</t>
        </is>
      </c>
      <c r="F7" t="n">
        <v>5</v>
      </c>
      <c r="G7" t="inlineStr">
        <is>
          <t>BG002, BG005, BG006, BG009, BS004</t>
        </is>
      </c>
      <c r="H7" t="inlineStr">
        <is>
          <t>16 Februari 2021</t>
        </is>
      </c>
      <c r="I7" s="2" t="n">
        <v>46323</v>
      </c>
      <c r="J7" t="inlineStr">
        <is>
          <t>Disetujui</t>
        </is>
      </c>
      <c r="K7" t="n">
        <v>30</v>
      </c>
      <c r="L7" t="inlineStr">
        <is>
          <t>28 Oktober 2026</t>
        </is>
      </c>
      <c r="M7" t="inlineStr">
        <is>
          <t>Konstruksi Gedung Kesehatan, Konstruksi Gedung Lainnya, Konstruksi Gedung Pendidikan, Konstruksi Gedung Perkantoran, Konstruksi Jaringan Irigasi dan Drainase</t>
        </is>
      </c>
      <c r="N7" t="inlineStr">
        <is>
          <t>K</t>
        </is>
      </c>
      <c r="O7" t="inlineStr">
        <is>
          <t>20231011, 20231028</t>
        </is>
      </c>
      <c r="P7" t="inlineStr">
        <is>
          <t>Sulawesi Tengah</t>
        </is>
      </c>
      <c r="Q7" t="inlineStr"/>
    </row>
    <row r="8">
      <c r="A8" t="inlineStr">
        <is>
          <t>CIREMAI KUNINGAN</t>
        </is>
      </c>
      <c r="B8" t="inlineStr">
        <is>
          <t>Kota Palembang</t>
        </is>
      </c>
      <c r="C8" t="inlineStr">
        <is>
          <t>081222109293</t>
        </is>
      </c>
      <c r="D8" t="inlineStr">
        <is>
          <t>herupgrs28@gmail.com</t>
        </is>
      </c>
      <c r="E8" t="inlineStr">
        <is>
          <t>https://lpjk.pu.go.id/search-badan-usaha-detail/aUJsdU9sbFlpOHVIbmhIdjY2UVRldz09</t>
        </is>
      </c>
      <c r="F8" t="n">
        <v>2</v>
      </c>
      <c r="G8" t="inlineStr">
        <is>
          <t>BS004, BS010</t>
        </is>
      </c>
      <c r="H8" t="inlineStr">
        <is>
          <t>10 Juli 2017</t>
        </is>
      </c>
      <c r="I8" s="2" t="n">
        <v>46323</v>
      </c>
      <c r="J8" t="inlineStr">
        <is>
          <t>Disetujui</t>
        </is>
      </c>
      <c r="K8" t="n">
        <v>30</v>
      </c>
      <c r="L8" t="inlineStr">
        <is>
          <t>28 Oktober 2026</t>
        </is>
      </c>
      <c r="M8" t="inlineStr">
        <is>
          <t>Konstruksi Bangunan Prasarana Sumber Daya Air, Konstruksi Jaringan Irigasi dan Drainase</t>
        </is>
      </c>
      <c r="N8" t="inlineStr">
        <is>
          <t>K</t>
        </is>
      </c>
      <c r="O8" t="inlineStr">
        <is>
          <t>20231028</t>
        </is>
      </c>
      <c r="P8" t="inlineStr">
        <is>
          <t>Sumatera Selatan</t>
        </is>
      </c>
      <c r="Q8" t="inlineStr"/>
    </row>
    <row r="9">
      <c r="A9" t="inlineStr">
        <is>
          <t>DARMA BERLIAN</t>
        </is>
      </c>
      <c r="B9" t="inlineStr">
        <is>
          <t>Kab. Solok</t>
        </is>
      </c>
      <c r="C9" t="inlineStr">
        <is>
          <t>081275710918</t>
        </is>
      </c>
      <c r="D9" t="inlineStr">
        <is>
          <t>robbidarma026@gmail.com</t>
        </is>
      </c>
      <c r="E9" t="inlineStr">
        <is>
          <t>https://lpjk.pu.go.id/search-badan-usaha-detail/VURoVW5rRVhpSXdRWm5MejRVZ0E4QT09</t>
        </is>
      </c>
      <c r="F9" t="n">
        <v>1</v>
      </c>
      <c r="G9" t="inlineStr">
        <is>
          <t>BS002</t>
        </is>
      </c>
      <c r="H9" t="inlineStr">
        <is>
          <t>20 Januari 2017</t>
        </is>
      </c>
      <c r="I9" s="2" t="n">
        <v>46323</v>
      </c>
      <c r="J9" t="inlineStr">
        <is>
          <t>Pencabutan</t>
        </is>
      </c>
      <c r="K9" t="n">
        <v>30</v>
      </c>
      <c r="L9" t="inlineStr">
        <is>
          <t>28 Oktober 2026</t>
        </is>
      </c>
      <c r="M9" t="inlineStr">
        <is>
          <t>Bangunan Sipil Jembatan, Jalan Layang, Fly Over, dan Underpass</t>
        </is>
      </c>
      <c r="N9" t="inlineStr">
        <is>
          <t>K</t>
        </is>
      </c>
      <c r="O9" t="inlineStr">
        <is>
          <t>20231027</t>
        </is>
      </c>
      <c r="P9" t="inlineStr">
        <is>
          <t>Sumatera Barat</t>
        </is>
      </c>
      <c r="Q9" t="inlineStr"/>
    </row>
    <row r="10">
      <c r="A10" t="inlineStr">
        <is>
          <t>DEVHA RIZKY UTAMA</t>
        </is>
      </c>
      <c r="B10" t="inlineStr">
        <is>
          <t>Kab. Majalengka</t>
        </is>
      </c>
      <c r="C10" t="inlineStr">
        <is>
          <t>082218156004</t>
        </is>
      </c>
      <c r="D10" t="inlineStr">
        <is>
          <t>devharizkyutama@gmail.com</t>
        </is>
      </c>
      <c r="E10" t="inlineStr">
        <is>
          <t>https://lpjk.pu.go.id/search-badan-usaha-detail/NmpMRG5PWXZCb2lkUndVWmJsR3lKdz09</t>
        </is>
      </c>
      <c r="F10" t="n">
        <v>1</v>
      </c>
      <c r="G10" t="inlineStr">
        <is>
          <t>BG006</t>
        </is>
      </c>
      <c r="H10" t="inlineStr">
        <is>
          <t>30 September 2020</t>
        </is>
      </c>
      <c r="I10" s="2" t="n">
        <v>46323</v>
      </c>
      <c r="J10" t="inlineStr">
        <is>
          <t>Disetujui</t>
        </is>
      </c>
      <c r="K10" t="n">
        <v>30</v>
      </c>
      <c r="L10" t="inlineStr">
        <is>
          <t>28 Oktober 2026</t>
        </is>
      </c>
      <c r="M10" t="inlineStr">
        <is>
          <t>Konstruksi Gedung Pendidikan</t>
        </is>
      </c>
      <c r="N10" t="inlineStr">
        <is>
          <t>K</t>
        </is>
      </c>
      <c r="O10" t="inlineStr">
        <is>
          <t>20230130</t>
        </is>
      </c>
      <c r="P10" t="inlineStr">
        <is>
          <t>Jawa Barat</t>
        </is>
      </c>
      <c r="Q10" t="inlineStr"/>
    </row>
    <row r="11">
      <c r="A11" t="inlineStr">
        <is>
          <t>JAKARTA PROPERTINDO PERSERODA</t>
        </is>
      </c>
      <c r="B11" t="inlineStr">
        <is>
          <t>Kota Adm. Jakarta Pusat</t>
        </is>
      </c>
      <c r="C11" t="inlineStr">
        <is>
          <t>02129625700</t>
        </is>
      </c>
      <c r="D11" t="inlineStr">
        <is>
          <t>info.oss@jakarta-propertindo.com</t>
        </is>
      </c>
      <c r="E11" t="inlineStr">
        <is>
          <t>https://lpjk.pu.go.id/search-badan-usaha-detail/bEFHRTZrMlVselRBS1I3b2ZyRGM5dz09</t>
        </is>
      </c>
      <c r="F11" t="n">
        <v>2</v>
      </c>
      <c r="G11" t="inlineStr">
        <is>
          <t>BS003</t>
        </is>
      </c>
      <c r="H11" t="inlineStr">
        <is>
          <t>5 Agustus 1997</t>
        </is>
      </c>
      <c r="I11" s="2" t="n">
        <v>46323</v>
      </c>
      <c r="J11" t="inlineStr">
        <is>
          <t>Disetujui</t>
        </is>
      </c>
      <c r="K11" t="n">
        <v>30</v>
      </c>
      <c r="L11" t="inlineStr">
        <is>
          <t>28 Oktober 2026</t>
        </is>
      </c>
      <c r="M11" t="inlineStr">
        <is>
          <t>Konstruksi Jalan Rel</t>
        </is>
      </c>
      <c r="N11" t="inlineStr">
        <is>
          <t>K</t>
        </is>
      </c>
      <c r="O11" t="inlineStr">
        <is>
          <t>20231026</t>
        </is>
      </c>
      <c r="P11" t="inlineStr">
        <is>
          <t>DKI Jakarta</t>
        </is>
      </c>
      <c r="Q11" t="inlineStr"/>
    </row>
    <row r="12">
      <c r="A12" t="inlineStr">
        <is>
          <t>JAYA PARUANG</t>
        </is>
      </c>
      <c r="B12" t="inlineStr">
        <is>
          <t>Kab. Kutai Timur</t>
        </is>
      </c>
      <c r="C12" t="inlineStr">
        <is>
          <t>082351991721</t>
        </is>
      </c>
      <c r="D12" t="inlineStr">
        <is>
          <t>jayaparuang@gmail.com</t>
        </is>
      </c>
      <c r="E12" t="inlineStr">
        <is>
          <t>https://lpjk.pu.go.id/search-badan-usaha-detail/bjhqd0htY2htL2d5bUh5WS95S2Rjdz09</t>
        </is>
      </c>
      <c r="F12" t="n">
        <v>3</v>
      </c>
      <c r="G12" t="inlineStr">
        <is>
          <t>BG006, BS001, BS004</t>
        </is>
      </c>
      <c r="H12" t="inlineStr">
        <is>
          <t>26 September 2023</t>
        </is>
      </c>
      <c r="I12" s="2" t="n">
        <v>46323</v>
      </c>
      <c r="J12" t="inlineStr">
        <is>
          <t>Disetujui</t>
        </is>
      </c>
      <c r="K12" t="n">
        <v>30</v>
      </c>
      <c r="L12" t="inlineStr">
        <is>
          <t>28 Oktober 2026</t>
        </is>
      </c>
      <c r="M12" t="inlineStr">
        <is>
          <t>Konstruksi Bangunan Sipil Jalan, Konstruksi Gedung Pendidikan, Konstruksi Jaringan Irigasi dan Drainase</t>
        </is>
      </c>
      <c r="N12" t="inlineStr">
        <is>
          <t>K</t>
        </is>
      </c>
      <c r="O12" t="inlineStr">
        <is>
          <t>20231028</t>
        </is>
      </c>
      <c r="P12" t="inlineStr">
        <is>
          <t>Kalimantan Timur</t>
        </is>
      </c>
      <c r="Q12" t="inlineStr"/>
    </row>
    <row r="13">
      <c r="A13" t="inlineStr">
        <is>
          <t>KARYA PAPINDO UTAMA</t>
        </is>
      </c>
      <c r="B13" t="inlineStr">
        <is>
          <t>Kab. Biak Numfor</t>
        </is>
      </c>
      <c r="C13" t="inlineStr">
        <is>
          <t>081248623317</t>
        </is>
      </c>
      <c r="D13" t="inlineStr">
        <is>
          <t>pt_karyapapindoutama@yahoo.com</t>
        </is>
      </c>
      <c r="E13" t="inlineStr">
        <is>
          <t>https://lpjk.pu.go.id/search-badan-usaha-detail/TE90a0J4L0UzYS96QnlVeGFvVU5CZz09</t>
        </is>
      </c>
      <c r="F13" t="n">
        <v>3</v>
      </c>
      <c r="G13" t="inlineStr">
        <is>
          <t>BG005, BS001, BS005</t>
        </is>
      </c>
      <c r="H13" t="inlineStr">
        <is>
          <t>9 Juni 2021</t>
        </is>
      </c>
      <c r="I13" s="2" t="n">
        <v>46323</v>
      </c>
      <c r="J13" t="inlineStr">
        <is>
          <t>Pencabutan</t>
        </is>
      </c>
      <c r="K13" t="n">
        <v>30</v>
      </c>
      <c r="L13" t="inlineStr">
        <is>
          <t>28 Oktober 2026</t>
        </is>
      </c>
      <c r="M13" t="inlineStr">
        <is>
          <t>Konstruksi Bangunan Sipil Jalan, Konstruksi Bangunan Sipil Pengolahan Air Bersih, Konstruksi Gedung Kesehatan</t>
        </is>
      </c>
      <c r="N13" t="inlineStr">
        <is>
          <t>K</t>
        </is>
      </c>
      <c r="O13" t="inlineStr">
        <is>
          <t>20231019</t>
        </is>
      </c>
      <c r="P13" t="inlineStr">
        <is>
          <t>Papua</t>
        </is>
      </c>
      <c r="Q13" t="inlineStr"/>
    </row>
    <row r="14">
      <c r="A14" t="inlineStr">
        <is>
          <t>KARYATAMA SAVIERA</t>
        </is>
      </c>
      <c r="B14" t="inlineStr">
        <is>
          <t>Kota Palembang</t>
        </is>
      </c>
      <c r="C14" t="inlineStr">
        <is>
          <t>07117426978</t>
        </is>
      </c>
      <c r="D14" t="inlineStr">
        <is>
          <t>info@ptks.id</t>
        </is>
      </c>
      <c r="E14" t="inlineStr">
        <is>
          <t>https://lpjk.pu.go.id/search-badan-usaha-detail/aWFHdmRWMGFlUERrNWQvNVhodlVrQT09</t>
        </is>
      </c>
      <c r="F14" t="n">
        <v>2</v>
      </c>
      <c r="G14" t="inlineStr">
        <is>
          <t>BS001</t>
        </is>
      </c>
      <c r="H14" t="inlineStr">
        <is>
          <t>1 November 2003</t>
        </is>
      </c>
      <c r="I14" s="2" t="n">
        <v>46323</v>
      </c>
      <c r="J14" t="inlineStr">
        <is>
          <t>Pencabutan</t>
        </is>
      </c>
      <c r="K14" t="n">
        <v>30</v>
      </c>
      <c r="L14" t="inlineStr">
        <is>
          <t>28 Oktober 2026</t>
        </is>
      </c>
      <c r="M14" t="inlineStr">
        <is>
          <t>Konstruksi Bangunan Sipil Jalan</t>
        </is>
      </c>
      <c r="N14" t="inlineStr">
        <is>
          <t>M</t>
        </is>
      </c>
      <c r="O14" t="inlineStr">
        <is>
          <t>20231026</t>
        </is>
      </c>
      <c r="P14" t="inlineStr">
        <is>
          <t>Sumatera Selatan</t>
        </is>
      </c>
      <c r="Q14" t="inlineStr"/>
    </row>
    <row r="15">
      <c r="A15" t="inlineStr">
        <is>
          <t>LINTAS PUTRA SENTANA</t>
        </is>
      </c>
      <c r="B15" t="inlineStr">
        <is>
          <t>Kota Tangerang Selatan</t>
        </is>
      </c>
      <c r="C15" t="inlineStr">
        <is>
          <t>0215873066</t>
        </is>
      </c>
      <c r="D15" t="inlineStr">
        <is>
          <t>cvlintasputrasentana@yahoo.com</t>
        </is>
      </c>
      <c r="E15" t="inlineStr">
        <is>
          <t>https://lpjk.pu.go.id/search-badan-usaha-detail/VUU1YnBGeTg1YWxMTVVuL05KSDY0QT09</t>
        </is>
      </c>
      <c r="F15" t="n">
        <v>3</v>
      </c>
      <c r="G15" t="inlineStr">
        <is>
          <t>BG002, BG004, BG009</t>
        </is>
      </c>
      <c r="H15" t="inlineStr">
        <is>
          <t>22 Juni 2012</t>
        </is>
      </c>
      <c r="I15" s="2" t="n">
        <v>46323</v>
      </c>
      <c r="J15" t="inlineStr">
        <is>
          <t>Pencabutan</t>
        </is>
      </c>
      <c r="K15" t="n">
        <v>30</v>
      </c>
      <c r="L15" t="inlineStr">
        <is>
          <t>28 Oktober 2026</t>
        </is>
      </c>
      <c r="M15" t="inlineStr">
        <is>
          <t>Konstruksi Gedung Lainnya, Konstruksi Gedung Perbelanjaan, Konstruksi Gedung Perkantoran</t>
        </is>
      </c>
      <c r="N15" t="inlineStr">
        <is>
          <t>K</t>
        </is>
      </c>
      <c r="O15" t="inlineStr">
        <is>
          <t>20231027</t>
        </is>
      </c>
      <c r="P15" t="inlineStr">
        <is>
          <t>Banten</t>
        </is>
      </c>
      <c r="Q15" t="inlineStr"/>
    </row>
    <row r="16">
      <c r="A16" t="inlineStr">
        <is>
          <t>MAHA AKBAR SEJAHTERA</t>
        </is>
      </c>
      <c r="B16" t="inlineStr">
        <is>
          <t>Kota Medan</t>
        </is>
      </c>
      <c r="C16" t="inlineStr">
        <is>
          <t>06142784599</t>
        </is>
      </c>
      <c r="D16" t="inlineStr">
        <is>
          <t>admin@mahasejahtera.com</t>
        </is>
      </c>
      <c r="E16" t="inlineStr">
        <is>
          <t>https://lpjk.pu.go.id/search-badan-usaha-detail/enBJQkRBK0hoWXdEblNOeUxUMThGZz09</t>
        </is>
      </c>
      <c r="F16" t="n">
        <v>1</v>
      </c>
      <c r="G16" t="inlineStr">
        <is>
          <t>BS001</t>
        </is>
      </c>
      <c r="H16" t="inlineStr">
        <is>
          <t>16 Januari 2019</t>
        </is>
      </c>
      <c r="I16" s="2" t="n">
        <v>46323</v>
      </c>
      <c r="J16" t="inlineStr">
        <is>
          <t>Disetujui</t>
        </is>
      </c>
      <c r="K16" t="n">
        <v>30</v>
      </c>
      <c r="L16" t="inlineStr">
        <is>
          <t>28 Oktober 2026</t>
        </is>
      </c>
      <c r="M16" t="inlineStr">
        <is>
          <t>Konstruksi Bangunan Sipil Jalan</t>
        </is>
      </c>
      <c r="N16" t="inlineStr">
        <is>
          <t>K</t>
        </is>
      </c>
      <c r="O16" t="inlineStr">
        <is>
          <t>20231019</t>
        </is>
      </c>
      <c r="P16" t="inlineStr">
        <is>
          <t>Sumatera Utara</t>
        </is>
      </c>
      <c r="Q16" t="inlineStr"/>
    </row>
    <row r="17">
      <c r="A17" t="inlineStr">
        <is>
          <t>MAHARDHIKA JAYA UTAMA</t>
        </is>
      </c>
      <c r="B17" t="inlineStr">
        <is>
          <t>Kota Adm. Jakarta Selatan</t>
        </is>
      </c>
      <c r="C17" t="inlineStr">
        <is>
          <t>02183782843</t>
        </is>
      </c>
      <c r="D17" t="inlineStr">
        <is>
          <t>mahardhika.jayautama@yahoo.com</t>
        </is>
      </c>
      <c r="E17" t="inlineStr">
        <is>
          <t>https://lpjk.pu.go.id/search-badan-usaha-detail/czhxaW1Zb3ZZbFNoR0s4RTNlQ1lhZz09</t>
        </is>
      </c>
      <c r="F17" t="n">
        <v>6</v>
      </c>
      <c r="G17" t="inlineStr">
        <is>
          <t>BG009, BS001</t>
        </is>
      </c>
      <c r="H17" t="inlineStr">
        <is>
          <t>27 September 2000</t>
        </is>
      </c>
      <c r="I17" s="2" t="n">
        <v>46323</v>
      </c>
      <c r="J17" t="inlineStr">
        <is>
          <t>Disetujui</t>
        </is>
      </c>
      <c r="K17" t="n">
        <v>30</v>
      </c>
      <c r="L17" t="inlineStr">
        <is>
          <t>28 Oktober 2026</t>
        </is>
      </c>
      <c r="M17" t="inlineStr">
        <is>
          <t>Konstruksi Bangunan Sipil Jalan, Konstruksi Gedung Lainnya</t>
        </is>
      </c>
      <c r="N17" t="inlineStr">
        <is>
          <t>M</t>
        </is>
      </c>
      <c r="O17" t="inlineStr">
        <is>
          <t>20231025</t>
        </is>
      </c>
      <c r="P17" t="inlineStr">
        <is>
          <t>DKI Jakarta</t>
        </is>
      </c>
      <c r="Q17" t="inlineStr"/>
    </row>
    <row r="18">
      <c r="A18" t="inlineStr">
        <is>
          <t>MENARA CITRA UTAMA</t>
        </is>
      </c>
      <c r="B18" t="inlineStr">
        <is>
          <t>Kota Samarinda</t>
        </is>
      </c>
      <c r="C18" t="inlineStr">
        <is>
          <t>0541220841</t>
        </is>
      </c>
      <c r="D18" t="inlineStr">
        <is>
          <t>menaracitra_utama@yahoo.co.id</t>
        </is>
      </c>
      <c r="E18" t="inlineStr">
        <is>
          <t>https://lpjk.pu.go.id/search-badan-usaha-detail/RjF5LzJSYVZ4a1BwZktjM1IycW1ZZz09</t>
        </is>
      </c>
      <c r="F18" t="n">
        <v>1</v>
      </c>
      <c r="G18" t="inlineStr">
        <is>
          <t>BG006</t>
        </is>
      </c>
      <c r="H18" t="inlineStr">
        <is>
          <t>9 Januari 2014</t>
        </is>
      </c>
      <c r="I18" s="2" t="n">
        <v>46323</v>
      </c>
      <c r="J18" t="inlineStr">
        <is>
          <t>Pembekuan</t>
        </is>
      </c>
      <c r="K18" t="n">
        <v>30</v>
      </c>
      <c r="L18" t="inlineStr">
        <is>
          <t>28 Oktober 2026</t>
        </is>
      </c>
      <c r="M18" t="inlineStr">
        <is>
          <t>Konstruksi Gedung Pendidikan</t>
        </is>
      </c>
      <c r="N18" t="inlineStr">
        <is>
          <t>K</t>
        </is>
      </c>
      <c r="O18" t="inlineStr">
        <is>
          <t>20231023</t>
        </is>
      </c>
      <c r="P18" t="inlineStr">
        <is>
          <t>Kalimantan Timur</t>
        </is>
      </c>
      <c r="Q18" t="inlineStr"/>
    </row>
    <row r="19">
      <c r="A19" t="inlineStr">
        <is>
          <t>MITRA PANCA SAKTI</t>
        </is>
      </c>
      <c r="B19" t="inlineStr">
        <is>
          <t>Kota Adm. Jakarta Barat</t>
        </is>
      </c>
      <c r="C19" t="inlineStr">
        <is>
          <t>0215451045</t>
        </is>
      </c>
      <c r="D19" t="inlineStr">
        <is>
          <t>mitrapancasakti@gmail.com</t>
        </is>
      </c>
      <c r="E19" t="inlineStr">
        <is>
          <t>https://lpjk.pu.go.id/search-badan-usaha-detail/ck5FNGVPdUxjRE9aRXhSMzVxQ0x3QT09</t>
        </is>
      </c>
      <c r="F19" t="n">
        <v>1</v>
      </c>
      <c r="G19" t="inlineStr">
        <is>
          <t>BG001</t>
        </is>
      </c>
      <c r="H19" t="inlineStr">
        <is>
          <t>26 Oktober 2022</t>
        </is>
      </c>
      <c r="I19" s="2" t="n">
        <v>46323</v>
      </c>
      <c r="J19" t="inlineStr">
        <is>
          <t>Disetujui</t>
        </is>
      </c>
      <c r="K19" t="n">
        <v>30</v>
      </c>
      <c r="L19" t="inlineStr">
        <is>
          <t>28 Oktober 2026</t>
        </is>
      </c>
      <c r="M19" t="inlineStr">
        <is>
          <t>Konstruksi Gedung Hunian</t>
        </is>
      </c>
      <c r="N19" t="inlineStr">
        <is>
          <t>K</t>
        </is>
      </c>
      <c r="O19" t="inlineStr">
        <is>
          <t>20231019</t>
        </is>
      </c>
      <c r="P19" t="inlineStr">
        <is>
          <t>DKI Jakarta</t>
        </is>
      </c>
      <c r="Q19" t="inlineStr"/>
    </row>
    <row r="20">
      <c r="A20" t="inlineStr">
        <is>
          <t>NUGRAHA ADI RAYA</t>
        </is>
      </c>
      <c r="B20" t="inlineStr">
        <is>
          <t>Kota Sukabumi</t>
        </is>
      </c>
      <c r="C20" t="inlineStr">
        <is>
          <t>081320699729</t>
        </is>
      </c>
      <c r="D20" t="inlineStr">
        <is>
          <t>nugrahadiraya@gmail.com</t>
        </is>
      </c>
      <c r="E20" t="inlineStr">
        <is>
          <t>https://lpjk.pu.go.id/search-badan-usaha-detail/cG9RZkdqMEpFVHRibUYxQk1lbFMzUT09</t>
        </is>
      </c>
      <c r="F20" t="n">
        <v>1</v>
      </c>
      <c r="G20" t="inlineStr">
        <is>
          <t>BG006</t>
        </is>
      </c>
      <c r="H20" t="inlineStr">
        <is>
          <t>15 Agustus 1989</t>
        </is>
      </c>
      <c r="I20" s="2" t="n">
        <v>46323</v>
      </c>
      <c r="J20" t="inlineStr">
        <is>
          <t>Pencabutan</t>
        </is>
      </c>
      <c r="K20" t="n">
        <v>30</v>
      </c>
      <c r="L20" t="inlineStr">
        <is>
          <t>28 Oktober 2026</t>
        </is>
      </c>
      <c r="M20" t="inlineStr">
        <is>
          <t>Konstruksi Gedung Pendidikan</t>
        </is>
      </c>
      <c r="N20" t="inlineStr">
        <is>
          <t>B</t>
        </is>
      </c>
      <c r="O20" t="inlineStr">
        <is>
          <t>20230519</t>
        </is>
      </c>
      <c r="P20" t="inlineStr">
        <is>
          <t>Jawa Barat</t>
        </is>
      </c>
      <c r="Q20" t="inlineStr"/>
    </row>
    <row r="21">
      <c r="A21" t="inlineStr">
        <is>
          <t>NUR ISTIQOMAH</t>
        </is>
      </c>
      <c r="B21" t="inlineStr">
        <is>
          <t>Kab. Trenggalek</t>
        </is>
      </c>
      <c r="C21" t="inlineStr">
        <is>
          <t>085330872251</t>
        </is>
      </c>
      <c r="D21" t="inlineStr">
        <is>
          <t>oktabudyarto08@gmail.com</t>
        </is>
      </c>
      <c r="E21" t="inlineStr">
        <is>
          <t>https://lpjk.pu.go.id/search-badan-usaha-detail/UlU0SERub0xMMHdFL3c1T3R6RGxmUT09</t>
        </is>
      </c>
      <c r="F21" t="n">
        <v>1</v>
      </c>
      <c r="G21" t="inlineStr">
        <is>
          <t>BS001</t>
        </is>
      </c>
      <c r="H21" t="inlineStr">
        <is>
          <t>1 November 2006</t>
        </is>
      </c>
      <c r="I21" s="2" t="n">
        <v>46323</v>
      </c>
      <c r="J21" t="inlineStr">
        <is>
          <t>Disetujui</t>
        </is>
      </c>
      <c r="K21" t="n">
        <v>30</v>
      </c>
      <c r="L21" t="inlineStr">
        <is>
          <t>28 Oktober 2026</t>
        </is>
      </c>
      <c r="M21" t="inlineStr">
        <is>
          <t>Konstruksi Bangunan Sipil Jalan</t>
        </is>
      </c>
      <c r="N21" t="inlineStr">
        <is>
          <t>K</t>
        </is>
      </c>
      <c r="O21" t="inlineStr">
        <is>
          <t>20231028</t>
        </is>
      </c>
      <c r="P21" t="inlineStr">
        <is>
          <t>Jawa Timur</t>
        </is>
      </c>
      <c r="Q21" t="inlineStr"/>
    </row>
    <row r="22">
      <c r="A22" t="inlineStr">
        <is>
          <t>PAKU BANGUN JAYA</t>
        </is>
      </c>
      <c r="B22" t="inlineStr">
        <is>
          <t>Kab. Bengkalis</t>
        </is>
      </c>
      <c r="C22" t="inlineStr">
        <is>
          <t>08127650636</t>
        </is>
      </c>
      <c r="D22" t="inlineStr">
        <is>
          <t>pakubangunjaya.up@gmail.com</t>
        </is>
      </c>
      <c r="E22" t="inlineStr">
        <is>
          <t>https://lpjk.pu.go.id/search-badan-usaha-detail/VnJBYXg3d2V4OHFwQmhzNTY0YU94Zz09</t>
        </is>
      </c>
      <c r="F22" t="n">
        <v>1</v>
      </c>
      <c r="G22" t="inlineStr">
        <is>
          <t>BS001</t>
        </is>
      </c>
      <c r="H22" t="inlineStr">
        <is>
          <t>12 November 2013</t>
        </is>
      </c>
      <c r="I22" s="2" t="n">
        <v>46323</v>
      </c>
      <c r="J22" t="inlineStr">
        <is>
          <t>Disetujui</t>
        </is>
      </c>
      <c r="K22" t="n">
        <v>30</v>
      </c>
      <c r="L22" t="inlineStr">
        <is>
          <t>28 Oktober 2026</t>
        </is>
      </c>
      <c r="M22" t="inlineStr">
        <is>
          <t>Konstruksi Bangunan Sipil Jalan</t>
        </is>
      </c>
      <c r="N22" t="inlineStr">
        <is>
          <t>K</t>
        </is>
      </c>
      <c r="O22" t="inlineStr">
        <is>
          <t>20231026</t>
        </is>
      </c>
      <c r="P22" t="inlineStr">
        <is>
          <t>Riau</t>
        </is>
      </c>
      <c r="Q22" t="inlineStr"/>
    </row>
    <row r="23">
      <c r="A23" t="inlineStr">
        <is>
          <t>RAJAWALI SAKTI</t>
        </is>
      </c>
      <c r="B23" t="inlineStr">
        <is>
          <t>Kab. Kapuas Hulu</t>
        </is>
      </c>
      <c r="C23" t="inlineStr">
        <is>
          <t>081253750958</t>
        </is>
      </c>
      <c r="D23" t="inlineStr">
        <is>
          <t>rajawalisakti180@gmail.com</t>
        </is>
      </c>
      <c r="E23" t="inlineStr">
        <is>
          <t>https://lpjk.pu.go.id/search-badan-usaha-detail/M2tRd25nZmNOVzdJZzlhVE5RZTFrZz09</t>
        </is>
      </c>
      <c r="F23" t="n">
        <v>2</v>
      </c>
      <c r="G23" t="inlineStr">
        <is>
          <t>BS005</t>
        </is>
      </c>
      <c r="H23" t="inlineStr">
        <is>
          <t>8 Januari 2009</t>
        </is>
      </c>
      <c r="I23" s="2" t="n">
        <v>46323</v>
      </c>
      <c r="J23" t="inlineStr">
        <is>
          <t>Disetujui</t>
        </is>
      </c>
      <c r="K23" t="n">
        <v>30</v>
      </c>
      <c r="L23" t="inlineStr">
        <is>
          <t>28 Oktober 2026</t>
        </is>
      </c>
      <c r="M23" t="inlineStr">
        <is>
          <t>Konstruksi Bangunan Sipil Pengolahan Air Bersih</t>
        </is>
      </c>
      <c r="N23" t="inlineStr">
        <is>
          <t>K</t>
        </is>
      </c>
      <c r="O23" t="inlineStr">
        <is>
          <t>20230607</t>
        </is>
      </c>
      <c r="P23" t="inlineStr">
        <is>
          <t>Kalimantan Barat</t>
        </is>
      </c>
      <c r="Q23" t="inlineStr"/>
    </row>
    <row r="24">
      <c r="A24" t="inlineStr">
        <is>
          <t>REKAYASA BUMI PERTIWI</t>
        </is>
      </c>
      <c r="B24" t="inlineStr">
        <is>
          <t>Kota Surabaya</t>
        </is>
      </c>
      <c r="C24" t="inlineStr">
        <is>
          <t>08155099555</t>
        </is>
      </c>
      <c r="D24" t="inlineStr">
        <is>
          <t>rekayasabumipertiwi@gmail.com</t>
        </is>
      </c>
      <c r="E24" t="inlineStr">
        <is>
          <t>https://lpjk.pu.go.id/search-badan-usaha-detail/QjQ1V2VtSXJEcTVYNGoxaGE1am90Zz09</t>
        </is>
      </c>
      <c r="F24" t="n">
        <v>2</v>
      </c>
      <c r="G24" t="inlineStr">
        <is>
          <t>BS002</t>
        </is>
      </c>
      <c r="H24" t="inlineStr">
        <is>
          <t>18 Agustus 1990</t>
        </is>
      </c>
      <c r="I24" s="2" t="n">
        <v>46323</v>
      </c>
      <c r="J24" t="inlineStr">
        <is>
          <t>Pembekuan</t>
        </is>
      </c>
      <c r="K24" t="n">
        <v>30</v>
      </c>
      <c r="L24" t="inlineStr">
        <is>
          <t>28 Oktober 2026</t>
        </is>
      </c>
      <c r="M24" t="inlineStr">
        <is>
          <t>Bangunan Sipil Jembatan, Jalan Layang, Fly Over, dan Underpass</t>
        </is>
      </c>
      <c r="N24" t="inlineStr">
        <is>
          <t>M</t>
        </is>
      </c>
      <c r="O24" t="inlineStr">
        <is>
          <t>20231027</t>
        </is>
      </c>
      <c r="P24" t="inlineStr">
        <is>
          <t>Jawa Timur</t>
        </is>
      </c>
      <c r="Q24" t="inlineStr"/>
    </row>
    <row r="25">
      <c r="A25" t="inlineStr">
        <is>
          <t>REZKY MAULANA</t>
        </is>
      </c>
      <c r="B25" t="inlineStr">
        <is>
          <t>Kab. Barito Kuala</t>
        </is>
      </c>
      <c r="C25" t="inlineStr">
        <is>
          <t>081255996869</t>
        </is>
      </c>
      <c r="D25" t="inlineStr">
        <is>
          <t>cv.rezkymaulana88@gmail.com</t>
        </is>
      </c>
      <c r="E25" t="inlineStr">
        <is>
          <t>https://lpjk.pu.go.id/search-badan-usaha-detail/Sncwb05qRmFWeHQzQUhPQ1NNVXYwdz09</t>
        </is>
      </c>
      <c r="F25" t="n">
        <v>3</v>
      </c>
      <c r="G25" t="inlineStr">
        <is>
          <t>BS001, BS002, BS004</t>
        </is>
      </c>
      <c r="H25" t="inlineStr">
        <is>
          <t>1 Maret 2023</t>
        </is>
      </c>
      <c r="I25" s="2" t="n">
        <v>46323</v>
      </c>
      <c r="J25" t="inlineStr">
        <is>
          <t>Disetujui</t>
        </is>
      </c>
      <c r="K25" t="n">
        <v>30</v>
      </c>
      <c r="L25" t="inlineStr">
        <is>
          <t>28 Oktober 2026</t>
        </is>
      </c>
      <c r="M25" t="inlineStr">
        <is>
          <t>Bangunan Sipil Jembatan, Jalan Layang, Fly Over, dan Underpass, Konstruksi Bangunan Sipil Jalan, Konstruksi Jaringan Irigasi dan Drainase</t>
        </is>
      </c>
      <c r="N25" t="inlineStr">
        <is>
          <t>K</t>
        </is>
      </c>
      <c r="O25" t="inlineStr">
        <is>
          <t>20231025</t>
        </is>
      </c>
      <c r="P25" t="inlineStr">
        <is>
          <t>Kalimantan Selatan</t>
        </is>
      </c>
      <c r="Q25" t="inlineStr"/>
    </row>
    <row r="26">
      <c r="A26" t="inlineStr">
        <is>
          <t>RISMA ADIDAYA</t>
        </is>
      </c>
      <c r="B26" t="inlineStr">
        <is>
          <t>Kota Bandung</t>
        </is>
      </c>
      <c r="C26" t="inlineStr">
        <is>
          <t>081322330111</t>
        </is>
      </c>
      <c r="D26" t="inlineStr">
        <is>
          <t>adidayarisma@gmail.com</t>
        </is>
      </c>
      <c r="E26" t="inlineStr">
        <is>
          <t>https://lpjk.pu.go.id/search-badan-usaha-detail/NWdPMjZtTWpzTktNOFFzL3kzOFBRQT09</t>
        </is>
      </c>
      <c r="F26" t="n">
        <v>2</v>
      </c>
      <c r="G26" t="inlineStr">
        <is>
          <t>BG009, BS004</t>
        </is>
      </c>
      <c r="H26" t="inlineStr">
        <is>
          <t>30 April 2015</t>
        </is>
      </c>
      <c r="I26" s="2" t="n">
        <v>46323</v>
      </c>
      <c r="J26" t="inlineStr">
        <is>
          <t>Disetujui, Pencabutan</t>
        </is>
      </c>
      <c r="K26" t="n">
        <v>30</v>
      </c>
      <c r="L26" t="inlineStr">
        <is>
          <t>28 Oktober 2026</t>
        </is>
      </c>
      <c r="M26" t="inlineStr">
        <is>
          <t>Konstruksi Gedung Lainnya, Konstruksi Jaringan Irigasi dan Drainase</t>
        </is>
      </c>
      <c r="N26" t="inlineStr">
        <is>
          <t>K</t>
        </is>
      </c>
      <c r="O26" t="inlineStr">
        <is>
          <t>20231026</t>
        </is>
      </c>
      <c r="P26" t="inlineStr">
        <is>
          <t>Jawa Barat</t>
        </is>
      </c>
      <c r="Q26" t="inlineStr"/>
    </row>
    <row r="27">
      <c r="A27" t="inlineStr">
        <is>
          <t>SUMBER JAYA MANDIRI</t>
        </is>
      </c>
      <c r="B27" t="inlineStr">
        <is>
          <t>Kota Banjarbaru</t>
        </is>
      </c>
      <c r="C27" t="inlineStr">
        <is>
          <t>081250727274</t>
        </is>
      </c>
      <c r="D27" t="inlineStr">
        <is>
          <t>sumberjaya.mandiri2018@gmail.com</t>
        </is>
      </c>
      <c r="E27" t="inlineStr">
        <is>
          <t>https://lpjk.pu.go.id/search-badan-usaha-detail/dmZTODR0bnBVRVFoU0d6UWpuMjhPZz09</t>
        </is>
      </c>
      <c r="F27" t="n">
        <v>1</v>
      </c>
      <c r="G27" t="inlineStr">
        <is>
          <t>BG009</t>
        </is>
      </c>
      <c r="H27" t="inlineStr">
        <is>
          <t>14 Februari 2018</t>
        </is>
      </c>
      <c r="I27" s="2" t="n">
        <v>46323</v>
      </c>
      <c r="J27" t="inlineStr">
        <is>
          <t>Disetujui</t>
        </is>
      </c>
      <c r="K27" t="n">
        <v>30</v>
      </c>
      <c r="L27" t="inlineStr">
        <is>
          <t>28 Oktober 2026</t>
        </is>
      </c>
      <c r="M27" t="inlineStr">
        <is>
          <t>Konstruksi Gedung Lainnya</t>
        </is>
      </c>
      <c r="N27" t="inlineStr">
        <is>
          <t>K</t>
        </is>
      </c>
      <c r="O27" t="inlineStr">
        <is>
          <t>20231015</t>
        </is>
      </c>
      <c r="P27" t="inlineStr">
        <is>
          <t>Kalimantan Selatan</t>
        </is>
      </c>
      <c r="Q27" t="inlineStr"/>
    </row>
    <row r="28">
      <c r="A28" t="inlineStr">
        <is>
          <t>TAMA PERSADA KONSTRUKSI</t>
        </is>
      </c>
      <c r="B28" t="inlineStr">
        <is>
          <t>Kab. Bantul</t>
        </is>
      </c>
      <c r="C28" t="inlineStr">
        <is>
          <t>082140971711</t>
        </is>
      </c>
      <c r="D28" t="inlineStr">
        <is>
          <t>tamapersada22@gmail.com</t>
        </is>
      </c>
      <c r="E28" t="inlineStr">
        <is>
          <t>https://lpjk.pu.go.id/search-badan-usaha-detail/QTI5eTA0dnJIYlgxcmFhTDh2ZUhZdz09</t>
        </is>
      </c>
      <c r="F28" t="n">
        <v>4</v>
      </c>
      <c r="G28" t="inlineStr">
        <is>
          <t>BG009, BS001, BS002, BS004</t>
        </is>
      </c>
      <c r="H28" t="inlineStr">
        <is>
          <t>20 Juni 2023</t>
        </is>
      </c>
      <c r="I28" s="2" t="n">
        <v>46323</v>
      </c>
      <c r="J28" t="inlineStr">
        <is>
          <t>Disetujui</t>
        </is>
      </c>
      <c r="K28" t="n">
        <v>30</v>
      </c>
      <c r="L28" t="inlineStr">
        <is>
          <t>28 Oktober 2026</t>
        </is>
      </c>
      <c r="M28" t="inlineStr">
        <is>
          <t>Bangunan Sipil Jembatan, Jalan Layang, Fly Over, dan Underpass, Konstruksi Bangunan Sipil Jalan, Konstruksi Gedung Lainnya, Konstruksi Jaringan Irigasi dan Drainase</t>
        </is>
      </c>
      <c r="N28" t="inlineStr">
        <is>
          <t>K</t>
        </is>
      </c>
      <c r="O28" t="inlineStr">
        <is>
          <t>20231023, 20231026</t>
        </is>
      </c>
      <c r="P28" t="inlineStr">
        <is>
          <t>DI Yogyakarta</t>
        </is>
      </c>
      <c r="Q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2026-09-28T00:25:38Z</dcterms:created>
  <dcterms:modified xsi:type="dcterms:W3CDTF">2026-09-28T00:25:38Z</dcterms:modified>
</cp:coreProperties>
</file>