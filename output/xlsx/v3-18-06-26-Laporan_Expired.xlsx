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cols>
    <col width="25" customWidth="1" min="1" max="1"/>
    <col width="25" customWidth="1" min="2" max="2"/>
    <col width="14" customWidth="1" min="3" max="3"/>
    <col width="35" customWidth="1" min="4" max="4"/>
    <col width="50" customWidth="1" min="5" max="5"/>
    <col width="18" customWidth="1" min="6" max="6"/>
    <col width="35" customWidth="1" min="7" max="7"/>
    <col width="20" customWidth="1" min="8" max="8"/>
    <col width="28" customWidth="1" min="9" max="9"/>
    <col width="23" customWidth="1" min="10" max="10"/>
    <col width="11" customWidth="1" min="11" max="11"/>
    <col width="19" customWidth="1" min="12" max="12"/>
    <col width="50" customWidth="1" min="13" max="13"/>
    <col width="13" customWidth="1" min="14" max="14"/>
    <col width="20" customWidth="1" min="15" max="15"/>
    <col width="19" customWidth="1" min="16" max="16"/>
    <col width="15"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YUWANA MARGA</t>
        </is>
      </c>
      <c r="B2" t="inlineStr">
        <is>
          <t>Kota Bekasi</t>
        </is>
      </c>
      <c r="C2" t="inlineStr">
        <is>
          <t>02182623779</t>
        </is>
      </c>
      <c r="D2" t="inlineStr">
        <is>
          <t>cv.yuwana_marga@yahoo.com</t>
        </is>
      </c>
      <c r="E2" t="inlineStr">
        <is>
          <t>https://lpjk.pu.go.id/search-badan-usaha-detail/SEpHRUhtUGJNLzhVY1RLWXk3T1JKUT09</t>
        </is>
      </c>
      <c r="F2" t="n">
        <v>1</v>
      </c>
      <c r="G2" t="inlineStr">
        <is>
          <t>PB010</t>
        </is>
      </c>
      <c r="H2" t="inlineStr">
        <is>
          <t>26 Januari 2012</t>
        </is>
      </c>
      <c r="I2" s="2" t="n">
        <v>46281</v>
      </c>
      <c r="J2" t="inlineStr">
        <is>
          <t>Pencabutan</t>
        </is>
      </c>
      <c r="K2" t="n">
        <v>90</v>
      </c>
      <c r="L2" t="inlineStr">
        <is>
          <t>16 September 2026</t>
        </is>
      </c>
      <c r="M2" t="inlineStr">
        <is>
          <t>Pekerjaan Lanskap, Pertamanan, dan Penanaman Vegetasi</t>
        </is>
      </c>
      <c r="N2" t="inlineStr">
        <is>
          <t>Spesialis</t>
        </is>
      </c>
      <c r="O2" t="inlineStr">
        <is>
          <t>20230914</t>
        </is>
      </c>
      <c r="P2" t="inlineStr">
        <is>
          <t>Jawa Barat</t>
        </is>
      </c>
      <c r="Q2" t="inlineStr"/>
    </row>
    <row r="3">
      <c r="A3" t="inlineStr">
        <is>
          <t>ADE MARENTA</t>
        </is>
      </c>
      <c r="B3" t="inlineStr">
        <is>
          <t>Kota Palu</t>
        </is>
      </c>
      <c r="C3" t="inlineStr">
        <is>
          <t>081245308941</t>
        </is>
      </c>
      <c r="D3" t="inlineStr">
        <is>
          <t>ramamonggo223@gmail.com</t>
        </is>
      </c>
      <c r="E3" t="inlineStr">
        <is>
          <t>https://lpjk.pu.go.id/search-badan-usaha-detail/TzFDdzZpN3lpNlQxbmZhM1JNaWdIQT09</t>
        </is>
      </c>
      <c r="F3" t="n">
        <v>2</v>
      </c>
      <c r="G3" t="inlineStr">
        <is>
          <t>BG009, BS001</t>
        </is>
      </c>
      <c r="H3" t="inlineStr">
        <is>
          <t>16 Januari 2019</t>
        </is>
      </c>
      <c r="I3" s="2" t="n">
        <v>46281</v>
      </c>
      <c r="J3" t="inlineStr">
        <is>
          <t>Disetujui</t>
        </is>
      </c>
      <c r="K3" t="n">
        <v>90</v>
      </c>
      <c r="L3" t="inlineStr">
        <is>
          <t>16 September 2026</t>
        </is>
      </c>
      <c r="M3" t="inlineStr">
        <is>
          <t>Konstruksi Bangunan Sipil Jalan, Konstruksi Gedung Lainnya</t>
        </is>
      </c>
      <c r="N3" t="inlineStr">
        <is>
          <t>K</t>
        </is>
      </c>
      <c r="O3" t="inlineStr">
        <is>
          <t>20230912, 20230913</t>
        </is>
      </c>
      <c r="P3" t="inlineStr">
        <is>
          <t>Sulawesi Tengah</t>
        </is>
      </c>
      <c r="Q3" t="inlineStr"/>
    </row>
    <row r="4">
      <c r="A4" t="inlineStr">
        <is>
          <t>ASSALAM UTAMA</t>
        </is>
      </c>
      <c r="B4" t="inlineStr">
        <is>
          <t>Kab. Trenggalek</t>
        </is>
      </c>
      <c r="C4" t="inlineStr">
        <is>
          <t>082143014978</t>
        </is>
      </c>
      <c r="D4" t="inlineStr">
        <is>
          <t>assalamutama57@gmail.com</t>
        </is>
      </c>
      <c r="E4" t="inlineStr">
        <is>
          <t>https://lpjk.pu.go.id/search-badan-usaha-detail/RlpFNnVBbUh2cHlMMTdRY3dEdUV4UT09</t>
        </is>
      </c>
      <c r="F4" t="n">
        <v>2</v>
      </c>
      <c r="G4" t="inlineStr">
        <is>
          <t>BG002</t>
        </is>
      </c>
      <c r="H4" t="inlineStr">
        <is>
          <t>27 Juli 2022</t>
        </is>
      </c>
      <c r="I4" s="2" t="n">
        <v>46281</v>
      </c>
      <c r="J4" t="inlineStr">
        <is>
          <t>Disetujui</t>
        </is>
      </c>
      <c r="K4" t="n">
        <v>90</v>
      </c>
      <c r="L4" t="inlineStr">
        <is>
          <t>16 September 2026</t>
        </is>
      </c>
      <c r="M4" t="inlineStr">
        <is>
          <t>Konstruksi Gedung Perkantoran</t>
        </is>
      </c>
      <c r="N4" t="inlineStr">
        <is>
          <t>K</t>
        </is>
      </c>
      <c r="O4" t="inlineStr">
        <is>
          <t>20230915</t>
        </is>
      </c>
      <c r="P4" t="inlineStr">
        <is>
          <t>Jawa Timur</t>
        </is>
      </c>
      <c r="Q4" t="inlineStr"/>
    </row>
    <row r="5">
      <c r="A5" t="inlineStr">
        <is>
          <t>AURA MAJU CONSTRUCTION</t>
        </is>
      </c>
      <c r="B5" t="inlineStr">
        <is>
          <t>Kab. Asahan</t>
        </is>
      </c>
      <c r="C5" t="inlineStr">
        <is>
          <t>082280707477</t>
        </is>
      </c>
      <c r="D5" t="inlineStr">
        <is>
          <t>cv.auramajuconstruction@gmail.com</t>
        </is>
      </c>
      <c r="E5" t="inlineStr">
        <is>
          <t>https://lpjk.pu.go.id/search-badan-usaha-detail/eUE5N0x3SmJPS0x6ZUhBZGNCc0trdz09</t>
        </is>
      </c>
      <c r="F5" t="n">
        <v>4</v>
      </c>
      <c r="G5" t="inlineStr">
        <is>
          <t>BG006, BS001, BS004, BS005</t>
        </is>
      </c>
      <c r="H5" t="inlineStr">
        <is>
          <t>7 Agustus 2023</t>
        </is>
      </c>
      <c r="I5" s="2" t="n">
        <v>46281</v>
      </c>
      <c r="J5" t="inlineStr">
        <is>
          <t>Disetujui</t>
        </is>
      </c>
      <c r="K5" t="n">
        <v>90</v>
      </c>
      <c r="L5" t="inlineStr">
        <is>
          <t>16 September 2026</t>
        </is>
      </c>
      <c r="M5" t="inlineStr">
        <is>
          <t>Konstruksi Bangunan Sipil Jalan, Konstruksi Bangunan Sipil Pengolahan Air Bersih, Konstruksi Gedung Pendidikan, Konstruksi Jaringan Irigasi dan Drainase</t>
        </is>
      </c>
      <c r="N5" t="inlineStr">
        <is>
          <t>K</t>
        </is>
      </c>
      <c r="O5" t="inlineStr">
        <is>
          <t>20230911, 20230914</t>
        </is>
      </c>
      <c r="P5" t="inlineStr">
        <is>
          <t>Sumatera Utara</t>
        </is>
      </c>
      <c r="Q5" t="inlineStr"/>
    </row>
    <row r="6">
      <c r="A6" t="inlineStr">
        <is>
          <t>FARHAN KAGO</t>
        </is>
      </c>
      <c r="B6" t="inlineStr">
        <is>
          <t>Kab. Sijunjung</t>
        </is>
      </c>
      <c r="C6" t="inlineStr">
        <is>
          <t>081267329090</t>
        </is>
      </c>
      <c r="D6" t="inlineStr">
        <is>
          <t>edisonchansjj19@gmail.com</t>
        </is>
      </c>
      <c r="E6" t="inlineStr">
        <is>
          <t>https://lpjk.pu.go.id/search-badan-usaha-detail/cVZqWDZsWGJpeURTb2RZQXNlN1lRUT09</t>
        </is>
      </c>
      <c r="F6" t="n">
        <v>3</v>
      </c>
      <c r="G6" t="inlineStr">
        <is>
          <t>BG001, BG005, BG006</t>
        </is>
      </c>
      <c r="H6" t="inlineStr">
        <is>
          <t>15 Januari 2015</t>
        </is>
      </c>
      <c r="I6" s="2" t="n">
        <v>46281</v>
      </c>
      <c r="J6" t="inlineStr">
        <is>
          <t>Disetujui</t>
        </is>
      </c>
      <c r="K6" t="n">
        <v>90</v>
      </c>
      <c r="L6" t="inlineStr">
        <is>
          <t>16 September 2026</t>
        </is>
      </c>
      <c r="M6" t="inlineStr">
        <is>
          <t>Konstruksi Gedung Hunian, Konstruksi Gedung Kesehatan, Konstruksi Gedung Pendidikan</t>
        </is>
      </c>
      <c r="N6" t="inlineStr">
        <is>
          <t>K</t>
        </is>
      </c>
      <c r="O6" t="inlineStr">
        <is>
          <t>20230907, 20230910</t>
        </is>
      </c>
      <c r="P6" t="inlineStr">
        <is>
          <t>Sumatera Barat</t>
        </is>
      </c>
      <c r="Q6" t="inlineStr"/>
    </row>
    <row r="7">
      <c r="A7" t="inlineStr">
        <is>
          <t>KARYA BRAYAN KONSTRUKSI</t>
        </is>
      </c>
      <c r="B7" t="inlineStr">
        <is>
          <t>Kab. Cilacap</t>
        </is>
      </c>
      <c r="C7" t="inlineStr">
        <is>
          <t>081225912291</t>
        </is>
      </c>
      <c r="D7" t="inlineStr">
        <is>
          <t>karyabrayankonstruksi57@gmail.com</t>
        </is>
      </c>
      <c r="E7" t="inlineStr">
        <is>
          <t>https://lpjk.pu.go.id/search-badan-usaha-detail/N2plR3Mxa3lGNXNUNkVZQlRnRUlIdz09</t>
        </is>
      </c>
      <c r="F7" t="n">
        <v>2</v>
      </c>
      <c r="G7" t="inlineStr">
        <is>
          <t>BG004, BS004</t>
        </is>
      </c>
      <c r="H7" t="inlineStr">
        <is>
          <t>14 Februari 2023</t>
        </is>
      </c>
      <c r="I7" s="2" t="n">
        <v>46281</v>
      </c>
      <c r="J7" t="inlineStr">
        <is>
          <t>Disetujui, Pencabutan</t>
        </is>
      </c>
      <c r="K7" t="n">
        <v>90</v>
      </c>
      <c r="L7" t="inlineStr">
        <is>
          <t>16 September 2026</t>
        </is>
      </c>
      <c r="M7" t="inlineStr">
        <is>
          <t>Konstruksi Gedung Perbelanjaan, Konstruksi Jaringan Irigasi dan Drainase</t>
        </is>
      </c>
      <c r="N7" t="inlineStr">
        <is>
          <t>K</t>
        </is>
      </c>
      <c r="O7" t="inlineStr">
        <is>
          <t>20230916</t>
        </is>
      </c>
      <c r="P7" t="inlineStr">
        <is>
          <t>Jawa Tengah</t>
        </is>
      </c>
      <c r="Q7" t="inlineStr"/>
    </row>
    <row r="8">
      <c r="A8" t="inlineStr">
        <is>
          <t>MAN ANA KONSTRUKSI</t>
        </is>
      </c>
      <c r="B8" t="inlineStr">
        <is>
          <t>Kab. Probolinggo</t>
        </is>
      </c>
      <c r="C8" t="inlineStr">
        <is>
          <t>085236557169</t>
        </is>
      </c>
      <c r="D8" t="inlineStr">
        <is>
          <t>mananakonstruksi.cv@gmail.com</t>
        </is>
      </c>
      <c r="E8" t="inlineStr">
        <is>
          <t>https://lpjk.pu.go.id/search-badan-usaha-detail/dkJzNzRKRjVxVDdpMmxxaUoyQU5GZz09</t>
        </is>
      </c>
      <c r="F8" t="n">
        <v>4</v>
      </c>
      <c r="G8" t="inlineStr">
        <is>
          <t>BG004, BG005, BG009, BS004</t>
        </is>
      </c>
      <c r="H8" t="inlineStr">
        <is>
          <t>11 Mei 2022</t>
        </is>
      </c>
      <c r="I8" s="2" t="n">
        <v>46281</v>
      </c>
      <c r="J8" t="inlineStr">
        <is>
          <t>Disetujui</t>
        </is>
      </c>
      <c r="K8" t="n">
        <v>90</v>
      </c>
      <c r="L8" t="inlineStr">
        <is>
          <t>16 September 2026</t>
        </is>
      </c>
      <c r="M8" t="inlineStr">
        <is>
          <t>Konstruksi Gedung Kesehatan, Konstruksi Gedung Lainnya, Konstruksi Gedung Perbelanjaan, Konstruksi Jaringan Irigasi dan Drainase</t>
        </is>
      </c>
      <c r="N8" t="inlineStr">
        <is>
          <t>K</t>
        </is>
      </c>
      <c r="O8" t="inlineStr">
        <is>
          <t>20230914, 20230915</t>
        </is>
      </c>
      <c r="P8" t="inlineStr">
        <is>
          <t>Jawa Timur</t>
        </is>
      </c>
      <c r="Q8" t="inlineStr"/>
    </row>
    <row r="9">
      <c r="A9" t="inlineStr">
        <is>
          <t>MANDALA PURWA PERKASA</t>
        </is>
      </c>
      <c r="B9" t="inlineStr">
        <is>
          <t>Kab. Bandung Barat</t>
        </is>
      </c>
      <c r="C9" t="inlineStr">
        <is>
          <t>087733036002</t>
        </is>
      </c>
      <c r="D9" t="inlineStr">
        <is>
          <t>mandalapurwaperkasa@gmail.com</t>
        </is>
      </c>
      <c r="E9" t="inlineStr">
        <is>
          <t>https://lpjk.pu.go.id/search-badan-usaha-detail/OWxtTFduT2kyWFA2TzViWkY2ZnA2dz09</t>
        </is>
      </c>
      <c r="F9" t="n">
        <v>2</v>
      </c>
      <c r="G9" t="inlineStr">
        <is>
          <t>PL003</t>
        </is>
      </c>
      <c r="H9" t="inlineStr">
        <is>
          <t>25 Agustus 2022</t>
        </is>
      </c>
      <c r="I9" s="2" t="n">
        <v>46281</v>
      </c>
      <c r="J9" t="inlineStr">
        <is>
          <t>Pencabutan</t>
        </is>
      </c>
      <c r="K9" t="n">
        <v>90</v>
      </c>
      <c r="L9" t="inlineStr">
        <is>
          <t>16 September 2026</t>
        </is>
      </c>
      <c r="M9" t="inlineStr">
        <is>
          <t>Penyiapan Lahan Konstruksi</t>
        </is>
      </c>
      <c r="N9" t="inlineStr">
        <is>
          <t>Spesialis</t>
        </is>
      </c>
      <c r="O9" t="inlineStr">
        <is>
          <t>20230915</t>
        </is>
      </c>
      <c r="P9" t="inlineStr">
        <is>
          <t>Jawa Barat</t>
        </is>
      </c>
      <c r="Q9" t="inlineStr"/>
    </row>
    <row r="10">
      <c r="A10" t="inlineStr">
        <is>
          <t>MANUNGGAL KARSA</t>
        </is>
      </c>
      <c r="B10" t="inlineStr">
        <is>
          <t>Kab. Trenggalek</t>
        </is>
      </c>
      <c r="C10" t="inlineStr">
        <is>
          <t>081359739279</t>
        </is>
      </c>
      <c r="D10" t="inlineStr">
        <is>
          <t>cv.manunggalkarsa54@gmail.com</t>
        </is>
      </c>
      <c r="E10" t="inlineStr">
        <is>
          <t>https://lpjk.pu.go.id/search-badan-usaha-detail/YWF6bmwwV0h6UnlRcStXeXJsMjZpQT09</t>
        </is>
      </c>
      <c r="F10" t="n">
        <v>2</v>
      </c>
      <c r="G10" t="inlineStr">
        <is>
          <t>BS004</t>
        </is>
      </c>
      <c r="H10" t="inlineStr">
        <is>
          <t>8 Februari 2007</t>
        </is>
      </c>
      <c r="I10" s="2" t="n">
        <v>46281</v>
      </c>
      <c r="J10" t="inlineStr">
        <is>
          <t>Disetujui</t>
        </is>
      </c>
      <c r="K10" t="n">
        <v>90</v>
      </c>
      <c r="L10" t="inlineStr">
        <is>
          <t>16 September 2026</t>
        </is>
      </c>
      <c r="M10" t="inlineStr">
        <is>
          <t>Konstruksi Jaringan Irigasi dan Drainase</t>
        </is>
      </c>
      <c r="N10" t="inlineStr">
        <is>
          <t>K</t>
        </is>
      </c>
      <c r="O10" t="inlineStr">
        <is>
          <t>20230909</t>
        </is>
      </c>
      <c r="P10" t="inlineStr">
        <is>
          <t>Jawa Timur</t>
        </is>
      </c>
      <c r="Q10" t="inlineStr"/>
    </row>
    <row r="11">
      <c r="A11" t="inlineStr">
        <is>
          <t>MITA REZEKI</t>
        </is>
      </c>
      <c r="B11" t="inlineStr">
        <is>
          <t>Kota Banda Aceh</t>
        </is>
      </c>
      <c r="C11" t="inlineStr">
        <is>
          <t>065122856</t>
        </is>
      </c>
      <c r="D11" t="inlineStr">
        <is>
          <t>pt.mitarezeki@gmail.com</t>
        </is>
      </c>
      <c r="E11" t="inlineStr">
        <is>
          <t>https://lpjk.pu.go.id/search-badan-usaha-detail/Z2xqVkxpRjAwbytRR2hnR2t6L0ZuUT09</t>
        </is>
      </c>
      <c r="F11" t="n">
        <v>1</v>
      </c>
      <c r="G11" t="inlineStr">
        <is>
          <t>BS004</t>
        </is>
      </c>
      <c r="H11" t="inlineStr">
        <is>
          <t>27 Oktober 1980</t>
        </is>
      </c>
      <c r="I11" s="2" t="n">
        <v>46281</v>
      </c>
      <c r="J11" t="inlineStr">
        <is>
          <t>Disetujui</t>
        </is>
      </c>
      <c r="K11" t="n">
        <v>90</v>
      </c>
      <c r="L11" t="inlineStr">
        <is>
          <t>16 September 2026</t>
        </is>
      </c>
      <c r="M11" t="inlineStr">
        <is>
          <t>Konstruksi Jaringan Irigasi dan Drainase</t>
        </is>
      </c>
      <c r="N11" t="inlineStr">
        <is>
          <t>K</t>
        </is>
      </c>
      <c r="O11" t="inlineStr">
        <is>
          <t>20230916</t>
        </is>
      </c>
      <c r="P11" t="inlineStr">
        <is>
          <t>Aceh</t>
        </is>
      </c>
      <c r="Q11" t="inlineStr"/>
    </row>
    <row r="12">
      <c r="A12" t="inlineStr">
        <is>
          <t>MITRA GENERASI MANDIRI</t>
        </is>
      </c>
      <c r="B12" t="inlineStr">
        <is>
          <t>Kota Palangkaraya</t>
        </is>
      </c>
      <c r="C12" t="inlineStr">
        <is>
          <t>082153222235</t>
        </is>
      </c>
      <c r="D12" t="inlineStr">
        <is>
          <t>mitragenerasimandiri@gmail.com</t>
        </is>
      </c>
      <c r="E12" t="inlineStr">
        <is>
          <t>https://lpjk.pu.go.id/search-badan-usaha-detail/NEtySU9MUXl5bnp1b1o3UnpDclZyQT09</t>
        </is>
      </c>
      <c r="F12" t="n">
        <v>1</v>
      </c>
      <c r="G12" t="inlineStr">
        <is>
          <t>BS005</t>
        </is>
      </c>
      <c r="H12" t="inlineStr">
        <is>
          <t>8 Januari 2016</t>
        </is>
      </c>
      <c r="I12" s="2" t="n">
        <v>46281</v>
      </c>
      <c r="J12" t="inlineStr">
        <is>
          <t>Disetujui</t>
        </is>
      </c>
      <c r="K12" t="n">
        <v>90</v>
      </c>
      <c r="L12" t="inlineStr">
        <is>
          <t>16 September 2026</t>
        </is>
      </c>
      <c r="M12" t="inlineStr">
        <is>
          <t>Konstruksi Bangunan Sipil Pengolahan Air Bersih</t>
        </is>
      </c>
      <c r="N12" t="inlineStr">
        <is>
          <t>K</t>
        </is>
      </c>
      <c r="O12" t="inlineStr">
        <is>
          <t>20230916</t>
        </is>
      </c>
      <c r="P12" t="inlineStr">
        <is>
          <t>Kalimantan Tengah</t>
        </is>
      </c>
      <c r="Q12" t="inlineStr"/>
    </row>
    <row r="13">
      <c r="A13" t="inlineStr">
        <is>
          <t>PADJADJARAN</t>
        </is>
      </c>
      <c r="B13" t="inlineStr">
        <is>
          <t>Kab. Tasikmalaya</t>
        </is>
      </c>
      <c r="C13" t="inlineStr">
        <is>
          <t>081220237536</t>
        </is>
      </c>
      <c r="D13" t="inlineStr">
        <is>
          <t>cv.padjadjarankm21@gmail.com</t>
        </is>
      </c>
      <c r="E13" t="inlineStr">
        <is>
          <t>https://lpjk.pu.go.id/search-badan-usaha-detail/eHAzVlNjVUhOaDFFZExrUmRva0Y4UT09</t>
        </is>
      </c>
      <c r="F13" t="n">
        <v>1</v>
      </c>
      <c r="G13" t="inlineStr">
        <is>
          <t>BS004</t>
        </is>
      </c>
      <c r="H13" t="inlineStr">
        <is>
          <t>9 September 1999</t>
        </is>
      </c>
      <c r="I13" s="2" t="n">
        <v>46281</v>
      </c>
      <c r="J13" t="inlineStr">
        <is>
          <t>Disetujui</t>
        </is>
      </c>
      <c r="K13" t="n">
        <v>90</v>
      </c>
      <c r="L13" t="inlineStr">
        <is>
          <t>16 September 2026</t>
        </is>
      </c>
      <c r="M13" t="inlineStr">
        <is>
          <t>Konstruksi Jaringan Irigasi dan Drainase</t>
        </is>
      </c>
      <c r="N13" t="inlineStr">
        <is>
          <t>K</t>
        </is>
      </c>
      <c r="O13" t="inlineStr">
        <is>
          <t>20230630</t>
        </is>
      </c>
      <c r="P13" t="inlineStr">
        <is>
          <t>Jawa Barat</t>
        </is>
      </c>
      <c r="Q13" t="inlineStr"/>
    </row>
    <row r="14">
      <c r="A14" t="inlineStr">
        <is>
          <t>PUTRA KAMPAR ABADI</t>
        </is>
      </c>
      <c r="B14" t="inlineStr">
        <is>
          <t>Kab. Kampar</t>
        </is>
      </c>
      <c r="C14" t="inlineStr">
        <is>
          <t>081371158369</t>
        </is>
      </c>
      <c r="D14" t="inlineStr">
        <is>
          <t>cv.putrakamparabadi@gmail.com</t>
        </is>
      </c>
      <c r="E14" t="inlineStr">
        <is>
          <t>https://lpjk.pu.go.id/search-badan-usaha-detail/SDNrcnJxVFhRdmVFakkwWmpXcDlyUT09</t>
        </is>
      </c>
      <c r="F14" t="n">
        <v>1</v>
      </c>
      <c r="G14" t="inlineStr">
        <is>
          <t>PB010</t>
        </is>
      </c>
      <c r="H14" t="inlineStr">
        <is>
          <t>11 September 2023</t>
        </is>
      </c>
      <c r="I14" s="2" t="n">
        <v>46281</v>
      </c>
      <c r="J14" t="inlineStr">
        <is>
          <t>Pencabutan</t>
        </is>
      </c>
      <c r="K14" t="n">
        <v>90</v>
      </c>
      <c r="L14" t="inlineStr">
        <is>
          <t>16 September 2026</t>
        </is>
      </c>
      <c r="M14" t="inlineStr">
        <is>
          <t>Pekerjaan Lanskap, Pertamanan, dan Penanaman Vegetasi</t>
        </is>
      </c>
      <c r="N14" t="inlineStr">
        <is>
          <t>Spesialis</t>
        </is>
      </c>
      <c r="O14" t="inlineStr">
        <is>
          <t>20230916</t>
        </is>
      </c>
      <c r="P14" t="inlineStr">
        <is>
          <t>Riau</t>
        </is>
      </c>
      <c r="Q14" t="inlineStr"/>
    </row>
    <row r="15">
      <c r="A15" t="inlineStr">
        <is>
          <t>RADJA SINGA</t>
        </is>
      </c>
      <c r="B15" t="inlineStr">
        <is>
          <t>Kab. Karawang</t>
        </is>
      </c>
      <c r="C15" t="inlineStr">
        <is>
          <t>085289412110</t>
        </is>
      </c>
      <c r="D15" t="inlineStr">
        <is>
          <t>cvradjasinga@gmail.com</t>
        </is>
      </c>
      <c r="E15" t="inlineStr">
        <is>
          <t>https://lpjk.pu.go.id/search-badan-usaha-detail/NHBMUkF1bTUzSzZJQ0dpU0NNeFBWUT09</t>
        </is>
      </c>
      <c r="F15" t="n">
        <v>5</v>
      </c>
      <c r="G15" t="inlineStr">
        <is>
          <t>BG001, BG003, BG009, BS001, BS004</t>
        </is>
      </c>
      <c r="H15" t="inlineStr">
        <is>
          <t>5 September 2023</t>
        </is>
      </c>
      <c r="I15" s="2" t="n">
        <v>46281</v>
      </c>
      <c r="J15" t="inlineStr">
        <is>
          <t>Disetujui</t>
        </is>
      </c>
      <c r="K15" t="n">
        <v>90</v>
      </c>
      <c r="L15" t="inlineStr">
        <is>
          <t>16 September 2026</t>
        </is>
      </c>
      <c r="M15" t="inlineStr">
        <is>
          <t>Konstruksi Bangunan Sipil Jalan, Konstruksi Gedung Hunian, Konstruksi Gedung Industri, Konstruksi Gedung Lainnya, Konstruksi Jaringan Irigasi dan Drainase</t>
        </is>
      </c>
      <c r="N15" t="inlineStr">
        <is>
          <t>K</t>
        </is>
      </c>
      <c r="O15" t="inlineStr">
        <is>
          <t>20230915, 20230916</t>
        </is>
      </c>
      <c r="P15" t="inlineStr">
        <is>
          <t>Jawa Barat</t>
        </is>
      </c>
      <c r="Q15" t="inlineStr"/>
    </row>
    <row r="16">
      <c r="A16" t="inlineStr">
        <is>
          <t>RAJAWALI SAKTI</t>
        </is>
      </c>
      <c r="B16" t="inlineStr">
        <is>
          <t>Kab. Mamuju</t>
        </is>
      </c>
      <c r="C16" t="inlineStr">
        <is>
          <t>081343833380</t>
        </is>
      </c>
      <c r="D16" t="inlineStr">
        <is>
          <t>rajawali_sakti49@yahoo.com</t>
        </is>
      </c>
      <c r="E16" t="inlineStr">
        <is>
          <t>https://lpjk.pu.go.id/search-badan-usaha-detail/bGg2OXZCdy8zT1U4RWxIVnNLUDh2Zz09</t>
        </is>
      </c>
      <c r="F16" t="n">
        <v>2</v>
      </c>
      <c r="G16" t="inlineStr">
        <is>
          <t>BG009</t>
        </is>
      </c>
      <c r="H16" t="inlineStr">
        <is>
          <t>29 Desember 2004</t>
        </is>
      </c>
      <c r="I16" s="2" t="n">
        <v>46281</v>
      </c>
      <c r="J16" t="inlineStr">
        <is>
          <t>Disetujui</t>
        </is>
      </c>
      <c r="K16" t="n">
        <v>90</v>
      </c>
      <c r="L16" t="inlineStr">
        <is>
          <t>16 September 2026</t>
        </is>
      </c>
      <c r="M16" t="inlineStr">
        <is>
          <t>Konstruksi Gedung Lainnya</t>
        </is>
      </c>
      <c r="N16" t="inlineStr">
        <is>
          <t>K</t>
        </is>
      </c>
      <c r="O16" t="inlineStr">
        <is>
          <t>20230914</t>
        </is>
      </c>
      <c r="P16" t="inlineStr">
        <is>
          <t>Sulawesi Barat</t>
        </is>
      </c>
      <c r="Q16" t="inlineStr"/>
    </row>
    <row r="17">
      <c r="A17" t="inlineStr">
        <is>
          <t>RANGKAI KARSA BERSAMA</t>
        </is>
      </c>
      <c r="B17" t="inlineStr">
        <is>
          <t>Kota Adm. Jakarta Pusat</t>
        </is>
      </c>
      <c r="C17" t="inlineStr">
        <is>
          <t>081283780827</t>
        </is>
      </c>
      <c r="D17" t="inlineStr">
        <is>
          <t>admin@rakascaffold.com</t>
        </is>
      </c>
      <c r="E17" t="inlineStr">
        <is>
          <t>https://lpjk.pu.go.id/search-badan-usaha-detail/OFprREcyQmhSa1FWQUQwMSt4VXJDdz09</t>
        </is>
      </c>
      <c r="F17" t="n">
        <v>1</v>
      </c>
      <c r="G17" t="inlineStr">
        <is>
          <t>PA001</t>
        </is>
      </c>
      <c r="H17" t="inlineStr">
        <is>
          <t>21 Juli 2023</t>
        </is>
      </c>
      <c r="I17" s="2" t="n">
        <v>46281</v>
      </c>
      <c r="J17" t="inlineStr">
        <is>
          <t>Pembekuan</t>
        </is>
      </c>
      <c r="K17" t="n">
        <v>90</v>
      </c>
      <c r="L17" t="inlineStr">
        <is>
          <t>16 September 2026</t>
        </is>
      </c>
      <c r="M17" t="inlineStr">
        <is>
          <t>Penyewaan Peralatan Konstruksi</t>
        </is>
      </c>
      <c r="N17" t="inlineStr">
        <is>
          <t>Spesialis</t>
        </is>
      </c>
      <c r="O17" t="inlineStr">
        <is>
          <t>20230904</t>
        </is>
      </c>
      <c r="P17" t="inlineStr">
        <is>
          <t>DKI Jakarta</t>
        </is>
      </c>
      <c r="Q17" t="inlineStr"/>
    </row>
    <row r="18">
      <c r="A18" t="inlineStr">
        <is>
          <t>RIZQI AMALIAH</t>
        </is>
      </c>
      <c r="B18" t="inlineStr">
        <is>
          <t>Kab. Kotawaringin Timur</t>
        </is>
      </c>
      <c r="C18" t="inlineStr">
        <is>
          <t>081349025562</t>
        </is>
      </c>
      <c r="D18" t="inlineStr">
        <is>
          <t>rizqiamaliah712@gmail.com</t>
        </is>
      </c>
      <c r="E18" t="inlineStr">
        <is>
          <t>https://lpjk.pu.go.id/search-badan-usaha-detail/TDZ5UmNMYWdnY2Z0QndtU1hWcHVVQT09</t>
        </is>
      </c>
      <c r="F18" t="n">
        <v>2</v>
      </c>
      <c r="G18" t="inlineStr">
        <is>
          <t>BG001, BG006</t>
        </is>
      </c>
      <c r="H18" t="inlineStr">
        <is>
          <t>9 Maret 2012</t>
        </is>
      </c>
      <c r="I18" s="2" t="n">
        <v>46281</v>
      </c>
      <c r="J18" t="inlineStr">
        <is>
          <t>Disetujui, Pencabutan</t>
        </is>
      </c>
      <c r="K18" t="n">
        <v>90</v>
      </c>
      <c r="L18" t="inlineStr">
        <is>
          <t>16 September 2026</t>
        </is>
      </c>
      <c r="M18" t="inlineStr">
        <is>
          <t>Konstruksi Gedung Hunian, Konstruksi Gedung Pendidikan</t>
        </is>
      </c>
      <c r="N18" t="inlineStr">
        <is>
          <t>K</t>
        </is>
      </c>
      <c r="O18" t="inlineStr">
        <is>
          <t>20230913</t>
        </is>
      </c>
      <c r="P18" t="inlineStr">
        <is>
          <t>Kalimantan Tengah</t>
        </is>
      </c>
      <c r="Q18" t="inlineStr"/>
    </row>
    <row r="19">
      <c r="A19" t="inlineStr">
        <is>
          <t>SALSABILA MULTI JASA</t>
        </is>
      </c>
      <c r="B19" t="inlineStr">
        <is>
          <t>Kota Palembang</t>
        </is>
      </c>
      <c r="C19" t="inlineStr">
        <is>
          <t>082181399928</t>
        </is>
      </c>
      <c r="D19" t="inlineStr">
        <is>
          <t>salsabila.multijasa@gmail.com</t>
        </is>
      </c>
      <c r="E19" t="inlineStr">
        <is>
          <t>https://lpjk.pu.go.id/search-badan-usaha-detail/emJRdC96ZWFJME5kaE1tekFlY3VLQT09</t>
        </is>
      </c>
      <c r="F19" t="n">
        <v>1</v>
      </c>
      <c r="G19" t="inlineStr">
        <is>
          <t>BS001</t>
        </is>
      </c>
      <c r="H19" t="inlineStr">
        <is>
          <t>15 Januari 2002</t>
        </is>
      </c>
      <c r="I19" s="2" t="n">
        <v>46281</v>
      </c>
      <c r="J19" t="inlineStr">
        <is>
          <t>Disetujui</t>
        </is>
      </c>
      <c r="K19" t="n">
        <v>90</v>
      </c>
      <c r="L19" t="inlineStr">
        <is>
          <t>16 September 2026</t>
        </is>
      </c>
      <c r="M19" t="inlineStr">
        <is>
          <t>Konstruksi Bangunan Sipil Jalan</t>
        </is>
      </c>
      <c r="N19" t="inlineStr">
        <is>
          <t>K</t>
        </is>
      </c>
      <c r="O19" t="inlineStr">
        <is>
          <t>20230914</t>
        </is>
      </c>
      <c r="P19" t="inlineStr">
        <is>
          <t>Sumatera Selatan</t>
        </is>
      </c>
      <c r="Q19" t="inlineStr"/>
    </row>
    <row r="20">
      <c r="A20" t="inlineStr">
        <is>
          <t>SINAR JAYA</t>
        </is>
      </c>
      <c r="B20" t="inlineStr">
        <is>
          <t>Kota Medan</t>
        </is>
      </c>
      <c r="C20" t="inlineStr">
        <is>
          <t>085830287900</t>
        </is>
      </c>
      <c r="D20" t="inlineStr">
        <is>
          <t>cvsinarjaya@rocketmail.com</t>
        </is>
      </c>
      <c r="E20" t="inlineStr">
        <is>
          <t>https://lpjk.pu.go.id/search-badan-usaha-detail/WnpQSC81alljdE1GeC9BUWZ6RG9NZz09</t>
        </is>
      </c>
      <c r="F20" t="n">
        <v>1</v>
      </c>
      <c r="G20" t="inlineStr">
        <is>
          <t>BG003</t>
        </is>
      </c>
      <c r="H20" t="inlineStr">
        <is>
          <t>18 Oktober 2005</t>
        </is>
      </c>
      <c r="I20" s="2" t="n">
        <v>46281</v>
      </c>
      <c r="J20" t="inlineStr">
        <is>
          <t>Disetujui</t>
        </is>
      </c>
      <c r="K20" t="n">
        <v>90</v>
      </c>
      <c r="L20" t="inlineStr">
        <is>
          <t>16 September 2026</t>
        </is>
      </c>
      <c r="M20" t="inlineStr">
        <is>
          <t>Konstruksi Gedung Industri</t>
        </is>
      </c>
      <c r="N20" t="inlineStr">
        <is>
          <t>K</t>
        </is>
      </c>
      <c r="O20" t="inlineStr">
        <is>
          <t>20230916</t>
        </is>
      </c>
      <c r="P20" t="inlineStr">
        <is>
          <t>Sumatera Utara</t>
        </is>
      </c>
      <c r="Q20" t="inlineStr"/>
    </row>
    <row r="21">
      <c r="A21" t="inlineStr">
        <is>
          <t>SULTAN ADI RAYA</t>
        </is>
      </c>
      <c r="B21" t="inlineStr">
        <is>
          <t>Kab. Bojonegoro</t>
        </is>
      </c>
      <c r="C21" t="inlineStr">
        <is>
          <t>081357793008</t>
        </is>
      </c>
      <c r="D21" t="inlineStr">
        <is>
          <t>cv.sultanadiraya@gmail.com</t>
        </is>
      </c>
      <c r="E21" t="inlineStr">
        <is>
          <t>https://lpjk.pu.go.id/search-badan-usaha-detail/VkRGYlBzTGhTdkZKaTdoY2k4cjlFZz09</t>
        </is>
      </c>
      <c r="F21" t="n">
        <v>2</v>
      </c>
      <c r="G21" t="inlineStr">
        <is>
          <t>BS001, BS010</t>
        </is>
      </c>
      <c r="H21" t="inlineStr">
        <is>
          <t>18 Agustus 2023</t>
        </is>
      </c>
      <c r="I21" s="2" t="n">
        <v>46281</v>
      </c>
      <c r="J21" t="inlineStr">
        <is>
          <t>Disetujui, Pencabutan</t>
        </is>
      </c>
      <c r="K21" t="n">
        <v>90</v>
      </c>
      <c r="L21" t="inlineStr">
        <is>
          <t>16 September 2026</t>
        </is>
      </c>
      <c r="M21" t="inlineStr">
        <is>
          <t>Konstruksi Bangunan Prasarana Sumber Daya Air, Konstruksi Bangunan Sipil Jalan</t>
        </is>
      </c>
      <c r="N21" t="inlineStr">
        <is>
          <t>K</t>
        </is>
      </c>
      <c r="O21" t="inlineStr">
        <is>
          <t>20230916</t>
        </is>
      </c>
      <c r="P21" t="inlineStr">
        <is>
          <t>Jawa Timur</t>
        </is>
      </c>
      <c r="Q21" t="inlineStr"/>
    </row>
    <row r="22">
      <c r="A22" t="inlineStr">
        <is>
          <t>SUN LATIMOJONG</t>
        </is>
      </c>
      <c r="B22" t="inlineStr">
        <is>
          <t>Kota Palopo</t>
        </is>
      </c>
      <c r="C22" t="inlineStr">
        <is>
          <t>085255831966</t>
        </is>
      </c>
      <c r="D22" t="inlineStr">
        <is>
          <t>sapri.geta@yahoo.co.id</t>
        </is>
      </c>
      <c r="E22" t="inlineStr">
        <is>
          <t>https://lpjk.pu.go.id/search-badan-usaha-detail/dmhsZjBTbGlqTFc1bk5zU2x4NXFBZz09</t>
        </is>
      </c>
      <c r="F22" t="n">
        <v>1</v>
      </c>
      <c r="G22" t="inlineStr">
        <is>
          <t>BS001</t>
        </is>
      </c>
      <c r="H22" t="inlineStr">
        <is>
          <t>30 Agustus 2023</t>
        </is>
      </c>
      <c r="I22" s="2" t="n">
        <v>46281</v>
      </c>
      <c r="J22" t="inlineStr">
        <is>
          <t>Disetujui</t>
        </is>
      </c>
      <c r="K22" t="n">
        <v>90</v>
      </c>
      <c r="L22" t="inlineStr">
        <is>
          <t>16 September 2026</t>
        </is>
      </c>
      <c r="M22" t="inlineStr">
        <is>
          <t>Konstruksi Bangunan Sipil Jalan</t>
        </is>
      </c>
      <c r="N22" t="inlineStr">
        <is>
          <t>K</t>
        </is>
      </c>
      <c r="O22" t="inlineStr">
        <is>
          <t>20230916</t>
        </is>
      </c>
      <c r="P22" t="inlineStr">
        <is>
          <t>Sulawesi Selatan</t>
        </is>
      </c>
      <c r="Q22" t="inlineStr"/>
    </row>
    <row r="23">
      <c r="A23" t="inlineStr">
        <is>
          <t>TUAH PERSADA PERKASA</t>
        </is>
      </c>
      <c r="B23" t="inlineStr">
        <is>
          <t>Kab. Aceh Besar</t>
        </is>
      </c>
      <c r="C23" t="inlineStr">
        <is>
          <t>085336730667</t>
        </is>
      </c>
      <c r="D23" t="inlineStr">
        <is>
          <t>tuahpersadaperkasa@gmail.com</t>
        </is>
      </c>
      <c r="E23" t="inlineStr">
        <is>
          <t>https://lpjk.pu.go.id/search-badan-usaha-detail/Wk9naEI2RDlRRTFkU2syajhjQjNwUT09</t>
        </is>
      </c>
      <c r="F23" t="n">
        <v>1</v>
      </c>
      <c r="G23" t="inlineStr">
        <is>
          <t>BG001</t>
        </is>
      </c>
      <c r="H23" t="inlineStr">
        <is>
          <t>4 Juni 2008</t>
        </is>
      </c>
      <c r="I23" s="2" t="n">
        <v>46281</v>
      </c>
      <c r="J23" t="inlineStr">
        <is>
          <t>Disetujui</t>
        </is>
      </c>
      <c r="K23" t="n">
        <v>90</v>
      </c>
      <c r="L23" t="inlineStr">
        <is>
          <t>16 September 2026</t>
        </is>
      </c>
      <c r="M23" t="inlineStr">
        <is>
          <t>Konstruksi Gedung Hunian</t>
        </is>
      </c>
      <c r="N23" t="inlineStr">
        <is>
          <t>K</t>
        </is>
      </c>
      <c r="O23" t="inlineStr">
        <is>
          <t>20230916</t>
        </is>
      </c>
      <c r="P23" t="inlineStr">
        <is>
          <t>Aceh</t>
        </is>
      </c>
      <c r="Q23" t="inlineStr"/>
    </row>
    <row r="24">
      <c r="A24" t="inlineStr">
        <is>
          <t>TUAH RISIKI</t>
        </is>
      </c>
      <c r="B24" t="inlineStr">
        <is>
          <t>Kab. Sintang</t>
        </is>
      </c>
      <c r="C24" t="inlineStr">
        <is>
          <t>085252600604</t>
        </is>
      </c>
      <c r="D24" t="inlineStr">
        <is>
          <t>tuahrisiki@gmail.com</t>
        </is>
      </c>
      <c r="E24" t="inlineStr">
        <is>
          <t>https://lpjk.pu.go.id/search-badan-usaha-detail/ckJ5ZUsvL0NJYWp3UWY4YThzalhHdz09</t>
        </is>
      </c>
      <c r="F24" t="n">
        <v>1</v>
      </c>
      <c r="G24" t="inlineStr">
        <is>
          <t>BS002</t>
        </is>
      </c>
      <c r="H24" t="inlineStr">
        <is>
          <t>19 November 2019</t>
        </is>
      </c>
      <c r="I24" s="2" t="n">
        <v>46281</v>
      </c>
      <c r="J24" t="inlineStr">
        <is>
          <t>Disetujui</t>
        </is>
      </c>
      <c r="K24" t="n">
        <v>90</v>
      </c>
      <c r="L24" t="inlineStr">
        <is>
          <t>16 September 2026</t>
        </is>
      </c>
      <c r="M24" t="inlineStr">
        <is>
          <t>Bangunan Sipil Jembatan, Jalan Layang, Fly Over, dan Underpass</t>
        </is>
      </c>
      <c r="N24" t="inlineStr">
        <is>
          <t>K</t>
        </is>
      </c>
      <c r="O24" t="inlineStr">
        <is>
          <t>20230916</t>
        </is>
      </c>
      <c r="P24" t="inlineStr">
        <is>
          <t>Kalimantan Barat</t>
        </is>
      </c>
      <c r="Q24" t="inlineStr"/>
    </row>
    <row r="25">
      <c r="A25" t="inlineStr">
        <is>
          <t>ZHAFRAN PUTRA UTAMA</t>
        </is>
      </c>
      <c r="B25" t="inlineStr">
        <is>
          <t>Kab. Soppeng</t>
        </is>
      </c>
      <c r="C25" t="inlineStr">
        <is>
          <t>085241770198</t>
        </is>
      </c>
      <c r="D25" t="inlineStr">
        <is>
          <t>pt.zhafranputrautama@gmail.com</t>
        </is>
      </c>
      <c r="E25" t="inlineStr">
        <is>
          <t>https://lpjk.pu.go.id/search-badan-usaha-detail/VE1EbExQeDdwWkdoQVZWMEpXNmEyZz09</t>
        </is>
      </c>
      <c r="F25" t="n">
        <v>1</v>
      </c>
      <c r="G25" t="inlineStr">
        <is>
          <t>BG001</t>
        </is>
      </c>
      <c r="H25" t="inlineStr">
        <is>
          <t>30 September 2019</t>
        </is>
      </c>
      <c r="I25" s="2" t="n">
        <v>46281</v>
      </c>
      <c r="J25" t="inlineStr">
        <is>
          <t>Disetujui</t>
        </is>
      </c>
      <c r="K25" t="n">
        <v>90</v>
      </c>
      <c r="L25" t="inlineStr">
        <is>
          <t>16 September 2026</t>
        </is>
      </c>
      <c r="M25" t="inlineStr">
        <is>
          <t>Konstruksi Gedung Hunian</t>
        </is>
      </c>
      <c r="N25" t="inlineStr">
        <is>
          <t>K</t>
        </is>
      </c>
      <c r="O25" t="inlineStr">
        <is>
          <t>20230907</t>
        </is>
      </c>
      <c r="P25" t="inlineStr">
        <is>
          <t>Sulawesi Selatan</t>
        </is>
      </c>
      <c r="Q2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7"/>
  <sheetViews>
    <sheetView workbookViewId="0">
      <selection activeCell="A1" sqref="A1"/>
    </sheetView>
  </sheetViews>
  <sheetFormatPr baseColWidth="8" defaultRowHeight="15"/>
  <cols>
    <col width="31" customWidth="1" min="1" max="1"/>
    <col width="27" customWidth="1" min="2" max="2"/>
    <col width="16" customWidth="1" min="3" max="3"/>
    <col width="37" customWidth="1" min="4" max="4"/>
    <col width="50" customWidth="1" min="5" max="5"/>
    <col width="18" customWidth="1" min="6" max="6"/>
    <col width="42" customWidth="1" min="7" max="7"/>
    <col width="20" customWidth="1" min="8" max="8"/>
    <col width="28" customWidth="1" min="9" max="9"/>
    <col width="45" customWidth="1" min="10" max="10"/>
    <col width="11" customWidth="1" min="11" max="11"/>
    <col width="17" customWidth="1" min="12" max="12"/>
    <col width="50" customWidth="1" min="13" max="13"/>
    <col width="14" customWidth="1" min="14" max="14"/>
    <col width="30" customWidth="1" min="15" max="15"/>
    <col width="21"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ABADI</t>
        </is>
      </c>
      <c r="B2" t="inlineStr">
        <is>
          <t>Kab. Bogor</t>
        </is>
      </c>
      <c r="C2" t="inlineStr">
        <is>
          <t>081319505279</t>
        </is>
      </c>
      <c r="D2" t="inlineStr">
        <is>
          <t>cvabadi72@yahoo.co.id</t>
        </is>
      </c>
      <c r="E2" t="inlineStr">
        <is>
          <t>https://lpjk.pu.go.id/search-badan-usaha-detail/Y2Q4cWcxZFRzZThOdm41cTFiNHgzUT09</t>
        </is>
      </c>
      <c r="F2" t="n">
        <v>2</v>
      </c>
      <c r="G2" t="inlineStr">
        <is>
          <t>BG002</t>
        </is>
      </c>
      <c r="H2" t="inlineStr">
        <is>
          <t>23 Maret 1983</t>
        </is>
      </c>
      <c r="I2" s="2" t="n">
        <v>46251</v>
      </c>
      <c r="J2" t="inlineStr">
        <is>
          <t>Pencabutan</t>
        </is>
      </c>
      <c r="K2" t="n">
        <v>60</v>
      </c>
      <c r="L2" t="inlineStr">
        <is>
          <t>17 Agustus 2026</t>
        </is>
      </c>
      <c r="M2" t="inlineStr">
        <is>
          <t>Konstruksi Gedung Perkantoran</t>
        </is>
      </c>
      <c r="N2" t="inlineStr">
        <is>
          <t>K</t>
        </is>
      </c>
      <c r="O2" t="inlineStr">
        <is>
          <t>20230617</t>
        </is>
      </c>
      <c r="P2" t="inlineStr">
        <is>
          <t>Jawa Barat</t>
        </is>
      </c>
      <c r="Q2" s="3">
        <f>HYPERLINK("https://wa.me/6281319505279?text=*[PENGINGAT MASA BERLAKU SBU ABADI]*%0A%0AYth. Pimpinan ABADI,%0AMohon izin menginformasikan status SBU Anda di sistem LPJK:%0A%0A📄 SBU: BG002%0A📅 Expired: 17 Agustus 2026 (60 Hari Lagi)%0A%0AKami tim PT. ESDEA Assistance Management siap men-support proses perpanjangan segera agar administrasi proyek tidak terhambat%0A%0AApakah boleh saya bantu siapkan estimasi biaya dan waktu pengerjaannya?.", "Hubungi")</f>
        <v/>
      </c>
    </row>
    <row r="3">
      <c r="A3" t="inlineStr">
        <is>
          <t>AMARTA JAYA ENERGI</t>
        </is>
      </c>
      <c r="B3" t="inlineStr">
        <is>
          <t>Kab. Bogor</t>
        </is>
      </c>
      <c r="C3" t="inlineStr">
        <is>
          <t>081269478814</t>
        </is>
      </c>
      <c r="D3" t="inlineStr">
        <is>
          <t>amartajayaenergi@gmail.com</t>
        </is>
      </c>
      <c r="E3" t="inlineStr">
        <is>
          <t>https://lpjk.pu.go.id/search-badan-usaha-detail/THVYT2Q1Tmo4dURRdUF3cVpTdGs5UT09</t>
        </is>
      </c>
      <c r="F3" t="n">
        <v>2</v>
      </c>
      <c r="G3" t="inlineStr">
        <is>
          <t>BS004</t>
        </is>
      </c>
      <c r="H3" t="inlineStr">
        <is>
          <t>20 Februari 2023</t>
        </is>
      </c>
      <c r="I3" s="2" t="n">
        <v>46251</v>
      </c>
      <c r="J3" t="inlineStr">
        <is>
          <t>Disetujui</t>
        </is>
      </c>
      <c r="K3" t="n">
        <v>60</v>
      </c>
      <c r="L3" t="inlineStr">
        <is>
          <t>17 Agustus 2026</t>
        </is>
      </c>
      <c r="M3" t="inlineStr">
        <is>
          <t>Konstruksi Jaringan Irigasi dan Drainase</t>
        </is>
      </c>
      <c r="N3" t="inlineStr">
        <is>
          <t>K</t>
        </is>
      </c>
      <c r="O3" t="inlineStr">
        <is>
          <t>20230815</t>
        </is>
      </c>
      <c r="P3" t="inlineStr">
        <is>
          <t>Jawa Barat</t>
        </is>
      </c>
      <c r="Q3" s="3">
        <f>HYPERLINK("https://wa.me/6281269478814?text=*[PENGINGAT MASA BERLAKU SBU AMARTA JAYA ENERGI]*%0A%0AYth. Pimpinan AMARTA JAYA ENERGI,%0AMohon izin menginformasikan status SBU Anda di sistem LPJK:%0A%0A📄 SBU: BS004%0A📅 Expired: 17 Agustus 2026 (60 Hari Lagi)%0A%0AKami tim PT. ESDEA Assistance Management siap men-support proses perpanjangan segera agar administrasi proyek tidak terhambat%0A%0AApakah boleh saya bantu siapkan estimasi biaya dan waktu pengerjaannya?.", "Hubungi")</f>
        <v/>
      </c>
    </row>
    <row r="4">
      <c r="A4" t="inlineStr">
        <is>
          <t>ANDINI</t>
        </is>
      </c>
      <c r="B4" t="inlineStr">
        <is>
          <t>Kab. Bogor</t>
        </is>
      </c>
      <c r="C4" t="inlineStr">
        <is>
          <t>02518345110</t>
        </is>
      </c>
      <c r="D4" t="inlineStr">
        <is>
          <t>cv.andini45@yahoo.com</t>
        </is>
      </c>
      <c r="E4" t="inlineStr">
        <is>
          <t>https://lpjk.pu.go.id/search-badan-usaha-detail/WURjMytFVGs4enIzcXFuWHV1UDIxQT09</t>
        </is>
      </c>
      <c r="F4" t="n">
        <v>2</v>
      </c>
      <c r="G4" t="inlineStr">
        <is>
          <t>BS004</t>
        </is>
      </c>
      <c r="H4" t="inlineStr">
        <is>
          <t>17 Februari 1993</t>
        </is>
      </c>
      <c r="I4" s="2" t="n">
        <v>46251</v>
      </c>
      <c r="J4" t="inlineStr">
        <is>
          <t>Disetujui</t>
        </is>
      </c>
      <c r="K4" t="n">
        <v>60</v>
      </c>
      <c r="L4" t="inlineStr">
        <is>
          <t>17 Agustus 2026</t>
        </is>
      </c>
      <c r="M4" t="inlineStr">
        <is>
          <t>Konstruksi Jaringan Irigasi dan Drainase</t>
        </is>
      </c>
      <c r="N4" t="inlineStr">
        <is>
          <t>K</t>
        </is>
      </c>
      <c r="O4" t="inlineStr">
        <is>
          <t>20230815</t>
        </is>
      </c>
      <c r="P4" t="inlineStr">
        <is>
          <t>Jawa Barat</t>
        </is>
      </c>
      <c r="Q4" s="3">
        <f>HYPERLINK("https://wa.me/622518345110?text=*[PENGINGAT MASA BERLAKU SBU ANDINI]*%0A%0AYth. Pimpinan ANDINI,%0AMohon izin menginformasikan status SBU Anda di sistem LPJK:%0A%0A📄 SBU: BS004%0A📅 Expired: 17 Agustus 2026 (60 Hari Lagi)%0A%0AKami tim PT. ESDEA Assistance Management siap men-support proses perpanjangan segera agar administrasi proyek tidak terhambat%0A%0AApakah boleh saya bantu siapkan estimasi biaya dan waktu pengerjaannya?.", "Hubungi")</f>
        <v/>
      </c>
    </row>
    <row r="5">
      <c r="A5" t="inlineStr">
        <is>
          <t>FUMA INTRA SAKSAMA</t>
        </is>
      </c>
      <c r="B5" t="inlineStr">
        <is>
          <t>Kab. Bekasi</t>
        </is>
      </c>
      <c r="C5" t="inlineStr">
        <is>
          <t>02189912025</t>
        </is>
      </c>
      <c r="D5" t="inlineStr">
        <is>
          <t>hdd.fis@yahoo.com</t>
        </is>
      </c>
      <c r="E5" t="inlineStr">
        <is>
          <t>https://lpjk.pu.go.id/search-badan-usaha-detail/ZzhFWTk2L1FJRmZxSm1YSFhuOU1Tdz09</t>
        </is>
      </c>
      <c r="F5" t="n">
        <v>1</v>
      </c>
      <c r="G5" t="inlineStr">
        <is>
          <t>IN004</t>
        </is>
      </c>
      <c r="H5" t="inlineStr">
        <is>
          <t>11 Oktober 2016</t>
        </is>
      </c>
      <c r="I5" s="2" t="n">
        <v>46251</v>
      </c>
      <c r="J5" t="inlineStr">
        <is>
          <t>Disetujui</t>
        </is>
      </c>
      <c r="K5" t="n">
        <v>60</v>
      </c>
      <c r="L5" t="inlineStr">
        <is>
          <t>17 Agustus 2026</t>
        </is>
      </c>
      <c r="M5" t="inlineStr">
        <is>
          <t>Instalasi Minyak dan Gas</t>
        </is>
      </c>
      <c r="N5" t="inlineStr">
        <is>
          <t>Spesialis</t>
        </is>
      </c>
      <c r="O5" t="inlineStr">
        <is>
          <t>20230816</t>
        </is>
      </c>
      <c r="P5" t="inlineStr">
        <is>
          <t>Jawa Barat</t>
        </is>
      </c>
      <c r="Q5" t="inlineStr"/>
    </row>
    <row r="6">
      <c r="A6" t="inlineStr">
        <is>
          <t>GUMELAR JAYA</t>
        </is>
      </c>
      <c r="B6" t="inlineStr">
        <is>
          <t>Kab. Bogor</t>
        </is>
      </c>
      <c r="C6" t="inlineStr">
        <is>
          <t>081314412000</t>
        </is>
      </c>
      <c r="D6" t="inlineStr">
        <is>
          <t>cv_gumelarjaya@yahoo.com</t>
        </is>
      </c>
      <c r="E6" t="inlineStr">
        <is>
          <t>https://lpjk.pu.go.id/search-badan-usaha-detail/VkJjLzB1aGpPdSs2WWlsSzVwdzlzUT09</t>
        </is>
      </c>
      <c r="F6" t="n">
        <v>2</v>
      </c>
      <c r="G6" t="inlineStr">
        <is>
          <t>BG005, BG009</t>
        </is>
      </c>
      <c r="H6" t="inlineStr">
        <is>
          <t>15 Mei 2000</t>
        </is>
      </c>
      <c r="I6" s="2" t="n">
        <v>46251</v>
      </c>
      <c r="J6" t="inlineStr">
        <is>
          <t>Disetujui</t>
        </is>
      </c>
      <c r="K6" t="n">
        <v>60</v>
      </c>
      <c r="L6" t="inlineStr">
        <is>
          <t>17 Agustus 2026</t>
        </is>
      </c>
      <c r="M6" t="inlineStr">
        <is>
          <t>Konstruksi Gedung Kesehatan, Konstruksi Gedung Lainnya</t>
        </is>
      </c>
      <c r="N6" t="inlineStr">
        <is>
          <t>K</t>
        </is>
      </c>
      <c r="O6" t="inlineStr">
        <is>
          <t>20230814</t>
        </is>
      </c>
      <c r="P6" t="inlineStr">
        <is>
          <t>Jawa Barat</t>
        </is>
      </c>
      <c r="Q6" s="3">
        <f>HYPERLINK("https://wa.me/6281314412000?text=*[PENGINGAT MASA BERLAKU SBU GUMELAR JAYA]*%0A%0AYth. Pimpinan GUMELAR JAYA,%0AMohon izin menginformasikan status SBU Anda di sistem LPJK:%0A%0A📄 SBU: BG005, BG009%0A📅 Expired: 17 Agustus 2026 (60 Hari Lagi)%0A%0AKami tim PT. ESDEA Assistance Management siap men-support proses perpanjangan segera agar administrasi proyek tidak terhambat%0A%0AApakah boleh saya bantu siapkan estimasi biaya dan waktu pengerjaannya?.", "Hubungi")</f>
        <v/>
      </c>
    </row>
    <row r="7">
      <c r="A7" t="inlineStr">
        <is>
          <t>HOSANA MAJU GEMILANG</t>
        </is>
      </c>
      <c r="B7" t="inlineStr">
        <is>
          <t>Kota Depok</t>
        </is>
      </c>
      <c r="C7" t="inlineStr">
        <is>
          <t>081287792228</t>
        </is>
      </c>
      <c r="D7" t="inlineStr">
        <is>
          <t>ep_nugroho88@yahoo.co.id</t>
        </is>
      </c>
      <c r="E7" t="inlineStr">
        <is>
          <t>https://lpjk.pu.go.id/search-badan-usaha-detail/NXcxTU9jQ2dvR1NkbW5FOUgreUVTUT09</t>
        </is>
      </c>
      <c r="F7" t="n">
        <v>2</v>
      </c>
      <c r="G7" t="inlineStr">
        <is>
          <t>BG002</t>
        </is>
      </c>
      <c r="H7" t="inlineStr">
        <is>
          <t>7 Februari 2022</t>
        </is>
      </c>
      <c r="I7" s="2" t="n">
        <v>46251</v>
      </c>
      <c r="J7" t="inlineStr">
        <is>
          <t>Pencabutan</t>
        </is>
      </c>
      <c r="K7" t="n">
        <v>60</v>
      </c>
      <c r="L7" t="inlineStr">
        <is>
          <t>17 Agustus 2026</t>
        </is>
      </c>
      <c r="M7" t="inlineStr">
        <is>
          <t>Konstruksi Gedung Perkantoran</t>
        </is>
      </c>
      <c r="N7" t="inlineStr">
        <is>
          <t>K</t>
        </is>
      </c>
      <c r="O7" t="inlineStr">
        <is>
          <t>20230818</t>
        </is>
      </c>
      <c r="P7" t="inlineStr">
        <is>
          <t>Jawa Barat</t>
        </is>
      </c>
      <c r="Q7" s="3">
        <f>HYPERLINK("https://wa.me/6281287792228?text=*[PENGINGAT MASA BERLAKU SBU HOSANA MAJU GEMILANG]*%0A%0AYth. Pimpinan HOSANA MAJU GEMILANG,%0AMohon izin menginformasikan status SBU Anda di sistem LPJK:%0A%0A📄 SBU: BG002%0A📅 Expired: 17 Agustus 2026 (60 Hari Lagi)%0A%0AKami tim PT. ESDEA Assistance Management siap men-support proses perpanjangan segera agar administrasi proyek tidak terhambat%0A%0AApakah boleh saya bantu siapkan estimasi biaya dan waktu pengerjaannya?.", "Hubungi")</f>
        <v/>
      </c>
    </row>
    <row r="8">
      <c r="A8" t="inlineStr">
        <is>
          <t>JABAR JAYA PERKASA</t>
        </is>
      </c>
      <c r="B8" t="inlineStr">
        <is>
          <t>Kota Bekasi</t>
        </is>
      </c>
      <c r="C8" t="inlineStr">
        <is>
          <t>02188385820</t>
        </is>
      </c>
      <c r="D8" t="inlineStr">
        <is>
          <t>ptjabarjayaperkasa@yahoo.com</t>
        </is>
      </c>
      <c r="E8" t="inlineStr">
        <is>
          <t>https://lpjk.pu.go.id/search-badan-usaha-detail/dTZjbGJIbGp6Ym8rTmdFcENUczU2dz09</t>
        </is>
      </c>
      <c r="F8" t="n">
        <v>1</v>
      </c>
      <c r="G8" t="inlineStr">
        <is>
          <t>BG009</t>
        </is>
      </c>
      <c r="H8" t="inlineStr">
        <is>
          <t>5 April 2011</t>
        </is>
      </c>
      <c r="I8" s="2" t="n">
        <v>46251</v>
      </c>
      <c r="J8" t="inlineStr">
        <is>
          <t>Disetujui</t>
        </is>
      </c>
      <c r="K8" t="n">
        <v>60</v>
      </c>
      <c r="L8" t="inlineStr">
        <is>
          <t>17 Agustus 2026</t>
        </is>
      </c>
      <c r="M8" t="inlineStr">
        <is>
          <t>Konstruksi Gedung Lainnya</t>
        </is>
      </c>
      <c r="N8" t="inlineStr">
        <is>
          <t>M</t>
        </is>
      </c>
      <c r="O8" t="inlineStr">
        <is>
          <t>20230816</t>
        </is>
      </c>
      <c r="P8" t="inlineStr">
        <is>
          <t>Jawa Barat</t>
        </is>
      </c>
      <c r="Q8" t="inlineStr"/>
    </row>
    <row r="9">
      <c r="A9" t="inlineStr">
        <is>
          <t>JACKINDO ANEKA KARYA</t>
        </is>
      </c>
      <c r="B9" t="inlineStr">
        <is>
          <t>Kota Bekasi</t>
        </is>
      </c>
      <c r="C9" t="inlineStr">
        <is>
          <t>02188866655</t>
        </is>
      </c>
      <c r="D9" t="inlineStr">
        <is>
          <t>jackindo.co@gmail.com</t>
        </is>
      </c>
      <c r="E9" t="inlineStr">
        <is>
          <t>https://lpjk.pu.go.id/search-badan-usaha-detail/YjAyU2x2UWhBaDVlbE9LRjRoWmhuQT09</t>
        </is>
      </c>
      <c r="F9" t="n">
        <v>2</v>
      </c>
      <c r="G9" t="inlineStr">
        <is>
          <t>BG001, BS005</t>
        </is>
      </c>
      <c r="H9" t="inlineStr">
        <is>
          <t>23 Juli 2013</t>
        </is>
      </c>
      <c r="I9" s="2" t="n">
        <v>46251</v>
      </c>
      <c r="J9" t="inlineStr">
        <is>
          <t>Disetujui</t>
        </is>
      </c>
      <c r="K9" t="n">
        <v>60</v>
      </c>
      <c r="L9" t="inlineStr">
        <is>
          <t>17 Agustus 2026</t>
        </is>
      </c>
      <c r="M9" t="inlineStr">
        <is>
          <t>Konstruksi Bangunan Sipil Pengolahan Air Bersih, Konstruksi Gedung Hunian</t>
        </is>
      </c>
      <c r="N9" t="inlineStr">
        <is>
          <t>K</t>
        </is>
      </c>
      <c r="O9" t="inlineStr">
        <is>
          <t>20230811</t>
        </is>
      </c>
      <c r="P9" t="inlineStr">
        <is>
          <t>Jawa Barat</t>
        </is>
      </c>
      <c r="Q9" t="inlineStr"/>
    </row>
    <row r="10">
      <c r="A10" t="inlineStr">
        <is>
          <t>JARING RAINAN HUTAMA</t>
        </is>
      </c>
      <c r="B10" t="inlineStr">
        <is>
          <t>Kab. Bogor</t>
        </is>
      </c>
      <c r="C10" t="inlineStr">
        <is>
          <t>081219020086</t>
        </is>
      </c>
      <c r="D10" t="inlineStr">
        <is>
          <t>jaringrh2022@gmail.com</t>
        </is>
      </c>
      <c r="E10" t="inlineStr">
        <is>
          <t>https://lpjk.pu.go.id/search-badan-usaha-detail/eFpVR0IwZVhjYStKRW1kVDU4bFhZdz09</t>
        </is>
      </c>
      <c r="F10" t="n">
        <v>1</v>
      </c>
      <c r="G10" t="inlineStr">
        <is>
          <t>BS005</t>
        </is>
      </c>
      <c r="H10" t="inlineStr">
        <is>
          <t>20 September 2019</t>
        </is>
      </c>
      <c r="I10" s="2" t="n">
        <v>46251</v>
      </c>
      <c r="J10" t="inlineStr">
        <is>
          <t>Pencabutan</t>
        </is>
      </c>
      <c r="K10" t="n">
        <v>60</v>
      </c>
      <c r="L10" t="inlineStr">
        <is>
          <t>17 Agustus 2026</t>
        </is>
      </c>
      <c r="M10" t="inlineStr">
        <is>
          <t>Konstruksi Bangunan Sipil Pengolahan Air Bersih</t>
        </is>
      </c>
      <c r="N10" t="inlineStr">
        <is>
          <t>K</t>
        </is>
      </c>
      <c r="O10" t="inlineStr">
        <is>
          <t>20230814</t>
        </is>
      </c>
      <c r="P10" t="inlineStr">
        <is>
          <t>Jawa Barat</t>
        </is>
      </c>
      <c r="Q10" s="3">
        <f>HYPERLINK("https://wa.me/6281219020086?text=*[PENGINGAT MASA BERLAKU SBU JARING RAINAN HUTAMA]*%0A%0AYth. Pimpinan JARING RAINAN HUTAMA,%0AMohon izin menginformasikan status SBU Anda di sistem LPJK:%0A%0A📄 SBU: BS005%0A📅 Expired: 17 Agustus 2026 (60 Hari Lagi)%0A%0AKami tim PT. ESDEA Assistance Management siap men-support proses perpanjangan segera agar administrasi proyek tidak terhambat%0A%0AApakah boleh saya bantu siapkan estimasi biaya dan waktu pengerjaannya?.", "Hubungi")</f>
        <v/>
      </c>
    </row>
    <row r="11">
      <c r="A11" t="inlineStr">
        <is>
          <t>KATALO BANGUNGRIYA</t>
        </is>
      </c>
      <c r="B11" t="inlineStr">
        <is>
          <t>Kota Bekasi</t>
        </is>
      </c>
      <c r="C11" t="inlineStr">
        <is>
          <t>02188955784</t>
        </is>
      </c>
      <c r="D11" t="inlineStr">
        <is>
          <t>katalobg1968@gmail.com</t>
        </is>
      </c>
      <c r="E11" t="inlineStr">
        <is>
          <t>https://lpjk.pu.go.id/search-badan-usaha-detail/ZzBjYSt0dUFQQmRaeGxFKyt3TkdQZz09</t>
        </is>
      </c>
      <c r="F11" t="n">
        <v>1</v>
      </c>
      <c r="G11" t="inlineStr">
        <is>
          <t>BG001</t>
        </is>
      </c>
      <c r="H11" t="inlineStr">
        <is>
          <t>24 Mei 1995</t>
        </is>
      </c>
      <c r="I11" s="2" t="n">
        <v>46251</v>
      </c>
      <c r="J11" t="inlineStr">
        <is>
          <t>Disetujui</t>
        </is>
      </c>
      <c r="K11" t="n">
        <v>60</v>
      </c>
      <c r="L11" t="inlineStr">
        <is>
          <t>17 Agustus 2026</t>
        </is>
      </c>
      <c r="M11" t="inlineStr">
        <is>
          <t>Konstruksi Gedung Hunian</t>
        </is>
      </c>
      <c r="N11" t="inlineStr">
        <is>
          <t>M</t>
        </is>
      </c>
      <c r="O11" t="inlineStr">
        <is>
          <t>20230815</t>
        </is>
      </c>
      <c r="P11" t="inlineStr">
        <is>
          <t>Jawa Barat</t>
        </is>
      </c>
      <c r="Q11" t="inlineStr"/>
    </row>
    <row r="12">
      <c r="A12" t="inlineStr">
        <is>
          <t>MAESTRA UTAMA</t>
        </is>
      </c>
      <c r="B12" t="inlineStr">
        <is>
          <t>Kab. Bekasi</t>
        </is>
      </c>
      <c r="C12" t="inlineStr">
        <is>
          <t>087779048279</t>
        </is>
      </c>
      <c r="D12" t="inlineStr">
        <is>
          <t>maestratech82@gmail.com</t>
        </is>
      </c>
      <c r="E12" t="inlineStr">
        <is>
          <t>https://lpjk.pu.go.id/search-badan-usaha-detail/Qk5pWlNBOHpwWk5FbmFNOXJWMUx5UT09</t>
        </is>
      </c>
      <c r="F12" t="n">
        <v>4</v>
      </c>
      <c r="G12" t="inlineStr">
        <is>
          <t>BG006, BG009, BS001, BS004</t>
        </is>
      </c>
      <c r="H12" t="inlineStr">
        <is>
          <t>7 Januari 2008</t>
        </is>
      </c>
      <c r="I12" s="2" t="n">
        <v>46251</v>
      </c>
      <c r="J12" t="inlineStr">
        <is>
          <t>Disetujui</t>
        </is>
      </c>
      <c r="K12" t="n">
        <v>60</v>
      </c>
      <c r="L12" t="inlineStr">
        <is>
          <t>17 Agustus 2026</t>
        </is>
      </c>
      <c r="M12" t="inlineStr">
        <is>
          <t>Konstruksi Bangunan Sipil Jalan, Konstruksi Gedung Lainnya, Konstruksi Gedung Pendidikan, Konstruksi Jaringan Irigasi dan Drainase</t>
        </is>
      </c>
      <c r="N12" t="inlineStr">
        <is>
          <t>K</t>
        </is>
      </c>
      <c r="O12" t="inlineStr">
        <is>
          <t>20230804</t>
        </is>
      </c>
      <c r="P12" t="inlineStr">
        <is>
          <t>Jawa Barat</t>
        </is>
      </c>
      <c r="Q12" s="3">
        <f>HYPERLINK("https://wa.me/6287779048279?text=*[PENGINGAT MASA BERLAKU SBU MAESTRA UTAMA]*%0A%0AYth. Pimpinan MAESTRA UTAMA,%0AMohon izin menginformasikan status SBU Anda di sistem LPJK:%0A%0A📄 SBU: BG006, BG009, BS001, BS004%0A📅 Expired: 17 Agustus 2026 (60 Hari Lagi)%0A%0AKami tim PT. ESDEA Assistance Management siap men-support proses perpanjangan segera agar administrasi proyek tidak terhambat%0A%0AApakah boleh saya bantu siapkan estimasi biaya dan waktu pengerjaannya?.", "Hubungi")</f>
        <v/>
      </c>
    </row>
    <row r="13">
      <c r="A13" t="inlineStr">
        <is>
          <t>MAYSITA ELFI MADANI</t>
        </is>
      </c>
      <c r="B13" t="inlineStr">
        <is>
          <t>Kota Bogor</t>
        </is>
      </c>
      <c r="C13" t="inlineStr">
        <is>
          <t>087883416612</t>
        </is>
      </c>
      <c r="D13" t="inlineStr">
        <is>
          <t>maysita.travel@gmail.com</t>
        </is>
      </c>
      <c r="E13" t="inlineStr">
        <is>
          <t>https://lpjk.pu.go.id/search-badan-usaha-detail/eDZDUGVHd04vMWthU2RVTFRqUnBDZz09</t>
        </is>
      </c>
      <c r="F13" t="n">
        <v>2</v>
      </c>
      <c r="G13" t="inlineStr">
        <is>
          <t>BS001</t>
        </is>
      </c>
      <c r="H13" t="inlineStr">
        <is>
          <t>7 Juni 2023</t>
        </is>
      </c>
      <c r="I13" s="2" t="n">
        <v>46251</v>
      </c>
      <c r="J13" t="inlineStr">
        <is>
          <t>Pencabutan</t>
        </is>
      </c>
      <c r="K13" t="n">
        <v>60</v>
      </c>
      <c r="L13" t="inlineStr">
        <is>
          <t>17 Agustus 2026</t>
        </is>
      </c>
      <c r="M13" t="inlineStr">
        <is>
          <t>Konstruksi Bangunan Sipil Jalan</t>
        </is>
      </c>
      <c r="N13" t="inlineStr">
        <is>
          <t>K</t>
        </is>
      </c>
      <c r="O13" t="inlineStr">
        <is>
          <t>20230612</t>
        </is>
      </c>
      <c r="P13" t="inlineStr">
        <is>
          <t>Jawa Barat</t>
        </is>
      </c>
      <c r="Q13" s="3">
        <f>HYPERLINK("https://wa.me/6287883416612?text=*[PENGINGAT MASA BERLAKU SBU MAYSITA ELFI MADANI]*%0A%0AYth. Pimpinan MAYSITA ELFI MADANI,%0AMohon izin menginformasikan status SBU Anda di sistem LPJK:%0A%0A📄 SBU: BS001%0A📅 Expired: 17 Agustus 2026 (60 Hari Lagi)%0A%0AKami tim PT. ESDEA Assistance Management siap men-support proses perpanjangan segera agar administrasi proyek tidak terhambat%0A%0AApakah boleh saya bantu siapkan estimasi biaya dan waktu pengerjaannya?.", "Hubungi")</f>
        <v/>
      </c>
    </row>
    <row r="14">
      <c r="A14" t="inlineStr">
        <is>
          <t>MULTITECH MEDIA</t>
        </is>
      </c>
      <c r="B14" t="inlineStr">
        <is>
          <t>Kab. Bekasi</t>
        </is>
      </c>
      <c r="C14" t="inlineStr">
        <is>
          <t>081229455480</t>
        </is>
      </c>
      <c r="D14" t="inlineStr">
        <is>
          <t>cv.multitech.media@gmail.com</t>
        </is>
      </c>
      <c r="E14" t="inlineStr">
        <is>
          <t>https://lpjk.pu.go.id/search-badan-usaha-detail/VjBpMHVLdVlDZG8xRGVJNlBETzZuQT09</t>
        </is>
      </c>
      <c r="F14" t="n">
        <v>8</v>
      </c>
      <c r="G14" t="inlineStr">
        <is>
          <t>BG005, BG009, BS001, BS004</t>
        </is>
      </c>
      <c r="H14" t="inlineStr">
        <is>
          <t>9 Mei 2019</t>
        </is>
      </c>
      <c r="I14" s="2" t="n">
        <v>46251</v>
      </c>
      <c r="J14" t="inlineStr">
        <is>
          <t>Pencabutan</t>
        </is>
      </c>
      <c r="K14" t="n">
        <v>60</v>
      </c>
      <c r="L14" t="inlineStr">
        <is>
          <t>17 Agustus 2026</t>
        </is>
      </c>
      <c r="M14" t="inlineStr">
        <is>
          <t>Konstruksi Bangunan Sipil Jalan, Konstruksi Gedung Kesehatan, Konstruksi Gedung Lainnya, Konstruksi Jaringan Irigasi dan Drainase</t>
        </is>
      </c>
      <c r="N14" t="inlineStr">
        <is>
          <t>K</t>
        </is>
      </c>
      <c r="O14" t="inlineStr">
        <is>
          <t>20230804</t>
        </is>
      </c>
      <c r="P14" t="inlineStr">
        <is>
          <t>Jawa Barat</t>
        </is>
      </c>
      <c r="Q14" s="3">
        <f>HYPERLINK("https://wa.me/6281229455480?text=*[PENGINGAT MASA BERLAKU SBU MULTITECH MEDIA]*%0A%0AYth. Pimpinan MULTITECH MEDIA,%0AMohon izin menginformasikan status SBU Anda di sistem LPJK:%0A%0A📄 SBU: BG005, BG009, BS001, BS004%0A📅 Expired: 17 Agustus 2026 (60 Hari Lagi)%0A%0AKami tim PT. ESDEA Assistance Management siap men-support proses perpanjangan segera agar administrasi proyek tidak terhambat%0A%0AApakah boleh saya bantu siapkan estimasi biaya dan waktu pengerjaannya?.", "Hubungi")</f>
        <v/>
      </c>
    </row>
    <row r="15">
      <c r="A15" t="inlineStr">
        <is>
          <t>NASHOMOSHE ENGINEERING</t>
        </is>
      </c>
      <c r="B15" t="inlineStr">
        <is>
          <t>Kota Depok</t>
        </is>
      </c>
      <c r="C15" t="inlineStr">
        <is>
          <t>081382257956</t>
        </is>
      </c>
      <c r="D15" t="inlineStr">
        <is>
          <t>nashomose@gmail.com</t>
        </is>
      </c>
      <c r="E15" t="inlineStr">
        <is>
          <t>https://lpjk.pu.go.id/search-badan-usaha-detail/N2dMVTZzaVRxUThrdzBwK1JsZm80YUhGRW4zQ1JWeStWZW1hckhaZGt3dz0</t>
        </is>
      </c>
      <c r="F15" t="n">
        <v>1</v>
      </c>
      <c r="G15" t="inlineStr">
        <is>
          <t>BG005</t>
        </is>
      </c>
      <c r="H15" t="inlineStr">
        <is>
          <t>14 Maret 2015</t>
        </is>
      </c>
      <c r="I15" s="2" t="n">
        <v>46251</v>
      </c>
      <c r="J15" t="inlineStr">
        <is>
          <t>Disetujui</t>
        </is>
      </c>
      <c r="K15" t="n">
        <v>60</v>
      </c>
      <c r="L15" t="inlineStr">
        <is>
          <t>17 Agustus 2026</t>
        </is>
      </c>
      <c r="M15" t="inlineStr">
        <is>
          <t>Konstruksi Gedung Kesehatan</t>
        </is>
      </c>
      <c r="N15" t="inlineStr">
        <is>
          <t>K</t>
        </is>
      </c>
      <c r="O15" t="inlineStr">
        <is>
          <t>20230814</t>
        </is>
      </c>
      <c r="P15" t="inlineStr">
        <is>
          <t>Jawa Barat</t>
        </is>
      </c>
      <c r="Q15" s="3">
        <f>HYPERLINK("https://wa.me/6281382257956?text=*[PENGINGAT MASA BERLAKU SBU NASHOMOSHE ENGINEERING]*%0A%0AYth. Pimpinan NASHOMOSHE ENGINEERING,%0AMohon izin menginformasikan status SBU Anda di sistem LPJK:%0A%0A📄 SBU: BG005%0A📅 Expired: 17 Agustus 2026 (60 Hari Lagi)%0A%0AKami tim PT. ESDEA Assistance Management siap men-support proses perpanjangan segera agar administrasi proyek tidak terhambat%0A%0AApakah boleh saya bantu siapkan estimasi biaya dan waktu pengerjaannya?.", "Hubungi")</f>
        <v/>
      </c>
    </row>
    <row r="16">
      <c r="A16" t="inlineStr">
        <is>
          <t>NURLISTY ABADI MANDIRI</t>
        </is>
      </c>
      <c r="B16" t="inlineStr">
        <is>
          <t>Kota Depok</t>
        </is>
      </c>
      <c r="C16" t="inlineStr">
        <is>
          <t>02129389287</t>
        </is>
      </c>
      <c r="D16" t="inlineStr">
        <is>
          <t>nurlisty@yahoo.com</t>
        </is>
      </c>
      <c r="E16" t="inlineStr">
        <is>
          <t>https://lpjk.pu.go.id/search-badan-usaha-detail/c3lpZzRCUDAvdEUzYWZjdG9tRmgxUT09</t>
        </is>
      </c>
      <c r="F16" t="n">
        <v>3</v>
      </c>
      <c r="G16" t="inlineStr">
        <is>
          <t>BG005, BG006, BS001</t>
        </is>
      </c>
      <c r="H16" t="inlineStr">
        <is>
          <t>31 Oktober 2011</t>
        </is>
      </c>
      <c r="I16" s="2" t="n">
        <v>46251</v>
      </c>
      <c r="J16" t="inlineStr">
        <is>
          <t>Disetujui</t>
        </is>
      </c>
      <c r="K16" t="n">
        <v>60</v>
      </c>
      <c r="L16" t="inlineStr">
        <is>
          <t>17 Agustus 2026</t>
        </is>
      </c>
      <c r="M16" t="inlineStr">
        <is>
          <t>Konstruksi Bangunan Sipil Jalan, Konstruksi Gedung Kesehatan, Konstruksi Gedung Pendidikan</t>
        </is>
      </c>
      <c r="N16" t="inlineStr">
        <is>
          <t>K</t>
        </is>
      </c>
      <c r="O16" t="inlineStr">
        <is>
          <t>20230731, 20230814, 20230815</t>
        </is>
      </c>
      <c r="P16" t="inlineStr">
        <is>
          <t>Jawa Barat</t>
        </is>
      </c>
      <c r="Q16" t="inlineStr"/>
    </row>
    <row r="17">
      <c r="A17" t="inlineStr">
        <is>
          <t>ORIGINAL KARYA KONSTRUKSI</t>
        </is>
      </c>
      <c r="B17" t="inlineStr">
        <is>
          <t>Kota Bekasi</t>
        </is>
      </c>
      <c r="C17" t="inlineStr">
        <is>
          <t>02189453949</t>
        </is>
      </c>
      <c r="D17" t="inlineStr">
        <is>
          <t>originalkaryakonstruksi12@gmail.com</t>
        </is>
      </c>
      <c r="E17" t="inlineStr">
        <is>
          <t>https://lpjk.pu.go.id/search-badan-usaha-detail/a20wb2g2SUQ4WlNSWUFjNXc2TGpTZz09</t>
        </is>
      </c>
      <c r="F17" t="n">
        <v>1</v>
      </c>
      <c r="G17" t="inlineStr">
        <is>
          <t>BS001</t>
        </is>
      </c>
      <c r="H17" t="inlineStr">
        <is>
          <t>3 September 2018</t>
        </is>
      </c>
      <c r="I17" s="2" t="n">
        <v>46251</v>
      </c>
      <c r="J17" t="inlineStr">
        <is>
          <t>Pencabutan</t>
        </is>
      </c>
      <c r="K17" t="n">
        <v>60</v>
      </c>
      <c r="L17" t="inlineStr">
        <is>
          <t>17 Agustus 2026</t>
        </is>
      </c>
      <c r="M17" t="inlineStr">
        <is>
          <t>Konstruksi Bangunan Sipil Jalan</t>
        </is>
      </c>
      <c r="N17" t="inlineStr">
        <is>
          <t>K</t>
        </is>
      </c>
      <c r="O17" t="inlineStr">
        <is>
          <t>20230816</t>
        </is>
      </c>
      <c r="P17" t="inlineStr">
        <is>
          <t>Jawa Barat</t>
        </is>
      </c>
      <c r="Q17" t="inlineStr"/>
    </row>
    <row r="18">
      <c r="A18" t="inlineStr">
        <is>
          <t>PATALI MARGA UTAMA</t>
        </is>
      </c>
      <c r="B18" t="inlineStr">
        <is>
          <t>Kota Bekasi</t>
        </is>
      </c>
      <c r="C18" t="inlineStr">
        <is>
          <t>085280008588</t>
        </is>
      </c>
      <c r="D18" t="inlineStr">
        <is>
          <t>patalimargautama@gmail.com</t>
        </is>
      </c>
      <c r="E18" t="inlineStr">
        <is>
          <t>https://lpjk.pu.go.id/search-badan-usaha-detail/U0hndVF1aXdqeENEOWFnVSszNFFydz09</t>
        </is>
      </c>
      <c r="F18" t="n">
        <v>2</v>
      </c>
      <c r="G18" t="inlineStr">
        <is>
          <t>BG002, BS001</t>
        </is>
      </c>
      <c r="H18" t="inlineStr">
        <is>
          <t>17 Mei 2023</t>
        </is>
      </c>
      <c r="I18" s="2" t="n">
        <v>46251</v>
      </c>
      <c r="J18" t="inlineStr">
        <is>
          <t>Disetujui</t>
        </is>
      </c>
      <c r="K18" t="n">
        <v>60</v>
      </c>
      <c r="L18" t="inlineStr">
        <is>
          <t>17 Agustus 2026</t>
        </is>
      </c>
      <c r="M18" t="inlineStr">
        <is>
          <t>Konstruksi Bangunan Sipil Jalan, Konstruksi Gedung Perkantoran</t>
        </is>
      </c>
      <c r="N18" t="inlineStr">
        <is>
          <t>K</t>
        </is>
      </c>
      <c r="O18" t="inlineStr">
        <is>
          <t>20230818</t>
        </is>
      </c>
      <c r="P18" t="inlineStr">
        <is>
          <t>Jawa Barat</t>
        </is>
      </c>
      <c r="Q18" s="3">
        <f>HYPERLINK("https://wa.me/6285280008588?text=*[PENGINGAT MASA BERLAKU SBU PATALI MARGA UTAMA]*%0A%0AYth. Pimpinan PATALI MARGA UTAMA,%0AMohon izin menginformasikan status SBU Anda di sistem LPJK:%0A%0A📄 SBU: BG002, BS001%0A📅 Expired: 17 Agustus 2026 (60 Hari Lagi)%0A%0AKami tim PT. ESDEA Assistance Management siap men-support proses perpanjangan segera agar administrasi proyek tidak terhambat%0A%0AApakah boleh saya bantu siapkan estimasi biaya dan waktu pengerjaannya?.", "Hubungi")</f>
        <v/>
      </c>
    </row>
    <row r="19">
      <c r="A19" t="inlineStr">
        <is>
          <t>RENDICHA JAYA UTAMA</t>
        </is>
      </c>
      <c r="B19" t="inlineStr">
        <is>
          <t>Kota Depok</t>
        </is>
      </c>
      <c r="C19" t="inlineStr">
        <is>
          <t>081284101584</t>
        </is>
      </c>
      <c r="D19" t="inlineStr">
        <is>
          <t>rendicha.j_utama@yahoo.com</t>
        </is>
      </c>
      <c r="E19" t="inlineStr">
        <is>
          <t>https://lpjk.pu.go.id/search-badan-usaha-detail/c1k2SllYRFhmY1MrV0JlYmpEckJuQT09</t>
        </is>
      </c>
      <c r="F19" t="n">
        <v>4</v>
      </c>
      <c r="G19" t="inlineStr">
        <is>
          <t>BS002, BS004</t>
        </is>
      </c>
      <c r="H19" t="inlineStr">
        <is>
          <t>10 Februari 2017</t>
        </is>
      </c>
      <c r="I19" s="2" t="n">
        <v>46251</v>
      </c>
      <c r="J19" t="inlineStr">
        <is>
          <t>Pencabutan</t>
        </is>
      </c>
      <c r="K19" t="n">
        <v>60</v>
      </c>
      <c r="L19" t="inlineStr">
        <is>
          <t>17 Agustus 2026</t>
        </is>
      </c>
      <c r="M19" t="inlineStr">
        <is>
          <t>Bangunan Sipil Jembatan, Jalan Layang, Fly Over, dan Underpass, Konstruksi Jaringan Irigasi dan Drainase</t>
        </is>
      </c>
      <c r="N19" t="inlineStr">
        <is>
          <t>K</t>
        </is>
      </c>
      <c r="O19" t="inlineStr">
        <is>
          <t>20230818</t>
        </is>
      </c>
      <c r="P19" t="inlineStr">
        <is>
          <t>Jawa Barat</t>
        </is>
      </c>
      <c r="Q19" s="3">
        <f>HYPERLINK("https://wa.me/6281284101584?text=*[PENGINGAT MASA BERLAKU SBU RENDICHA JAYA UTAMA]*%0A%0AYth. Pimpinan RENDICHA JAYA UTAMA,%0AMohon izin menginformasikan status SBU Anda di sistem LPJK:%0A%0A📄 SBU: BS002, BS004%0A📅 Expired: 17 Agustus 2026 (60 Hari Lagi)%0A%0AKami tim PT. ESDEA Assistance Management siap men-support proses perpanjangan segera agar administrasi proyek tidak terhambat%0A%0AApakah boleh saya bantu siapkan estimasi biaya dan waktu pengerjaannya?.", "Hubungi")</f>
        <v/>
      </c>
    </row>
    <row r="20">
      <c r="A20" t="inlineStr">
        <is>
          <t>RIFAN JAYA KONSTRUKSI</t>
        </is>
      </c>
      <c r="B20" t="inlineStr">
        <is>
          <t>Kab. Bekasi</t>
        </is>
      </c>
      <c r="C20" t="inlineStr">
        <is>
          <t>02129257884</t>
        </is>
      </c>
      <c r="D20" t="inlineStr">
        <is>
          <t>rifanjayakonstruksi55@gmail.com</t>
        </is>
      </c>
      <c r="E20" t="inlineStr">
        <is>
          <t>https://lpjk.pu.go.id/search-badan-usaha-detail/VEdrTEx6cWg2UUU2K1VMamRNZ01QZz09</t>
        </is>
      </c>
      <c r="F20" t="n">
        <v>2</v>
      </c>
      <c r="G20" t="inlineStr">
        <is>
          <t>PB001</t>
        </is>
      </c>
      <c r="H20" t="inlineStr">
        <is>
          <t>27 Oktober 2015</t>
        </is>
      </c>
      <c r="I20" s="2" t="n">
        <v>46251</v>
      </c>
      <c r="J20" t="inlineStr">
        <is>
          <t>Pencabutan</t>
        </is>
      </c>
      <c r="K20" t="n">
        <v>60</v>
      </c>
      <c r="L20" t="inlineStr">
        <is>
          <t>17 Agustus 2026</t>
        </is>
      </c>
      <c r="M20" t="inlineStr">
        <is>
          <t>Pengerjaan Pemasangan Kaca dan Alumunium</t>
        </is>
      </c>
      <c r="N20" t="inlineStr">
        <is>
          <t>Spesialis</t>
        </is>
      </c>
      <c r="O20" t="inlineStr">
        <is>
          <t>20230816</t>
        </is>
      </c>
      <c r="P20" t="inlineStr">
        <is>
          <t>Jawa Barat</t>
        </is>
      </c>
      <c r="Q20" t="inlineStr"/>
    </row>
    <row r="21">
      <c r="A21" t="inlineStr">
        <is>
          <t>RIZKY KUSUMA PERKASA</t>
        </is>
      </c>
      <c r="B21" t="inlineStr">
        <is>
          <t>Kota Depok</t>
        </is>
      </c>
      <c r="C21" t="inlineStr">
        <is>
          <t>081219357349</t>
        </is>
      </c>
      <c r="D21" t="inlineStr">
        <is>
          <t>cv.riznov354@gmail.com</t>
        </is>
      </c>
      <c r="E21" t="inlineStr">
        <is>
          <t>https://lpjk.pu.go.id/search-badan-usaha-detail/WExSN2ZadFJldmJjL0R0bGVvTXRkUT09</t>
        </is>
      </c>
      <c r="F21" t="n">
        <v>1</v>
      </c>
      <c r="G21" t="inlineStr">
        <is>
          <t>BS004</t>
        </is>
      </c>
      <c r="H21" t="inlineStr">
        <is>
          <t>7 Juli 2023</t>
        </is>
      </c>
      <c r="I21" s="2" t="n">
        <v>46251</v>
      </c>
      <c r="J21" t="inlineStr">
        <is>
          <t>Disetujui</t>
        </is>
      </c>
      <c r="K21" t="n">
        <v>60</v>
      </c>
      <c r="L21" t="inlineStr">
        <is>
          <t>17 Agustus 2026</t>
        </is>
      </c>
      <c r="M21" t="inlineStr">
        <is>
          <t>Konstruksi Jaringan Irigasi dan Drainase</t>
        </is>
      </c>
      <c r="N21" t="inlineStr">
        <is>
          <t>K</t>
        </is>
      </c>
      <c r="O21" t="inlineStr">
        <is>
          <t>20230814</t>
        </is>
      </c>
      <c r="P21" t="inlineStr">
        <is>
          <t>Jawa Barat</t>
        </is>
      </c>
      <c r="Q21" s="3">
        <f>HYPERLINK("https://wa.me/6281219357349?text=*[PENGINGAT MASA BERLAKU SBU RIZKY KUSUMA PERKASA]*%0A%0AYth. Pimpinan RIZKY KUSUMA PERKASA,%0AMohon izin menginformasikan status SBU Anda di sistem LPJK:%0A%0A📄 SBU: BS004%0A📅 Expired: 17 Agustus 2026 (60 Hari Lagi)%0A%0AKami tim PT. ESDEA Assistance Management siap men-support proses perpanjangan segera agar administrasi proyek tidak terhambat%0A%0AApakah boleh saya bantu siapkan estimasi biaya dan waktu pengerjaannya?.", "Hubungi")</f>
        <v/>
      </c>
    </row>
    <row r="22">
      <c r="A22" t="inlineStr">
        <is>
          <t>SWADAYA ADHIGUNA</t>
        </is>
      </c>
      <c r="B22" t="inlineStr">
        <is>
          <t>Kota Bekasi</t>
        </is>
      </c>
      <c r="C22" t="inlineStr">
        <is>
          <t>08561127343</t>
        </is>
      </c>
      <c r="D22" t="inlineStr">
        <is>
          <t>swadaya_adhiguna@yahoo.com</t>
        </is>
      </c>
      <c r="E22" t="inlineStr">
        <is>
          <t>https://lpjk.pu.go.id/search-badan-usaha-detail/OSt4NmhxeTU2T3Z6MFFmNVdlcHFudz09</t>
        </is>
      </c>
      <c r="F22" t="n">
        <v>1</v>
      </c>
      <c r="G22" t="inlineStr">
        <is>
          <t>BS001</t>
        </is>
      </c>
      <c r="H22" t="inlineStr">
        <is>
          <t>29 Januari 2011</t>
        </is>
      </c>
      <c r="I22" s="2" t="n">
        <v>46251</v>
      </c>
      <c r="J22" t="inlineStr">
        <is>
          <t>Pencabutan</t>
        </is>
      </c>
      <c r="K22" t="n">
        <v>60</v>
      </c>
      <c r="L22" t="inlineStr">
        <is>
          <t>17 Agustus 2026</t>
        </is>
      </c>
      <c r="M22" t="inlineStr">
        <is>
          <t>Konstruksi Bangunan Sipil Jalan</t>
        </is>
      </c>
      <c r="N22" t="inlineStr">
        <is>
          <t>K</t>
        </is>
      </c>
      <c r="O22" t="inlineStr">
        <is>
          <t>20230614</t>
        </is>
      </c>
      <c r="P22" t="inlineStr">
        <is>
          <t>Jawa Barat</t>
        </is>
      </c>
      <c r="Q22" s="3">
        <f>HYPERLINK("https://wa.me/628561127343?text=*[PENGINGAT MASA BERLAKU SBU SWADAYA ADHIGUNA]*%0A%0AYth. Pimpinan SWADAYA ADHIGUNA,%0AMohon izin menginformasikan status SBU Anda di sistem LPJK:%0A%0A📄 SBU: BS001%0A📅 Expired: 17 Agustus 2026 (60 Hari Lagi)%0A%0AKami tim PT. ESDEA Assistance Management siap men-support proses perpanjangan segera agar administrasi proyek tidak terhambat%0A%0AApakah boleh saya bantu siapkan estimasi biaya dan waktu pengerjaannya?.", "Hubungi")</f>
        <v/>
      </c>
    </row>
    <row r="23">
      <c r="A23" t="inlineStr">
        <is>
          <t>TARA BINTANG PERMAI</t>
        </is>
      </c>
      <c r="B23" t="inlineStr">
        <is>
          <t>Kota Adm. Jakarta Timur</t>
        </is>
      </c>
      <c r="C23" t="inlineStr">
        <is>
          <t>081383123631</t>
        </is>
      </c>
      <c r="D23" t="inlineStr">
        <is>
          <t>pt.tarabintangpermai@gmail.com</t>
        </is>
      </c>
      <c r="E23" t="inlineStr">
        <is>
          <t>https://lpjk.pu.go.id/search-badan-usaha-detail/UkhJbldJREM3Y0REZjFQZm1UVCsvdz09</t>
        </is>
      </c>
      <c r="F23" t="n">
        <v>2</v>
      </c>
      <c r="G23" t="inlineStr">
        <is>
          <t>BG002, BS004</t>
        </is>
      </c>
      <c r="H23" t="inlineStr">
        <is>
          <t>9 Februari 2016</t>
        </is>
      </c>
      <c r="I23" s="2" t="n">
        <v>46251</v>
      </c>
      <c r="J23" t="inlineStr">
        <is>
          <t>Disetujui</t>
        </is>
      </c>
      <c r="K23" t="n">
        <v>60</v>
      </c>
      <c r="L23" t="inlineStr">
        <is>
          <t>17 Agustus 2026</t>
        </is>
      </c>
      <c r="M23" t="inlineStr">
        <is>
          <t>Konstruksi Gedung Perkantoran, Konstruksi Jaringan Irigasi dan Drainase</t>
        </is>
      </c>
      <c r="N23" t="inlineStr">
        <is>
          <t>K</t>
        </is>
      </c>
      <c r="O23" t="inlineStr">
        <is>
          <t>20230613, 20230731</t>
        </is>
      </c>
      <c r="P23" t="inlineStr">
        <is>
          <t>DKI Jakarta</t>
        </is>
      </c>
      <c r="Q23" s="3">
        <f>HYPERLINK("https://wa.me/6281383123631?text=*[PENGINGAT MASA BERLAKU SBU TARA BINTANG PERMAI]*%0A%0AYth. Pimpinan TARA BINTANG PERMAI,%0AMohon izin menginformasikan status SBU Anda di sistem LPJK:%0A%0A📄 SBU: BG002, BS004%0A📅 Expired: 17 Agustus 2026 (60 Hari Lagi)%0A%0AKami tim PT. ESDEA Assistance Management siap men-support proses perpanjangan segera agar administrasi proyek tidak terhambat%0A%0AApakah boleh saya bantu siapkan estimasi biaya dan waktu pengerjaannya?.", "Hubungi")</f>
        <v/>
      </c>
    </row>
    <row r="24">
      <c r="A24" t="inlineStr">
        <is>
          <t>ABHINAYA UDAYA</t>
        </is>
      </c>
      <c r="B24" t="inlineStr">
        <is>
          <t>Kab. Nganjuk</t>
        </is>
      </c>
      <c r="C24" t="inlineStr">
        <is>
          <t>082260608686</t>
        </is>
      </c>
      <c r="D24" t="inlineStr">
        <is>
          <t>cv.abinayaudaya@gmail.com</t>
        </is>
      </c>
      <c r="E24" t="inlineStr">
        <is>
          <t>https://lpjk.pu.go.id/search-badan-usaha-detail/RW80ZVQ0UElxVnVrQmtLWlNYUkxrQT09</t>
        </is>
      </c>
      <c r="F24" t="n">
        <v>2</v>
      </c>
      <c r="G24" t="inlineStr">
        <is>
          <t>BG002</t>
        </is>
      </c>
      <c r="H24" t="inlineStr">
        <is>
          <t>10 Februari 2023</t>
        </is>
      </c>
      <c r="I24" s="2" t="n">
        <v>46251</v>
      </c>
      <c r="J24" t="inlineStr">
        <is>
          <t>Pencabutan</t>
        </is>
      </c>
      <c r="K24" t="n">
        <v>60</v>
      </c>
      <c r="L24" t="inlineStr">
        <is>
          <t>17 Agustus 2026</t>
        </is>
      </c>
      <c r="M24" t="inlineStr">
        <is>
          <t>Konstruksi Gedung Perkantoran</t>
        </is>
      </c>
      <c r="N24" t="inlineStr">
        <is>
          <t>K</t>
        </is>
      </c>
      <c r="O24" t="inlineStr">
        <is>
          <t>20230815</t>
        </is>
      </c>
      <c r="P24" t="inlineStr">
        <is>
          <t>Jawa Timur</t>
        </is>
      </c>
      <c r="Q24" t="inlineStr"/>
    </row>
    <row r="25">
      <c r="A25" t="inlineStr">
        <is>
          <t>ADHI DAYA</t>
        </is>
      </c>
      <c r="B25" t="inlineStr">
        <is>
          <t>Kota Bontang</t>
        </is>
      </c>
      <c r="C25" t="inlineStr">
        <is>
          <t>081343688753</t>
        </is>
      </c>
      <c r="D25" t="inlineStr">
        <is>
          <t>latanratuadhi@gmail.com</t>
        </is>
      </c>
      <c r="E25" t="inlineStr">
        <is>
          <t>https://lpjk.pu.go.id/search-badan-usaha-detail/b3dUVUxvWXlZNFJYVmxBajBwOXZnUT09</t>
        </is>
      </c>
      <c r="F25" t="n">
        <v>2</v>
      </c>
      <c r="G25" t="inlineStr">
        <is>
          <t>BS001, BS004</t>
        </is>
      </c>
      <c r="H25" t="inlineStr">
        <is>
          <t>24 Maret 2016</t>
        </is>
      </c>
      <c r="I25" s="2" t="n">
        <v>46251</v>
      </c>
      <c r="J25" t="inlineStr">
        <is>
          <t>Disetujui</t>
        </is>
      </c>
      <c r="K25" t="n">
        <v>60</v>
      </c>
      <c r="L25" t="inlineStr">
        <is>
          <t>17 Agustus 2026</t>
        </is>
      </c>
      <c r="M25" t="inlineStr">
        <is>
          <t>Konstruksi Bangunan Sipil Jalan, Konstruksi Jaringan Irigasi dan Drainase</t>
        </is>
      </c>
      <c r="N25" t="inlineStr">
        <is>
          <t>K</t>
        </is>
      </c>
      <c r="O25" t="inlineStr">
        <is>
          <t>20230815, 20230816</t>
        </is>
      </c>
      <c r="P25" t="inlineStr">
        <is>
          <t>Kalimantan Timur</t>
        </is>
      </c>
      <c r="Q25" t="inlineStr"/>
    </row>
    <row r="26">
      <c r="A26" t="inlineStr">
        <is>
          <t>ADHIPRAMANA DIMITRA SURYA</t>
        </is>
      </c>
      <c r="B26" t="inlineStr">
        <is>
          <t>Kab. Kapuas Hulu</t>
        </is>
      </c>
      <c r="C26" t="inlineStr">
        <is>
          <t>082159873508</t>
        </is>
      </c>
      <c r="D26" t="inlineStr">
        <is>
          <t>Adhipramanadimitrasurya@gmail.com</t>
        </is>
      </c>
      <c r="E26" t="inlineStr">
        <is>
          <t>https://lpjk.pu.go.id/search-badan-usaha-detail/bkRBRFFjQWJHbUYwUmVXbitoN0RQdz09</t>
        </is>
      </c>
      <c r="F26" t="n">
        <v>1</v>
      </c>
      <c r="G26" t="inlineStr">
        <is>
          <t>BS004</t>
        </is>
      </c>
      <c r="H26" t="inlineStr">
        <is>
          <t>3 Juli 2020</t>
        </is>
      </c>
      <c r="I26" s="2" t="n">
        <v>46251</v>
      </c>
      <c r="J26" t="inlineStr">
        <is>
          <t>Disetujui</t>
        </is>
      </c>
      <c r="K26" t="n">
        <v>60</v>
      </c>
      <c r="L26" t="inlineStr">
        <is>
          <t>17 Agustus 2026</t>
        </is>
      </c>
      <c r="M26" t="inlineStr">
        <is>
          <t>Konstruksi Jaringan Irigasi dan Drainase</t>
        </is>
      </c>
      <c r="N26" t="inlineStr">
        <is>
          <t>K</t>
        </is>
      </c>
      <c r="O26" t="inlineStr">
        <is>
          <t>20230816</t>
        </is>
      </c>
      <c r="P26" t="inlineStr">
        <is>
          <t>Kalimantan Barat</t>
        </is>
      </c>
      <c r="Q26" t="inlineStr"/>
    </row>
    <row r="27">
      <c r="A27" t="inlineStr">
        <is>
          <t>ADI PRIMA</t>
        </is>
      </c>
      <c r="B27" t="inlineStr">
        <is>
          <t>Kab. Gresik</t>
        </is>
      </c>
      <c r="C27" t="inlineStr">
        <is>
          <t>081249009700</t>
        </is>
      </c>
      <c r="D27" t="inlineStr">
        <is>
          <t>adiprima.adm@gmail.com</t>
        </is>
      </c>
      <c r="E27" t="inlineStr">
        <is>
          <t>https://lpjk.pu.go.id/search-badan-usaha-detail/YjlGUlUvcWdYVWFhbG1VOEh1M2hSdz09</t>
        </is>
      </c>
      <c r="F27" t="n">
        <v>1</v>
      </c>
      <c r="G27" t="inlineStr">
        <is>
          <t>BS006</t>
        </is>
      </c>
      <c r="H27" t="inlineStr">
        <is>
          <t>19 April 2014</t>
        </is>
      </c>
      <c r="I27" s="2" t="n">
        <v>46251</v>
      </c>
      <c r="J27" t="inlineStr">
        <is>
          <t>Disetujui</t>
        </is>
      </c>
      <c r="K27" t="n">
        <v>60</v>
      </c>
      <c r="L27" t="inlineStr">
        <is>
          <t>17 Agustus 2026</t>
        </is>
      </c>
      <c r="M27" t="inlineStr">
        <is>
          <t>Konstruksi Bangunan Sipil Prasarana dan Sarana Sistem Pengolahan Limbah Padat, Cair, dan Gas</t>
        </is>
      </c>
      <c r="N27" t="inlineStr">
        <is>
          <t>K</t>
        </is>
      </c>
      <c r="O27" t="inlineStr">
        <is>
          <t>20230811</t>
        </is>
      </c>
      <c r="P27" t="inlineStr">
        <is>
          <t>Jawa Timur</t>
        </is>
      </c>
      <c r="Q27" t="inlineStr"/>
    </row>
    <row r="28">
      <c r="A28" t="inlineStr">
        <is>
          <t>ADITYA JAYA UTAMA</t>
        </is>
      </c>
      <c r="B28" t="inlineStr">
        <is>
          <t>Kota Makassar</t>
        </is>
      </c>
      <c r="C28" t="inlineStr">
        <is>
          <t>0411-4672747</t>
        </is>
      </c>
      <c r="D28" t="inlineStr">
        <is>
          <t>cvadityajayautama68@gmail.com</t>
        </is>
      </c>
      <c r="E28" t="inlineStr">
        <is>
          <t>https://lpjk.pu.go.id/search-badan-usaha-detail/enBjTjFhK0RwRE9oSXlLTWtJWjhLdz09</t>
        </is>
      </c>
      <c r="F28" t="n">
        <v>1</v>
      </c>
      <c r="G28" t="inlineStr">
        <is>
          <t>BG002</t>
        </is>
      </c>
      <c r="H28" t="inlineStr">
        <is>
          <t>22 Agustus 2016</t>
        </is>
      </c>
      <c r="I28" s="2" t="n">
        <v>46251</v>
      </c>
      <c r="J28" t="inlineStr">
        <is>
          <t>Disetujui</t>
        </is>
      </c>
      <c r="K28" t="n">
        <v>60</v>
      </c>
      <c r="L28" t="inlineStr">
        <is>
          <t>17 Agustus 2026</t>
        </is>
      </c>
      <c r="M28" t="inlineStr">
        <is>
          <t>Konstruksi Gedung Perkantoran</t>
        </is>
      </c>
      <c r="N28" t="inlineStr">
        <is>
          <t>K</t>
        </is>
      </c>
      <c r="O28" t="inlineStr">
        <is>
          <t>20230817</t>
        </is>
      </c>
      <c r="P28" t="inlineStr">
        <is>
          <t>Sulawesi Selatan</t>
        </is>
      </c>
      <c r="Q28" t="inlineStr"/>
    </row>
    <row r="29">
      <c r="A29" t="inlineStr">
        <is>
          <t>ADJIE KARYA SEJAHTERA</t>
        </is>
      </c>
      <c r="B29" t="inlineStr">
        <is>
          <t>Kota Surakarta</t>
        </is>
      </c>
      <c r="C29" t="inlineStr">
        <is>
          <t>082323188902</t>
        </is>
      </c>
      <c r="D29" t="inlineStr">
        <is>
          <t>adjiekaryasejahtera112@gmail.com</t>
        </is>
      </c>
      <c r="E29" t="inlineStr">
        <is>
          <t>https://lpjk.pu.go.id/search-badan-usaha-detail/Sy83dlhwMElnS3NwVHFLSjZiQnRXZz09</t>
        </is>
      </c>
      <c r="F29" t="n">
        <v>1</v>
      </c>
      <c r="G29" t="inlineStr">
        <is>
          <t>BG002</t>
        </is>
      </c>
      <c r="H29" t="inlineStr">
        <is>
          <t>4 Mei 2023</t>
        </is>
      </c>
      <c r="I29" s="2" t="n">
        <v>46251</v>
      </c>
      <c r="J29" t="inlineStr">
        <is>
          <t>Disetujui</t>
        </is>
      </c>
      <c r="K29" t="n">
        <v>60</v>
      </c>
      <c r="L29" t="inlineStr">
        <is>
          <t>17 Agustus 2026</t>
        </is>
      </c>
      <c r="M29" t="inlineStr">
        <is>
          <t>Konstruksi Gedung Perkantoran</t>
        </is>
      </c>
      <c r="N29" t="inlineStr">
        <is>
          <t>K</t>
        </is>
      </c>
      <c r="O29" t="inlineStr">
        <is>
          <t>20230811</t>
        </is>
      </c>
      <c r="P29" t="inlineStr">
        <is>
          <t>Jawa Tengah</t>
        </is>
      </c>
      <c r="Q29" t="inlineStr"/>
    </row>
    <row r="30">
      <c r="A30" t="inlineStr">
        <is>
          <t>AKSATA JAYA CONSULINDO</t>
        </is>
      </c>
      <c r="B30" t="inlineStr">
        <is>
          <t>Kab. Pandeglang</t>
        </is>
      </c>
      <c r="C30" t="inlineStr">
        <is>
          <t>085920024499</t>
        </is>
      </c>
      <c r="D30" t="inlineStr">
        <is>
          <t>aksatajayaconsulindo@gmail.com</t>
        </is>
      </c>
      <c r="E30" t="inlineStr">
        <is>
          <t>https://lpjk.pu.go.id/search-badan-usaha-detail/THBtWE95N2x5VTVHcWJGdHBSU3orZz09</t>
        </is>
      </c>
      <c r="F30" t="n">
        <v>2</v>
      </c>
      <c r="G30" t="inlineStr">
        <is>
          <t>RK002</t>
        </is>
      </c>
      <c r="H30" t="inlineStr">
        <is>
          <t>3 Januari 2020</t>
        </is>
      </c>
      <c r="I30" s="2" t="n">
        <v>46251</v>
      </c>
      <c r="J30" t="inlineStr">
        <is>
          <t>Disetujui</t>
        </is>
      </c>
      <c r="K30" t="n">
        <v>60</v>
      </c>
      <c r="L30" t="inlineStr">
        <is>
          <t>17 Agustus 2026</t>
        </is>
      </c>
      <c r="M30" t="inlineStr">
        <is>
          <t>Jasa Rekayasa Pekerjaan Teknik Sipil Sumber Daya Air</t>
        </is>
      </c>
      <c r="N30" t="inlineStr">
        <is>
          <t>K</t>
        </is>
      </c>
      <c r="O30" t="inlineStr">
        <is>
          <t>20230807</t>
        </is>
      </c>
      <c r="P30" t="inlineStr">
        <is>
          <t>Banten</t>
        </is>
      </c>
      <c r="Q30" t="inlineStr"/>
    </row>
    <row r="31">
      <c r="A31" t="inlineStr">
        <is>
          <t>ALAM MAJU JAYA</t>
        </is>
      </c>
      <c r="B31" t="inlineStr">
        <is>
          <t>Kota Palembang</t>
        </is>
      </c>
      <c r="C31" t="inlineStr">
        <is>
          <t>082184829988</t>
        </is>
      </c>
      <c r="D31" t="inlineStr">
        <is>
          <t>ptalammajujaya@gmail.com</t>
        </is>
      </c>
      <c r="E31" t="inlineStr">
        <is>
          <t>https://lpjk.pu.go.id/search-badan-usaha-detail/RDd2L2pqZmtQNmJyZWMzMXBLbFM3dz09</t>
        </is>
      </c>
      <c r="F31" t="n">
        <v>1</v>
      </c>
      <c r="G31" t="inlineStr">
        <is>
          <t>BS001</t>
        </is>
      </c>
      <c r="H31" t="inlineStr">
        <is>
          <t>22 Februari 2019</t>
        </is>
      </c>
      <c r="I31" s="2" t="n">
        <v>46251</v>
      </c>
      <c r="J31" t="inlineStr">
        <is>
          <t>Disetujui</t>
        </is>
      </c>
      <c r="K31" t="n">
        <v>60</v>
      </c>
      <c r="L31" t="inlineStr">
        <is>
          <t>17 Agustus 2026</t>
        </is>
      </c>
      <c r="M31" t="inlineStr">
        <is>
          <t>Konstruksi Bangunan Sipil Jalan</t>
        </is>
      </c>
      <c r="N31" t="inlineStr">
        <is>
          <t>M</t>
        </is>
      </c>
      <c r="O31" t="inlineStr">
        <is>
          <t>20230815</t>
        </is>
      </c>
      <c r="P31" t="inlineStr">
        <is>
          <t>Sumatera Selatan</t>
        </is>
      </c>
      <c r="Q31" t="inlineStr"/>
    </row>
    <row r="32">
      <c r="A32" t="inlineStr">
        <is>
          <t>ALAM MANILA PERSADA</t>
        </is>
      </c>
      <c r="B32" t="inlineStr">
        <is>
          <t>Kab. Halmahera Barat</t>
        </is>
      </c>
      <c r="C32" t="inlineStr">
        <is>
          <t>-</t>
        </is>
      </c>
      <c r="D32" t="inlineStr">
        <is>
          <t>alammanilapersadacv@gmail.com</t>
        </is>
      </c>
      <c r="E32" t="inlineStr">
        <is>
          <t>https://lpjk.pu.go.id/search-badan-usaha-detail/dFNudnZoSGxiUy9nQWhvWkJCKytRQT09</t>
        </is>
      </c>
      <c r="F32" t="n">
        <v>3</v>
      </c>
      <c r="G32" t="inlineStr">
        <is>
          <t>BG006, BG008, BG009</t>
        </is>
      </c>
      <c r="H32" t="inlineStr">
        <is>
          <t>20 Juli 2023</t>
        </is>
      </c>
      <c r="I32" s="2" t="n">
        <v>46251</v>
      </c>
      <c r="J32" t="inlineStr">
        <is>
          <t>Pencabutan</t>
        </is>
      </c>
      <c r="K32" t="n">
        <v>60</v>
      </c>
      <c r="L32" t="inlineStr">
        <is>
          <t>17 Agustus 2026</t>
        </is>
      </c>
      <c r="M32" t="inlineStr">
        <is>
          <t>Konstruksi Gedung Lainnya, Konstruksi Gedung Pendidikan, Konstruksi Gedung Tempat Hiburan dan Olahraga</t>
        </is>
      </c>
      <c r="N32" t="inlineStr">
        <is>
          <t>K</t>
        </is>
      </c>
      <c r="O32" t="inlineStr">
        <is>
          <t>20230815</t>
        </is>
      </c>
      <c r="P32" t="inlineStr">
        <is>
          <t>Maluku Utara</t>
        </is>
      </c>
      <c r="Q32" t="inlineStr"/>
    </row>
    <row r="33">
      <c r="A33" t="inlineStr">
        <is>
          <t>ALAM MUSI RAYA</t>
        </is>
      </c>
      <c r="B33" t="inlineStr">
        <is>
          <t>Kota Palembang</t>
        </is>
      </c>
      <c r="C33" t="inlineStr">
        <is>
          <t>08117191197</t>
        </is>
      </c>
      <c r="D33" t="inlineStr">
        <is>
          <t>alam.musiraya@gmail.com</t>
        </is>
      </c>
      <c r="E33" t="inlineStr">
        <is>
          <t>https://lpjk.pu.go.id/search-badan-usaha-detail/TFlCdHk1YVBMUW9Ha2NsMVhaNjl6UT09</t>
        </is>
      </c>
      <c r="F33" t="n">
        <v>1</v>
      </c>
      <c r="G33" t="inlineStr">
        <is>
          <t>BS001</t>
        </is>
      </c>
      <c r="H33" t="inlineStr">
        <is>
          <t>24 Juni 2023</t>
        </is>
      </c>
      <c r="I33" s="2" t="n">
        <v>46251</v>
      </c>
      <c r="J33" t="inlineStr">
        <is>
          <t>Disetujui</t>
        </is>
      </c>
      <c r="K33" t="n">
        <v>60</v>
      </c>
      <c r="L33" t="inlineStr">
        <is>
          <t>17 Agustus 2026</t>
        </is>
      </c>
      <c r="M33" t="inlineStr">
        <is>
          <t>Konstruksi Bangunan Sipil Jalan</t>
        </is>
      </c>
      <c r="N33" t="inlineStr">
        <is>
          <t>K</t>
        </is>
      </c>
      <c r="O33" t="inlineStr">
        <is>
          <t>20230805</t>
        </is>
      </c>
      <c r="P33" t="inlineStr">
        <is>
          <t>Sumatera Selatan</t>
        </is>
      </c>
      <c r="Q33" t="inlineStr"/>
    </row>
    <row r="34">
      <c r="A34" t="inlineStr">
        <is>
          <t>ALFATAH</t>
        </is>
      </c>
      <c r="B34" t="inlineStr">
        <is>
          <t>Kab. Tulungagung</t>
        </is>
      </c>
      <c r="C34" t="inlineStr">
        <is>
          <t>081234331515</t>
        </is>
      </c>
      <c r="D34" t="inlineStr">
        <is>
          <t>CV.ALFATAH@GMAIL.COM</t>
        </is>
      </c>
      <c r="E34" t="inlineStr">
        <is>
          <t>https://lpjk.pu.go.id/search-badan-usaha-detail/dHVlSGR6SFFHZDJlVGtNREpTR25FQT09</t>
        </is>
      </c>
      <c r="F34" t="n">
        <v>6</v>
      </c>
      <c r="G34" t="inlineStr">
        <is>
          <t>BG005, BS004</t>
        </is>
      </c>
      <c r="H34" t="inlineStr">
        <is>
          <t>25 Mei 1999</t>
        </is>
      </c>
      <c r="I34" s="2" t="n">
        <v>46251</v>
      </c>
      <c r="J34" t="inlineStr">
        <is>
          <t>Disetujui</t>
        </is>
      </c>
      <c r="K34" t="n">
        <v>60</v>
      </c>
      <c r="L34" t="inlineStr">
        <is>
          <t>17 Agustus 2026</t>
        </is>
      </c>
      <c r="M34" t="inlineStr">
        <is>
          <t>Konstruksi Gedung Kesehatan, Konstruksi Jaringan Irigasi dan Drainase</t>
        </is>
      </c>
      <c r="N34" t="inlineStr">
        <is>
          <t>K</t>
        </is>
      </c>
      <c r="O34" t="inlineStr">
        <is>
          <t>20230811</t>
        </is>
      </c>
      <c r="P34" t="inlineStr">
        <is>
          <t>Jawa Timur</t>
        </is>
      </c>
      <c r="Q34" t="inlineStr"/>
    </row>
    <row r="35">
      <c r="A35" t="inlineStr">
        <is>
          <t>ANA KARYA JAYA</t>
        </is>
      </c>
      <c r="B35" t="inlineStr">
        <is>
          <t>Kab. Asahan</t>
        </is>
      </c>
      <c r="C35" t="inlineStr">
        <is>
          <t>081268401300</t>
        </is>
      </c>
      <c r="D35" t="inlineStr">
        <is>
          <t>pt.anakaryajaya@yahoo.com</t>
        </is>
      </c>
      <c r="E35" t="inlineStr">
        <is>
          <t>https://lpjk.pu.go.id/search-badan-usaha-detail/Y0t4Zll6alJNWnBJWlFYVzF2QUUydz09</t>
        </is>
      </c>
      <c r="F35" t="n">
        <v>1</v>
      </c>
      <c r="G35" t="inlineStr">
        <is>
          <t>BS001</t>
        </is>
      </c>
      <c r="H35" t="inlineStr">
        <is>
          <t>28 April 2003</t>
        </is>
      </c>
      <c r="I35" s="2" t="n">
        <v>46251</v>
      </c>
      <c r="J35" t="inlineStr">
        <is>
          <t>Disetujui</t>
        </is>
      </c>
      <c r="K35" t="n">
        <v>60</v>
      </c>
      <c r="L35" t="inlineStr">
        <is>
          <t>17 Agustus 2026</t>
        </is>
      </c>
      <c r="M35" t="inlineStr">
        <is>
          <t>Konstruksi Bangunan Sipil Jalan</t>
        </is>
      </c>
      <c r="N35" t="inlineStr">
        <is>
          <t>M</t>
        </is>
      </c>
      <c r="O35" t="inlineStr">
        <is>
          <t>20230816</t>
        </is>
      </c>
      <c r="P35" t="inlineStr">
        <is>
          <t>Sumatera Utara</t>
        </is>
      </c>
      <c r="Q35" t="inlineStr"/>
    </row>
    <row r="36">
      <c r="A36" t="inlineStr">
        <is>
          <t>ANGGREK BULAN</t>
        </is>
      </c>
      <c r="B36" t="inlineStr">
        <is>
          <t>Kota Banjarmasin</t>
        </is>
      </c>
      <c r="C36" t="inlineStr">
        <is>
          <t>082352115100</t>
        </is>
      </c>
      <c r="D36" t="inlineStr">
        <is>
          <t>windariana08@yahoo.com</t>
        </is>
      </c>
      <c r="E36" t="inlineStr">
        <is>
          <t>https://lpjk.pu.go.id/search-badan-usaha-detail/ODJITWE2N0VMNEF2S2E5ZDlQZGNXQT09</t>
        </is>
      </c>
      <c r="F36" t="n">
        <v>1</v>
      </c>
      <c r="G36" t="inlineStr">
        <is>
          <t>BS004</t>
        </is>
      </c>
      <c r="H36" t="inlineStr">
        <is>
          <t>16 Oktober 2013</t>
        </is>
      </c>
      <c r="I36" s="2" t="n">
        <v>46251</v>
      </c>
      <c r="J36" t="inlineStr">
        <is>
          <t>Disetujui</t>
        </is>
      </c>
      <c r="K36" t="n">
        <v>60</v>
      </c>
      <c r="L36" t="inlineStr">
        <is>
          <t>17 Agustus 2026</t>
        </is>
      </c>
      <c r="M36" t="inlineStr">
        <is>
          <t>Konstruksi Jaringan Irigasi dan Drainase</t>
        </is>
      </c>
      <c r="N36" t="inlineStr">
        <is>
          <t>K</t>
        </is>
      </c>
      <c r="O36" t="inlineStr">
        <is>
          <t>20230808</t>
        </is>
      </c>
      <c r="P36" t="inlineStr">
        <is>
          <t>Kalimantan Selatan</t>
        </is>
      </c>
      <c r="Q36" t="inlineStr"/>
    </row>
    <row r="37">
      <c r="A37" t="inlineStr">
        <is>
          <t>ASGHON BANGUN PERSADA</t>
        </is>
      </c>
      <c r="B37" t="inlineStr">
        <is>
          <t>Kab. Majalengka</t>
        </is>
      </c>
      <c r="C37" t="inlineStr">
        <is>
          <t>0811241220</t>
        </is>
      </c>
      <c r="D37" t="inlineStr">
        <is>
          <t>asghonbangunpersada768@gmail.com</t>
        </is>
      </c>
      <c r="E37" t="inlineStr">
        <is>
          <t>https://lpjk.pu.go.id/search-badan-usaha-detail/NmJqbVYvaTErd0hISzNzRzMrY0JiZz09</t>
        </is>
      </c>
      <c r="F37" t="n">
        <v>2</v>
      </c>
      <c r="G37" t="inlineStr">
        <is>
          <t>BG004, BG005</t>
        </is>
      </c>
      <c r="H37" t="inlineStr">
        <is>
          <t>26 November 2018</t>
        </is>
      </c>
      <c r="I37" s="2" t="n">
        <v>46251</v>
      </c>
      <c r="J37" t="inlineStr">
        <is>
          <t>Disetujui</t>
        </is>
      </c>
      <c r="K37" t="n">
        <v>60</v>
      </c>
      <c r="L37" t="inlineStr">
        <is>
          <t>17 Agustus 2026</t>
        </is>
      </c>
      <c r="M37" t="inlineStr">
        <is>
          <t>Konstruksi Gedung Kesehatan, Konstruksi Gedung Perbelanjaan</t>
        </is>
      </c>
      <c r="N37" t="inlineStr">
        <is>
          <t>K</t>
        </is>
      </c>
      <c r="O37" t="inlineStr">
        <is>
          <t>20230817</t>
        </is>
      </c>
      <c r="P37" t="inlineStr">
        <is>
          <t>Jawa Barat</t>
        </is>
      </c>
      <c r="Q37" t="inlineStr"/>
    </row>
    <row r="38">
      <c r="A38" t="inlineStr">
        <is>
          <t>ASIA JAYA PRIMA</t>
        </is>
      </c>
      <c r="B38" t="inlineStr">
        <is>
          <t>Kab. Pangkajene Kepulauan</t>
        </is>
      </c>
      <c r="C38" t="inlineStr">
        <is>
          <t>085220217777</t>
        </is>
      </c>
      <c r="D38" t="inlineStr">
        <is>
          <t>asiajayaprima2@gmail.com</t>
        </is>
      </c>
      <c r="E38" t="inlineStr">
        <is>
          <t>https://lpjk.pu.go.id/search-badan-usaha-detail/OC9TNjROekZGb2FFaDUxTmw2Y0RRUT09</t>
        </is>
      </c>
      <c r="F38" t="n">
        <v>6</v>
      </c>
      <c r="G38" t="inlineStr">
        <is>
          <t>BG001, BG005, BG006, BG008, BS001, BS004</t>
        </is>
      </c>
      <c r="H38" t="inlineStr">
        <is>
          <t>8 Juli 2015</t>
        </is>
      </c>
      <c r="I38" s="2" t="n">
        <v>46251</v>
      </c>
      <c r="J38" t="inlineStr">
        <is>
          <t>Disetujui</t>
        </is>
      </c>
      <c r="K38" t="n">
        <v>60</v>
      </c>
      <c r="L38" t="inlineStr">
        <is>
          <t>17 Agustus 2026</t>
        </is>
      </c>
      <c r="M38" t="inlineStr">
        <is>
          <t>Konstruksi Bangunan Sipil Jalan, Konstruksi Gedung Hunian, Konstruksi Gedung Kesehatan, Konstruksi Gedung Pendidikan, Konstruksi Gedung Tempat Hiburan dan Olahraga, Konstruksi Jaringan Irigasi dan Drainase</t>
        </is>
      </c>
      <c r="N38" t="inlineStr">
        <is>
          <t>K</t>
        </is>
      </c>
      <c r="O38" t="inlineStr">
        <is>
          <t>20230811, 20230815</t>
        </is>
      </c>
      <c r="P38" t="inlineStr">
        <is>
          <t>Sulawesi Selatan</t>
        </is>
      </c>
      <c r="Q38" t="inlineStr"/>
    </row>
    <row r="39">
      <c r="A39" t="inlineStr">
        <is>
          <t>ATHAYA JASA KONSTRUKSI</t>
        </is>
      </c>
      <c r="B39" t="inlineStr">
        <is>
          <t>Kota Medan</t>
        </is>
      </c>
      <c r="C39" t="inlineStr">
        <is>
          <t>081362791945</t>
        </is>
      </c>
      <c r="D39" t="inlineStr">
        <is>
          <t>athayajasakonstruksi@gmail.com</t>
        </is>
      </c>
      <c r="E39" t="inlineStr">
        <is>
          <t>https://lpjk.pu.go.id/search-badan-usaha-detail/d3Q3SUhKU1pHYlducmFSZ243OE9YZz09</t>
        </is>
      </c>
      <c r="F39" t="n">
        <v>3</v>
      </c>
      <c r="G39" t="inlineStr">
        <is>
          <t>BG005, BG006, BG008</t>
        </is>
      </c>
      <c r="H39" t="inlineStr">
        <is>
          <t>22 Oktober 2020</t>
        </is>
      </c>
      <c r="I39" s="2" t="n">
        <v>46251</v>
      </c>
      <c r="J39" t="inlineStr">
        <is>
          <t>Disetujui</t>
        </is>
      </c>
      <c r="K39" t="n">
        <v>60</v>
      </c>
      <c r="L39" t="inlineStr">
        <is>
          <t>17 Agustus 2026</t>
        </is>
      </c>
      <c r="M39" t="inlineStr">
        <is>
          <t>Konstruksi Gedung Kesehatan, Konstruksi Gedung Pendidikan, Konstruksi Gedung Tempat Hiburan dan Olahraga</t>
        </is>
      </c>
      <c r="N39" t="inlineStr">
        <is>
          <t>K</t>
        </is>
      </c>
      <c r="O39" t="inlineStr">
        <is>
          <t>20230816, 20230817</t>
        </is>
      </c>
      <c r="P39" t="inlineStr">
        <is>
          <t>Sumatera Utara</t>
        </is>
      </c>
      <c r="Q39" t="inlineStr"/>
    </row>
    <row r="40">
      <c r="A40" t="inlineStr">
        <is>
          <t>ATTAR PRATAMA</t>
        </is>
      </c>
      <c r="B40" t="inlineStr">
        <is>
          <t>Kota Kendari</t>
        </is>
      </c>
      <c r="C40" t="inlineStr">
        <is>
          <t>085241855118</t>
        </is>
      </c>
      <c r="D40" t="inlineStr">
        <is>
          <t>cvattarpratama@yahoo.com</t>
        </is>
      </c>
      <c r="E40" t="inlineStr">
        <is>
          <t>https://lpjk.pu.go.id/search-badan-usaha-detail/ZmRkRUVXL3dObHJPbFRYTU9tVnBhZz09</t>
        </is>
      </c>
      <c r="F40" t="n">
        <v>1</v>
      </c>
      <c r="G40" t="inlineStr">
        <is>
          <t>BS002</t>
        </is>
      </c>
      <c r="H40" t="inlineStr">
        <is>
          <t>7 Juni 2021</t>
        </is>
      </c>
      <c r="I40" s="2" t="n">
        <v>46251</v>
      </c>
      <c r="J40" t="inlineStr">
        <is>
          <t>Pencabutan</t>
        </is>
      </c>
      <c r="K40" t="n">
        <v>60</v>
      </c>
      <c r="L40" t="inlineStr">
        <is>
          <t>17 Agustus 2026</t>
        </is>
      </c>
      <c r="M40" t="inlineStr">
        <is>
          <t>Bangunan Sipil Jembatan, Jalan Layang, Fly Over, dan Underpass</t>
        </is>
      </c>
      <c r="N40" t="inlineStr">
        <is>
          <t>K</t>
        </is>
      </c>
      <c r="O40" t="inlineStr">
        <is>
          <t>20230815</t>
        </is>
      </c>
      <c r="P40" t="inlineStr">
        <is>
          <t>Sulawesi Tenggara</t>
        </is>
      </c>
      <c r="Q40" t="inlineStr"/>
    </row>
    <row r="41">
      <c r="A41" t="inlineStr">
        <is>
          <t>AURA SINAR BARU</t>
        </is>
      </c>
      <c r="B41" t="inlineStr">
        <is>
          <t>Kota Surabaya</t>
        </is>
      </c>
      <c r="C41" t="inlineStr">
        <is>
          <t>0318280866</t>
        </is>
      </c>
      <c r="D41" t="inlineStr">
        <is>
          <t>sinarbarutirta@gmail.com</t>
        </is>
      </c>
      <c r="E41" t="inlineStr">
        <is>
          <t>https://lpjk.pu.go.id/search-badan-usaha-detail/MkZUaTV4MXZsaVBwYXo3dkxBZWtUZz09</t>
        </is>
      </c>
      <c r="F41" t="n">
        <v>1</v>
      </c>
      <c r="G41" t="inlineStr">
        <is>
          <t>BS012</t>
        </is>
      </c>
      <c r="H41" t="inlineStr">
        <is>
          <t>9 November 2006</t>
        </is>
      </c>
      <c r="I41" s="2" t="n">
        <v>46251</v>
      </c>
      <c r="J41" t="inlineStr">
        <is>
          <t>Disetujui</t>
        </is>
      </c>
      <c r="K41" t="n">
        <v>60</v>
      </c>
      <c r="L41" t="inlineStr">
        <is>
          <t>17 Agustus 2026</t>
        </is>
      </c>
      <c r="M41" t="inlineStr">
        <is>
          <t>Konstruksi Bangunan Pelabuhan Perikanan</t>
        </is>
      </c>
      <c r="N41" t="inlineStr">
        <is>
          <t>M</t>
        </is>
      </c>
      <c r="O41" t="inlineStr">
        <is>
          <t>20230814</t>
        </is>
      </c>
      <c r="P41" t="inlineStr">
        <is>
          <t>Jawa Timur</t>
        </is>
      </c>
      <c r="Q41" t="inlineStr"/>
    </row>
    <row r="42">
      <c r="A42" t="inlineStr">
        <is>
          <t>BANDA RAYA INDAH</t>
        </is>
      </c>
      <c r="B42" t="inlineStr">
        <is>
          <t>Kota Banda Aceh</t>
        </is>
      </c>
      <c r="C42" t="inlineStr">
        <is>
          <t>082236074478</t>
        </is>
      </c>
      <c r="D42" t="inlineStr">
        <is>
          <t>BANDARAYAINDAH@GMAIL.COM</t>
        </is>
      </c>
      <c r="E42" t="inlineStr">
        <is>
          <t>https://lpjk.pu.go.id/search-badan-usaha-detail/ck5nWW9GWUgxNEFzcDhCWlV5emlTQT09</t>
        </is>
      </c>
      <c r="F42" t="n">
        <v>5</v>
      </c>
      <c r="G42" t="inlineStr">
        <is>
          <t>BG001, BG005, BG006, BG008, BG009</t>
        </is>
      </c>
      <c r="H42" t="inlineStr">
        <is>
          <t>11 April 2023</t>
        </is>
      </c>
      <c r="I42" s="2" t="n">
        <v>46251</v>
      </c>
      <c r="J42" t="inlineStr">
        <is>
          <t>Disetujui</t>
        </is>
      </c>
      <c r="K42" t="n">
        <v>60</v>
      </c>
      <c r="L42" t="inlineStr">
        <is>
          <t>17 Agustus 2026</t>
        </is>
      </c>
      <c r="M42" t="inlineStr">
        <is>
          <t>Konstruksi Gedung Hunian, Konstruksi Gedung Kesehatan, Konstruksi Gedung Lainnya, Konstruksi Gedung Pendidikan, Konstruksi Gedung Tempat Hiburan dan Olahraga</t>
        </is>
      </c>
      <c r="N42" t="inlineStr">
        <is>
          <t>K</t>
        </is>
      </c>
      <c r="O42" t="inlineStr">
        <is>
          <t>20230809, 20230810, 20230815</t>
        </is>
      </c>
      <c r="P42" t="inlineStr">
        <is>
          <t>Aceh</t>
        </is>
      </c>
      <c r="Q42" t="inlineStr"/>
    </row>
    <row r="43">
      <c r="A43" t="inlineStr">
        <is>
          <t>BANGKIT JAYA SENTOSA</t>
        </is>
      </c>
      <c r="B43" t="inlineStr">
        <is>
          <t>Kab. Jember</t>
        </is>
      </c>
      <c r="C43" t="inlineStr">
        <is>
          <t>082132534199</t>
        </is>
      </c>
      <c r="D43" t="inlineStr">
        <is>
          <t>bjsgrup@gmail.com</t>
        </is>
      </c>
      <c r="E43" t="inlineStr">
        <is>
          <t>https://lpjk.pu.go.id/search-badan-usaha-detail/MHNEaXh6eXdWZU45Z3NyYVQrS2IwUT09</t>
        </is>
      </c>
      <c r="F43" t="n">
        <v>3</v>
      </c>
      <c r="G43" t="inlineStr">
        <is>
          <t>BG002, BG006, BG009</t>
        </is>
      </c>
      <c r="H43" t="inlineStr">
        <is>
          <t>3 Mei 2016</t>
        </is>
      </c>
      <c r="I43" s="2" t="n">
        <v>46251</v>
      </c>
      <c r="J43" t="inlineStr">
        <is>
          <t>Disetujui</t>
        </is>
      </c>
      <c r="K43" t="n">
        <v>60</v>
      </c>
      <c r="L43" t="inlineStr">
        <is>
          <t>17 Agustus 2026</t>
        </is>
      </c>
      <c r="M43" t="inlineStr">
        <is>
          <t>Konstruksi Gedung Lainnya, Konstruksi Gedung Pendidikan, Konstruksi Gedung Perkantoran</t>
        </is>
      </c>
      <c r="N43" t="inlineStr">
        <is>
          <t>K</t>
        </is>
      </c>
      <c r="O43" t="inlineStr">
        <is>
          <t>20230816</t>
        </is>
      </c>
      <c r="P43" t="inlineStr">
        <is>
          <t>Jawa Timur</t>
        </is>
      </c>
      <c r="Q43" t="inlineStr"/>
    </row>
    <row r="44">
      <c r="A44" t="inlineStr">
        <is>
          <t>BENTENG CIPTA LAKSANA</t>
        </is>
      </c>
      <c r="B44" t="inlineStr">
        <is>
          <t>Kab. Tangerang</t>
        </is>
      </c>
      <c r="C44" t="inlineStr">
        <is>
          <t>0818127889</t>
        </is>
      </c>
      <c r="D44" t="inlineStr">
        <is>
          <t>bciptalaksana@gmail.com</t>
        </is>
      </c>
      <c r="E44" t="inlineStr">
        <is>
          <t>https://lpjk.pu.go.id/search-badan-usaha-detail/M05yeXkyUnRrZGt5RlU1RVNRRFlnQT09</t>
        </is>
      </c>
      <c r="F44" t="n">
        <v>1</v>
      </c>
      <c r="G44" t="inlineStr">
        <is>
          <t>BS001</t>
        </is>
      </c>
      <c r="H44" t="inlineStr">
        <is>
          <t>16 Mei 2019</t>
        </is>
      </c>
      <c r="I44" s="2" t="n">
        <v>46251</v>
      </c>
      <c r="J44" t="inlineStr">
        <is>
          <t>Pencabutan</t>
        </is>
      </c>
      <c r="K44" t="n">
        <v>60</v>
      </c>
      <c r="L44" t="inlineStr">
        <is>
          <t>17 Agustus 2026</t>
        </is>
      </c>
      <c r="M44" t="inlineStr">
        <is>
          <t>Konstruksi Bangunan Sipil Jalan</t>
        </is>
      </c>
      <c r="N44" t="inlineStr">
        <is>
          <t>K</t>
        </is>
      </c>
      <c r="O44" t="inlineStr">
        <is>
          <t>20230814</t>
        </is>
      </c>
      <c r="P44" t="inlineStr">
        <is>
          <t>Banten</t>
        </is>
      </c>
      <c r="Q44" t="inlineStr"/>
    </row>
    <row r="45">
      <c r="A45" t="inlineStr">
        <is>
          <t>BERKAH</t>
        </is>
      </c>
      <c r="B45" t="inlineStr">
        <is>
          <t>Kota Sorong</t>
        </is>
      </c>
      <c r="C45" t="inlineStr">
        <is>
          <t>085244154999</t>
        </is>
      </c>
      <c r="D45" t="inlineStr">
        <is>
          <t>berkah.sorong@yahoo.com</t>
        </is>
      </c>
      <c r="E45" t="inlineStr">
        <is>
          <t>https://lpjk.pu.go.id/search-badan-usaha-detail/OVdYTVc3cy9jdzk0b1NRdnV5aWNnUT09</t>
        </is>
      </c>
      <c r="F45" t="n">
        <v>2</v>
      </c>
      <c r="G45" t="inlineStr">
        <is>
          <t>BG002</t>
        </is>
      </c>
      <c r="H45" t="inlineStr">
        <is>
          <t>7 Mei 2007</t>
        </is>
      </c>
      <c r="I45" s="2" t="n">
        <v>46251</v>
      </c>
      <c r="J45" t="inlineStr">
        <is>
          <t>Pencabutan</t>
        </is>
      </c>
      <c r="K45" t="n">
        <v>60</v>
      </c>
      <c r="L45" t="inlineStr">
        <is>
          <t>17 Agustus 2026</t>
        </is>
      </c>
      <c r="M45" t="inlineStr">
        <is>
          <t>Konstruksi Gedung Perkantoran</t>
        </is>
      </c>
      <c r="N45" t="inlineStr">
        <is>
          <t>K</t>
        </is>
      </c>
      <c r="O45" t="inlineStr">
        <is>
          <t>20230731</t>
        </is>
      </c>
      <c r="P45" t="inlineStr">
        <is>
          <t>Papua Barat</t>
        </is>
      </c>
      <c r="Q45" t="inlineStr"/>
    </row>
    <row r="46">
      <c r="A46" t="inlineStr">
        <is>
          <t>BERKAT KABOR PERKASA</t>
        </is>
      </c>
      <c r="B46" t="inlineStr">
        <is>
          <t>Kab. Biak Numfor</t>
        </is>
      </c>
      <c r="C46" t="inlineStr">
        <is>
          <t>082199174300</t>
        </is>
      </c>
      <c r="D46" t="inlineStr">
        <is>
          <t>cv.berkatkaborperkasa@gmail.com</t>
        </is>
      </c>
      <c r="E46" t="inlineStr">
        <is>
          <t>https://lpjk.pu.go.id/search-badan-usaha-detail/MEhkT3hRS3RKVFhKdjNMTXZNN2cvZz09</t>
        </is>
      </c>
      <c r="F46" t="n">
        <v>4</v>
      </c>
      <c r="G46" t="inlineStr">
        <is>
          <t>BG004, KK007</t>
        </is>
      </c>
      <c r="H46" t="inlineStr">
        <is>
          <t>16 Maret 2021</t>
        </is>
      </c>
      <c r="I46" s="2" t="n">
        <v>46251</v>
      </c>
      <c r="J46" t="inlineStr">
        <is>
          <t>Pencabutan</t>
        </is>
      </c>
      <c r="K46" t="n">
        <v>60</v>
      </c>
      <c r="L46" t="inlineStr">
        <is>
          <t>17 Agustus 2026</t>
        </is>
      </c>
      <c r="M46" t="inlineStr">
        <is>
          <t>Konstruksi Gedung Perbelanjaan, Pekerjaan Konstruksi Kedap Suara</t>
        </is>
      </c>
      <c r="N46" t="inlineStr">
        <is>
          <t>K, Spesialis</t>
        </is>
      </c>
      <c r="O46" t="inlineStr">
        <is>
          <t>20230814</t>
        </is>
      </c>
      <c r="P46" t="inlineStr">
        <is>
          <t>Papua</t>
        </is>
      </c>
      <c r="Q46" t="inlineStr"/>
    </row>
    <row r="47">
      <c r="A47" t="inlineStr">
        <is>
          <t>BERLIAN KARYA</t>
        </is>
      </c>
      <c r="B47" t="inlineStr">
        <is>
          <t>Kab. Kediri</t>
        </is>
      </c>
      <c r="C47" t="inlineStr">
        <is>
          <t>085861284518</t>
        </is>
      </c>
      <c r="D47" t="inlineStr">
        <is>
          <t>cvberliankarya@gmail.com</t>
        </is>
      </c>
      <c r="E47" t="inlineStr">
        <is>
          <t>https://lpjk.pu.go.id/search-badan-usaha-detail/VWgyeE83VkNuUnltTlg0aWVVZ1FuZz09</t>
        </is>
      </c>
      <c r="F47" t="n">
        <v>1</v>
      </c>
      <c r="G47" t="inlineStr">
        <is>
          <t>BG009</t>
        </is>
      </c>
      <c r="H47" t="inlineStr">
        <is>
          <t>25 Mei 2021</t>
        </is>
      </c>
      <c r="I47" s="2" t="n">
        <v>46251</v>
      </c>
      <c r="J47" t="inlineStr">
        <is>
          <t>Disetujui</t>
        </is>
      </c>
      <c r="K47" t="n">
        <v>60</v>
      </c>
      <c r="L47" t="inlineStr">
        <is>
          <t>17 Agustus 2026</t>
        </is>
      </c>
      <c r="M47" t="inlineStr">
        <is>
          <t>Konstruksi Gedung Lainnya</t>
        </is>
      </c>
      <c r="N47" t="inlineStr">
        <is>
          <t>K</t>
        </is>
      </c>
      <c r="O47" t="inlineStr">
        <is>
          <t>20230817</t>
        </is>
      </c>
      <c r="P47" t="inlineStr">
        <is>
          <t>Jawa Timur</t>
        </is>
      </c>
      <c r="Q47" t="inlineStr"/>
    </row>
    <row r="48">
      <c r="A48" t="inlineStr">
        <is>
          <t>BIG BENG</t>
        </is>
      </c>
      <c r="B48" t="inlineStr">
        <is>
          <t>Kab. Lombok Tengah</t>
        </is>
      </c>
      <c r="C48" t="inlineStr">
        <is>
          <t>-</t>
        </is>
      </c>
      <c r="D48" t="inlineStr">
        <is>
          <t>20bigbeng17@gmail.com</t>
        </is>
      </c>
      <c r="E48" t="inlineStr">
        <is>
          <t>https://lpjk.pu.go.id/search-badan-usaha-detail/aGF2dDF5R0pMczdmZ2tuQWkzbEk0QT09</t>
        </is>
      </c>
      <c r="F48" t="n">
        <v>1</v>
      </c>
      <c r="G48" t="inlineStr">
        <is>
          <t>BS001</t>
        </is>
      </c>
      <c r="H48" t="inlineStr">
        <is>
          <t>25 Januari 2017</t>
        </is>
      </c>
      <c r="I48" s="2" t="n">
        <v>46251</v>
      </c>
      <c r="J48" t="inlineStr">
        <is>
          <t>Disetujui</t>
        </is>
      </c>
      <c r="K48" t="n">
        <v>60</v>
      </c>
      <c r="L48" t="inlineStr">
        <is>
          <t>17 Agustus 2026</t>
        </is>
      </c>
      <c r="M48" t="inlineStr">
        <is>
          <t>Konstruksi Bangunan Sipil Jalan</t>
        </is>
      </c>
      <c r="N48" t="inlineStr">
        <is>
          <t>K</t>
        </is>
      </c>
      <c r="O48" t="inlineStr">
        <is>
          <t>20230814</t>
        </is>
      </c>
      <c r="P48" t="inlineStr">
        <is>
          <t>Nusa Tenggara Barat</t>
        </is>
      </c>
      <c r="Q48" t="inlineStr"/>
    </row>
    <row r="49">
      <c r="A49" t="inlineStr">
        <is>
          <t>BINA BERSAMA SUKSES</t>
        </is>
      </c>
      <c r="B49" t="inlineStr">
        <is>
          <t>Kota Tangerang</t>
        </is>
      </c>
      <c r="C49" t="inlineStr">
        <is>
          <t>0215524821</t>
        </is>
      </c>
      <c r="D49" t="inlineStr">
        <is>
          <t>binabersamasukses_cv@yahoo.co.id</t>
        </is>
      </c>
      <c r="E49" t="inlineStr">
        <is>
          <t>https://lpjk.pu.go.id/search-badan-usaha-detail/QzdRTk9WY1BEUnU4elF5VC9iazZyUT09</t>
        </is>
      </c>
      <c r="F49" t="n">
        <v>1</v>
      </c>
      <c r="G49" t="inlineStr">
        <is>
          <t>BS002</t>
        </is>
      </c>
      <c r="H49" t="inlineStr">
        <is>
          <t>28 Juli 2023</t>
        </is>
      </c>
      <c r="I49" s="2" t="n">
        <v>46251</v>
      </c>
      <c r="J49" t="inlineStr">
        <is>
          <t>Disetujui</t>
        </is>
      </c>
      <c r="K49" t="n">
        <v>60</v>
      </c>
      <c r="L49" t="inlineStr">
        <is>
          <t>17 Agustus 2026</t>
        </is>
      </c>
      <c r="M49" t="inlineStr">
        <is>
          <t>Bangunan Sipil Jembatan, Jalan Layang, Fly Over, dan Underpass</t>
        </is>
      </c>
      <c r="N49" t="inlineStr">
        <is>
          <t>K</t>
        </is>
      </c>
      <c r="O49" t="inlineStr">
        <is>
          <t>20230816</t>
        </is>
      </c>
      <c r="P49" t="inlineStr">
        <is>
          <t>Banten</t>
        </is>
      </c>
      <c r="Q49" t="inlineStr"/>
    </row>
    <row r="50">
      <c r="A50" t="inlineStr">
        <is>
          <t>BINA KARYA PERSADA</t>
        </is>
      </c>
      <c r="B50" t="inlineStr">
        <is>
          <t>Kab. Majene</t>
        </is>
      </c>
      <c r="C50" t="inlineStr">
        <is>
          <t>082282548384</t>
        </is>
      </c>
      <c r="D50" t="inlineStr">
        <is>
          <t>jefrisultan123@gmail.com</t>
        </is>
      </c>
      <c r="E50" t="inlineStr">
        <is>
          <t>https://lpjk.pu.go.id/search-badan-usaha-detail/cDlLaTFiWVRDT015L0ZWNTgwaXgxdz09</t>
        </is>
      </c>
      <c r="F50" t="n">
        <v>1</v>
      </c>
      <c r="G50" t="inlineStr">
        <is>
          <t>BG006</t>
        </is>
      </c>
      <c r="H50" t="inlineStr">
        <is>
          <t>27 Maret 1997</t>
        </is>
      </c>
      <c r="I50" s="2" t="n">
        <v>46251</v>
      </c>
      <c r="J50" t="inlineStr">
        <is>
          <t>Pencabutan</t>
        </is>
      </c>
      <c r="K50" t="n">
        <v>60</v>
      </c>
      <c r="L50" t="inlineStr">
        <is>
          <t>17 Agustus 2026</t>
        </is>
      </c>
      <c r="M50" t="inlineStr">
        <is>
          <t>Konstruksi Gedung Pendidikan</t>
        </is>
      </c>
      <c r="N50" t="inlineStr">
        <is>
          <t>K</t>
        </is>
      </c>
      <c r="O50" t="inlineStr">
        <is>
          <t>20230707</t>
        </is>
      </c>
      <c r="P50" t="inlineStr">
        <is>
          <t>Sulawesi Barat</t>
        </is>
      </c>
      <c r="Q50" t="inlineStr"/>
    </row>
    <row r="51">
      <c r="A51" t="inlineStr">
        <is>
          <t>BINTANG ABADI</t>
        </is>
      </c>
      <c r="B51" t="inlineStr">
        <is>
          <t>Kab. Jember</t>
        </is>
      </c>
      <c r="C51" t="inlineStr">
        <is>
          <t>082236236548</t>
        </is>
      </c>
      <c r="D51" t="inlineStr">
        <is>
          <t>cv.bintang.abadi29@gmail.com</t>
        </is>
      </c>
      <c r="E51" t="inlineStr">
        <is>
          <t>https://lpjk.pu.go.id/search-badan-usaha-detail/dFNOUGRZQjRMK3E5eVY4YmlhWCsydz09</t>
        </is>
      </c>
      <c r="F51" t="n">
        <v>6</v>
      </c>
      <c r="G51" t="inlineStr">
        <is>
          <t>BG002, BG004, BG006</t>
        </is>
      </c>
      <c r="H51" t="inlineStr">
        <is>
          <t>4 Februari 2022</t>
        </is>
      </c>
      <c r="I51" s="2" t="n">
        <v>46251</v>
      </c>
      <c r="J51" t="inlineStr">
        <is>
          <t>Disetujui</t>
        </is>
      </c>
      <c r="K51" t="n">
        <v>60</v>
      </c>
      <c r="L51" t="inlineStr">
        <is>
          <t>17 Agustus 2026</t>
        </is>
      </c>
      <c r="M51" t="inlineStr">
        <is>
          <t>Konstruksi Gedung Pendidikan, Konstruksi Gedung Perbelanjaan, Konstruksi Gedung Perkantoran</t>
        </is>
      </c>
      <c r="N51" t="inlineStr">
        <is>
          <t>K</t>
        </is>
      </c>
      <c r="O51" t="inlineStr">
        <is>
          <t>20220211, 20230718, 20230818</t>
        </is>
      </c>
      <c r="P51" t="inlineStr">
        <is>
          <t>Jawa Timur</t>
        </is>
      </c>
      <c r="Q51" t="inlineStr"/>
    </row>
    <row r="52">
      <c r="A52" t="inlineStr">
        <is>
          <t>BINTANG LAKSMANA</t>
        </is>
      </c>
      <c r="B52" t="inlineStr">
        <is>
          <t>Kab. Kuantan Singingi</t>
        </is>
      </c>
      <c r="C52" t="inlineStr">
        <is>
          <t>085265362468</t>
        </is>
      </c>
      <c r="D52" t="inlineStr">
        <is>
          <t>cvbintanglaksmana2019@gmail.com</t>
        </is>
      </c>
      <c r="E52" t="inlineStr">
        <is>
          <t>https://lpjk.pu.go.id/search-badan-usaha-detail/aDVydUJ0bjNTUys0RGpIRmZ5OFZrUT09</t>
        </is>
      </c>
      <c r="F52" t="n">
        <v>2</v>
      </c>
      <c r="G52" t="inlineStr">
        <is>
          <t>BS001</t>
        </is>
      </c>
      <c r="H52" t="inlineStr">
        <is>
          <t>2 Januari 2007</t>
        </is>
      </c>
      <c r="I52" s="2" t="n">
        <v>46251</v>
      </c>
      <c r="J52" t="inlineStr">
        <is>
          <t>Disetujui</t>
        </is>
      </c>
      <c r="K52" t="n">
        <v>60</v>
      </c>
      <c r="L52" t="inlineStr">
        <is>
          <t>17 Agustus 2026</t>
        </is>
      </c>
      <c r="M52" t="inlineStr">
        <is>
          <t>Konstruksi Bangunan Sipil Jalan</t>
        </is>
      </c>
      <c r="N52" t="inlineStr">
        <is>
          <t>K</t>
        </is>
      </c>
      <c r="O52" t="inlineStr">
        <is>
          <t>20230816</t>
        </is>
      </c>
      <c r="P52" t="inlineStr">
        <is>
          <t>Riau</t>
        </is>
      </c>
      <c r="Q52" t="inlineStr"/>
    </row>
    <row r="53">
      <c r="A53" t="inlineStr">
        <is>
          <t>BINTANG LIMA-LIMA</t>
        </is>
      </c>
      <c r="B53" t="inlineStr">
        <is>
          <t>Kab. Mamuju</t>
        </is>
      </c>
      <c r="C53" t="inlineStr">
        <is>
          <t>087876690010</t>
        </is>
      </c>
      <c r="D53" t="inlineStr">
        <is>
          <t>cvbintanglimalima03@gmail.com</t>
        </is>
      </c>
      <c r="E53" t="inlineStr">
        <is>
          <t>https://lpjk.pu.go.id/search-badan-usaha-detail/bmhiR0xqc25VM0o4THZEc3F6N0VtUT09</t>
        </is>
      </c>
      <c r="F53" t="n">
        <v>2</v>
      </c>
      <c r="G53" t="inlineStr">
        <is>
          <t>BG002</t>
        </is>
      </c>
      <c r="H53" t="inlineStr">
        <is>
          <t>25 Mei 2007</t>
        </is>
      </c>
      <c r="I53" s="2" t="n">
        <v>46251</v>
      </c>
      <c r="J53" t="inlineStr">
        <is>
          <t>Disetujui</t>
        </is>
      </c>
      <c r="K53" t="n">
        <v>60</v>
      </c>
      <c r="L53" t="inlineStr">
        <is>
          <t>17 Agustus 2026</t>
        </is>
      </c>
      <c r="M53" t="inlineStr">
        <is>
          <t>Konstruksi Gedung Perkantoran</t>
        </is>
      </c>
      <c r="N53" t="inlineStr">
        <is>
          <t>K</t>
        </is>
      </c>
      <c r="O53" t="inlineStr">
        <is>
          <t>20230817</t>
        </is>
      </c>
      <c r="P53" t="inlineStr">
        <is>
          <t>Sulawesi Barat</t>
        </is>
      </c>
      <c r="Q53" t="inlineStr"/>
    </row>
    <row r="54">
      <c r="A54" t="inlineStr">
        <is>
          <t>BINTANG MEGA KARYA</t>
        </is>
      </c>
      <c r="B54" t="inlineStr">
        <is>
          <t>Kota Jambi</t>
        </is>
      </c>
      <c r="C54" t="inlineStr">
        <is>
          <t>08137909986</t>
        </is>
      </c>
      <c r="D54" t="inlineStr">
        <is>
          <t>cvbintangmegakarya@gmail.com</t>
        </is>
      </c>
      <c r="E54" t="inlineStr">
        <is>
          <t>https://lpjk.pu.go.id/search-badan-usaha-detail/WkZ4K0NHUGZacHNxRUlyYk5uTEhqZz09</t>
        </is>
      </c>
      <c r="F54" t="n">
        <v>8</v>
      </c>
      <c r="G54" t="inlineStr">
        <is>
          <t>BG001, BG002, BG005, BG009</t>
        </is>
      </c>
      <c r="H54" t="inlineStr">
        <is>
          <t>24 Oktober 2016</t>
        </is>
      </c>
      <c r="I54" s="2" t="n">
        <v>46251</v>
      </c>
      <c r="J54" t="inlineStr">
        <is>
          <t>Disetujui</t>
        </is>
      </c>
      <c r="K54" t="n">
        <v>60</v>
      </c>
      <c r="L54" t="inlineStr">
        <is>
          <t>17 Agustus 2026</t>
        </is>
      </c>
      <c r="M54" t="inlineStr">
        <is>
          <t>Konstruksi Gedung Hunian, Konstruksi Gedung Kesehatan, Konstruksi Gedung Lainnya, Konstruksi Gedung Perkantoran</t>
        </is>
      </c>
      <c r="N54" t="inlineStr">
        <is>
          <t>K</t>
        </is>
      </c>
      <c r="O54" t="inlineStr">
        <is>
          <t>20230816</t>
        </is>
      </c>
      <c r="P54" t="inlineStr">
        <is>
          <t>Jambi</t>
        </is>
      </c>
      <c r="Q54" t="inlineStr"/>
    </row>
    <row r="55">
      <c r="A55" t="inlineStr">
        <is>
          <t>BUANA RAYA KONSTRUKSI</t>
        </is>
      </c>
      <c r="B55" t="inlineStr">
        <is>
          <t>Kab. Mamuju</t>
        </is>
      </c>
      <c r="C55" t="inlineStr">
        <is>
          <t>081241385959</t>
        </is>
      </c>
      <c r="D55" t="inlineStr">
        <is>
          <t>buanarayakonstruksi12@gmail.com</t>
        </is>
      </c>
      <c r="E55" t="inlineStr">
        <is>
          <t>https://lpjk.pu.go.id/search-badan-usaha-detail/Vkc2U0taV0hyWTlNa0NwTzRNZ0pHUT09</t>
        </is>
      </c>
      <c r="F55" t="n">
        <v>1</v>
      </c>
      <c r="G55" t="inlineStr">
        <is>
          <t>BG008</t>
        </is>
      </c>
      <c r="H55" t="inlineStr">
        <is>
          <t>12 Mei 2022</t>
        </is>
      </c>
      <c r="I55" s="2" t="n">
        <v>46251</v>
      </c>
      <c r="J55" t="inlineStr">
        <is>
          <t>Disetujui</t>
        </is>
      </c>
      <c r="K55" t="n">
        <v>60</v>
      </c>
      <c r="L55" t="inlineStr">
        <is>
          <t>17 Agustus 2026</t>
        </is>
      </c>
      <c r="M55" t="inlineStr">
        <is>
          <t>Konstruksi Gedung Tempat Hiburan dan Olahraga</t>
        </is>
      </c>
      <c r="N55" t="inlineStr">
        <is>
          <t>K</t>
        </is>
      </c>
      <c r="O55" t="inlineStr">
        <is>
          <t>20230530</t>
        </is>
      </c>
      <c r="P55" t="inlineStr">
        <is>
          <t>Sulawesi Barat</t>
        </is>
      </c>
      <c r="Q55" t="inlineStr"/>
    </row>
    <row r="56">
      <c r="A56" t="inlineStr">
        <is>
          <t>CAHAYA ANUGRAH</t>
        </is>
      </c>
      <c r="B56" t="inlineStr">
        <is>
          <t>Kota Medan</t>
        </is>
      </c>
      <c r="C56" t="inlineStr">
        <is>
          <t>06142406744</t>
        </is>
      </c>
      <c r="D56" t="inlineStr">
        <is>
          <t>cv_cahayaanugrah@yahoo.com</t>
        </is>
      </c>
      <c r="E56" t="inlineStr">
        <is>
          <t>https://lpjk.pu.go.id/search-badan-usaha-detail/STV0R1E4bW5Ccy9IOFh6TXhsQ2pDQT09</t>
        </is>
      </c>
      <c r="F56" t="n">
        <v>1</v>
      </c>
      <c r="G56" t="inlineStr">
        <is>
          <t>BS005</t>
        </is>
      </c>
      <c r="H56" t="inlineStr">
        <is>
          <t>1 Januari 2018</t>
        </is>
      </c>
      <c r="I56" s="2" t="n">
        <v>46251</v>
      </c>
      <c r="J56" t="inlineStr">
        <is>
          <t>Disetujui</t>
        </is>
      </c>
      <c r="K56" t="n">
        <v>60</v>
      </c>
      <c r="L56" t="inlineStr">
        <is>
          <t>17 Agustus 2026</t>
        </is>
      </c>
      <c r="M56" t="inlineStr">
        <is>
          <t>Konstruksi Bangunan Sipil Pengolahan Air Bersih</t>
        </is>
      </c>
      <c r="N56" t="inlineStr">
        <is>
          <t>K</t>
        </is>
      </c>
      <c r="O56" t="inlineStr">
        <is>
          <t>20230817</t>
        </is>
      </c>
      <c r="P56" t="inlineStr">
        <is>
          <t>Sumatera Utara</t>
        </is>
      </c>
      <c r="Q56" t="inlineStr"/>
    </row>
    <row r="57">
      <c r="A57" t="inlineStr">
        <is>
          <t>CIRA INTERNATIONAL</t>
        </is>
      </c>
      <c r="B57" t="inlineStr">
        <is>
          <t>Kota Adm. Jakarta Selatan</t>
        </is>
      </c>
      <c r="C57" t="inlineStr">
        <is>
          <t>02129069491</t>
        </is>
      </c>
      <c r="D57" t="inlineStr">
        <is>
          <t>info@cira-international.com</t>
        </is>
      </c>
      <c r="E57" t="inlineStr">
        <is>
          <t>https://lpjk.pu.go.id/search-badan-usaha-detail/Y3M1TEVyemRJR2JUd1lMN3NCTTFHUT09</t>
        </is>
      </c>
      <c r="F57" t="n">
        <v>1</v>
      </c>
      <c r="G57" t="inlineStr">
        <is>
          <t>BG002</t>
        </is>
      </c>
      <c r="H57" t="inlineStr">
        <is>
          <t>29 April 2013</t>
        </is>
      </c>
      <c r="I57" s="2" t="n">
        <v>46251</v>
      </c>
      <c r="J57" t="inlineStr">
        <is>
          <t>Disetujui</t>
        </is>
      </c>
      <c r="K57" t="n">
        <v>60</v>
      </c>
      <c r="L57" t="inlineStr">
        <is>
          <t>17 Agustus 2026</t>
        </is>
      </c>
      <c r="M57" t="inlineStr">
        <is>
          <t>Konstruksi Gedung Perkantoran</t>
        </is>
      </c>
      <c r="N57" t="inlineStr">
        <is>
          <t>K</t>
        </is>
      </c>
      <c r="O57" t="inlineStr">
        <is>
          <t>20230814</t>
        </is>
      </c>
      <c r="P57" t="inlineStr">
        <is>
          <t>DKI Jakarta</t>
        </is>
      </c>
      <c r="Q57" t="inlineStr"/>
    </row>
    <row r="58">
      <c r="A58" t="inlineStr">
        <is>
          <t>CV. NRZ ASSAHRA</t>
        </is>
      </c>
      <c r="B58" t="inlineStr">
        <is>
          <t>Kab. Malang</t>
        </is>
      </c>
      <c r="C58" t="inlineStr">
        <is>
          <t>08125268830</t>
        </is>
      </c>
      <c r="D58" t="inlineStr">
        <is>
          <t>cvnrzassahra@gmail.com</t>
        </is>
      </c>
      <c r="E58" t="inlineStr">
        <is>
          <t>https://lpjk.pu.go.id/search-badan-usaha-detail/dnI5U1VmMmxsdnpuaDM1WnhReTUwZz09</t>
        </is>
      </c>
      <c r="F58" t="n">
        <v>2</v>
      </c>
      <c r="G58" t="inlineStr">
        <is>
          <t>BG006, BG009</t>
        </is>
      </c>
      <c r="H58" t="inlineStr">
        <is>
          <t>2 Juni 2020</t>
        </is>
      </c>
      <c r="I58" s="2" t="n">
        <v>46251</v>
      </c>
      <c r="J58" t="inlineStr">
        <is>
          <t>Disetujui</t>
        </is>
      </c>
      <c r="K58" t="n">
        <v>60</v>
      </c>
      <c r="L58" t="inlineStr">
        <is>
          <t>17 Agustus 2026</t>
        </is>
      </c>
      <c r="M58" t="inlineStr">
        <is>
          <t>Konstruksi Gedung Lainnya, Konstruksi Gedung Pendidikan</t>
        </is>
      </c>
      <c r="N58" t="inlineStr">
        <is>
          <t>K</t>
        </is>
      </c>
      <c r="O58" t="inlineStr">
        <is>
          <t>20230706, 20230707</t>
        </is>
      </c>
      <c r="P58" t="inlineStr">
        <is>
          <t>Jawa Timur</t>
        </is>
      </c>
      <c r="Q58" t="inlineStr"/>
    </row>
    <row r="59">
      <c r="A59" t="inlineStr">
        <is>
          <t>DANGIANG MEKAR RAHAYU</t>
        </is>
      </c>
      <c r="B59" t="inlineStr">
        <is>
          <t>Kab. Sumedang</t>
        </is>
      </c>
      <c r="C59" t="inlineStr">
        <is>
          <t>082295810655</t>
        </is>
      </c>
      <c r="D59" t="inlineStr">
        <is>
          <t>dangiangmekarrahayu@gmail.com</t>
        </is>
      </c>
      <c r="E59" t="inlineStr">
        <is>
          <t>https://lpjk.pu.go.id/search-badan-usaha-detail/VHlyTnlmWTh6NE9xcERmWm5paS9tUT09</t>
        </is>
      </c>
      <c r="F59" t="n">
        <v>1</v>
      </c>
      <c r="G59" t="inlineStr">
        <is>
          <t>BS004</t>
        </is>
      </c>
      <c r="H59" t="inlineStr">
        <is>
          <t>25 Mei 2022</t>
        </is>
      </c>
      <c r="I59" s="2" t="n">
        <v>46251</v>
      </c>
      <c r="J59" t="inlineStr">
        <is>
          <t>Disetujui</t>
        </is>
      </c>
      <c r="K59" t="n">
        <v>60</v>
      </c>
      <c r="L59" t="inlineStr">
        <is>
          <t>17 Agustus 2026</t>
        </is>
      </c>
      <c r="M59" t="inlineStr">
        <is>
          <t>Konstruksi Jaringan Irigasi dan Drainase</t>
        </is>
      </c>
      <c r="N59" t="inlineStr">
        <is>
          <t>K</t>
        </is>
      </c>
      <c r="O59" t="inlineStr">
        <is>
          <t>20230816</t>
        </is>
      </c>
      <c r="P59" t="inlineStr">
        <is>
          <t>Jawa Barat</t>
        </is>
      </c>
      <c r="Q59" t="inlineStr"/>
    </row>
    <row r="60">
      <c r="A60" t="inlineStr">
        <is>
          <t>DARREN</t>
        </is>
      </c>
      <c r="B60" t="inlineStr">
        <is>
          <t>Kota Medan</t>
        </is>
      </c>
      <c r="C60" t="inlineStr">
        <is>
          <t>081279697953</t>
        </is>
      </c>
      <c r="D60" t="inlineStr">
        <is>
          <t>cvdarren3@gmail.com</t>
        </is>
      </c>
      <c r="E60" t="inlineStr">
        <is>
          <t>https://lpjk.pu.go.id/search-badan-usaha-detail/a0VSa3NRc0R1d0dLZDhpSGg4MStmQT09</t>
        </is>
      </c>
      <c r="F60" t="n">
        <v>1</v>
      </c>
      <c r="G60" t="inlineStr">
        <is>
          <t>BG004</t>
        </is>
      </c>
      <c r="H60" t="inlineStr">
        <is>
          <t>3 Desember 2021</t>
        </is>
      </c>
      <c r="I60" s="2" t="n">
        <v>46251</v>
      </c>
      <c r="J60" t="inlineStr">
        <is>
          <t>Disetujui</t>
        </is>
      </c>
      <c r="K60" t="n">
        <v>60</v>
      </c>
      <c r="L60" t="inlineStr">
        <is>
          <t>17 Agustus 2026</t>
        </is>
      </c>
      <c r="M60" t="inlineStr">
        <is>
          <t>Konstruksi Gedung Perbelanjaan</t>
        </is>
      </c>
      <c r="N60" t="inlineStr">
        <is>
          <t>K</t>
        </is>
      </c>
      <c r="O60" t="inlineStr">
        <is>
          <t>20230818</t>
        </is>
      </c>
      <c r="P60" t="inlineStr">
        <is>
          <t>Sumatera Utara</t>
        </is>
      </c>
      <c r="Q60" t="inlineStr"/>
    </row>
    <row r="61">
      <c r="A61" t="inlineStr">
        <is>
          <t>DIMAS PERKASA</t>
        </is>
      </c>
      <c r="B61" t="inlineStr">
        <is>
          <t>Kab. Brebes</t>
        </is>
      </c>
      <c r="C61" t="inlineStr">
        <is>
          <t>081548176025</t>
        </is>
      </c>
      <c r="D61" t="inlineStr">
        <is>
          <t>tanto012@yahoo.com</t>
        </is>
      </c>
      <c r="E61" t="inlineStr">
        <is>
          <t>https://lpjk.pu.go.id/search-badan-usaha-detail/R3Ayb3ppbFVsWVhFTDJZUUFydDg4Zz09</t>
        </is>
      </c>
      <c r="F61" t="n">
        <v>1</v>
      </c>
      <c r="G61" t="inlineStr">
        <is>
          <t>BG006</t>
        </is>
      </c>
      <c r="H61" t="inlineStr">
        <is>
          <t>31 Desember 1998</t>
        </is>
      </c>
      <c r="I61" s="2" t="n">
        <v>46251</v>
      </c>
      <c r="J61" t="inlineStr">
        <is>
          <t>Disetujui</t>
        </is>
      </c>
      <c r="K61" t="n">
        <v>60</v>
      </c>
      <c r="L61" t="inlineStr">
        <is>
          <t>17 Agustus 2026</t>
        </is>
      </c>
      <c r="M61" t="inlineStr">
        <is>
          <t>Konstruksi Gedung Pendidikan</t>
        </is>
      </c>
      <c r="N61" t="inlineStr">
        <is>
          <t>K</t>
        </is>
      </c>
      <c r="O61" t="inlineStr">
        <is>
          <t>20230810</t>
        </is>
      </c>
      <c r="P61" t="inlineStr">
        <is>
          <t>Jawa Tengah</t>
        </is>
      </c>
      <c r="Q61" t="inlineStr"/>
    </row>
    <row r="62">
      <c r="A62" t="inlineStr">
        <is>
          <t>DUA PILAR INTI</t>
        </is>
      </c>
      <c r="B62" t="inlineStr">
        <is>
          <t>Kota Pontianak</t>
        </is>
      </c>
      <c r="C62" t="inlineStr">
        <is>
          <t>085654440934</t>
        </is>
      </c>
      <c r="D62" t="inlineStr">
        <is>
          <t>duapilarinti.cv@gmail.com</t>
        </is>
      </c>
      <c r="E62" t="inlineStr">
        <is>
          <t>https://lpjk.pu.go.id/search-badan-usaha-detail/NldKaWdpWmlLbWJaUlg0NVdkZjZVQT09</t>
        </is>
      </c>
      <c r="F62" t="n">
        <v>3</v>
      </c>
      <c r="G62" t="inlineStr">
        <is>
          <t>BS001, BS004, BS005</t>
        </is>
      </c>
      <c r="H62" t="inlineStr">
        <is>
          <t>24 Oktober 2013</t>
        </is>
      </c>
      <c r="I62" s="2" t="n">
        <v>46251</v>
      </c>
      <c r="J62" t="inlineStr">
        <is>
          <t>Disetujui</t>
        </is>
      </c>
      <c r="K62" t="n">
        <v>60</v>
      </c>
      <c r="L62" t="inlineStr">
        <is>
          <t>17 Agustus 2026</t>
        </is>
      </c>
      <c r="M62" t="inlineStr">
        <is>
          <t>Konstruksi Bangunan Sipil Jalan, Konstruksi Bangunan Sipil Pengolahan Air Bersih, Konstruksi Jaringan Irigasi dan Drainase</t>
        </is>
      </c>
      <c r="N62" t="inlineStr">
        <is>
          <t>K</t>
        </is>
      </c>
      <c r="O62" t="inlineStr">
        <is>
          <t>20230802, 20230811</t>
        </is>
      </c>
      <c r="P62" t="inlineStr">
        <is>
          <t>Kalimantan Barat</t>
        </is>
      </c>
      <c r="Q62" t="inlineStr"/>
    </row>
    <row r="63">
      <c r="A63" t="inlineStr">
        <is>
          <t>DUA PUTRI</t>
        </is>
      </c>
      <c r="B63" t="inlineStr">
        <is>
          <t>Kab. Banyumas</t>
        </is>
      </c>
      <c r="C63" t="inlineStr">
        <is>
          <t>085227639999</t>
        </is>
      </c>
      <c r="D63" t="inlineStr">
        <is>
          <t>cvduaputri97@gmail.com</t>
        </is>
      </c>
      <c r="E63" t="inlineStr">
        <is>
          <t>https://lpjk.pu.go.id/search-badan-usaha-detail/OW42YUFlQjlBT1ZVRXpKdW11Sk1Cdz09</t>
        </is>
      </c>
      <c r="F63" t="n">
        <v>1</v>
      </c>
      <c r="G63" t="inlineStr">
        <is>
          <t>BG009</t>
        </is>
      </c>
      <c r="H63" t="inlineStr">
        <is>
          <t>11 Februari 2019</t>
        </is>
      </c>
      <c r="I63" s="2" t="n">
        <v>46251</v>
      </c>
      <c r="J63" t="inlineStr">
        <is>
          <t>Disetujui</t>
        </is>
      </c>
      <c r="K63" t="n">
        <v>60</v>
      </c>
      <c r="L63" t="inlineStr">
        <is>
          <t>17 Agustus 2026</t>
        </is>
      </c>
      <c r="M63" t="inlineStr">
        <is>
          <t>Konstruksi Gedung Lainnya</t>
        </is>
      </c>
      <c r="N63" t="inlineStr">
        <is>
          <t>K</t>
        </is>
      </c>
      <c r="O63" t="inlineStr">
        <is>
          <t>20230814</t>
        </is>
      </c>
      <c r="P63" t="inlineStr">
        <is>
          <t>Jawa Tengah</t>
        </is>
      </c>
      <c r="Q63" t="inlineStr"/>
    </row>
    <row r="64">
      <c r="A64" t="inlineStr">
        <is>
          <t>DUA UTAMA SEJAHTERA</t>
        </is>
      </c>
      <c r="B64" t="inlineStr">
        <is>
          <t>Kab. Sampang</t>
        </is>
      </c>
      <c r="C64" t="inlineStr">
        <is>
          <t>083849938080</t>
        </is>
      </c>
      <c r="D64" t="inlineStr">
        <is>
          <t>2utamasejahtera@gmail.com</t>
        </is>
      </c>
      <c r="E64" t="inlineStr">
        <is>
          <t>https://lpjk.pu.go.id/search-badan-usaha-detail/NWNVYWVjZ1BvQkhXdU1tQWJqNjhQQT09</t>
        </is>
      </c>
      <c r="F64" t="n">
        <v>1</v>
      </c>
      <c r="G64" t="inlineStr">
        <is>
          <t>BS001</t>
        </is>
      </c>
      <c r="H64" t="inlineStr">
        <is>
          <t>17 Oktober 2022</t>
        </is>
      </c>
      <c r="I64" s="2" t="n">
        <v>46251</v>
      </c>
      <c r="J64" t="inlineStr">
        <is>
          <t>Disetujui</t>
        </is>
      </c>
      <c r="K64" t="n">
        <v>60</v>
      </c>
      <c r="L64" t="inlineStr">
        <is>
          <t>17 Agustus 2026</t>
        </is>
      </c>
      <c r="M64" t="inlineStr">
        <is>
          <t>Konstruksi Bangunan Sipil Jalan</t>
        </is>
      </c>
      <c r="N64" t="inlineStr">
        <is>
          <t>K</t>
        </is>
      </c>
      <c r="O64" t="inlineStr">
        <is>
          <t>20230814</t>
        </is>
      </c>
      <c r="P64" t="inlineStr">
        <is>
          <t>Jawa Timur</t>
        </is>
      </c>
      <c r="Q64" t="inlineStr"/>
    </row>
    <row r="65">
      <c r="A65" t="inlineStr">
        <is>
          <t>DUTA KARYA BANGUN</t>
        </is>
      </c>
      <c r="B65" t="inlineStr">
        <is>
          <t>Kota Surabaya</t>
        </is>
      </c>
      <c r="C65" t="inlineStr">
        <is>
          <t>082257566663</t>
        </is>
      </c>
      <c r="D65" t="inlineStr">
        <is>
          <t>cv.dutakaryabangun@gmail.com</t>
        </is>
      </c>
      <c r="E65" t="inlineStr">
        <is>
          <t>https://lpjk.pu.go.id/search-badan-usaha-detail/NGQvS0FFZUdYMjIxL1Y4NWx2ck9ZUT09</t>
        </is>
      </c>
      <c r="F65" t="n">
        <v>1</v>
      </c>
      <c r="G65" t="inlineStr">
        <is>
          <t>BS001</t>
        </is>
      </c>
      <c r="H65" t="inlineStr">
        <is>
          <t>8 Desember 2022</t>
        </is>
      </c>
      <c r="I65" s="2" t="n">
        <v>46251</v>
      </c>
      <c r="J65" t="inlineStr">
        <is>
          <t>Pencabutan</t>
        </is>
      </c>
      <c r="K65" t="n">
        <v>60</v>
      </c>
      <c r="L65" t="inlineStr">
        <is>
          <t>17 Agustus 2026</t>
        </is>
      </c>
      <c r="M65" t="inlineStr">
        <is>
          <t>Konstruksi Bangunan Sipil Jalan</t>
        </is>
      </c>
      <c r="N65" t="inlineStr">
        <is>
          <t>K</t>
        </is>
      </c>
      <c r="O65" t="inlineStr">
        <is>
          <t>20230815</t>
        </is>
      </c>
      <c r="P65" t="inlineStr">
        <is>
          <t>Jawa Timur</t>
        </is>
      </c>
      <c r="Q65" t="inlineStr"/>
    </row>
    <row r="66">
      <c r="A66" t="inlineStr">
        <is>
          <t>EKA DARMA KARYA</t>
        </is>
      </c>
      <c r="B66" t="inlineStr">
        <is>
          <t>Kab. Gianyar</t>
        </is>
      </c>
      <c r="C66" t="inlineStr">
        <is>
          <t>085337248078</t>
        </is>
      </c>
      <c r="D66" t="inlineStr">
        <is>
          <t>ekadarmakarya@gmail.com</t>
        </is>
      </c>
      <c r="E66" t="inlineStr">
        <is>
          <t>https://lpjk.pu.go.id/search-badan-usaha-detail/UVVzL1R2am45ZGQyM3RodUQvRXhKdz09</t>
        </is>
      </c>
      <c r="F66" t="n">
        <v>1</v>
      </c>
      <c r="G66" t="inlineStr">
        <is>
          <t>BG006</t>
        </is>
      </c>
      <c r="H66" t="inlineStr">
        <is>
          <t>24 Agustus 2006</t>
        </is>
      </c>
      <c r="I66" s="2" t="n">
        <v>46251</v>
      </c>
      <c r="J66" t="inlineStr">
        <is>
          <t>Disetujui</t>
        </is>
      </c>
      <c r="K66" t="n">
        <v>60</v>
      </c>
      <c r="L66" t="inlineStr">
        <is>
          <t>17 Agustus 2026</t>
        </is>
      </c>
      <c r="M66" t="inlineStr">
        <is>
          <t>Konstruksi Gedung Pendidikan</t>
        </is>
      </c>
      <c r="N66" t="inlineStr">
        <is>
          <t>K</t>
        </is>
      </c>
      <c r="O66" t="inlineStr">
        <is>
          <t>20230809</t>
        </is>
      </c>
      <c r="P66" t="inlineStr">
        <is>
          <t>Bali</t>
        </is>
      </c>
      <c r="Q66" t="inlineStr"/>
    </row>
    <row r="67">
      <c r="A67" t="inlineStr">
        <is>
          <t>ERA PRATAMA</t>
        </is>
      </c>
      <c r="B67" t="inlineStr">
        <is>
          <t>Kab. Boalemo</t>
        </is>
      </c>
      <c r="C67" t="inlineStr">
        <is>
          <t>082187608103</t>
        </is>
      </c>
      <c r="D67" t="inlineStr">
        <is>
          <t>cverapratama@gmail.com</t>
        </is>
      </c>
      <c r="E67" t="inlineStr">
        <is>
          <t>https://lpjk.pu.go.id/search-badan-usaha-detail/MG9jd2pHbHFtWmNBTkZpdXdlbU5DUT09</t>
        </is>
      </c>
      <c r="F67" t="n">
        <v>1</v>
      </c>
      <c r="G67" t="inlineStr">
        <is>
          <t>BS001</t>
        </is>
      </c>
      <c r="H67" t="inlineStr">
        <is>
          <t>18 Juni 2012</t>
        </is>
      </c>
      <c r="I67" s="2" t="n">
        <v>46251</v>
      </c>
      <c r="J67" t="inlineStr">
        <is>
          <t>Disetujui</t>
        </is>
      </c>
      <c r="K67" t="n">
        <v>60</v>
      </c>
      <c r="L67" t="inlineStr">
        <is>
          <t>17 Agustus 2026</t>
        </is>
      </c>
      <c r="M67" t="inlineStr">
        <is>
          <t>Konstruksi Bangunan Sipil Jalan</t>
        </is>
      </c>
      <c r="N67" t="inlineStr">
        <is>
          <t>K</t>
        </is>
      </c>
      <c r="O67" t="inlineStr">
        <is>
          <t>20230816</t>
        </is>
      </c>
      <c r="P67" t="inlineStr">
        <is>
          <t>Gorontalo</t>
        </is>
      </c>
      <c r="Q67" t="inlineStr"/>
    </row>
    <row r="68">
      <c r="A68" t="inlineStr">
        <is>
          <t>FAUZAN</t>
        </is>
      </c>
      <c r="B68" t="inlineStr">
        <is>
          <t>Kab. Ciamis</t>
        </is>
      </c>
      <c r="C68" t="inlineStr">
        <is>
          <t>085222226922</t>
        </is>
      </c>
      <c r="D68" t="inlineStr">
        <is>
          <t>cv.fauzan74@gmail.com</t>
        </is>
      </c>
      <c r="E68" t="inlineStr">
        <is>
          <t>https://lpjk.pu.go.id/search-badan-usaha-detail/bGNPdmk5RWR2Y1luLzBFaUNXazhxUT09</t>
        </is>
      </c>
      <c r="F68" t="n">
        <v>4</v>
      </c>
      <c r="G68" t="inlineStr">
        <is>
          <t>BG002, BG009</t>
        </is>
      </c>
      <c r="H68" t="inlineStr">
        <is>
          <t>20 Oktober 2016</t>
        </is>
      </c>
      <c r="I68" s="2" t="n">
        <v>46251</v>
      </c>
      <c r="J68" t="inlineStr">
        <is>
          <t>Disetujui</t>
        </is>
      </c>
      <c r="K68" t="n">
        <v>60</v>
      </c>
      <c r="L68" t="inlineStr">
        <is>
          <t>17 Agustus 2026</t>
        </is>
      </c>
      <c r="M68" t="inlineStr">
        <is>
          <t>Konstruksi Gedung Lainnya, Konstruksi Gedung Perkantoran</t>
        </is>
      </c>
      <c r="N68" t="inlineStr">
        <is>
          <t>K</t>
        </is>
      </c>
      <c r="O68" t="inlineStr">
        <is>
          <t>20230814, 20230815</t>
        </is>
      </c>
      <c r="P68" t="inlineStr">
        <is>
          <t>Jawa Barat</t>
        </is>
      </c>
      <c r="Q68" t="inlineStr"/>
    </row>
    <row r="69">
      <c r="A69" t="inlineStr">
        <is>
          <t>FIKRI AULIA</t>
        </is>
      </c>
      <c r="B69" t="inlineStr">
        <is>
          <t>Kota Samarinda</t>
        </is>
      </c>
      <c r="C69" t="inlineStr">
        <is>
          <t>081347636307</t>
        </is>
      </c>
      <c r="D69" t="inlineStr">
        <is>
          <t>komea_6@yahoo.com</t>
        </is>
      </c>
      <c r="E69" t="inlineStr">
        <is>
          <t>https://lpjk.pu.go.id/search-badan-usaha-detail/RzJWemY3ejlnZExEUTJtRnNDb05jUT09</t>
        </is>
      </c>
      <c r="F69" t="n">
        <v>2</v>
      </c>
      <c r="G69" t="inlineStr">
        <is>
          <t>BS005, BS010</t>
        </is>
      </c>
      <c r="H69" t="inlineStr">
        <is>
          <t>31 Agustus 2000</t>
        </is>
      </c>
      <c r="I69" s="2" t="n">
        <v>46251</v>
      </c>
      <c r="J69" t="inlineStr">
        <is>
          <t>Disetujui</t>
        </is>
      </c>
      <c r="K69" t="n">
        <v>60</v>
      </c>
      <c r="L69" t="inlineStr">
        <is>
          <t>17 Agustus 2026</t>
        </is>
      </c>
      <c r="M69" t="inlineStr">
        <is>
          <t>Konstruksi Bangunan Prasarana Sumber Daya Air, Konstruksi Bangunan Sipil Pengolahan Air Bersih</t>
        </is>
      </c>
      <c r="N69" t="inlineStr">
        <is>
          <t>K</t>
        </is>
      </c>
      <c r="O69" t="inlineStr">
        <is>
          <t>20230816</t>
        </is>
      </c>
      <c r="P69" t="inlineStr">
        <is>
          <t>Kalimantan Timur</t>
        </is>
      </c>
      <c r="Q69" t="inlineStr"/>
    </row>
    <row r="70">
      <c r="A70" t="inlineStr">
        <is>
          <t>GABE JAYA MANDIRI</t>
        </is>
      </c>
      <c r="B70" t="inlineStr">
        <is>
          <t>Kab. Tanah Bumbu</t>
        </is>
      </c>
      <c r="C70" t="inlineStr">
        <is>
          <t>08115130309</t>
        </is>
      </c>
      <c r="D70" t="inlineStr">
        <is>
          <t>gabetanbu@yahoo.co.id</t>
        </is>
      </c>
      <c r="E70" t="inlineStr">
        <is>
          <t>https://lpjk.pu.go.id/search-badan-usaha-detail/U1NZSUlkT2FCbDh4NTh6STFXWWhpdz09</t>
        </is>
      </c>
      <c r="F70" t="n">
        <v>1</v>
      </c>
      <c r="G70" t="inlineStr">
        <is>
          <t>BG002</t>
        </is>
      </c>
      <c r="H70" t="inlineStr">
        <is>
          <t>7 April 2008</t>
        </is>
      </c>
      <c r="I70" s="2" t="n">
        <v>46251</v>
      </c>
      <c r="J70" t="inlineStr">
        <is>
          <t>Disetujui</t>
        </is>
      </c>
      <c r="K70" t="n">
        <v>60</v>
      </c>
      <c r="L70" t="inlineStr">
        <is>
          <t>17 Agustus 2026</t>
        </is>
      </c>
      <c r="M70" t="inlineStr">
        <is>
          <t>Konstruksi Gedung Perkantoran</t>
        </is>
      </c>
      <c r="N70" t="inlineStr">
        <is>
          <t>K</t>
        </is>
      </c>
      <c r="O70" t="inlineStr">
        <is>
          <t>20230724</t>
        </is>
      </c>
      <c r="P70" t="inlineStr">
        <is>
          <t>Kalimantan Selatan</t>
        </is>
      </c>
      <c r="Q70" t="inlineStr"/>
    </row>
    <row r="71">
      <c r="A71" t="inlineStr">
        <is>
          <t>GIAN GIO GEMILANG</t>
        </is>
      </c>
      <c r="B71" t="inlineStr">
        <is>
          <t>Kab. Kutai Timur</t>
        </is>
      </c>
      <c r="C71" t="inlineStr">
        <is>
          <t>082150089172</t>
        </is>
      </c>
      <c r="D71" t="inlineStr">
        <is>
          <t>cv.giangiogemilang@gmail.com</t>
        </is>
      </c>
      <c r="E71" t="inlineStr">
        <is>
          <t>https://lpjk.pu.go.id/search-badan-usaha-detail/SEFpd1B2WEkweDh4WGpmaEpjeDY5Zz09</t>
        </is>
      </c>
      <c r="F71" t="n">
        <v>1</v>
      </c>
      <c r="G71" t="inlineStr">
        <is>
          <t>BG009</t>
        </is>
      </c>
      <c r="H71" t="inlineStr">
        <is>
          <t>4 Mei 2023</t>
        </is>
      </c>
      <c r="I71" s="2" t="n">
        <v>46251</v>
      </c>
      <c r="J71" t="inlineStr">
        <is>
          <t>Disetujui</t>
        </is>
      </c>
      <c r="K71" t="n">
        <v>60</v>
      </c>
      <c r="L71" t="inlineStr">
        <is>
          <t>17 Agustus 2026</t>
        </is>
      </c>
      <c r="M71" t="inlineStr">
        <is>
          <t>Konstruksi Gedung Lainnya</t>
        </is>
      </c>
      <c r="N71" t="inlineStr">
        <is>
          <t>K</t>
        </is>
      </c>
      <c r="O71" t="inlineStr">
        <is>
          <t>20230815</t>
        </is>
      </c>
      <c r="P71" t="inlineStr">
        <is>
          <t>Kalimantan Timur</t>
        </is>
      </c>
      <c r="Q71" t="inlineStr"/>
    </row>
    <row r="72">
      <c r="A72" t="inlineStr">
        <is>
          <t>GRAHA AGRAPANA TRIYASA</t>
        </is>
      </c>
      <c r="B72" t="inlineStr">
        <is>
          <t>Kota Adm. Jakarta Selatan</t>
        </is>
      </c>
      <c r="C72" t="inlineStr">
        <is>
          <t>02179182409</t>
        </is>
      </c>
      <c r="D72" t="inlineStr">
        <is>
          <t>tender@agrapana.co.id</t>
        </is>
      </c>
      <c r="E72" t="inlineStr">
        <is>
          <t>https://lpjk.pu.go.id/search-badan-usaha-detail/dk1RTnFKck5wTGxFcTNsUTdPRk80dz09</t>
        </is>
      </c>
      <c r="F72" t="n">
        <v>3</v>
      </c>
      <c r="G72" t="inlineStr">
        <is>
          <t>BG001, BG002, BG009</t>
        </is>
      </c>
      <c r="H72" t="inlineStr">
        <is>
          <t>4 Juni 2014</t>
        </is>
      </c>
      <c r="I72" s="2" t="n">
        <v>46251</v>
      </c>
      <c r="J72" t="inlineStr">
        <is>
          <t>Pencabutan</t>
        </is>
      </c>
      <c r="K72" t="n">
        <v>60</v>
      </c>
      <c r="L72" t="inlineStr">
        <is>
          <t>17 Agustus 2026</t>
        </is>
      </c>
      <c r="M72" t="inlineStr">
        <is>
          <t>Konstruksi Gedung Hunian, Konstruksi Gedung Lainnya, Konstruksi Gedung Perkantoran</t>
        </is>
      </c>
      <c r="N72" t="inlineStr">
        <is>
          <t>M</t>
        </is>
      </c>
      <c r="O72" t="inlineStr">
        <is>
          <t>20230815</t>
        </is>
      </c>
      <c r="P72" t="inlineStr">
        <is>
          <t>DKI Jakarta</t>
        </is>
      </c>
      <c r="Q72" t="inlineStr"/>
    </row>
    <row r="73">
      <c r="A73" t="inlineStr">
        <is>
          <t>GRAHA CIPTA GEMILANG</t>
        </is>
      </c>
      <c r="B73" t="inlineStr">
        <is>
          <t>Kab. Agam</t>
        </is>
      </c>
      <c r="C73" t="inlineStr">
        <is>
          <t>085273463629</t>
        </is>
      </c>
      <c r="D73" t="inlineStr">
        <is>
          <t>grahacipta97@gmail.com</t>
        </is>
      </c>
      <c r="E73" t="inlineStr">
        <is>
          <t>https://lpjk.pu.go.id/search-badan-usaha-detail/TXp5VE9hWWJYRnJWODdwUGhkcDhOZz09</t>
        </is>
      </c>
      <c r="F73" t="n">
        <v>1</v>
      </c>
      <c r="G73" t="inlineStr">
        <is>
          <t>RK001</t>
        </is>
      </c>
      <c r="H73" t="inlineStr">
        <is>
          <t>8 April 2022</t>
        </is>
      </c>
      <c r="I73" s="2" t="n">
        <v>46251</v>
      </c>
      <c r="J73" t="inlineStr">
        <is>
          <t>Disetujui</t>
        </is>
      </c>
      <c r="K73" t="n">
        <v>60</v>
      </c>
      <c r="L73" t="inlineStr">
        <is>
          <t>17 Agustus 2026</t>
        </is>
      </c>
      <c r="M73" t="inlineStr">
        <is>
          <t>Jasa Rekayasa Konstruksi Bangunan Gedung Hunian dan Non Hunian</t>
        </is>
      </c>
      <c r="N73" t="inlineStr">
        <is>
          <t>K</t>
        </is>
      </c>
      <c r="O73" t="inlineStr">
        <is>
          <t>20230718</t>
        </is>
      </c>
      <c r="P73" t="inlineStr">
        <is>
          <t>Sumatera Barat</t>
        </is>
      </c>
      <c r="Q73" t="inlineStr"/>
    </row>
    <row r="74">
      <c r="A74" t="inlineStr">
        <is>
          <t>GRAHA PRIMA</t>
        </is>
      </c>
      <c r="B74" t="inlineStr">
        <is>
          <t>Kota Palu</t>
        </is>
      </c>
      <c r="C74" t="inlineStr">
        <is>
          <t>085200805805</t>
        </is>
      </c>
      <c r="D74" t="inlineStr">
        <is>
          <t>ptgrahaprima@gmail.com</t>
        </is>
      </c>
      <c r="E74" t="inlineStr">
        <is>
          <t>https://lpjk.pu.go.id/search-badan-usaha-detail/bnF5alp3RXJUYzdWcEdiSDZFeHp4UT09</t>
        </is>
      </c>
      <c r="F74" t="n">
        <v>1</v>
      </c>
      <c r="G74" t="inlineStr">
        <is>
          <t>BG001</t>
        </is>
      </c>
      <c r="H74" t="inlineStr">
        <is>
          <t>27 Desember 2013</t>
        </is>
      </c>
      <c r="I74" s="2" t="n">
        <v>46251</v>
      </c>
      <c r="J74" t="inlineStr">
        <is>
          <t>Disetujui</t>
        </is>
      </c>
      <c r="K74" t="n">
        <v>60</v>
      </c>
      <c r="L74" t="inlineStr">
        <is>
          <t>17 Agustus 2026</t>
        </is>
      </c>
      <c r="M74" t="inlineStr">
        <is>
          <t>Konstruksi Gedung Hunian</t>
        </is>
      </c>
      <c r="N74" t="inlineStr">
        <is>
          <t>K</t>
        </is>
      </c>
      <c r="O74" t="inlineStr">
        <is>
          <t>20230815</t>
        </is>
      </c>
      <c r="P74" t="inlineStr">
        <is>
          <t>Sulawesi Tengah</t>
        </is>
      </c>
      <c r="Q74" t="inlineStr"/>
    </row>
    <row r="75">
      <c r="A75" t="inlineStr">
        <is>
          <t>GRAHA RAHARJA</t>
        </is>
      </c>
      <c r="B75" t="inlineStr">
        <is>
          <t>Kab. Lamongan</t>
        </is>
      </c>
      <c r="C75" t="inlineStr">
        <is>
          <t>081339305098</t>
        </is>
      </c>
      <c r="D75" t="inlineStr">
        <is>
          <t>graharaharja10@gmail.com</t>
        </is>
      </c>
      <c r="E75" t="inlineStr">
        <is>
          <t>https://lpjk.pu.go.id/search-badan-usaha-detail/VUQzMkR5VXpqTkhQRVJndDJNcWVMUT09</t>
        </is>
      </c>
      <c r="F75" t="n">
        <v>1</v>
      </c>
      <c r="G75" t="inlineStr">
        <is>
          <t>BS004</t>
        </is>
      </c>
      <c r="H75" t="inlineStr">
        <is>
          <t>21 Maret 2016</t>
        </is>
      </c>
      <c r="I75" s="2" t="n">
        <v>46251</v>
      </c>
      <c r="J75" t="inlineStr">
        <is>
          <t>Disetujui</t>
        </is>
      </c>
      <c r="K75" t="n">
        <v>60</v>
      </c>
      <c r="L75" t="inlineStr">
        <is>
          <t>17 Agustus 2026</t>
        </is>
      </c>
      <c r="M75" t="inlineStr">
        <is>
          <t>Konstruksi Jaringan Irigasi dan Drainase</t>
        </is>
      </c>
      <c r="N75" t="inlineStr">
        <is>
          <t>K</t>
        </is>
      </c>
      <c r="O75" t="inlineStr">
        <is>
          <t>20230814</t>
        </is>
      </c>
      <c r="P75" t="inlineStr">
        <is>
          <t>Jawa Timur</t>
        </is>
      </c>
      <c r="Q75" t="inlineStr"/>
    </row>
    <row r="76">
      <c r="A76" t="inlineStr">
        <is>
          <t>GUNUNG TABOR PERKASA</t>
        </is>
      </c>
      <c r="B76" t="inlineStr">
        <is>
          <t>Kota Jambi</t>
        </is>
      </c>
      <c r="C76" t="inlineStr">
        <is>
          <t>085268137555</t>
        </is>
      </c>
      <c r="D76" t="inlineStr">
        <is>
          <t>gunung.tabor@yahoo.com</t>
        </is>
      </c>
      <c r="E76" t="inlineStr">
        <is>
          <t>https://lpjk.pu.go.id/search-badan-usaha-detail/T3VoZTkvck1vMmc0bHl1eHB2b1NBdz09</t>
        </is>
      </c>
      <c r="F76" t="n">
        <v>1</v>
      </c>
      <c r="G76" t="inlineStr">
        <is>
          <t>BS010</t>
        </is>
      </c>
      <c r="H76" t="inlineStr">
        <is>
          <t>14 Februari 2000</t>
        </is>
      </c>
      <c r="I76" s="2" t="n">
        <v>46251</v>
      </c>
      <c r="J76" t="inlineStr">
        <is>
          <t>Pembekuan</t>
        </is>
      </c>
      <c r="K76" t="n">
        <v>60</v>
      </c>
      <c r="L76" t="inlineStr">
        <is>
          <t>17 Agustus 2026</t>
        </is>
      </c>
      <c r="M76" t="inlineStr">
        <is>
          <t>Konstruksi Bangunan Prasarana Sumber Daya Air</t>
        </is>
      </c>
      <c r="N76" t="inlineStr">
        <is>
          <t>M</t>
        </is>
      </c>
      <c r="O76" t="inlineStr">
        <is>
          <t>20230815</t>
        </is>
      </c>
      <c r="P76" t="inlineStr">
        <is>
          <t>Jambi</t>
        </is>
      </c>
      <c r="Q76" t="inlineStr"/>
    </row>
    <row r="77">
      <c r="A77" t="inlineStr">
        <is>
          <t>HARAPAN JAYA</t>
        </is>
      </c>
      <c r="B77" t="inlineStr">
        <is>
          <t>Kab. Bengkulu Selatan</t>
        </is>
      </c>
      <c r="C77" t="inlineStr">
        <is>
          <t>085234222272</t>
        </is>
      </c>
      <c r="D77" t="inlineStr">
        <is>
          <t>harapanjayacv@rocketmail.com</t>
        </is>
      </c>
      <c r="E77" t="inlineStr">
        <is>
          <t>https://lpjk.pu.go.id/search-badan-usaha-detail/emtQTS9FVjZjQzhXWVNQaFZMYmFjQT09</t>
        </is>
      </c>
      <c r="F77" t="n">
        <v>1</v>
      </c>
      <c r="G77" t="inlineStr">
        <is>
          <t>BG009</t>
        </is>
      </c>
      <c r="H77" t="inlineStr">
        <is>
          <t>6 Januari 2001</t>
        </is>
      </c>
      <c r="I77" s="2" t="n">
        <v>46251</v>
      </c>
      <c r="J77" t="inlineStr">
        <is>
          <t>Disetujui</t>
        </is>
      </c>
      <c r="K77" t="n">
        <v>60</v>
      </c>
      <c r="L77" t="inlineStr">
        <is>
          <t>17 Agustus 2026</t>
        </is>
      </c>
      <c r="M77" t="inlineStr">
        <is>
          <t>Konstruksi Gedung Lainnya</t>
        </is>
      </c>
      <c r="N77" t="inlineStr">
        <is>
          <t>K</t>
        </is>
      </c>
      <c r="O77" t="inlineStr">
        <is>
          <t>20230811</t>
        </is>
      </c>
      <c r="P77" t="inlineStr">
        <is>
          <t>Bengkulu</t>
        </is>
      </c>
      <c r="Q77" t="inlineStr"/>
    </row>
    <row r="78">
      <c r="A78" t="inlineStr">
        <is>
          <t>HASIL KARYA KONSULTAN</t>
        </is>
      </c>
      <c r="B78" t="inlineStr">
        <is>
          <t>Kab. Sidoarjo</t>
        </is>
      </c>
      <c r="C78" t="inlineStr">
        <is>
          <t>0319898798</t>
        </is>
      </c>
      <c r="D78" t="inlineStr">
        <is>
          <t>hasilkaryakons@gmail.com</t>
        </is>
      </c>
      <c r="E78" t="inlineStr">
        <is>
          <t>https://lpjk.pu.go.id/search-badan-usaha-detail/SlZZR3JHb0pRdjM1UkRoK1EzQVdidz09</t>
        </is>
      </c>
      <c r="F78" t="n">
        <v>4</v>
      </c>
      <c r="G78" t="inlineStr">
        <is>
          <t>AR001, RK001, RK002, RK003</t>
        </is>
      </c>
      <c r="H78" t="inlineStr">
        <is>
          <t>13 Juni 2009</t>
        </is>
      </c>
      <c r="I78" s="2" t="n">
        <v>46251</v>
      </c>
      <c r="J78" t="inlineStr">
        <is>
          <t>Disetujui</t>
        </is>
      </c>
      <c r="K78" t="n">
        <v>60</v>
      </c>
      <c r="L78" t="inlineStr">
        <is>
          <t>17 Agustus 2026</t>
        </is>
      </c>
      <c r="M78" t="inlineStr">
        <is>
          <t>Jasa Arsitektural Bangunan Gedung Hunian dan Non Hunian, Jasa Rekayasa Konstruksi Bangunan Gedung Hunian dan Non Hunian, Jasa Rekayasa Pekerjaan Teknik Sipil Sumber Daya Air, Jasa Rekayasa Pekerjaan Teknik Sipil Transportasi</t>
        </is>
      </c>
      <c r="N78" t="inlineStr">
        <is>
          <t>K</t>
        </is>
      </c>
      <c r="O78" t="inlineStr">
        <is>
          <t>20230810</t>
        </is>
      </c>
      <c r="P78" t="inlineStr">
        <is>
          <t>Jawa Timur</t>
        </is>
      </c>
      <c r="Q78" t="inlineStr"/>
    </row>
    <row r="79">
      <c r="A79" t="inlineStr">
        <is>
          <t>HASTA HANA HARAPAN</t>
        </is>
      </c>
      <c r="B79" t="inlineStr">
        <is>
          <t>Kota Manado</t>
        </is>
      </c>
      <c r="C79" t="inlineStr">
        <is>
          <t>082188118812</t>
        </is>
      </c>
      <c r="D79" t="inlineStr">
        <is>
          <t>hastahanaharapan@gmail.com</t>
        </is>
      </c>
      <c r="E79" t="inlineStr">
        <is>
          <t>https://lpjk.pu.go.id/search-badan-usaha-detail/Skd5c25WdHN6bUNxSVczbEtueExWZz09</t>
        </is>
      </c>
      <c r="F79" t="n">
        <v>1</v>
      </c>
      <c r="G79" t="inlineStr">
        <is>
          <t>BG009</t>
        </is>
      </c>
      <c r="H79" t="inlineStr">
        <is>
          <t>26 Juli 2023</t>
        </is>
      </c>
      <c r="I79" s="2" t="n">
        <v>46251</v>
      </c>
      <c r="J79" t="inlineStr">
        <is>
          <t>Disetujui</t>
        </is>
      </c>
      <c r="K79" t="n">
        <v>60</v>
      </c>
      <c r="L79" t="inlineStr">
        <is>
          <t>17 Agustus 2026</t>
        </is>
      </c>
      <c r="M79" t="inlineStr">
        <is>
          <t>Konstruksi Gedung Lainnya</t>
        </is>
      </c>
      <c r="N79" t="inlineStr">
        <is>
          <t>K</t>
        </is>
      </c>
      <c r="O79" t="inlineStr">
        <is>
          <t>20230815</t>
        </is>
      </c>
      <c r="P79" t="inlineStr">
        <is>
          <t>Sulawesi Utara</t>
        </is>
      </c>
      <c r="Q79" t="inlineStr"/>
    </row>
    <row r="80">
      <c r="A80" t="inlineStr">
        <is>
          <t>INDRA TRI ANANDA</t>
        </is>
      </c>
      <c r="B80" t="inlineStr">
        <is>
          <t>Kota Palembang</t>
        </is>
      </c>
      <c r="C80" t="inlineStr">
        <is>
          <t>082178714847</t>
        </is>
      </c>
      <c r="D80" t="inlineStr">
        <is>
          <t>pt.indratriananda@gmail.com</t>
        </is>
      </c>
      <c r="E80" t="inlineStr">
        <is>
          <t>https://lpjk.pu.go.id/search-badan-usaha-detail/VC9NTWZQQnZidWxYR2RhMzNHVjliQT09</t>
        </is>
      </c>
      <c r="F80" t="n">
        <v>1</v>
      </c>
      <c r="G80" t="inlineStr">
        <is>
          <t>BS001</t>
        </is>
      </c>
      <c r="H80" t="inlineStr">
        <is>
          <t>30 November 2004</t>
        </is>
      </c>
      <c r="I80" s="2" t="n">
        <v>46251</v>
      </c>
      <c r="J80" t="inlineStr">
        <is>
          <t>Pencabutan</t>
        </is>
      </c>
      <c r="K80" t="n">
        <v>60</v>
      </c>
      <c r="L80" t="inlineStr">
        <is>
          <t>17 Agustus 2026</t>
        </is>
      </c>
      <c r="M80" t="inlineStr">
        <is>
          <t>Konstruksi Bangunan Sipil Jalan</t>
        </is>
      </c>
      <c r="N80" t="inlineStr">
        <is>
          <t>K</t>
        </is>
      </c>
      <c r="O80" t="inlineStr">
        <is>
          <t>20230815</t>
        </is>
      </c>
      <c r="P80" t="inlineStr">
        <is>
          <t>Sumatera Selatan</t>
        </is>
      </c>
      <c r="Q80" t="inlineStr"/>
    </row>
    <row r="81">
      <c r="A81" t="inlineStr">
        <is>
          <t>IWANTA PRATAMA</t>
        </is>
      </c>
      <c r="B81" t="inlineStr">
        <is>
          <t>Kab. Sinjai</t>
        </is>
      </c>
      <c r="C81" t="inlineStr">
        <is>
          <t>085219735527</t>
        </is>
      </c>
      <c r="D81" t="inlineStr">
        <is>
          <t>nanniikhwan@gmail.com</t>
        </is>
      </c>
      <c r="E81" t="inlineStr">
        <is>
          <t>https://lpjk.pu.go.id/search-badan-usaha-detail/ekRMT1J1aE8zT24rT3NNRERZeEdRdz09</t>
        </is>
      </c>
      <c r="F81" t="n">
        <v>2</v>
      </c>
      <c r="G81" t="inlineStr">
        <is>
          <t>BS001, BS004</t>
        </is>
      </c>
      <c r="H81" t="inlineStr">
        <is>
          <t>23 Juli 2003</t>
        </is>
      </c>
      <c r="I81" s="2" t="n">
        <v>46251</v>
      </c>
      <c r="J81" t="inlineStr">
        <is>
          <t>Disetujui</t>
        </is>
      </c>
      <c r="K81" t="n">
        <v>60</v>
      </c>
      <c r="L81" t="inlineStr">
        <is>
          <t>17 Agustus 2026</t>
        </is>
      </c>
      <c r="M81" t="inlineStr">
        <is>
          <t>Konstruksi Bangunan Sipil Jalan, Konstruksi Jaringan Irigasi dan Drainase</t>
        </is>
      </c>
      <c r="N81" t="inlineStr">
        <is>
          <t>K</t>
        </is>
      </c>
      <c r="O81" t="inlineStr">
        <is>
          <t>20230812</t>
        </is>
      </c>
      <c r="P81" t="inlineStr">
        <is>
          <t>Sulawesi Selatan</t>
        </is>
      </c>
      <c r="Q81" t="inlineStr"/>
    </row>
    <row r="82">
      <c r="A82" t="inlineStr">
        <is>
          <t>JATI SUNGSANG</t>
        </is>
      </c>
      <c r="B82" t="inlineStr">
        <is>
          <t>Kab. Cilacap</t>
        </is>
      </c>
      <c r="C82" t="inlineStr">
        <is>
          <t>081328737057</t>
        </is>
      </c>
      <c r="D82" t="inlineStr">
        <is>
          <t>cvjatisungsang3@gmail.com</t>
        </is>
      </c>
      <c r="E82" t="inlineStr">
        <is>
          <t>https://lpjk.pu.go.id/search-badan-usaha-detail/bS9qTzAycEh0MVVsWnZPNUhiUGhWUT09</t>
        </is>
      </c>
      <c r="F82" t="n">
        <v>4</v>
      </c>
      <c r="G82" t="inlineStr">
        <is>
          <t>BG005, BG006, BG009, BS004</t>
        </is>
      </c>
      <c r="H82" t="inlineStr">
        <is>
          <t>28 Agustus 2015</t>
        </is>
      </c>
      <c r="I82" s="2" t="n">
        <v>46251</v>
      </c>
      <c r="J82" t="inlineStr">
        <is>
          <t>Pencabutan</t>
        </is>
      </c>
      <c r="K82" t="n">
        <v>60</v>
      </c>
      <c r="L82" t="inlineStr">
        <is>
          <t>17 Agustus 2026</t>
        </is>
      </c>
      <c r="M82" t="inlineStr">
        <is>
          <t>Konstruksi Gedung Kesehatan, Konstruksi Gedung Lainnya, Konstruksi Gedung Pendidikan, Konstruksi Jaringan Irigasi dan Drainase</t>
        </is>
      </c>
      <c r="N82" t="inlineStr">
        <is>
          <t>K</t>
        </is>
      </c>
      <c r="O82" t="inlineStr">
        <is>
          <t>20230818</t>
        </is>
      </c>
      <c r="P82" t="inlineStr">
        <is>
          <t>Jawa Tengah</t>
        </is>
      </c>
      <c r="Q82" t="inlineStr"/>
    </row>
    <row r="83">
      <c r="A83" t="inlineStr">
        <is>
          <t>JATIM PRASARANA UTAMA</t>
        </is>
      </c>
      <c r="B83" t="inlineStr">
        <is>
          <t>Kota Surabaya</t>
        </is>
      </c>
      <c r="C83" t="inlineStr">
        <is>
          <t>0317329781</t>
        </is>
      </c>
      <c r="D83" t="inlineStr">
        <is>
          <t>jatimprasaranautama@yahoo.com</t>
        </is>
      </c>
      <c r="E83" t="inlineStr">
        <is>
          <t>https://lpjk.pu.go.id/search-badan-usaha-detail/Z1JkMXBaMXNLb1dHZTRRSDFYRGZKZz09</t>
        </is>
      </c>
      <c r="F83" t="n">
        <v>1</v>
      </c>
      <c r="G83" t="inlineStr">
        <is>
          <t>BG001</t>
        </is>
      </c>
      <c r="H83" t="inlineStr">
        <is>
          <t>27 Desember 2002</t>
        </is>
      </c>
      <c r="I83" s="2" t="n">
        <v>46251</v>
      </c>
      <c r="J83" t="inlineStr">
        <is>
          <t>Disetujui</t>
        </is>
      </c>
      <c r="K83" t="n">
        <v>60</v>
      </c>
      <c r="L83" t="inlineStr">
        <is>
          <t>17 Agustus 2026</t>
        </is>
      </c>
      <c r="M83" t="inlineStr">
        <is>
          <t>Konstruksi Gedung Hunian</t>
        </is>
      </c>
      <c r="N83" t="inlineStr">
        <is>
          <t>M</t>
        </is>
      </c>
      <c r="O83" t="inlineStr">
        <is>
          <t>20230720</t>
        </is>
      </c>
      <c r="P83" t="inlineStr">
        <is>
          <t>Jawa Timur</t>
        </is>
      </c>
      <c r="Q83" t="inlineStr"/>
    </row>
    <row r="84">
      <c r="A84" t="inlineStr">
        <is>
          <t>JAYA KONSTRUKSI</t>
        </is>
      </c>
      <c r="B84" t="inlineStr">
        <is>
          <t>Kab. Gresik</t>
        </is>
      </c>
      <c r="C84" t="inlineStr">
        <is>
          <t>081316049065</t>
        </is>
      </c>
      <c r="D84" t="inlineStr">
        <is>
          <t>firsarahma@gmail.com</t>
        </is>
      </c>
      <c r="E84" t="inlineStr">
        <is>
          <t>https://lpjk.pu.go.id/search-badan-usaha-detail/cmJMc2NQVlB2cmphYVNtdXRrbi9lZz09</t>
        </is>
      </c>
      <c r="F84" t="n">
        <v>5</v>
      </c>
      <c r="G84" t="inlineStr">
        <is>
          <t>BG002, BG004, BG006, BS001, BS004</t>
        </is>
      </c>
      <c r="H84" t="inlineStr">
        <is>
          <t>14 Agustus 2014</t>
        </is>
      </c>
      <c r="I84" s="2" t="n">
        <v>46251</v>
      </c>
      <c r="J84" t="inlineStr">
        <is>
          <t>Disetujui</t>
        </is>
      </c>
      <c r="K84" t="n">
        <v>60</v>
      </c>
      <c r="L84" t="inlineStr">
        <is>
          <t>17 Agustus 2026</t>
        </is>
      </c>
      <c r="M84" t="inlineStr">
        <is>
          <t>Konstruksi Bangunan Sipil Jalan, Konstruksi Gedung Pendidikan, Konstruksi Gedung Perbelanjaan, Konstruksi Gedung Perkantoran, Konstruksi Jaringan Irigasi dan Drainase</t>
        </is>
      </c>
      <c r="N84" t="inlineStr">
        <is>
          <t>K</t>
        </is>
      </c>
      <c r="O84" t="inlineStr">
        <is>
          <t>20230816</t>
        </is>
      </c>
      <c r="P84" t="inlineStr">
        <is>
          <t>Jawa Timur</t>
        </is>
      </c>
      <c r="Q84" t="inlineStr"/>
    </row>
    <row r="85">
      <c r="A85" t="inlineStr">
        <is>
          <t>JAYA NUSANTARA</t>
        </is>
      </c>
      <c r="B85" t="inlineStr">
        <is>
          <t>Kota Tangerang</t>
        </is>
      </c>
      <c r="C85" t="inlineStr">
        <is>
          <t>085710795230</t>
        </is>
      </c>
      <c r="D85" t="inlineStr">
        <is>
          <t>jnusantara_cv@yahoo.co.id</t>
        </is>
      </c>
      <c r="E85" t="inlineStr">
        <is>
          <t>https://lpjk.pu.go.id/search-badan-usaha-detail/WU5nVTNISUVnMlRuSHU4TU5rb2NWQT09</t>
        </is>
      </c>
      <c r="F85" t="n">
        <v>1</v>
      </c>
      <c r="G85" t="inlineStr">
        <is>
          <t>BS001</t>
        </is>
      </c>
      <c r="H85" t="inlineStr">
        <is>
          <t>3 Juni 2008</t>
        </is>
      </c>
      <c r="I85" s="2" t="n">
        <v>46251</v>
      </c>
      <c r="J85" t="inlineStr">
        <is>
          <t>Disetujui</t>
        </is>
      </c>
      <c r="K85" t="n">
        <v>60</v>
      </c>
      <c r="L85" t="inlineStr">
        <is>
          <t>17 Agustus 2026</t>
        </is>
      </c>
      <c r="M85" t="inlineStr">
        <is>
          <t>Konstruksi Bangunan Sipil Jalan</t>
        </is>
      </c>
      <c r="N85" t="inlineStr">
        <is>
          <t>K</t>
        </is>
      </c>
      <c r="O85" t="inlineStr">
        <is>
          <t>20230803</t>
        </is>
      </c>
      <c r="P85" t="inlineStr">
        <is>
          <t>Banten</t>
        </is>
      </c>
      <c r="Q85" t="inlineStr"/>
    </row>
    <row r="86">
      <c r="A86" t="inlineStr">
        <is>
          <t>KARONA</t>
        </is>
      </c>
      <c r="B86" t="inlineStr">
        <is>
          <t>Kab. Dairi</t>
        </is>
      </c>
      <c r="C86" t="inlineStr">
        <is>
          <t>081362351519</t>
        </is>
      </c>
      <c r="D86" t="inlineStr">
        <is>
          <t>cvkaronadairi@gmail.com</t>
        </is>
      </c>
      <c r="E86" t="inlineStr">
        <is>
          <t>https://lpjk.pu.go.id/search-badan-usaha-detail/YTJWazdjeHFmQzRNRnc5b2hZYXlEUT09</t>
        </is>
      </c>
      <c r="F86" t="n">
        <v>1</v>
      </c>
      <c r="G86" t="inlineStr">
        <is>
          <t>BS001</t>
        </is>
      </c>
      <c r="H86" t="inlineStr">
        <is>
          <t>23 Juli 2019</t>
        </is>
      </c>
      <c r="I86" s="2" t="n">
        <v>46251</v>
      </c>
      <c r="J86" t="inlineStr">
        <is>
          <t>Disetujui</t>
        </is>
      </c>
      <c r="K86" t="n">
        <v>60</v>
      </c>
      <c r="L86" t="inlineStr">
        <is>
          <t>17 Agustus 2026</t>
        </is>
      </c>
      <c r="M86" t="inlineStr">
        <is>
          <t>Konstruksi Bangunan Sipil Jalan</t>
        </is>
      </c>
      <c r="N86" t="inlineStr">
        <is>
          <t>K</t>
        </is>
      </c>
      <c r="O86" t="inlineStr">
        <is>
          <t>20230804</t>
        </is>
      </c>
      <c r="P86" t="inlineStr">
        <is>
          <t>Sumatera Utara</t>
        </is>
      </c>
      <c r="Q86" t="inlineStr"/>
    </row>
    <row r="87">
      <c r="A87" t="inlineStr">
        <is>
          <t>KARTIKA SARI</t>
        </is>
      </c>
      <c r="B87" t="inlineStr">
        <is>
          <t>Kota Kediri</t>
        </is>
      </c>
      <c r="C87" t="inlineStr">
        <is>
          <t>08125945541</t>
        </is>
      </c>
      <c r="D87" t="inlineStr">
        <is>
          <t>cv.kartikasarikdr@gmail.com</t>
        </is>
      </c>
      <c r="E87" t="inlineStr">
        <is>
          <t>https://lpjk.pu.go.id/search-badan-usaha-detail/Nm1NMkhPYmpzOVVPQnA5MFVXV3ZlZz09</t>
        </is>
      </c>
      <c r="F87" t="n">
        <v>1</v>
      </c>
      <c r="G87" t="inlineStr">
        <is>
          <t>BG001</t>
        </is>
      </c>
      <c r="H87" t="inlineStr">
        <is>
          <t>22 Oktober 1993</t>
        </is>
      </c>
      <c r="I87" s="2" t="n">
        <v>46251</v>
      </c>
      <c r="J87" t="inlineStr">
        <is>
          <t>Disetujui</t>
        </is>
      </c>
      <c r="K87" t="n">
        <v>60</v>
      </c>
      <c r="L87" t="inlineStr">
        <is>
          <t>17 Agustus 2026</t>
        </is>
      </c>
      <c r="M87" t="inlineStr">
        <is>
          <t>Konstruksi Gedung Hunian</t>
        </is>
      </c>
      <c r="N87" t="inlineStr">
        <is>
          <t>K</t>
        </is>
      </c>
      <c r="O87" t="inlineStr">
        <is>
          <t>20230818</t>
        </is>
      </c>
      <c r="P87" t="inlineStr">
        <is>
          <t>Jawa Timur</t>
        </is>
      </c>
      <c r="Q87" t="inlineStr"/>
    </row>
    <row r="88">
      <c r="A88" t="inlineStr">
        <is>
          <t>KARYA BERINGIN PUTERA</t>
        </is>
      </c>
      <c r="B88" t="inlineStr">
        <is>
          <t>Kota Balikpapan</t>
        </is>
      </c>
      <c r="C88" t="inlineStr">
        <is>
          <t>08125859996</t>
        </is>
      </c>
      <c r="D88" t="inlineStr">
        <is>
          <t>cvkaryaberinginputera@gmail.com</t>
        </is>
      </c>
      <c r="E88" t="inlineStr">
        <is>
          <t>https://lpjk.pu.go.id/search-badan-usaha-detail/RGR0UExHaGp5dm8yV0d3elBpYVdldz09</t>
        </is>
      </c>
      <c r="F88" t="n">
        <v>1</v>
      </c>
      <c r="G88" t="inlineStr">
        <is>
          <t>BG006</t>
        </is>
      </c>
      <c r="H88" t="inlineStr">
        <is>
          <t>20 Mei 2020</t>
        </is>
      </c>
      <c r="I88" s="2" t="n">
        <v>46251</v>
      </c>
      <c r="J88" t="inlineStr">
        <is>
          <t>Disetujui</t>
        </is>
      </c>
      <c r="K88" t="n">
        <v>60</v>
      </c>
      <c r="L88" t="inlineStr">
        <is>
          <t>17 Agustus 2026</t>
        </is>
      </c>
      <c r="M88" t="inlineStr">
        <is>
          <t>Konstruksi Gedung Pendidikan</t>
        </is>
      </c>
      <c r="N88" t="inlineStr">
        <is>
          <t>K</t>
        </is>
      </c>
      <c r="O88" t="inlineStr">
        <is>
          <t>20230816</t>
        </is>
      </c>
      <c r="P88" t="inlineStr">
        <is>
          <t>Kalimantan Timur</t>
        </is>
      </c>
      <c r="Q88" t="inlineStr"/>
    </row>
    <row r="89">
      <c r="A89" t="inlineStr">
        <is>
          <t>KARYA KARTANEGARA</t>
        </is>
      </c>
      <c r="B89" t="inlineStr">
        <is>
          <t>Kab. Kutai Kartanegara</t>
        </is>
      </c>
      <c r="C89" t="inlineStr">
        <is>
          <t>081253456111</t>
        </is>
      </c>
      <c r="D89" t="inlineStr">
        <is>
          <t>kartanegarakarya@gmail.com</t>
        </is>
      </c>
      <c r="E89" t="inlineStr">
        <is>
          <t>https://lpjk.pu.go.id/search-badan-usaha-detail/NXUyeUxoNWZoVVJTYUlsdk5oZUZIQT09</t>
        </is>
      </c>
      <c r="F89" t="n">
        <v>1</v>
      </c>
      <c r="G89" t="inlineStr">
        <is>
          <t>BS001</t>
        </is>
      </c>
      <c r="H89" t="inlineStr">
        <is>
          <t>7 Agustus 2023</t>
        </is>
      </c>
      <c r="I89" s="2" t="n">
        <v>46251</v>
      </c>
      <c r="J89" t="inlineStr">
        <is>
          <t>Pencabutan</t>
        </is>
      </c>
      <c r="K89" t="n">
        <v>60</v>
      </c>
      <c r="L89" t="inlineStr">
        <is>
          <t>17 Agustus 2026</t>
        </is>
      </c>
      <c r="M89" t="inlineStr">
        <is>
          <t>Konstruksi Bangunan Sipil Jalan</t>
        </is>
      </c>
      <c r="N89" t="inlineStr">
        <is>
          <t>K</t>
        </is>
      </c>
      <c r="O89" t="inlineStr">
        <is>
          <t>20230817</t>
        </is>
      </c>
      <c r="P89" t="inlineStr">
        <is>
          <t>Kalimantan Timur</t>
        </is>
      </c>
      <c r="Q89" t="inlineStr"/>
    </row>
    <row r="90">
      <c r="A90" t="inlineStr">
        <is>
          <t>KARYA LIMA ABADI</t>
        </is>
      </c>
      <c r="B90" t="inlineStr">
        <is>
          <t>Kab. Temanggung</t>
        </is>
      </c>
      <c r="C90" t="inlineStr">
        <is>
          <t>08122939506</t>
        </is>
      </c>
      <c r="D90" t="inlineStr">
        <is>
          <t>karyalimaabadi@gmail.com</t>
        </is>
      </c>
      <c r="E90" t="inlineStr">
        <is>
          <t>https://lpjk.pu.go.id/search-badan-usaha-detail/YklENUVtdkFVaTl4TEdGRnZCN2ZhQT09</t>
        </is>
      </c>
      <c r="F90" t="n">
        <v>1</v>
      </c>
      <c r="G90" t="inlineStr">
        <is>
          <t>BG006</t>
        </is>
      </c>
      <c r="H90" t="inlineStr">
        <is>
          <t>21 Juli 2022</t>
        </is>
      </c>
      <c r="I90" s="2" t="n">
        <v>46251</v>
      </c>
      <c r="J90" t="inlineStr">
        <is>
          <t>Disetujui</t>
        </is>
      </c>
      <c r="K90" t="n">
        <v>60</v>
      </c>
      <c r="L90" t="inlineStr">
        <is>
          <t>17 Agustus 2026</t>
        </is>
      </c>
      <c r="M90" t="inlineStr">
        <is>
          <t>Konstruksi Gedung Pendidikan</t>
        </is>
      </c>
      <c r="N90" t="inlineStr">
        <is>
          <t>K</t>
        </is>
      </c>
      <c r="O90" t="inlineStr">
        <is>
          <t>20230815</t>
        </is>
      </c>
      <c r="P90" t="inlineStr">
        <is>
          <t>Jawa Tengah</t>
        </is>
      </c>
      <c r="Q90" t="inlineStr"/>
    </row>
    <row r="91">
      <c r="A91" t="inlineStr">
        <is>
          <t>KARYA WIGUNA UTAMA</t>
        </is>
      </c>
      <c r="B91" t="inlineStr">
        <is>
          <t>Kota Denpasar</t>
        </is>
      </c>
      <c r="C91" t="inlineStr">
        <is>
          <t>0361263038</t>
        </is>
      </c>
      <c r="D91" t="inlineStr">
        <is>
          <t>kwigunautama@gmail.com</t>
        </is>
      </c>
      <c r="E91" t="inlineStr">
        <is>
          <t>https://lpjk.pu.go.id/search-badan-usaha-detail/KzYwbzVsNkFDWTloblNaaXgvK0F6UT09</t>
        </is>
      </c>
      <c r="F91" t="n">
        <v>3</v>
      </c>
      <c r="G91" t="inlineStr">
        <is>
          <t>BG002, BG004, BG006</t>
        </is>
      </c>
      <c r="H91" t="inlineStr">
        <is>
          <t>20 Oktober 2003</t>
        </is>
      </c>
      <c r="I91" s="2" t="n">
        <v>46251</v>
      </c>
      <c r="J91" t="inlineStr">
        <is>
          <t>Disetujui</t>
        </is>
      </c>
      <c r="K91" t="n">
        <v>60</v>
      </c>
      <c r="L91" t="inlineStr">
        <is>
          <t>17 Agustus 2026</t>
        </is>
      </c>
      <c r="M91" t="inlineStr">
        <is>
          <t>Konstruksi Gedung Pendidikan, Konstruksi Gedung Perbelanjaan, Konstruksi Gedung Perkantoran</t>
        </is>
      </c>
      <c r="N91" t="inlineStr">
        <is>
          <t>K</t>
        </is>
      </c>
      <c r="O91" t="inlineStr">
        <is>
          <t>20230512, 20230809, 20230810</t>
        </is>
      </c>
      <c r="P91" t="inlineStr">
        <is>
          <t>Bali</t>
        </is>
      </c>
      <c r="Q91" t="inlineStr"/>
    </row>
    <row r="92">
      <c r="A92" t="inlineStr">
        <is>
          <t>KELUARGA JAYA MANDIRI</t>
        </is>
      </c>
      <c r="B92" t="inlineStr">
        <is>
          <t>Kab. Aceh Tamiang</t>
        </is>
      </c>
      <c r="C92" t="inlineStr">
        <is>
          <t>082129991874</t>
        </is>
      </c>
      <c r="D92" t="inlineStr">
        <is>
          <t>keluarga.jayamandiri2022@gmail.com</t>
        </is>
      </c>
      <c r="E92" t="inlineStr">
        <is>
          <t>https://lpjk.pu.go.id/search-badan-usaha-detail/bW9sZThVR1dvU3Vaak44OGN0VGpMUT09</t>
        </is>
      </c>
      <c r="F92" t="n">
        <v>1</v>
      </c>
      <c r="G92" t="inlineStr">
        <is>
          <t>BG001</t>
        </is>
      </c>
      <c r="H92" t="inlineStr">
        <is>
          <t>13 Mei 2022</t>
        </is>
      </c>
      <c r="I92" s="2" t="n">
        <v>46251</v>
      </c>
      <c r="J92" t="inlineStr">
        <is>
          <t>Disetujui</t>
        </is>
      </c>
      <c r="K92" t="n">
        <v>60</v>
      </c>
      <c r="L92" t="inlineStr">
        <is>
          <t>17 Agustus 2026</t>
        </is>
      </c>
      <c r="M92" t="inlineStr">
        <is>
          <t>Konstruksi Gedung Hunian</t>
        </is>
      </c>
      <c r="N92" t="inlineStr">
        <is>
          <t>K</t>
        </is>
      </c>
      <c r="O92" t="inlineStr">
        <is>
          <t>20230815</t>
        </is>
      </c>
      <c r="P92" t="inlineStr">
        <is>
          <t>Aceh</t>
        </is>
      </c>
      <c r="Q92" t="inlineStr"/>
    </row>
    <row r="93">
      <c r="A93" t="inlineStr">
        <is>
          <t>KEZIA TRIMEGAH</t>
        </is>
      </c>
      <c r="B93" t="inlineStr">
        <is>
          <t>Kota Adm. Jakarta Pusat</t>
        </is>
      </c>
      <c r="C93" t="inlineStr">
        <is>
          <t>081295183339</t>
        </is>
      </c>
      <c r="D93" t="inlineStr">
        <is>
          <t>trimegahkezia@gmail.com</t>
        </is>
      </c>
      <c r="E93" t="inlineStr">
        <is>
          <t>https://lpjk.pu.go.id/search-badan-usaha-detail/cHV0WGdFd2U2NEoyVldkUkxQZzNYQT09</t>
        </is>
      </c>
      <c r="F93" t="n">
        <v>2</v>
      </c>
      <c r="G93" t="inlineStr">
        <is>
          <t>BG007, BG009</t>
        </is>
      </c>
      <c r="H93" t="inlineStr">
        <is>
          <t>4 Januari 2008</t>
        </is>
      </c>
      <c r="I93" s="2" t="n">
        <v>46251</v>
      </c>
      <c r="J93" t="inlineStr">
        <is>
          <t>Disetujui</t>
        </is>
      </c>
      <c r="K93" t="n">
        <v>60</v>
      </c>
      <c r="L93" t="inlineStr">
        <is>
          <t>17 Agustus 2026</t>
        </is>
      </c>
      <c r="M93" t="inlineStr">
        <is>
          <t>Konstruksi Gedung Lainnya, Konstruksi Gedung Penginapan</t>
        </is>
      </c>
      <c r="N93" t="inlineStr">
        <is>
          <t>K</t>
        </is>
      </c>
      <c r="O93" t="inlineStr">
        <is>
          <t>20230814, 20230815</t>
        </is>
      </c>
      <c r="P93" t="inlineStr">
        <is>
          <t>DKI Jakarta</t>
        </is>
      </c>
      <c r="Q93" t="inlineStr"/>
    </row>
    <row r="94">
      <c r="A94" t="inlineStr">
        <is>
          <t>KINGAZIZ KONSTRUKSI INDONESIA</t>
        </is>
      </c>
      <c r="B94" t="inlineStr">
        <is>
          <t>Kab. Pekalongan</t>
        </is>
      </c>
      <c r="C94" t="inlineStr">
        <is>
          <t>0285785191</t>
        </is>
      </c>
      <c r="D94" t="inlineStr">
        <is>
          <t>pt.kingaziz@gmail.com</t>
        </is>
      </c>
      <c r="E94" t="inlineStr">
        <is>
          <t>https://lpjk.pu.go.id/search-badan-usaha-detail/Y3NQMWlHeUtZRjM1a252dEdBajhMdz09</t>
        </is>
      </c>
      <c r="F94" t="n">
        <v>1</v>
      </c>
      <c r="G94" t="inlineStr">
        <is>
          <t>BG001</t>
        </is>
      </c>
      <c r="H94" t="inlineStr">
        <is>
          <t>28 Oktober 2017</t>
        </is>
      </c>
      <c r="I94" s="2" t="n">
        <v>46251</v>
      </c>
      <c r="J94" t="inlineStr">
        <is>
          <t>Disetujui</t>
        </is>
      </c>
      <c r="K94" t="n">
        <v>60</v>
      </c>
      <c r="L94" t="inlineStr">
        <is>
          <t>17 Agustus 2026</t>
        </is>
      </c>
      <c r="M94" t="inlineStr">
        <is>
          <t>Konstruksi Gedung Hunian</t>
        </is>
      </c>
      <c r="N94" t="inlineStr">
        <is>
          <t>K</t>
        </is>
      </c>
      <c r="O94" t="inlineStr">
        <is>
          <t>20230811</t>
        </is>
      </c>
      <c r="P94" t="inlineStr">
        <is>
          <t>Jawa Tengah</t>
        </is>
      </c>
      <c r="Q94" t="inlineStr"/>
    </row>
    <row r="95">
      <c r="A95" t="inlineStr">
        <is>
          <t>KURNIA MADINA PERSADA</t>
        </is>
      </c>
      <c r="B95" t="inlineStr">
        <is>
          <t>Kab. Mandailing Natal</t>
        </is>
      </c>
      <c r="C95" t="inlineStr">
        <is>
          <t>082272898686</t>
        </is>
      </c>
      <c r="D95" t="inlineStr">
        <is>
          <t>ptkurniamadinapersada@gmail.com</t>
        </is>
      </c>
      <c r="E95" t="inlineStr">
        <is>
          <t>https://lpjk.pu.go.id/search-badan-usaha-detail/ejJuM3k4dG5wSlJvSzE2Skhla1N2Zz09</t>
        </is>
      </c>
      <c r="F95" t="n">
        <v>1</v>
      </c>
      <c r="G95" t="inlineStr">
        <is>
          <t>BS001</t>
        </is>
      </c>
      <c r="H95" t="inlineStr">
        <is>
          <t>28 November 2017</t>
        </is>
      </c>
      <c r="I95" s="2" t="n">
        <v>46251</v>
      </c>
      <c r="J95" t="inlineStr">
        <is>
          <t>Disetujui</t>
        </is>
      </c>
      <c r="K95" t="n">
        <v>60</v>
      </c>
      <c r="L95" t="inlineStr">
        <is>
          <t>17 Agustus 2026</t>
        </is>
      </c>
      <c r="M95" t="inlineStr">
        <is>
          <t>Konstruksi Bangunan Sipil Jalan</t>
        </is>
      </c>
      <c r="N95" t="inlineStr">
        <is>
          <t>K</t>
        </is>
      </c>
      <c r="O95" t="inlineStr">
        <is>
          <t>20230817</t>
        </is>
      </c>
      <c r="P95" t="inlineStr">
        <is>
          <t>Sumatera Utara</t>
        </is>
      </c>
      <c r="Q95" t="inlineStr"/>
    </row>
    <row r="96">
      <c r="A96" t="inlineStr">
        <is>
          <t>LESTARI PUTRA GEMILANG</t>
        </is>
      </c>
      <c r="B96" t="inlineStr">
        <is>
          <t>Kab. Jombang</t>
        </is>
      </c>
      <c r="C96" t="inlineStr">
        <is>
          <t>082257808081</t>
        </is>
      </c>
      <c r="D96" t="inlineStr">
        <is>
          <t>lestariputragemilang2017@gmail.com</t>
        </is>
      </c>
      <c r="E96" t="inlineStr">
        <is>
          <t>https://lpjk.pu.go.id/search-badan-usaha-detail/UFMrNEJwK2ozS1duTWIwT3BCeWExQT09</t>
        </is>
      </c>
      <c r="F96" t="n">
        <v>1</v>
      </c>
      <c r="G96" t="inlineStr">
        <is>
          <t>BG006</t>
        </is>
      </c>
      <c r="H96" t="inlineStr">
        <is>
          <t>10 November 2017</t>
        </is>
      </c>
      <c r="I96" s="2" t="n">
        <v>46251</v>
      </c>
      <c r="J96" t="inlineStr">
        <is>
          <t>Disetujui</t>
        </is>
      </c>
      <c r="K96" t="n">
        <v>60</v>
      </c>
      <c r="L96" t="inlineStr">
        <is>
          <t>17 Agustus 2026</t>
        </is>
      </c>
      <c r="M96" t="inlineStr">
        <is>
          <t>Konstruksi Gedung Pendidikan</t>
        </is>
      </c>
      <c r="N96" t="inlineStr">
        <is>
          <t>K</t>
        </is>
      </c>
      <c r="O96" t="inlineStr">
        <is>
          <t>20230815</t>
        </is>
      </c>
      <c r="P96" t="inlineStr">
        <is>
          <t>Jawa Timur</t>
        </is>
      </c>
      <c r="Q96" t="inlineStr"/>
    </row>
    <row r="97">
      <c r="A97" t="inlineStr">
        <is>
          <t>LIMA PUTRA</t>
        </is>
      </c>
      <c r="B97" t="inlineStr">
        <is>
          <t>Kab. Sukoharjo</t>
        </is>
      </c>
      <c r="C97" t="inlineStr">
        <is>
          <t>0271646780</t>
        </is>
      </c>
      <c r="D97" t="inlineStr">
        <is>
          <t>limaputra@rocketmail.com</t>
        </is>
      </c>
      <c r="E97" t="inlineStr">
        <is>
          <t>https://lpjk.pu.go.id/search-badan-usaha-detail/cDhvMEZxTzlTRUpCQUVMNlFhUmxxZz09</t>
        </is>
      </c>
      <c r="F97" t="n">
        <v>4</v>
      </c>
      <c r="G97" t="inlineStr">
        <is>
          <t>BG002, BG004, BG006, BS002</t>
        </is>
      </c>
      <c r="H97" t="inlineStr">
        <is>
          <t>5 November 1984</t>
        </is>
      </c>
      <c r="I97" s="2" t="n">
        <v>46251</v>
      </c>
      <c r="J97" t="inlineStr">
        <is>
          <t>Disetujui, Permohonan Perubahan Non Asesmen</t>
        </is>
      </c>
      <c r="K97" t="n">
        <v>60</v>
      </c>
      <c r="L97" t="inlineStr">
        <is>
          <t>17 Agustus 2026</t>
        </is>
      </c>
      <c r="M97" t="inlineStr">
        <is>
          <t>Bangunan Sipil Jembatan, Jalan Layang, Fly Over, dan Underpass, Konstruksi Gedung Pendidikan, Konstruksi Gedung Perbelanjaan, Konstruksi Gedung Perkantoran</t>
        </is>
      </c>
      <c r="N97" t="inlineStr">
        <is>
          <t>K</t>
        </is>
      </c>
      <c r="O97" t="inlineStr">
        <is>
          <t>20230801, 20230804, 20230814</t>
        </is>
      </c>
      <c r="P97" t="inlineStr">
        <is>
          <t>Jawa Tengah</t>
        </is>
      </c>
      <c r="Q97" t="inlineStr"/>
    </row>
    <row r="98">
      <c r="A98" t="inlineStr">
        <is>
          <t>LINTAS BANUA</t>
        </is>
      </c>
      <c r="B98" t="inlineStr">
        <is>
          <t>Kab. Kapuas Hulu</t>
        </is>
      </c>
      <c r="C98" t="inlineStr">
        <is>
          <t>085251940016</t>
        </is>
      </c>
      <c r="D98" t="inlineStr">
        <is>
          <t>cv.lintas.banua@gmail.com</t>
        </is>
      </c>
      <c r="E98" t="inlineStr">
        <is>
          <t>https://lpjk.pu.go.id/search-badan-usaha-detail/eWM5eUpJeDNBSVppVHgrTzVCa20zZz09</t>
        </is>
      </c>
      <c r="F98" t="n">
        <v>1</v>
      </c>
      <c r="G98" t="inlineStr">
        <is>
          <t>BS001</t>
        </is>
      </c>
      <c r="H98" t="inlineStr">
        <is>
          <t>2 April 2020</t>
        </is>
      </c>
      <c r="I98" s="2" t="n">
        <v>46251</v>
      </c>
      <c r="J98" t="inlineStr">
        <is>
          <t>Disetujui</t>
        </is>
      </c>
      <c r="K98" t="n">
        <v>60</v>
      </c>
      <c r="L98" t="inlineStr">
        <is>
          <t>17 Agustus 2026</t>
        </is>
      </c>
      <c r="M98" t="inlineStr">
        <is>
          <t>Konstruksi Bangunan Sipil Jalan</t>
        </is>
      </c>
      <c r="N98" t="inlineStr">
        <is>
          <t>K</t>
        </is>
      </c>
      <c r="O98" t="inlineStr">
        <is>
          <t>20230804</t>
        </is>
      </c>
      <c r="P98" t="inlineStr">
        <is>
          <t>Kalimantan Barat</t>
        </is>
      </c>
      <c r="Q98" t="inlineStr"/>
    </row>
    <row r="99">
      <c r="A99" t="inlineStr">
        <is>
          <t>MAJU BERSAMA</t>
        </is>
      </c>
      <c r="B99" t="inlineStr">
        <is>
          <t>Kab. Bondowoso</t>
        </is>
      </c>
      <c r="C99" t="inlineStr">
        <is>
          <t>085257609508</t>
        </is>
      </c>
      <c r="D99" t="inlineStr">
        <is>
          <t>majubersamacv29@gmail.com</t>
        </is>
      </c>
      <c r="E99" t="inlineStr">
        <is>
          <t>https://lpjk.pu.go.id/search-badan-usaha-detail/eU94WTRGS2gyeHFZNXZPaG0vVGlUUT09</t>
        </is>
      </c>
      <c r="F99" t="n">
        <v>3</v>
      </c>
      <c r="G99" t="inlineStr">
        <is>
          <t>BG005, BG006, BG009</t>
        </is>
      </c>
      <c r="H99" t="inlineStr">
        <is>
          <t>29 November 2010</t>
        </is>
      </c>
      <c r="I99" s="2" t="n">
        <v>46251</v>
      </c>
      <c r="J99" t="inlineStr">
        <is>
          <t>Disetujui</t>
        </is>
      </c>
      <c r="K99" t="n">
        <v>60</v>
      </c>
      <c r="L99" t="inlineStr">
        <is>
          <t>17 Agustus 2026</t>
        </is>
      </c>
      <c r="M99" t="inlineStr">
        <is>
          <t>Konstruksi Gedung Kesehatan, Konstruksi Gedung Lainnya, Konstruksi Gedung Pendidikan</t>
        </is>
      </c>
      <c r="N99" t="inlineStr">
        <is>
          <t>K</t>
        </is>
      </c>
      <c r="O99" t="inlineStr">
        <is>
          <t>20230816</t>
        </is>
      </c>
      <c r="P99" t="inlineStr">
        <is>
          <t>Jawa Timur</t>
        </is>
      </c>
      <c r="Q99" t="inlineStr"/>
    </row>
    <row r="100">
      <c r="A100" t="inlineStr">
        <is>
          <t>MAKMUR JAYA</t>
        </is>
      </c>
      <c r="B100" t="inlineStr">
        <is>
          <t>Kab. Sukabumi</t>
        </is>
      </c>
      <c r="C100" t="inlineStr">
        <is>
          <t>085659640098</t>
        </is>
      </c>
      <c r="D100" t="inlineStr">
        <is>
          <t>makmurjayacv972@gmail.com</t>
        </is>
      </c>
      <c r="E100" t="inlineStr">
        <is>
          <t>https://lpjk.pu.go.id/search-badan-usaha-detail/OHQ1ck5jVlBZYm9DT1M1YUdQRlhJQT09</t>
        </is>
      </c>
      <c r="F100" t="n">
        <v>1</v>
      </c>
      <c r="G100" t="inlineStr">
        <is>
          <t>BG005</t>
        </is>
      </c>
      <c r="H100" t="inlineStr">
        <is>
          <t>3 November 1981</t>
        </is>
      </c>
      <c r="I100" s="2" t="n">
        <v>46251</v>
      </c>
      <c r="J100" t="inlineStr">
        <is>
          <t>Disetujui</t>
        </is>
      </c>
      <c r="K100" t="n">
        <v>60</v>
      </c>
      <c r="L100" t="inlineStr">
        <is>
          <t>17 Agustus 2026</t>
        </is>
      </c>
      <c r="M100" t="inlineStr">
        <is>
          <t>Konstruksi Gedung Kesehatan</t>
        </is>
      </c>
      <c r="N100" t="inlineStr">
        <is>
          <t>K</t>
        </is>
      </c>
      <c r="O100" t="inlineStr">
        <is>
          <t>20230816</t>
        </is>
      </c>
      <c r="P100" t="inlineStr">
        <is>
          <t>Jawa Barat</t>
        </is>
      </c>
      <c r="Q100" t="inlineStr"/>
    </row>
    <row r="101">
      <c r="A101" t="inlineStr">
        <is>
          <t>MANDIRI</t>
        </is>
      </c>
      <c r="B101" t="inlineStr">
        <is>
          <t>Kota Palu</t>
        </is>
      </c>
      <c r="C101" t="inlineStr">
        <is>
          <t>0811452422</t>
        </is>
      </c>
      <c r="D101" t="inlineStr">
        <is>
          <t>cvmandiri69@gmail.com</t>
        </is>
      </c>
      <c r="E101" t="inlineStr">
        <is>
          <t>https://lpjk.pu.go.id/search-badan-usaha-detail/WEhHTWRtcG5oeXRQTGR3SWVqVDZaUT09</t>
        </is>
      </c>
      <c r="F101" t="n">
        <v>3</v>
      </c>
      <c r="G101" t="inlineStr">
        <is>
          <t>BS001, BS002, BS004</t>
        </is>
      </c>
      <c r="H101" t="inlineStr">
        <is>
          <t>22 Juni 2012</t>
        </is>
      </c>
      <c r="I101" s="2" t="n">
        <v>46251</v>
      </c>
      <c r="J101" t="inlineStr">
        <is>
          <t>Disetujui</t>
        </is>
      </c>
      <c r="K101" t="n">
        <v>60</v>
      </c>
      <c r="L101" t="inlineStr">
        <is>
          <t>17 Agustus 2026</t>
        </is>
      </c>
      <c r="M101" t="inlineStr">
        <is>
          <t>Bangunan Sipil Jembatan, Jalan Layang, Fly Over, dan Underpass, Konstruksi Bangunan Sipil Jalan, Konstruksi Jaringan Irigasi dan Drainase</t>
        </is>
      </c>
      <c r="N101" t="inlineStr">
        <is>
          <t>K</t>
        </is>
      </c>
      <c r="O101" t="inlineStr">
        <is>
          <t>20230818</t>
        </is>
      </c>
      <c r="P101" t="inlineStr">
        <is>
          <t>Sulawesi Tengah</t>
        </is>
      </c>
      <c r="Q101" t="inlineStr"/>
    </row>
    <row r="102">
      <c r="A102" t="inlineStr">
        <is>
          <t>MANDIRI PRIMA SEHATI</t>
        </is>
      </c>
      <c r="B102" t="inlineStr">
        <is>
          <t>Kota Pekanbaru</t>
        </is>
      </c>
      <c r="C102" t="inlineStr">
        <is>
          <t>081275500779</t>
        </is>
      </c>
      <c r="D102" t="inlineStr">
        <is>
          <t>mandiriprimasehati@gmail.com</t>
        </is>
      </c>
      <c r="E102" t="inlineStr">
        <is>
          <t>https://lpjk.pu.go.id/search-badan-usaha-detail/NlNHWnV6bXlwVG1ydThSS3Q5T21Jdz09</t>
        </is>
      </c>
      <c r="F102" t="n">
        <v>1</v>
      </c>
      <c r="G102" t="inlineStr">
        <is>
          <t>BG009</t>
        </is>
      </c>
      <c r="H102" t="inlineStr">
        <is>
          <t>23 Desember 2010</t>
        </is>
      </c>
      <c r="I102" s="2" t="n">
        <v>46251</v>
      </c>
      <c r="J102" t="inlineStr">
        <is>
          <t>Disetujui</t>
        </is>
      </c>
      <c r="K102" t="n">
        <v>60</v>
      </c>
      <c r="L102" t="inlineStr">
        <is>
          <t>17 Agustus 2026</t>
        </is>
      </c>
      <c r="M102" t="inlineStr">
        <is>
          <t>Konstruksi Gedung Lainnya</t>
        </is>
      </c>
      <c r="N102" t="inlineStr">
        <is>
          <t>K</t>
        </is>
      </c>
      <c r="O102" t="inlineStr">
        <is>
          <t>20230818</t>
        </is>
      </c>
      <c r="P102" t="inlineStr">
        <is>
          <t>Riau</t>
        </is>
      </c>
      <c r="Q102" t="inlineStr"/>
    </row>
    <row r="103">
      <c r="A103" t="inlineStr">
        <is>
          <t>MANGGALA GITA KARYA</t>
        </is>
      </c>
      <c r="B103" t="inlineStr">
        <is>
          <t>Kota Adm. Jakarta Utara</t>
        </is>
      </c>
      <c r="C103" t="inlineStr">
        <is>
          <t>02145865675</t>
        </is>
      </c>
      <c r="D103" t="inlineStr">
        <is>
          <t>manggalagkarya@gmail.com</t>
        </is>
      </c>
      <c r="E103" t="inlineStr">
        <is>
          <t>https://lpjk.pu.go.id/search-badan-usaha-detail/Z3o3M1M5cEJ3clhQK29RZHM5c25rQT09</t>
        </is>
      </c>
      <c r="F103" t="n">
        <v>2</v>
      </c>
      <c r="G103" t="inlineStr">
        <is>
          <t>BG002, BG009</t>
        </is>
      </c>
      <c r="H103" t="inlineStr">
        <is>
          <t>19 Februari 1986</t>
        </is>
      </c>
      <c r="I103" s="2" t="n">
        <v>46251</v>
      </c>
      <c r="J103" t="inlineStr">
        <is>
          <t>Pencabutan</t>
        </is>
      </c>
      <c r="K103" t="n">
        <v>60</v>
      </c>
      <c r="L103" t="inlineStr">
        <is>
          <t>17 Agustus 2026</t>
        </is>
      </c>
      <c r="M103" t="inlineStr">
        <is>
          <t>Konstruksi Gedung Lainnya, Konstruksi Gedung Perkantoran</t>
        </is>
      </c>
      <c r="N103" t="inlineStr">
        <is>
          <t>B</t>
        </is>
      </c>
      <c r="O103" t="inlineStr">
        <is>
          <t>20230815</t>
        </is>
      </c>
      <c r="P103" t="inlineStr">
        <is>
          <t>DKI Jakarta</t>
        </is>
      </c>
      <c r="Q103" t="inlineStr"/>
    </row>
    <row r="104">
      <c r="A104" t="inlineStr">
        <is>
          <t>MARSADA BOAN REJEKI</t>
        </is>
      </c>
      <c r="B104" t="inlineStr">
        <is>
          <t>Kota Batam</t>
        </is>
      </c>
      <c r="C104" t="inlineStr">
        <is>
          <t>082170930940</t>
        </is>
      </c>
      <c r="D104" t="inlineStr">
        <is>
          <t>marsadaboanrejeki@gmail.com</t>
        </is>
      </c>
      <c r="E104" t="inlineStr">
        <is>
          <t>https://lpjk.pu.go.id/search-badan-usaha-detail/ZTZjd2JMQTdDckJyaUVBb0luanl2dz09</t>
        </is>
      </c>
      <c r="F104" t="n">
        <v>2</v>
      </c>
      <c r="G104" t="inlineStr">
        <is>
          <t>BS011</t>
        </is>
      </c>
      <c r="H104" t="inlineStr">
        <is>
          <t>26 Februari 2021</t>
        </is>
      </c>
      <c r="I104" s="2" t="n">
        <v>46251</v>
      </c>
      <c r="J104" t="inlineStr">
        <is>
          <t>Disetujui</t>
        </is>
      </c>
      <c r="K104" t="n">
        <v>60</v>
      </c>
      <c r="L104" t="inlineStr">
        <is>
          <t>17 Agustus 2026</t>
        </is>
      </c>
      <c r="M104" t="inlineStr">
        <is>
          <t>Konstruksi Bangunan Pelabuhan Bukan Perikanan</t>
        </is>
      </c>
      <c r="N104" t="inlineStr">
        <is>
          <t>K</t>
        </is>
      </c>
      <c r="O104" t="inlineStr">
        <is>
          <t>20230818</t>
        </is>
      </c>
      <c r="P104" t="inlineStr">
        <is>
          <t>Kepulauan Riau</t>
        </is>
      </c>
      <c r="Q104" t="inlineStr"/>
    </row>
    <row r="105">
      <c r="A105" t="inlineStr">
        <is>
          <t>MEKAR JAYA ANUGRAH</t>
        </is>
      </c>
      <c r="B105" t="inlineStr">
        <is>
          <t>Kota Pekanbaru</t>
        </is>
      </c>
      <c r="C105" t="inlineStr">
        <is>
          <t>082284383254</t>
        </is>
      </c>
      <c r="D105" t="inlineStr">
        <is>
          <t>jayacvmekar5@gmail.com</t>
        </is>
      </c>
      <c r="E105" t="inlineStr">
        <is>
          <t>https://lpjk.pu.go.id/search-badan-usaha-detail/djVMSWRVY2NFSWpOYkZtQSttaWZVUT09</t>
        </is>
      </c>
      <c r="F105" t="n">
        <v>2</v>
      </c>
      <c r="G105" t="inlineStr">
        <is>
          <t>BS006</t>
        </is>
      </c>
      <c r="H105" t="inlineStr">
        <is>
          <t>4 Juli 2023</t>
        </is>
      </c>
      <c r="I105" s="2" t="n">
        <v>46251</v>
      </c>
      <c r="J105" t="inlineStr">
        <is>
          <t>Disetujui</t>
        </is>
      </c>
      <c r="K105" t="n">
        <v>60</v>
      </c>
      <c r="L105" t="inlineStr">
        <is>
          <t>17 Agustus 2026</t>
        </is>
      </c>
      <c r="M105" t="inlineStr">
        <is>
          <t>Konstruksi Bangunan Sipil Prasarana dan Sarana Sistem Pengolahan Limbah Padat, Cair, dan Gas</t>
        </is>
      </c>
      <c r="N105" t="inlineStr">
        <is>
          <t>K</t>
        </is>
      </c>
      <c r="O105" t="inlineStr">
        <is>
          <t>20230815</t>
        </is>
      </c>
      <c r="P105" t="inlineStr">
        <is>
          <t>Riau</t>
        </is>
      </c>
      <c r="Q105" t="inlineStr"/>
    </row>
    <row r="106">
      <c r="A106" t="inlineStr">
        <is>
          <t>MITRA MAHER MASAGI</t>
        </is>
      </c>
      <c r="B106" t="inlineStr">
        <is>
          <t>Kota Bandung</t>
        </is>
      </c>
      <c r="C106" t="inlineStr">
        <is>
          <t>085701022944</t>
        </is>
      </c>
      <c r="D106" t="inlineStr">
        <is>
          <t>mitramahermasagi.cv@gmail.com</t>
        </is>
      </c>
      <c r="E106" t="inlineStr">
        <is>
          <t>https://lpjk.pu.go.id/search-badan-usaha-detail/NFJ2OFdnaGd6NSt5OEFGTnJWaHlJQT09</t>
        </is>
      </c>
      <c r="F106" t="n">
        <v>3</v>
      </c>
      <c r="G106" t="inlineStr">
        <is>
          <t>BG002, BG003, BG005</t>
        </is>
      </c>
      <c r="H106" t="inlineStr">
        <is>
          <t>8 Juni 2023</t>
        </is>
      </c>
      <c r="I106" s="2" t="n">
        <v>46251</v>
      </c>
      <c r="J106" t="inlineStr">
        <is>
          <t>Disetujui, Pencabutan</t>
        </is>
      </c>
      <c r="K106" t="n">
        <v>60</v>
      </c>
      <c r="L106" t="inlineStr">
        <is>
          <t>17 Agustus 2026</t>
        </is>
      </c>
      <c r="M106" t="inlineStr">
        <is>
          <t>Konstruksi Gedung Industri, Konstruksi Gedung Kesehatan, Konstruksi Gedung Perkantoran</t>
        </is>
      </c>
      <c r="N106" t="inlineStr">
        <is>
          <t>K</t>
        </is>
      </c>
      <c r="O106" t="inlineStr">
        <is>
          <t>20230814</t>
        </is>
      </c>
      <c r="P106" t="inlineStr">
        <is>
          <t>Jawa Barat</t>
        </is>
      </c>
      <c r="Q106" t="inlineStr"/>
    </row>
    <row r="107">
      <c r="A107" t="inlineStr">
        <is>
          <t>MITRA SARANA MEMBANGUN</t>
        </is>
      </c>
      <c r="B107" t="inlineStr">
        <is>
          <t>Kota Tangerang Selatan</t>
        </is>
      </c>
      <c r="C107" t="inlineStr">
        <is>
          <t>02122271331</t>
        </is>
      </c>
      <c r="D107" t="inlineStr">
        <is>
          <t>PIC@MSMGROUP.CO</t>
        </is>
      </c>
      <c r="E107" t="inlineStr">
        <is>
          <t>https://lpjk.pu.go.id/search-badan-usaha-detail/Tm1DNFlWMnIwN2xMQ0RTVzYxUS9lZz09</t>
        </is>
      </c>
      <c r="F107" t="n">
        <v>1</v>
      </c>
      <c r="G107" t="inlineStr">
        <is>
          <t>BG003</t>
        </is>
      </c>
      <c r="H107" t="inlineStr">
        <is>
          <t>17 Juni 2019</t>
        </is>
      </c>
      <c r="I107" s="2" t="n">
        <v>46251</v>
      </c>
      <c r="J107" t="inlineStr">
        <is>
          <t>Disetujui</t>
        </is>
      </c>
      <c r="K107" t="n">
        <v>60</v>
      </c>
      <c r="L107" t="inlineStr">
        <is>
          <t>17 Agustus 2026</t>
        </is>
      </c>
      <c r="M107" t="inlineStr">
        <is>
          <t>Konstruksi Gedung Industri</t>
        </is>
      </c>
      <c r="N107" t="inlineStr">
        <is>
          <t>B</t>
        </is>
      </c>
      <c r="O107" t="inlineStr">
        <is>
          <t>20230817</t>
        </is>
      </c>
      <c r="P107" t="inlineStr">
        <is>
          <t>Banten</t>
        </is>
      </c>
      <c r="Q107" t="inlineStr"/>
    </row>
    <row r="108">
      <c r="A108" t="inlineStr">
        <is>
          <t>MITRAKITA KONSTRUKSI</t>
        </is>
      </c>
      <c r="B108" t="inlineStr">
        <is>
          <t>Kab. Asahan</t>
        </is>
      </c>
      <c r="C108" t="inlineStr">
        <is>
          <t>081361471777</t>
        </is>
      </c>
      <c r="D108" t="inlineStr">
        <is>
          <t>mitrakitakonstruksi@gmail.com</t>
        </is>
      </c>
      <c r="E108" t="inlineStr">
        <is>
          <t>https://lpjk.pu.go.id/search-badan-usaha-detail/NVR2ckU5dHV5Mjhrc1RuRDAySUZoUT09</t>
        </is>
      </c>
      <c r="F108" t="n">
        <v>4</v>
      </c>
      <c r="G108" t="inlineStr">
        <is>
          <t>BG006, BG008, BG009, BS005</t>
        </is>
      </c>
      <c r="H108" t="inlineStr">
        <is>
          <t>15 Agustus 2023</t>
        </is>
      </c>
      <c r="I108" s="2" t="n">
        <v>46251</v>
      </c>
      <c r="J108" t="inlineStr">
        <is>
          <t>Disetujui</t>
        </is>
      </c>
      <c r="K108" t="n">
        <v>60</v>
      </c>
      <c r="L108" t="inlineStr">
        <is>
          <t>17 Agustus 2026</t>
        </is>
      </c>
      <c r="M108" t="inlineStr">
        <is>
          <t>Konstruksi Bangunan Sipil Pengolahan Air Bersih, Konstruksi Gedung Lainnya, Konstruksi Gedung Pendidikan, Konstruksi Gedung Tempat Hiburan dan Olahraga</t>
        </is>
      </c>
      <c r="N108" t="inlineStr">
        <is>
          <t>K</t>
        </is>
      </c>
      <c r="O108" t="inlineStr">
        <is>
          <t>20230817</t>
        </is>
      </c>
      <c r="P108" t="inlineStr">
        <is>
          <t>Sumatera Utara</t>
        </is>
      </c>
      <c r="Q108" t="inlineStr"/>
    </row>
    <row r="109">
      <c r="A109" t="inlineStr">
        <is>
          <t>MULTI THALEN SEJAHTERA</t>
        </is>
      </c>
      <c r="B109" t="inlineStr">
        <is>
          <t>Kota Jambi</t>
        </is>
      </c>
      <c r="C109" t="inlineStr">
        <is>
          <t>08117781975</t>
        </is>
      </c>
      <c r="D109" t="inlineStr">
        <is>
          <t>multithalensejahtera@gmail.com</t>
        </is>
      </c>
      <c r="E109" t="inlineStr">
        <is>
          <t>https://lpjk.pu.go.id/search-badan-usaha-detail/ZTNLM3NPRWh3SmI3RGxpeThnSkQxZz09</t>
        </is>
      </c>
      <c r="F109" t="n">
        <v>3</v>
      </c>
      <c r="G109" t="inlineStr">
        <is>
          <t>BG006, BS001, BS004</t>
        </is>
      </c>
      <c r="H109" t="inlineStr">
        <is>
          <t>27 Juli 2023</t>
        </is>
      </c>
      <c r="I109" s="2" t="n">
        <v>46251</v>
      </c>
      <c r="J109" t="inlineStr">
        <is>
          <t>Disetujui</t>
        </is>
      </c>
      <c r="K109" t="n">
        <v>60</v>
      </c>
      <c r="L109" t="inlineStr">
        <is>
          <t>17 Agustus 2026</t>
        </is>
      </c>
      <c r="M109" t="inlineStr">
        <is>
          <t>Konstruksi Bangunan Sipil Jalan, Konstruksi Gedung Pendidikan, Konstruksi Jaringan Irigasi dan Drainase</t>
        </is>
      </c>
      <c r="N109" t="inlineStr">
        <is>
          <t>K</t>
        </is>
      </c>
      <c r="O109" t="inlineStr">
        <is>
          <t>20230816</t>
        </is>
      </c>
      <c r="P109" t="inlineStr">
        <is>
          <t>Jambi</t>
        </is>
      </c>
      <c r="Q109" t="inlineStr"/>
    </row>
    <row r="110">
      <c r="A110" t="inlineStr">
        <is>
          <t>MUTIARA HITAM</t>
        </is>
      </c>
      <c r="B110" t="inlineStr">
        <is>
          <t>Kab. Bone</t>
        </is>
      </c>
      <c r="C110" t="inlineStr">
        <is>
          <t>082194258350</t>
        </is>
      </c>
      <c r="D110" t="inlineStr">
        <is>
          <t>Mutiara.hitam074@gmail.com</t>
        </is>
      </c>
      <c r="E110" t="inlineStr">
        <is>
          <t>https://lpjk.pu.go.id/search-badan-usaha-detail/RFgxSEpMQ2U1WnlrTlUvUUUzMEFpUT09</t>
        </is>
      </c>
      <c r="F110" t="n">
        <v>2</v>
      </c>
      <c r="G110" t="inlineStr">
        <is>
          <t>BS001</t>
        </is>
      </c>
      <c r="H110" t="inlineStr">
        <is>
          <t>8 Januari 2014</t>
        </is>
      </c>
      <c r="I110" s="2" t="n">
        <v>46251</v>
      </c>
      <c r="J110" t="inlineStr">
        <is>
          <t>Disetujui</t>
        </is>
      </c>
      <c r="K110" t="n">
        <v>60</v>
      </c>
      <c r="L110" t="inlineStr">
        <is>
          <t>17 Agustus 2026</t>
        </is>
      </c>
      <c r="M110" t="inlineStr">
        <is>
          <t>Konstruksi Bangunan Sipil Jalan</t>
        </is>
      </c>
      <c r="N110" t="inlineStr">
        <is>
          <t>K</t>
        </is>
      </c>
      <c r="O110" t="inlineStr">
        <is>
          <t>20230814</t>
        </is>
      </c>
      <c r="P110" t="inlineStr">
        <is>
          <t>Sulawesi Selatan</t>
        </is>
      </c>
      <c r="Q110" t="inlineStr"/>
    </row>
    <row r="111">
      <c r="A111" t="inlineStr">
        <is>
          <t>MUTIARA KONSTRUKSI</t>
        </is>
      </c>
      <c r="B111" t="inlineStr">
        <is>
          <t>Kab. Semarang</t>
        </is>
      </c>
      <c r="C111" t="inlineStr">
        <is>
          <t>08122571247</t>
        </is>
      </c>
      <c r="D111" t="inlineStr">
        <is>
          <t>cvmutiarakonstruksi@gmail.com</t>
        </is>
      </c>
      <c r="E111" t="inlineStr">
        <is>
          <t>https://lpjk.pu.go.id/search-badan-usaha-detail/OCtDTHFPNVVIR2lKb3BhOFIzVDVXQT09</t>
        </is>
      </c>
      <c r="F111" t="n">
        <v>2</v>
      </c>
      <c r="G111" t="inlineStr">
        <is>
          <t>BG001</t>
        </is>
      </c>
      <c r="H111" t="inlineStr">
        <is>
          <t>21 September 2012</t>
        </is>
      </c>
      <c r="I111" s="2" t="n">
        <v>46251</v>
      </c>
      <c r="J111" t="inlineStr">
        <is>
          <t>Disetujui</t>
        </is>
      </c>
      <c r="K111" t="n">
        <v>60</v>
      </c>
      <c r="L111" t="inlineStr">
        <is>
          <t>17 Agustus 2026</t>
        </is>
      </c>
      <c r="M111" t="inlineStr">
        <is>
          <t>Konstruksi Gedung Hunian</t>
        </is>
      </c>
      <c r="N111" t="inlineStr">
        <is>
          <t>K</t>
        </is>
      </c>
      <c r="O111" t="inlineStr">
        <is>
          <t>20230814</t>
        </is>
      </c>
      <c r="P111" t="inlineStr">
        <is>
          <t>Jawa Tengah</t>
        </is>
      </c>
      <c r="Q111" t="inlineStr"/>
    </row>
    <row r="112">
      <c r="A112" t="inlineStr">
        <is>
          <t>MUTIARA RIAU ABADI</t>
        </is>
      </c>
      <c r="B112" t="inlineStr">
        <is>
          <t>Kota Pekanbaru</t>
        </is>
      </c>
      <c r="C112" t="inlineStr">
        <is>
          <t>081268488612</t>
        </is>
      </c>
      <c r="D112" t="inlineStr">
        <is>
          <t>cvmutiarariauabadi@gmail.com</t>
        </is>
      </c>
      <c r="E112" t="inlineStr">
        <is>
          <t>https://lpjk.pu.go.id/search-badan-usaha-detail/MGJKbk9weU9ZdmExMkhKU2kzWHBPZz09</t>
        </is>
      </c>
      <c r="F112" t="n">
        <v>2</v>
      </c>
      <c r="G112" t="inlineStr">
        <is>
          <t>BG009</t>
        </is>
      </c>
      <c r="H112" t="inlineStr">
        <is>
          <t>14 Juni 2023</t>
        </is>
      </c>
      <c r="I112" s="2" t="n">
        <v>46251</v>
      </c>
      <c r="J112" t="inlineStr">
        <is>
          <t>Disetujui</t>
        </is>
      </c>
      <c r="K112" t="n">
        <v>60</v>
      </c>
      <c r="L112" t="inlineStr">
        <is>
          <t>17 Agustus 2026</t>
        </is>
      </c>
      <c r="M112" t="inlineStr">
        <is>
          <t>Konstruksi Gedung Lainnya</t>
        </is>
      </c>
      <c r="N112" t="inlineStr">
        <is>
          <t>K</t>
        </is>
      </c>
      <c r="O112" t="inlineStr">
        <is>
          <t>20230810</t>
        </is>
      </c>
      <c r="P112" t="inlineStr">
        <is>
          <t>Riau</t>
        </is>
      </c>
      <c r="Q112" t="inlineStr"/>
    </row>
    <row r="113">
      <c r="A113" t="inlineStr">
        <is>
          <t>NAURA ANUGERAH</t>
        </is>
      </c>
      <c r="B113" t="inlineStr">
        <is>
          <t>Kab. Sragen</t>
        </is>
      </c>
      <c r="C113" t="inlineStr">
        <is>
          <t>085229255099</t>
        </is>
      </c>
      <c r="D113" t="inlineStr">
        <is>
          <t>cvnauranugerah@gmail.com</t>
        </is>
      </c>
      <c r="E113" t="inlineStr">
        <is>
          <t>https://lpjk.pu.go.id/search-badan-usaha-detail/WmZ3MEJ3cHRCVEp1ajNCd1Y4TmFvQT09</t>
        </is>
      </c>
      <c r="F113" t="n">
        <v>5</v>
      </c>
      <c r="G113" t="inlineStr">
        <is>
          <t>BG001, BG002, BG003, BG006, BG009</t>
        </is>
      </c>
      <c r="H113" t="inlineStr">
        <is>
          <t>26 Juni 2023</t>
        </is>
      </c>
      <c r="I113" s="2" t="n">
        <v>46251</v>
      </c>
      <c r="J113" t="inlineStr">
        <is>
          <t>Disetujui</t>
        </is>
      </c>
      <c r="K113" t="n">
        <v>60</v>
      </c>
      <c r="L113" t="inlineStr">
        <is>
          <t>17 Agustus 2026</t>
        </is>
      </c>
      <c r="M113" t="inlineStr">
        <is>
          <t>Konstruksi Gedung Hunian, Konstruksi Gedung Industri, Konstruksi Gedung Lainnya, Konstruksi Gedung Pendidikan, Konstruksi Gedung Perkantoran</t>
        </is>
      </c>
      <c r="N113" t="inlineStr">
        <is>
          <t>K</t>
        </is>
      </c>
      <c r="O113" t="inlineStr">
        <is>
          <t>20230814, 20230815</t>
        </is>
      </c>
      <c r="P113" t="inlineStr">
        <is>
          <t>Jawa Tengah</t>
        </is>
      </c>
      <c r="Q113" t="inlineStr"/>
    </row>
    <row r="114">
      <c r="A114" t="inlineStr">
        <is>
          <t>NINDYA KRIDA</t>
        </is>
      </c>
      <c r="B114" t="inlineStr">
        <is>
          <t>Kab. Tulungagung</t>
        </is>
      </c>
      <c r="C114" t="inlineStr">
        <is>
          <t>0355523076</t>
        </is>
      </c>
      <c r="D114" t="inlineStr">
        <is>
          <t>dbasuki@rocketmail.com</t>
        </is>
      </c>
      <c r="E114" t="inlineStr">
        <is>
          <t>https://lpjk.pu.go.id/search-badan-usaha-detail/VEQzMEZUcm02dTRBazI5cjNGUmNzUT09</t>
        </is>
      </c>
      <c r="F114" t="n">
        <v>8</v>
      </c>
      <c r="G114" t="inlineStr">
        <is>
          <t>BG002, BG004, BS001, BS002</t>
        </is>
      </c>
      <c r="H114" t="inlineStr">
        <is>
          <t>12 Oktober 1982</t>
        </is>
      </c>
      <c r="I114" s="2" t="n">
        <v>46251</v>
      </c>
      <c r="J114" t="inlineStr">
        <is>
          <t>Disetujui</t>
        </is>
      </c>
      <c r="K114" t="n">
        <v>60</v>
      </c>
      <c r="L114" t="inlineStr">
        <is>
          <t>17 Agustus 2026</t>
        </is>
      </c>
      <c r="M114" t="inlineStr">
        <is>
          <t>Bangunan Sipil Jembatan, Jalan Layang, Fly Over, dan Underpass, Konstruksi Bangunan Sipil Jalan, Konstruksi Gedung Perbelanjaan, Konstruksi Gedung Perkantoran</t>
        </is>
      </c>
      <c r="N114" t="inlineStr">
        <is>
          <t>K</t>
        </is>
      </c>
      <c r="O114" t="inlineStr">
        <is>
          <t>20230815, 20230816</t>
        </is>
      </c>
      <c r="P114" t="inlineStr">
        <is>
          <t>Jawa Timur</t>
        </is>
      </c>
      <c r="Q114" t="inlineStr"/>
    </row>
    <row r="115">
      <c r="A115" t="inlineStr">
        <is>
          <t>NUANSA CAHAYA SEJAHTERA</t>
        </is>
      </c>
      <c r="B115" t="inlineStr">
        <is>
          <t>Kota Pontianak</t>
        </is>
      </c>
      <c r="C115" t="inlineStr">
        <is>
          <t>085105908799</t>
        </is>
      </c>
      <c r="D115" t="inlineStr">
        <is>
          <t>nacasejahtera@gmail.com</t>
        </is>
      </c>
      <c r="E115" t="inlineStr">
        <is>
          <t>https://lpjk.pu.go.id/search-badan-usaha-detail/SUNPWmJMb0ZxeUpBRjYxOHBla1Uvdz09</t>
        </is>
      </c>
      <c r="F115" t="n">
        <v>2</v>
      </c>
      <c r="G115" t="inlineStr">
        <is>
          <t>BS001</t>
        </is>
      </c>
      <c r="H115" t="inlineStr">
        <is>
          <t>22 Februari 2018</t>
        </is>
      </c>
      <c r="I115" s="2" t="n">
        <v>46251</v>
      </c>
      <c r="J115" t="inlineStr">
        <is>
          <t>Disetujui</t>
        </is>
      </c>
      <c r="K115" t="n">
        <v>60</v>
      </c>
      <c r="L115" t="inlineStr">
        <is>
          <t>17 Agustus 2026</t>
        </is>
      </c>
      <c r="M115" t="inlineStr">
        <is>
          <t>Konstruksi Bangunan Sipil Jalan</t>
        </is>
      </c>
      <c r="N115" t="inlineStr">
        <is>
          <t>K</t>
        </is>
      </c>
      <c r="O115" t="inlineStr">
        <is>
          <t>20230817</t>
        </is>
      </c>
      <c r="P115" t="inlineStr">
        <is>
          <t>Kalimantan Barat</t>
        </is>
      </c>
      <c r="Q115" t="inlineStr"/>
    </row>
    <row r="116">
      <c r="A116" t="inlineStr">
        <is>
          <t>NUSAKURA KARYA MANDIRI</t>
        </is>
      </c>
      <c r="B116" t="inlineStr">
        <is>
          <t>Kota Ambon</t>
        </is>
      </c>
      <c r="C116" t="inlineStr">
        <is>
          <t>082248165320</t>
        </is>
      </c>
      <c r="D116" t="inlineStr">
        <is>
          <t>nusakurakaryamandiri@gmail.com</t>
        </is>
      </c>
      <c r="E116" t="inlineStr">
        <is>
          <t>https://lpjk.pu.go.id/search-badan-usaha-detail/SEZxbGtyM1dtZ2pnUk04MnFrR1p1dz09</t>
        </is>
      </c>
      <c r="F116" t="n">
        <v>1</v>
      </c>
      <c r="G116" t="inlineStr">
        <is>
          <t>BG002</t>
        </is>
      </c>
      <c r="H116" t="inlineStr">
        <is>
          <t>27 Oktober 2021</t>
        </is>
      </c>
      <c r="I116" s="2" t="n">
        <v>46251</v>
      </c>
      <c r="J116" t="inlineStr">
        <is>
          <t>Disetujui</t>
        </is>
      </c>
      <c r="K116" t="n">
        <v>60</v>
      </c>
      <c r="L116" t="inlineStr">
        <is>
          <t>17 Agustus 2026</t>
        </is>
      </c>
      <c r="M116" t="inlineStr">
        <is>
          <t>Konstruksi Gedung Perkantoran</t>
        </is>
      </c>
      <c r="N116" t="inlineStr">
        <is>
          <t>K</t>
        </is>
      </c>
      <c r="O116" t="inlineStr">
        <is>
          <t>20230517</t>
        </is>
      </c>
      <c r="P116" t="inlineStr">
        <is>
          <t>Maluku</t>
        </is>
      </c>
      <c r="Q116" t="inlineStr"/>
    </row>
    <row r="117">
      <c r="A117" t="inlineStr">
        <is>
          <t>PADATINDO</t>
        </is>
      </c>
      <c r="B117" t="inlineStr">
        <is>
          <t>Kab. Muna</t>
        </is>
      </c>
      <c r="C117" t="inlineStr">
        <is>
          <t>081341633259</t>
        </is>
      </c>
      <c r="D117" t="inlineStr">
        <is>
          <t>yopimarampa03@gmail.com</t>
        </is>
      </c>
      <c r="E117" t="inlineStr">
        <is>
          <t>https://lpjk.pu.go.id/search-badan-usaha-detail/NXRTMVl3cSs1enA4S1NGRnd6NDhWUT09</t>
        </is>
      </c>
      <c r="F117" t="n">
        <v>1</v>
      </c>
      <c r="G117" t="inlineStr">
        <is>
          <t>BG009</t>
        </is>
      </c>
      <c r="H117" t="inlineStr">
        <is>
          <t>18 September 2000</t>
        </is>
      </c>
      <c r="I117" s="2" t="n">
        <v>46251</v>
      </c>
      <c r="J117" t="inlineStr">
        <is>
          <t>Disetujui</t>
        </is>
      </c>
      <c r="K117" t="n">
        <v>60</v>
      </c>
      <c r="L117" t="inlineStr">
        <is>
          <t>17 Agustus 2026</t>
        </is>
      </c>
      <c r="M117" t="inlineStr">
        <is>
          <t>Konstruksi Gedung Lainnya</t>
        </is>
      </c>
      <c r="N117" t="inlineStr">
        <is>
          <t>K</t>
        </is>
      </c>
      <c r="O117" t="inlineStr">
        <is>
          <t>20230816</t>
        </is>
      </c>
      <c r="P117" t="inlineStr">
        <is>
          <t>Sulawesi Tenggara</t>
        </is>
      </c>
      <c r="Q117" t="inlineStr"/>
    </row>
    <row r="118">
      <c r="A118" t="inlineStr">
        <is>
          <t>PADI MUTTAQIN PERKASA</t>
        </is>
      </c>
      <c r="B118" t="inlineStr">
        <is>
          <t>Kota Tangerang</t>
        </is>
      </c>
      <c r="C118" t="inlineStr">
        <is>
          <t>0813 8337 2911</t>
        </is>
      </c>
      <c r="D118" t="inlineStr">
        <is>
          <t>padimuttaqinperkasa@gmail.com</t>
        </is>
      </c>
      <c r="E118" t="inlineStr">
        <is>
          <t>https://lpjk.pu.go.id/search-badan-usaha-detail/THFyb1V1OXVWQXJKSGtheFZQWWRGUT09</t>
        </is>
      </c>
      <c r="F118" t="n">
        <v>1</v>
      </c>
      <c r="G118" t="inlineStr">
        <is>
          <t>BG009</t>
        </is>
      </c>
      <c r="H118" t="inlineStr">
        <is>
          <t>25 Januari 2018</t>
        </is>
      </c>
      <c r="I118" s="2" t="n">
        <v>46251</v>
      </c>
      <c r="J118" t="inlineStr">
        <is>
          <t>Disetujui</t>
        </is>
      </c>
      <c r="K118" t="n">
        <v>60</v>
      </c>
      <c r="L118" t="inlineStr">
        <is>
          <t>17 Agustus 2026</t>
        </is>
      </c>
      <c r="M118" t="inlineStr">
        <is>
          <t>Konstruksi Gedung Lainnya</t>
        </is>
      </c>
      <c r="N118" t="inlineStr">
        <is>
          <t>K</t>
        </is>
      </c>
      <c r="O118" t="inlineStr">
        <is>
          <t>20230816</t>
        </is>
      </c>
      <c r="P118" t="inlineStr">
        <is>
          <t>Banten</t>
        </is>
      </c>
      <c r="Q118" t="inlineStr"/>
    </row>
    <row r="119">
      <c r="A119" t="inlineStr">
        <is>
          <t>PALAPA DIG DAYA</t>
        </is>
      </c>
      <c r="B119" t="inlineStr">
        <is>
          <t>Kab. Karawang</t>
        </is>
      </c>
      <c r="C119" t="inlineStr">
        <is>
          <t>-</t>
        </is>
      </c>
      <c r="D119" t="inlineStr">
        <is>
          <t>palapadigdaya@gmail.com</t>
        </is>
      </c>
      <c r="E119" t="inlineStr">
        <is>
          <t>https://lpjk.pu.go.id/search-badan-usaha-detail/U1RIdkREbU1ZcWJieTM4c0UwUGtPUT09</t>
        </is>
      </c>
      <c r="F119" t="n">
        <v>4</v>
      </c>
      <c r="G119" t="inlineStr">
        <is>
          <t>BG006, BG009, BS001, BS004</t>
        </is>
      </c>
      <c r="H119" t="inlineStr">
        <is>
          <t>16 Juni 2016</t>
        </is>
      </c>
      <c r="I119" s="2" t="n">
        <v>46251</v>
      </c>
      <c r="J119" t="inlineStr">
        <is>
          <t>Disetujui</t>
        </is>
      </c>
      <c r="K119" t="n">
        <v>60</v>
      </c>
      <c r="L119" t="inlineStr">
        <is>
          <t>17 Agustus 2026</t>
        </is>
      </c>
      <c r="M119" t="inlineStr">
        <is>
          <t>Konstruksi Bangunan Sipil Jalan, Konstruksi Gedung Lainnya, Konstruksi Gedung Pendidikan, Konstruksi Jaringan Irigasi dan Drainase</t>
        </is>
      </c>
      <c r="N119" t="inlineStr">
        <is>
          <t>K</t>
        </is>
      </c>
      <c r="O119" t="inlineStr">
        <is>
          <t>20230814, 20230816, 20230817</t>
        </is>
      </c>
      <c r="P119" t="inlineStr">
        <is>
          <t>Jawa Barat</t>
        </is>
      </c>
      <c r="Q119" t="inlineStr"/>
    </row>
    <row r="120">
      <c r="A120" t="inlineStr">
        <is>
          <t>PANDAWA LIMA</t>
        </is>
      </c>
      <c r="B120" t="inlineStr">
        <is>
          <t>Kota Mataram</t>
        </is>
      </c>
      <c r="C120" t="inlineStr">
        <is>
          <t>0818542065</t>
        </is>
      </c>
      <c r="D120" t="inlineStr">
        <is>
          <t>cv.pandawa52017@yahoo.com</t>
        </is>
      </c>
      <c r="E120" t="inlineStr">
        <is>
          <t>https://lpjk.pu.go.id/search-badan-usaha-detail/OXFaQUVVTDFNTnZmZnN4NGxEV0k3UT09</t>
        </is>
      </c>
      <c r="F120" t="n">
        <v>4</v>
      </c>
      <c r="G120" t="inlineStr">
        <is>
          <t>BG006, BG009</t>
        </is>
      </c>
      <c r="H120" t="inlineStr">
        <is>
          <t>2 September 1999</t>
        </is>
      </c>
      <c r="I120" s="2" t="n">
        <v>46251</v>
      </c>
      <c r="J120" t="inlineStr">
        <is>
          <t>Disetujui</t>
        </is>
      </c>
      <c r="K120" t="n">
        <v>60</v>
      </c>
      <c r="L120" t="inlineStr">
        <is>
          <t>17 Agustus 2026</t>
        </is>
      </c>
      <c r="M120" t="inlineStr">
        <is>
          <t>Konstruksi Gedung Lainnya, Konstruksi Gedung Pendidikan</t>
        </is>
      </c>
      <c r="N120" t="inlineStr">
        <is>
          <t>K</t>
        </is>
      </c>
      <c r="O120" t="inlineStr">
        <is>
          <t>20230816, 20230817</t>
        </is>
      </c>
      <c r="P120" t="inlineStr">
        <is>
          <t>Nusa Tenggara Barat</t>
        </is>
      </c>
      <c r="Q120" t="inlineStr"/>
    </row>
    <row r="121">
      <c r="A121" t="inlineStr">
        <is>
          <t>PERMATA INDAH KONSTRUKSI</t>
        </is>
      </c>
      <c r="B121" t="inlineStr">
        <is>
          <t>Kota Padang Sidempuan</t>
        </is>
      </c>
      <c r="C121" t="inlineStr">
        <is>
          <t>081260006293</t>
        </is>
      </c>
      <c r="D121" t="inlineStr">
        <is>
          <t>permata.indahkonstruksi@yahoo.co.id</t>
        </is>
      </c>
      <c r="E121" t="inlineStr">
        <is>
          <t>https://lpjk.pu.go.id/search-badan-usaha-detail/QVpWRlU2NXNaRHNyb0g0Nk8zakU0QT09</t>
        </is>
      </c>
      <c r="F121" t="n">
        <v>1</v>
      </c>
      <c r="G121" t="inlineStr">
        <is>
          <t>BS001</t>
        </is>
      </c>
      <c r="H121" t="inlineStr">
        <is>
          <t>18 November 2015</t>
        </is>
      </c>
      <c r="I121" s="2" t="n">
        <v>46251</v>
      </c>
      <c r="J121" t="inlineStr">
        <is>
          <t>Pencabutan</t>
        </is>
      </c>
      <c r="K121" t="n">
        <v>60</v>
      </c>
      <c r="L121" t="inlineStr">
        <is>
          <t>17 Agustus 2026</t>
        </is>
      </c>
      <c r="M121" t="inlineStr">
        <is>
          <t>Konstruksi Bangunan Sipil Jalan</t>
        </is>
      </c>
      <c r="N121" t="inlineStr">
        <is>
          <t>K</t>
        </is>
      </c>
      <c r="O121" t="inlineStr">
        <is>
          <t>20230810</t>
        </is>
      </c>
      <c r="P121" t="inlineStr">
        <is>
          <t>Sumatera Utara</t>
        </is>
      </c>
      <c r="Q121" t="inlineStr"/>
    </row>
    <row r="122">
      <c r="A122" t="inlineStr">
        <is>
          <t>PILAR JAYA KONSTRUKSI</t>
        </is>
      </c>
      <c r="B122" t="inlineStr">
        <is>
          <t>Kota Kupang</t>
        </is>
      </c>
      <c r="C122" t="inlineStr">
        <is>
          <t>082236069997</t>
        </is>
      </c>
      <c r="D122" t="inlineStr">
        <is>
          <t>pilararch16@gmail.com</t>
        </is>
      </c>
      <c r="E122" t="inlineStr">
        <is>
          <t>https://lpjk.pu.go.id/search-badan-usaha-detail/QzZnOE5pR2FJcGwraXo0N2NRQ2VVZz09</t>
        </is>
      </c>
      <c r="F122" t="n">
        <v>1</v>
      </c>
      <c r="G122" t="inlineStr">
        <is>
          <t>BG001</t>
        </is>
      </c>
      <c r="H122" t="inlineStr">
        <is>
          <t>16 Maret 2018</t>
        </is>
      </c>
      <c r="I122" s="2" t="n">
        <v>46251</v>
      </c>
      <c r="J122" t="inlineStr">
        <is>
          <t>Disetujui</t>
        </is>
      </c>
      <c r="K122" t="n">
        <v>60</v>
      </c>
      <c r="L122" t="inlineStr">
        <is>
          <t>17 Agustus 2026</t>
        </is>
      </c>
      <c r="M122" t="inlineStr">
        <is>
          <t>Konstruksi Gedung Hunian</t>
        </is>
      </c>
      <c r="N122" t="inlineStr">
        <is>
          <t>K</t>
        </is>
      </c>
      <c r="O122" t="inlineStr">
        <is>
          <t>20230727</t>
        </is>
      </c>
      <c r="P122" t="inlineStr">
        <is>
          <t>Nusa Tenggara Timur</t>
        </is>
      </c>
      <c r="Q122" t="inlineStr"/>
    </row>
    <row r="123">
      <c r="A123" t="inlineStr">
        <is>
          <t>PITA PRIMA</t>
        </is>
      </c>
      <c r="B123" t="inlineStr">
        <is>
          <t>Kab. Sidoarjo</t>
        </is>
      </c>
      <c r="C123" t="inlineStr">
        <is>
          <t>081333258149</t>
        </is>
      </c>
      <c r="D123" t="inlineStr">
        <is>
          <t>cvpitaprima@gmail.com</t>
        </is>
      </c>
      <c r="E123" t="inlineStr">
        <is>
          <t>https://lpjk.pu.go.id/search-badan-usaha-detail/QWxWVXZlRjRXWE5YS0FoT1dSR3VDQT09</t>
        </is>
      </c>
      <c r="F123" t="n">
        <v>1</v>
      </c>
      <c r="G123" t="inlineStr">
        <is>
          <t>PB009</t>
        </is>
      </c>
      <c r="H123" t="inlineStr">
        <is>
          <t>22 Juni 2012</t>
        </is>
      </c>
      <c r="I123" s="2" t="n">
        <v>46251</v>
      </c>
      <c r="J123" t="inlineStr">
        <is>
          <t>Pembekuan</t>
        </is>
      </c>
      <c r="K123" t="n">
        <v>60</v>
      </c>
      <c r="L123" t="inlineStr">
        <is>
          <t>17 Agustus 2026</t>
        </is>
      </c>
      <c r="M123" t="inlineStr">
        <is>
          <t>Pembersihan dan Perapihan Bangunan Gedung dan/atau Bangunan Sipil</t>
        </is>
      </c>
      <c r="N123" t="inlineStr">
        <is>
          <t>Spesialis</t>
        </is>
      </c>
      <c r="O123" t="inlineStr">
        <is>
          <t>20230814</t>
        </is>
      </c>
      <c r="P123" t="inlineStr">
        <is>
          <t>Jawa Timur</t>
        </is>
      </c>
      <c r="Q123" t="inlineStr"/>
    </row>
    <row r="124">
      <c r="A124" t="inlineStr">
        <is>
          <t>PUTRA MAHKOTA MADANI</t>
        </is>
      </c>
      <c r="B124" t="inlineStr">
        <is>
          <t>Kab. Langkat</t>
        </is>
      </c>
      <c r="C124" t="inlineStr">
        <is>
          <t>085297258778</t>
        </is>
      </c>
      <c r="D124" t="inlineStr">
        <is>
          <t>putramahkotamadani@gmail.com</t>
        </is>
      </c>
      <c r="E124" t="inlineStr">
        <is>
          <t>https://lpjk.pu.go.id/search-badan-usaha-detail/VHVJeHVwN1RXMmszNmZxR2xjL1FPQT09</t>
        </is>
      </c>
      <c r="F124" t="n">
        <v>1</v>
      </c>
      <c r="G124" t="inlineStr">
        <is>
          <t>BS010</t>
        </is>
      </c>
      <c r="H124" t="inlineStr">
        <is>
          <t>18 September 2017</t>
        </is>
      </c>
      <c r="I124" s="2" t="n">
        <v>46251</v>
      </c>
      <c r="J124" t="inlineStr">
        <is>
          <t>Disetujui</t>
        </is>
      </c>
      <c r="K124" t="n">
        <v>60</v>
      </c>
      <c r="L124" t="inlineStr">
        <is>
          <t>17 Agustus 2026</t>
        </is>
      </c>
      <c r="M124" t="inlineStr">
        <is>
          <t>Konstruksi Bangunan Prasarana Sumber Daya Air</t>
        </is>
      </c>
      <c r="N124" t="inlineStr">
        <is>
          <t>K</t>
        </is>
      </c>
      <c r="O124" t="inlineStr">
        <is>
          <t>20230818</t>
        </is>
      </c>
      <c r="P124" t="inlineStr">
        <is>
          <t>Sumatera Utara</t>
        </is>
      </c>
      <c r="Q124" t="inlineStr"/>
    </row>
    <row r="125">
      <c r="A125" t="inlineStr">
        <is>
          <t>PUTRA SANBAY PERKASA</t>
        </is>
      </c>
      <c r="B125" t="inlineStr">
        <is>
          <t>Kota Tidore Kepulauan</t>
        </is>
      </c>
      <c r="C125" t="inlineStr">
        <is>
          <t>082189803239</t>
        </is>
      </c>
      <c r="D125" t="inlineStr">
        <is>
          <t>putrasanbayperkasa@gmail.com</t>
        </is>
      </c>
      <c r="E125" t="inlineStr">
        <is>
          <t>https://lpjk.pu.go.id/search-badan-usaha-detail/ajZrL0pEb3BQS0NnUHpoTlA2RHZ6UT09</t>
        </is>
      </c>
      <c r="F125" t="n">
        <v>1</v>
      </c>
      <c r="G125" t="inlineStr">
        <is>
          <t>BG002</t>
        </is>
      </c>
      <c r="H125" t="inlineStr">
        <is>
          <t>29 Juni 2010</t>
        </is>
      </c>
      <c r="I125" s="2" t="n">
        <v>46251</v>
      </c>
      <c r="J125" t="inlineStr">
        <is>
          <t>Pencabutan</t>
        </is>
      </c>
      <c r="K125" t="n">
        <v>60</v>
      </c>
      <c r="L125" t="inlineStr">
        <is>
          <t>17 Agustus 2026</t>
        </is>
      </c>
      <c r="M125" t="inlineStr">
        <is>
          <t>Konstruksi Gedung Perkantoran</t>
        </is>
      </c>
      <c r="N125" t="inlineStr">
        <is>
          <t>M</t>
        </is>
      </c>
      <c r="O125" t="inlineStr">
        <is>
          <t>20230608</t>
        </is>
      </c>
      <c r="P125" t="inlineStr">
        <is>
          <t>Maluku Utara</t>
        </is>
      </c>
      <c r="Q125" t="inlineStr"/>
    </row>
    <row r="126">
      <c r="A126" t="inlineStr">
        <is>
          <t>PUTRA TIGA SAUDARA BERSAMA</t>
        </is>
      </c>
      <c r="B126" t="inlineStr">
        <is>
          <t>Kota Bandar Lampung</t>
        </is>
      </c>
      <c r="C126" t="inlineStr">
        <is>
          <t>083173168815</t>
        </is>
      </c>
      <c r="D126" t="inlineStr">
        <is>
          <t>putra3sauber@gmail.com</t>
        </is>
      </c>
      <c r="E126" t="inlineStr">
        <is>
          <t>https://lpjk.pu.go.id/search-badan-usaha-detail/YStlNnc0M1gvZlVST2VqYm5wdDlTUT09</t>
        </is>
      </c>
      <c r="F126" t="n">
        <v>1</v>
      </c>
      <c r="G126" t="inlineStr">
        <is>
          <t>BS004</t>
        </is>
      </c>
      <c r="H126" t="inlineStr">
        <is>
          <t>15 April 2023</t>
        </is>
      </c>
      <c r="I126" s="2" t="n">
        <v>46251</v>
      </c>
      <c r="J126" t="inlineStr">
        <is>
          <t>Disetujui</t>
        </is>
      </c>
      <c r="K126" t="n">
        <v>60</v>
      </c>
      <c r="L126" t="inlineStr">
        <is>
          <t>17 Agustus 2026</t>
        </is>
      </c>
      <c r="M126" t="inlineStr">
        <is>
          <t>Konstruksi Jaringan Irigasi dan Drainase</t>
        </is>
      </c>
      <c r="N126" t="inlineStr">
        <is>
          <t>K</t>
        </is>
      </c>
      <c r="O126" t="inlineStr">
        <is>
          <t>20230816</t>
        </is>
      </c>
      <c r="P126" t="inlineStr">
        <is>
          <t>Lampung</t>
        </is>
      </c>
      <c r="Q126" t="inlineStr"/>
    </row>
    <row r="127">
      <c r="A127" t="inlineStr">
        <is>
          <t>PUTRI SIGIM STAR</t>
        </is>
      </c>
      <c r="B127" t="inlineStr">
        <is>
          <t>Kab. Manokwari</t>
        </is>
      </c>
      <c r="C127" t="inlineStr">
        <is>
          <t>082397949900</t>
        </is>
      </c>
      <c r="D127" t="inlineStr">
        <is>
          <t>putrisigimstar@gmail.com</t>
        </is>
      </c>
      <c r="E127" t="inlineStr">
        <is>
          <t>https://lpjk.pu.go.id/search-badan-usaha-detail/QzhYU015UHpOZXF4VEc0cHd6ZFAyUT09</t>
        </is>
      </c>
      <c r="F127" t="n">
        <v>1</v>
      </c>
      <c r="G127" t="inlineStr">
        <is>
          <t>BG005</t>
        </is>
      </c>
      <c r="H127" t="inlineStr">
        <is>
          <t>23 Maret 2020</t>
        </is>
      </c>
      <c r="I127" s="2" t="n">
        <v>46251</v>
      </c>
      <c r="J127" t="inlineStr">
        <is>
          <t>Pencabutan</t>
        </is>
      </c>
      <c r="K127" t="n">
        <v>60</v>
      </c>
      <c r="L127" t="inlineStr">
        <is>
          <t>17 Agustus 2026</t>
        </is>
      </c>
      <c r="M127" t="inlineStr">
        <is>
          <t>Konstruksi Gedung Kesehatan</t>
        </is>
      </c>
      <c r="N127" t="inlineStr">
        <is>
          <t>K</t>
        </is>
      </c>
      <c r="O127" t="inlineStr">
        <is>
          <t>20230813</t>
        </is>
      </c>
      <c r="P127" t="inlineStr">
        <is>
          <t>Papua Barat</t>
        </is>
      </c>
      <c r="Q127" t="inlineStr"/>
    </row>
    <row r="128">
      <c r="A128" t="inlineStr">
        <is>
          <t>RADJASA</t>
        </is>
      </c>
      <c r="B128" t="inlineStr">
        <is>
          <t>Kab. Lampung Selatan</t>
        </is>
      </c>
      <c r="C128" t="inlineStr">
        <is>
          <t>-</t>
        </is>
      </c>
      <c r="D128" t="inlineStr">
        <is>
          <t>cv.radjasa@gmail.com</t>
        </is>
      </c>
      <c r="E128" t="inlineStr">
        <is>
          <t>https://lpjk.pu.go.id/search-badan-usaha-detail/cmRvUzBRNGY2MzZHazQ1VmN6b2hPdz09</t>
        </is>
      </c>
      <c r="F128" t="n">
        <v>2</v>
      </c>
      <c r="G128" t="inlineStr">
        <is>
          <t>BS001</t>
        </is>
      </c>
      <c r="H128" t="inlineStr">
        <is>
          <t>26 Mei 2023</t>
        </is>
      </c>
      <c r="I128" s="2" t="n">
        <v>46251</v>
      </c>
      <c r="J128" t="inlineStr">
        <is>
          <t>Disetujui</t>
        </is>
      </c>
      <c r="K128" t="n">
        <v>60</v>
      </c>
      <c r="L128" t="inlineStr">
        <is>
          <t>17 Agustus 2026</t>
        </is>
      </c>
      <c r="M128" t="inlineStr">
        <is>
          <t>Konstruksi Bangunan Sipil Jalan</t>
        </is>
      </c>
      <c r="N128" t="inlineStr">
        <is>
          <t>K</t>
        </is>
      </c>
      <c r="O128" t="inlineStr">
        <is>
          <t>20230721</t>
        </is>
      </c>
      <c r="P128" t="inlineStr">
        <is>
          <t>Lampung</t>
        </is>
      </c>
      <c r="Q128" t="inlineStr"/>
    </row>
    <row r="129">
      <c r="A129" t="inlineStr">
        <is>
          <t>RAFINDO JAYA ABADI</t>
        </is>
      </c>
      <c r="B129" t="inlineStr">
        <is>
          <t>Kota Adm. Jakarta Pusat</t>
        </is>
      </c>
      <c r="C129" t="inlineStr">
        <is>
          <t>087866855251</t>
        </is>
      </c>
      <c r="D129" t="inlineStr">
        <is>
          <t>fuad.alsilbi@gmail.com</t>
        </is>
      </c>
      <c r="E129" t="inlineStr">
        <is>
          <t>https://lpjk.pu.go.id/search-badan-usaha-detail/bERVK0ZJaTA1RmtqOVBPSTV0MVpwdz09</t>
        </is>
      </c>
      <c r="F129" t="n">
        <v>2</v>
      </c>
      <c r="G129" t="inlineStr">
        <is>
          <t>BG001</t>
        </is>
      </c>
      <c r="H129" t="inlineStr">
        <is>
          <t>12 Februari 2015</t>
        </is>
      </c>
      <c r="I129" s="2" t="n">
        <v>46251</v>
      </c>
      <c r="J129" t="inlineStr">
        <is>
          <t>Disetujui</t>
        </is>
      </c>
      <c r="K129" t="n">
        <v>60</v>
      </c>
      <c r="L129" t="inlineStr">
        <is>
          <t>17 Agustus 2026</t>
        </is>
      </c>
      <c r="M129" t="inlineStr">
        <is>
          <t>Konstruksi Gedung Hunian</t>
        </is>
      </c>
      <c r="N129" t="inlineStr">
        <is>
          <t>K</t>
        </is>
      </c>
      <c r="O129" t="inlineStr">
        <is>
          <t>20230724</t>
        </is>
      </c>
      <c r="P129" t="inlineStr">
        <is>
          <t>DKI Jakarta</t>
        </is>
      </c>
      <c r="Q129" t="inlineStr"/>
    </row>
    <row r="130">
      <c r="A130" t="inlineStr">
        <is>
          <t>RAJAWALI COMPANY</t>
        </is>
      </c>
      <c r="B130" t="inlineStr">
        <is>
          <t>Kab. Bengkalis</t>
        </is>
      </c>
      <c r="C130" t="inlineStr">
        <is>
          <t>085262795740</t>
        </is>
      </c>
      <c r="D130" t="inlineStr">
        <is>
          <t>adechandra050580@gmail.com</t>
        </is>
      </c>
      <c r="E130" t="inlineStr">
        <is>
          <t>https://lpjk.pu.go.id/search-badan-usaha-detail/UDhvMVNBdlNGQ1ZFUStneXBhZE9LQT09</t>
        </is>
      </c>
      <c r="F130" t="n">
        <v>2</v>
      </c>
      <c r="G130" t="inlineStr">
        <is>
          <t>BS005</t>
        </is>
      </c>
      <c r="H130" t="inlineStr">
        <is>
          <t>22 Juni 2012</t>
        </is>
      </c>
      <c r="I130" s="2" t="n">
        <v>46251</v>
      </c>
      <c r="J130" t="inlineStr">
        <is>
          <t>Disetujui</t>
        </is>
      </c>
      <c r="K130" t="n">
        <v>60</v>
      </c>
      <c r="L130" t="inlineStr">
        <is>
          <t>17 Agustus 2026</t>
        </is>
      </c>
      <c r="M130" t="inlineStr">
        <is>
          <t>Konstruksi Bangunan Sipil Pengolahan Air Bersih</t>
        </is>
      </c>
      <c r="N130" t="inlineStr">
        <is>
          <t>K</t>
        </is>
      </c>
      <c r="O130" t="inlineStr">
        <is>
          <t>20230816</t>
        </is>
      </c>
      <c r="P130" t="inlineStr">
        <is>
          <t>Riau</t>
        </is>
      </c>
      <c r="Q130" t="inlineStr"/>
    </row>
    <row r="131">
      <c r="A131" t="inlineStr">
        <is>
          <t>RAJAWALI KUTIM GEMILANG</t>
        </is>
      </c>
      <c r="B131" t="inlineStr">
        <is>
          <t>Kab. Kutai Timur</t>
        </is>
      </c>
      <c r="C131" t="inlineStr">
        <is>
          <t>08229800098</t>
        </is>
      </c>
      <c r="D131" t="inlineStr">
        <is>
          <t>rajawalukutimgemilangcv@gmail.com</t>
        </is>
      </c>
      <c r="E131" t="inlineStr">
        <is>
          <t>https://lpjk.pu.go.id/search-badan-usaha-detail/RGwvRWdnSkV4a0s5elArbjE1bmYydz09</t>
        </is>
      </c>
      <c r="F131" t="n">
        <v>4</v>
      </c>
      <c r="G131" t="inlineStr">
        <is>
          <t>BG005, BG009</t>
        </is>
      </c>
      <c r="H131" t="inlineStr">
        <is>
          <t>26 Juni 2023</t>
        </is>
      </c>
      <c r="I131" s="2" t="n">
        <v>46251</v>
      </c>
      <c r="J131" t="inlineStr">
        <is>
          <t>Disetujui</t>
        </is>
      </c>
      <c r="K131" t="n">
        <v>60</v>
      </c>
      <c r="L131" t="inlineStr">
        <is>
          <t>17 Agustus 2026</t>
        </is>
      </c>
      <c r="M131" t="inlineStr">
        <is>
          <t>Konstruksi Gedung Kesehatan, Konstruksi Gedung Lainnya</t>
        </is>
      </c>
      <c r="N131" t="inlineStr">
        <is>
          <t>K</t>
        </is>
      </c>
      <c r="O131" t="inlineStr">
        <is>
          <t>20230815</t>
        </is>
      </c>
      <c r="P131" t="inlineStr">
        <is>
          <t>Kalimantan Timur</t>
        </is>
      </c>
      <c r="Q131" t="inlineStr"/>
    </row>
    <row r="132">
      <c r="A132" t="inlineStr">
        <is>
          <t>RAYANA</t>
        </is>
      </c>
      <c r="B132" t="inlineStr">
        <is>
          <t>Kota Pematangsiantar</t>
        </is>
      </c>
      <c r="C132" t="inlineStr">
        <is>
          <t>081362083651</t>
        </is>
      </c>
      <c r="D132" t="inlineStr">
        <is>
          <t>rayana.cv@yahoo.com</t>
        </is>
      </c>
      <c r="E132" t="inlineStr">
        <is>
          <t>https://lpjk.pu.go.id/search-badan-usaha-detail/RzVEL0FIM2doS2U0K21xU0ttUFFTZz09</t>
        </is>
      </c>
      <c r="F132" t="n">
        <v>1</v>
      </c>
      <c r="G132" t="inlineStr">
        <is>
          <t>BG006</t>
        </is>
      </c>
      <c r="H132" t="inlineStr">
        <is>
          <t>12 November 2008</t>
        </is>
      </c>
      <c r="I132" s="2" t="n">
        <v>46251</v>
      </c>
      <c r="J132" t="inlineStr">
        <is>
          <t>Disetujui</t>
        </is>
      </c>
      <c r="K132" t="n">
        <v>60</v>
      </c>
      <c r="L132" t="inlineStr">
        <is>
          <t>17 Agustus 2026</t>
        </is>
      </c>
      <c r="M132" t="inlineStr">
        <is>
          <t>Konstruksi Gedung Pendidikan</t>
        </is>
      </c>
      <c r="N132" t="inlineStr">
        <is>
          <t>K</t>
        </is>
      </c>
      <c r="O132" t="inlineStr">
        <is>
          <t>20230817</t>
        </is>
      </c>
      <c r="P132" t="inlineStr">
        <is>
          <t>Sumatera Utara</t>
        </is>
      </c>
      <c r="Q132" t="inlineStr"/>
    </row>
    <row r="133">
      <c r="A133" t="inlineStr">
        <is>
          <t>REFAN'Z PRATAMA</t>
        </is>
      </c>
      <c r="B133" t="inlineStr">
        <is>
          <t>Kab. Sigi</t>
        </is>
      </c>
      <c r="C133" t="inlineStr">
        <is>
          <t>085211177714</t>
        </is>
      </c>
      <c r="D133" t="inlineStr">
        <is>
          <t>refanzp@ymail.com</t>
        </is>
      </c>
      <c r="E133" t="inlineStr">
        <is>
          <t>https://lpjk.pu.go.id/search-badan-usaha-detail/MW9UbGY4NXg2TmIxOEN5UHNhU20rdz09</t>
        </is>
      </c>
      <c r="F133" t="n">
        <v>3</v>
      </c>
      <c r="G133" t="inlineStr">
        <is>
          <t>BG008, BG009, BS010</t>
        </is>
      </c>
      <c r="H133" t="inlineStr">
        <is>
          <t>14 Februari 2011</t>
        </is>
      </c>
      <c r="I133" s="2" t="n">
        <v>46251</v>
      </c>
      <c r="J133" t="inlineStr">
        <is>
          <t>Disetujui</t>
        </is>
      </c>
      <c r="K133" t="n">
        <v>60</v>
      </c>
      <c r="L133" t="inlineStr">
        <is>
          <t>17 Agustus 2026</t>
        </is>
      </c>
      <c r="M133" t="inlineStr">
        <is>
          <t>Konstruksi Bangunan Prasarana Sumber Daya Air, Konstruksi Gedung Lainnya, Konstruksi Gedung Tempat Hiburan dan Olahraga</t>
        </is>
      </c>
      <c r="N133" t="inlineStr">
        <is>
          <t>K</t>
        </is>
      </c>
      <c r="O133" t="inlineStr">
        <is>
          <t>20230814</t>
        </is>
      </c>
      <c r="P133" t="inlineStr">
        <is>
          <t>Sulawesi Tengah</t>
        </is>
      </c>
      <c r="Q133" t="inlineStr"/>
    </row>
    <row r="134">
      <c r="A134" t="inlineStr">
        <is>
          <t>RIZQI ILAHI</t>
        </is>
      </c>
      <c r="B134" t="inlineStr">
        <is>
          <t>Kota Pasuruan</t>
        </is>
      </c>
      <c r="C134" t="inlineStr">
        <is>
          <t>081220326021</t>
        </is>
      </c>
      <c r="D134" t="inlineStr">
        <is>
          <t>rizqiilahi.cv@gmail.com</t>
        </is>
      </c>
      <c r="E134" t="inlineStr">
        <is>
          <t>https://lpjk.pu.go.id/search-badan-usaha-detail/RHErZ3d6VnNLQ0dMc2x3eEg4dnYzQT09</t>
        </is>
      </c>
      <c r="F134" t="n">
        <v>2</v>
      </c>
      <c r="G134" t="inlineStr">
        <is>
          <t>BG004, BG006</t>
        </is>
      </c>
      <c r="H134" t="inlineStr">
        <is>
          <t>21 Agustus 2019</t>
        </is>
      </c>
      <c r="I134" s="2" t="n">
        <v>46251</v>
      </c>
      <c r="J134" t="inlineStr">
        <is>
          <t>Disetujui</t>
        </is>
      </c>
      <c r="K134" t="n">
        <v>60</v>
      </c>
      <c r="L134" t="inlineStr">
        <is>
          <t>17 Agustus 2026</t>
        </is>
      </c>
      <c r="M134" t="inlineStr">
        <is>
          <t>Konstruksi Gedung Pendidikan, Konstruksi Gedung Perbelanjaan</t>
        </is>
      </c>
      <c r="N134" t="inlineStr">
        <is>
          <t>K</t>
        </is>
      </c>
      <c r="O134" t="inlineStr">
        <is>
          <t>20230815, 20230817</t>
        </is>
      </c>
      <c r="P134" t="inlineStr">
        <is>
          <t>Jawa Timur</t>
        </is>
      </c>
      <c r="Q134" t="inlineStr"/>
    </row>
    <row r="135">
      <c r="A135" t="inlineStr">
        <is>
          <t>ROYAL SAKTI MANDIRI</t>
        </is>
      </c>
      <c r="B135" t="inlineStr">
        <is>
          <t>Kab. Lebak</t>
        </is>
      </c>
      <c r="C135" t="inlineStr">
        <is>
          <t>081992199701</t>
        </is>
      </c>
      <c r="D135" t="inlineStr">
        <is>
          <t>ptroyalsaktimandiri@gmail.com</t>
        </is>
      </c>
      <c r="E135" t="inlineStr">
        <is>
          <t>https://lpjk.pu.go.id/search-badan-usaha-detail/SC81Zjdqak5DS01GNC9Da2tBbktPUT09</t>
        </is>
      </c>
      <c r="F135" t="n">
        <v>1</v>
      </c>
      <c r="G135" t="inlineStr">
        <is>
          <t>BG001</t>
        </is>
      </c>
      <c r="H135" t="inlineStr">
        <is>
          <t>18 Juni 2020</t>
        </is>
      </c>
      <c r="I135" s="2" t="n">
        <v>46251</v>
      </c>
      <c r="J135" t="inlineStr">
        <is>
          <t>Disetujui</t>
        </is>
      </c>
      <c r="K135" t="n">
        <v>60</v>
      </c>
      <c r="L135" t="inlineStr">
        <is>
          <t>17 Agustus 2026</t>
        </is>
      </c>
      <c r="M135" t="inlineStr">
        <is>
          <t>Konstruksi Gedung Hunian</t>
        </is>
      </c>
      <c r="N135" t="inlineStr">
        <is>
          <t>K</t>
        </is>
      </c>
      <c r="O135" t="inlineStr">
        <is>
          <t>20230803</t>
        </is>
      </c>
      <c r="P135" t="inlineStr">
        <is>
          <t>Banten</t>
        </is>
      </c>
      <c r="Q135" t="inlineStr"/>
    </row>
    <row r="136">
      <c r="A136" t="inlineStr">
        <is>
          <t>SANSIBAR HALMAHERA</t>
        </is>
      </c>
      <c r="B136" t="inlineStr">
        <is>
          <t>Kab. Halmahera Timur</t>
        </is>
      </c>
      <c r="C136" t="inlineStr">
        <is>
          <t>082223697205</t>
        </is>
      </c>
      <c r="D136" t="inlineStr">
        <is>
          <t>cv.sansibarhalmahera@gmail.com</t>
        </is>
      </c>
      <c r="E136" t="inlineStr">
        <is>
          <t>https://lpjk.pu.go.id/search-badan-usaha-detail/dkJkV3VNSUZIMUNoZjI0RnlHV1lzZz09</t>
        </is>
      </c>
      <c r="F136" t="n">
        <v>1</v>
      </c>
      <c r="G136" t="inlineStr">
        <is>
          <t>BG001</t>
        </is>
      </c>
      <c r="H136" t="inlineStr">
        <is>
          <t>25 Oktober 2021</t>
        </is>
      </c>
      <c r="I136" s="2" t="n">
        <v>46251</v>
      </c>
      <c r="J136" t="inlineStr">
        <is>
          <t>Pencabutan</t>
        </is>
      </c>
      <c r="K136" t="n">
        <v>60</v>
      </c>
      <c r="L136" t="inlineStr">
        <is>
          <t>17 Agustus 2026</t>
        </is>
      </c>
      <c r="M136" t="inlineStr">
        <is>
          <t>Konstruksi Gedung Hunian</t>
        </is>
      </c>
      <c r="N136" t="inlineStr">
        <is>
          <t>K</t>
        </is>
      </c>
      <c r="O136" t="inlineStr">
        <is>
          <t>20230818</t>
        </is>
      </c>
      <c r="P136" t="inlineStr">
        <is>
          <t>Maluku Utara</t>
        </is>
      </c>
      <c r="Q136" t="inlineStr"/>
    </row>
    <row r="137">
      <c r="A137" t="inlineStr">
        <is>
          <t>SATU TUJUH KONSTRUKSI</t>
        </is>
      </c>
      <c r="B137" t="inlineStr">
        <is>
          <t>Kota Palu</t>
        </is>
      </c>
      <c r="C137" t="inlineStr">
        <is>
          <t>082293751310</t>
        </is>
      </c>
      <c r="D137" t="inlineStr">
        <is>
          <t>satutujuhkonstruksi@gmail.com</t>
        </is>
      </c>
      <c r="E137" t="inlineStr">
        <is>
          <t>https://lpjk.pu.go.id/search-badan-usaha-detail/Y2FEcHcrcVBDTkFLd3hwT0cxdnZlZz09</t>
        </is>
      </c>
      <c r="F137" t="n">
        <v>1</v>
      </c>
      <c r="G137" t="inlineStr">
        <is>
          <t>BS001</t>
        </is>
      </c>
      <c r="H137" t="inlineStr">
        <is>
          <t>5 Juli 2023</t>
        </is>
      </c>
      <c r="I137" s="2" t="n">
        <v>46251</v>
      </c>
      <c r="J137" t="inlineStr">
        <is>
          <t>Disetujui</t>
        </is>
      </c>
      <c r="K137" t="n">
        <v>60</v>
      </c>
      <c r="L137" t="inlineStr">
        <is>
          <t>17 Agustus 2026</t>
        </is>
      </c>
      <c r="M137" t="inlineStr">
        <is>
          <t>Konstruksi Bangunan Sipil Jalan</t>
        </is>
      </c>
      <c r="N137" t="inlineStr">
        <is>
          <t>K</t>
        </is>
      </c>
      <c r="O137" t="inlineStr">
        <is>
          <t>20230817</t>
        </is>
      </c>
      <c r="P137" t="inlineStr">
        <is>
          <t>Sulawesi Tengah</t>
        </is>
      </c>
      <c r="Q137" t="inlineStr"/>
    </row>
    <row r="138">
      <c r="A138" t="inlineStr">
        <is>
          <t>SELO MULTI TEKNIK</t>
        </is>
      </c>
      <c r="B138" t="inlineStr">
        <is>
          <t>Kab. Malang</t>
        </is>
      </c>
      <c r="C138" t="inlineStr">
        <is>
          <t>081212609481</t>
        </is>
      </c>
      <c r="D138" t="inlineStr">
        <is>
          <t>cv.selomultiteknik@gmail.com</t>
        </is>
      </c>
      <c r="E138" t="inlineStr">
        <is>
          <t>https://lpjk.pu.go.id/search-badan-usaha-detail/YVRUeHBucytkcDF5dFlkckNqYlZUUT09</t>
        </is>
      </c>
      <c r="F138" t="n">
        <v>1</v>
      </c>
      <c r="G138" t="inlineStr">
        <is>
          <t>BG001</t>
        </is>
      </c>
      <c r="H138" t="inlineStr">
        <is>
          <t>8 Mei 2023</t>
        </is>
      </c>
      <c r="I138" s="2" t="n">
        <v>46251</v>
      </c>
      <c r="J138" t="inlineStr">
        <is>
          <t>Disetujui</t>
        </is>
      </c>
      <c r="K138" t="n">
        <v>60</v>
      </c>
      <c r="L138" t="inlineStr">
        <is>
          <t>17 Agustus 2026</t>
        </is>
      </c>
      <c r="M138" t="inlineStr">
        <is>
          <t>Konstruksi Gedung Hunian</t>
        </is>
      </c>
      <c r="N138" t="inlineStr">
        <is>
          <t>K</t>
        </is>
      </c>
      <c r="O138" t="inlineStr">
        <is>
          <t>20230811</t>
        </is>
      </c>
      <c r="P138" t="inlineStr">
        <is>
          <t>Jawa Timur</t>
        </is>
      </c>
      <c r="Q138" t="inlineStr"/>
    </row>
    <row r="139">
      <c r="A139" t="inlineStr">
        <is>
          <t>SEMBILAN NAGA KARYA</t>
        </is>
      </c>
      <c r="B139" t="inlineStr">
        <is>
          <t>Kab. Jember</t>
        </is>
      </c>
      <c r="C139" t="inlineStr">
        <is>
          <t>082245030033</t>
        </is>
      </c>
      <c r="D139" t="inlineStr">
        <is>
          <t>cv9nagakarya@gmail.com</t>
        </is>
      </c>
      <c r="E139" t="inlineStr">
        <is>
          <t>https://lpjk.pu.go.id/search-badan-usaha-detail/aFhjUU01K2R1N0pZaUljUHZ1UFgwdz09</t>
        </is>
      </c>
      <c r="F139" t="n">
        <v>3</v>
      </c>
      <c r="G139" t="inlineStr">
        <is>
          <t>BS001, BS002, BS004</t>
        </is>
      </c>
      <c r="H139" t="inlineStr">
        <is>
          <t>20 Mei 2025</t>
        </is>
      </c>
      <c r="I139" s="2" t="n">
        <v>46251</v>
      </c>
      <c r="J139" t="inlineStr">
        <is>
          <t>Disetujui</t>
        </is>
      </c>
      <c r="K139" t="n">
        <v>60</v>
      </c>
      <c r="L139" t="inlineStr">
        <is>
          <t>17 Agustus 2026</t>
        </is>
      </c>
      <c r="M139" t="inlineStr">
        <is>
          <t>Bangunan Sipil Jembatan, Jalan Layang, Fly Over, dan Underpass, Konstruksi Bangunan Sipil Jalan, Konstruksi Jaringan Irigasi dan Drainase</t>
        </is>
      </c>
      <c r="N139" t="inlineStr">
        <is>
          <t>K</t>
        </is>
      </c>
      <c r="O139" t="inlineStr">
        <is>
          <t>20230812</t>
        </is>
      </c>
      <c r="P139" t="inlineStr">
        <is>
          <t>Jawa Timur</t>
        </is>
      </c>
      <c r="Q139" t="inlineStr"/>
    </row>
    <row r="140">
      <c r="A140" t="inlineStr">
        <is>
          <t>SENTRA BIRAMA ABADI</t>
        </is>
      </c>
      <c r="B140" t="inlineStr">
        <is>
          <t>Kota Payakumbuh</t>
        </is>
      </c>
      <c r="C140" t="inlineStr">
        <is>
          <t>0811663685</t>
        </is>
      </c>
      <c r="D140" t="inlineStr">
        <is>
          <t>sentrabiramaabadi@gmail.com</t>
        </is>
      </c>
      <c r="E140" t="inlineStr">
        <is>
          <t>https://lpjk.pu.go.id/search-badan-usaha-detail/N1E2YnRlY3czQUtScEJ0aGtEMGoxUT09</t>
        </is>
      </c>
      <c r="F140" t="n">
        <v>1</v>
      </c>
      <c r="G140" t="inlineStr">
        <is>
          <t>BG001</t>
        </is>
      </c>
      <c r="H140" t="inlineStr">
        <is>
          <t>27 Juli 2023</t>
        </is>
      </c>
      <c r="I140" s="2" t="n">
        <v>46251</v>
      </c>
      <c r="J140" t="inlineStr">
        <is>
          <t>Disetujui</t>
        </is>
      </c>
      <c r="K140" t="n">
        <v>60</v>
      </c>
      <c r="L140" t="inlineStr">
        <is>
          <t>17 Agustus 2026</t>
        </is>
      </c>
      <c r="M140" t="inlineStr">
        <is>
          <t>Konstruksi Gedung Hunian</t>
        </is>
      </c>
      <c r="N140" t="inlineStr">
        <is>
          <t>K</t>
        </is>
      </c>
      <c r="O140" t="inlineStr">
        <is>
          <t>20230817</t>
        </is>
      </c>
      <c r="P140" t="inlineStr">
        <is>
          <t>Sumatera Barat</t>
        </is>
      </c>
      <c r="Q140" t="inlineStr"/>
    </row>
    <row r="141">
      <c r="A141" t="inlineStr">
        <is>
          <t>SINAR JAYA SAKTI</t>
        </is>
      </c>
      <c r="B141" t="inlineStr">
        <is>
          <t>Kab. Malang</t>
        </is>
      </c>
      <c r="C141" t="inlineStr">
        <is>
          <t>081331059050</t>
        </is>
      </c>
      <c r="D141" t="inlineStr">
        <is>
          <t>sinarjayasakti12@gmail.com</t>
        </is>
      </c>
      <c r="E141" t="inlineStr">
        <is>
          <t>https://lpjk.pu.go.id/search-badan-usaha-detail/bDFuZUZNVnpSQldxL25NV2cxNS9hUT09</t>
        </is>
      </c>
      <c r="F141" t="n">
        <v>3</v>
      </c>
      <c r="G141" t="inlineStr">
        <is>
          <t>BG005, BG006, BG009</t>
        </is>
      </c>
      <c r="H141" t="inlineStr">
        <is>
          <t>30 Maret 2012</t>
        </is>
      </c>
      <c r="I141" s="2" t="n">
        <v>46251</v>
      </c>
      <c r="J141" t="inlineStr">
        <is>
          <t>Disetujui</t>
        </is>
      </c>
      <c r="K141" t="n">
        <v>60</v>
      </c>
      <c r="L141" t="inlineStr">
        <is>
          <t>17 Agustus 2026</t>
        </is>
      </c>
      <c r="M141" t="inlineStr">
        <is>
          <t>Konstruksi Gedung Kesehatan, Konstruksi Gedung Lainnya, Konstruksi Gedung Pendidikan</t>
        </is>
      </c>
      <c r="N141" t="inlineStr">
        <is>
          <t>K</t>
        </is>
      </c>
      <c r="O141" t="inlineStr">
        <is>
          <t>20230816</t>
        </is>
      </c>
      <c r="P141" t="inlineStr">
        <is>
          <t>Jawa Timur</t>
        </is>
      </c>
      <c r="Q141" t="inlineStr"/>
    </row>
    <row r="142">
      <c r="A142" t="inlineStr">
        <is>
          <t>SINAR MUTIARA ENGINDO</t>
        </is>
      </c>
      <c r="B142" t="inlineStr">
        <is>
          <t>Kota Medan</t>
        </is>
      </c>
      <c r="C142" t="inlineStr">
        <is>
          <t>08126000285</t>
        </is>
      </c>
      <c r="D142" t="inlineStr">
        <is>
          <t>SMENG_88@YAHOO.COM</t>
        </is>
      </c>
      <c r="E142" t="inlineStr">
        <is>
          <t>https://lpjk.pu.go.id/search-badan-usaha-detail/RWxwS08wU0RqMEFyMDNPRzVYL0NiQT09</t>
        </is>
      </c>
      <c r="F142" t="n">
        <v>2</v>
      </c>
      <c r="G142" t="inlineStr">
        <is>
          <t>BG003, BG009</t>
        </is>
      </c>
      <c r="H142" t="inlineStr">
        <is>
          <t>24 Januari 1989</t>
        </is>
      </c>
      <c r="I142" s="2" t="n">
        <v>46251</v>
      </c>
      <c r="J142" t="inlineStr">
        <is>
          <t>Pembekuan</t>
        </is>
      </c>
      <c r="K142" t="n">
        <v>60</v>
      </c>
      <c r="L142" t="inlineStr">
        <is>
          <t>17 Agustus 2026</t>
        </is>
      </c>
      <c r="M142" t="inlineStr">
        <is>
          <t>Konstruksi Gedung Industri, Konstruksi Gedung Lainnya</t>
        </is>
      </c>
      <c r="N142" t="inlineStr">
        <is>
          <t>M</t>
        </is>
      </c>
      <c r="O142" t="inlineStr">
        <is>
          <t>20230807, 20230809</t>
        </is>
      </c>
      <c r="P142" t="inlineStr">
        <is>
          <t>Sumatera Utara</t>
        </is>
      </c>
      <c r="Q142" t="inlineStr"/>
    </row>
    <row r="143">
      <c r="A143" t="inlineStr">
        <is>
          <t>STAR MOON</t>
        </is>
      </c>
      <c r="B143" t="inlineStr">
        <is>
          <t>Kab. Tangerang</t>
        </is>
      </c>
      <c r="C143" t="inlineStr">
        <is>
          <t>021</t>
        </is>
      </c>
      <c r="D143" t="inlineStr">
        <is>
          <t>deckytrisna@gmail.com</t>
        </is>
      </c>
      <c r="E143" t="inlineStr">
        <is>
          <t>https://lpjk.pu.go.id/search-badan-usaha-detail/NFJMbkwwWlRaaHBJQVYwWUdCMU5sUT09</t>
        </is>
      </c>
      <c r="F143" t="n">
        <v>1</v>
      </c>
      <c r="G143" t="inlineStr">
        <is>
          <t>BS001</t>
        </is>
      </c>
      <c r="H143" t="inlineStr">
        <is>
          <t>5 Januari 2007</t>
        </is>
      </c>
      <c r="I143" s="2" t="n">
        <v>46251</v>
      </c>
      <c r="J143" t="inlineStr">
        <is>
          <t>Disetujui</t>
        </is>
      </c>
      <c r="K143" t="n">
        <v>60</v>
      </c>
      <c r="L143" t="inlineStr">
        <is>
          <t>17 Agustus 2026</t>
        </is>
      </c>
      <c r="M143" t="inlineStr">
        <is>
          <t>Konstruksi Bangunan Sipil Jalan</t>
        </is>
      </c>
      <c r="N143" t="inlineStr">
        <is>
          <t>K</t>
        </is>
      </c>
      <c r="O143" t="inlineStr">
        <is>
          <t>20230804</t>
        </is>
      </c>
      <c r="P143" t="inlineStr">
        <is>
          <t>Banten</t>
        </is>
      </c>
      <c r="Q143" t="inlineStr"/>
    </row>
    <row r="144">
      <c r="A144" t="inlineStr">
        <is>
          <t>SUMBER KENCANA</t>
        </is>
      </c>
      <c r="B144" t="inlineStr">
        <is>
          <t>Kab. Kediri</t>
        </is>
      </c>
      <c r="C144" t="inlineStr">
        <is>
          <t>0354411371</t>
        </is>
      </c>
      <c r="D144" t="inlineStr">
        <is>
          <t>sumberkencana_cv@yahoo.com</t>
        </is>
      </c>
      <c r="E144" t="inlineStr">
        <is>
          <t>https://lpjk.pu.go.id/search-badan-usaha-detail/QkFxODBKaFVEdk5wK0tYODdZMVJ4dz09</t>
        </is>
      </c>
      <c r="F144" t="n">
        <v>1</v>
      </c>
      <c r="G144" t="inlineStr">
        <is>
          <t>BS004</t>
        </is>
      </c>
      <c r="H144" t="inlineStr">
        <is>
          <t>11 November 1985</t>
        </is>
      </c>
      <c r="I144" s="2" t="n">
        <v>46251</v>
      </c>
      <c r="J144" t="inlineStr">
        <is>
          <t>Pencabutan</t>
        </is>
      </c>
      <c r="K144" t="n">
        <v>60</v>
      </c>
      <c r="L144" t="inlineStr">
        <is>
          <t>17 Agustus 2026</t>
        </is>
      </c>
      <c r="M144" t="inlineStr">
        <is>
          <t>Konstruksi Jaringan Irigasi dan Drainase</t>
        </is>
      </c>
      <c r="N144" t="inlineStr">
        <is>
          <t>K</t>
        </is>
      </c>
      <c r="O144" t="inlineStr">
        <is>
          <t>20230814</t>
        </is>
      </c>
      <c r="P144" t="inlineStr">
        <is>
          <t>Jawa Timur</t>
        </is>
      </c>
      <c r="Q144" t="inlineStr"/>
    </row>
    <row r="145">
      <c r="A145" t="inlineStr">
        <is>
          <t>SYAMPELO KARDENSO</t>
        </is>
      </c>
      <c r="B145" t="inlineStr">
        <is>
          <t>Kota Padang Panjang</t>
        </is>
      </c>
      <c r="C145" t="inlineStr">
        <is>
          <t>08116600481</t>
        </is>
      </c>
      <c r="D145" t="inlineStr">
        <is>
          <t>syampelokardenso@gmail.com</t>
        </is>
      </c>
      <c r="E145" t="inlineStr">
        <is>
          <t>https://lpjk.pu.go.id/search-badan-usaha-detail/cGk1WklXcVhCSm0rK05FcklmZUJ3dz09</t>
        </is>
      </c>
      <c r="F145" t="n">
        <v>1</v>
      </c>
      <c r="G145" t="inlineStr">
        <is>
          <t>BS003</t>
        </is>
      </c>
      <c r="H145" t="inlineStr">
        <is>
          <t>28 Februari 2019</t>
        </is>
      </c>
      <c r="I145" s="2" t="n">
        <v>46251</v>
      </c>
      <c r="J145" t="inlineStr">
        <is>
          <t>Pencabutan</t>
        </is>
      </c>
      <c r="K145" t="n">
        <v>60</v>
      </c>
      <c r="L145" t="inlineStr">
        <is>
          <t>17 Agustus 2026</t>
        </is>
      </c>
      <c r="M145" t="inlineStr">
        <is>
          <t>Konstruksi Jalan Rel</t>
        </is>
      </c>
      <c r="N145" t="inlineStr">
        <is>
          <t>K</t>
        </is>
      </c>
      <c r="O145" t="inlineStr">
        <is>
          <t>20230815</t>
        </is>
      </c>
      <c r="P145" t="inlineStr">
        <is>
          <t>Sumatera Barat</t>
        </is>
      </c>
      <c r="Q145" t="inlineStr"/>
    </row>
    <row r="146">
      <c r="A146" t="inlineStr">
        <is>
          <t>SYIFAZRIL SYAFANIA</t>
        </is>
      </c>
      <c r="B146" t="inlineStr">
        <is>
          <t>Kab. Balangan</t>
        </is>
      </c>
      <c r="C146" t="inlineStr">
        <is>
          <t>083159028746</t>
        </is>
      </c>
      <c r="D146" t="inlineStr">
        <is>
          <t>cv.syifazrilsyafania@gmail.com</t>
        </is>
      </c>
      <c r="E146" t="inlineStr">
        <is>
          <t>https://lpjk.pu.go.id/search-badan-usaha-detail/Q3BRWHhsdUlNY3pqcEN6Qzc0NmZBQT09</t>
        </is>
      </c>
      <c r="F146" t="n">
        <v>1</v>
      </c>
      <c r="G146" t="inlineStr">
        <is>
          <t>BS001</t>
        </is>
      </c>
      <c r="H146" t="inlineStr">
        <is>
          <t>8 Mei 2023</t>
        </is>
      </c>
      <c r="I146" s="2" t="n">
        <v>46251</v>
      </c>
      <c r="J146" t="inlineStr">
        <is>
          <t>Disetujui</t>
        </is>
      </c>
      <c r="K146" t="n">
        <v>60</v>
      </c>
      <c r="L146" t="inlineStr">
        <is>
          <t>17 Agustus 2026</t>
        </is>
      </c>
      <c r="M146" t="inlineStr">
        <is>
          <t>Konstruksi Bangunan Sipil Jalan</t>
        </is>
      </c>
      <c r="N146" t="inlineStr">
        <is>
          <t>K</t>
        </is>
      </c>
      <c r="O146" t="inlineStr">
        <is>
          <t>20230816</t>
        </is>
      </c>
      <c r="P146" t="inlineStr">
        <is>
          <t>Kalimantan Selatan</t>
        </is>
      </c>
      <c r="Q146" t="inlineStr"/>
    </row>
    <row r="147">
      <c r="A147" t="inlineStr">
        <is>
          <t>TATA SENTOSA PRASETYA</t>
        </is>
      </c>
      <c r="B147" t="inlineStr">
        <is>
          <t>Kota Adm. Jakarta Barat</t>
        </is>
      </c>
      <c r="C147" t="inlineStr">
        <is>
          <t>02155751954</t>
        </is>
      </c>
      <c r="D147" t="inlineStr">
        <is>
          <t>newtsp@grandscm.com</t>
        </is>
      </c>
      <c r="E147" t="inlineStr">
        <is>
          <t>https://lpjk.pu.go.id/search-badan-usaha-detail/cEZxemxqWW9iZ1RDdFhnZkdrMkpKUT09</t>
        </is>
      </c>
      <c r="F147" t="n">
        <v>1</v>
      </c>
      <c r="G147" t="inlineStr">
        <is>
          <t>IN007</t>
        </is>
      </c>
      <c r="H147" t="inlineStr">
        <is>
          <t>25 Oktober 2016</t>
        </is>
      </c>
      <c r="I147" s="2" t="n">
        <v>46251</v>
      </c>
      <c r="J147" t="inlineStr">
        <is>
          <t>Disetujui</t>
        </is>
      </c>
      <c r="K147" t="n">
        <v>60</v>
      </c>
      <c r="L147" t="inlineStr">
        <is>
          <t>17 Agustus 2026</t>
        </is>
      </c>
      <c r="M147" t="inlineStr">
        <is>
          <t>Instalasi Saluran Air (Plambing)</t>
        </is>
      </c>
      <c r="N147" t="inlineStr">
        <is>
          <t>Spesialis</t>
        </is>
      </c>
      <c r="O147" t="inlineStr">
        <is>
          <t>20230810</t>
        </is>
      </c>
      <c r="P147" t="inlineStr">
        <is>
          <t>DKI Jakarta</t>
        </is>
      </c>
      <c r="Q147" t="inlineStr"/>
    </row>
    <row r="148">
      <c r="A148" t="inlineStr">
        <is>
          <t>TEKNIK BERJAYA SELARAS</t>
        </is>
      </c>
      <c r="B148" t="inlineStr">
        <is>
          <t>Kota Pontianak</t>
        </is>
      </c>
      <c r="C148" t="inlineStr">
        <is>
          <t>085787001333</t>
        </is>
      </c>
      <c r="D148" t="inlineStr">
        <is>
          <t>teknikjayaselaras@gmail.com</t>
        </is>
      </c>
      <c r="E148" t="inlineStr">
        <is>
          <t>https://lpjk.pu.go.id/search-badan-usaha-detail/MHYwRy81dHpVRHRURmxHZUxrb0pMQT09</t>
        </is>
      </c>
      <c r="F148" t="n">
        <v>1</v>
      </c>
      <c r="G148" t="inlineStr">
        <is>
          <t>BS001</t>
        </is>
      </c>
      <c r="H148" t="inlineStr">
        <is>
          <t>19 April 2004</t>
        </is>
      </c>
      <c r="I148" s="2" t="n">
        <v>46251</v>
      </c>
      <c r="J148" t="inlineStr">
        <is>
          <t>Disetujui</t>
        </is>
      </c>
      <c r="K148" t="n">
        <v>60</v>
      </c>
      <c r="L148" t="inlineStr">
        <is>
          <t>17 Agustus 2026</t>
        </is>
      </c>
      <c r="M148" t="inlineStr">
        <is>
          <t>Konstruksi Bangunan Sipil Jalan</t>
        </is>
      </c>
      <c r="N148" t="inlineStr">
        <is>
          <t>M</t>
        </is>
      </c>
      <c r="O148" t="inlineStr">
        <is>
          <t>20230814</t>
        </is>
      </c>
      <c r="P148" t="inlineStr">
        <is>
          <t>Kalimantan Barat</t>
        </is>
      </c>
      <c r="Q148" t="inlineStr"/>
    </row>
    <row r="149">
      <c r="A149" t="inlineStr">
        <is>
          <t>TIGA PUTRA HAWANG</t>
        </is>
      </c>
      <c r="B149" t="inlineStr">
        <is>
          <t>Kab. Manokwari Selatan</t>
        </is>
      </c>
      <c r="C149" t="inlineStr">
        <is>
          <t>082399128116</t>
        </is>
      </c>
      <c r="D149" t="inlineStr">
        <is>
          <t>cvtigaputrahawang@gmail.com</t>
        </is>
      </c>
      <c r="E149" t="inlineStr">
        <is>
          <t>https://lpjk.pu.go.id/search-badan-usaha-detail/Q1FNR2d0ZW9pTC9ueVNqU1UzZUVqdz09</t>
        </is>
      </c>
      <c r="F149" t="n">
        <v>1</v>
      </c>
      <c r="G149" t="inlineStr">
        <is>
          <t>BS001</t>
        </is>
      </c>
      <c r="H149" t="inlineStr">
        <is>
          <t>9 Agustus 2023</t>
        </is>
      </c>
      <c r="I149" s="2" t="n">
        <v>46251</v>
      </c>
      <c r="J149" t="inlineStr">
        <is>
          <t>Pencabutan</t>
        </is>
      </c>
      <c r="K149" t="n">
        <v>60</v>
      </c>
      <c r="L149" t="inlineStr">
        <is>
          <t>17 Agustus 2026</t>
        </is>
      </c>
      <c r="M149" t="inlineStr">
        <is>
          <t>Konstruksi Bangunan Sipil Jalan</t>
        </is>
      </c>
      <c r="N149" t="inlineStr">
        <is>
          <t>K</t>
        </is>
      </c>
      <c r="O149" t="inlineStr">
        <is>
          <t>20230813</t>
        </is>
      </c>
      <c r="P149" t="inlineStr">
        <is>
          <t>Papua Barat</t>
        </is>
      </c>
      <c r="Q149" t="inlineStr"/>
    </row>
    <row r="150">
      <c r="A150" t="inlineStr">
        <is>
          <t>TITIK INDAH PUTRA</t>
        </is>
      </c>
      <c r="B150" t="inlineStr">
        <is>
          <t>Kota Cimahi</t>
        </is>
      </c>
      <c r="C150" t="inlineStr">
        <is>
          <t>081380868099</t>
        </is>
      </c>
      <c r="D150" t="inlineStr">
        <is>
          <t>titikindahputra@gmail.com</t>
        </is>
      </c>
      <c r="E150" t="inlineStr">
        <is>
          <t>https://lpjk.pu.go.id/search-badan-usaha-detail/VG9FMXlodnQwd0R1VEVLVXF0YVRHUT09</t>
        </is>
      </c>
      <c r="F150" t="n">
        <v>2</v>
      </c>
      <c r="G150" t="inlineStr">
        <is>
          <t>BS001, BS016</t>
        </is>
      </c>
      <c r="H150" t="inlineStr">
        <is>
          <t>5 Maret 2019</t>
        </is>
      </c>
      <c r="I150" s="2" t="n">
        <v>46251</v>
      </c>
      <c r="J150" t="inlineStr">
        <is>
          <t>Disetujui</t>
        </is>
      </c>
      <c r="K150" t="n">
        <v>60</v>
      </c>
      <c r="L150" t="inlineStr">
        <is>
          <t>17 Agustus 2026</t>
        </is>
      </c>
      <c r="M150" t="inlineStr">
        <is>
          <t>Konstruksi Bangunan Sipil Fasilitas Olah Raga, Konstruksi Bangunan Sipil Jalan</t>
        </is>
      </c>
      <c r="N150" t="inlineStr">
        <is>
          <t>K</t>
        </is>
      </c>
      <c r="O150" t="inlineStr">
        <is>
          <t>20230818</t>
        </is>
      </c>
      <c r="P150" t="inlineStr">
        <is>
          <t>Jawa Barat</t>
        </is>
      </c>
      <c r="Q150" t="inlineStr"/>
    </row>
    <row r="151">
      <c r="A151" t="inlineStr">
        <is>
          <t>TRI JAYA</t>
        </is>
      </c>
      <c r="B151" t="inlineStr">
        <is>
          <t>Kab. Lampung Utara</t>
        </is>
      </c>
      <c r="C151" t="inlineStr">
        <is>
          <t>081271026168</t>
        </is>
      </c>
      <c r="D151" t="inlineStr">
        <is>
          <t>trijaya22@yahoo.com</t>
        </is>
      </c>
      <c r="E151" t="inlineStr">
        <is>
          <t>https://lpjk.pu.go.id/search-badan-usaha-detail/WDl5OVg4MElZQitRUFFBZjhmNC83dz09</t>
        </is>
      </c>
      <c r="F151" t="n">
        <v>1</v>
      </c>
      <c r="G151" t="inlineStr">
        <is>
          <t>BG009</t>
        </is>
      </c>
      <c r="H151" t="inlineStr">
        <is>
          <t>21 Desember 2011</t>
        </is>
      </c>
      <c r="I151" s="2" t="n">
        <v>46251</v>
      </c>
      <c r="J151" t="inlineStr">
        <is>
          <t>Disetujui</t>
        </is>
      </c>
      <c r="K151" t="n">
        <v>60</v>
      </c>
      <c r="L151" t="inlineStr">
        <is>
          <t>17 Agustus 2026</t>
        </is>
      </c>
      <c r="M151" t="inlineStr">
        <is>
          <t>Konstruksi Gedung Lainnya</t>
        </is>
      </c>
      <c r="N151" t="inlineStr">
        <is>
          <t>K</t>
        </is>
      </c>
      <c r="O151" t="inlineStr">
        <is>
          <t>20230505</t>
        </is>
      </c>
      <c r="P151" t="inlineStr">
        <is>
          <t>Lampung</t>
        </is>
      </c>
      <c r="Q151" t="inlineStr"/>
    </row>
    <row r="152">
      <c r="A152" t="inlineStr">
        <is>
          <t>TRIPLE ANTANG PERKASA</t>
        </is>
      </c>
      <c r="B152" t="inlineStr">
        <is>
          <t>Kota Palangkaraya</t>
        </is>
      </c>
      <c r="C152" t="inlineStr">
        <is>
          <t>082251222586</t>
        </is>
      </c>
      <c r="D152" t="inlineStr">
        <is>
          <t>cvtripleantangperkasa@gmail.com</t>
        </is>
      </c>
      <c r="E152" t="inlineStr">
        <is>
          <t>https://lpjk.pu.go.id/search-badan-usaha-detail/TDdzZlJJRk1ySVJ2VUI0ZmE4c2hWUT09</t>
        </is>
      </c>
      <c r="F152" t="n">
        <v>1</v>
      </c>
      <c r="G152" t="inlineStr">
        <is>
          <t>BG006</t>
        </is>
      </c>
      <c r="H152" t="inlineStr">
        <is>
          <t>12 Juni 2023</t>
        </is>
      </c>
      <c r="I152" s="2" t="n">
        <v>46251</v>
      </c>
      <c r="J152" t="inlineStr">
        <is>
          <t>Disetujui</t>
        </is>
      </c>
      <c r="K152" t="n">
        <v>60</v>
      </c>
      <c r="L152" t="inlineStr">
        <is>
          <t>17 Agustus 2026</t>
        </is>
      </c>
      <c r="M152" t="inlineStr">
        <is>
          <t>Konstruksi Gedung Pendidikan</t>
        </is>
      </c>
      <c r="N152" t="inlineStr">
        <is>
          <t>K</t>
        </is>
      </c>
      <c r="O152" t="inlineStr">
        <is>
          <t>20230817</t>
        </is>
      </c>
      <c r="P152" t="inlineStr">
        <is>
          <t>Kalimantan Tengah</t>
        </is>
      </c>
      <c r="Q152" t="inlineStr"/>
    </row>
    <row r="153">
      <c r="A153" t="inlineStr">
        <is>
          <t>VISI TETAP JAYA</t>
        </is>
      </c>
      <c r="B153" t="inlineStr">
        <is>
          <t>Kota Medan</t>
        </is>
      </c>
      <c r="C153" t="inlineStr">
        <is>
          <t>08116160178</t>
        </is>
      </c>
      <c r="D153" t="inlineStr">
        <is>
          <t>ptvtj@yahoo.com</t>
        </is>
      </c>
      <c r="E153" t="inlineStr">
        <is>
          <t>https://lpjk.pu.go.id/search-badan-usaha-detail/cmlzS3VCeFJDTXoyOUlJWHlCT1ZVSUxlSDlCczdQMzN6MHczTXRzZE5Rcz0</t>
        </is>
      </c>
      <c r="F153" t="n">
        <v>2</v>
      </c>
      <c r="G153" t="inlineStr">
        <is>
          <t>BG001, BS001</t>
        </is>
      </c>
      <c r="H153" t="inlineStr">
        <is>
          <t>8 November 2025</t>
        </is>
      </c>
      <c r="I153" s="2" t="n">
        <v>46251</v>
      </c>
      <c r="J153" t="inlineStr">
        <is>
          <t>Disetujui</t>
        </is>
      </c>
      <c r="K153" t="n">
        <v>60</v>
      </c>
      <c r="L153" t="inlineStr">
        <is>
          <t>17 Agustus 2026</t>
        </is>
      </c>
      <c r="M153" t="inlineStr">
        <is>
          <t>Konstruksi Bangunan Sipil Jalan, Konstruksi Gedung Hunian</t>
        </is>
      </c>
      <c r="N153" t="inlineStr">
        <is>
          <t>K</t>
        </is>
      </c>
      <c r="O153" t="inlineStr">
        <is>
          <t>20230811</t>
        </is>
      </c>
      <c r="P153" t="inlineStr">
        <is>
          <t>Sumatera Utara</t>
        </is>
      </c>
      <c r="Q153" t="inlineStr"/>
    </row>
    <row r="154">
      <c r="A154" t="inlineStr">
        <is>
          <t>WAHANA MULTI WIGUNA</t>
        </is>
      </c>
      <c r="B154" t="inlineStr">
        <is>
          <t>Kab. Kebumen</t>
        </is>
      </c>
      <c r="C154" t="inlineStr">
        <is>
          <t>081328037079</t>
        </is>
      </c>
      <c r="D154" t="inlineStr">
        <is>
          <t>wahanamultiwiguna.kbm@gmail.com</t>
        </is>
      </c>
      <c r="E154" t="inlineStr">
        <is>
          <t>https://lpjk.pu.go.id/search-badan-usaha-detail/amZqWTc2UG5CUGZUTStLQUQ4QmUxdz09</t>
        </is>
      </c>
      <c r="F154" t="n">
        <v>1</v>
      </c>
      <c r="G154" t="inlineStr">
        <is>
          <t>BS004</t>
        </is>
      </c>
      <c r="H154" t="inlineStr">
        <is>
          <t>21 Januari 2016</t>
        </is>
      </c>
      <c r="I154" s="2" t="n">
        <v>46251</v>
      </c>
      <c r="J154" t="inlineStr">
        <is>
          <t>Disetujui</t>
        </is>
      </c>
      <c r="K154" t="n">
        <v>60</v>
      </c>
      <c r="L154" t="inlineStr">
        <is>
          <t>17 Agustus 2026</t>
        </is>
      </c>
      <c r="M154" t="inlineStr">
        <is>
          <t>Konstruksi Jaringan Irigasi dan Drainase</t>
        </is>
      </c>
      <c r="N154" t="inlineStr">
        <is>
          <t>K</t>
        </is>
      </c>
      <c r="O154" t="inlineStr">
        <is>
          <t>20230814</t>
        </is>
      </c>
      <c r="P154" t="inlineStr">
        <is>
          <t>Jawa Tengah</t>
        </is>
      </c>
      <c r="Q154" t="inlineStr"/>
    </row>
    <row r="155">
      <c r="A155" t="inlineStr">
        <is>
          <t>WIRA AGUNG SENTOSA</t>
        </is>
      </c>
      <c r="B155" t="inlineStr">
        <is>
          <t>Kota Surabaya</t>
        </is>
      </c>
      <c r="C155" t="inlineStr">
        <is>
          <t>081331275332</t>
        </is>
      </c>
      <c r="D155" t="inlineStr">
        <is>
          <t>willy3302@gmail.com</t>
        </is>
      </c>
      <c r="E155" t="inlineStr">
        <is>
          <t>https://lpjk.pu.go.id/search-badan-usaha-detail/dkhRRVB4bk1BM1laNW5HMDRNRng2QT09</t>
        </is>
      </c>
      <c r="F155" t="n">
        <v>2</v>
      </c>
      <c r="G155" t="inlineStr">
        <is>
          <t>BG006, BG009</t>
        </is>
      </c>
      <c r="H155" t="inlineStr">
        <is>
          <t>25 September 2020</t>
        </is>
      </c>
      <c r="I155" s="2" t="n">
        <v>46251</v>
      </c>
      <c r="J155" t="inlineStr">
        <is>
          <t>Pencabutan</t>
        </is>
      </c>
      <c r="K155" t="n">
        <v>60</v>
      </c>
      <c r="L155" t="inlineStr">
        <is>
          <t>17 Agustus 2026</t>
        </is>
      </c>
      <c r="M155" t="inlineStr">
        <is>
          <t>Konstruksi Gedung Lainnya, Konstruksi Gedung Pendidikan</t>
        </is>
      </c>
      <c r="N155" t="inlineStr">
        <is>
          <t>K</t>
        </is>
      </c>
      <c r="O155" t="inlineStr">
        <is>
          <t>20230419, 20230818</t>
        </is>
      </c>
      <c r="P155" t="inlineStr">
        <is>
          <t>Jawa Timur</t>
        </is>
      </c>
      <c r="Q155" t="inlineStr"/>
    </row>
    <row r="156">
      <c r="A156" t="inlineStr">
        <is>
          <t>YUDHA JAYA</t>
        </is>
      </c>
      <c r="B156" t="inlineStr">
        <is>
          <t>Kab. Cianjur</t>
        </is>
      </c>
      <c r="C156" t="inlineStr">
        <is>
          <t>081563674674</t>
        </is>
      </c>
      <c r="D156" t="inlineStr">
        <is>
          <t>yudhajaya.cjr@gmail.com</t>
        </is>
      </c>
      <c r="E156" t="inlineStr">
        <is>
          <t>https://lpjk.pu.go.id/search-badan-usaha-detail/ZUhWOW1FZ1U1U2JFMUxpZlhXU1VXQT09</t>
        </is>
      </c>
      <c r="F156" t="n">
        <v>4</v>
      </c>
      <c r="G156" t="inlineStr">
        <is>
          <t>BG009, BS001, BS004, BS005</t>
        </is>
      </c>
      <c r="H156" t="inlineStr">
        <is>
          <t>6 November 1992</t>
        </is>
      </c>
      <c r="I156" s="2" t="n">
        <v>46251</v>
      </c>
      <c r="J156" t="inlineStr">
        <is>
          <t>Disetujui</t>
        </is>
      </c>
      <c r="K156" t="n">
        <v>60</v>
      </c>
      <c r="L156" t="inlineStr">
        <is>
          <t>17 Agustus 2026</t>
        </is>
      </c>
      <c r="M156" t="inlineStr">
        <is>
          <t>Konstruksi Bangunan Sipil Jalan, Konstruksi Bangunan Sipil Pengolahan Air Bersih, Konstruksi Gedung Lainnya, Konstruksi Jaringan Irigasi dan Drainase</t>
        </is>
      </c>
      <c r="N156" t="inlineStr">
        <is>
          <t>K</t>
        </is>
      </c>
      <c r="O156" t="inlineStr">
        <is>
          <t>20230810</t>
        </is>
      </c>
      <c r="P156" t="inlineStr">
        <is>
          <t>Jawa Barat</t>
        </is>
      </c>
      <c r="Q156" t="inlineStr"/>
    </row>
    <row r="157">
      <c r="A157" t="inlineStr">
        <is>
          <t>YULIA PERKASA</t>
        </is>
      </c>
      <c r="B157" t="inlineStr">
        <is>
          <t>Kab. Kubu Raya</t>
        </is>
      </c>
      <c r="C157" t="inlineStr">
        <is>
          <t>089678987900</t>
        </is>
      </c>
      <c r="D157" t="inlineStr">
        <is>
          <t>yuliaperkasa@yahoo.co.id</t>
        </is>
      </c>
      <c r="E157" t="inlineStr">
        <is>
          <t>https://lpjk.pu.go.id/search-badan-usaha-detail/cndQVFAwUHJYTTg3SkRiRG1sUmNSUT09</t>
        </is>
      </c>
      <c r="F157" t="n">
        <v>1</v>
      </c>
      <c r="G157" t="inlineStr">
        <is>
          <t>BS001</t>
        </is>
      </c>
      <c r="H157" t="inlineStr">
        <is>
          <t>26 Mei 2006</t>
        </is>
      </c>
      <c r="I157" s="2" t="n">
        <v>46251</v>
      </c>
      <c r="J157" t="inlineStr">
        <is>
          <t>Disetujui</t>
        </is>
      </c>
      <c r="K157" t="n">
        <v>60</v>
      </c>
      <c r="L157" t="inlineStr">
        <is>
          <t>17 Agustus 2026</t>
        </is>
      </c>
      <c r="M157" t="inlineStr">
        <is>
          <t>Konstruksi Bangunan Sipil Jalan</t>
        </is>
      </c>
      <c r="N157" t="inlineStr">
        <is>
          <t>K</t>
        </is>
      </c>
      <c r="O157" t="inlineStr">
        <is>
          <t>20230815</t>
        </is>
      </c>
      <c r="P157" t="inlineStr">
        <is>
          <t>Kalimantan Barat</t>
        </is>
      </c>
      <c r="Q15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82"/>
  <sheetViews>
    <sheetView workbookViewId="0">
      <selection activeCell="A1" sqref="A1"/>
    </sheetView>
  </sheetViews>
  <sheetFormatPr baseColWidth="8" defaultRowHeight="15"/>
  <cols>
    <col width="29" customWidth="1" min="1" max="1"/>
    <col width="27" customWidth="1" min="2" max="2"/>
    <col width="22" customWidth="1" min="3" max="3"/>
    <col width="40" customWidth="1" min="4" max="4"/>
    <col width="50" customWidth="1" min="5" max="5"/>
    <col width="18" customWidth="1" min="6" max="6"/>
    <col width="42" customWidth="1" min="7" max="7"/>
    <col width="20" customWidth="1" min="8" max="8"/>
    <col width="28" customWidth="1" min="9" max="9"/>
    <col width="28" customWidth="1" min="10" max="10"/>
    <col width="11" customWidth="1" min="11" max="11"/>
    <col width="17" customWidth="1" min="12" max="12"/>
    <col width="50" customWidth="1" min="13" max="13"/>
    <col width="13" customWidth="1" min="14" max="14"/>
    <col width="2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AKRAM MANDIRI PARIPURNA</t>
        </is>
      </c>
      <c r="B2" t="inlineStr">
        <is>
          <t>Kota Bekasi</t>
        </is>
      </c>
      <c r="C2" t="inlineStr">
        <is>
          <t>085711970503</t>
        </is>
      </c>
      <c r="D2" t="inlineStr">
        <is>
          <t>akrammandiri@yahoo.com</t>
        </is>
      </c>
      <c r="E2" t="inlineStr">
        <is>
          <t>https://lpjk.pu.go.id/search-badan-usaha-detail/aUpSaG5Sdzc5Q2IraUZIc1BOKzM3UT09</t>
        </is>
      </c>
      <c r="F2" t="n">
        <v>2</v>
      </c>
      <c r="G2" t="inlineStr">
        <is>
          <t>BG008</t>
        </is>
      </c>
      <c r="H2" t="inlineStr">
        <is>
          <t>3 September 2020</t>
        </is>
      </c>
      <c r="I2" s="2" t="n">
        <v>46221</v>
      </c>
      <c r="J2" t="inlineStr">
        <is>
          <t>Disetujui</t>
        </is>
      </c>
      <c r="K2" t="n">
        <v>30</v>
      </c>
      <c r="L2" t="inlineStr">
        <is>
          <t>18 Juli 2026</t>
        </is>
      </c>
      <c r="M2" t="inlineStr">
        <is>
          <t>Konstruksi Gedung Tempat Hiburan dan Olahraga</t>
        </is>
      </c>
      <c r="N2" t="inlineStr">
        <is>
          <t>K</t>
        </is>
      </c>
      <c r="O2" t="inlineStr">
        <is>
          <t>20230712</t>
        </is>
      </c>
      <c r="P2" t="inlineStr">
        <is>
          <t>Jawa Barat</t>
        </is>
      </c>
      <c r="Q2" s="3">
        <f>HYPERLINK("https://wa.me/6285711970503?text=*[Pengingat Masa Berlaku SBU AKRAM MANDIRI PARIPURNA]*%0A%0AYth. Pimpinan AKRAM MANDIRI PARIPURNA,%0AMohon izin menginformasikan status SBU Anda:%0A%0A📄 SBU: BG008%0A📅 Expired: 18 Juli 2026 (30 Hari Lagi)%0A%0AKami tim PT. ESDEA Assistance Management siap men-support proses perpanjangan segera agar administrasi proyek tidak terhambat%0A%0AApakah boleh saya bantu siapkan estimasi biaya dan waktu pengerjaannya?.", "Hubungi")</f>
        <v/>
      </c>
    </row>
    <row r="3">
      <c r="A3" t="inlineStr">
        <is>
          <t>KENTA INDO TUNGGAL</t>
        </is>
      </c>
      <c r="B3" t="inlineStr">
        <is>
          <t>Kota Bekasi</t>
        </is>
      </c>
      <c r="C3" t="inlineStr">
        <is>
          <t>087870333361</t>
        </is>
      </c>
      <c r="D3" t="inlineStr">
        <is>
          <t>kentaindotunggalcv@gmail.com</t>
        </is>
      </c>
      <c r="E3" t="inlineStr">
        <is>
          <t>https://lpjk.pu.go.id/search-badan-usaha-detail/WE9MSlUyNExWelNXZndhL253UTcvZz09</t>
        </is>
      </c>
      <c r="F3" t="n">
        <v>1</v>
      </c>
      <c r="G3" t="inlineStr">
        <is>
          <t>BG006</t>
        </is>
      </c>
      <c r="H3" t="inlineStr">
        <is>
          <t>21 Maret 2022</t>
        </is>
      </c>
      <c r="I3" s="2" t="n">
        <v>46221</v>
      </c>
      <c r="J3" t="inlineStr">
        <is>
          <t>Disetujui</t>
        </is>
      </c>
      <c r="K3" t="n">
        <v>30</v>
      </c>
      <c r="L3" t="inlineStr">
        <is>
          <t>18 Juli 2026</t>
        </is>
      </c>
      <c r="M3" t="inlineStr">
        <is>
          <t>Konstruksi Gedung Pendidikan</t>
        </is>
      </c>
      <c r="N3" t="inlineStr">
        <is>
          <t>K</t>
        </is>
      </c>
      <c r="O3" t="inlineStr">
        <is>
          <t>20230718</t>
        </is>
      </c>
      <c r="P3" t="inlineStr">
        <is>
          <t>Jawa Barat</t>
        </is>
      </c>
      <c r="Q3" s="3">
        <f>HYPERLINK("https://wa.me/6287870333361?text=*[Pengingat Masa Berlaku SBU KENTA INDO TUNGGAL]*%0A%0AYth. Pimpinan KENTA INDO TUNGGAL,%0AMohon izin menginformasikan status SBU Anda:%0A%0A📄 SBU: BG006%0A📅 Expired: 18 Juli 2026 (30 Hari Lagi)%0A%0AKami tim PT. ESDEA Assistance Management siap men-support proses perpanjangan segera agar administrasi proyek tidak terhambat%0A%0AApakah boleh saya bantu siapkan estimasi biaya dan waktu pengerjaannya?.", "Hubungi")</f>
        <v/>
      </c>
    </row>
    <row r="4">
      <c r="A4" t="inlineStr">
        <is>
          <t>NUSA INTI SINERGY</t>
        </is>
      </c>
      <c r="B4" t="inlineStr">
        <is>
          <t>Kota Bogor</t>
        </is>
      </c>
      <c r="C4" t="inlineStr">
        <is>
          <t>081366655578</t>
        </is>
      </c>
      <c r="D4" t="inlineStr">
        <is>
          <t>nusaintisinergy@gmail.com</t>
        </is>
      </c>
      <c r="E4" t="inlineStr">
        <is>
          <t>https://lpjk.pu.go.id/search-badan-usaha-detail/cGVIOWJRMzd1YkQ0RXlCVENPQXBydz09</t>
        </is>
      </c>
      <c r="F4" t="n">
        <v>1</v>
      </c>
      <c r="G4" t="inlineStr">
        <is>
          <t>BG002</t>
        </is>
      </c>
      <c r="H4" t="inlineStr">
        <is>
          <t>31 Mei 2021</t>
        </is>
      </c>
      <c r="I4" s="2" t="n">
        <v>46221</v>
      </c>
      <c r="J4" t="inlineStr">
        <is>
          <t>Pencabutan</t>
        </is>
      </c>
      <c r="K4" t="n">
        <v>30</v>
      </c>
      <c r="L4" t="inlineStr">
        <is>
          <t>18 Juli 2026</t>
        </is>
      </c>
      <c r="M4" t="inlineStr">
        <is>
          <t>Konstruksi Gedung Perkantoran</t>
        </is>
      </c>
      <c r="N4" t="inlineStr">
        <is>
          <t>K</t>
        </is>
      </c>
      <c r="O4" t="inlineStr">
        <is>
          <t>20230712</t>
        </is>
      </c>
      <c r="P4" t="inlineStr">
        <is>
          <t>Jawa Barat</t>
        </is>
      </c>
      <c r="Q4" s="3">
        <f>HYPERLINK("https://wa.me/6281366655578?text=*[Pengingat Masa Berlaku SBU NUSA INTI SINERGY]*%0A%0AYth. Pimpinan NUSA INTI SINERGY,%0AMohon izin menginformasikan status SBU Anda:%0A%0A📄 SBU: BG002%0A📅 Expired: 18 Juli 2026 (30 Hari Lagi)%0A%0AKami tim PT. ESDEA Assistance Management siap men-support proses perpanjangan segera agar administrasi proyek tidak terhambat%0A%0AApakah boleh saya bantu siapkan estimasi biaya dan waktu pengerjaannya?.", "Hubungi")</f>
        <v/>
      </c>
    </row>
    <row r="5">
      <c r="A5" t="inlineStr">
        <is>
          <t>PUTRA SUGAPA BERSAUDARA</t>
        </is>
      </c>
      <c r="B5" t="inlineStr">
        <is>
          <t>Kota Adm. Jakarta Timur</t>
        </is>
      </c>
      <c r="C5" t="inlineStr">
        <is>
          <t>0212865080</t>
        </is>
      </c>
      <c r="D5" t="inlineStr">
        <is>
          <t>putrasugapabersaudara@yahoo.co.id</t>
        </is>
      </c>
      <c r="E5" t="inlineStr">
        <is>
          <t>https://lpjk.pu.go.id/search-badan-usaha-detail/QXhxSDRtdmZPZlByVVFqbW1HaWRSdz09</t>
        </is>
      </c>
      <c r="F5" t="n">
        <v>1</v>
      </c>
      <c r="G5" t="inlineStr">
        <is>
          <t>BS001</t>
        </is>
      </c>
      <c r="H5" t="inlineStr">
        <is>
          <t>15 Februari 2013</t>
        </is>
      </c>
      <c r="I5" s="2" t="n">
        <v>46221</v>
      </c>
      <c r="J5" t="inlineStr">
        <is>
          <t>Disetujui</t>
        </is>
      </c>
      <c r="K5" t="n">
        <v>30</v>
      </c>
      <c r="L5" t="inlineStr">
        <is>
          <t>18 Juli 2026</t>
        </is>
      </c>
      <c r="M5" t="inlineStr">
        <is>
          <t>Konstruksi Bangunan Sipil Jalan</t>
        </is>
      </c>
      <c r="N5" t="inlineStr">
        <is>
          <t>K</t>
        </is>
      </c>
      <c r="O5" t="inlineStr">
        <is>
          <t>20230713</t>
        </is>
      </c>
      <c r="P5" t="inlineStr">
        <is>
          <t>DKI Jakarta</t>
        </is>
      </c>
      <c r="Q5" t="inlineStr"/>
    </row>
    <row r="6">
      <c r="A6" t="inlineStr">
        <is>
          <t>RAJA DOLAR</t>
        </is>
      </c>
      <c r="B6" t="inlineStr">
        <is>
          <t>Kab. Bekasi</t>
        </is>
      </c>
      <c r="C6" t="inlineStr">
        <is>
          <t>085775054448</t>
        </is>
      </c>
      <c r="D6" t="inlineStr">
        <is>
          <t>cvrajad@gmail.com</t>
        </is>
      </c>
      <c r="E6" t="inlineStr">
        <is>
          <t>https://lpjk.pu.go.id/search-badan-usaha-detail/N2dEeVB5aHVNQi9lWDkxVEJxTmFvQT09</t>
        </is>
      </c>
      <c r="F6" t="n">
        <v>1</v>
      </c>
      <c r="G6" t="inlineStr">
        <is>
          <t>BS001</t>
        </is>
      </c>
      <c r="H6" t="inlineStr">
        <is>
          <t>12 Februari 2020</t>
        </is>
      </c>
      <c r="I6" s="2" t="n">
        <v>46221</v>
      </c>
      <c r="J6" t="inlineStr">
        <is>
          <t>Disetujui</t>
        </is>
      </c>
      <c r="K6" t="n">
        <v>30</v>
      </c>
      <c r="L6" t="inlineStr">
        <is>
          <t>18 Juli 2026</t>
        </is>
      </c>
      <c r="M6" t="inlineStr">
        <is>
          <t>Konstruksi Bangunan Sipil Jalan</t>
        </is>
      </c>
      <c r="N6" t="inlineStr">
        <is>
          <t>K</t>
        </is>
      </c>
      <c r="O6" t="inlineStr">
        <is>
          <t>20230428</t>
        </is>
      </c>
      <c r="P6" t="inlineStr">
        <is>
          <t>Jawa Barat</t>
        </is>
      </c>
      <c r="Q6" s="3">
        <f>HYPERLINK("https://wa.me/6285775054448?text=*[Pengingat Masa Berlaku SBU RAJA DOLAR]*%0A%0AYth. Pimpinan RAJA DOLAR,%0AMohon izin menginformasikan status SBU Anda:%0A%0A📄 SBU: BS001%0A📅 Expired: 18 Juli 2026 (30 Hari Lagi)%0A%0AKami tim PT. ESDEA Assistance Management siap men-support proses perpanjangan segera agar administrasi proyek tidak terhambat%0A%0AApakah boleh saya bantu siapkan estimasi biaya dan waktu pengerjaannya?.", "Hubungi")</f>
        <v/>
      </c>
    </row>
    <row r="7">
      <c r="A7" t="inlineStr">
        <is>
          <t>SCITECH UTAMA</t>
        </is>
      </c>
      <c r="B7" t="inlineStr">
        <is>
          <t>Kab. Bekasi</t>
        </is>
      </c>
      <c r="C7" t="inlineStr">
        <is>
          <t>02188357766</t>
        </is>
      </c>
      <c r="D7" t="inlineStr">
        <is>
          <t>ptscitechutama@gmail.com</t>
        </is>
      </c>
      <c r="E7" t="inlineStr">
        <is>
          <t>https://lpjk.pu.go.id/search-badan-usaha-detail/cCthVG5xTzBRRzM4WmJpeWVsNVU4QT09</t>
        </is>
      </c>
      <c r="F7" t="n">
        <v>1</v>
      </c>
      <c r="G7" t="inlineStr">
        <is>
          <t>IN004</t>
        </is>
      </c>
      <c r="H7" t="inlineStr">
        <is>
          <t>9 Agustus 2022</t>
        </is>
      </c>
      <c r="I7" s="2" t="n">
        <v>46221</v>
      </c>
      <c r="J7" t="inlineStr">
        <is>
          <t>Disetujui</t>
        </is>
      </c>
      <c r="K7" t="n">
        <v>30</v>
      </c>
      <c r="L7" t="inlineStr">
        <is>
          <t>18 Juli 2026</t>
        </is>
      </c>
      <c r="M7" t="inlineStr">
        <is>
          <t>Instalasi Minyak dan Gas</t>
        </is>
      </c>
      <c r="N7" t="inlineStr">
        <is>
          <t>Spesialis</t>
        </is>
      </c>
      <c r="O7" t="inlineStr">
        <is>
          <t>20230623</t>
        </is>
      </c>
      <c r="P7" t="inlineStr">
        <is>
          <t>Jawa Barat</t>
        </is>
      </c>
      <c r="Q7" t="inlineStr"/>
    </row>
    <row r="8">
      <c r="A8" t="inlineStr">
        <is>
          <t>SINERGI CIPTA PRESISI</t>
        </is>
      </c>
      <c r="B8" t="inlineStr">
        <is>
          <t>Kota Adm. Jakarta Timur</t>
        </is>
      </c>
      <c r="C8" t="inlineStr">
        <is>
          <t>02184343657</t>
        </is>
      </c>
      <c r="D8" t="inlineStr">
        <is>
          <t>sinergiciptapresisi@gmail.com</t>
        </is>
      </c>
      <c r="E8" t="inlineStr">
        <is>
          <t>https://lpjk.pu.go.id/search-badan-usaha-detail/VDJMT3ZUeHRtVHVpaFpIV3o4NGtVUT09</t>
        </is>
      </c>
      <c r="F8" t="n">
        <v>1</v>
      </c>
      <c r="G8" t="inlineStr">
        <is>
          <t>BS010</t>
        </is>
      </c>
      <c r="H8" t="inlineStr">
        <is>
          <t>14 Februari 2023</t>
        </is>
      </c>
      <c r="I8" s="2" t="n">
        <v>46221</v>
      </c>
      <c r="J8" t="inlineStr">
        <is>
          <t>Pencabutan</t>
        </is>
      </c>
      <c r="K8" t="n">
        <v>30</v>
      </c>
      <c r="L8" t="inlineStr">
        <is>
          <t>18 Juli 2026</t>
        </is>
      </c>
      <c r="M8" t="inlineStr">
        <is>
          <t>Konstruksi Bangunan Prasarana Sumber Daya Air</t>
        </is>
      </c>
      <c r="N8" t="inlineStr">
        <is>
          <t>K</t>
        </is>
      </c>
      <c r="O8" t="inlineStr">
        <is>
          <t>20230715</t>
        </is>
      </c>
      <c r="P8" t="inlineStr">
        <is>
          <t>DKI Jakarta</t>
        </is>
      </c>
      <c r="Q8" t="inlineStr"/>
    </row>
    <row r="9">
      <c r="A9" t="inlineStr">
        <is>
          <t>SUMBER ANUGRAH JAYA</t>
        </is>
      </c>
      <c r="B9" t="inlineStr">
        <is>
          <t>Kota Bekasi</t>
        </is>
      </c>
      <c r="C9" t="inlineStr">
        <is>
          <t>02189456436</t>
        </is>
      </c>
      <c r="D9" t="inlineStr">
        <is>
          <t>sumberalamjaya@psak-bekasi.com</t>
        </is>
      </c>
      <c r="E9" t="inlineStr">
        <is>
          <t>https://lpjk.pu.go.id/search-badan-usaha-detail/Ykx4WDFYQXhkS3dnRXdITFFiRys1dz09</t>
        </is>
      </c>
      <c r="F9" t="n">
        <v>1</v>
      </c>
      <c r="G9" t="inlineStr">
        <is>
          <t>BG001</t>
        </is>
      </c>
      <c r="H9" t="inlineStr">
        <is>
          <t>21 April 2009</t>
        </is>
      </c>
      <c r="I9" s="2" t="n">
        <v>46221</v>
      </c>
      <c r="J9" t="inlineStr">
        <is>
          <t>Disetujui</t>
        </is>
      </c>
      <c r="K9" t="n">
        <v>30</v>
      </c>
      <c r="L9" t="inlineStr">
        <is>
          <t>18 Juli 2026</t>
        </is>
      </c>
      <c r="M9" t="inlineStr">
        <is>
          <t>Konstruksi Gedung Hunian</t>
        </is>
      </c>
      <c r="N9" t="inlineStr">
        <is>
          <t>K</t>
        </is>
      </c>
      <c r="O9" t="inlineStr">
        <is>
          <t>20230717</t>
        </is>
      </c>
      <c r="P9" t="inlineStr">
        <is>
          <t>Jawa Barat</t>
        </is>
      </c>
      <c r="Q9" t="inlineStr"/>
    </row>
    <row r="10">
      <c r="A10" t="inlineStr">
        <is>
          <t>TAKASHITA HOBASHI</t>
        </is>
      </c>
      <c r="B10" t="inlineStr">
        <is>
          <t>Kota Adm. Jakarta Timur</t>
        </is>
      </c>
      <c r="C10" t="inlineStr">
        <is>
          <t>0214890787</t>
        </is>
      </c>
      <c r="D10" t="inlineStr">
        <is>
          <t>cv.takashita@gmail.com</t>
        </is>
      </c>
      <c r="E10" t="inlineStr">
        <is>
          <t>https://lpjk.pu.go.id/search-badan-usaha-detail/NTZMUHNCRTQ5YmZRYnpacy94OUVPZz09</t>
        </is>
      </c>
      <c r="F10" t="n">
        <v>2</v>
      </c>
      <c r="G10" t="inlineStr">
        <is>
          <t>BS016</t>
        </is>
      </c>
      <c r="H10" t="inlineStr">
        <is>
          <t>27 Desember 2005</t>
        </is>
      </c>
      <c r="I10" s="2" t="n">
        <v>46221</v>
      </c>
      <c r="J10" t="inlineStr">
        <is>
          <t>Dokumen Tidak Lengkap</t>
        </is>
      </c>
      <c r="K10" t="n">
        <v>30</v>
      </c>
      <c r="L10" t="inlineStr">
        <is>
          <t>18 Juli 2026</t>
        </is>
      </c>
      <c r="M10" t="inlineStr">
        <is>
          <t>Konstruksi Bangunan Sipil Fasilitas Olah Raga</t>
        </is>
      </c>
      <c r="N10" t="inlineStr">
        <is>
          <t>K</t>
        </is>
      </c>
      <c r="O10" t="inlineStr">
        <is>
          <t>20230621</t>
        </is>
      </c>
      <c r="P10" t="inlineStr">
        <is>
          <t>DKI Jakarta</t>
        </is>
      </c>
      <c r="Q10" t="inlineStr"/>
    </row>
    <row r="11">
      <c r="A11" t="inlineStr">
        <is>
          <t>TILU DULUR</t>
        </is>
      </c>
      <c r="B11" t="inlineStr">
        <is>
          <t>Kab. Bogor</t>
        </is>
      </c>
      <c r="C11" t="inlineStr">
        <is>
          <t>081932102288</t>
        </is>
      </c>
      <c r="D11" t="inlineStr">
        <is>
          <t>dulur_tilu@yahoo.co.id</t>
        </is>
      </c>
      <c r="E11" t="inlineStr">
        <is>
          <t>https://lpjk.pu.go.id/search-badan-usaha-detail/Nk4xMWdGRHpMSi9IMW9GWnZSd3JXdz09</t>
        </is>
      </c>
      <c r="F11" t="n">
        <v>3</v>
      </c>
      <c r="G11" t="inlineStr">
        <is>
          <t>BG005, BG006, BG009</t>
        </is>
      </c>
      <c r="H11" t="inlineStr">
        <is>
          <t>28 Maret 2012</t>
        </is>
      </c>
      <c r="I11" s="2" t="n">
        <v>46221</v>
      </c>
      <c r="J11" t="inlineStr">
        <is>
          <t>Disetujui</t>
        </is>
      </c>
      <c r="K11" t="n">
        <v>30</v>
      </c>
      <c r="L11" t="inlineStr">
        <is>
          <t>18 Juli 2026</t>
        </is>
      </c>
      <c r="M11" t="inlineStr">
        <is>
          <t>Konstruksi Gedung Kesehatan, Konstruksi Gedung Lainnya, Konstruksi Gedung Pendidikan</t>
        </is>
      </c>
      <c r="N11" t="inlineStr">
        <is>
          <t>K</t>
        </is>
      </c>
      <c r="O11" t="inlineStr">
        <is>
          <t>20230712</t>
        </is>
      </c>
      <c r="P11" t="inlineStr">
        <is>
          <t>Jawa Barat</t>
        </is>
      </c>
      <c r="Q11" s="3">
        <f>HYPERLINK("https://wa.me/6281932102288?text=*[Pengingat Masa Berlaku SBU TILU DULUR]*%0A%0AYth. Pimpinan TILU DULUR,%0AMohon izin menginformasikan status SBU Anda:%0A%0A📄 SBU: BG005, BG006, BG009%0A📅 Expired: 18 Juli 2026 (30 Hari Lagi)%0A%0AKami tim PT. ESDEA Assistance Management siap men-support proses perpanjangan segera agar administrasi proyek tidak terhambat%0A%0AApakah boleh saya bantu siapkan estimasi biaya dan waktu pengerjaannya?.", "Hubungi")</f>
        <v/>
      </c>
    </row>
    <row r="12">
      <c r="A12" t="inlineStr">
        <is>
          <t>ALAM SURYA GEMILANG</t>
        </is>
      </c>
      <c r="B12" t="inlineStr">
        <is>
          <t>Kab. Lombok Tengah</t>
        </is>
      </c>
      <c r="C12" t="inlineStr">
        <is>
          <t>087754375999</t>
        </is>
      </c>
      <c r="D12" t="inlineStr">
        <is>
          <t>alamsuryagemilangcv@gmail.com</t>
        </is>
      </c>
      <c r="E12" t="inlineStr">
        <is>
          <t>https://lpjk.pu.go.id/search-badan-usaha-detail/MTN4NGRLc09sVk93MVhWcHlhRGNRZz09</t>
        </is>
      </c>
      <c r="F12" t="n">
        <v>4</v>
      </c>
      <c r="G12" t="inlineStr">
        <is>
          <t>BG002, BG005, BG006, BG008</t>
        </is>
      </c>
      <c r="H12" t="inlineStr">
        <is>
          <t>26 September 2019</t>
        </is>
      </c>
      <c r="I12" s="2" t="n">
        <v>46221</v>
      </c>
      <c r="J12" t="inlineStr">
        <is>
          <t>Disetujui</t>
        </is>
      </c>
      <c r="K12" t="n">
        <v>30</v>
      </c>
      <c r="L12" t="inlineStr">
        <is>
          <t>18 Juli 2026</t>
        </is>
      </c>
      <c r="M12" t="inlineStr">
        <is>
          <t>Konstruksi Gedung Kesehatan, Konstruksi Gedung Pendidikan, Konstruksi Gedung Perkantoran, Konstruksi Gedung Tempat Hiburan dan Olahraga</t>
        </is>
      </c>
      <c r="N12" t="inlineStr">
        <is>
          <t>K</t>
        </is>
      </c>
      <c r="O12" t="inlineStr">
        <is>
          <t>20230713, 20230714</t>
        </is>
      </c>
      <c r="P12" t="inlineStr">
        <is>
          <t>Nusa Tenggara Barat</t>
        </is>
      </c>
      <c r="Q12" t="inlineStr"/>
    </row>
    <row r="13">
      <c r="A13" t="inlineStr">
        <is>
          <t>ALIANDARU PROJECT</t>
        </is>
      </c>
      <c r="B13" t="inlineStr">
        <is>
          <t>Kab. Sidoarjo</t>
        </is>
      </c>
      <c r="C13" t="inlineStr">
        <is>
          <t>081252333440</t>
        </is>
      </c>
      <c r="D13" t="inlineStr">
        <is>
          <t>aliandaruproject@gmail.com</t>
        </is>
      </c>
      <c r="E13" t="inlineStr">
        <is>
          <t>https://lpjk.pu.go.id/search-badan-usaha-detail/UEg3ZXo2ai9FZm16cElJUkpSMGJNZz09</t>
        </is>
      </c>
      <c r="F13" t="n">
        <v>1</v>
      </c>
      <c r="G13" t="inlineStr">
        <is>
          <t>BG001</t>
        </is>
      </c>
      <c r="H13" t="inlineStr">
        <is>
          <t>25 November 2015</t>
        </is>
      </c>
      <c r="I13" s="2" t="n">
        <v>46221</v>
      </c>
      <c r="J13" t="inlineStr">
        <is>
          <t>Disetujui</t>
        </is>
      </c>
      <c r="K13" t="n">
        <v>30</v>
      </c>
      <c r="L13" t="inlineStr">
        <is>
          <t>18 Juli 2026</t>
        </is>
      </c>
      <c r="M13" t="inlineStr">
        <is>
          <t>Konstruksi Gedung Hunian</t>
        </is>
      </c>
      <c r="N13" t="inlineStr">
        <is>
          <t>K</t>
        </is>
      </c>
      <c r="O13" t="inlineStr">
        <is>
          <t>20230518</t>
        </is>
      </c>
      <c r="P13" t="inlineStr">
        <is>
          <t>Jawa Timur</t>
        </is>
      </c>
      <c r="Q13" t="inlineStr"/>
    </row>
    <row r="14">
      <c r="A14" t="inlineStr">
        <is>
          <t>AMANA NUSANTARA</t>
        </is>
      </c>
      <c r="B14" t="inlineStr">
        <is>
          <t>Kota Tangerang Selatan</t>
        </is>
      </c>
      <c r="C14" t="inlineStr">
        <is>
          <t>081298099633</t>
        </is>
      </c>
      <c r="D14" t="inlineStr">
        <is>
          <t>AMANANUSANTARA@GMAIL.COM</t>
        </is>
      </c>
      <c r="E14" t="inlineStr">
        <is>
          <t>https://lpjk.pu.go.id/search-badan-usaha-detail/cHhYREtYekxGWTZOdVYvMjRKMHdKUT09</t>
        </is>
      </c>
      <c r="F14" t="n">
        <v>8</v>
      </c>
      <c r="G14" t="inlineStr">
        <is>
          <t>BG002, BG005, BS004, BS005</t>
        </is>
      </c>
      <c r="H14" t="inlineStr">
        <is>
          <t>18 Desember 2014</t>
        </is>
      </c>
      <c r="I14" s="2" t="n">
        <v>46221</v>
      </c>
      <c r="J14" t="inlineStr">
        <is>
          <t>Disetujui</t>
        </is>
      </c>
      <c r="K14" t="n">
        <v>30</v>
      </c>
      <c r="L14" t="inlineStr">
        <is>
          <t>18 Juli 2026</t>
        </is>
      </c>
      <c r="M14" t="inlineStr">
        <is>
          <t>Konstruksi Bangunan Sipil Pengolahan Air Bersih, Konstruksi Gedung Kesehatan, Konstruksi Gedung Perkantoran, Konstruksi Jaringan Irigasi dan Drainase</t>
        </is>
      </c>
      <c r="N14" t="inlineStr">
        <is>
          <t>K</t>
        </is>
      </c>
      <c r="O14" t="inlineStr">
        <is>
          <t>20230306, 20230717</t>
        </is>
      </c>
      <c r="P14" t="inlineStr">
        <is>
          <t>Banten</t>
        </is>
      </c>
      <c r="Q14" t="inlineStr"/>
    </row>
    <row r="15">
      <c r="A15" t="inlineStr">
        <is>
          <t>AMBAR AGUNG</t>
        </is>
      </c>
      <c r="B15" t="inlineStr">
        <is>
          <t>Kab. Banyumas</t>
        </is>
      </c>
      <c r="C15" t="inlineStr">
        <is>
          <t>0281631860</t>
        </is>
      </c>
      <c r="D15" t="inlineStr">
        <is>
          <t>ambaragung_cv@yahoo.co.id</t>
        </is>
      </c>
      <c r="E15" t="inlineStr">
        <is>
          <t>https://lpjk.pu.go.id/search-badan-usaha-detail/VjVDMXNTVTVjT2t5QmVabzQ3WkhCQT09</t>
        </is>
      </c>
      <c r="F15" t="n">
        <v>1</v>
      </c>
      <c r="G15" t="inlineStr">
        <is>
          <t>BG006</t>
        </is>
      </c>
      <c r="H15" t="inlineStr">
        <is>
          <t>12 November 1985</t>
        </is>
      </c>
      <c r="I15" s="2" t="n">
        <v>46221</v>
      </c>
      <c r="J15" t="inlineStr">
        <is>
          <t>Verifikasi Pembayaran</t>
        </is>
      </c>
      <c r="K15" t="n">
        <v>30</v>
      </c>
      <c r="L15" t="inlineStr">
        <is>
          <t>18 Juli 2026</t>
        </is>
      </c>
      <c r="M15" t="inlineStr">
        <is>
          <t>Konstruksi Gedung Pendidikan</t>
        </is>
      </c>
      <c r="N15" t="inlineStr">
        <is>
          <t>K</t>
        </is>
      </c>
      <c r="O15" t="inlineStr">
        <is>
          <t>20230712</t>
        </is>
      </c>
      <c r="P15" t="inlineStr">
        <is>
          <t>Jawa Tengah</t>
        </is>
      </c>
      <c r="Q15" t="inlineStr"/>
    </row>
    <row r="16">
      <c r="A16" t="inlineStr">
        <is>
          <t>ANINDIRA PUTRI PRATAMA</t>
        </is>
      </c>
      <c r="B16" t="inlineStr">
        <is>
          <t>Kota Ambon</t>
        </is>
      </c>
      <c r="C16" t="inlineStr">
        <is>
          <t>081252492326</t>
        </is>
      </c>
      <c r="D16" t="inlineStr">
        <is>
          <t>cv.anindirapp@gmail.com</t>
        </is>
      </c>
      <c r="E16" t="inlineStr">
        <is>
          <t>https://lpjk.pu.go.id/search-badan-usaha-detail/cGMvZS8yZ3NvZ1hBL2MxU0ZHamNydz09</t>
        </is>
      </c>
      <c r="F16" t="n">
        <v>1</v>
      </c>
      <c r="G16" t="inlineStr">
        <is>
          <t>BG002</t>
        </is>
      </c>
      <c r="H16" t="inlineStr">
        <is>
          <t>15 Maret 2023</t>
        </is>
      </c>
      <c r="I16" s="2" t="n">
        <v>46221</v>
      </c>
      <c r="J16" t="inlineStr">
        <is>
          <t>Disetujui</t>
        </is>
      </c>
      <c r="K16" t="n">
        <v>30</v>
      </c>
      <c r="L16" t="inlineStr">
        <is>
          <t>18 Juli 2026</t>
        </is>
      </c>
      <c r="M16" t="inlineStr">
        <is>
          <t>Konstruksi Gedung Perkantoran</t>
        </is>
      </c>
      <c r="N16" t="inlineStr">
        <is>
          <t>K</t>
        </is>
      </c>
      <c r="O16" t="inlineStr">
        <is>
          <t>20230717</t>
        </is>
      </c>
      <c r="P16" t="inlineStr">
        <is>
          <t>Maluku</t>
        </is>
      </c>
      <c r="Q16" t="inlineStr"/>
    </row>
    <row r="17">
      <c r="A17" t="inlineStr">
        <is>
          <t>ANINDITA KONSTRUKSI JAYA</t>
        </is>
      </c>
      <c r="B17" t="inlineStr">
        <is>
          <t>Kota Denpasar</t>
        </is>
      </c>
      <c r="C17" t="inlineStr">
        <is>
          <t>0361288691</t>
        </is>
      </c>
      <c r="D17" t="inlineStr">
        <is>
          <t>ptaninditakonstruksijaya@gmail.com</t>
        </is>
      </c>
      <c r="E17" t="inlineStr">
        <is>
          <t>https://lpjk.pu.go.id/search-badan-usaha-detail/L1RRcHNuOU02RC8rZDk0TXZvQ0RSdz09</t>
        </is>
      </c>
      <c r="F17" t="n">
        <v>1</v>
      </c>
      <c r="G17" t="inlineStr">
        <is>
          <t>BS004</t>
        </is>
      </c>
      <c r="H17" t="inlineStr">
        <is>
          <t>8 November 2019</t>
        </is>
      </c>
      <c r="I17" s="2" t="n">
        <v>46221</v>
      </c>
      <c r="J17" t="inlineStr">
        <is>
          <t>Disetujui</t>
        </is>
      </c>
      <c r="K17" t="n">
        <v>30</v>
      </c>
      <c r="L17" t="inlineStr">
        <is>
          <t>18 Juli 2026</t>
        </is>
      </c>
      <c r="M17" t="inlineStr">
        <is>
          <t>Konstruksi Jaringan Irigasi dan Drainase</t>
        </is>
      </c>
      <c r="N17" t="inlineStr">
        <is>
          <t>K</t>
        </is>
      </c>
      <c r="O17" t="inlineStr">
        <is>
          <t>20230713</t>
        </is>
      </c>
      <c r="P17" t="inlineStr">
        <is>
          <t>Bali</t>
        </is>
      </c>
      <c r="Q17" t="inlineStr"/>
    </row>
    <row r="18">
      <c r="A18" t="inlineStr">
        <is>
          <t>ANUGERAH JAYA</t>
        </is>
      </c>
      <c r="B18" t="inlineStr">
        <is>
          <t>Kab. Gunungkidul</t>
        </is>
      </c>
      <c r="C18" t="inlineStr">
        <is>
          <t>085927463338</t>
        </is>
      </c>
      <c r="D18" t="inlineStr">
        <is>
          <t>kusdiyantoeri@gmail.com</t>
        </is>
      </c>
      <c r="E18" t="inlineStr">
        <is>
          <t>https://lpjk.pu.go.id/search-badan-usaha-detail/NGd3WDhnalNaUXBQcTVSam5QR2Q5Zz09</t>
        </is>
      </c>
      <c r="F18" t="n">
        <v>2</v>
      </c>
      <c r="G18" t="inlineStr">
        <is>
          <t>BG008, BS001</t>
        </is>
      </c>
      <c r="H18" t="inlineStr">
        <is>
          <t>19 Oktober 2016</t>
        </is>
      </c>
      <c r="I18" s="2" t="n">
        <v>46221</v>
      </c>
      <c r="J18" t="inlineStr">
        <is>
          <t>Disetujui</t>
        </is>
      </c>
      <c r="K18" t="n">
        <v>30</v>
      </c>
      <c r="L18" t="inlineStr">
        <is>
          <t>18 Juli 2026</t>
        </is>
      </c>
      <c r="M18" t="inlineStr">
        <is>
          <t>Konstruksi Bangunan Sipil Jalan, Konstruksi Gedung Tempat Hiburan dan Olahraga</t>
        </is>
      </c>
      <c r="N18" t="inlineStr">
        <is>
          <t>K</t>
        </is>
      </c>
      <c r="O18" t="inlineStr">
        <is>
          <t>20230711</t>
        </is>
      </c>
      <c r="P18" t="inlineStr">
        <is>
          <t>DI Yogyakarta</t>
        </is>
      </c>
      <c r="Q18" t="inlineStr"/>
    </row>
    <row r="19">
      <c r="A19" t="inlineStr">
        <is>
          <t>ANUGRAH BRILIAN</t>
        </is>
      </c>
      <c r="B19" t="inlineStr">
        <is>
          <t>Kota Pangkal Pinang</t>
        </is>
      </c>
      <c r="C19" t="inlineStr">
        <is>
          <t>081273359554</t>
        </is>
      </c>
      <c r="D19" t="inlineStr">
        <is>
          <t>ngrhbrilian@gmail.com</t>
        </is>
      </c>
      <c r="E19" t="inlineStr">
        <is>
          <t>https://lpjk.pu.go.id/search-badan-usaha-detail/WlNxc1hYVTcwaW5kemRoeDVBMFNxZz09</t>
        </is>
      </c>
      <c r="F19" t="n">
        <v>2</v>
      </c>
      <c r="G19" t="inlineStr">
        <is>
          <t>BG009</t>
        </is>
      </c>
      <c r="H19" t="inlineStr">
        <is>
          <t>8 Desember 2016</t>
        </is>
      </c>
      <c r="I19" s="2" t="n">
        <v>46221</v>
      </c>
      <c r="J19" t="inlineStr">
        <is>
          <t>Disetujui</t>
        </is>
      </c>
      <c r="K19" t="n">
        <v>30</v>
      </c>
      <c r="L19" t="inlineStr">
        <is>
          <t>18 Juli 2026</t>
        </is>
      </c>
      <c r="M19" t="inlineStr">
        <is>
          <t>Konstruksi Gedung Lainnya</t>
        </is>
      </c>
      <c r="N19" t="inlineStr">
        <is>
          <t>K</t>
        </is>
      </c>
      <c r="O19" t="inlineStr">
        <is>
          <t>20230716</t>
        </is>
      </c>
      <c r="P19" t="inlineStr">
        <is>
          <t>Kepulauan Bangka Belitung</t>
        </is>
      </c>
      <c r="Q19" t="inlineStr"/>
    </row>
    <row r="20">
      <c r="A20" t="inlineStr">
        <is>
          <t>ANUGRAH SEJAHTERA</t>
        </is>
      </c>
      <c r="B20" t="inlineStr">
        <is>
          <t>Kab. Malinau</t>
        </is>
      </c>
      <c r="C20" t="inlineStr">
        <is>
          <t>082157999088</t>
        </is>
      </c>
      <c r="D20" t="inlineStr">
        <is>
          <t>cvanugrah.sejahtera@yahoo.co.id</t>
        </is>
      </c>
      <c r="E20" t="inlineStr">
        <is>
          <t>https://lpjk.pu.go.id/search-badan-usaha-detail/cWtxYkNkUC9MQitHSEtIdndaalV4UGRFYWg1TTM0ZmNkelR5RGZaYjBpVT0</t>
        </is>
      </c>
      <c r="F20" t="n">
        <v>1</v>
      </c>
      <c r="G20" t="inlineStr">
        <is>
          <t>BS002</t>
        </is>
      </c>
      <c r="H20" t="inlineStr">
        <is>
          <t>6 November 2021</t>
        </is>
      </c>
      <c r="I20" s="2" t="n">
        <v>46221</v>
      </c>
      <c r="J20" t="inlineStr">
        <is>
          <t>Verifikasi Pembayaran</t>
        </is>
      </c>
      <c r="K20" t="n">
        <v>30</v>
      </c>
      <c r="L20" t="inlineStr">
        <is>
          <t>18 Juli 2026</t>
        </is>
      </c>
      <c r="M20" t="inlineStr">
        <is>
          <t>Bangunan Sipil Jembatan, Jalan Layang, Fly Over, dan Underpass</t>
        </is>
      </c>
      <c r="N20" t="inlineStr">
        <is>
          <t>K</t>
        </is>
      </c>
      <c r="O20" t="inlineStr">
        <is>
          <t>20230718</t>
        </is>
      </c>
      <c r="P20" t="inlineStr">
        <is>
          <t>Kalimantan Utara</t>
        </is>
      </c>
      <c r="Q20" t="inlineStr"/>
    </row>
    <row r="21">
      <c r="A21" t="inlineStr">
        <is>
          <t>ARTHA LASTIAR</t>
        </is>
      </c>
      <c r="B21" t="inlineStr">
        <is>
          <t>Kab. Toba Samosir</t>
        </is>
      </c>
      <c r="C21" t="inlineStr">
        <is>
          <t>085276666671</t>
        </is>
      </c>
      <c r="D21" t="inlineStr">
        <is>
          <t>sianipartumbur13@gmail.com</t>
        </is>
      </c>
      <c r="E21" t="inlineStr">
        <is>
          <t>https://lpjk.pu.go.id/search-badan-usaha-detail/RUt2ODhzZThsSndISDZUZW9JWldhZz09</t>
        </is>
      </c>
      <c r="F21" t="n">
        <v>1</v>
      </c>
      <c r="G21" t="inlineStr">
        <is>
          <t>BS004</t>
        </is>
      </c>
      <c r="H21" t="inlineStr">
        <is>
          <t>17 September 2015</t>
        </is>
      </c>
      <c r="I21" s="2" t="n">
        <v>46221</v>
      </c>
      <c r="J21" t="inlineStr">
        <is>
          <t>Disetujui</t>
        </is>
      </c>
      <c r="K21" t="n">
        <v>30</v>
      </c>
      <c r="L21" t="inlineStr">
        <is>
          <t>18 Juli 2026</t>
        </is>
      </c>
      <c r="M21" t="inlineStr">
        <is>
          <t>Konstruksi Jaringan Irigasi dan Drainase</t>
        </is>
      </c>
      <c r="N21" t="inlineStr">
        <is>
          <t>K</t>
        </is>
      </c>
      <c r="O21" t="inlineStr">
        <is>
          <t>20230714</t>
        </is>
      </c>
      <c r="P21" t="inlineStr">
        <is>
          <t>Sumatera Utara</t>
        </is>
      </c>
      <c r="Q21" t="inlineStr"/>
    </row>
    <row r="22">
      <c r="A22" t="inlineStr">
        <is>
          <t>ASRI</t>
        </is>
      </c>
      <c r="B22" t="inlineStr">
        <is>
          <t>Kota Banjar</t>
        </is>
      </c>
      <c r="C22" t="inlineStr">
        <is>
          <t>082299024418</t>
        </is>
      </c>
      <c r="D22" t="inlineStr">
        <is>
          <t>asribjr@gmail.com</t>
        </is>
      </c>
      <c r="E22" t="inlineStr">
        <is>
          <t>https://lpjk.pu.go.id/search-badan-usaha-detail/WTB1VnN5ZFhZRGl5QnJzTVBza2F0OWtxcUJDYW5VRHhhNTFpbXkxVFVGVT0</t>
        </is>
      </c>
      <c r="F22" t="n">
        <v>2</v>
      </c>
      <c r="G22" t="inlineStr">
        <is>
          <t>BS001, BS004</t>
        </is>
      </c>
      <c r="H22" t="inlineStr">
        <is>
          <t>20 Juni 2023</t>
        </is>
      </c>
      <c r="I22" s="2" t="n">
        <v>46221</v>
      </c>
      <c r="J22" t="inlineStr">
        <is>
          <t>Disetujui, Dokumen Lengkap</t>
        </is>
      </c>
      <c r="K22" t="n">
        <v>30</v>
      </c>
      <c r="L22" t="inlineStr">
        <is>
          <t>18 Juli 2026</t>
        </is>
      </c>
      <c r="M22" t="inlineStr">
        <is>
          <t>Konstruksi Bangunan Sipil Jalan, Konstruksi Jaringan Irigasi dan Drainase</t>
        </is>
      </c>
      <c r="N22" t="inlineStr">
        <is>
          <t>K</t>
        </is>
      </c>
      <c r="O22" t="inlineStr">
        <is>
          <t>20230712</t>
        </is>
      </c>
      <c r="P22" t="inlineStr">
        <is>
          <t>Jawa Barat</t>
        </is>
      </c>
      <c r="Q22" t="inlineStr"/>
    </row>
    <row r="23">
      <c r="A23" t="inlineStr">
        <is>
          <t>ASTANA BERKAH BERSAMA</t>
        </is>
      </c>
      <c r="B23" t="inlineStr">
        <is>
          <t>Kab. Ngawi</t>
        </is>
      </c>
      <c r="C23" t="inlineStr">
        <is>
          <t>085792273163</t>
        </is>
      </c>
      <c r="D23" t="inlineStr">
        <is>
          <t>astanaberkahbersama@gmail.com</t>
        </is>
      </c>
      <c r="E23" t="inlineStr">
        <is>
          <t>https://lpjk.pu.go.id/search-badan-usaha-detail/LzVyZEllQTlOdzJndmtKUlpKRjloZz09</t>
        </is>
      </c>
      <c r="F23" t="n">
        <v>2</v>
      </c>
      <c r="G23" t="inlineStr">
        <is>
          <t>BG009</t>
        </is>
      </c>
      <c r="H23" t="inlineStr">
        <is>
          <t>24 Januari 2023</t>
        </is>
      </c>
      <c r="I23" s="2" t="n">
        <v>46221</v>
      </c>
      <c r="J23" t="inlineStr">
        <is>
          <t>Disetujui</t>
        </is>
      </c>
      <c r="K23" t="n">
        <v>30</v>
      </c>
      <c r="L23" t="inlineStr">
        <is>
          <t>18 Juli 2026</t>
        </is>
      </c>
      <c r="M23" t="inlineStr">
        <is>
          <t>Konstruksi Gedung Lainnya</t>
        </is>
      </c>
      <c r="N23" t="inlineStr">
        <is>
          <t>K</t>
        </is>
      </c>
      <c r="O23" t="inlineStr">
        <is>
          <t>20230717</t>
        </is>
      </c>
      <c r="P23" t="inlineStr">
        <is>
          <t>Jawa Timur</t>
        </is>
      </c>
      <c r="Q23" t="inlineStr"/>
    </row>
    <row r="24">
      <c r="A24" t="inlineStr">
        <is>
          <t>BIMA PUTRA</t>
        </is>
      </c>
      <c r="B24" t="inlineStr">
        <is>
          <t>Kab. Jember</t>
        </is>
      </c>
      <c r="C24" t="inlineStr">
        <is>
          <t>082139558339</t>
        </is>
      </c>
      <c r="D24" t="inlineStr">
        <is>
          <t>bimaputra_bp@yahoo.com</t>
        </is>
      </c>
      <c r="E24" t="inlineStr">
        <is>
          <t>https://lpjk.pu.go.id/search-badan-usaha-detail/TkZiNHRsdXp3QjNibG9XQmZYU21NZz09</t>
        </is>
      </c>
      <c r="F24" t="n">
        <v>1</v>
      </c>
      <c r="G24" t="inlineStr">
        <is>
          <t>BG005</t>
        </is>
      </c>
      <c r="H24" t="inlineStr">
        <is>
          <t>22 November 2006</t>
        </is>
      </c>
      <c r="I24" s="2" t="n">
        <v>46221</v>
      </c>
      <c r="J24" t="inlineStr">
        <is>
          <t>Pencabutan</t>
        </is>
      </c>
      <c r="K24" t="n">
        <v>30</v>
      </c>
      <c r="L24" t="inlineStr">
        <is>
          <t>18 Juli 2026</t>
        </is>
      </c>
      <c r="M24" t="inlineStr">
        <is>
          <t>Konstruksi Gedung Kesehatan</t>
        </is>
      </c>
      <c r="N24" t="inlineStr">
        <is>
          <t>K</t>
        </is>
      </c>
      <c r="O24" t="inlineStr">
        <is>
          <t>20230711</t>
        </is>
      </c>
      <c r="P24" t="inlineStr">
        <is>
          <t>Jawa Timur</t>
        </is>
      </c>
      <c r="Q24" t="inlineStr"/>
    </row>
    <row r="25">
      <c r="A25" t="inlineStr">
        <is>
          <t>BINAR KALASENJA</t>
        </is>
      </c>
      <c r="B25" t="inlineStr">
        <is>
          <t>Kab. Garut</t>
        </is>
      </c>
      <c r="C25" t="inlineStr">
        <is>
          <t>081313138766</t>
        </is>
      </c>
      <c r="D25" t="inlineStr">
        <is>
          <t>cvbinarkalasenja@gmail.com</t>
        </is>
      </c>
      <c r="E25" t="inlineStr">
        <is>
          <t>https://lpjk.pu.go.id/search-badan-usaha-detail/NzhVRC9DYVF5RGJNZ001WnczNmxmZz09</t>
        </is>
      </c>
      <c r="F25" t="n">
        <v>2</v>
      </c>
      <c r="G25" t="inlineStr">
        <is>
          <t>BS001</t>
        </is>
      </c>
      <c r="H25" t="inlineStr">
        <is>
          <t>25 September 2019</t>
        </is>
      </c>
      <c r="I25" s="2" t="n">
        <v>46221</v>
      </c>
      <c r="J25" t="inlineStr">
        <is>
          <t>Disetujui</t>
        </is>
      </c>
      <c r="K25" t="n">
        <v>30</v>
      </c>
      <c r="L25" t="inlineStr">
        <is>
          <t>18 Juli 2026</t>
        </is>
      </c>
      <c r="M25" t="inlineStr">
        <is>
          <t>Konstruksi Bangunan Sipil Jalan</t>
        </is>
      </c>
      <c r="N25" t="inlineStr">
        <is>
          <t>K</t>
        </is>
      </c>
      <c r="O25" t="inlineStr">
        <is>
          <t>20230714</t>
        </is>
      </c>
      <c r="P25" t="inlineStr">
        <is>
          <t>Jawa Barat</t>
        </is>
      </c>
      <c r="Q25" t="inlineStr"/>
    </row>
    <row r="26">
      <c r="A26" t="inlineStr">
        <is>
          <t>BINTANG GALAXY</t>
        </is>
      </c>
      <c r="B26" t="inlineStr">
        <is>
          <t>Kab. Lamongan</t>
        </is>
      </c>
      <c r="C26" t="inlineStr">
        <is>
          <t>081230695297</t>
        </is>
      </c>
      <c r="D26" t="inlineStr">
        <is>
          <t>b_galaxy@ymail.com</t>
        </is>
      </c>
      <c r="E26" t="inlineStr">
        <is>
          <t>https://lpjk.pu.go.id/search-badan-usaha-detail/SEl4MnZ0WENGNnZtV0xQQm4zMHFVZz09</t>
        </is>
      </c>
      <c r="F26" t="n">
        <v>2</v>
      </c>
      <c r="G26" t="inlineStr">
        <is>
          <t>BS004</t>
        </is>
      </c>
      <c r="H26" t="inlineStr">
        <is>
          <t>26 Juli 2007</t>
        </is>
      </c>
      <c r="I26" s="2" t="n">
        <v>46221</v>
      </c>
      <c r="J26" t="inlineStr">
        <is>
          <t>Disetujui</t>
        </is>
      </c>
      <c r="K26" t="n">
        <v>30</v>
      </c>
      <c r="L26" t="inlineStr">
        <is>
          <t>18 Juli 2026</t>
        </is>
      </c>
      <c r="M26" t="inlineStr">
        <is>
          <t>Konstruksi Jaringan Irigasi dan Drainase</t>
        </is>
      </c>
      <c r="N26" t="inlineStr">
        <is>
          <t>K</t>
        </is>
      </c>
      <c r="O26" t="inlineStr">
        <is>
          <t>20230711</t>
        </is>
      </c>
      <c r="P26" t="inlineStr">
        <is>
          <t>Jawa Timur</t>
        </is>
      </c>
      <c r="Q26" t="inlineStr"/>
    </row>
    <row r="27">
      <c r="A27" t="inlineStr">
        <is>
          <t>BINTANG HARAPAN</t>
        </is>
      </c>
      <c r="B27" t="inlineStr">
        <is>
          <t>Kab. Magelang</t>
        </is>
      </c>
      <c r="C27" t="inlineStr">
        <is>
          <t>081391130019</t>
        </is>
      </c>
      <c r="D27" t="inlineStr">
        <is>
          <t>bintangharapan66@gmail.com</t>
        </is>
      </c>
      <c r="E27" t="inlineStr">
        <is>
          <t>https://lpjk.pu.go.id/search-badan-usaha-detail/dU54MHduSlFHdnc0MFlQWXBESHpFUT09</t>
        </is>
      </c>
      <c r="F27" t="n">
        <v>10</v>
      </c>
      <c r="G27" t="inlineStr">
        <is>
          <t>BG001, BG002, BG005, BG006, BG009</t>
        </is>
      </c>
      <c r="H27" t="inlineStr">
        <is>
          <t>14 Maret 2012</t>
        </is>
      </c>
      <c r="I27" s="2" t="n">
        <v>46221</v>
      </c>
      <c r="J27" t="inlineStr">
        <is>
          <t>Disetujui</t>
        </is>
      </c>
      <c r="K27" t="n">
        <v>30</v>
      </c>
      <c r="L27" t="inlineStr">
        <is>
          <t>18 Juli 2026</t>
        </is>
      </c>
      <c r="M27" t="inlineStr">
        <is>
          <t>Konstruksi Gedung Hunian, Konstruksi Gedung Kesehatan, Konstruksi Gedung Lainnya, Konstruksi Gedung Pendidikan, Konstruksi Gedung Perkantoran</t>
        </is>
      </c>
      <c r="N27" t="inlineStr">
        <is>
          <t>K</t>
        </is>
      </c>
      <c r="O27" t="inlineStr">
        <is>
          <t>20230717</t>
        </is>
      </c>
      <c r="P27" t="inlineStr">
        <is>
          <t>Jawa Tengah</t>
        </is>
      </c>
      <c r="Q27" t="inlineStr"/>
    </row>
    <row r="28">
      <c r="A28" t="inlineStr">
        <is>
          <t>BUMI BERINGIN INDAH</t>
        </is>
      </c>
      <c r="B28" t="inlineStr">
        <is>
          <t>Kota Pekanbaru</t>
        </is>
      </c>
      <c r="C28" t="inlineStr">
        <is>
          <t>085374588868</t>
        </is>
      </c>
      <c r="D28" t="inlineStr">
        <is>
          <t>cvbumiberinginindah@gmail.com</t>
        </is>
      </c>
      <c r="E28" t="inlineStr">
        <is>
          <t>https://lpjk.pu.go.id/search-badan-usaha-detail/Vndpajh1a1U5MCt6anFpTW91dWcvQT09</t>
        </is>
      </c>
      <c r="F28" t="n">
        <v>1</v>
      </c>
      <c r="G28" t="inlineStr">
        <is>
          <t>BS005</t>
        </is>
      </c>
      <c r="H28" t="inlineStr">
        <is>
          <t>12 Desember 2022</t>
        </is>
      </c>
      <c r="I28" s="2" t="n">
        <v>46221</v>
      </c>
      <c r="J28" t="inlineStr">
        <is>
          <t>Pencabutan</t>
        </is>
      </c>
      <c r="K28" t="n">
        <v>30</v>
      </c>
      <c r="L28" t="inlineStr">
        <is>
          <t>18 Juli 2026</t>
        </is>
      </c>
      <c r="M28" t="inlineStr">
        <is>
          <t>Konstruksi Bangunan Sipil Pengolahan Air Bersih</t>
        </is>
      </c>
      <c r="N28" t="inlineStr">
        <is>
          <t>K</t>
        </is>
      </c>
      <c r="O28" t="inlineStr">
        <is>
          <t>20221223</t>
        </is>
      </c>
      <c r="P28" t="inlineStr">
        <is>
          <t>Riau</t>
        </is>
      </c>
      <c r="Q28" t="inlineStr"/>
    </row>
    <row r="29">
      <c r="A29" t="inlineStr">
        <is>
          <t>BUNGA MUTIARA</t>
        </is>
      </c>
      <c r="B29" t="inlineStr">
        <is>
          <t>Kota Bandar Lampung</t>
        </is>
      </c>
      <c r="C29" t="inlineStr">
        <is>
          <t>081379831041</t>
        </is>
      </c>
      <c r="D29" t="inlineStr">
        <is>
          <t>bungamutiaracv@yahoo.com</t>
        </is>
      </c>
      <c r="E29" t="inlineStr">
        <is>
          <t>https://lpjk.pu.go.id/search-badan-usaha-detail/V1hHNDFBdzRjTVl3VG14em1PNzdhQT09</t>
        </is>
      </c>
      <c r="F29" t="n">
        <v>2</v>
      </c>
      <c r="G29" t="inlineStr">
        <is>
          <t>BG002, BG006</t>
        </is>
      </c>
      <c r="H29" t="inlineStr">
        <is>
          <t>11 Maret 2020</t>
        </is>
      </c>
      <c r="I29" s="2" t="n">
        <v>46221</v>
      </c>
      <c r="J29" t="inlineStr">
        <is>
          <t>Disetujui</t>
        </is>
      </c>
      <c r="K29" t="n">
        <v>30</v>
      </c>
      <c r="L29" t="inlineStr">
        <is>
          <t>18 Juli 2026</t>
        </is>
      </c>
      <c r="M29" t="inlineStr">
        <is>
          <t>Konstruksi Gedung Pendidikan, Konstruksi Gedung Perkantoran</t>
        </is>
      </c>
      <c r="N29" t="inlineStr">
        <is>
          <t>K</t>
        </is>
      </c>
      <c r="O29" t="inlineStr">
        <is>
          <t>20230718</t>
        </is>
      </c>
      <c r="P29" t="inlineStr">
        <is>
          <t>Lampung</t>
        </is>
      </c>
      <c r="Q29" t="inlineStr"/>
    </row>
    <row r="30">
      <c r="A30" t="inlineStr">
        <is>
          <t>CANDRA KENCANA</t>
        </is>
      </c>
      <c r="B30" t="inlineStr">
        <is>
          <t>Kota Adm. Jakarta Utara</t>
        </is>
      </c>
      <c r="C30" t="inlineStr">
        <is>
          <t>08161143792</t>
        </is>
      </c>
      <c r="D30" t="inlineStr">
        <is>
          <t>candrakencanapjk@yahoo.com</t>
        </is>
      </c>
      <c r="E30" t="inlineStr">
        <is>
          <t>https://lpjk.pu.go.id/search-badan-usaha-detail/UkhZcENoa1ZPandWRTFRNFdIY2o0dz09</t>
        </is>
      </c>
      <c r="F30" t="n">
        <v>1</v>
      </c>
      <c r="G30" t="inlineStr">
        <is>
          <t>BG001</t>
        </is>
      </c>
      <c r="H30" t="inlineStr">
        <is>
          <t>29 Maret 2006</t>
        </is>
      </c>
      <c r="I30" s="2" t="n">
        <v>46221</v>
      </c>
      <c r="J30" t="inlineStr">
        <is>
          <t>Disetujui</t>
        </is>
      </c>
      <c r="K30" t="n">
        <v>30</v>
      </c>
      <c r="L30" t="inlineStr">
        <is>
          <t>18 Juli 2026</t>
        </is>
      </c>
      <c r="M30" t="inlineStr">
        <is>
          <t>Konstruksi Gedung Hunian</t>
        </is>
      </c>
      <c r="N30" t="inlineStr">
        <is>
          <t>K</t>
        </is>
      </c>
      <c r="O30" t="inlineStr">
        <is>
          <t>20230712</t>
        </is>
      </c>
      <c r="P30" t="inlineStr">
        <is>
          <t>DKI Jakarta</t>
        </is>
      </c>
      <c r="Q30" t="inlineStr"/>
    </row>
    <row r="31">
      <c r="A31" t="inlineStr">
        <is>
          <t>CITRA SUBUR</t>
        </is>
      </c>
      <c r="B31" t="inlineStr">
        <is>
          <t>Kab. Padang Pariaman</t>
        </is>
      </c>
      <c r="C31" t="inlineStr">
        <is>
          <t>08126733425</t>
        </is>
      </c>
      <c r="D31" t="inlineStr">
        <is>
          <t>suburcitra@gmail.com</t>
        </is>
      </c>
      <c r="E31" t="inlineStr">
        <is>
          <t>https://lpjk.pu.go.id/search-badan-usaha-detail/TnhFZTMzMTlKZU4wWUZxM1R6YkJTUT09</t>
        </is>
      </c>
      <c r="F31" t="n">
        <v>1</v>
      </c>
      <c r="G31" t="inlineStr">
        <is>
          <t>BS001</t>
        </is>
      </c>
      <c r="H31" t="inlineStr">
        <is>
          <t>5 Februari 1981</t>
        </is>
      </c>
      <c r="I31" s="2" t="n">
        <v>46221</v>
      </c>
      <c r="J31" t="inlineStr">
        <is>
          <t>Pencabutan</t>
        </is>
      </c>
      <c r="K31" t="n">
        <v>30</v>
      </c>
      <c r="L31" t="inlineStr">
        <is>
          <t>18 Juli 2026</t>
        </is>
      </c>
      <c r="M31" t="inlineStr">
        <is>
          <t>Konstruksi Bangunan Sipil Jalan</t>
        </is>
      </c>
      <c r="N31" t="inlineStr">
        <is>
          <t>K</t>
        </is>
      </c>
      <c r="O31" t="inlineStr">
        <is>
          <t>20230717</t>
        </is>
      </c>
      <c r="P31" t="inlineStr">
        <is>
          <t>Sumatera Barat</t>
        </is>
      </c>
      <c r="Q31" t="inlineStr"/>
    </row>
    <row r="32">
      <c r="A32" t="inlineStr">
        <is>
          <t>DUA ANAK TERBUANG</t>
        </is>
      </c>
      <c r="B32" t="inlineStr">
        <is>
          <t>Kab. Manokwari</t>
        </is>
      </c>
      <c r="C32" t="inlineStr">
        <is>
          <t>081248438885</t>
        </is>
      </c>
      <c r="D32" t="inlineStr">
        <is>
          <t>cvduaanakterbuang@gmail.com</t>
        </is>
      </c>
      <c r="E32" t="inlineStr">
        <is>
          <t>https://lpjk.pu.go.id/search-badan-usaha-detail/WEVNUWtLOUQxSExuYTZtWStyOHU1UT09</t>
        </is>
      </c>
      <c r="F32" t="n">
        <v>1</v>
      </c>
      <c r="G32" t="inlineStr">
        <is>
          <t>BS001</t>
        </is>
      </c>
      <c r="H32" t="inlineStr">
        <is>
          <t>8 Juli 2023</t>
        </is>
      </c>
      <c r="I32" s="2" t="n">
        <v>46221</v>
      </c>
      <c r="J32" t="inlineStr">
        <is>
          <t>Pencabutan</t>
        </is>
      </c>
      <c r="K32" t="n">
        <v>30</v>
      </c>
      <c r="L32" t="inlineStr">
        <is>
          <t>18 Juli 2026</t>
        </is>
      </c>
      <c r="M32" t="inlineStr">
        <is>
          <t>Konstruksi Bangunan Sipil Jalan</t>
        </is>
      </c>
      <c r="N32" t="inlineStr">
        <is>
          <t>K</t>
        </is>
      </c>
      <c r="O32" t="inlineStr">
        <is>
          <t>20230714</t>
        </is>
      </c>
      <c r="P32" t="inlineStr">
        <is>
          <t>Papua Barat</t>
        </is>
      </c>
      <c r="Q32" t="inlineStr"/>
    </row>
    <row r="33">
      <c r="A33" t="inlineStr">
        <is>
          <t>FATHONAH</t>
        </is>
      </c>
      <c r="B33" t="inlineStr">
        <is>
          <t>Kab. Bangkalan</t>
        </is>
      </c>
      <c r="C33" t="inlineStr">
        <is>
          <t>082141585888</t>
        </is>
      </c>
      <c r="D33" t="inlineStr">
        <is>
          <t>cv.fathonah2018@yahoo.com</t>
        </is>
      </c>
      <c r="E33" t="inlineStr">
        <is>
          <t>https://lpjk.pu.go.id/search-badan-usaha-detail/WERmNzN5VGxsdk9QRmhyWHRoY2FMUT09</t>
        </is>
      </c>
      <c r="F33" t="n">
        <v>4</v>
      </c>
      <c r="G33" t="inlineStr">
        <is>
          <t>BG004, BG005, BG006, BG009</t>
        </is>
      </c>
      <c r="H33" t="inlineStr">
        <is>
          <t>20 November 1991</t>
        </is>
      </c>
      <c r="I33" s="2" t="n">
        <v>46221</v>
      </c>
      <c r="J33" t="inlineStr">
        <is>
          <t>Disetujui</t>
        </is>
      </c>
      <c r="K33" t="n">
        <v>30</v>
      </c>
      <c r="L33" t="inlineStr">
        <is>
          <t>18 Juli 2026</t>
        </is>
      </c>
      <c r="M33" t="inlineStr">
        <is>
          <t>Konstruksi Gedung Kesehatan, Konstruksi Gedung Lainnya, Konstruksi Gedung Pendidikan, Konstruksi Gedung Perbelanjaan</t>
        </is>
      </c>
      <c r="N33" t="inlineStr">
        <is>
          <t>K</t>
        </is>
      </c>
      <c r="O33" t="inlineStr">
        <is>
          <t>20230714</t>
        </is>
      </c>
      <c r="P33" t="inlineStr">
        <is>
          <t>Jawa Timur</t>
        </is>
      </c>
      <c r="Q33" t="inlineStr"/>
    </row>
    <row r="34">
      <c r="A34" t="inlineStr">
        <is>
          <t>FUAD RIDWAN</t>
        </is>
      </c>
      <c r="B34" t="inlineStr">
        <is>
          <t>Kab. Takalar</t>
        </is>
      </c>
      <c r="C34" t="inlineStr">
        <is>
          <t>085299795878</t>
        </is>
      </c>
      <c r="D34" t="inlineStr">
        <is>
          <t>cv.fuad.ridwan@gmail.com</t>
        </is>
      </c>
      <c r="E34" t="inlineStr">
        <is>
          <t>https://lpjk.pu.go.id/search-badan-usaha-detail/TUJWZjZmcTA3K1RqalUrVndNT0JKZz09</t>
        </is>
      </c>
      <c r="F34" t="n">
        <v>1</v>
      </c>
      <c r="G34" t="inlineStr">
        <is>
          <t>BS004</t>
        </is>
      </c>
      <c r="H34" t="inlineStr">
        <is>
          <t>8 Juni 2023</t>
        </is>
      </c>
      <c r="I34" s="2" t="n">
        <v>46221</v>
      </c>
      <c r="J34" t="inlineStr">
        <is>
          <t>Disetujui</t>
        </is>
      </c>
      <c r="K34" t="n">
        <v>30</v>
      </c>
      <c r="L34" t="inlineStr">
        <is>
          <t>18 Juli 2026</t>
        </is>
      </c>
      <c r="M34" t="inlineStr">
        <is>
          <t>Konstruksi Jaringan Irigasi dan Drainase</t>
        </is>
      </c>
      <c r="N34" t="inlineStr">
        <is>
          <t>K</t>
        </is>
      </c>
      <c r="O34" t="inlineStr">
        <is>
          <t>20230703</t>
        </is>
      </c>
      <c r="P34" t="inlineStr">
        <is>
          <t>Sulawesi Selatan</t>
        </is>
      </c>
      <c r="Q34" t="inlineStr"/>
    </row>
    <row r="35">
      <c r="A35" t="inlineStr">
        <is>
          <t>GIRI PUTRI SEJATI</t>
        </is>
      </c>
      <c r="B35" t="inlineStr">
        <is>
          <t>Kota Kendari</t>
        </is>
      </c>
      <c r="C35" t="inlineStr">
        <is>
          <t>085299446705</t>
        </is>
      </c>
      <c r="D35" t="inlineStr">
        <is>
          <t>cv.giri@yahoo.com</t>
        </is>
      </c>
      <c r="E35" t="inlineStr">
        <is>
          <t>https://lpjk.pu.go.id/search-badan-usaha-detail/MnRESEIxM0UvYXFzOVhnQkhXNXpkdz09</t>
        </is>
      </c>
      <c r="F35" t="n">
        <v>1</v>
      </c>
      <c r="G35" t="inlineStr">
        <is>
          <t>BS004</t>
        </is>
      </c>
      <c r="H35" t="inlineStr">
        <is>
          <t>1 Juli 2000</t>
        </is>
      </c>
      <c r="I35" s="2" t="n">
        <v>46221</v>
      </c>
      <c r="J35" t="inlineStr">
        <is>
          <t>Disetujui</t>
        </is>
      </c>
      <c r="K35" t="n">
        <v>30</v>
      </c>
      <c r="L35" t="inlineStr">
        <is>
          <t>18 Juli 2026</t>
        </is>
      </c>
      <c r="M35" t="inlineStr">
        <is>
          <t>Konstruksi Jaringan Irigasi dan Drainase</t>
        </is>
      </c>
      <c r="N35" t="inlineStr">
        <is>
          <t>K</t>
        </is>
      </c>
      <c r="O35" t="inlineStr">
        <is>
          <t>20230712</t>
        </is>
      </c>
      <c r="P35" t="inlineStr">
        <is>
          <t>Sulawesi Tenggara</t>
        </is>
      </c>
      <c r="Q35" t="inlineStr"/>
    </row>
    <row r="36">
      <c r="A36" t="inlineStr">
        <is>
          <t>HARAPAN KARYA PERKASA</t>
        </is>
      </c>
      <c r="B36" t="inlineStr">
        <is>
          <t>Kab. Karanganyar</t>
        </is>
      </c>
      <c r="C36" t="inlineStr">
        <is>
          <t>02714992423</t>
        </is>
      </c>
      <c r="D36" t="inlineStr">
        <is>
          <t>harapankaryaperkasa17@gmail.com</t>
        </is>
      </c>
      <c r="E36" t="inlineStr">
        <is>
          <t>https://lpjk.pu.go.id/search-badan-usaha-detail/MzBtSWVxTFM5Q2lpcFpMeSs2eXVkdz09</t>
        </is>
      </c>
      <c r="F36" t="n">
        <v>1</v>
      </c>
      <c r="G36" t="inlineStr">
        <is>
          <t>BS005</t>
        </is>
      </c>
      <c r="H36" t="inlineStr">
        <is>
          <t>19 Mei 2023</t>
        </is>
      </c>
      <c r="I36" s="2" t="n">
        <v>46221</v>
      </c>
      <c r="J36" t="inlineStr">
        <is>
          <t>Disetujui</t>
        </is>
      </c>
      <c r="K36" t="n">
        <v>30</v>
      </c>
      <c r="L36" t="inlineStr">
        <is>
          <t>18 Juli 2026</t>
        </is>
      </c>
      <c r="M36" t="inlineStr">
        <is>
          <t>Konstruksi Bangunan Sipil Pengolahan Air Bersih</t>
        </is>
      </c>
      <c r="N36" t="inlineStr">
        <is>
          <t>K</t>
        </is>
      </c>
      <c r="O36" t="inlineStr">
        <is>
          <t>20230718</t>
        </is>
      </c>
      <c r="P36" t="inlineStr">
        <is>
          <t>Jawa Tengah</t>
        </is>
      </c>
      <c r="Q36" t="inlineStr"/>
    </row>
    <row r="37">
      <c r="A37" t="inlineStr">
        <is>
          <t>HARYA JAYA</t>
        </is>
      </c>
      <c r="B37" t="inlineStr">
        <is>
          <t>Kota Adm. Jakarta Selatan</t>
        </is>
      </c>
      <c r="C37" t="inlineStr">
        <is>
          <t>08128755414</t>
        </is>
      </c>
      <c r="D37" t="inlineStr">
        <is>
          <t>haryajay.cv@gmail.com</t>
        </is>
      </c>
      <c r="E37" t="inlineStr">
        <is>
          <t>https://lpjk.pu.go.id/search-badan-usaha-detail/bGpDVEpiR3BSWXJSbjBCMTdxZHJIQT09</t>
        </is>
      </c>
      <c r="F37" t="n">
        <v>1</v>
      </c>
      <c r="G37" t="inlineStr">
        <is>
          <t>BG006</t>
        </is>
      </c>
      <c r="H37" t="inlineStr">
        <is>
          <t>1 Oktober 2020</t>
        </is>
      </c>
      <c r="I37" s="2" t="n">
        <v>46221</v>
      </c>
      <c r="J37" t="inlineStr">
        <is>
          <t>Disetujui</t>
        </is>
      </c>
      <c r="K37" t="n">
        <v>30</v>
      </c>
      <c r="L37" t="inlineStr">
        <is>
          <t>18 Juli 2026</t>
        </is>
      </c>
      <c r="M37" t="inlineStr">
        <is>
          <t>Konstruksi Gedung Pendidikan</t>
        </is>
      </c>
      <c r="N37" t="inlineStr">
        <is>
          <t>K</t>
        </is>
      </c>
      <c r="O37" t="inlineStr">
        <is>
          <t>20230711</t>
        </is>
      </c>
      <c r="P37" t="inlineStr">
        <is>
          <t>DKI Jakarta</t>
        </is>
      </c>
      <c r="Q37" t="inlineStr"/>
    </row>
    <row r="38">
      <c r="A38" t="inlineStr">
        <is>
          <t>HASIL BUMI</t>
        </is>
      </c>
      <c r="B38" t="inlineStr">
        <is>
          <t>Kab. Cilacap</t>
        </is>
      </c>
      <c r="C38" t="inlineStr">
        <is>
          <t>082137456522</t>
        </is>
      </c>
      <c r="D38" t="inlineStr">
        <is>
          <t>hasil_bumi81@yahoo.co.id</t>
        </is>
      </c>
      <c r="E38" t="inlineStr">
        <is>
          <t>https://lpjk.pu.go.id/search-badan-usaha-detail/bE5lN2E1cVRzMnFiSEJRdTIxYytZdz09</t>
        </is>
      </c>
      <c r="F38" t="n">
        <v>2</v>
      </c>
      <c r="G38" t="inlineStr">
        <is>
          <t>BG005, BG006</t>
        </is>
      </c>
      <c r="H38" t="inlineStr">
        <is>
          <t>22 Oktober 1986</t>
        </is>
      </c>
      <c r="I38" s="2" t="n">
        <v>46221</v>
      </c>
      <c r="J38" t="inlineStr">
        <is>
          <t>Disetujui</t>
        </is>
      </c>
      <c r="K38" t="n">
        <v>30</v>
      </c>
      <c r="L38" t="inlineStr">
        <is>
          <t>18 Juli 2026</t>
        </is>
      </c>
      <c r="M38" t="inlineStr">
        <is>
          <t>Konstruksi Gedung Kesehatan, Konstruksi Gedung Pendidikan</t>
        </is>
      </c>
      <c r="N38" t="inlineStr">
        <is>
          <t>K</t>
        </is>
      </c>
      <c r="O38" t="inlineStr">
        <is>
          <t>20230718</t>
        </is>
      </c>
      <c r="P38" t="inlineStr">
        <is>
          <t>Jawa Tengah</t>
        </is>
      </c>
      <c r="Q38" t="inlineStr"/>
    </row>
    <row r="39">
      <c r="A39" t="inlineStr">
        <is>
          <t>HASRAT BERKARYA KONSTRUKSI</t>
        </is>
      </c>
      <c r="B39" t="inlineStr">
        <is>
          <t>Kota Jayapura</t>
        </is>
      </c>
      <c r="C39" t="inlineStr">
        <is>
          <t>0</t>
        </is>
      </c>
      <c r="D39" t="inlineStr">
        <is>
          <t>pthasratberkaryakonstruksi20@gmail.com</t>
        </is>
      </c>
      <c r="E39" t="inlineStr">
        <is>
          <t>https://lpjk.pu.go.id/search-badan-usaha-detail/T3hxUXpkOEQ0bEdWUVpLSkoxNm44QT09</t>
        </is>
      </c>
      <c r="F39" t="n">
        <v>1</v>
      </c>
      <c r="G39" t="inlineStr">
        <is>
          <t>BS005</t>
        </is>
      </c>
      <c r="H39" t="inlineStr">
        <is>
          <t>7 Februari 2007</t>
        </is>
      </c>
      <c r="I39" s="2" t="n">
        <v>46221</v>
      </c>
      <c r="J39" t="inlineStr">
        <is>
          <t>Disetujui</t>
        </is>
      </c>
      <c r="K39" t="n">
        <v>30</v>
      </c>
      <c r="L39" t="inlineStr">
        <is>
          <t>18 Juli 2026</t>
        </is>
      </c>
      <c r="M39" t="inlineStr">
        <is>
          <t>Konstruksi Bangunan Sipil Pengolahan Air Bersih</t>
        </is>
      </c>
      <c r="N39" t="inlineStr">
        <is>
          <t>M</t>
        </is>
      </c>
      <c r="O39" t="inlineStr">
        <is>
          <t>20230627</t>
        </is>
      </c>
      <c r="P39" t="inlineStr">
        <is>
          <t>Papua</t>
        </is>
      </c>
      <c r="Q39" t="inlineStr"/>
    </row>
    <row r="40">
      <c r="A40" t="inlineStr">
        <is>
          <t>HIDAYAH</t>
        </is>
      </c>
      <c r="B40" t="inlineStr">
        <is>
          <t>Kab. Flores Timur</t>
        </is>
      </c>
      <c r="C40" t="inlineStr">
        <is>
          <t>08123694526</t>
        </is>
      </c>
      <c r="D40" t="inlineStr">
        <is>
          <t>muhammadsyamsudin0870@gmail.com</t>
        </is>
      </c>
      <c r="E40" t="inlineStr">
        <is>
          <t>https://lpjk.pu.go.id/search-badan-usaha-detail/b0tWU291NHRsRUhzWE83OWxDYnlHdz09</t>
        </is>
      </c>
      <c r="F40" t="n">
        <v>1</v>
      </c>
      <c r="G40" t="inlineStr">
        <is>
          <t>BG006</t>
        </is>
      </c>
      <c r="H40" t="inlineStr">
        <is>
          <t>9 September 2006</t>
        </is>
      </c>
      <c r="I40" s="2" t="n">
        <v>46221</v>
      </c>
      <c r="J40" t="inlineStr">
        <is>
          <t>Disetujui</t>
        </is>
      </c>
      <c r="K40" t="n">
        <v>30</v>
      </c>
      <c r="L40" t="inlineStr">
        <is>
          <t>18 Juli 2026</t>
        </is>
      </c>
      <c r="M40" t="inlineStr">
        <is>
          <t>Konstruksi Gedung Pendidikan</t>
        </is>
      </c>
      <c r="N40" t="inlineStr">
        <is>
          <t>K</t>
        </is>
      </c>
      <c r="O40" t="inlineStr">
        <is>
          <t>20230716</t>
        </is>
      </c>
      <c r="P40" t="inlineStr">
        <is>
          <t>Nusa Tenggara Timur</t>
        </is>
      </c>
      <c r="Q40" t="inlineStr"/>
    </row>
    <row r="41">
      <c r="A41" t="inlineStr">
        <is>
          <t>INDAH TEHNIKA</t>
        </is>
      </c>
      <c r="B41" t="inlineStr">
        <is>
          <t>Kab. Bondowoso</t>
        </is>
      </c>
      <c r="C41" t="inlineStr">
        <is>
          <t>085648548387</t>
        </is>
      </c>
      <c r="D41" t="inlineStr">
        <is>
          <t>Indahtehnika@gmail.com</t>
        </is>
      </c>
      <c r="E41" t="inlineStr">
        <is>
          <t>https://lpjk.pu.go.id/search-badan-usaha-detail/aWo4UjY5bTFEWHZaZTl1RlY1eUJFdz09</t>
        </is>
      </c>
      <c r="F41" t="n">
        <v>1</v>
      </c>
      <c r="G41" t="inlineStr">
        <is>
          <t>BS001</t>
        </is>
      </c>
      <c r="H41" t="inlineStr">
        <is>
          <t>24 September 1993</t>
        </is>
      </c>
      <c r="I41" s="2" t="n">
        <v>46221</v>
      </c>
      <c r="J41" t="inlineStr">
        <is>
          <t>Disetujui</t>
        </is>
      </c>
      <c r="K41" t="n">
        <v>30</v>
      </c>
      <c r="L41" t="inlineStr">
        <is>
          <t>18 Juli 2026</t>
        </is>
      </c>
      <c r="M41" t="inlineStr">
        <is>
          <t>Konstruksi Bangunan Sipil Jalan</t>
        </is>
      </c>
      <c r="N41" t="inlineStr">
        <is>
          <t>K</t>
        </is>
      </c>
      <c r="O41" t="inlineStr">
        <is>
          <t>20230704</t>
        </is>
      </c>
      <c r="P41" t="inlineStr">
        <is>
          <t>Jawa Timur</t>
        </is>
      </c>
      <c r="Q41" t="inlineStr"/>
    </row>
    <row r="42">
      <c r="A42" t="inlineStr">
        <is>
          <t>INSAN KREATIF</t>
        </is>
      </c>
      <c r="B42" t="inlineStr">
        <is>
          <t>Kota Mataram</t>
        </is>
      </c>
      <c r="C42" t="inlineStr">
        <is>
          <t>081805204083</t>
        </is>
      </c>
      <c r="D42" t="inlineStr">
        <is>
          <t>cv.inkreat@gmail.com</t>
        </is>
      </c>
      <c r="E42" t="inlineStr">
        <is>
          <t>https://lpjk.pu.go.id/search-badan-usaha-detail/RndNWXRQeW9nQ1ZVUmdhWHB5eEpuZz09</t>
        </is>
      </c>
      <c r="F42" t="n">
        <v>2</v>
      </c>
      <c r="G42" t="inlineStr">
        <is>
          <t>BG002, BG005</t>
        </is>
      </c>
      <c r="H42" t="inlineStr">
        <is>
          <t>22 Juni 2012</t>
        </is>
      </c>
      <c r="I42" s="2" t="n">
        <v>46221</v>
      </c>
      <c r="J42" t="inlineStr">
        <is>
          <t>Disetujui</t>
        </is>
      </c>
      <c r="K42" t="n">
        <v>30</v>
      </c>
      <c r="L42" t="inlineStr">
        <is>
          <t>18 Juli 2026</t>
        </is>
      </c>
      <c r="M42" t="inlineStr">
        <is>
          <t>Konstruksi Gedung Kesehatan, Konstruksi Gedung Perkantoran</t>
        </is>
      </c>
      <c r="N42" t="inlineStr">
        <is>
          <t>K</t>
        </is>
      </c>
      <c r="O42" t="inlineStr">
        <is>
          <t>20230717</t>
        </is>
      </c>
      <c r="P42" t="inlineStr">
        <is>
          <t>Nusa Tenggara Barat</t>
        </is>
      </c>
      <c r="Q42" t="inlineStr"/>
    </row>
    <row r="43">
      <c r="A43" t="inlineStr">
        <is>
          <t>JANUARI MITRA SEJATI</t>
        </is>
      </c>
      <c r="B43" t="inlineStr">
        <is>
          <t>Kota Jambi</t>
        </is>
      </c>
      <c r="C43" t="inlineStr">
        <is>
          <t>-</t>
        </is>
      </c>
      <c r="D43" t="inlineStr">
        <is>
          <t>Cv.januarimitrasejati@ymail.com</t>
        </is>
      </c>
      <c r="E43" t="inlineStr">
        <is>
          <t>https://lpjk.pu.go.id/search-badan-usaha-detail/WkNGOUNKRmlKYldmeGpCc25lVnVuQT09</t>
        </is>
      </c>
      <c r="F43" t="n">
        <v>4</v>
      </c>
      <c r="G43" t="inlineStr">
        <is>
          <t>BG002, BG004, BG005, BG009</t>
        </is>
      </c>
      <c r="H43" t="inlineStr">
        <is>
          <t>15 Desember 2010</t>
        </is>
      </c>
      <c r="I43" s="2" t="n">
        <v>46221</v>
      </c>
      <c r="J43" t="inlineStr">
        <is>
          <t>Disetujui</t>
        </is>
      </c>
      <c r="K43" t="n">
        <v>30</v>
      </c>
      <c r="L43" t="inlineStr">
        <is>
          <t>18 Juli 2026</t>
        </is>
      </c>
      <c r="M43" t="inlineStr">
        <is>
          <t>Konstruksi Gedung Kesehatan, Konstruksi Gedung Lainnya, Konstruksi Gedung Perbelanjaan, Konstruksi Gedung Perkantoran</t>
        </is>
      </c>
      <c r="N43" t="inlineStr">
        <is>
          <t>K</t>
        </is>
      </c>
      <c r="O43" t="inlineStr">
        <is>
          <t>20230712</t>
        </is>
      </c>
      <c r="P43" t="inlineStr">
        <is>
          <t>Jambi</t>
        </is>
      </c>
      <c r="Q43" t="inlineStr"/>
    </row>
    <row r="44">
      <c r="A44" t="inlineStr">
        <is>
          <t>JATI KARYA PERKASA</t>
        </is>
      </c>
      <c r="B44" t="inlineStr">
        <is>
          <t>Kab. Jepara</t>
        </is>
      </c>
      <c r="C44" t="inlineStr">
        <is>
          <t>085325111583</t>
        </is>
      </c>
      <c r="D44" t="inlineStr">
        <is>
          <t>jkp_2017@yahoo.com</t>
        </is>
      </c>
      <c r="E44" t="inlineStr">
        <is>
          <t>https://lpjk.pu.go.id/search-badan-usaha-detail/VXhHQUxCN3JWZDQ3aTE2U3RxVE83dz09</t>
        </is>
      </c>
      <c r="F44" t="n">
        <v>2</v>
      </c>
      <c r="G44" t="inlineStr">
        <is>
          <t>BS001, BS004</t>
        </is>
      </c>
      <c r="H44" t="inlineStr">
        <is>
          <t>11 Oktober 2017</t>
        </is>
      </c>
      <c r="I44" s="2" t="n">
        <v>46221</v>
      </c>
      <c r="J44" t="inlineStr">
        <is>
          <t>Disetujui</t>
        </is>
      </c>
      <c r="K44" t="n">
        <v>30</v>
      </c>
      <c r="L44" t="inlineStr">
        <is>
          <t>18 Juli 2026</t>
        </is>
      </c>
      <c r="M44" t="inlineStr">
        <is>
          <t>Konstruksi Bangunan Sipil Jalan, Konstruksi Jaringan Irigasi dan Drainase</t>
        </is>
      </c>
      <c r="N44" t="inlineStr">
        <is>
          <t>K</t>
        </is>
      </c>
      <c r="O44" t="inlineStr">
        <is>
          <t>20230717</t>
        </is>
      </c>
      <c r="P44" t="inlineStr">
        <is>
          <t>Jawa Tengah</t>
        </is>
      </c>
      <c r="Q44" t="inlineStr"/>
    </row>
    <row r="45">
      <c r="A45" t="inlineStr">
        <is>
          <t>JAYA CENTRAL MANDIRI</t>
        </is>
      </c>
      <c r="B45" t="inlineStr">
        <is>
          <t>Kab. Karawang</t>
        </is>
      </c>
      <c r="C45" t="inlineStr">
        <is>
          <t>6281368396198</t>
        </is>
      </c>
      <c r="D45" t="inlineStr">
        <is>
          <t>jayacentralmandiri8@gmail.com</t>
        </is>
      </c>
      <c r="E45" t="inlineStr">
        <is>
          <t>https://lpjk.pu.go.id/search-badan-usaha-detail/L3VVZXhIUEQ4eWVJWSswUlJJWTdwQT09</t>
        </is>
      </c>
      <c r="F45" t="n">
        <v>1</v>
      </c>
      <c r="G45" t="inlineStr">
        <is>
          <t>BS002</t>
        </is>
      </c>
      <c r="H45" t="inlineStr">
        <is>
          <t>16 Januari 2023</t>
        </is>
      </c>
      <c r="I45" s="2" t="n">
        <v>46221</v>
      </c>
      <c r="J45" t="inlineStr">
        <is>
          <t>Disetujui</t>
        </is>
      </c>
      <c r="K45" t="n">
        <v>30</v>
      </c>
      <c r="L45" t="inlineStr">
        <is>
          <t>18 Juli 2026</t>
        </is>
      </c>
      <c r="M45" t="inlineStr">
        <is>
          <t>Bangunan Sipil Jembatan, Jalan Layang, Fly Over, dan Underpass</t>
        </is>
      </c>
      <c r="N45" t="inlineStr">
        <is>
          <t>K</t>
        </is>
      </c>
      <c r="O45" t="inlineStr">
        <is>
          <t>20230718</t>
        </is>
      </c>
      <c r="P45" t="inlineStr">
        <is>
          <t>Jawa Barat</t>
        </is>
      </c>
      <c r="Q45" t="inlineStr"/>
    </row>
    <row r="46">
      <c r="A46" t="inlineStr">
        <is>
          <t>JAYA KARYA</t>
        </is>
      </c>
      <c r="B46" t="inlineStr">
        <is>
          <t>Kab. Jember</t>
        </is>
      </c>
      <c r="C46" t="inlineStr">
        <is>
          <t>085333967676</t>
        </is>
      </c>
      <c r="D46" t="inlineStr">
        <is>
          <t>jayakarya.cv@yahoo.com</t>
        </is>
      </c>
      <c r="E46" t="inlineStr">
        <is>
          <t>https://lpjk.pu.go.id/search-badan-usaha-detail/Wm9NbFBtaFpqU0lUOXlkWjNWWXN6Zz09</t>
        </is>
      </c>
      <c r="F46" t="n">
        <v>2</v>
      </c>
      <c r="G46" t="inlineStr">
        <is>
          <t>BG002, BG006</t>
        </is>
      </c>
      <c r="H46" t="inlineStr">
        <is>
          <t>4 Maret 1997</t>
        </is>
      </c>
      <c r="I46" s="2" t="n">
        <v>46221</v>
      </c>
      <c r="J46" t="inlineStr">
        <is>
          <t>Pencabutan</t>
        </is>
      </c>
      <c r="K46" t="n">
        <v>30</v>
      </c>
      <c r="L46" t="inlineStr">
        <is>
          <t>18 Juli 2026</t>
        </is>
      </c>
      <c r="M46" t="inlineStr">
        <is>
          <t>Konstruksi Gedung Pendidikan, Konstruksi Gedung Perkantoran</t>
        </is>
      </c>
      <c r="N46" t="inlineStr">
        <is>
          <t>K</t>
        </is>
      </c>
      <c r="O46" t="inlineStr">
        <is>
          <t>20230718</t>
        </is>
      </c>
      <c r="P46" t="inlineStr">
        <is>
          <t>Jawa Timur</t>
        </is>
      </c>
      <c r="Q46" t="inlineStr"/>
    </row>
    <row r="47">
      <c r="A47" t="inlineStr">
        <is>
          <t>JAYA KARYA ABADI</t>
        </is>
      </c>
      <c r="B47" t="inlineStr">
        <is>
          <t>Kab. Pasuruan</t>
        </is>
      </c>
      <c r="C47" t="inlineStr">
        <is>
          <t>08560857212</t>
        </is>
      </c>
      <c r="D47" t="inlineStr">
        <is>
          <t>jakaabadi@yahoo.com</t>
        </is>
      </c>
      <c r="E47" t="inlineStr">
        <is>
          <t>https://lpjk.pu.go.id/search-badan-usaha-detail/S0ZOV0RvWm9Xc1R6N3JLYkFJWnB4QT09</t>
        </is>
      </c>
      <c r="F47" t="n">
        <v>1</v>
      </c>
      <c r="G47" t="inlineStr">
        <is>
          <t>BS004</t>
        </is>
      </c>
      <c r="H47" t="inlineStr">
        <is>
          <t>11 Januari 2019</t>
        </is>
      </c>
      <c r="I47" s="2" t="n">
        <v>46221</v>
      </c>
      <c r="J47" t="inlineStr">
        <is>
          <t>Disetujui</t>
        </is>
      </c>
      <c r="K47" t="n">
        <v>30</v>
      </c>
      <c r="L47" t="inlineStr">
        <is>
          <t>18 Juli 2026</t>
        </is>
      </c>
      <c r="M47" t="inlineStr">
        <is>
          <t>Konstruksi Jaringan Irigasi dan Drainase</t>
        </is>
      </c>
      <c r="N47" t="inlineStr">
        <is>
          <t>K</t>
        </is>
      </c>
      <c r="O47" t="inlineStr">
        <is>
          <t>20230622</t>
        </is>
      </c>
      <c r="P47" t="inlineStr">
        <is>
          <t>Jawa Timur</t>
        </is>
      </c>
      <c r="Q47" t="inlineStr"/>
    </row>
    <row r="48">
      <c r="A48" t="inlineStr">
        <is>
          <t>JAYA SAKTI PRATAMA</t>
        </is>
      </c>
      <c r="B48" t="inlineStr">
        <is>
          <t>Kota Mataram</t>
        </is>
      </c>
      <c r="C48" t="inlineStr">
        <is>
          <t>087765101550</t>
        </is>
      </c>
      <c r="D48" t="inlineStr">
        <is>
          <t>cvjayasaktipratama@gmail.com</t>
        </is>
      </c>
      <c r="E48" t="inlineStr">
        <is>
          <t>https://lpjk.pu.go.id/search-badan-usaha-detail/RFdCWWxGZVJaYjMraXpCSExtQWRhdz09</t>
        </is>
      </c>
      <c r="F48" t="n">
        <v>1</v>
      </c>
      <c r="G48" t="inlineStr">
        <is>
          <t>BG005</t>
        </is>
      </c>
      <c r="H48" t="inlineStr">
        <is>
          <t>11 September 2019</t>
        </is>
      </c>
      <c r="I48" s="2" t="n">
        <v>46221</v>
      </c>
      <c r="J48" t="inlineStr">
        <is>
          <t>Disetujui</t>
        </is>
      </c>
      <c r="K48" t="n">
        <v>30</v>
      </c>
      <c r="L48" t="inlineStr">
        <is>
          <t>18 Juli 2026</t>
        </is>
      </c>
      <c r="M48" t="inlineStr">
        <is>
          <t>Konstruksi Gedung Kesehatan</t>
        </is>
      </c>
      <c r="N48" t="inlineStr">
        <is>
          <t>K</t>
        </is>
      </c>
      <c r="O48" t="inlineStr">
        <is>
          <t>20230714</t>
        </is>
      </c>
      <c r="P48" t="inlineStr">
        <is>
          <t>Nusa Tenggara Barat</t>
        </is>
      </c>
      <c r="Q48" t="inlineStr"/>
    </row>
    <row r="49">
      <c r="A49" t="inlineStr">
        <is>
          <t>KARYA NYATA</t>
        </is>
      </c>
      <c r="B49" t="inlineStr">
        <is>
          <t>Kab. Sumbawa</t>
        </is>
      </c>
      <c r="C49" t="inlineStr">
        <is>
          <t>082341939022</t>
        </is>
      </c>
      <c r="D49" t="inlineStr">
        <is>
          <t>cvkaryanyata80@gmail.com</t>
        </is>
      </c>
      <c r="E49" t="inlineStr">
        <is>
          <t>https://lpjk.pu.go.id/search-badan-usaha-detail/TCs0V2RDZHAxNTVydzB3TkV3RTl3QT09</t>
        </is>
      </c>
      <c r="F49" t="n">
        <v>3</v>
      </c>
      <c r="G49" t="inlineStr">
        <is>
          <t>BG002, BG005, BG006</t>
        </is>
      </c>
      <c r="H49" t="inlineStr">
        <is>
          <t>19 Desember 1985</t>
        </is>
      </c>
      <c r="I49" s="2" t="n">
        <v>46221</v>
      </c>
      <c r="J49" t="inlineStr">
        <is>
          <t>Disetujui</t>
        </is>
      </c>
      <c r="K49" t="n">
        <v>30</v>
      </c>
      <c r="L49" t="inlineStr">
        <is>
          <t>18 Juli 2026</t>
        </is>
      </c>
      <c r="M49" t="inlineStr">
        <is>
          <t>Konstruksi Gedung Kesehatan, Konstruksi Gedung Pendidikan, Konstruksi Gedung Perkantoran</t>
        </is>
      </c>
      <c r="N49" t="inlineStr">
        <is>
          <t>K</t>
        </is>
      </c>
      <c r="O49" t="inlineStr">
        <is>
          <t>20230716</t>
        </is>
      </c>
      <c r="P49" t="inlineStr">
        <is>
          <t>Nusa Tenggara Barat</t>
        </is>
      </c>
      <c r="Q49" t="inlineStr"/>
    </row>
    <row r="50">
      <c r="A50" t="inlineStr">
        <is>
          <t>KARYA REMAJA</t>
        </is>
      </c>
      <c r="B50" t="inlineStr">
        <is>
          <t>Kab. Tulungagung</t>
        </is>
      </c>
      <c r="C50" t="inlineStr">
        <is>
          <t>0355336693</t>
        </is>
      </c>
      <c r="D50" t="inlineStr">
        <is>
          <t>karyaremaja20@yahoo.co.id</t>
        </is>
      </c>
      <c r="E50" t="inlineStr">
        <is>
          <t>https://lpjk.pu.go.id/search-badan-usaha-detail/c3pPYzgwS2Q5Uy9KZTRGRmh6Qk1NQT09</t>
        </is>
      </c>
      <c r="F50" t="n">
        <v>3</v>
      </c>
      <c r="G50" t="inlineStr">
        <is>
          <t>BG004, BG006, BS010</t>
        </is>
      </c>
      <c r="H50" t="inlineStr">
        <is>
          <t>14 Maret 1997</t>
        </is>
      </c>
      <c r="I50" s="2" t="n">
        <v>46221</v>
      </c>
      <c r="J50" t="inlineStr">
        <is>
          <t>Disetujui</t>
        </is>
      </c>
      <c r="K50" t="n">
        <v>30</v>
      </c>
      <c r="L50" t="inlineStr">
        <is>
          <t>18 Juli 2026</t>
        </is>
      </c>
      <c r="M50" t="inlineStr">
        <is>
          <t>Konstruksi Bangunan Prasarana Sumber Daya Air, Konstruksi Gedung Pendidikan, Konstruksi Gedung Perbelanjaan</t>
        </is>
      </c>
      <c r="N50" t="inlineStr">
        <is>
          <t>K</t>
        </is>
      </c>
      <c r="O50" t="inlineStr">
        <is>
          <t>20230613, 20230707</t>
        </is>
      </c>
      <c r="P50" t="inlineStr">
        <is>
          <t>Jawa Timur</t>
        </is>
      </c>
      <c r="Q50" t="inlineStr"/>
    </row>
    <row r="51">
      <c r="A51" t="inlineStr">
        <is>
          <t>KHALIFA</t>
        </is>
      </c>
      <c r="B51" t="inlineStr">
        <is>
          <t>Kab. Blitar</t>
        </is>
      </c>
      <c r="C51" t="inlineStr">
        <is>
          <t>085746752986</t>
        </is>
      </c>
      <c r="D51" t="inlineStr">
        <is>
          <t>khalifaceve@gmail.com</t>
        </is>
      </c>
      <c r="E51" t="inlineStr">
        <is>
          <t>https://lpjk.pu.go.id/search-badan-usaha-detail/dGg1bnhkekkrUTI2T3p5bisxSWdhUT09</t>
        </is>
      </c>
      <c r="F51" t="n">
        <v>1</v>
      </c>
      <c r="G51" t="inlineStr">
        <is>
          <t>BG009</t>
        </is>
      </c>
      <c r="H51" t="inlineStr">
        <is>
          <t>16 Maret 2016</t>
        </is>
      </c>
      <c r="I51" s="2" t="n">
        <v>46221</v>
      </c>
      <c r="J51" t="inlineStr">
        <is>
          <t>Disetujui</t>
        </is>
      </c>
      <c r="K51" t="n">
        <v>30</v>
      </c>
      <c r="L51" t="inlineStr">
        <is>
          <t>18 Juli 2026</t>
        </is>
      </c>
      <c r="M51" t="inlineStr">
        <is>
          <t>Konstruksi Gedung Lainnya</t>
        </is>
      </c>
      <c r="N51" t="inlineStr">
        <is>
          <t>K</t>
        </is>
      </c>
      <c r="O51" t="inlineStr">
        <is>
          <t>20230714</t>
        </is>
      </c>
      <c r="P51" t="inlineStr">
        <is>
          <t>Jawa Timur</t>
        </is>
      </c>
      <c r="Q51" t="inlineStr"/>
    </row>
    <row r="52">
      <c r="A52" t="inlineStr">
        <is>
          <t>KUSUMA KARYA</t>
        </is>
      </c>
      <c r="B52" t="inlineStr">
        <is>
          <t>Kota Yogyakarta</t>
        </is>
      </c>
      <c r="C52" t="inlineStr">
        <is>
          <t>0274 566062/0274 514</t>
        </is>
      </c>
      <c r="D52" t="inlineStr">
        <is>
          <t>kusumakarya@yahoo.co.id</t>
        </is>
      </c>
      <c r="E52" t="inlineStr">
        <is>
          <t>https://lpjk.pu.go.id/search-badan-usaha-detail/YzRCS0FDREphLzA2TFo0QWF2SUVGdz09</t>
        </is>
      </c>
      <c r="F52" t="n">
        <v>2</v>
      </c>
      <c r="G52" t="inlineStr">
        <is>
          <t>BG003</t>
        </is>
      </c>
      <c r="H52" t="inlineStr">
        <is>
          <t>6 November 2003</t>
        </is>
      </c>
      <c r="I52" s="2" t="n">
        <v>46221</v>
      </c>
      <c r="J52" t="inlineStr">
        <is>
          <t>Disetujui</t>
        </is>
      </c>
      <c r="K52" t="n">
        <v>30</v>
      </c>
      <c r="L52" t="inlineStr">
        <is>
          <t>18 Juli 2026</t>
        </is>
      </c>
      <c r="M52" t="inlineStr">
        <is>
          <t>Konstruksi Gedung Industri</t>
        </is>
      </c>
      <c r="N52" t="inlineStr">
        <is>
          <t>M</t>
        </is>
      </c>
      <c r="O52" t="inlineStr">
        <is>
          <t>20230613</t>
        </is>
      </c>
      <c r="P52" t="inlineStr">
        <is>
          <t>DI Yogyakarta</t>
        </is>
      </c>
      <c r="Q52" t="inlineStr"/>
    </row>
    <row r="53">
      <c r="A53" t="inlineStr">
        <is>
          <t>LINATHA TECH</t>
        </is>
      </c>
      <c r="B53" t="inlineStr">
        <is>
          <t>Kota Manado</t>
        </is>
      </c>
      <c r="C53" t="inlineStr">
        <is>
          <t>081354308505</t>
        </is>
      </c>
      <c r="D53" t="inlineStr">
        <is>
          <t>linathatech@gmail.com</t>
        </is>
      </c>
      <c r="E53" t="inlineStr">
        <is>
          <t>https://lpjk.pu.go.id/search-badan-usaha-detail/c3BlQjNUbG9kWE45a0lMUFNoYXdTQT09</t>
        </is>
      </c>
      <c r="F53" t="n">
        <v>1</v>
      </c>
      <c r="G53" t="inlineStr">
        <is>
          <t>BG009</t>
        </is>
      </c>
      <c r="H53" t="inlineStr">
        <is>
          <t>4 Mei 2023</t>
        </is>
      </c>
      <c r="I53" s="2" t="n">
        <v>46221</v>
      </c>
      <c r="J53" t="inlineStr">
        <is>
          <t>Disetujui</t>
        </is>
      </c>
      <c r="K53" t="n">
        <v>30</v>
      </c>
      <c r="L53" t="inlineStr">
        <is>
          <t>18 Juli 2026</t>
        </is>
      </c>
      <c r="M53" t="inlineStr">
        <is>
          <t>Konstruksi Gedung Lainnya</t>
        </is>
      </c>
      <c r="N53" t="inlineStr">
        <is>
          <t>K</t>
        </is>
      </c>
      <c r="O53" t="inlineStr">
        <is>
          <t>20230718</t>
        </is>
      </c>
      <c r="P53" t="inlineStr">
        <is>
          <t>Sulawesi Utara</t>
        </is>
      </c>
      <c r="Q53" t="inlineStr"/>
    </row>
    <row r="54">
      <c r="A54" t="inlineStr">
        <is>
          <t>MARANU</t>
        </is>
      </c>
      <c r="B54" t="inlineStr">
        <is>
          <t>Kab. Tapin</t>
        </is>
      </c>
      <c r="C54" t="inlineStr">
        <is>
          <t>08123252335</t>
        </is>
      </c>
      <c r="D54" t="inlineStr">
        <is>
          <t>cvmaranu@gmail.com</t>
        </is>
      </c>
      <c r="E54" t="inlineStr">
        <is>
          <t>https://lpjk.pu.go.id/search-badan-usaha-detail/d3FGbGp1c2Y0WEJjcXNNT2ZBczhRdz09</t>
        </is>
      </c>
      <c r="F54" t="n">
        <v>2</v>
      </c>
      <c r="G54" t="inlineStr">
        <is>
          <t>BS001</t>
        </is>
      </c>
      <c r="H54" t="inlineStr">
        <is>
          <t>22 Oktober 1985</t>
        </is>
      </c>
      <c r="I54" s="2" t="n">
        <v>46221</v>
      </c>
      <c r="J54" t="inlineStr">
        <is>
          <t>Disetujui</t>
        </is>
      </c>
      <c r="K54" t="n">
        <v>30</v>
      </c>
      <c r="L54" t="inlineStr">
        <is>
          <t>18 Juli 2026</t>
        </is>
      </c>
      <c r="M54" t="inlineStr">
        <is>
          <t>Konstruksi Bangunan Sipil Jalan</t>
        </is>
      </c>
      <c r="N54" t="inlineStr">
        <is>
          <t>K</t>
        </is>
      </c>
      <c r="O54" t="inlineStr">
        <is>
          <t>20230713</t>
        </is>
      </c>
      <c r="P54" t="inlineStr">
        <is>
          <t>Kalimantan Selatan</t>
        </is>
      </c>
      <c r="Q54" t="inlineStr"/>
    </row>
    <row r="55">
      <c r="A55" t="inlineStr">
        <is>
          <t>MARWAH JAYA</t>
        </is>
      </c>
      <c r="B55" t="inlineStr">
        <is>
          <t>Kab. Sikka</t>
        </is>
      </c>
      <c r="C55" t="inlineStr">
        <is>
          <t>082237423666</t>
        </is>
      </c>
      <c r="D55" t="inlineStr">
        <is>
          <t>cv.marwah.jaya@gmail.com</t>
        </is>
      </c>
      <c r="E55" t="inlineStr">
        <is>
          <t>https://lpjk.pu.go.id/search-badan-usaha-detail/RkgxT093eVBXNDl3WXJGdkZhUXhFUT09</t>
        </is>
      </c>
      <c r="F55" t="n">
        <v>1</v>
      </c>
      <c r="G55" t="inlineStr">
        <is>
          <t>BG006</t>
        </is>
      </c>
      <c r="H55" t="inlineStr">
        <is>
          <t>24 November 2017</t>
        </is>
      </c>
      <c r="I55" s="2" t="n">
        <v>46221</v>
      </c>
      <c r="J55" t="inlineStr">
        <is>
          <t>Disetujui</t>
        </is>
      </c>
      <c r="K55" t="n">
        <v>30</v>
      </c>
      <c r="L55" t="inlineStr">
        <is>
          <t>18 Juli 2026</t>
        </is>
      </c>
      <c r="M55" t="inlineStr">
        <is>
          <t>Konstruksi Gedung Pendidikan</t>
        </is>
      </c>
      <c r="N55" t="inlineStr">
        <is>
          <t>K</t>
        </is>
      </c>
      <c r="O55" t="inlineStr">
        <is>
          <t>20230714</t>
        </is>
      </c>
      <c r="P55" t="inlineStr">
        <is>
          <t>Nusa Tenggara Timur</t>
        </is>
      </c>
      <c r="Q55" t="inlineStr"/>
    </row>
    <row r="56">
      <c r="A56" t="inlineStr">
        <is>
          <t>MITA NADYA</t>
        </is>
      </c>
      <c r="B56" t="inlineStr">
        <is>
          <t>Kab. Jember</t>
        </is>
      </c>
      <c r="C56" t="inlineStr">
        <is>
          <t>08123455572</t>
        </is>
      </c>
      <c r="D56" t="inlineStr">
        <is>
          <t>cvmitanadya@yahoo.com</t>
        </is>
      </c>
      <c r="E56" t="inlineStr">
        <is>
          <t>https://lpjk.pu.go.id/search-badan-usaha-detail/M0VKeXRTRDZGR2RCRXZqQ3owQVladz09</t>
        </is>
      </c>
      <c r="F56" t="n">
        <v>2</v>
      </c>
      <c r="G56" t="inlineStr">
        <is>
          <t>BS001, BS004</t>
        </is>
      </c>
      <c r="H56" t="inlineStr">
        <is>
          <t>8 Januari 2007</t>
        </is>
      </c>
      <c r="I56" s="2" t="n">
        <v>46221</v>
      </c>
      <c r="J56" t="inlineStr">
        <is>
          <t>Disetujui, Pencabutan</t>
        </is>
      </c>
      <c r="K56" t="n">
        <v>30</v>
      </c>
      <c r="L56" t="inlineStr">
        <is>
          <t>18 Juli 2026</t>
        </is>
      </c>
      <c r="M56" t="inlineStr">
        <is>
          <t>Konstruksi Bangunan Sipil Jalan, Konstruksi Jaringan Irigasi dan Drainase</t>
        </is>
      </c>
      <c r="N56" t="inlineStr">
        <is>
          <t>K</t>
        </is>
      </c>
      <c r="O56" t="inlineStr">
        <is>
          <t>20230714</t>
        </is>
      </c>
      <c r="P56" t="inlineStr">
        <is>
          <t>Jawa Timur</t>
        </is>
      </c>
      <c r="Q56" t="inlineStr"/>
    </row>
    <row r="57">
      <c r="A57" t="inlineStr">
        <is>
          <t>MITRA TANI MAKMUR SEJAHTERA</t>
        </is>
      </c>
      <c r="B57" t="inlineStr">
        <is>
          <t>Kota Semarang</t>
        </is>
      </c>
      <c r="C57" t="inlineStr">
        <is>
          <t>081215921117</t>
        </is>
      </c>
      <c r="D57" t="inlineStr">
        <is>
          <t>cvmitratanimakmursejahtera@gmail.com</t>
        </is>
      </c>
      <c r="E57" t="inlineStr">
        <is>
          <t>https://lpjk.pu.go.id/search-badan-usaha-detail/QmU1b1pLYzFubUNyc21QQmptemRWZz09</t>
        </is>
      </c>
      <c r="F57" t="n">
        <v>6</v>
      </c>
      <c r="G57" t="inlineStr">
        <is>
          <t>BG002, BG005, BG006, BG008, BG009, BS001</t>
        </is>
      </c>
      <c r="H57" t="inlineStr">
        <is>
          <t>27 Oktober 2020</t>
        </is>
      </c>
      <c r="I57" s="2" t="n">
        <v>46221</v>
      </c>
      <c r="J57" t="inlineStr">
        <is>
          <t>Disetujui</t>
        </is>
      </c>
      <c r="K57" t="n">
        <v>30</v>
      </c>
      <c r="L57" t="inlineStr">
        <is>
          <t>18 Juli 2026</t>
        </is>
      </c>
      <c r="M57" t="inlineStr">
        <is>
          <t>Konstruksi Bangunan Sipil Jalan, Konstruksi Gedung Kesehatan, Konstruksi Gedung Lainnya, Konstruksi Gedung Pendidikan, Konstruksi Gedung Perkantoran, Konstruksi Gedung Tempat Hiburan dan Olahraga</t>
        </is>
      </c>
      <c r="N57" t="inlineStr">
        <is>
          <t>K</t>
        </is>
      </c>
      <c r="O57" t="inlineStr">
        <is>
          <t>20230715, 20230716</t>
        </is>
      </c>
      <c r="P57" t="inlineStr">
        <is>
          <t>Jawa Tengah</t>
        </is>
      </c>
      <c r="Q57" t="inlineStr"/>
    </row>
    <row r="58">
      <c r="A58" t="inlineStr">
        <is>
          <t>MULYA KARYA LUMINTU</t>
        </is>
      </c>
      <c r="B58" t="inlineStr">
        <is>
          <t>Kota Semarang</t>
        </is>
      </c>
      <c r="C58" t="inlineStr">
        <is>
          <t>088227791622</t>
        </is>
      </c>
      <c r="D58" t="inlineStr">
        <is>
          <t>mulyakaryalumintu.49@gmail.com</t>
        </is>
      </c>
      <c r="E58" t="inlineStr">
        <is>
          <t>https://lpjk.pu.go.id/search-badan-usaha-detail/SEJkb1UrQXd5Qm5mWkdWWDFuSnhnQT09</t>
        </is>
      </c>
      <c r="F58" t="n">
        <v>2</v>
      </c>
      <c r="G58" t="inlineStr">
        <is>
          <t>BG001, BG002</t>
        </is>
      </c>
      <c r="H58" t="inlineStr">
        <is>
          <t>6 Mei 2023</t>
        </is>
      </c>
      <c r="I58" s="2" t="n">
        <v>46221</v>
      </c>
      <c r="J58" t="inlineStr">
        <is>
          <t>Disetujui</t>
        </is>
      </c>
      <c r="K58" t="n">
        <v>30</v>
      </c>
      <c r="L58" t="inlineStr">
        <is>
          <t>18 Juli 2026</t>
        </is>
      </c>
      <c r="M58" t="inlineStr">
        <is>
          <t>Konstruksi Gedung Hunian, Konstruksi Gedung Perkantoran</t>
        </is>
      </c>
      <c r="N58" t="inlineStr">
        <is>
          <t>K</t>
        </is>
      </c>
      <c r="O58" t="inlineStr">
        <is>
          <t>20230715</t>
        </is>
      </c>
      <c r="P58" t="inlineStr">
        <is>
          <t>Jawa Tengah</t>
        </is>
      </c>
      <c r="Q58" t="inlineStr"/>
    </row>
    <row r="59">
      <c r="A59" t="inlineStr">
        <is>
          <t>MUTIARA BERLIAN</t>
        </is>
      </c>
      <c r="B59" t="inlineStr">
        <is>
          <t>Kab. Sarolangun</t>
        </is>
      </c>
      <c r="C59" t="inlineStr">
        <is>
          <t>081367294014</t>
        </is>
      </c>
      <c r="D59" t="inlineStr">
        <is>
          <t>cvmutiaraberlian80@gmail.com</t>
        </is>
      </c>
      <c r="E59" t="inlineStr">
        <is>
          <t>https://lpjk.pu.go.id/search-badan-usaha-detail/M0lZa0VudFNQaUs5L3NOaEZVN2tUZz09</t>
        </is>
      </c>
      <c r="F59" t="n">
        <v>2</v>
      </c>
      <c r="G59" t="inlineStr">
        <is>
          <t>BS005</t>
        </is>
      </c>
      <c r="H59" t="inlineStr">
        <is>
          <t>9 Desember 2022</t>
        </is>
      </c>
      <c r="I59" s="2" t="n">
        <v>46221</v>
      </c>
      <c r="J59" t="inlineStr">
        <is>
          <t>Disetujui</t>
        </is>
      </c>
      <c r="K59" t="n">
        <v>30</v>
      </c>
      <c r="L59" t="inlineStr">
        <is>
          <t>18 Juli 2026</t>
        </is>
      </c>
      <c r="M59" t="inlineStr">
        <is>
          <t>Konstruksi Bangunan Sipil Pengolahan Air Bersih</t>
        </is>
      </c>
      <c r="N59" t="inlineStr">
        <is>
          <t>K</t>
        </is>
      </c>
      <c r="O59" t="inlineStr">
        <is>
          <t>20230713</t>
        </is>
      </c>
      <c r="P59" t="inlineStr">
        <is>
          <t>Jambi</t>
        </is>
      </c>
      <c r="Q59" t="inlineStr"/>
    </row>
    <row r="60">
      <c r="A60" t="inlineStr">
        <is>
          <t>MUTIARA TIMUR CONTRACTOR</t>
        </is>
      </c>
      <c r="B60" t="inlineStr">
        <is>
          <t>Kab. Bantul</t>
        </is>
      </c>
      <c r="C60" t="inlineStr">
        <is>
          <t>082134173446</t>
        </is>
      </c>
      <c r="D60" t="inlineStr">
        <is>
          <t>mutiaratimurcontractor.cv@gmail.com</t>
        </is>
      </c>
      <c r="E60" t="inlineStr">
        <is>
          <t>https://lpjk.pu.go.id/search-badan-usaha-detail/a010aEp1enJZcVorZGJSckx4bGMzQT09</t>
        </is>
      </c>
      <c r="F60" t="n">
        <v>1</v>
      </c>
      <c r="G60" t="inlineStr">
        <is>
          <t>BG001</t>
        </is>
      </c>
      <c r="H60" t="inlineStr">
        <is>
          <t>5 Maret 2020</t>
        </is>
      </c>
      <c r="I60" s="2" t="n">
        <v>46221</v>
      </c>
      <c r="J60" t="inlineStr">
        <is>
          <t>Disetujui</t>
        </is>
      </c>
      <c r="K60" t="n">
        <v>30</v>
      </c>
      <c r="L60" t="inlineStr">
        <is>
          <t>18 Juli 2026</t>
        </is>
      </c>
      <c r="M60" t="inlineStr">
        <is>
          <t>Konstruksi Gedung Hunian</t>
        </is>
      </c>
      <c r="N60" t="inlineStr">
        <is>
          <t>K</t>
        </is>
      </c>
      <c r="O60" t="inlineStr">
        <is>
          <t>20230718</t>
        </is>
      </c>
      <c r="P60" t="inlineStr">
        <is>
          <t>DI Yogyakarta</t>
        </is>
      </c>
      <c r="Q60" t="inlineStr"/>
    </row>
    <row r="61">
      <c r="A61" t="inlineStr">
        <is>
          <t>NAYOTTAMA PERKASA</t>
        </is>
      </c>
      <c r="B61" t="inlineStr">
        <is>
          <t>Kab. Sleman</t>
        </is>
      </c>
      <c r="C61" t="inlineStr">
        <is>
          <t>0274798354</t>
        </is>
      </c>
      <c r="D61" t="inlineStr">
        <is>
          <t>nayottamaperkasa@gmail.com</t>
        </is>
      </c>
      <c r="E61" t="inlineStr">
        <is>
          <t>https://lpjk.pu.go.id/search-badan-usaha-detail/SUdNdnlMOUY2ZTdHbEJseUtqOER0QT09</t>
        </is>
      </c>
      <c r="F61" t="n">
        <v>1</v>
      </c>
      <c r="G61" t="inlineStr">
        <is>
          <t>BS001</t>
        </is>
      </c>
      <c r="H61" t="inlineStr">
        <is>
          <t>10 Desember 2020</t>
        </is>
      </c>
      <c r="I61" s="2" t="n">
        <v>46221</v>
      </c>
      <c r="J61" t="inlineStr">
        <is>
          <t>Disetujui</t>
        </is>
      </c>
      <c r="K61" t="n">
        <v>30</v>
      </c>
      <c r="L61" t="inlineStr">
        <is>
          <t>18 Juli 2026</t>
        </is>
      </c>
      <c r="M61" t="inlineStr">
        <is>
          <t>Konstruksi Bangunan Sipil Jalan</t>
        </is>
      </c>
      <c r="N61" t="inlineStr">
        <is>
          <t>K</t>
        </is>
      </c>
      <c r="O61" t="inlineStr">
        <is>
          <t>20230707</t>
        </is>
      </c>
      <c r="P61" t="inlineStr">
        <is>
          <t>DI Yogyakarta</t>
        </is>
      </c>
      <c r="Q61" t="inlineStr"/>
    </row>
    <row r="62">
      <c r="A62" t="inlineStr">
        <is>
          <t>NUSANTARA PERMAI</t>
        </is>
      </c>
      <c r="B62" t="inlineStr">
        <is>
          <t>Kab. Seram Bagian Timur</t>
        </is>
      </c>
      <c r="C62" t="inlineStr">
        <is>
          <t>082198237185</t>
        </is>
      </c>
      <c r="D62" t="inlineStr">
        <is>
          <t>cvnusantarapermai@gmail.com</t>
        </is>
      </c>
      <c r="E62" t="inlineStr">
        <is>
          <t>https://lpjk.pu.go.id/search-badan-usaha-detail/WGdTc1ZqS0hhenVxM1g1MVlsdkFSdz09</t>
        </is>
      </c>
      <c r="F62" t="n">
        <v>1</v>
      </c>
      <c r="G62" t="inlineStr">
        <is>
          <t>BG006</t>
        </is>
      </c>
      <c r="H62" t="inlineStr">
        <is>
          <t>13 Februari 2020</t>
        </is>
      </c>
      <c r="I62" s="2" t="n">
        <v>46221</v>
      </c>
      <c r="J62" t="inlineStr">
        <is>
          <t>Pencabutan</t>
        </is>
      </c>
      <c r="K62" t="n">
        <v>30</v>
      </c>
      <c r="L62" t="inlineStr">
        <is>
          <t>18 Juli 2026</t>
        </is>
      </c>
      <c r="M62" t="inlineStr">
        <is>
          <t>Konstruksi Gedung Pendidikan</t>
        </is>
      </c>
      <c r="N62" t="inlineStr">
        <is>
          <t>K</t>
        </is>
      </c>
      <c r="O62" t="inlineStr">
        <is>
          <t>20230531</t>
        </is>
      </c>
      <c r="P62" t="inlineStr">
        <is>
          <t>Maluku</t>
        </is>
      </c>
      <c r="Q62" t="inlineStr"/>
    </row>
    <row r="63">
      <c r="A63" t="inlineStr">
        <is>
          <t>PANGESTU JAYA</t>
        </is>
      </c>
      <c r="B63" t="inlineStr">
        <is>
          <t>Kab. Gunungkidul</t>
        </is>
      </c>
      <c r="C63" t="inlineStr">
        <is>
          <t>081328173607</t>
        </is>
      </c>
      <c r="D63" t="inlineStr">
        <is>
          <t>pangestujayajogja@gmail.com</t>
        </is>
      </c>
      <c r="E63" t="inlineStr">
        <is>
          <t>https://lpjk.pu.go.id/search-badan-usaha-detail/THhmV21CWkliT3I1TVlZamVCSnU3QT09</t>
        </is>
      </c>
      <c r="F63" t="n">
        <v>6</v>
      </c>
      <c r="G63" t="inlineStr">
        <is>
          <t>BG002, BG004, BG006, BG009, BS001, BS004</t>
        </is>
      </c>
      <c r="H63" t="inlineStr">
        <is>
          <t>24 November 2011</t>
        </is>
      </c>
      <c r="I63" s="2" t="n">
        <v>46221</v>
      </c>
      <c r="J63" t="inlineStr">
        <is>
          <t>Disetujui</t>
        </is>
      </c>
      <c r="K63" t="n">
        <v>30</v>
      </c>
      <c r="L63" t="inlineStr">
        <is>
          <t>18 Juli 2026</t>
        </is>
      </c>
      <c r="M63" t="inlineStr">
        <is>
          <t>Konstruksi Bangunan Sipil Jalan, Konstruksi Gedung Lainnya, Konstruksi Gedung Pendidikan, Konstruksi Gedung Perbelanjaan, Konstruksi Gedung Perkantoran, Konstruksi Jaringan Irigasi dan Drainase</t>
        </is>
      </c>
      <c r="N63" t="inlineStr">
        <is>
          <t>K</t>
        </is>
      </c>
      <c r="O63" t="inlineStr">
        <is>
          <t>20230511</t>
        </is>
      </c>
      <c r="P63" t="inlineStr">
        <is>
          <t>DI Yogyakarta</t>
        </is>
      </c>
      <c r="Q63" t="inlineStr"/>
    </row>
    <row r="64">
      <c r="A64" t="inlineStr">
        <is>
          <t>PERMATA ABADI</t>
        </is>
      </c>
      <c r="B64" t="inlineStr">
        <is>
          <t>Kab. Jember</t>
        </is>
      </c>
      <c r="C64" t="inlineStr">
        <is>
          <t>081330176272</t>
        </is>
      </c>
      <c r="D64" t="inlineStr">
        <is>
          <t>permataabadi2015@yahoo.com</t>
        </is>
      </c>
      <c r="E64" t="inlineStr">
        <is>
          <t>https://lpjk.pu.go.id/search-badan-usaha-detail/bXF0T3l4TUpqVUVickNHcE9FNlByRm8zb1pMUTdJd1N4M3VDWDNUV3ROVT0</t>
        </is>
      </c>
      <c r="F64" t="n">
        <v>1</v>
      </c>
      <c r="G64" t="inlineStr">
        <is>
          <t>BS004</t>
        </is>
      </c>
      <c r="H64" t="inlineStr">
        <is>
          <t>19 Desember 2025</t>
        </is>
      </c>
      <c r="I64" s="2" t="n">
        <v>46221</v>
      </c>
      <c r="J64" t="inlineStr">
        <is>
          <t>Disetujui</t>
        </is>
      </c>
      <c r="K64" t="n">
        <v>30</v>
      </c>
      <c r="L64" t="inlineStr">
        <is>
          <t>18 Juli 2026</t>
        </is>
      </c>
      <c r="M64" t="inlineStr">
        <is>
          <t>Konstruksi Jaringan Irigasi dan Drainase</t>
        </is>
      </c>
      <c r="N64" t="inlineStr">
        <is>
          <t>K</t>
        </is>
      </c>
      <c r="O64" t="inlineStr">
        <is>
          <t>20230717</t>
        </is>
      </c>
      <c r="P64" t="inlineStr">
        <is>
          <t>Jawa Timur</t>
        </is>
      </c>
      <c r="Q64" t="inlineStr"/>
    </row>
    <row r="65">
      <c r="A65" t="inlineStr">
        <is>
          <t>PUTRI FUJA</t>
        </is>
      </c>
      <c r="B65" t="inlineStr">
        <is>
          <t>Kab. Manokwari</t>
        </is>
      </c>
      <c r="C65" t="inlineStr">
        <is>
          <t>085244394720</t>
        </is>
      </c>
      <c r="D65" t="inlineStr">
        <is>
          <t>cv.putrifuja06@gmail.com</t>
        </is>
      </c>
      <c r="E65" t="inlineStr">
        <is>
          <t>https://lpjk.pu.go.id/search-badan-usaha-detail/UUdHbmp0cXNZaWhuSDNMcldXYWt6UT09</t>
        </is>
      </c>
      <c r="F65" t="n">
        <v>1</v>
      </c>
      <c r="G65" t="inlineStr">
        <is>
          <t>BS001</t>
        </is>
      </c>
      <c r="H65" t="inlineStr">
        <is>
          <t>1 November 2018</t>
        </is>
      </c>
      <c r="I65" s="2" t="n">
        <v>46221</v>
      </c>
      <c r="J65" t="inlineStr">
        <is>
          <t>Pencabutan</t>
        </is>
      </c>
      <c r="K65" t="n">
        <v>30</v>
      </c>
      <c r="L65" t="inlineStr">
        <is>
          <t>18 Juli 2026</t>
        </is>
      </c>
      <c r="M65" t="inlineStr">
        <is>
          <t>Konstruksi Bangunan Sipil Jalan</t>
        </is>
      </c>
      <c r="N65" t="inlineStr">
        <is>
          <t>K</t>
        </is>
      </c>
      <c r="O65" t="inlineStr">
        <is>
          <t>20230712</t>
        </is>
      </c>
      <c r="P65" t="inlineStr">
        <is>
          <t>Papua Barat</t>
        </is>
      </c>
      <c r="Q65" t="inlineStr"/>
    </row>
    <row r="66">
      <c r="A66" t="inlineStr">
        <is>
          <t>RAJA MAS</t>
        </is>
      </c>
      <c r="B66" t="inlineStr">
        <is>
          <t>Kab. Lombok Barat</t>
        </is>
      </c>
      <c r="C66" t="inlineStr">
        <is>
          <t>081907222233</t>
        </is>
      </c>
      <c r="D66" t="inlineStr">
        <is>
          <t>cvrajamas0@gmail.com</t>
        </is>
      </c>
      <c r="E66" t="inlineStr">
        <is>
          <t>https://lpjk.pu.go.id/search-badan-usaha-detail/K3VvL0Q0Z2tBQkZwaTdYckJRRVVYZz09</t>
        </is>
      </c>
      <c r="F66" t="n">
        <v>1</v>
      </c>
      <c r="G66" t="inlineStr">
        <is>
          <t>BS004</t>
        </is>
      </c>
      <c r="H66" t="inlineStr">
        <is>
          <t>6 Oktober 2011</t>
        </is>
      </c>
      <c r="I66" s="2" t="n">
        <v>46221</v>
      </c>
      <c r="J66" t="inlineStr">
        <is>
          <t>Pencabutan</t>
        </is>
      </c>
      <c r="K66" t="n">
        <v>30</v>
      </c>
      <c r="L66" t="inlineStr">
        <is>
          <t>18 Juli 2026</t>
        </is>
      </c>
      <c r="M66" t="inlineStr">
        <is>
          <t>Konstruksi Jaringan Irigasi dan Drainase</t>
        </is>
      </c>
      <c r="N66" t="inlineStr">
        <is>
          <t>K</t>
        </is>
      </c>
      <c r="O66" t="inlineStr">
        <is>
          <t>20230705</t>
        </is>
      </c>
      <c r="P66" t="inlineStr">
        <is>
          <t>Nusa Tenggara Barat</t>
        </is>
      </c>
      <c r="Q66" t="inlineStr"/>
    </row>
    <row r="67">
      <c r="A67" t="inlineStr">
        <is>
          <t>RATU RIZKI UTAMA</t>
        </is>
      </c>
      <c r="B67" t="inlineStr">
        <is>
          <t>Kab. Pangandaran</t>
        </is>
      </c>
      <c r="C67" t="inlineStr">
        <is>
          <t>0</t>
        </is>
      </c>
      <c r="D67" t="inlineStr">
        <is>
          <t>utamacvraturizki@gmail.com</t>
        </is>
      </c>
      <c r="E67" t="inlineStr">
        <is>
          <t>https://lpjk.pu.go.id/search-badan-usaha-detail/Qy9QS0xtejdZNTRKQ2xXVDE1VmZkZz09</t>
        </is>
      </c>
      <c r="F67" t="n">
        <v>1</v>
      </c>
      <c r="G67" t="inlineStr">
        <is>
          <t>BS005</t>
        </is>
      </c>
      <c r="H67" t="inlineStr">
        <is>
          <t>1 Januari 2018</t>
        </is>
      </c>
      <c r="I67" s="2" t="n">
        <v>46221</v>
      </c>
      <c r="J67" t="inlineStr">
        <is>
          <t>Disetujui</t>
        </is>
      </c>
      <c r="K67" t="n">
        <v>30</v>
      </c>
      <c r="L67" t="inlineStr">
        <is>
          <t>18 Juli 2026</t>
        </is>
      </c>
      <c r="M67" t="inlineStr">
        <is>
          <t>Konstruksi Bangunan Sipil Pengolahan Air Bersih</t>
        </is>
      </c>
      <c r="N67" t="inlineStr">
        <is>
          <t>K</t>
        </is>
      </c>
      <c r="O67" t="inlineStr">
        <is>
          <t>20230714</t>
        </is>
      </c>
      <c r="P67" t="inlineStr">
        <is>
          <t>Jawa Barat</t>
        </is>
      </c>
      <c r="Q67" t="inlineStr"/>
    </row>
    <row r="68">
      <c r="A68" t="inlineStr">
        <is>
          <t>REKSA TIGA MITRA</t>
        </is>
      </c>
      <c r="B68" t="inlineStr">
        <is>
          <t>Kota Denpasar</t>
        </is>
      </c>
      <c r="C68" t="inlineStr">
        <is>
          <t>0361288691</t>
        </is>
      </c>
      <c r="D68" t="inlineStr">
        <is>
          <t>reksatigamitra@gmail.com</t>
        </is>
      </c>
      <c r="E68" t="inlineStr">
        <is>
          <t>https://lpjk.pu.go.id/search-badan-usaha-detail/dEs5TXdScWp0MEJGWC91QTJBUUZFQT09</t>
        </is>
      </c>
      <c r="F68" t="n">
        <v>1</v>
      </c>
      <c r="G68" t="inlineStr">
        <is>
          <t>BS004</t>
        </is>
      </c>
      <c r="H68" t="inlineStr">
        <is>
          <t>20 Juli 2023</t>
        </is>
      </c>
      <c r="I68" s="2" t="n">
        <v>46221</v>
      </c>
      <c r="J68" t="inlineStr">
        <is>
          <t>Disetujui</t>
        </is>
      </c>
      <c r="K68" t="n">
        <v>30</v>
      </c>
      <c r="L68" t="inlineStr">
        <is>
          <t>18 Juli 2026</t>
        </is>
      </c>
      <c r="M68" t="inlineStr">
        <is>
          <t>Konstruksi Jaringan Irigasi dan Drainase</t>
        </is>
      </c>
      <c r="N68" t="inlineStr">
        <is>
          <t>K</t>
        </is>
      </c>
      <c r="O68" t="inlineStr">
        <is>
          <t>20230714</t>
        </is>
      </c>
      <c r="P68" t="inlineStr">
        <is>
          <t>Bali</t>
        </is>
      </c>
      <c r="Q68" t="inlineStr"/>
    </row>
    <row r="69">
      <c r="A69" t="inlineStr">
        <is>
          <t>SAMATOR GAS INDUSTRI</t>
        </is>
      </c>
      <c r="B69" t="inlineStr">
        <is>
          <t>Kota Surabaya</t>
        </is>
      </c>
      <c r="C69" t="inlineStr">
        <is>
          <t>03199004000</t>
        </is>
      </c>
      <c r="D69" t="inlineStr">
        <is>
          <t>perijinan@sgi-gas.com</t>
        </is>
      </c>
      <c r="E69" t="inlineStr">
        <is>
          <t>https://lpjk.pu.go.id/search-badan-usaha-detail/bmNqTjRxQ3IrTFNQVGRrSXM2SjJpQT09</t>
        </is>
      </c>
      <c r="F69" t="n">
        <v>1</v>
      </c>
      <c r="G69" t="inlineStr">
        <is>
          <t>IN004</t>
        </is>
      </c>
      <c r="H69" t="inlineStr">
        <is>
          <t>31 Oktober 1992</t>
        </is>
      </c>
      <c r="I69" s="2" t="n">
        <v>46221</v>
      </c>
      <c r="J69" t="inlineStr">
        <is>
          <t>Disetujui</t>
        </is>
      </c>
      <c r="K69" t="n">
        <v>30</v>
      </c>
      <c r="L69" t="inlineStr">
        <is>
          <t>18 Juli 2026</t>
        </is>
      </c>
      <c r="M69" t="inlineStr">
        <is>
          <t>Instalasi Minyak dan Gas</t>
        </is>
      </c>
      <c r="N69" t="inlineStr">
        <is>
          <t>Spesialis</t>
        </is>
      </c>
      <c r="O69" t="inlineStr">
        <is>
          <t>20230516</t>
        </is>
      </c>
      <c r="P69" t="inlineStr">
        <is>
          <t>Jawa Timur</t>
        </is>
      </c>
      <c r="Q69" t="inlineStr"/>
    </row>
    <row r="70">
      <c r="A70" t="inlineStr">
        <is>
          <t>SARANA KARYA</t>
        </is>
      </c>
      <c r="B70" t="inlineStr">
        <is>
          <t>Kota Salatiga</t>
        </is>
      </c>
      <c r="C70" t="inlineStr">
        <is>
          <t>08112704423</t>
        </is>
      </c>
      <c r="D70" t="inlineStr">
        <is>
          <t>kristianwidi@gmail.com</t>
        </is>
      </c>
      <c r="E70" t="inlineStr">
        <is>
          <t>https://lpjk.pu.go.id/search-badan-usaha-detail/eklta2N2TnRPVllJODZEVWdUcCtXZz09</t>
        </is>
      </c>
      <c r="F70" t="n">
        <v>4</v>
      </c>
      <c r="G70" t="inlineStr">
        <is>
          <t>BG002, BG006, BG009, BS004</t>
        </is>
      </c>
      <c r="H70" t="inlineStr">
        <is>
          <t>9 Oktober 1985</t>
        </is>
      </c>
      <c r="I70" s="2" t="n">
        <v>46221</v>
      </c>
      <c r="J70" t="inlineStr">
        <is>
          <t>Disetujui</t>
        </is>
      </c>
      <c r="K70" t="n">
        <v>30</v>
      </c>
      <c r="L70" t="inlineStr">
        <is>
          <t>18 Juli 2026</t>
        </is>
      </c>
      <c r="M70" t="inlineStr">
        <is>
          <t>Konstruksi Gedung Lainnya, Konstruksi Gedung Pendidikan, Konstruksi Gedung Perkantoran, Konstruksi Jaringan Irigasi dan Drainase</t>
        </is>
      </c>
      <c r="N70" t="inlineStr">
        <is>
          <t>K</t>
        </is>
      </c>
      <c r="O70" t="inlineStr">
        <is>
          <t>20230716</t>
        </is>
      </c>
      <c r="P70" t="inlineStr">
        <is>
          <t>Jawa Tengah</t>
        </is>
      </c>
      <c r="Q70" t="inlineStr"/>
    </row>
    <row r="71">
      <c r="A71" t="inlineStr">
        <is>
          <t>SEKAR KEDATON</t>
        </is>
      </c>
      <c r="B71" t="inlineStr">
        <is>
          <t>Kab. Lombok Tengah</t>
        </is>
      </c>
      <c r="C71" t="inlineStr">
        <is>
          <t>081917179640</t>
        </is>
      </c>
      <c r="D71" t="inlineStr">
        <is>
          <t>kedaton337@gmail.com</t>
        </is>
      </c>
      <c r="E71" t="inlineStr">
        <is>
          <t>https://lpjk.pu.go.id/search-badan-usaha-detail/MDNPVFh4YjJyZmhhdTNSTnk3S0NSQT09</t>
        </is>
      </c>
      <c r="F71" t="n">
        <v>4</v>
      </c>
      <c r="G71" t="inlineStr">
        <is>
          <t>BG006, BG009</t>
        </is>
      </c>
      <c r="H71" t="inlineStr">
        <is>
          <t>5 Januari 2016</t>
        </is>
      </c>
      <c r="I71" s="2" t="n">
        <v>46221</v>
      </c>
      <c r="J71" t="inlineStr">
        <is>
          <t>Disetujui</t>
        </is>
      </c>
      <c r="K71" t="n">
        <v>30</v>
      </c>
      <c r="L71" t="inlineStr">
        <is>
          <t>18 Juli 2026</t>
        </is>
      </c>
      <c r="M71" t="inlineStr">
        <is>
          <t>Konstruksi Gedung Lainnya, Konstruksi Gedung Pendidikan</t>
        </is>
      </c>
      <c r="N71" t="inlineStr">
        <is>
          <t>K</t>
        </is>
      </c>
      <c r="O71" t="inlineStr">
        <is>
          <t>20230717</t>
        </is>
      </c>
      <c r="P71" t="inlineStr">
        <is>
          <t>Nusa Tenggara Barat</t>
        </is>
      </c>
      <c r="Q71" t="inlineStr"/>
    </row>
    <row r="72">
      <c r="A72" t="inlineStr">
        <is>
          <t>SIMBARHOL TEKNIK PERKASA</t>
        </is>
      </c>
      <c r="B72" t="inlineStr">
        <is>
          <t>Kota Cilegon</t>
        </is>
      </c>
      <c r="C72" t="inlineStr">
        <is>
          <t>0254381891</t>
        </is>
      </c>
      <c r="D72" t="inlineStr">
        <is>
          <t>jhankhandi66.saragih@gmail.com</t>
        </is>
      </c>
      <c r="E72" t="inlineStr">
        <is>
          <t>https://lpjk.pu.go.id/search-badan-usaha-detail/YkJGR3laSmtNVkl4WldSRGlMblB4dz09</t>
        </is>
      </c>
      <c r="F72" t="n">
        <v>1</v>
      </c>
      <c r="G72" t="inlineStr">
        <is>
          <t>BG009</t>
        </is>
      </c>
      <c r="H72" t="inlineStr">
        <is>
          <t>27 Februari 2012</t>
        </is>
      </c>
      <c r="I72" s="2" t="n">
        <v>46221</v>
      </c>
      <c r="J72" t="inlineStr">
        <is>
          <t>Disetujui</t>
        </is>
      </c>
      <c r="K72" t="n">
        <v>30</v>
      </c>
      <c r="L72" t="inlineStr">
        <is>
          <t>18 Juli 2026</t>
        </is>
      </c>
      <c r="M72" t="inlineStr">
        <is>
          <t>Konstruksi Gedung Lainnya</t>
        </is>
      </c>
      <c r="N72" t="inlineStr">
        <is>
          <t>M</t>
        </is>
      </c>
      <c r="O72" t="inlineStr">
        <is>
          <t>20230704</t>
        </is>
      </c>
      <c r="P72" t="inlineStr">
        <is>
          <t>Banten</t>
        </is>
      </c>
      <c r="Q72" t="inlineStr"/>
    </row>
    <row r="73">
      <c r="A73" t="inlineStr">
        <is>
          <t>SUMBER AGUNG</t>
        </is>
      </c>
      <c r="B73" t="inlineStr">
        <is>
          <t>Kota Metro</t>
        </is>
      </c>
      <c r="C73" t="inlineStr">
        <is>
          <t>08127914500</t>
        </is>
      </c>
      <c r="D73" t="inlineStr">
        <is>
          <t>sumberagung17cv@gmail.com</t>
        </is>
      </c>
      <c r="E73" t="inlineStr">
        <is>
          <t>https://lpjk.pu.go.id/search-badan-usaha-detail/Wjh5anVkanBuUDViYnJybGxiaFJZZz09</t>
        </is>
      </c>
      <c r="F73" t="n">
        <v>1</v>
      </c>
      <c r="G73" t="inlineStr">
        <is>
          <t>BS001</t>
        </is>
      </c>
      <c r="H73" t="inlineStr">
        <is>
          <t>5 September 2017</t>
        </is>
      </c>
      <c r="I73" s="2" t="n">
        <v>46221</v>
      </c>
      <c r="J73" t="inlineStr">
        <is>
          <t>Disetujui</t>
        </is>
      </c>
      <c r="K73" t="n">
        <v>30</v>
      </c>
      <c r="L73" t="inlineStr">
        <is>
          <t>18 Juli 2026</t>
        </is>
      </c>
      <c r="M73" t="inlineStr">
        <is>
          <t>Konstruksi Bangunan Sipil Jalan</t>
        </is>
      </c>
      <c r="N73" t="inlineStr">
        <is>
          <t>K</t>
        </is>
      </c>
      <c r="O73" t="inlineStr">
        <is>
          <t>20230712</t>
        </is>
      </c>
      <c r="P73" t="inlineStr">
        <is>
          <t>Lampung</t>
        </is>
      </c>
      <c r="Q73" t="inlineStr"/>
    </row>
    <row r="74">
      <c r="A74" t="inlineStr">
        <is>
          <t>SUMBER INDAH YESIVIR</t>
        </is>
      </c>
      <c r="B74" t="inlineStr">
        <is>
          <t>Kab. Mimika</t>
        </is>
      </c>
      <c r="C74" t="inlineStr">
        <is>
          <t>0813467104477</t>
        </is>
      </c>
      <c r="D74" t="inlineStr">
        <is>
          <t>kogoyayerince05@gmail.com</t>
        </is>
      </c>
      <c r="E74" t="inlineStr">
        <is>
          <t>https://lpjk.pu.go.id/search-badan-usaha-detail/UXdsSHBGRHArYy82Vk1hOHE5K1RsQT09</t>
        </is>
      </c>
      <c r="F74" t="n">
        <v>1</v>
      </c>
      <c r="G74" t="inlineStr">
        <is>
          <t>BG001</t>
        </is>
      </c>
      <c r="H74" t="inlineStr">
        <is>
          <t>27 April 2015</t>
        </is>
      </c>
      <c r="I74" s="2" t="n">
        <v>46221</v>
      </c>
      <c r="J74" t="inlineStr">
        <is>
          <t>Disetujui</t>
        </is>
      </c>
      <c r="K74" t="n">
        <v>30</v>
      </c>
      <c r="L74" t="inlineStr">
        <is>
          <t>18 Juli 2026</t>
        </is>
      </c>
      <c r="M74" t="inlineStr">
        <is>
          <t>Konstruksi Gedung Hunian</t>
        </is>
      </c>
      <c r="N74" t="inlineStr">
        <is>
          <t>K</t>
        </is>
      </c>
      <c r="O74" t="inlineStr">
        <is>
          <t>20230711</t>
        </is>
      </c>
      <c r="P74" t="inlineStr">
        <is>
          <t>Papua</t>
        </is>
      </c>
      <c r="Q74" t="inlineStr"/>
    </row>
    <row r="75">
      <c r="A75" t="inlineStr">
        <is>
          <t>SURYA AGUNG BERSAUDARA</t>
        </is>
      </c>
      <c r="B75" t="inlineStr">
        <is>
          <t>Kota Banjarmasin</t>
        </is>
      </c>
      <c r="C75" t="inlineStr">
        <is>
          <t>0</t>
        </is>
      </c>
      <c r="D75" t="inlineStr">
        <is>
          <t>suryaagungbersaudara@yahoo.com</t>
        </is>
      </c>
      <c r="E75" t="inlineStr">
        <is>
          <t>https://lpjk.pu.go.id/search-badan-usaha-detail/d2VlSU5uSmloc2N2dW1XRHY1Y3lBZz09</t>
        </is>
      </c>
      <c r="F75" t="n">
        <v>1</v>
      </c>
      <c r="G75" t="inlineStr">
        <is>
          <t>BS001</t>
        </is>
      </c>
      <c r="H75" t="inlineStr">
        <is>
          <t>23 Juli 1993</t>
        </is>
      </c>
      <c r="I75" s="2" t="n">
        <v>46221</v>
      </c>
      <c r="J75" t="inlineStr">
        <is>
          <t>Disetujui</t>
        </is>
      </c>
      <c r="K75" t="n">
        <v>30</v>
      </c>
      <c r="L75" t="inlineStr">
        <is>
          <t>18 Juli 2026</t>
        </is>
      </c>
      <c r="M75" t="inlineStr">
        <is>
          <t>Konstruksi Bangunan Sipil Jalan</t>
        </is>
      </c>
      <c r="N75" t="inlineStr">
        <is>
          <t>K</t>
        </is>
      </c>
      <c r="O75" t="inlineStr">
        <is>
          <t>20230704</t>
        </is>
      </c>
      <c r="P75" t="inlineStr">
        <is>
          <t>Kalimantan Selatan</t>
        </is>
      </c>
      <c r="Q75" t="inlineStr"/>
    </row>
    <row r="76">
      <c r="A76" t="inlineStr">
        <is>
          <t>TEMAN BERSAMA KONSTRUKSI</t>
        </is>
      </c>
      <c r="B76" t="inlineStr">
        <is>
          <t>Kota Pontianak</t>
        </is>
      </c>
      <c r="C76" t="inlineStr">
        <is>
          <t>089654415418</t>
        </is>
      </c>
      <c r="D76" t="inlineStr">
        <is>
          <t>temanbersamakonstruksi@gmail.com</t>
        </is>
      </c>
      <c r="E76" t="inlineStr">
        <is>
          <t>https://lpjk.pu.go.id/search-badan-usaha-detail/N3BNNXovQ1FGWnNZM2JXNWIvNWtRQT09</t>
        </is>
      </c>
      <c r="F76" t="n">
        <v>2</v>
      </c>
      <c r="G76" t="inlineStr">
        <is>
          <t>BS004</t>
        </is>
      </c>
      <c r="H76" t="inlineStr">
        <is>
          <t>21 April 2020</t>
        </is>
      </c>
      <c r="I76" s="2" t="n">
        <v>46221</v>
      </c>
      <c r="J76" t="inlineStr">
        <is>
          <t>Disetujui</t>
        </is>
      </c>
      <c r="K76" t="n">
        <v>30</v>
      </c>
      <c r="L76" t="inlineStr">
        <is>
          <t>18 Juli 2026</t>
        </is>
      </c>
      <c r="M76" t="inlineStr">
        <is>
          <t>Konstruksi Jaringan Irigasi dan Drainase</t>
        </is>
      </c>
      <c r="N76" t="inlineStr">
        <is>
          <t>K</t>
        </is>
      </c>
      <c r="O76" t="inlineStr">
        <is>
          <t>20230718</t>
        </is>
      </c>
      <c r="P76" t="inlineStr">
        <is>
          <t>Kalimantan Barat</t>
        </is>
      </c>
      <c r="Q76" t="inlineStr"/>
    </row>
    <row r="77">
      <c r="A77" t="inlineStr">
        <is>
          <t>TENJO LAUT</t>
        </is>
      </c>
      <c r="B77" t="inlineStr">
        <is>
          <t>Kab. Kuningan</t>
        </is>
      </c>
      <c r="C77" t="inlineStr">
        <is>
          <t>081233233226</t>
        </is>
      </c>
      <c r="D77" t="inlineStr">
        <is>
          <t>tenjolaut23@gmail.com</t>
        </is>
      </c>
      <c r="E77" t="inlineStr">
        <is>
          <t>https://lpjk.pu.go.id/search-badan-usaha-detail/RXcyU0NuMEV3ZkZkQ2NiTlVKTVM1UT09</t>
        </is>
      </c>
      <c r="F77" t="n">
        <v>1</v>
      </c>
      <c r="G77" t="inlineStr">
        <is>
          <t>BS005</t>
        </is>
      </c>
      <c r="H77" t="inlineStr">
        <is>
          <t>19 Desember 1973</t>
        </is>
      </c>
      <c r="I77" s="2" t="n">
        <v>46221</v>
      </c>
      <c r="J77" t="inlineStr">
        <is>
          <t>Disetujui</t>
        </is>
      </c>
      <c r="K77" t="n">
        <v>30</v>
      </c>
      <c r="L77" t="inlineStr">
        <is>
          <t>18 Juli 2026</t>
        </is>
      </c>
      <c r="M77" t="inlineStr">
        <is>
          <t>Konstruksi Bangunan Sipil Pengolahan Air Bersih</t>
        </is>
      </c>
      <c r="N77" t="inlineStr">
        <is>
          <t>K</t>
        </is>
      </c>
      <c r="O77" t="inlineStr">
        <is>
          <t>20230707</t>
        </is>
      </c>
      <c r="P77" t="inlineStr">
        <is>
          <t>Jawa Barat</t>
        </is>
      </c>
      <c r="Q77" t="inlineStr"/>
    </row>
    <row r="78">
      <c r="A78" t="inlineStr">
        <is>
          <t>TIGA BENIH BIG</t>
        </is>
      </c>
      <c r="B78" t="inlineStr">
        <is>
          <t>Kab. Tangerang</t>
        </is>
      </c>
      <c r="C78" t="inlineStr">
        <is>
          <t>085876258196</t>
        </is>
      </c>
      <c r="D78" t="inlineStr">
        <is>
          <t>cvtigabenihindonesia@gmail.com</t>
        </is>
      </c>
      <c r="E78" t="inlineStr">
        <is>
          <t>https://lpjk.pu.go.id/search-badan-usaha-detail/NUgxMExDQ2ljVVlBTFhHQTJJYkttdz09</t>
        </is>
      </c>
      <c r="F78" t="n">
        <v>1</v>
      </c>
      <c r="G78" t="inlineStr">
        <is>
          <t>BS004</t>
        </is>
      </c>
      <c r="H78" t="inlineStr">
        <is>
          <t>23 Juni 2023</t>
        </is>
      </c>
      <c r="I78" s="2" t="n">
        <v>46221</v>
      </c>
      <c r="J78" t="inlineStr">
        <is>
          <t>Disetujui</t>
        </is>
      </c>
      <c r="K78" t="n">
        <v>30</v>
      </c>
      <c r="L78" t="inlineStr">
        <is>
          <t>18 Juli 2026</t>
        </is>
      </c>
      <c r="M78" t="inlineStr">
        <is>
          <t>Konstruksi Jaringan Irigasi dan Drainase</t>
        </is>
      </c>
      <c r="N78" t="inlineStr">
        <is>
          <t>K</t>
        </is>
      </c>
      <c r="O78" t="inlineStr">
        <is>
          <t>20230717</t>
        </is>
      </c>
      <c r="P78" t="inlineStr">
        <is>
          <t>Banten</t>
        </is>
      </c>
      <c r="Q78" t="inlineStr"/>
    </row>
    <row r="79">
      <c r="A79" t="inlineStr">
        <is>
          <t>TIGA PILAR ENERGI</t>
        </is>
      </c>
      <c r="B79" t="inlineStr">
        <is>
          <t>Kota Adm. Jakarta Selatan</t>
        </is>
      </c>
      <c r="C79" t="inlineStr">
        <is>
          <t>02180641891</t>
        </is>
      </c>
      <c r="D79" t="inlineStr">
        <is>
          <t>daniel@tigapilarenergi.com</t>
        </is>
      </c>
      <c r="E79" t="inlineStr">
        <is>
          <t>https://lpjk.pu.go.id/search-badan-usaha-detail/NjMxRWNKYlJrRUsvd2hyRk5mbUE4UT09</t>
        </is>
      </c>
      <c r="F79" t="n">
        <v>1</v>
      </c>
      <c r="G79" t="inlineStr">
        <is>
          <t>KK007</t>
        </is>
      </c>
      <c r="H79" t="inlineStr">
        <is>
          <t>17 November 2014</t>
        </is>
      </c>
      <c r="I79" s="2" t="n">
        <v>46221</v>
      </c>
      <c r="J79" t="inlineStr">
        <is>
          <t>Disetujui</t>
        </is>
      </c>
      <c r="K79" t="n">
        <v>30</v>
      </c>
      <c r="L79" t="inlineStr">
        <is>
          <t>18 Juli 2026</t>
        </is>
      </c>
      <c r="M79" t="inlineStr">
        <is>
          <t>Pekerjaan Konstruksi Kedap Suara</t>
        </is>
      </c>
      <c r="N79" t="inlineStr">
        <is>
          <t>Spesialis</t>
        </is>
      </c>
      <c r="O79" t="inlineStr">
        <is>
          <t>20230707</t>
        </is>
      </c>
      <c r="P79" t="inlineStr">
        <is>
          <t>DKI Jakarta</t>
        </is>
      </c>
      <c r="Q79" t="inlineStr"/>
    </row>
    <row r="80">
      <c r="A80" t="inlineStr">
        <is>
          <t>TRIKARSA DINAMIKA</t>
        </is>
      </c>
      <c r="B80" t="inlineStr">
        <is>
          <t>Kab. Bojonegoro</t>
        </is>
      </c>
      <c r="C80" t="inlineStr">
        <is>
          <t>081332285988</t>
        </is>
      </c>
      <c r="D80" t="inlineStr">
        <is>
          <t>trikarsadinamika@yahoo.com</t>
        </is>
      </c>
      <c r="E80" t="inlineStr">
        <is>
          <t>https://lpjk.pu.go.id/search-badan-usaha-detail/RlJpRU81MU8vOXZJemMzNnkzdStqZz09</t>
        </is>
      </c>
      <c r="F80" t="n">
        <v>1</v>
      </c>
      <c r="G80" t="inlineStr">
        <is>
          <t>BS002</t>
        </is>
      </c>
      <c r="H80" t="inlineStr">
        <is>
          <t>4 April 2019</t>
        </is>
      </c>
      <c r="I80" s="2" t="n">
        <v>46221</v>
      </c>
      <c r="J80" t="inlineStr">
        <is>
          <t>Disetujui</t>
        </is>
      </c>
      <c r="K80" t="n">
        <v>30</v>
      </c>
      <c r="L80" t="inlineStr">
        <is>
          <t>18 Juli 2026</t>
        </is>
      </c>
      <c r="M80" t="inlineStr">
        <is>
          <t>Bangunan Sipil Jembatan, Jalan Layang, Fly Over, dan Underpass</t>
        </is>
      </c>
      <c r="N80" t="inlineStr">
        <is>
          <t>K</t>
        </is>
      </c>
      <c r="O80" t="inlineStr">
        <is>
          <t>20230717</t>
        </is>
      </c>
      <c r="P80" t="inlineStr">
        <is>
          <t>Jawa Timur</t>
        </is>
      </c>
      <c r="Q80" t="inlineStr"/>
    </row>
    <row r="81">
      <c r="A81" t="inlineStr">
        <is>
          <t>TRITUNGGAL ANUGRAH</t>
        </is>
      </c>
      <c r="B81" t="inlineStr">
        <is>
          <t>Kota Semarang</t>
        </is>
      </c>
      <c r="C81" t="inlineStr">
        <is>
          <t>0243545500</t>
        </is>
      </c>
      <c r="D81" t="inlineStr">
        <is>
          <t>tritunggalberjaya@gmail.com</t>
        </is>
      </c>
      <c r="E81" t="inlineStr">
        <is>
          <t>https://lpjk.pu.go.id/search-badan-usaha-detail/eVFRY1g4ekt2M3d2QzFrWUo1elBkUT09</t>
        </is>
      </c>
      <c r="F81" t="n">
        <v>1</v>
      </c>
      <c r="G81" t="inlineStr">
        <is>
          <t>BS017</t>
        </is>
      </c>
      <c r="H81" t="inlineStr">
        <is>
          <t>23 Oktober 1993</t>
        </is>
      </c>
      <c r="I81" s="2" t="n">
        <v>46221</v>
      </c>
      <c r="J81" t="inlineStr">
        <is>
          <t>Disetujui</t>
        </is>
      </c>
      <c r="K81" t="n">
        <v>30</v>
      </c>
      <c r="L81" t="inlineStr">
        <is>
          <t>18 Juli 2026</t>
        </is>
      </c>
      <c r="M81" t="inlineStr">
        <is>
          <t>Konstruksi Bangunan Sipil Lainnya Ytdl</t>
        </is>
      </c>
      <c r="N81" t="inlineStr">
        <is>
          <t>K</t>
        </is>
      </c>
      <c r="O81" t="inlineStr">
        <is>
          <t>20230713</t>
        </is>
      </c>
      <c r="P81" t="inlineStr">
        <is>
          <t>Jawa Tengah</t>
        </is>
      </c>
      <c r="Q81" t="inlineStr"/>
    </row>
    <row r="82">
      <c r="A82" t="inlineStr">
        <is>
          <t>VERA JUWITA</t>
        </is>
      </c>
      <c r="B82" t="inlineStr">
        <is>
          <t>Kab. Asahan</t>
        </is>
      </c>
      <c r="C82" t="inlineStr">
        <is>
          <t>082368446996</t>
        </is>
      </c>
      <c r="D82" t="inlineStr">
        <is>
          <t>cv_verajuwita777@yahoo.com</t>
        </is>
      </c>
      <c r="E82" t="inlineStr">
        <is>
          <t>https://lpjk.pu.go.id/search-badan-usaha-detail/b0YvbXZnNGdnM01MMWl5YkhzVkRUQT09</t>
        </is>
      </c>
      <c r="F82" t="n">
        <v>4</v>
      </c>
      <c r="G82" t="inlineStr">
        <is>
          <t>BG005, BG009, BS002, BS004</t>
        </is>
      </c>
      <c r="H82" t="inlineStr">
        <is>
          <t>9 Januari 2001</t>
        </is>
      </c>
      <c r="I82" s="2" t="n">
        <v>46221</v>
      </c>
      <c r="J82" t="inlineStr">
        <is>
          <t>Disetujui</t>
        </is>
      </c>
      <c r="K82" t="n">
        <v>30</v>
      </c>
      <c r="L82" t="inlineStr">
        <is>
          <t>18 Juli 2026</t>
        </is>
      </c>
      <c r="M82" t="inlineStr">
        <is>
          <t>Bangunan Sipil Jembatan, Jalan Layang, Fly Over, dan Underpass, Konstruksi Gedung Kesehatan, Konstruksi Gedung Lainnya, Konstruksi Jaringan Irigasi dan Drainase</t>
        </is>
      </c>
      <c r="N82" t="inlineStr">
        <is>
          <t>K</t>
        </is>
      </c>
      <c r="O82" t="inlineStr">
        <is>
          <t>20230616</t>
        </is>
      </c>
      <c r="P82" t="inlineStr">
        <is>
          <t>Sumatera Utara</t>
        </is>
      </c>
      <c r="Q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2026-06-18T02:26:59Z</dcterms:created>
  <dcterms:modified xsi:type="dcterms:W3CDTF">2026-06-18T02:26:59Z</dcterms:modified>
</cp:coreProperties>
</file>