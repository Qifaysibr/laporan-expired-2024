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90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7"/>
  <sheetViews>
    <sheetView workbookViewId="0">
      <selection activeCell="A1" sqref="A1"/>
    </sheetView>
  </sheetViews>
  <sheetFormatPr baseColWidth="8" defaultRowHeight="15"/>
  <cols>
    <col width="34" customWidth="1" min="1" max="1"/>
    <col width="27" customWidth="1" min="2" max="2"/>
    <col width="16" customWidth="1" min="3" max="3"/>
    <col width="39" customWidth="1" min="4" max="4"/>
    <col width="50" customWidth="1" min="5" max="5"/>
    <col width="18" customWidth="1" min="6" max="6"/>
    <col width="35" customWidth="1" min="7" max="7"/>
    <col width="20" customWidth="1" min="8" max="8"/>
    <col width="28" customWidth="1" min="9" max="9"/>
    <col width="23" customWidth="1" min="10" max="10"/>
    <col width="11" customWidth="1" min="11" max="11"/>
    <col width="18" customWidth="1" min="12" max="12"/>
    <col width="50" customWidth="1" min="13" max="13"/>
    <col width="13"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AGUNG JAYA PERSADA</t>
        </is>
      </c>
      <c r="B2" t="inlineStr">
        <is>
          <t>Kota Depok</t>
        </is>
      </c>
      <c r="C2" t="inlineStr">
        <is>
          <t>081292586812</t>
        </is>
      </c>
      <c r="D2" t="inlineStr">
        <is>
          <t>agungjayapersada1992@gmail.com</t>
        </is>
      </c>
      <c r="E2" t="inlineStr">
        <is>
          <t>https://lpjk.pu.go.id/search-badan-usaha-detail/L3lGcHFmUDRONFowMXNRZU1aaHVOQT09</t>
        </is>
      </c>
      <c r="F2" t="n">
        <v>6</v>
      </c>
      <c r="G2" t="inlineStr">
        <is>
          <t>BS001, BS002, BS004</t>
        </is>
      </c>
      <c r="H2" t="inlineStr">
        <is>
          <t>17 Februari 2015</t>
        </is>
      </c>
      <c r="I2" s="2" t="n">
        <v>46266</v>
      </c>
      <c r="J2" t="inlineStr">
        <is>
          <t>Disetujui, Pencabutan</t>
        </is>
      </c>
      <c r="K2" t="n">
        <v>90</v>
      </c>
      <c r="L2" t="inlineStr">
        <is>
          <t>1 September 2026</t>
        </is>
      </c>
      <c r="M2" t="inlineStr">
        <is>
          <t>Bangunan Sipil Jembatan, Jalan Layang, Fly Over, dan Underpass, Konstruksi Bangunan Sipil Jalan, Konstruksi Jaringan Irigasi dan Drainase</t>
        </is>
      </c>
      <c r="N2" t="inlineStr">
        <is>
          <t>K</t>
        </is>
      </c>
      <c r="O2" t="inlineStr">
        <is>
          <t>20230814, 20230815</t>
        </is>
      </c>
      <c r="P2" t="inlineStr">
        <is>
          <t>Jawa Barat</t>
        </is>
      </c>
      <c r="Q2" s="3">
        <f>HYPERLINK("https://wa.me/6281292586812?text=Selamat siang Bapak/Ibu pimpinan AGUNG JAYA PERSADA,%0A%0ASemoga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3">
      <c r="A3" t="inlineStr">
        <is>
          <t>DWIMITRA GUNATAMA KONSTRUKSI</t>
        </is>
      </c>
      <c r="B3" t="inlineStr">
        <is>
          <t>Kab. Bekasi</t>
        </is>
      </c>
      <c r="C3" t="inlineStr">
        <is>
          <t>081398586633</t>
        </is>
      </c>
      <c r="D3" t="inlineStr">
        <is>
          <t>dwimitragunatama.konstruksi@gmail.com</t>
        </is>
      </c>
      <c r="E3" t="inlineStr">
        <is>
          <t>https://lpjk.pu.go.id/search-badan-usaha-detail/UEwzSzN3Vy80UlRMQkpkci9LLzJHZz09</t>
        </is>
      </c>
      <c r="F3" t="n">
        <v>2</v>
      </c>
      <c r="G3" t="inlineStr">
        <is>
          <t>BG003, BG009</t>
        </is>
      </c>
      <c r="H3" t="inlineStr">
        <is>
          <t>1 Desember 2022</t>
        </is>
      </c>
      <c r="I3" s="2" t="n">
        <v>46266</v>
      </c>
      <c r="J3" t="inlineStr">
        <is>
          <t>Disetujui</t>
        </is>
      </c>
      <c r="K3" t="n">
        <v>90</v>
      </c>
      <c r="L3" t="inlineStr">
        <is>
          <t>1 September 2026</t>
        </is>
      </c>
      <c r="M3" t="inlineStr">
        <is>
          <t>Konstruksi Gedung Industri, Konstruksi Gedung Lainnya</t>
        </is>
      </c>
      <c r="N3" t="inlineStr">
        <is>
          <t>K</t>
        </is>
      </c>
      <c r="O3" t="inlineStr">
        <is>
          <t>20230822</t>
        </is>
      </c>
      <c r="P3" t="inlineStr">
        <is>
          <t>Jawa Barat</t>
        </is>
      </c>
      <c r="Q3" s="3">
        <f>HYPERLINK("https://wa.me/6281398586633?text=Selamat siang Bapak/Ibu pimpinan DWIMITRA GUNATAMA KONSTRUKSI,%0A%0ASemoga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4">
      <c r="A4" t="inlineStr">
        <is>
          <t>PUTRA JAYA ABADI</t>
        </is>
      </c>
      <c r="B4" t="inlineStr">
        <is>
          <t>Kota Depok</t>
        </is>
      </c>
      <c r="C4" t="inlineStr">
        <is>
          <t>02177885631</t>
        </is>
      </c>
      <c r="D4" t="inlineStr">
        <is>
          <t>p.jayaabadi2@gmail.com</t>
        </is>
      </c>
      <c r="E4" t="inlineStr">
        <is>
          <t>https://lpjk.pu.go.id/search-badan-usaha-detail/M3pBOU8vYnZ5dkMyMlpDb0t3c2xjdz09</t>
        </is>
      </c>
      <c r="F4" t="n">
        <v>2</v>
      </c>
      <c r="G4" t="inlineStr">
        <is>
          <t>BS001, BS004</t>
        </is>
      </c>
      <c r="H4" t="inlineStr">
        <is>
          <t>28 September 2016</t>
        </is>
      </c>
      <c r="I4" s="2" t="n">
        <v>46266</v>
      </c>
      <c r="J4" t="inlineStr">
        <is>
          <t>Disetujui</t>
        </is>
      </c>
      <c r="K4" t="n">
        <v>90</v>
      </c>
      <c r="L4" t="inlineStr">
        <is>
          <t>1 September 2026</t>
        </is>
      </c>
      <c r="M4" t="inlineStr">
        <is>
          <t>Konstruksi Bangunan Sipil Jalan, Konstruksi Jaringan Irigasi dan Drainase</t>
        </is>
      </c>
      <c r="N4" t="inlineStr">
        <is>
          <t>K</t>
        </is>
      </c>
      <c r="O4" t="inlineStr">
        <is>
          <t>20230901</t>
        </is>
      </c>
      <c r="P4" t="inlineStr">
        <is>
          <t>Jawa Barat</t>
        </is>
      </c>
      <c r="Q4" t="inlineStr"/>
    </row>
    <row r="5">
      <c r="A5" t="inlineStr">
        <is>
          <t>WINDU KENCANA UTAMA</t>
        </is>
      </c>
      <c r="B5" t="inlineStr">
        <is>
          <t>Kota Bogor</t>
        </is>
      </c>
      <c r="C5" t="inlineStr">
        <is>
          <t>081284574543</t>
        </is>
      </c>
      <c r="D5" t="inlineStr">
        <is>
          <t>windukencanautama9@gmail.com</t>
        </is>
      </c>
      <c r="E5" t="inlineStr">
        <is>
          <t>https://lpjk.pu.go.id/search-badan-usaha-detail/YXZaSFRqSk1Sam11N2RFUW84QitkQT09</t>
        </is>
      </c>
      <c r="F5" t="n">
        <v>2</v>
      </c>
      <c r="G5" t="inlineStr">
        <is>
          <t>BG009, BS004</t>
        </is>
      </c>
      <c r="H5" t="inlineStr">
        <is>
          <t>16 Agustus 2023</t>
        </is>
      </c>
      <c r="I5" s="2" t="n">
        <v>46266</v>
      </c>
      <c r="J5" t="inlineStr">
        <is>
          <t>Disetujui, Pencabutan</t>
        </is>
      </c>
      <c r="K5" t="n">
        <v>90</v>
      </c>
      <c r="L5" t="inlineStr">
        <is>
          <t>1 September 2026</t>
        </is>
      </c>
      <c r="M5" t="inlineStr">
        <is>
          <t>Konstruksi Gedung Lainnya, Konstruksi Jaringan Irigasi dan Drainase</t>
        </is>
      </c>
      <c r="N5" t="inlineStr">
        <is>
          <t>K</t>
        </is>
      </c>
      <c r="O5" t="inlineStr">
        <is>
          <t>20230829, 20230831</t>
        </is>
      </c>
      <c r="P5" t="inlineStr">
        <is>
          <t>Jawa Barat</t>
        </is>
      </c>
      <c r="Q5" s="3">
        <f>HYPERLINK("https://wa.me/6281284574543?text=Selamat siang Bapak/Ibu pimpinan WINDU KENCANA UTAMA,%0A%0ASemoga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6">
      <c r="A6" t="inlineStr">
        <is>
          <t>ADIKARYA GUNA NUSANTARA</t>
        </is>
      </c>
      <c r="B6" t="inlineStr">
        <is>
          <t>Kota Adm. Jakarta Selatan</t>
        </is>
      </c>
      <c r="C6" t="inlineStr">
        <is>
          <t>02183707320</t>
        </is>
      </c>
      <c r="D6" t="inlineStr">
        <is>
          <t>dinagn@yahoo.com</t>
        </is>
      </c>
      <c r="E6" t="inlineStr">
        <is>
          <t>https://lpjk.pu.go.id/search-badan-usaha-detail/MjNYNFlRUkc3LzFkNU1VU09yU05hZz09</t>
        </is>
      </c>
      <c r="F6" t="n">
        <v>2</v>
      </c>
      <c r="G6" t="inlineStr">
        <is>
          <t>BG002</t>
        </is>
      </c>
      <c r="H6" t="inlineStr">
        <is>
          <t>12 Februari 2002</t>
        </is>
      </c>
      <c r="I6" s="2" t="n">
        <v>46266</v>
      </c>
      <c r="J6" t="inlineStr">
        <is>
          <t>Pencabutan</t>
        </is>
      </c>
      <c r="K6" t="n">
        <v>90</v>
      </c>
      <c r="L6" t="inlineStr">
        <is>
          <t>1 September 2026</t>
        </is>
      </c>
      <c r="M6" t="inlineStr">
        <is>
          <t>Konstruksi Gedung Perkantoran</t>
        </is>
      </c>
      <c r="N6" t="inlineStr">
        <is>
          <t>K</t>
        </is>
      </c>
      <c r="O6" t="inlineStr">
        <is>
          <t>20230830</t>
        </is>
      </c>
      <c r="P6" t="inlineStr">
        <is>
          <t>DKI Jakarta</t>
        </is>
      </c>
      <c r="Q6" t="inlineStr"/>
    </row>
    <row r="7">
      <c r="A7" t="inlineStr">
        <is>
          <t>ADITYA JAYA UTAMA</t>
        </is>
      </c>
      <c r="B7" t="inlineStr">
        <is>
          <t>Kota Makassar</t>
        </is>
      </c>
      <c r="C7" t="inlineStr">
        <is>
          <t>0411-4672747</t>
        </is>
      </c>
      <c r="D7" t="inlineStr">
        <is>
          <t>cvadityajayautama68@gmail.com</t>
        </is>
      </c>
      <c r="E7" t="inlineStr">
        <is>
          <t>https://lpjk.pu.go.id/search-badan-usaha-detail/enBjTjFhK0RwRE9oSXlLTWtJWjhLdz09</t>
        </is>
      </c>
      <c r="F7" t="n">
        <v>1</v>
      </c>
      <c r="G7" t="inlineStr">
        <is>
          <t>BS001</t>
        </is>
      </c>
      <c r="H7" t="inlineStr">
        <is>
          <t>22 Agustus 2016</t>
        </is>
      </c>
      <c r="I7" s="2" t="n">
        <v>46266</v>
      </c>
      <c r="J7" t="inlineStr">
        <is>
          <t>Disetujui</t>
        </is>
      </c>
      <c r="K7" t="n">
        <v>90</v>
      </c>
      <c r="L7" t="inlineStr">
        <is>
          <t>1 September 2026</t>
        </is>
      </c>
      <c r="M7" t="inlineStr">
        <is>
          <t>Konstruksi Bangunan Sipil Jalan</t>
        </is>
      </c>
      <c r="N7" t="inlineStr">
        <is>
          <t>K</t>
        </is>
      </c>
      <c r="O7" t="inlineStr">
        <is>
          <t>20230901</t>
        </is>
      </c>
      <c r="P7" t="inlineStr">
        <is>
          <t>Sulawesi Selatan</t>
        </is>
      </c>
      <c r="Q7" t="inlineStr"/>
    </row>
    <row r="8">
      <c r="A8" t="inlineStr">
        <is>
          <t>ADRIAN</t>
        </is>
      </c>
      <c r="B8" t="inlineStr">
        <is>
          <t>Kab. Sintang</t>
        </is>
      </c>
      <c r="C8" t="inlineStr">
        <is>
          <t>082350042240</t>
        </is>
      </c>
      <c r="D8" t="inlineStr">
        <is>
          <t>cvadrian990@gmail.com</t>
        </is>
      </c>
      <c r="E8" t="inlineStr">
        <is>
          <t>https://lpjk.pu.go.id/search-badan-usaha-detail/a0JIbERzY1NpNzBFTTdkall3Z0lKdz09</t>
        </is>
      </c>
      <c r="F8" t="n">
        <v>1</v>
      </c>
      <c r="G8" t="inlineStr">
        <is>
          <t>BS001</t>
        </is>
      </c>
      <c r="H8" t="inlineStr">
        <is>
          <t>15 Juni 2020</t>
        </is>
      </c>
      <c r="I8" s="2" t="n">
        <v>46266</v>
      </c>
      <c r="J8" t="inlineStr">
        <is>
          <t>Disetujui</t>
        </is>
      </c>
      <c r="K8" t="n">
        <v>90</v>
      </c>
      <c r="L8" t="inlineStr">
        <is>
          <t>1 September 2026</t>
        </is>
      </c>
      <c r="M8" t="inlineStr">
        <is>
          <t>Konstruksi Bangunan Sipil Jalan</t>
        </is>
      </c>
      <c r="N8" t="inlineStr">
        <is>
          <t>K</t>
        </is>
      </c>
      <c r="O8" t="inlineStr">
        <is>
          <t>20230829</t>
        </is>
      </c>
      <c r="P8" t="inlineStr">
        <is>
          <t>Kalimantan Barat</t>
        </is>
      </c>
      <c r="Q8" t="inlineStr"/>
    </row>
    <row r="9">
      <c r="A9" t="inlineStr">
        <is>
          <t>ANUGERAH HASEA JAYA</t>
        </is>
      </c>
      <c r="B9" t="inlineStr">
        <is>
          <t>Kota Medan</t>
        </is>
      </c>
      <c r="C9" t="inlineStr">
        <is>
          <t>081260062002</t>
        </is>
      </c>
      <c r="D9" t="inlineStr">
        <is>
          <t>ptanugerahhaseajaya@gmail.com</t>
        </is>
      </c>
      <c r="E9" t="inlineStr">
        <is>
          <t>https://lpjk.pu.go.id/search-badan-usaha-detail/ZlYwV0lJUUVVOHJzekUwa0lLNmNKUT09</t>
        </is>
      </c>
      <c r="F9" t="n">
        <v>1</v>
      </c>
      <c r="G9" t="inlineStr">
        <is>
          <t>BG003</t>
        </is>
      </c>
      <c r="H9" t="inlineStr">
        <is>
          <t>16 Mei 2016</t>
        </is>
      </c>
      <c r="I9" s="2" t="n">
        <v>46266</v>
      </c>
      <c r="J9" t="inlineStr">
        <is>
          <t>Disetujui</t>
        </is>
      </c>
      <c r="K9" t="n">
        <v>90</v>
      </c>
      <c r="L9" t="inlineStr">
        <is>
          <t>1 September 2026</t>
        </is>
      </c>
      <c r="M9" t="inlineStr">
        <is>
          <t>Konstruksi Gedung Industri</t>
        </is>
      </c>
      <c r="N9" t="inlineStr">
        <is>
          <t>K</t>
        </is>
      </c>
      <c r="O9" t="inlineStr">
        <is>
          <t>20230718</t>
        </is>
      </c>
      <c r="P9" t="inlineStr">
        <is>
          <t>Sumatera Utara</t>
        </is>
      </c>
      <c r="Q9" t="inlineStr"/>
    </row>
    <row r="10">
      <c r="A10" t="inlineStr">
        <is>
          <t>ANZALI PUTRA</t>
        </is>
      </c>
      <c r="B10" t="inlineStr">
        <is>
          <t>Kota Mataram</t>
        </is>
      </c>
      <c r="C10" t="inlineStr">
        <is>
          <t>081803746117</t>
        </is>
      </c>
      <c r="D10" t="inlineStr">
        <is>
          <t>anzali_putra@yahoo.co.id</t>
        </is>
      </c>
      <c r="E10" t="inlineStr">
        <is>
          <t>https://lpjk.pu.go.id/search-badan-usaha-detail/V3lwbzJJOXJQYlhKOWpmdkUzRHI3dz09</t>
        </is>
      </c>
      <c r="F10" t="n">
        <v>1</v>
      </c>
      <c r="G10" t="inlineStr">
        <is>
          <t>BS001</t>
        </is>
      </c>
      <c r="H10" t="inlineStr">
        <is>
          <t>20 Februari 2019</t>
        </is>
      </c>
      <c r="I10" s="2" t="n">
        <v>46266</v>
      </c>
      <c r="J10" t="inlineStr">
        <is>
          <t>Disetujui</t>
        </is>
      </c>
      <c r="K10" t="n">
        <v>90</v>
      </c>
      <c r="L10" t="inlineStr">
        <is>
          <t>1 September 2026</t>
        </is>
      </c>
      <c r="M10" t="inlineStr">
        <is>
          <t>Konstruksi Bangunan Sipil Jalan</t>
        </is>
      </c>
      <c r="N10" t="inlineStr">
        <is>
          <t>K</t>
        </is>
      </c>
      <c r="O10" t="inlineStr">
        <is>
          <t>20230616</t>
        </is>
      </c>
      <c r="P10" t="inlineStr">
        <is>
          <t>Nusa Tenggara Barat</t>
        </is>
      </c>
      <c r="Q10" t="inlineStr"/>
    </row>
    <row r="11">
      <c r="A11" t="inlineStr">
        <is>
          <t>ARTA MAHESA MANDIRI</t>
        </is>
      </c>
      <c r="B11" t="inlineStr">
        <is>
          <t>Kota Medan</t>
        </is>
      </c>
      <c r="C11" t="inlineStr">
        <is>
          <t>085322036446</t>
        </is>
      </c>
      <c r="D11" t="inlineStr">
        <is>
          <t>artamahesamandiri@gmail.com</t>
        </is>
      </c>
      <c r="E11" t="inlineStr">
        <is>
          <t>https://lpjk.pu.go.id/search-badan-usaha-detail/RGdXcTZWcVpZM3pFbTZqNUZvbkdvZz09</t>
        </is>
      </c>
      <c r="F11" t="n">
        <v>5</v>
      </c>
      <c r="G11" t="inlineStr">
        <is>
          <t>BG001, BG002, BG005, BG006, BG009</t>
        </is>
      </c>
      <c r="H11" t="inlineStr">
        <is>
          <t>31 Juli 2023</t>
        </is>
      </c>
      <c r="I11" s="2" t="n">
        <v>46266</v>
      </c>
      <c r="J11" t="inlineStr">
        <is>
          <t>Disetujui</t>
        </is>
      </c>
      <c r="K11" t="n">
        <v>90</v>
      </c>
      <c r="L11" t="inlineStr">
        <is>
          <t>1 September 2026</t>
        </is>
      </c>
      <c r="M11" t="inlineStr">
        <is>
          <t>Konstruksi Gedung Hunian, Konstruksi Gedung Kesehatan, Konstruksi Gedung Lainnya, Konstruksi Gedung Pendidikan, Konstruksi Gedung Perkantoran</t>
        </is>
      </c>
      <c r="N11" t="inlineStr">
        <is>
          <t>K</t>
        </is>
      </c>
      <c r="O11" t="inlineStr">
        <is>
          <t>20230830</t>
        </is>
      </c>
      <c r="P11" t="inlineStr">
        <is>
          <t>Sumatera Utara</t>
        </is>
      </c>
      <c r="Q11" t="inlineStr"/>
    </row>
    <row r="12">
      <c r="A12" t="inlineStr">
        <is>
          <t>BAHANA MITRA PERSADA</t>
        </is>
      </c>
      <c r="B12" t="inlineStr">
        <is>
          <t>Kota Pekanbaru</t>
        </is>
      </c>
      <c r="C12" t="inlineStr">
        <is>
          <t>081269950000</t>
        </is>
      </c>
      <c r="D12" t="inlineStr">
        <is>
          <t>cv.bahanamitrapersada@gmail.com</t>
        </is>
      </c>
      <c r="E12" t="inlineStr">
        <is>
          <t>https://lpjk.pu.go.id/search-badan-usaha-detail/KzFWNmdRaXMxeEdXZTRzUGJxQXY2Zz09</t>
        </is>
      </c>
      <c r="F12" t="n">
        <v>5</v>
      </c>
      <c r="G12" t="inlineStr">
        <is>
          <t>BG002, BG004, BG006, BG008, BG009</t>
        </is>
      </c>
      <c r="H12" t="inlineStr">
        <is>
          <t>30 November 2015</t>
        </is>
      </c>
      <c r="I12" s="2" t="n">
        <v>46266</v>
      </c>
      <c r="J12" t="inlineStr">
        <is>
          <t>Disetujui</t>
        </is>
      </c>
      <c r="K12" t="n">
        <v>90</v>
      </c>
      <c r="L12" t="inlineStr">
        <is>
          <t>1 September 2026</t>
        </is>
      </c>
      <c r="M12" t="inlineStr">
        <is>
          <t>Konstruksi Gedung Lainnya, Konstruksi Gedung Pendidikan, Konstruksi Gedung Perbelanjaan, Konstruksi Gedung Perkantoran, Konstruksi Gedung Tempat Hiburan dan Olahraga</t>
        </is>
      </c>
      <c r="N12" t="inlineStr">
        <is>
          <t>K</t>
        </is>
      </c>
      <c r="O12" t="inlineStr">
        <is>
          <t>20230829, 20230830, 20230831</t>
        </is>
      </c>
      <c r="P12" t="inlineStr">
        <is>
          <t>Riau</t>
        </is>
      </c>
      <c r="Q12" t="inlineStr"/>
    </row>
    <row r="13">
      <c r="A13" t="inlineStr">
        <is>
          <t>BAKTI MULYA</t>
        </is>
      </c>
      <c r="B13" t="inlineStr">
        <is>
          <t>Kota Tangerang</t>
        </is>
      </c>
      <c r="C13" t="inlineStr">
        <is>
          <t>081290692260</t>
        </is>
      </c>
      <c r="D13" t="inlineStr">
        <is>
          <t>baktimulya20@gmail.com</t>
        </is>
      </c>
      <c r="E13" t="inlineStr">
        <is>
          <t>https://lpjk.pu.go.id/search-badan-usaha-detail/YVBrNnFhRWJQNFdDTFNoaGNKUFVLdz09</t>
        </is>
      </c>
      <c r="F13" t="n">
        <v>1</v>
      </c>
      <c r="G13" t="inlineStr">
        <is>
          <t>BS001</t>
        </is>
      </c>
      <c r="H13" t="inlineStr">
        <is>
          <t>12 Agustus 1987</t>
        </is>
      </c>
      <c r="I13" s="2" t="n">
        <v>46266</v>
      </c>
      <c r="J13" t="inlineStr">
        <is>
          <t>Disetujui</t>
        </is>
      </c>
      <c r="K13" t="n">
        <v>90</v>
      </c>
      <c r="L13" t="inlineStr">
        <is>
          <t>1 September 2026</t>
        </is>
      </c>
      <c r="M13" t="inlineStr">
        <is>
          <t>Konstruksi Bangunan Sipil Jalan</t>
        </is>
      </c>
      <c r="N13" t="inlineStr">
        <is>
          <t>K</t>
        </is>
      </c>
      <c r="O13" t="inlineStr">
        <is>
          <t>20230824</t>
        </is>
      </c>
      <c r="P13" t="inlineStr">
        <is>
          <t>Banten</t>
        </is>
      </c>
      <c r="Q13" t="inlineStr"/>
    </row>
    <row r="14">
      <c r="A14" t="inlineStr">
        <is>
          <t>BAYU NIKA</t>
        </is>
      </c>
      <c r="B14" t="inlineStr">
        <is>
          <t>Kota Samarinda</t>
        </is>
      </c>
      <c r="C14" t="inlineStr">
        <is>
          <t>082354343123</t>
        </is>
      </c>
      <c r="D14" t="inlineStr">
        <is>
          <t>bayunika@gmail.com</t>
        </is>
      </c>
      <c r="E14" t="inlineStr">
        <is>
          <t>https://lpjk.pu.go.id/search-badan-usaha-detail/d0ljM0tlSDhyODRzN2c4YjZXU0NWdz09</t>
        </is>
      </c>
      <c r="F14" t="n">
        <v>4</v>
      </c>
      <c r="G14" t="inlineStr">
        <is>
          <t>BG002, BG005, BG006, BG009</t>
        </is>
      </c>
      <c r="H14" t="inlineStr">
        <is>
          <t>18 September 1992</t>
        </is>
      </c>
      <c r="I14" s="2" t="n">
        <v>46266</v>
      </c>
      <c r="J14" t="inlineStr">
        <is>
          <t>Disetujui</t>
        </is>
      </c>
      <c r="K14" t="n">
        <v>90</v>
      </c>
      <c r="L14" t="inlineStr">
        <is>
          <t>1 September 2026</t>
        </is>
      </c>
      <c r="M14" t="inlineStr">
        <is>
          <t>Konstruksi Gedung Kesehatan, Konstruksi Gedung Lainnya, Konstruksi Gedung Pendidikan, Konstruksi Gedung Perkantoran</t>
        </is>
      </c>
      <c r="N14" t="inlineStr">
        <is>
          <t>K</t>
        </is>
      </c>
      <c r="O14" t="inlineStr">
        <is>
          <t>20230901</t>
        </is>
      </c>
      <c r="P14" t="inlineStr">
        <is>
          <t>Kalimantan Timur</t>
        </is>
      </c>
      <c r="Q14" t="inlineStr"/>
    </row>
    <row r="15">
      <c r="A15" t="inlineStr">
        <is>
          <t>BINTANG KENCANA</t>
        </is>
      </c>
      <c r="B15" t="inlineStr">
        <is>
          <t>Kota Sawahlunto</t>
        </is>
      </c>
      <c r="C15" t="inlineStr">
        <is>
          <t>085374716667</t>
        </is>
      </c>
      <c r="D15" t="inlineStr">
        <is>
          <t>rudibintangkencana@gmail.com</t>
        </is>
      </c>
      <c r="E15" t="inlineStr">
        <is>
          <t>https://lpjk.pu.go.id/search-badan-usaha-detail/OGpFRUtNSkJiMmRzS3F1bjJxbzRJUT09</t>
        </is>
      </c>
      <c r="F15" t="n">
        <v>2</v>
      </c>
      <c r="G15" t="inlineStr">
        <is>
          <t>BS001</t>
        </is>
      </c>
      <c r="H15" t="inlineStr">
        <is>
          <t>22 Juni 2012</t>
        </is>
      </c>
      <c r="I15" s="2" t="n">
        <v>46266</v>
      </c>
      <c r="J15" t="inlineStr">
        <is>
          <t>Disetujui</t>
        </is>
      </c>
      <c r="K15" t="n">
        <v>90</v>
      </c>
      <c r="L15" t="inlineStr">
        <is>
          <t>1 September 2026</t>
        </is>
      </c>
      <c r="M15" t="inlineStr">
        <is>
          <t>Konstruksi Bangunan Sipil Jalan</t>
        </is>
      </c>
      <c r="N15" t="inlineStr">
        <is>
          <t>K</t>
        </is>
      </c>
      <c r="O15" t="inlineStr">
        <is>
          <t>20230818</t>
        </is>
      </c>
      <c r="P15" t="inlineStr">
        <is>
          <t>Sumatera Barat</t>
        </is>
      </c>
      <c r="Q15" t="inlineStr"/>
    </row>
    <row r="16">
      <c r="A16" t="inlineStr">
        <is>
          <t>BOEMI ANUGRAH</t>
        </is>
      </c>
      <c r="B16" t="inlineStr">
        <is>
          <t>Kab. Hulu Sungai Utara</t>
        </is>
      </c>
      <c r="C16" t="inlineStr">
        <is>
          <t>085346986608</t>
        </is>
      </c>
      <c r="D16" t="inlineStr">
        <is>
          <t>cvboemianugrah@gmail.com</t>
        </is>
      </c>
      <c r="E16" t="inlineStr">
        <is>
          <t>https://lpjk.pu.go.id/search-badan-usaha-detail/K2tXVG1ad3pOTWlnWmRKMUFncmhQQT09</t>
        </is>
      </c>
      <c r="F16" t="n">
        <v>1</v>
      </c>
      <c r="G16" t="inlineStr">
        <is>
          <t>BG009</t>
        </is>
      </c>
      <c r="H16" t="inlineStr">
        <is>
          <t>19 Juni 2019</t>
        </is>
      </c>
      <c r="I16" s="2" t="n">
        <v>46266</v>
      </c>
      <c r="J16" t="inlineStr">
        <is>
          <t>Pencabutan</t>
        </is>
      </c>
      <c r="K16" t="n">
        <v>90</v>
      </c>
      <c r="L16" t="inlineStr">
        <is>
          <t>1 September 2026</t>
        </is>
      </c>
      <c r="M16" t="inlineStr">
        <is>
          <t>Konstruksi Gedung Lainnya</t>
        </is>
      </c>
      <c r="N16" t="inlineStr">
        <is>
          <t>K</t>
        </is>
      </c>
      <c r="O16" t="inlineStr">
        <is>
          <t>20230830</t>
        </is>
      </c>
      <c r="P16" t="inlineStr">
        <is>
          <t>Kalimantan Selatan</t>
        </is>
      </c>
      <c r="Q16" t="inlineStr"/>
    </row>
    <row r="17">
      <c r="A17" t="inlineStr">
        <is>
          <t>DELAPAN SEMBILAN ENERGI</t>
        </is>
      </c>
      <c r="B17" t="inlineStr">
        <is>
          <t>Kab. Banggai</t>
        </is>
      </c>
      <c r="C17" t="inlineStr">
        <is>
          <t>082194565653</t>
        </is>
      </c>
      <c r="D17" t="inlineStr">
        <is>
          <t>delapansembilanenergi89@gmail.com</t>
        </is>
      </c>
      <c r="E17" t="inlineStr">
        <is>
          <t>https://lpjk.pu.go.id/search-badan-usaha-detail/OUpEUXdCQnZkMVFkODFXcGtWL01ldz09</t>
        </is>
      </c>
      <c r="F17" t="n">
        <v>8</v>
      </c>
      <c r="G17" t="inlineStr">
        <is>
          <t>BG002, BG003, BG009, BS002</t>
        </is>
      </c>
      <c r="H17" t="inlineStr">
        <is>
          <t>23 Januari 2020</t>
        </is>
      </c>
      <c r="I17" s="2" t="n">
        <v>46266</v>
      </c>
      <c r="J17" t="inlineStr">
        <is>
          <t>Disetujui</t>
        </is>
      </c>
      <c r="K17" t="n">
        <v>90</v>
      </c>
      <c r="L17" t="inlineStr">
        <is>
          <t>1 September 2026</t>
        </is>
      </c>
      <c r="M17" t="inlineStr">
        <is>
          <t>Bangunan Sipil Jembatan, Jalan Layang, Fly Over, dan Underpass, Konstruksi Gedung Industri, Konstruksi Gedung Lainnya, Konstruksi Gedung Perkantoran</t>
        </is>
      </c>
      <c r="N17" t="inlineStr">
        <is>
          <t>K</t>
        </is>
      </c>
      <c r="O17" t="inlineStr">
        <is>
          <t>20230829, 20230830</t>
        </is>
      </c>
      <c r="P17" t="inlineStr">
        <is>
          <t>Sulawesi Tengah</t>
        </is>
      </c>
      <c r="Q17" t="inlineStr"/>
    </row>
    <row r="18">
      <c r="A18" t="inlineStr">
        <is>
          <t>DUTA KALTIM PERSADA</t>
        </is>
      </c>
      <c r="B18" t="inlineStr">
        <is>
          <t>Kab. Penajam Paser Utara</t>
        </is>
      </c>
      <c r="C18" t="inlineStr">
        <is>
          <t>081253091517</t>
        </is>
      </c>
      <c r="D18" t="inlineStr">
        <is>
          <t>sahabuddin2707@gmail.com</t>
        </is>
      </c>
      <c r="E18" t="inlineStr">
        <is>
          <t>https://lpjk.pu.go.id/search-badan-usaha-detail/MmNlNWw0MUxNVWhhYmpQVU0vK1lMdz09</t>
        </is>
      </c>
      <c r="F18" t="n">
        <v>2</v>
      </c>
      <c r="G18" t="inlineStr">
        <is>
          <t>BG006, BG009</t>
        </is>
      </c>
      <c r="H18" t="inlineStr">
        <is>
          <t>5 Oktober 2020</t>
        </is>
      </c>
      <c r="I18" s="2" t="n">
        <v>46266</v>
      </c>
      <c r="J18" t="inlineStr">
        <is>
          <t>Disetujui</t>
        </is>
      </c>
      <c r="K18" t="n">
        <v>90</v>
      </c>
      <c r="L18" t="inlineStr">
        <is>
          <t>1 September 2026</t>
        </is>
      </c>
      <c r="M18" t="inlineStr">
        <is>
          <t>Konstruksi Gedung Lainnya, Konstruksi Gedung Pendidikan</t>
        </is>
      </c>
      <c r="N18" t="inlineStr">
        <is>
          <t>K</t>
        </is>
      </c>
      <c r="O18" t="inlineStr">
        <is>
          <t>20230727</t>
        </is>
      </c>
      <c r="P18" t="inlineStr">
        <is>
          <t>Kalimantan Timur</t>
        </is>
      </c>
      <c r="Q18" t="inlineStr"/>
    </row>
    <row r="19">
      <c r="A19" t="inlineStr">
        <is>
          <t>DYTA UTAMA KONSTRUKSI</t>
        </is>
      </c>
      <c r="B19" t="inlineStr">
        <is>
          <t>Kota Palu</t>
        </is>
      </c>
      <c r="C19" t="inlineStr">
        <is>
          <t>082298316221</t>
        </is>
      </c>
      <c r="D19" t="inlineStr">
        <is>
          <t>dytautamakonstruksi@gmail.com</t>
        </is>
      </c>
      <c r="E19" t="inlineStr">
        <is>
          <t>https://lpjk.pu.go.id/search-badan-usaha-detail/Y0FlN3l5a3d1UHhiTlc4NVh3MTZvUT09</t>
        </is>
      </c>
      <c r="F19" t="n">
        <v>1</v>
      </c>
      <c r="G19" t="inlineStr">
        <is>
          <t>BS005</t>
        </is>
      </c>
      <c r="H19" t="inlineStr">
        <is>
          <t>13 Mei 2023</t>
        </is>
      </c>
      <c r="I19" s="2" t="n">
        <v>46266</v>
      </c>
      <c r="J19" t="inlineStr">
        <is>
          <t>Pencabutan</t>
        </is>
      </c>
      <c r="K19" t="n">
        <v>90</v>
      </c>
      <c r="L19" t="inlineStr">
        <is>
          <t>1 September 2026</t>
        </is>
      </c>
      <c r="M19" t="inlineStr">
        <is>
          <t>Konstruksi Bangunan Sipil Pengolahan Air Bersih</t>
        </is>
      </c>
      <c r="N19" t="inlineStr">
        <is>
          <t>K</t>
        </is>
      </c>
      <c r="O19" t="inlineStr">
        <is>
          <t>20230831</t>
        </is>
      </c>
      <c r="P19" t="inlineStr">
        <is>
          <t>Sulawesi Tengah</t>
        </is>
      </c>
      <c r="Q19" t="inlineStr"/>
    </row>
    <row r="20">
      <c r="A20" t="inlineStr">
        <is>
          <t>ESTETIKA JAYA PERKASA</t>
        </is>
      </c>
      <c r="B20" t="inlineStr">
        <is>
          <t>Kota Adm. Jakarta Utara</t>
        </is>
      </c>
      <c r="C20" t="inlineStr">
        <is>
          <t>02163853333</t>
        </is>
      </c>
      <c r="D20" t="inlineStr">
        <is>
          <t>nibteddyng@gmail.com</t>
        </is>
      </c>
      <c r="E20" t="inlineStr">
        <is>
          <t>https://lpjk.pu.go.id/search-badan-usaha-detail/L2NWVU15dk5PQzk4YTdPUzlWWmNBdz09</t>
        </is>
      </c>
      <c r="F20" t="n">
        <v>5</v>
      </c>
      <c r="G20" t="inlineStr">
        <is>
          <t>PB001, PB003, PB004, PB005, PB007</t>
        </is>
      </c>
      <c r="H20" t="inlineStr">
        <is>
          <t>9 Februari 2016</t>
        </is>
      </c>
      <c r="I20" s="2" t="n">
        <v>46266</v>
      </c>
      <c r="J20" t="inlineStr">
        <is>
          <t>Pembekuan</t>
        </is>
      </c>
      <c r="K20" t="n">
        <v>90</v>
      </c>
      <c r="L20" t="inlineStr">
        <is>
          <t>1 September 2026</t>
        </is>
      </c>
      <c r="M20" t="inlineStr">
        <is>
          <t>Dekorasi Interior, Pemasangan Ornamen dan Pekerjaan Seni, Pengecatan, Pengerjaan Lantai, Dinding, Peralatan Saniter dan Plafon, Pengerjaan Pemasangan Kaca dan Alumunium</t>
        </is>
      </c>
      <c r="N20" t="inlineStr">
        <is>
          <t>Spesialis</t>
        </is>
      </c>
      <c r="O20" t="inlineStr">
        <is>
          <t>20230825</t>
        </is>
      </c>
      <c r="P20" t="inlineStr">
        <is>
          <t>DKI Jakarta</t>
        </is>
      </c>
      <c r="Q20" t="inlineStr"/>
    </row>
    <row r="21">
      <c r="A21" t="inlineStr">
        <is>
          <t>FAJAR CIPTA MANDIRI</t>
        </is>
      </c>
      <c r="B21" t="inlineStr">
        <is>
          <t>Kota Pekanbaru</t>
        </is>
      </c>
      <c r="C21" t="inlineStr">
        <is>
          <t>082328059642</t>
        </is>
      </c>
      <c r="D21" t="inlineStr">
        <is>
          <t>fajarciptamandiri@yahoo.com</t>
        </is>
      </c>
      <c r="E21" t="inlineStr">
        <is>
          <t>https://lpjk.pu.go.id/search-badan-usaha-detail/STZHSXZpMWdXUzRnK2x2ZGQ0emtYZz09</t>
        </is>
      </c>
      <c r="F21" t="n">
        <v>1</v>
      </c>
      <c r="G21" t="inlineStr">
        <is>
          <t>BS004</t>
        </is>
      </c>
      <c r="H21" t="inlineStr">
        <is>
          <t>13 Januari 2014</t>
        </is>
      </c>
      <c r="I21" s="2" t="n">
        <v>46266</v>
      </c>
      <c r="J21" t="inlineStr">
        <is>
          <t>Disetujui</t>
        </is>
      </c>
      <c r="K21" t="n">
        <v>90</v>
      </c>
      <c r="L21" t="inlineStr">
        <is>
          <t>1 September 2026</t>
        </is>
      </c>
      <c r="M21" t="inlineStr">
        <is>
          <t>Konstruksi Jaringan Irigasi dan Drainase</t>
        </is>
      </c>
      <c r="N21" t="inlineStr">
        <is>
          <t>K</t>
        </is>
      </c>
      <c r="O21" t="inlineStr">
        <is>
          <t>20230830</t>
        </is>
      </c>
      <c r="P21" t="inlineStr">
        <is>
          <t>Riau</t>
        </is>
      </c>
      <c r="Q21" t="inlineStr"/>
    </row>
    <row r="22">
      <c r="A22" t="inlineStr">
        <is>
          <t>FARIS JAYA PRATAMA</t>
        </is>
      </c>
      <c r="B22" t="inlineStr">
        <is>
          <t>Kota Pontianak</t>
        </is>
      </c>
      <c r="C22" t="inlineStr">
        <is>
          <t>085388449699</t>
        </is>
      </c>
      <c r="D22" t="inlineStr">
        <is>
          <t>fidia23hartika@gmail.com</t>
        </is>
      </c>
      <c r="E22" t="inlineStr">
        <is>
          <t>https://lpjk.pu.go.id/search-badan-usaha-detail/RkFCYkFtaFc4R2VWL3VZelJJL01qZz09</t>
        </is>
      </c>
      <c r="F22" t="n">
        <v>2</v>
      </c>
      <c r="G22" t="inlineStr">
        <is>
          <t>BG002, BS001</t>
        </is>
      </c>
      <c r="H22" t="inlineStr">
        <is>
          <t>28 Januari 2019</t>
        </is>
      </c>
      <c r="I22" s="2" t="n">
        <v>46266</v>
      </c>
      <c r="J22" t="inlineStr">
        <is>
          <t>Disetujui</t>
        </is>
      </c>
      <c r="K22" t="n">
        <v>90</v>
      </c>
      <c r="L22" t="inlineStr">
        <is>
          <t>1 September 2026</t>
        </is>
      </c>
      <c r="M22" t="inlineStr">
        <is>
          <t>Konstruksi Bangunan Sipil Jalan, Konstruksi Gedung Perkantoran</t>
        </is>
      </c>
      <c r="N22" t="inlineStr">
        <is>
          <t>K</t>
        </is>
      </c>
      <c r="O22" t="inlineStr">
        <is>
          <t>20230902</t>
        </is>
      </c>
      <c r="P22" t="inlineStr">
        <is>
          <t>Kalimantan Barat</t>
        </is>
      </c>
      <c r="Q22" t="inlineStr"/>
    </row>
    <row r="23">
      <c r="A23" t="inlineStr">
        <is>
          <t>GRAHA TUAH RIAU</t>
        </is>
      </c>
      <c r="B23" t="inlineStr">
        <is>
          <t>Kota Pekanbaru</t>
        </is>
      </c>
      <c r="C23" t="inlineStr">
        <is>
          <t>081365730240</t>
        </is>
      </c>
      <c r="D23" t="inlineStr">
        <is>
          <t>cvgrahatuahriau@gmail.com</t>
        </is>
      </c>
      <c r="E23" t="inlineStr">
        <is>
          <t>https://lpjk.pu.go.id/search-badan-usaha-detail/bTdJdHZRZjNEWU9LYmI5WjQ2YjhRQT09</t>
        </is>
      </c>
      <c r="F23" t="n">
        <v>2</v>
      </c>
      <c r="G23" t="inlineStr">
        <is>
          <t>BG009, BS001</t>
        </is>
      </c>
      <c r="H23" t="inlineStr">
        <is>
          <t>3 Juli 2020</t>
        </is>
      </c>
      <c r="I23" s="2" t="n">
        <v>46266</v>
      </c>
      <c r="J23" t="inlineStr">
        <is>
          <t>Disetujui</t>
        </is>
      </c>
      <c r="K23" t="n">
        <v>90</v>
      </c>
      <c r="L23" t="inlineStr">
        <is>
          <t>1 September 2026</t>
        </is>
      </c>
      <c r="M23" t="inlineStr">
        <is>
          <t>Konstruksi Bangunan Sipil Jalan, Konstruksi Gedung Lainnya</t>
        </is>
      </c>
      <c r="N23" t="inlineStr">
        <is>
          <t>K</t>
        </is>
      </c>
      <c r="O23" t="inlineStr">
        <is>
          <t>20230823, 20230901</t>
        </is>
      </c>
      <c r="P23" t="inlineStr">
        <is>
          <t>Riau</t>
        </is>
      </c>
      <c r="Q23" t="inlineStr"/>
    </row>
    <row r="24">
      <c r="A24" t="inlineStr">
        <is>
          <t>GREEN AMOLE</t>
        </is>
      </c>
      <c r="B24" t="inlineStr">
        <is>
          <t>Kab. Kutai Timur</t>
        </is>
      </c>
      <c r="C24" t="inlineStr">
        <is>
          <t>085334778855</t>
        </is>
      </c>
      <c r="D24" t="inlineStr">
        <is>
          <t>Greenamolec@gmail.com</t>
        </is>
      </c>
      <c r="E24" t="inlineStr">
        <is>
          <t>https://lpjk.pu.go.id/search-badan-usaha-detail/RTVaTHVpUFJacDUwVGl0Yjh6YkxqQT09</t>
        </is>
      </c>
      <c r="F24" t="n">
        <v>6</v>
      </c>
      <c r="G24" t="inlineStr">
        <is>
          <t>BG002, BG006, BG009</t>
        </is>
      </c>
      <c r="H24" t="inlineStr">
        <is>
          <t>1 September 2023</t>
        </is>
      </c>
      <c r="I24" s="2" t="n">
        <v>46266</v>
      </c>
      <c r="J24" t="inlineStr">
        <is>
          <t>Pencabutan</t>
        </is>
      </c>
      <c r="K24" t="n">
        <v>90</v>
      </c>
      <c r="L24" t="inlineStr">
        <is>
          <t>1 September 2026</t>
        </is>
      </c>
      <c r="M24" t="inlineStr">
        <is>
          <t>Konstruksi Gedung Lainnya, Konstruksi Gedung Pendidikan, Konstruksi Gedung Perkantoran</t>
        </is>
      </c>
      <c r="N24" t="inlineStr">
        <is>
          <t>K</t>
        </is>
      </c>
      <c r="O24" t="inlineStr">
        <is>
          <t>20230901</t>
        </is>
      </c>
      <c r="P24" t="inlineStr">
        <is>
          <t>Kalimantan Timur</t>
        </is>
      </c>
      <c r="Q24" t="inlineStr"/>
    </row>
    <row r="25">
      <c r="A25" t="inlineStr">
        <is>
          <t>ILHAM JAYA CONSTRUCTION</t>
        </is>
      </c>
      <c r="B25" t="inlineStr">
        <is>
          <t>Kab. Bulukumba</t>
        </is>
      </c>
      <c r="C25" t="inlineStr">
        <is>
          <t>082188002979</t>
        </is>
      </c>
      <c r="D25" t="inlineStr">
        <is>
          <t>ilhamjayakonstruksi@gmail.com</t>
        </is>
      </c>
      <c r="E25" t="inlineStr">
        <is>
          <t>https://lpjk.pu.go.id/search-badan-usaha-detail/eHJpcGxtQ1lucVZYbXZYZ3g3ajhXQT09</t>
        </is>
      </c>
      <c r="F25" t="n">
        <v>1</v>
      </c>
      <c r="G25" t="inlineStr">
        <is>
          <t>BS001</t>
        </is>
      </c>
      <c r="H25" t="inlineStr">
        <is>
          <t>26 Agustus 2022</t>
        </is>
      </c>
      <c r="I25" s="2" t="n">
        <v>46266</v>
      </c>
      <c r="J25" t="inlineStr">
        <is>
          <t>Pencabutan</t>
        </is>
      </c>
      <c r="K25" t="n">
        <v>90</v>
      </c>
      <c r="L25" t="inlineStr">
        <is>
          <t>1 September 2026</t>
        </is>
      </c>
      <c r="M25" t="inlineStr">
        <is>
          <t>Konstruksi Bangunan Sipil Jalan</t>
        </is>
      </c>
      <c r="N25" t="inlineStr">
        <is>
          <t>M</t>
        </is>
      </c>
      <c r="O25" t="inlineStr">
        <is>
          <t>20220325</t>
        </is>
      </c>
      <c r="P25" t="inlineStr">
        <is>
          <t>Sulawesi Selatan</t>
        </is>
      </c>
      <c r="Q25" t="inlineStr"/>
    </row>
    <row r="26">
      <c r="A26" t="inlineStr">
        <is>
          <t>INDOBANGUN MEGATAMA</t>
        </is>
      </c>
      <c r="B26" t="inlineStr">
        <is>
          <t>Kota Padang</t>
        </is>
      </c>
      <c r="C26" t="inlineStr">
        <is>
          <t>082362246467</t>
        </is>
      </c>
      <c r="D26" t="inlineStr">
        <is>
          <t>indobangunmegatama46@gmail.com</t>
        </is>
      </c>
      <c r="E26" t="inlineStr">
        <is>
          <t>https://lpjk.pu.go.id/search-badan-usaha-detail/U0N5a0FqTW0vMlpsTlRQem5kOCtJUT09</t>
        </is>
      </c>
      <c r="F26" t="n">
        <v>1</v>
      </c>
      <c r="G26" t="inlineStr">
        <is>
          <t>BS005</t>
        </is>
      </c>
      <c r="H26" t="inlineStr">
        <is>
          <t>28 Juli 1993</t>
        </is>
      </c>
      <c r="I26" s="2" t="n">
        <v>46266</v>
      </c>
      <c r="J26" t="inlineStr">
        <is>
          <t>Disetujui</t>
        </is>
      </c>
      <c r="K26" t="n">
        <v>90</v>
      </c>
      <c r="L26" t="inlineStr">
        <is>
          <t>1 September 2026</t>
        </is>
      </c>
      <c r="M26" t="inlineStr">
        <is>
          <t>Konstruksi Bangunan Sipil Pengolahan Air Bersih</t>
        </is>
      </c>
      <c r="N26" t="inlineStr">
        <is>
          <t>B</t>
        </is>
      </c>
      <c r="O26" t="inlineStr">
        <is>
          <t>20230818</t>
        </is>
      </c>
      <c r="P26" t="inlineStr">
        <is>
          <t>Sumatera Barat</t>
        </is>
      </c>
      <c r="Q26" t="inlineStr"/>
    </row>
    <row r="27">
      <c r="A27" t="inlineStr">
        <is>
          <t>INDOTAMA KONSTRUKSI PERSADA</t>
        </is>
      </c>
      <c r="B27" t="inlineStr">
        <is>
          <t>Kota Adm. Jakarta Selatan</t>
        </is>
      </c>
      <c r="C27" t="inlineStr">
        <is>
          <t>02150880275</t>
        </is>
      </c>
      <c r="D27" t="inlineStr">
        <is>
          <t>sinarmas.propertypersada@yahoo.com</t>
        </is>
      </c>
      <c r="E27" t="inlineStr">
        <is>
          <t>https://lpjk.pu.go.id/search-badan-usaha-detail/RXQvM2NROUN1R1BBTzd2QXhMK0lqZz09</t>
        </is>
      </c>
      <c r="F27" t="n">
        <v>4</v>
      </c>
      <c r="G27" t="inlineStr">
        <is>
          <t>BG001, BG009</t>
        </is>
      </c>
      <c r="H27" t="inlineStr">
        <is>
          <t>26 Juli 2023</t>
        </is>
      </c>
      <c r="I27" s="2" t="n">
        <v>46266</v>
      </c>
      <c r="J27" t="inlineStr">
        <is>
          <t>Disetujui</t>
        </is>
      </c>
      <c r="K27" t="n">
        <v>90</v>
      </c>
      <c r="L27" t="inlineStr">
        <is>
          <t>1 September 2026</t>
        </is>
      </c>
      <c r="M27" t="inlineStr">
        <is>
          <t>Konstruksi Gedung Hunian, Konstruksi Gedung Lainnya</t>
        </is>
      </c>
      <c r="N27" t="inlineStr">
        <is>
          <t>K</t>
        </is>
      </c>
      <c r="O27" t="inlineStr">
        <is>
          <t>20230831, 20230901</t>
        </is>
      </c>
      <c r="P27" t="inlineStr">
        <is>
          <t>DKI Jakarta</t>
        </is>
      </c>
      <c r="Q27" t="inlineStr"/>
    </row>
    <row r="28">
      <c r="A28" t="inlineStr">
        <is>
          <t>KARSA SEJATI</t>
        </is>
      </c>
      <c r="B28" t="inlineStr">
        <is>
          <t>Kab. Lombok Tengah</t>
        </is>
      </c>
      <c r="C28" t="inlineStr">
        <is>
          <t>081775101466</t>
        </is>
      </c>
      <c r="D28" t="inlineStr">
        <is>
          <t>cvkarsasejati@gmail.com</t>
        </is>
      </c>
      <c r="E28" t="inlineStr">
        <is>
          <t>https://lpjk.pu.go.id/search-badan-usaha-detail/TzZlRG5NWEhVL0U4WGEzNHJISzJuUT09</t>
        </is>
      </c>
      <c r="F28" t="n">
        <v>1</v>
      </c>
      <c r="G28" t="inlineStr">
        <is>
          <t>BG006</t>
        </is>
      </c>
      <c r="H28" t="inlineStr">
        <is>
          <t>29 November 2011</t>
        </is>
      </c>
      <c r="I28" s="2" t="n">
        <v>46266</v>
      </c>
      <c r="J28" t="inlineStr">
        <is>
          <t>Disetujui</t>
        </is>
      </c>
      <c r="K28" t="n">
        <v>90</v>
      </c>
      <c r="L28" t="inlineStr">
        <is>
          <t>1 September 2026</t>
        </is>
      </c>
      <c r="M28" t="inlineStr">
        <is>
          <t>Konstruksi Gedung Pendidikan</t>
        </is>
      </c>
      <c r="N28" t="inlineStr">
        <is>
          <t>K</t>
        </is>
      </c>
      <c r="O28" t="inlineStr">
        <is>
          <t>20230828</t>
        </is>
      </c>
      <c r="P28" t="inlineStr">
        <is>
          <t>Nusa Tenggara Barat</t>
        </is>
      </c>
      <c r="Q28" t="inlineStr"/>
    </row>
    <row r="29">
      <c r="A29" t="inlineStr">
        <is>
          <t>KARTIKA JAYA KONTRUKSINDO</t>
        </is>
      </c>
      <c r="B29" t="inlineStr">
        <is>
          <t>Kab. Bandung Barat</t>
        </is>
      </c>
      <c r="C29" t="inlineStr">
        <is>
          <t>0226620521</t>
        </is>
      </c>
      <c r="D29" t="inlineStr">
        <is>
          <t>kartikajayakontruksindo@gmail.com</t>
        </is>
      </c>
      <c r="E29" t="inlineStr">
        <is>
          <t>https://lpjk.pu.go.id/search-badan-usaha-detail/NVdZV2wrNVlmR2pqZU90eTNvUGtpQT09</t>
        </is>
      </c>
      <c r="F29" t="n">
        <v>1</v>
      </c>
      <c r="G29" t="inlineStr">
        <is>
          <t>BG009</t>
        </is>
      </c>
      <c r="H29" t="inlineStr">
        <is>
          <t>15 Maret 2016</t>
        </is>
      </c>
      <c r="I29" s="2" t="n">
        <v>46266</v>
      </c>
      <c r="J29" t="inlineStr">
        <is>
          <t>Disetujui</t>
        </is>
      </c>
      <c r="K29" t="n">
        <v>90</v>
      </c>
      <c r="L29" t="inlineStr">
        <is>
          <t>1 September 2026</t>
        </is>
      </c>
      <c r="M29" t="inlineStr">
        <is>
          <t>Konstruksi Gedung Lainnya</t>
        </is>
      </c>
      <c r="N29" t="inlineStr">
        <is>
          <t>K</t>
        </is>
      </c>
      <c r="O29" t="inlineStr">
        <is>
          <t>20230822</t>
        </is>
      </c>
      <c r="P29" t="inlineStr">
        <is>
          <t>Jawa Barat</t>
        </is>
      </c>
      <c r="Q29" t="inlineStr"/>
    </row>
    <row r="30">
      <c r="A30" t="inlineStr">
        <is>
          <t>KARUNIA PRIMA SEJAHTERARAYA</t>
        </is>
      </c>
      <c r="B30" t="inlineStr">
        <is>
          <t>Kota Surabaya</t>
        </is>
      </c>
      <c r="C30" t="inlineStr">
        <is>
          <t>08113548938</t>
        </is>
      </c>
      <c r="D30" t="inlineStr">
        <is>
          <t>prima.sejahteraraya@gmail.com</t>
        </is>
      </c>
      <c r="E30" t="inlineStr">
        <is>
          <t>https://lpjk.pu.go.id/search-badan-usaha-detail/RkZubWMzYngrbFdsT21RUDdjSU43UT09</t>
        </is>
      </c>
      <c r="F30" t="n">
        <v>1</v>
      </c>
      <c r="G30" t="inlineStr">
        <is>
          <t>BG005</t>
        </is>
      </c>
      <c r="H30" t="inlineStr">
        <is>
          <t>5 Juni 2023</t>
        </is>
      </c>
      <c r="I30" s="2" t="n">
        <v>46266</v>
      </c>
      <c r="J30" t="inlineStr">
        <is>
          <t>Disetujui</t>
        </is>
      </c>
      <c r="K30" t="n">
        <v>90</v>
      </c>
      <c r="L30" t="inlineStr">
        <is>
          <t>1 September 2026</t>
        </is>
      </c>
      <c r="M30" t="inlineStr">
        <is>
          <t>Konstruksi Gedung Kesehatan</t>
        </is>
      </c>
      <c r="N30" t="inlineStr">
        <is>
          <t>K</t>
        </is>
      </c>
      <c r="O30" t="inlineStr">
        <is>
          <t>20230830</t>
        </is>
      </c>
      <c r="P30" t="inlineStr">
        <is>
          <t>Jawa Timur</t>
        </is>
      </c>
      <c r="Q30" t="inlineStr"/>
    </row>
    <row r="31">
      <c r="A31" t="inlineStr">
        <is>
          <t>KARYA AGUNG BAROKAH</t>
        </is>
      </c>
      <c r="B31" t="inlineStr">
        <is>
          <t>Kab. Kulon Progo</t>
        </is>
      </c>
      <c r="C31" t="inlineStr">
        <is>
          <t>081809704904</t>
        </is>
      </c>
      <c r="D31" t="inlineStr">
        <is>
          <t>cvkaryaagungbarokah@gmail.com</t>
        </is>
      </c>
      <c r="E31" t="inlineStr">
        <is>
          <t>https://lpjk.pu.go.id/search-badan-usaha-detail/cmV6WWFyMmhlbTdwcXoxSkR0bkJCUT09</t>
        </is>
      </c>
      <c r="F31" t="n">
        <v>1</v>
      </c>
      <c r="G31" t="inlineStr">
        <is>
          <t>BG002</t>
        </is>
      </c>
      <c r="H31" t="inlineStr">
        <is>
          <t>24 Juli 2023</t>
        </is>
      </c>
      <c r="I31" s="2" t="n">
        <v>46266</v>
      </c>
      <c r="J31" t="inlineStr">
        <is>
          <t>Disetujui</t>
        </is>
      </c>
      <c r="K31" t="n">
        <v>90</v>
      </c>
      <c r="L31" t="inlineStr">
        <is>
          <t>1 September 2026</t>
        </is>
      </c>
      <c r="M31" t="inlineStr">
        <is>
          <t>Konstruksi Gedung Perkantoran</t>
        </is>
      </c>
      <c r="N31" t="inlineStr">
        <is>
          <t>K</t>
        </is>
      </c>
      <c r="O31" t="inlineStr">
        <is>
          <t>20230831</t>
        </is>
      </c>
      <c r="P31" t="inlineStr">
        <is>
          <t>DI Yogyakarta</t>
        </is>
      </c>
      <c r="Q31" t="inlineStr"/>
    </row>
    <row r="32">
      <c r="A32" t="inlineStr">
        <is>
          <t>KARYA AKBAR</t>
        </is>
      </c>
      <c r="B32" t="inlineStr">
        <is>
          <t>Kab. Bangka Tengah</t>
        </is>
      </c>
      <c r="C32" t="inlineStr">
        <is>
          <t>085279427356</t>
        </is>
      </c>
      <c r="D32" t="inlineStr">
        <is>
          <t>karyaakbar941@gmail.com</t>
        </is>
      </c>
      <c r="E32" t="inlineStr">
        <is>
          <t>https://lpjk.pu.go.id/search-badan-usaha-detail/SlhEK2VMU0JFMDk2Q3JiNkFyVFBvQT09</t>
        </is>
      </c>
      <c r="F32" t="n">
        <v>2</v>
      </c>
      <c r="G32" t="inlineStr">
        <is>
          <t>BG006, BS004</t>
        </is>
      </c>
      <c r="H32" t="inlineStr">
        <is>
          <t>29 Agustus 2005</t>
        </is>
      </c>
      <c r="I32" s="2" t="n">
        <v>46266</v>
      </c>
      <c r="J32" t="inlineStr">
        <is>
          <t>Disetujui</t>
        </is>
      </c>
      <c r="K32" t="n">
        <v>90</v>
      </c>
      <c r="L32" t="inlineStr">
        <is>
          <t>1 September 2026</t>
        </is>
      </c>
      <c r="M32" t="inlineStr">
        <is>
          <t>Konstruksi Gedung Pendidikan, Konstruksi Jaringan Irigasi dan Drainase</t>
        </is>
      </c>
      <c r="N32" t="inlineStr">
        <is>
          <t>K</t>
        </is>
      </c>
      <c r="O32" t="inlineStr">
        <is>
          <t>20230901</t>
        </is>
      </c>
      <c r="P32" t="inlineStr">
        <is>
          <t>Kepulauan Bangka Belitung</t>
        </is>
      </c>
      <c r="Q32" t="inlineStr"/>
    </row>
    <row r="33">
      <c r="A33" t="inlineStr">
        <is>
          <t>KARYA BIMA</t>
        </is>
      </c>
      <c r="B33" t="inlineStr">
        <is>
          <t>Kab. Indramayu</t>
        </is>
      </c>
      <c r="C33" t="inlineStr">
        <is>
          <t>081802778189</t>
        </is>
      </c>
      <c r="D33" t="inlineStr">
        <is>
          <t>karyabima.cv@gmail.com</t>
        </is>
      </c>
      <c r="E33" t="inlineStr">
        <is>
          <t>https://lpjk.pu.go.id/search-badan-usaha-detail/K2lEZjljQm8wWWFReHJBYWFhc3Y2Zz09</t>
        </is>
      </c>
      <c r="F33" t="n">
        <v>1</v>
      </c>
      <c r="G33" t="inlineStr">
        <is>
          <t>BG009</t>
        </is>
      </c>
      <c r="H33" t="inlineStr">
        <is>
          <t>18 Juli 1994</t>
        </is>
      </c>
      <c r="I33" s="2" t="n">
        <v>46266</v>
      </c>
      <c r="J33" t="inlineStr">
        <is>
          <t>Disetujui</t>
        </is>
      </c>
      <c r="K33" t="n">
        <v>90</v>
      </c>
      <c r="L33" t="inlineStr">
        <is>
          <t>1 September 2026</t>
        </is>
      </c>
      <c r="M33" t="inlineStr">
        <is>
          <t>Konstruksi Gedung Lainnya</t>
        </is>
      </c>
      <c r="N33" t="inlineStr">
        <is>
          <t>K</t>
        </is>
      </c>
      <c r="O33" t="inlineStr">
        <is>
          <t>20230821</t>
        </is>
      </c>
      <c r="P33" t="inlineStr">
        <is>
          <t>Jawa Barat</t>
        </is>
      </c>
      <c r="Q33" t="inlineStr"/>
    </row>
    <row r="34">
      <c r="A34" t="inlineStr">
        <is>
          <t>KARYA KITA</t>
        </is>
      </c>
      <c r="B34" t="inlineStr">
        <is>
          <t>Kab. Lombok Timur</t>
        </is>
      </c>
      <c r="C34" t="inlineStr">
        <is>
          <t>081934998977</t>
        </is>
      </c>
      <c r="D34" t="inlineStr">
        <is>
          <t>cvkaryakita70@gmail.com</t>
        </is>
      </c>
      <c r="E34" t="inlineStr">
        <is>
          <t>https://lpjk.pu.go.id/search-badan-usaha-detail/TkgvOEVpL2RzVytKYTFPWjJkMGpZQT09</t>
        </is>
      </c>
      <c r="F34" t="n">
        <v>1</v>
      </c>
      <c r="G34" t="inlineStr">
        <is>
          <t>BS010</t>
        </is>
      </c>
      <c r="H34" t="inlineStr">
        <is>
          <t>14 Juni 2014</t>
        </is>
      </c>
      <c r="I34" s="2" t="n">
        <v>46266</v>
      </c>
      <c r="J34" t="inlineStr">
        <is>
          <t>Disetujui</t>
        </is>
      </c>
      <c r="K34" t="n">
        <v>90</v>
      </c>
      <c r="L34" t="inlineStr">
        <is>
          <t>1 September 2026</t>
        </is>
      </c>
      <c r="M34" t="inlineStr">
        <is>
          <t>Konstruksi Bangunan Prasarana Sumber Daya Air</t>
        </is>
      </c>
      <c r="N34" t="inlineStr">
        <is>
          <t>K</t>
        </is>
      </c>
      <c r="O34" t="inlineStr">
        <is>
          <t>20230828</t>
        </is>
      </c>
      <c r="P34" t="inlineStr">
        <is>
          <t>Nusa Tenggara Barat</t>
        </is>
      </c>
      <c r="Q34" t="inlineStr"/>
    </row>
    <row r="35">
      <c r="A35" t="inlineStr">
        <is>
          <t>KARYA LESTARI</t>
        </is>
      </c>
      <c r="B35" t="inlineStr">
        <is>
          <t>Kab. Gresik</t>
        </is>
      </c>
      <c r="C35" t="inlineStr">
        <is>
          <t>08123119452</t>
        </is>
      </c>
      <c r="D35" t="inlineStr">
        <is>
          <t>zulkarnain.kl80@gmail.com</t>
        </is>
      </c>
      <c r="E35" t="inlineStr">
        <is>
          <t>https://lpjk.pu.go.id/search-badan-usaha-detail/Y3ErSUFaU1JuTEZDVlYvQXA2WUZSQT09</t>
        </is>
      </c>
      <c r="F35" t="n">
        <v>2</v>
      </c>
      <c r="G35" t="inlineStr">
        <is>
          <t>BS001, BS004</t>
        </is>
      </c>
      <c r="H35" t="inlineStr">
        <is>
          <t>30 Januari 2003</t>
        </is>
      </c>
      <c r="I35" s="2" t="n">
        <v>46266</v>
      </c>
      <c r="J35" t="inlineStr">
        <is>
          <t>Disetujui</t>
        </is>
      </c>
      <c r="K35" t="n">
        <v>90</v>
      </c>
      <c r="L35" t="inlineStr">
        <is>
          <t>1 September 2026</t>
        </is>
      </c>
      <c r="M35" t="inlineStr">
        <is>
          <t>Konstruksi Bangunan Sipil Jalan, Konstruksi Jaringan Irigasi dan Drainase</t>
        </is>
      </c>
      <c r="N35" t="inlineStr">
        <is>
          <t>K</t>
        </is>
      </c>
      <c r="O35" t="inlineStr">
        <is>
          <t>20230830</t>
        </is>
      </c>
      <c r="P35" t="inlineStr">
        <is>
          <t>Jawa Timur</t>
        </is>
      </c>
      <c r="Q35" t="inlineStr"/>
    </row>
    <row r="36">
      <c r="A36" t="inlineStr">
        <is>
          <t>KARYA SEJATI</t>
        </is>
      </c>
      <c r="B36" t="inlineStr">
        <is>
          <t>Kab. Banyuwangi</t>
        </is>
      </c>
      <c r="C36" t="inlineStr">
        <is>
          <t>0812 5248 8488</t>
        </is>
      </c>
      <c r="D36" t="inlineStr">
        <is>
          <t>kary4.sejati@gmail.com</t>
        </is>
      </c>
      <c r="E36" t="inlineStr">
        <is>
          <t>https://lpjk.pu.go.id/search-badan-usaha-detail/YTlYR0RTRWhkRWxUc1oxc1B5QlNPdz09</t>
        </is>
      </c>
      <c r="F36" t="n">
        <v>1</v>
      </c>
      <c r="G36" t="inlineStr">
        <is>
          <t>BG005</t>
        </is>
      </c>
      <c r="H36" t="inlineStr">
        <is>
          <t>30 Mei 2000</t>
        </is>
      </c>
      <c r="I36" s="2" t="n">
        <v>46266</v>
      </c>
      <c r="J36" t="inlineStr">
        <is>
          <t>Disetujui</t>
        </is>
      </c>
      <c r="K36" t="n">
        <v>90</v>
      </c>
      <c r="L36" t="inlineStr">
        <is>
          <t>1 September 2026</t>
        </is>
      </c>
      <c r="M36" t="inlineStr">
        <is>
          <t>Konstruksi Gedung Kesehatan</t>
        </is>
      </c>
      <c r="N36" t="inlineStr">
        <is>
          <t>K</t>
        </is>
      </c>
      <c r="O36" t="inlineStr">
        <is>
          <t>20230828</t>
        </is>
      </c>
      <c r="P36" t="inlineStr">
        <is>
          <t>Jawa Timur</t>
        </is>
      </c>
      <c r="Q36" t="inlineStr"/>
    </row>
    <row r="37">
      <c r="A37" t="inlineStr">
        <is>
          <t>KARYACIPTA MANGUN MANDIRI</t>
        </is>
      </c>
      <c r="B37" t="inlineStr">
        <is>
          <t>Kota Medan</t>
        </is>
      </c>
      <c r="C37" t="inlineStr">
        <is>
          <t>081264078910</t>
        </is>
      </c>
      <c r="D37" t="inlineStr">
        <is>
          <t>karyacipta.mandiri@yahoo.com</t>
        </is>
      </c>
      <c r="E37" t="inlineStr">
        <is>
          <t>https://lpjk.pu.go.id/search-badan-usaha-detail/YXA3SjBHa2gwMHdXMXVHWTRGalZjZz09</t>
        </is>
      </c>
      <c r="F37" t="n">
        <v>2</v>
      </c>
      <c r="G37" t="inlineStr">
        <is>
          <t>IN011</t>
        </is>
      </c>
      <c r="H37" t="inlineStr">
        <is>
          <t>22 Juni 2012</t>
        </is>
      </c>
      <c r="I37" s="2" t="n">
        <v>46266</v>
      </c>
      <c r="J37" t="inlineStr">
        <is>
          <t>Pembekuan</t>
        </is>
      </c>
      <c r="K37" t="n">
        <v>90</v>
      </c>
      <c r="L37" t="inlineStr">
        <is>
          <t>1 September 2026</t>
        </is>
      </c>
      <c r="M37" t="inlineStr">
        <is>
          <t>Instalasi Sinyal dan Rambu-rambu Jalan Raya</t>
        </is>
      </c>
      <c r="N37" t="inlineStr">
        <is>
          <t>Spesialis</t>
        </is>
      </c>
      <c r="O37" t="inlineStr">
        <is>
          <t>20230831</t>
        </is>
      </c>
      <c r="P37" t="inlineStr">
        <is>
          <t>Sumatera Utara</t>
        </is>
      </c>
      <c r="Q37" t="inlineStr"/>
    </row>
    <row r="38">
      <c r="A38" t="inlineStr">
        <is>
          <t>KEMBAR MANDIRI NUSANTARA</t>
        </is>
      </c>
      <c r="B38" t="inlineStr">
        <is>
          <t>Kab. Aceh Barat</t>
        </is>
      </c>
      <c r="C38" t="inlineStr">
        <is>
          <t>08116800676</t>
        </is>
      </c>
      <c r="D38" t="inlineStr">
        <is>
          <t>kembarmandirinusantara.cv@gmail.com</t>
        </is>
      </c>
      <c r="E38" t="inlineStr">
        <is>
          <t>https://lpjk.pu.go.id/search-badan-usaha-detail/MVZSbDFMSXRta1VzNWVBSlBObnZMZz09</t>
        </is>
      </c>
      <c r="F38" t="n">
        <v>1</v>
      </c>
      <c r="G38" t="inlineStr">
        <is>
          <t>BG006</t>
        </is>
      </c>
      <c r="H38" t="inlineStr">
        <is>
          <t>24 September 2012</t>
        </is>
      </c>
      <c r="I38" s="2" t="n">
        <v>46266</v>
      </c>
      <c r="J38" t="inlineStr">
        <is>
          <t>Pencabutan</t>
        </is>
      </c>
      <c r="K38" t="n">
        <v>90</v>
      </c>
      <c r="L38" t="inlineStr">
        <is>
          <t>1 September 2026</t>
        </is>
      </c>
      <c r="M38" t="inlineStr">
        <is>
          <t>Konstruksi Gedung Pendidikan</t>
        </is>
      </c>
      <c r="N38" t="inlineStr">
        <is>
          <t>K</t>
        </is>
      </c>
      <c r="O38" t="inlineStr">
        <is>
          <t>20230222</t>
        </is>
      </c>
      <c r="P38" t="inlineStr">
        <is>
          <t>Aceh</t>
        </is>
      </c>
      <c r="Q38" t="inlineStr"/>
    </row>
    <row r="39">
      <c r="A39" t="inlineStr">
        <is>
          <t>KHOMSA UTAMA</t>
        </is>
      </c>
      <c r="B39" t="inlineStr">
        <is>
          <t>Kab. Gresik</t>
        </is>
      </c>
      <c r="C39" t="inlineStr">
        <is>
          <t>081216415280</t>
        </is>
      </c>
      <c r="D39" t="inlineStr">
        <is>
          <t>cv.khomsautama15@gmail.com</t>
        </is>
      </c>
      <c r="E39" t="inlineStr">
        <is>
          <t>https://lpjk.pu.go.id/search-badan-usaha-detail/T2dWcXFDOHVKTmFHVWduRCtVTDlhdz09</t>
        </is>
      </c>
      <c r="F39" t="n">
        <v>5</v>
      </c>
      <c r="G39" t="inlineStr">
        <is>
          <t>BG001, BG002, BG005, BG006, BG009</t>
        </is>
      </c>
      <c r="H39" t="inlineStr">
        <is>
          <t>24 Mei 2022</t>
        </is>
      </c>
      <c r="I39" s="2" t="n">
        <v>46266</v>
      </c>
      <c r="J39" t="inlineStr">
        <is>
          <t>Disetujui</t>
        </is>
      </c>
      <c r="K39" t="n">
        <v>90</v>
      </c>
      <c r="L39" t="inlineStr">
        <is>
          <t>1 September 2026</t>
        </is>
      </c>
      <c r="M39" t="inlineStr">
        <is>
          <t>Konstruksi Gedung Hunian, Konstruksi Gedung Kesehatan, Konstruksi Gedung Lainnya, Konstruksi Gedung Pendidikan, Konstruksi Gedung Perkantoran</t>
        </is>
      </c>
      <c r="N39" t="inlineStr">
        <is>
          <t>K</t>
        </is>
      </c>
      <c r="O39" t="inlineStr">
        <is>
          <t>20230829</t>
        </is>
      </c>
      <c r="P39" t="inlineStr">
        <is>
          <t>Jawa Timur</t>
        </is>
      </c>
      <c r="Q39" t="inlineStr"/>
    </row>
    <row r="40">
      <c r="A40" t="inlineStr">
        <is>
          <t>LIGA UTAMA</t>
        </is>
      </c>
      <c r="B40" t="inlineStr">
        <is>
          <t>Kab. Sampang</t>
        </is>
      </c>
      <c r="C40" t="inlineStr">
        <is>
          <t>081913503547</t>
        </is>
      </c>
      <c r="D40" t="inlineStr">
        <is>
          <t>moh.jasuli999@gmail.com</t>
        </is>
      </c>
      <c r="E40" t="inlineStr">
        <is>
          <t>https://lpjk.pu.go.id/search-badan-usaha-detail/aVc5blV1THp4bm56bW1PM2owajNPdz09</t>
        </is>
      </c>
      <c r="F40" t="n">
        <v>1</v>
      </c>
      <c r="G40" t="inlineStr">
        <is>
          <t>BS001</t>
        </is>
      </c>
      <c r="H40" t="inlineStr">
        <is>
          <t>11 Agustus 1990</t>
        </is>
      </c>
      <c r="I40" s="2" t="n">
        <v>46266</v>
      </c>
      <c r="J40" t="inlineStr">
        <is>
          <t>Pencabutan</t>
        </is>
      </c>
      <c r="K40" t="n">
        <v>90</v>
      </c>
      <c r="L40" t="inlineStr">
        <is>
          <t>1 September 2026</t>
        </is>
      </c>
      <c r="M40" t="inlineStr">
        <is>
          <t>Konstruksi Bangunan Sipil Jalan</t>
        </is>
      </c>
      <c r="N40" t="inlineStr">
        <is>
          <t>K</t>
        </is>
      </c>
      <c r="O40" t="inlineStr">
        <is>
          <t>20230830</t>
        </is>
      </c>
      <c r="P40" t="inlineStr">
        <is>
          <t>Jawa Timur</t>
        </is>
      </c>
      <c r="Q40" t="inlineStr"/>
    </row>
    <row r="41">
      <c r="A41" t="inlineStr">
        <is>
          <t>MAHA AKBAR SEJAHTERA</t>
        </is>
      </c>
      <c r="B41" t="inlineStr">
        <is>
          <t>Kota Medan</t>
        </is>
      </c>
      <c r="C41" t="inlineStr">
        <is>
          <t>06142784599</t>
        </is>
      </c>
      <c r="D41" t="inlineStr">
        <is>
          <t>admin@mahasejahtera.com</t>
        </is>
      </c>
      <c r="E41" t="inlineStr">
        <is>
          <t>https://lpjk.pu.go.id/search-badan-usaha-detail/enBJQkRBK0hoWXdEblNOeUxUMThGZz09</t>
        </is>
      </c>
      <c r="F41" t="n">
        <v>1</v>
      </c>
      <c r="G41" t="inlineStr">
        <is>
          <t>IN001</t>
        </is>
      </c>
      <c r="H41" t="inlineStr">
        <is>
          <t>16 Januari 2019</t>
        </is>
      </c>
      <c r="I41" s="2" t="n">
        <v>46266</v>
      </c>
      <c r="J41" t="inlineStr">
        <is>
          <t>Disetujui</t>
        </is>
      </c>
      <c r="K41" t="n">
        <v>90</v>
      </c>
      <c r="L41" t="inlineStr">
        <is>
          <t>1 September 2026</t>
        </is>
      </c>
      <c r="M41" t="inlineStr">
        <is>
          <t>Instalasi Mekanikal</t>
        </is>
      </c>
      <c r="N41" t="inlineStr">
        <is>
          <t>Spesialis</t>
        </is>
      </c>
      <c r="O41" t="inlineStr">
        <is>
          <t>20230819</t>
        </is>
      </c>
      <c r="P41" t="inlineStr">
        <is>
          <t>Sumatera Utara</t>
        </is>
      </c>
      <c r="Q41" t="inlineStr"/>
    </row>
    <row r="42">
      <c r="A42" t="inlineStr">
        <is>
          <t>MANDIRI KARYA ANUGRAH</t>
        </is>
      </c>
      <c r="B42" t="inlineStr">
        <is>
          <t>Kab. Belitung Timur</t>
        </is>
      </c>
      <c r="C42" t="inlineStr">
        <is>
          <t>082949194611</t>
        </is>
      </c>
      <c r="D42" t="inlineStr">
        <is>
          <t>mandirikaryaanugrah@gmail.com</t>
        </is>
      </c>
      <c r="E42" t="inlineStr">
        <is>
          <t>https://lpjk.pu.go.id/search-badan-usaha-detail/M0xuaEdqd1JNWFNYMjhrbVpnUXdDQT09</t>
        </is>
      </c>
      <c r="F42" t="n">
        <v>1</v>
      </c>
      <c r="G42" t="inlineStr">
        <is>
          <t>BS005</t>
        </is>
      </c>
      <c r="H42" t="inlineStr">
        <is>
          <t>18 April 2023</t>
        </is>
      </c>
      <c r="I42" s="2" t="n">
        <v>46266</v>
      </c>
      <c r="J42" t="inlineStr">
        <is>
          <t>Disetujui</t>
        </is>
      </c>
      <c r="K42" t="n">
        <v>90</v>
      </c>
      <c r="L42" t="inlineStr">
        <is>
          <t>1 September 2026</t>
        </is>
      </c>
      <c r="M42" t="inlineStr">
        <is>
          <t>Konstruksi Bangunan Sipil Pengolahan Air Bersih</t>
        </is>
      </c>
      <c r="N42" t="inlineStr">
        <is>
          <t>K</t>
        </is>
      </c>
      <c r="O42" t="inlineStr">
        <is>
          <t>20230729</t>
        </is>
      </c>
      <c r="P42" t="inlineStr">
        <is>
          <t>Kepulauan Bangka Belitung</t>
        </is>
      </c>
      <c r="Q42" t="inlineStr"/>
    </row>
    <row r="43">
      <c r="A43" t="inlineStr">
        <is>
          <t>MARLIN UTAMA JAYA</t>
        </is>
      </c>
      <c r="B43" t="inlineStr">
        <is>
          <t>Kab. Pangandaran</t>
        </is>
      </c>
      <c r="C43" t="inlineStr">
        <is>
          <t>082218561716</t>
        </is>
      </c>
      <c r="D43" t="inlineStr">
        <is>
          <t>cvmarlinutamajaya@gmail.com</t>
        </is>
      </c>
      <c r="E43" t="inlineStr">
        <is>
          <t>https://lpjk.pu.go.id/search-badan-usaha-detail/Z3hjQktiaWxpZ3oySEg4OUp6UUdrUT09</t>
        </is>
      </c>
      <c r="F43" t="n">
        <v>2</v>
      </c>
      <c r="G43" t="inlineStr">
        <is>
          <t>BS001, BS004</t>
        </is>
      </c>
      <c r="H43" t="inlineStr">
        <is>
          <t>21 Agustus 2023</t>
        </is>
      </c>
      <c r="I43" s="2" t="n">
        <v>46266</v>
      </c>
      <c r="J43" t="inlineStr">
        <is>
          <t>Disetujui</t>
        </is>
      </c>
      <c r="K43" t="n">
        <v>90</v>
      </c>
      <c r="L43" t="inlineStr">
        <is>
          <t>1 September 2026</t>
        </is>
      </c>
      <c r="M43" t="inlineStr">
        <is>
          <t>Konstruksi Bangunan Sipil Jalan, Konstruksi Jaringan Irigasi dan Drainase</t>
        </is>
      </c>
      <c r="N43" t="inlineStr">
        <is>
          <t>K</t>
        </is>
      </c>
      <c r="O43" t="inlineStr">
        <is>
          <t>20230831</t>
        </is>
      </c>
      <c r="P43" t="inlineStr">
        <is>
          <t>Jawa Barat</t>
        </is>
      </c>
      <c r="Q43" t="inlineStr"/>
    </row>
    <row r="44">
      <c r="A44" t="inlineStr">
        <is>
          <t>MATRA ENGINEERING &amp; CONSTRUCTION</t>
        </is>
      </c>
      <c r="B44" t="inlineStr">
        <is>
          <t>Kota Cilegon</t>
        </is>
      </c>
      <c r="C44" t="inlineStr">
        <is>
          <t>085210889392</t>
        </is>
      </c>
      <c r="D44" t="inlineStr">
        <is>
          <t>mec@mec2009.com</t>
        </is>
      </c>
      <c r="E44" t="inlineStr">
        <is>
          <t>https://lpjk.pu.go.id/search-badan-usaha-detail/WGVPZHcvUWNzc2RHdVE4cVlNZmNodz09</t>
        </is>
      </c>
      <c r="F44" t="n">
        <v>1</v>
      </c>
      <c r="G44" t="inlineStr">
        <is>
          <t>IN004</t>
        </is>
      </c>
      <c r="H44" t="inlineStr">
        <is>
          <t>8 September 2014</t>
        </is>
      </c>
      <c r="I44" s="2" t="n">
        <v>46266</v>
      </c>
      <c r="J44" t="inlineStr">
        <is>
          <t>Disetujui</t>
        </is>
      </c>
      <c r="K44" t="n">
        <v>90</v>
      </c>
      <c r="L44" t="inlineStr">
        <is>
          <t>1 September 2026</t>
        </is>
      </c>
      <c r="M44" t="inlineStr">
        <is>
          <t>Instalasi Minyak dan Gas</t>
        </is>
      </c>
      <c r="N44" t="inlineStr">
        <is>
          <t>Spesialis</t>
        </is>
      </c>
      <c r="O44" t="inlineStr">
        <is>
          <t>20230825</t>
        </is>
      </c>
      <c r="P44" t="inlineStr">
        <is>
          <t>Banten</t>
        </is>
      </c>
      <c r="Q44" t="inlineStr"/>
    </row>
    <row r="45">
      <c r="A45" t="inlineStr">
        <is>
          <t>MAXINDO DAYA WIGUNA</t>
        </is>
      </c>
      <c r="B45" t="inlineStr">
        <is>
          <t>Kota Cilegon</t>
        </is>
      </c>
      <c r="C45" t="inlineStr">
        <is>
          <t>0254375348</t>
        </is>
      </c>
      <c r="D45" t="inlineStr">
        <is>
          <t>maxindo.mdw@gmail.com</t>
        </is>
      </c>
      <c r="E45" t="inlineStr">
        <is>
          <t>https://lpjk.pu.go.id/search-badan-usaha-detail/K1F3dDJEWEhmN2FNTDM3LzZMT3lTUT09</t>
        </is>
      </c>
      <c r="F45" t="n">
        <v>1</v>
      </c>
      <c r="G45" t="inlineStr">
        <is>
          <t>IN001</t>
        </is>
      </c>
      <c r="H45" t="inlineStr">
        <is>
          <t>2 Juni 2001</t>
        </is>
      </c>
      <c r="I45" s="2" t="n">
        <v>46266</v>
      </c>
      <c r="J45" t="inlineStr">
        <is>
          <t>Disetujui</t>
        </is>
      </c>
      <c r="K45" t="n">
        <v>90</v>
      </c>
      <c r="L45" t="inlineStr">
        <is>
          <t>1 September 2026</t>
        </is>
      </c>
      <c r="M45" t="inlineStr">
        <is>
          <t>Instalasi Mekanikal</t>
        </is>
      </c>
      <c r="N45" t="inlineStr">
        <is>
          <t>Spesialis</t>
        </is>
      </c>
      <c r="O45" t="inlineStr">
        <is>
          <t>20230830</t>
        </is>
      </c>
      <c r="P45" t="inlineStr">
        <is>
          <t>Banten</t>
        </is>
      </c>
      <c r="Q45" t="inlineStr"/>
    </row>
    <row r="46">
      <c r="A46" t="inlineStr">
        <is>
          <t>MEGA COPILAS</t>
        </is>
      </c>
      <c r="B46" t="inlineStr">
        <is>
          <t>Kota Adm. Jakarta Selatan</t>
        </is>
      </c>
      <c r="C46" t="inlineStr">
        <is>
          <t>085226326526</t>
        </is>
      </c>
      <c r="D46" t="inlineStr">
        <is>
          <t>cv.megacopilasmc@yahoo.com</t>
        </is>
      </c>
      <c r="E46" t="inlineStr">
        <is>
          <t>https://lpjk.pu.go.id/search-badan-usaha-detail/M1AwR1l5bklSQ29xZC9FSURTOW9Jdz09</t>
        </is>
      </c>
      <c r="F46" t="n">
        <v>2</v>
      </c>
      <c r="G46" t="inlineStr">
        <is>
          <t>BG009</t>
        </is>
      </c>
      <c r="H46" t="inlineStr">
        <is>
          <t>1 April 2016</t>
        </is>
      </c>
      <c r="I46" s="2" t="n">
        <v>46266</v>
      </c>
      <c r="J46" t="inlineStr">
        <is>
          <t>Disetujui</t>
        </is>
      </c>
      <c r="K46" t="n">
        <v>90</v>
      </c>
      <c r="L46" t="inlineStr">
        <is>
          <t>1 September 2026</t>
        </is>
      </c>
      <c r="M46" t="inlineStr">
        <is>
          <t>Konstruksi Gedung Lainnya</t>
        </is>
      </c>
      <c r="N46" t="inlineStr">
        <is>
          <t>K</t>
        </is>
      </c>
      <c r="O46" t="inlineStr">
        <is>
          <t>20230829</t>
        </is>
      </c>
      <c r="P46" t="inlineStr">
        <is>
          <t>DKI Jakarta</t>
        </is>
      </c>
      <c r="Q46" t="inlineStr"/>
    </row>
    <row r="47">
      <c r="A47" t="inlineStr">
        <is>
          <t>METRO ONE SERVICES</t>
        </is>
      </c>
      <c r="B47" t="inlineStr">
        <is>
          <t>Kota Bandung</t>
        </is>
      </c>
      <c r="C47" t="inlineStr">
        <is>
          <t>081223854558</t>
        </is>
      </c>
      <c r="D47" t="inlineStr">
        <is>
          <t>pt.metrooneservices@gmail.com</t>
        </is>
      </c>
      <c r="E47" t="inlineStr">
        <is>
          <t>https://lpjk.pu.go.id/search-badan-usaha-detail/OW5qcHVYcUE3Q1pLNzdiakhWT2U5Zz09</t>
        </is>
      </c>
      <c r="F47" t="n">
        <v>2</v>
      </c>
      <c r="G47" t="inlineStr">
        <is>
          <t>BS001, BS002</t>
        </is>
      </c>
      <c r="H47" t="inlineStr">
        <is>
          <t>7 Desember 2016</t>
        </is>
      </c>
      <c r="I47" s="2" t="n">
        <v>46266</v>
      </c>
      <c r="J47" t="inlineStr">
        <is>
          <t>Disetujui</t>
        </is>
      </c>
      <c r="K47" t="n">
        <v>90</v>
      </c>
      <c r="L47" t="inlineStr">
        <is>
          <t>1 September 2026</t>
        </is>
      </c>
      <c r="M47" t="inlineStr">
        <is>
          <t>Bangunan Sipil Jembatan, Jalan Layang, Fly Over, dan Underpass, Konstruksi Bangunan Sipil Jalan</t>
        </is>
      </c>
      <c r="N47" t="inlineStr">
        <is>
          <t>K</t>
        </is>
      </c>
      <c r="O47" t="inlineStr">
        <is>
          <t>20230303, 20230817</t>
        </is>
      </c>
      <c r="P47" t="inlineStr">
        <is>
          <t>Jawa Barat</t>
        </is>
      </c>
      <c r="Q47" t="inlineStr"/>
    </row>
    <row r="48">
      <c r="A48" t="inlineStr">
        <is>
          <t>MINANDA PRATAMA ABADI</t>
        </is>
      </c>
      <c r="B48" t="inlineStr">
        <is>
          <t>Kota Medan</t>
        </is>
      </c>
      <c r="C48" t="inlineStr">
        <is>
          <t>082277999918</t>
        </is>
      </c>
      <c r="D48" t="inlineStr">
        <is>
          <t>pt.minandapratamaabadi@gmail.com</t>
        </is>
      </c>
      <c r="E48" t="inlineStr">
        <is>
          <t>https://lpjk.pu.go.id/search-badan-usaha-detail/MTNFY3FrVURVS0N4MEpGRkNwWno1QT09</t>
        </is>
      </c>
      <c r="F48" t="n">
        <v>1</v>
      </c>
      <c r="G48" t="inlineStr">
        <is>
          <t>BG009</t>
        </is>
      </c>
      <c r="H48" t="inlineStr">
        <is>
          <t>16 Januari 2023</t>
        </is>
      </c>
      <c r="I48" s="2" t="n">
        <v>46266</v>
      </c>
      <c r="J48" t="inlineStr">
        <is>
          <t>Disetujui</t>
        </is>
      </c>
      <c r="K48" t="n">
        <v>90</v>
      </c>
      <c r="L48" t="inlineStr">
        <is>
          <t>1 September 2026</t>
        </is>
      </c>
      <c r="M48" t="inlineStr">
        <is>
          <t>Konstruksi Gedung Lainnya</t>
        </is>
      </c>
      <c r="N48" t="inlineStr">
        <is>
          <t>K</t>
        </is>
      </c>
      <c r="O48" t="inlineStr">
        <is>
          <t>20230901</t>
        </is>
      </c>
      <c r="P48" t="inlineStr">
        <is>
          <t>Sumatera Utara</t>
        </is>
      </c>
      <c r="Q48" t="inlineStr"/>
    </row>
    <row r="49">
      <c r="A49" t="inlineStr">
        <is>
          <t>MITRA BERSAUDARA MANDIRI</t>
        </is>
      </c>
      <c r="B49" t="inlineStr">
        <is>
          <t>Kab. Padang Lawas Utara</t>
        </is>
      </c>
      <c r="C49" t="inlineStr">
        <is>
          <t>082278270029</t>
        </is>
      </c>
      <c r="D49" t="inlineStr">
        <is>
          <t>cvmitrasaudaram@gmail.com</t>
        </is>
      </c>
      <c r="E49" t="inlineStr">
        <is>
          <t>https://lpjk.pu.go.id/search-badan-usaha-detail/eGp6OVFyNFFuSFZRNVYwajliekN5Zz09</t>
        </is>
      </c>
      <c r="F49" t="n">
        <v>1</v>
      </c>
      <c r="G49" t="inlineStr">
        <is>
          <t>BS010</t>
        </is>
      </c>
      <c r="H49" t="inlineStr">
        <is>
          <t>14 Juli 2023</t>
        </is>
      </c>
      <c r="I49" s="2" t="n">
        <v>46266</v>
      </c>
      <c r="J49" t="inlineStr">
        <is>
          <t>Pencabutan</t>
        </is>
      </c>
      <c r="K49" t="n">
        <v>90</v>
      </c>
      <c r="L49" t="inlineStr">
        <is>
          <t>1 September 2026</t>
        </is>
      </c>
      <c r="M49" t="inlineStr">
        <is>
          <t>Konstruksi Bangunan Prasarana Sumber Daya Air</t>
        </is>
      </c>
      <c r="N49" t="inlineStr">
        <is>
          <t>K</t>
        </is>
      </c>
      <c r="O49" t="inlineStr">
        <is>
          <t>20230901</t>
        </is>
      </c>
      <c r="P49" t="inlineStr">
        <is>
          <t>Sumatera Utara</t>
        </is>
      </c>
      <c r="Q49" t="inlineStr"/>
    </row>
    <row r="50">
      <c r="A50" t="inlineStr">
        <is>
          <t>MITRA MULIA ANALITIKA</t>
        </is>
      </c>
      <c r="B50" t="inlineStr">
        <is>
          <t>Kab. Aceh Besar</t>
        </is>
      </c>
      <c r="C50" t="inlineStr">
        <is>
          <t>082288216008</t>
        </is>
      </c>
      <c r="D50" t="inlineStr">
        <is>
          <t>widodoagus137@gmail.com</t>
        </is>
      </c>
      <c r="E50" t="inlineStr">
        <is>
          <t>https://lpjk.pu.go.id/search-badan-usaha-detail/VExwVE9qVU1TSldtaUFtZGYyYTBDUT09</t>
        </is>
      </c>
      <c r="F50" t="n">
        <v>1</v>
      </c>
      <c r="G50" t="inlineStr">
        <is>
          <t>BS004</t>
        </is>
      </c>
      <c r="H50" t="inlineStr">
        <is>
          <t>20 Oktober 2015</t>
        </is>
      </c>
      <c r="I50" s="2" t="n">
        <v>46266</v>
      </c>
      <c r="J50" t="inlineStr">
        <is>
          <t>Disetujui</t>
        </is>
      </c>
      <c r="K50" t="n">
        <v>90</v>
      </c>
      <c r="L50" t="inlineStr">
        <is>
          <t>1 September 2026</t>
        </is>
      </c>
      <c r="M50" t="inlineStr">
        <is>
          <t>Konstruksi Jaringan Irigasi dan Drainase</t>
        </is>
      </c>
      <c r="N50" t="inlineStr">
        <is>
          <t>K</t>
        </is>
      </c>
      <c r="O50" t="inlineStr">
        <is>
          <t>20230829</t>
        </is>
      </c>
      <c r="P50" t="inlineStr">
        <is>
          <t>Aceh</t>
        </is>
      </c>
      <c r="Q50" t="inlineStr"/>
    </row>
    <row r="51">
      <c r="A51" t="inlineStr">
        <is>
          <t>MULIA ARINDA</t>
        </is>
      </c>
      <c r="B51" t="inlineStr">
        <is>
          <t>Kab. Tangerang</t>
        </is>
      </c>
      <c r="C51" t="inlineStr">
        <is>
          <t>0215990198</t>
        </is>
      </c>
      <c r="D51" t="inlineStr">
        <is>
          <t>muliaarindacv@yahoo.com</t>
        </is>
      </c>
      <c r="E51" t="inlineStr">
        <is>
          <t>https://lpjk.pu.go.id/search-badan-usaha-detail/ZlNIOUdZMEdZZGg0VmdQV0Q2NU9yZz09</t>
        </is>
      </c>
      <c r="F51" t="n">
        <v>1</v>
      </c>
      <c r="G51" t="inlineStr">
        <is>
          <t>BG002</t>
        </is>
      </c>
      <c r="H51" t="inlineStr">
        <is>
          <t>12 Oktober 2009</t>
        </is>
      </c>
      <c r="I51" s="2" t="n">
        <v>46266</v>
      </c>
      <c r="J51" t="inlineStr">
        <is>
          <t>Disetujui</t>
        </is>
      </c>
      <c r="K51" t="n">
        <v>90</v>
      </c>
      <c r="L51" t="inlineStr">
        <is>
          <t>1 September 2026</t>
        </is>
      </c>
      <c r="M51" t="inlineStr">
        <is>
          <t>Konstruksi Gedung Perkantoran</t>
        </is>
      </c>
      <c r="N51" t="inlineStr">
        <is>
          <t>K</t>
        </is>
      </c>
      <c r="O51" t="inlineStr">
        <is>
          <t>20230828</t>
        </is>
      </c>
      <c r="P51" t="inlineStr">
        <is>
          <t>Banten</t>
        </is>
      </c>
      <c r="Q51" t="inlineStr"/>
    </row>
    <row r="52">
      <c r="A52" t="inlineStr">
        <is>
          <t>MULYA JAYA ABADI</t>
        </is>
      </c>
      <c r="B52" t="inlineStr">
        <is>
          <t>Kab. Hulu Sungai Utara</t>
        </is>
      </c>
      <c r="C52" t="inlineStr">
        <is>
          <t>085332509284</t>
        </is>
      </c>
      <c r="D52" t="inlineStr">
        <is>
          <t>mulyajayaabadi15@gmail.com</t>
        </is>
      </c>
      <c r="E52" t="inlineStr">
        <is>
          <t>https://lpjk.pu.go.id/search-badan-usaha-detail/UGVSdmxrVjZhSWxaMFBqUTZuR0JBUT09</t>
        </is>
      </c>
      <c r="F52" t="n">
        <v>1</v>
      </c>
      <c r="G52" t="inlineStr">
        <is>
          <t>BG005</t>
        </is>
      </c>
      <c r="H52" t="inlineStr">
        <is>
          <t>12 Februari 2009</t>
        </is>
      </c>
      <c r="I52" s="2" t="n">
        <v>46266</v>
      </c>
      <c r="J52" t="inlineStr">
        <is>
          <t>Disetujui</t>
        </is>
      </c>
      <c r="K52" t="n">
        <v>90</v>
      </c>
      <c r="L52" t="inlineStr">
        <is>
          <t>1 September 2026</t>
        </is>
      </c>
      <c r="M52" t="inlineStr">
        <is>
          <t>Konstruksi Gedung Kesehatan</t>
        </is>
      </c>
      <c r="N52" t="inlineStr">
        <is>
          <t>K</t>
        </is>
      </c>
      <c r="O52" t="inlineStr">
        <is>
          <t>20230808</t>
        </is>
      </c>
      <c r="P52" t="inlineStr">
        <is>
          <t>Kalimantan Selatan</t>
        </is>
      </c>
      <c r="Q52" t="inlineStr"/>
    </row>
    <row r="53">
      <c r="A53" t="inlineStr">
        <is>
          <t>MUTIARA KARYA FAMILY</t>
        </is>
      </c>
      <c r="B53" t="inlineStr">
        <is>
          <t>Kab. Maluku Tengah</t>
        </is>
      </c>
      <c r="C53" t="inlineStr">
        <is>
          <t>85236145324</t>
        </is>
      </c>
      <c r="D53" t="inlineStr">
        <is>
          <t>mutiaraalyacv@gmail.com</t>
        </is>
      </c>
      <c r="E53" t="inlineStr">
        <is>
          <t>https://lpjk.pu.go.id/search-badan-usaha-detail/Y1lWVTRUZVNPYWRoblhsUXJxVklzUT09</t>
        </is>
      </c>
      <c r="F53" t="n">
        <v>2</v>
      </c>
      <c r="G53" t="inlineStr">
        <is>
          <t>BS001</t>
        </is>
      </c>
      <c r="H53" t="inlineStr">
        <is>
          <t>21 Agustus 2023</t>
        </is>
      </c>
      <c r="I53" s="2" t="n">
        <v>46266</v>
      </c>
      <c r="J53" t="inlineStr">
        <is>
          <t>Disetujui</t>
        </is>
      </c>
      <c r="K53" t="n">
        <v>90</v>
      </c>
      <c r="L53" t="inlineStr">
        <is>
          <t>1 September 2026</t>
        </is>
      </c>
      <c r="M53" t="inlineStr">
        <is>
          <t>Konstruksi Bangunan Sipil Jalan</t>
        </is>
      </c>
      <c r="N53" t="inlineStr">
        <is>
          <t>K</t>
        </is>
      </c>
      <c r="O53" t="inlineStr">
        <is>
          <t>20230901</t>
        </is>
      </c>
      <c r="P53" t="inlineStr">
        <is>
          <t>Maluku</t>
        </is>
      </c>
      <c r="Q53" t="inlineStr"/>
    </row>
    <row r="54">
      <c r="A54" t="inlineStr">
        <is>
          <t>NURALAM PUTRA</t>
        </is>
      </c>
      <c r="B54" t="inlineStr">
        <is>
          <t>Kab. Pandeglang</t>
        </is>
      </c>
      <c r="C54" t="inlineStr">
        <is>
          <t>087806777770</t>
        </is>
      </c>
      <c r="D54" t="inlineStr">
        <is>
          <t>cv.nuralamputra@gmail.com</t>
        </is>
      </c>
      <c r="E54" t="inlineStr">
        <is>
          <t>https://lpjk.pu.go.id/search-badan-usaha-detail/Mm51R1cxYVNxWnI3azhzdTlmU1ZLUT09</t>
        </is>
      </c>
      <c r="F54" t="n">
        <v>4</v>
      </c>
      <c r="G54" t="inlineStr">
        <is>
          <t>BG004, BG006, BG009, BS001</t>
        </is>
      </c>
      <c r="H54" t="inlineStr">
        <is>
          <t>24 Oktober 2016</t>
        </is>
      </c>
      <c r="I54" s="2" t="n">
        <v>46266</v>
      </c>
      <c r="J54" t="inlineStr">
        <is>
          <t>Pencabutan</t>
        </is>
      </c>
      <c r="K54" t="n">
        <v>90</v>
      </c>
      <c r="L54" t="inlineStr">
        <is>
          <t>1 September 2026</t>
        </is>
      </c>
      <c r="M54" t="inlineStr">
        <is>
          <t>Konstruksi Bangunan Sipil Jalan, Konstruksi Gedung Lainnya, Konstruksi Gedung Pendidikan, Konstruksi Gedung Perbelanjaan</t>
        </is>
      </c>
      <c r="N54" t="inlineStr">
        <is>
          <t>K</t>
        </is>
      </c>
      <c r="O54" t="inlineStr">
        <is>
          <t>20230825</t>
        </is>
      </c>
      <c r="P54" t="inlineStr">
        <is>
          <t>Banten</t>
        </is>
      </c>
      <c r="Q54" t="inlineStr"/>
    </row>
    <row r="55">
      <c r="A55" t="inlineStr">
        <is>
          <t>PANCUR MAS UTAMA</t>
        </is>
      </c>
      <c r="B55" t="inlineStr">
        <is>
          <t>Kota Adm. Jakarta Selatan</t>
        </is>
      </c>
      <c r="C55" t="inlineStr">
        <is>
          <t>0217807494</t>
        </is>
      </c>
      <c r="D55" t="inlineStr">
        <is>
          <t>pancurmasutama@gmail.com</t>
        </is>
      </c>
      <c r="E55" t="inlineStr">
        <is>
          <t>https://lpjk.pu.go.id/search-badan-usaha-detail/U0k0YmI0NFhBUFlaNndXYjZFKzZodz09</t>
        </is>
      </c>
      <c r="F55" t="n">
        <v>1</v>
      </c>
      <c r="G55" t="inlineStr">
        <is>
          <t>BS001</t>
        </is>
      </c>
      <c r="H55" t="inlineStr">
        <is>
          <t>19 Oktober 1983</t>
        </is>
      </c>
      <c r="I55" s="2" t="n">
        <v>46266</v>
      </c>
      <c r="J55" t="inlineStr">
        <is>
          <t>Disetujui</t>
        </is>
      </c>
      <c r="K55" t="n">
        <v>90</v>
      </c>
      <c r="L55" t="inlineStr">
        <is>
          <t>1 September 2026</t>
        </is>
      </c>
      <c r="M55" t="inlineStr">
        <is>
          <t>Konstruksi Bangunan Sipil Jalan</t>
        </is>
      </c>
      <c r="N55" t="inlineStr">
        <is>
          <t>K</t>
        </is>
      </c>
      <c r="O55" t="inlineStr">
        <is>
          <t>20230315</t>
        </is>
      </c>
      <c r="P55" t="inlineStr">
        <is>
          <t>DKI Jakarta</t>
        </is>
      </c>
      <c r="Q55" t="inlineStr"/>
    </row>
    <row r="56">
      <c r="A56" t="inlineStr">
        <is>
          <t>PARAMA DHARMA</t>
        </is>
      </c>
      <c r="B56" t="inlineStr">
        <is>
          <t>Kota Adm. Jakarta Selatan</t>
        </is>
      </c>
      <c r="C56" t="inlineStr">
        <is>
          <t>0217253008</t>
        </is>
      </c>
      <c r="D56" t="inlineStr">
        <is>
          <t>construction@paramadharma.co.id</t>
        </is>
      </c>
      <c r="E56" t="inlineStr">
        <is>
          <t>https://lpjk.pu.go.id/search-badan-usaha-detail/MEFuU0I3U0kxQi83UFJqQXFac0xFQT09</t>
        </is>
      </c>
      <c r="F56" t="n">
        <v>1</v>
      </c>
      <c r="G56" t="inlineStr">
        <is>
          <t>BG007</t>
        </is>
      </c>
      <c r="H56" t="inlineStr">
        <is>
          <t>8 November 1982</t>
        </is>
      </c>
      <c r="I56" s="2" t="n">
        <v>46266</v>
      </c>
      <c r="J56" t="inlineStr">
        <is>
          <t>Disetujui</t>
        </is>
      </c>
      <c r="K56" t="n">
        <v>90</v>
      </c>
      <c r="L56" t="inlineStr">
        <is>
          <t>1 September 2026</t>
        </is>
      </c>
      <c r="M56" t="inlineStr">
        <is>
          <t>Konstruksi Gedung Penginapan</t>
        </is>
      </c>
      <c r="N56" t="inlineStr">
        <is>
          <t>M</t>
        </is>
      </c>
      <c r="O56" t="inlineStr">
        <is>
          <t>20230818</t>
        </is>
      </c>
      <c r="P56" t="inlineStr">
        <is>
          <t>DKI Jakarta</t>
        </is>
      </c>
      <c r="Q56" t="inlineStr"/>
    </row>
    <row r="57">
      <c r="A57" t="inlineStr">
        <is>
          <t>PERMATA SELARAI</t>
        </is>
      </c>
      <c r="B57" t="inlineStr">
        <is>
          <t>Kab. Musi Banyuasin</t>
        </is>
      </c>
      <c r="C57" t="inlineStr">
        <is>
          <t>082279449449</t>
        </is>
      </c>
      <c r="D57" t="inlineStr">
        <is>
          <t>febrianto021984@gmail.com</t>
        </is>
      </c>
      <c r="E57" t="inlineStr">
        <is>
          <t>https://lpjk.pu.go.id/search-badan-usaha-detail/NE9RYTYyaWxhN016R2FIWWV0QTVkZz09</t>
        </is>
      </c>
      <c r="F57" t="n">
        <v>5</v>
      </c>
      <c r="G57" t="inlineStr">
        <is>
          <t>BG001, BG002, BG005, BG006, BG009</t>
        </is>
      </c>
      <c r="H57" t="inlineStr">
        <is>
          <t>25 Mei 2021</t>
        </is>
      </c>
      <c r="I57" s="2" t="n">
        <v>46266</v>
      </c>
      <c r="J57" t="inlineStr">
        <is>
          <t>Disetujui</t>
        </is>
      </c>
      <c r="K57" t="n">
        <v>90</v>
      </c>
      <c r="L57" t="inlineStr">
        <is>
          <t>1 September 2026</t>
        </is>
      </c>
      <c r="M57" t="inlineStr">
        <is>
          <t>Konstruksi Gedung Hunian, Konstruksi Gedung Kesehatan, Konstruksi Gedung Lainnya, Konstruksi Gedung Pendidikan, Konstruksi Gedung Perkantoran</t>
        </is>
      </c>
      <c r="N57" t="inlineStr">
        <is>
          <t>K</t>
        </is>
      </c>
      <c r="O57" t="inlineStr">
        <is>
          <t>20230830</t>
        </is>
      </c>
      <c r="P57" t="inlineStr">
        <is>
          <t>Sumatera Selatan</t>
        </is>
      </c>
      <c r="Q57" t="inlineStr"/>
    </row>
    <row r="58">
      <c r="A58" t="inlineStr">
        <is>
          <t>PRAJANATA</t>
        </is>
      </c>
      <c r="B58" t="inlineStr">
        <is>
          <t>Kab. Tabanan</t>
        </is>
      </c>
      <c r="C58" t="inlineStr">
        <is>
          <t>081246590420</t>
        </is>
      </c>
      <c r="D58" t="inlineStr">
        <is>
          <t>prajanatacv@yahoo.co.id</t>
        </is>
      </c>
      <c r="E58" t="inlineStr">
        <is>
          <t>https://lpjk.pu.go.id/search-badan-usaha-detail/QkRrb1o2VFhtUmpCbXdzcHBRU1drdz09</t>
        </is>
      </c>
      <c r="F58" t="n">
        <v>1</v>
      </c>
      <c r="G58" t="inlineStr">
        <is>
          <t>BG009</t>
        </is>
      </c>
      <c r="H58" t="inlineStr">
        <is>
          <t>15 Januari 2001</t>
        </is>
      </c>
      <c r="I58" s="2" t="n">
        <v>46266</v>
      </c>
      <c r="J58" t="inlineStr">
        <is>
          <t>Disetujui</t>
        </is>
      </c>
      <c r="K58" t="n">
        <v>90</v>
      </c>
      <c r="L58" t="inlineStr">
        <is>
          <t>1 September 2026</t>
        </is>
      </c>
      <c r="M58" t="inlineStr">
        <is>
          <t>Konstruksi Gedung Lainnya</t>
        </is>
      </c>
      <c r="N58" t="inlineStr">
        <is>
          <t>K</t>
        </is>
      </c>
      <c r="O58" t="inlineStr">
        <is>
          <t>20230827</t>
        </is>
      </c>
      <c r="P58" t="inlineStr">
        <is>
          <t>Bali</t>
        </is>
      </c>
      <c r="Q58" t="inlineStr"/>
    </row>
    <row r="59">
      <c r="A59" t="inlineStr">
        <is>
          <t>PRATIWI JAYA MANDIRI</t>
        </is>
      </c>
      <c r="B59" t="inlineStr">
        <is>
          <t>Kota Pontianak</t>
        </is>
      </c>
      <c r="C59" t="inlineStr">
        <is>
          <t>081219117788</t>
        </is>
      </c>
      <c r="D59" t="inlineStr">
        <is>
          <t>pratiwi.jaya.mandiri88@gmail.com</t>
        </is>
      </c>
      <c r="E59" t="inlineStr">
        <is>
          <t>https://lpjk.pu.go.id/search-badan-usaha-detail/RCt0enZraDRSZm5CYWJVcmRUMnFKQT09</t>
        </is>
      </c>
      <c r="F59" t="n">
        <v>1</v>
      </c>
      <c r="G59" t="inlineStr">
        <is>
          <t>BG009</t>
        </is>
      </c>
      <c r="H59" t="inlineStr">
        <is>
          <t>27 Agustus 2019</t>
        </is>
      </c>
      <c r="I59" s="2" t="n">
        <v>46266</v>
      </c>
      <c r="J59" t="inlineStr">
        <is>
          <t>Disetujui</t>
        </is>
      </c>
      <c r="K59" t="n">
        <v>90</v>
      </c>
      <c r="L59" t="inlineStr">
        <is>
          <t>1 September 2026</t>
        </is>
      </c>
      <c r="M59" t="inlineStr">
        <is>
          <t>Konstruksi Gedung Lainnya</t>
        </is>
      </c>
      <c r="N59" t="inlineStr">
        <is>
          <t>K</t>
        </is>
      </c>
      <c r="O59" t="inlineStr">
        <is>
          <t>20230831</t>
        </is>
      </c>
      <c r="P59" t="inlineStr">
        <is>
          <t>Kalimantan Barat</t>
        </is>
      </c>
      <c r="Q59" t="inlineStr"/>
    </row>
    <row r="60">
      <c r="A60" t="inlineStr">
        <is>
          <t>PROYEKTA</t>
        </is>
      </c>
      <c r="B60" t="inlineStr">
        <is>
          <t>Kab. Subang</t>
        </is>
      </c>
      <c r="C60" t="inlineStr">
        <is>
          <t>081221192811</t>
        </is>
      </c>
      <c r="D60" t="inlineStr">
        <is>
          <t>proyektacv@gmail.com</t>
        </is>
      </c>
      <c r="E60" t="inlineStr">
        <is>
          <t>https://lpjk.pu.go.id/search-badan-usaha-detail/eVp0WG1KWEdYN3JHZy9aK2YzTlRjdz09</t>
        </is>
      </c>
      <c r="F60" t="n">
        <v>2</v>
      </c>
      <c r="G60" t="inlineStr">
        <is>
          <t>BS001, BS004</t>
        </is>
      </c>
      <c r="H60" t="inlineStr">
        <is>
          <t>18 Desember 1979</t>
        </is>
      </c>
      <c r="I60" s="2" t="n">
        <v>46266</v>
      </c>
      <c r="J60" t="inlineStr">
        <is>
          <t>Disetujui</t>
        </is>
      </c>
      <c r="K60" t="n">
        <v>90</v>
      </c>
      <c r="L60" t="inlineStr">
        <is>
          <t>1 September 2026</t>
        </is>
      </c>
      <c r="M60" t="inlineStr">
        <is>
          <t>Konstruksi Bangunan Sipil Jalan, Konstruksi Jaringan Irigasi dan Drainase</t>
        </is>
      </c>
      <c r="N60" t="inlineStr">
        <is>
          <t>K</t>
        </is>
      </c>
      <c r="O60" t="inlineStr">
        <is>
          <t>20230830, 20230831</t>
        </is>
      </c>
      <c r="P60" t="inlineStr">
        <is>
          <t>Jawa Barat</t>
        </is>
      </c>
      <c r="Q60" t="inlineStr"/>
    </row>
    <row r="61">
      <c r="A61" t="inlineStr">
        <is>
          <t>PUTRA JAYA RAHARJA</t>
        </is>
      </c>
      <c r="B61" t="inlineStr">
        <is>
          <t>Kota Surakarta</t>
        </is>
      </c>
      <c r="C61" t="inlineStr">
        <is>
          <t>0271642860</t>
        </is>
      </c>
      <c r="D61" t="inlineStr">
        <is>
          <t>putrajayaraharja_pajak@yahoo.com</t>
        </is>
      </c>
      <c r="E61" t="inlineStr">
        <is>
          <t>https://lpjk.pu.go.id/search-badan-usaha-detail/NXdBM1E5OEJlcldkUGg1UDJSNlJWdz09</t>
        </is>
      </c>
      <c r="F61" t="n">
        <v>1</v>
      </c>
      <c r="G61" t="inlineStr">
        <is>
          <t>BS009</t>
        </is>
      </c>
      <c r="H61" t="inlineStr">
        <is>
          <t>19 Desember 2008</t>
        </is>
      </c>
      <c r="I61" s="2" t="n">
        <v>46266</v>
      </c>
      <c r="J61" t="inlineStr">
        <is>
          <t>Disetujui</t>
        </is>
      </c>
      <c r="K61" t="n">
        <v>90</v>
      </c>
      <c r="L61" t="inlineStr">
        <is>
          <t>1 September 2026</t>
        </is>
      </c>
      <c r="M61" t="inlineStr">
        <is>
          <t>Konstruksi Sentral Telekomunikasi</t>
        </is>
      </c>
      <c r="N61" t="inlineStr">
        <is>
          <t>K</t>
        </is>
      </c>
      <c r="O61" t="inlineStr">
        <is>
          <t>20230829</t>
        </is>
      </c>
      <c r="P61" t="inlineStr">
        <is>
          <t>Jawa Tengah</t>
        </is>
      </c>
      <c r="Q61" t="inlineStr"/>
    </row>
    <row r="62">
      <c r="A62" t="inlineStr">
        <is>
          <t>PUTRA JAYA SEMBUNG</t>
        </is>
      </c>
      <c r="B62" t="inlineStr">
        <is>
          <t>Kab. Badung</t>
        </is>
      </c>
      <c r="C62" t="inlineStr">
        <is>
          <t>081338277469</t>
        </is>
      </c>
      <c r="D62" t="inlineStr">
        <is>
          <t>putrajayasembung@gmail.com</t>
        </is>
      </c>
      <c r="E62" t="inlineStr">
        <is>
          <t>https://lpjk.pu.go.id/search-badan-usaha-detail/R1dzcklwY2xsQkNSRHpIOVVRTzdCUT09</t>
        </is>
      </c>
      <c r="F62" t="n">
        <v>5</v>
      </c>
      <c r="G62" t="inlineStr">
        <is>
          <t>BG002, BG005, BG006, BG007, BG009</t>
        </is>
      </c>
      <c r="H62" t="inlineStr">
        <is>
          <t>12 Mei 2023</t>
        </is>
      </c>
      <c r="I62" s="2" t="n">
        <v>46266</v>
      </c>
      <c r="J62" t="inlineStr">
        <is>
          <t>Disetujui</t>
        </is>
      </c>
      <c r="K62" t="n">
        <v>90</v>
      </c>
      <c r="L62" t="inlineStr">
        <is>
          <t>1 September 2026</t>
        </is>
      </c>
      <c r="M62" t="inlineStr">
        <is>
          <t>Konstruksi Gedung Kesehatan, Konstruksi Gedung Lainnya, Konstruksi Gedung Pendidikan, Konstruksi Gedung Penginapan, Konstruksi Gedung Perkantoran</t>
        </is>
      </c>
      <c r="N62" t="inlineStr">
        <is>
          <t>K</t>
        </is>
      </c>
      <c r="O62" t="inlineStr">
        <is>
          <t>20230831</t>
        </is>
      </c>
      <c r="P62" t="inlineStr">
        <is>
          <t>Bali</t>
        </is>
      </c>
      <c r="Q62" t="inlineStr"/>
    </row>
    <row r="63">
      <c r="A63" t="inlineStr">
        <is>
          <t>PUTRA SIMPANG LIMA</t>
        </is>
      </c>
      <c r="B63" t="inlineStr">
        <is>
          <t>Kab. Garut</t>
        </is>
      </c>
      <c r="C63" t="inlineStr">
        <is>
          <t>08983068657</t>
        </is>
      </c>
      <c r="D63" t="inlineStr">
        <is>
          <t>cvputrasimpanglima4@gmail.com</t>
        </is>
      </c>
      <c r="E63" t="inlineStr">
        <is>
          <t>https://lpjk.pu.go.id/search-badan-usaha-detail/L1lOblcwbkJFWnRZUWxlZVRUOGwxZz09</t>
        </is>
      </c>
      <c r="F63" t="n">
        <v>1</v>
      </c>
      <c r="G63" t="inlineStr">
        <is>
          <t>BG009</t>
        </is>
      </c>
      <c r="H63" t="inlineStr">
        <is>
          <t>4 Maret 2020</t>
        </is>
      </c>
      <c r="I63" s="2" t="n">
        <v>46266</v>
      </c>
      <c r="J63" t="inlineStr">
        <is>
          <t>Disetujui</t>
        </is>
      </c>
      <c r="K63" t="n">
        <v>90</v>
      </c>
      <c r="L63" t="inlineStr">
        <is>
          <t>1 September 2026</t>
        </is>
      </c>
      <c r="M63" t="inlineStr">
        <is>
          <t>Konstruksi Gedung Lainnya</t>
        </is>
      </c>
      <c r="N63" t="inlineStr">
        <is>
          <t>K</t>
        </is>
      </c>
      <c r="O63" t="inlineStr">
        <is>
          <t>20230831</t>
        </is>
      </c>
      <c r="P63" t="inlineStr">
        <is>
          <t>Jawa Barat</t>
        </is>
      </c>
      <c r="Q63" t="inlineStr"/>
    </row>
    <row r="64">
      <c r="A64" t="inlineStr">
        <is>
          <t>PUTRA WOLOK</t>
        </is>
      </c>
      <c r="B64" t="inlineStr">
        <is>
          <t>Kab. Seram Bagian Timur</t>
        </is>
      </c>
      <c r="C64" t="inlineStr">
        <is>
          <t>081383324243</t>
        </is>
      </c>
      <c r="D64" t="inlineStr">
        <is>
          <t>cvputrawolok@yahoo.com</t>
        </is>
      </c>
      <c r="E64" t="inlineStr">
        <is>
          <t>https://lpjk.pu.go.id/search-badan-usaha-detail/VGppak1tN001TkF0TXNkdkk4QWorQT09</t>
        </is>
      </c>
      <c r="F64" t="n">
        <v>1</v>
      </c>
      <c r="G64" t="inlineStr">
        <is>
          <t>BG002</t>
        </is>
      </c>
      <c r="H64" t="inlineStr">
        <is>
          <t>6 Januari 2020</t>
        </is>
      </c>
      <c r="I64" s="2" t="n">
        <v>46266</v>
      </c>
      <c r="J64" t="inlineStr">
        <is>
          <t>Disetujui</t>
        </is>
      </c>
      <c r="K64" t="n">
        <v>90</v>
      </c>
      <c r="L64" t="inlineStr">
        <is>
          <t>1 September 2026</t>
        </is>
      </c>
      <c r="M64" t="inlineStr">
        <is>
          <t>Konstruksi Gedung Perkantoran</t>
        </is>
      </c>
      <c r="N64" t="inlineStr">
        <is>
          <t>K</t>
        </is>
      </c>
      <c r="O64" t="inlineStr">
        <is>
          <t>20230902</t>
        </is>
      </c>
      <c r="P64" t="inlineStr">
        <is>
          <t>Maluku</t>
        </is>
      </c>
      <c r="Q64" t="inlineStr"/>
    </row>
    <row r="65">
      <c r="A65" t="inlineStr">
        <is>
          <t>RADEN GALUH</t>
        </is>
      </c>
      <c r="B65" t="inlineStr">
        <is>
          <t>Kota Bandar Lampung</t>
        </is>
      </c>
      <c r="C65" t="inlineStr">
        <is>
          <t>-</t>
        </is>
      </c>
      <c r="D65" t="inlineStr">
        <is>
          <t>-</t>
        </is>
      </c>
      <c r="E65" t="inlineStr">
        <is>
          <t>https://lpjk.pu.go.id/search-badan-usaha-detail/MXBJSG1VemNzQndCRTFsWVJyQklodz09</t>
        </is>
      </c>
      <c r="F65" t="n">
        <v>1</v>
      </c>
      <c r="G65" t="inlineStr">
        <is>
          <t>BG006</t>
        </is>
      </c>
      <c r="H65" t="inlineStr">
        <is>
          <t>27 Desember 2013</t>
        </is>
      </c>
      <c r="I65" s="2" t="n">
        <v>46266</v>
      </c>
      <c r="J65" t="inlineStr">
        <is>
          <t>Disetujui</t>
        </is>
      </c>
      <c r="K65" t="n">
        <v>90</v>
      </c>
      <c r="L65" t="inlineStr">
        <is>
          <t>1 September 2026</t>
        </is>
      </c>
      <c r="M65" t="inlineStr">
        <is>
          <t>Konstruksi Gedung Pendidikan</t>
        </is>
      </c>
      <c r="N65" t="inlineStr">
        <is>
          <t>K</t>
        </is>
      </c>
      <c r="O65" t="inlineStr">
        <is>
          <t>20230901</t>
        </is>
      </c>
      <c r="P65" t="inlineStr">
        <is>
          <t>Lampung</t>
        </is>
      </c>
      <c r="Q65" t="inlineStr"/>
    </row>
    <row r="66">
      <c r="A66" t="inlineStr">
        <is>
          <t>REYHAN PUTRA MANDIRI</t>
        </is>
      </c>
      <c r="B66" t="inlineStr">
        <is>
          <t>Kab. Indramayu</t>
        </is>
      </c>
      <c r="C66" t="inlineStr">
        <is>
          <t>087835125006</t>
        </is>
      </c>
      <c r="D66" t="inlineStr">
        <is>
          <t>cvrpm1404@gmail.com</t>
        </is>
      </c>
      <c r="E66" t="inlineStr">
        <is>
          <t>https://lpjk.pu.go.id/search-badan-usaha-detail/WW5UMGZhZ0RCWCtSV1RkYVQ4dnJpQT09</t>
        </is>
      </c>
      <c r="F66" t="n">
        <v>1</v>
      </c>
      <c r="G66" t="inlineStr">
        <is>
          <t>BG009</t>
        </is>
      </c>
      <c r="H66" t="inlineStr">
        <is>
          <t>3 Juli 2020</t>
        </is>
      </c>
      <c r="I66" s="2" t="n">
        <v>46266</v>
      </c>
      <c r="J66" t="inlineStr">
        <is>
          <t>Pencabutan</t>
        </is>
      </c>
      <c r="K66" t="n">
        <v>90</v>
      </c>
      <c r="L66" t="inlineStr">
        <is>
          <t>1 September 2026</t>
        </is>
      </c>
      <c r="M66" t="inlineStr">
        <is>
          <t>Konstruksi Gedung Lainnya</t>
        </is>
      </c>
      <c r="N66" t="inlineStr">
        <is>
          <t>K</t>
        </is>
      </c>
      <c r="O66" t="inlineStr">
        <is>
          <t>20230320</t>
        </is>
      </c>
      <c r="P66" t="inlineStr">
        <is>
          <t>Jawa Barat</t>
        </is>
      </c>
      <c r="Q66" t="inlineStr"/>
    </row>
    <row r="67">
      <c r="A67" t="inlineStr">
        <is>
          <t>SARANA MULIA</t>
        </is>
      </c>
      <c r="B67" t="inlineStr">
        <is>
          <t>Kota Banjarbaru</t>
        </is>
      </c>
      <c r="C67" t="inlineStr">
        <is>
          <t>085248206246</t>
        </is>
      </c>
      <c r="D67" t="inlineStr">
        <is>
          <t>cv.sarana.mulia.2020@gmail.com</t>
        </is>
      </c>
      <c r="E67" t="inlineStr">
        <is>
          <t>https://lpjk.pu.go.id/search-badan-usaha-detail/Z3hNRjVBOWlqSTJhbElOOGM4L1l6QT09</t>
        </is>
      </c>
      <c r="F67" t="n">
        <v>1</v>
      </c>
      <c r="G67" t="inlineStr">
        <is>
          <t>BG009</t>
        </is>
      </c>
      <c r="H67" t="inlineStr">
        <is>
          <t>10 Februari 2020</t>
        </is>
      </c>
      <c r="I67" s="2" t="n">
        <v>46266</v>
      </c>
      <c r="J67" t="inlineStr">
        <is>
          <t>Disetujui</t>
        </is>
      </c>
      <c r="K67" t="n">
        <v>90</v>
      </c>
      <c r="L67" t="inlineStr">
        <is>
          <t>1 September 2026</t>
        </is>
      </c>
      <c r="M67" t="inlineStr">
        <is>
          <t>Konstruksi Gedung Lainnya</t>
        </is>
      </c>
      <c r="N67" t="inlineStr">
        <is>
          <t>K</t>
        </is>
      </c>
      <c r="O67" t="inlineStr">
        <is>
          <t>20230902</t>
        </is>
      </c>
      <c r="P67" t="inlineStr">
        <is>
          <t>Kalimantan Selatan</t>
        </is>
      </c>
      <c r="Q67" t="inlineStr"/>
    </row>
    <row r="68">
      <c r="A68" t="inlineStr">
        <is>
          <t>SINAR PIEDIP</t>
        </is>
      </c>
      <c r="B68" t="inlineStr">
        <is>
          <t>Kab. Pegunungan Arfak</t>
        </is>
      </c>
      <c r="C68" t="inlineStr">
        <is>
          <t>081344048174</t>
        </is>
      </c>
      <c r="D68" t="inlineStr">
        <is>
          <t>sinarpiedip@gmail.com</t>
        </is>
      </c>
      <c r="E68" t="inlineStr">
        <is>
          <t>https://lpjk.pu.go.id/search-badan-usaha-detail/NWxDdXVGcHZMOVZzRU9mbVBTdzZVQT09</t>
        </is>
      </c>
      <c r="F68" t="n">
        <v>1</v>
      </c>
      <c r="G68" t="inlineStr">
        <is>
          <t>BG001</t>
        </is>
      </c>
      <c r="H68" t="inlineStr">
        <is>
          <t>25 Agustus 2017</t>
        </is>
      </c>
      <c r="I68" s="2" t="n">
        <v>46266</v>
      </c>
      <c r="J68" t="inlineStr">
        <is>
          <t>Pencabutan</t>
        </is>
      </c>
      <c r="K68" t="n">
        <v>90</v>
      </c>
      <c r="L68" t="inlineStr">
        <is>
          <t>1 September 2026</t>
        </is>
      </c>
      <c r="M68" t="inlineStr">
        <is>
          <t>Konstruksi Gedung Hunian</t>
        </is>
      </c>
      <c r="N68" t="inlineStr">
        <is>
          <t>K</t>
        </is>
      </c>
      <c r="O68" t="inlineStr">
        <is>
          <t>20230830</t>
        </is>
      </c>
      <c r="P68" t="inlineStr">
        <is>
          <t>Papua Barat</t>
        </is>
      </c>
      <c r="Q68" t="inlineStr"/>
    </row>
    <row r="69">
      <c r="A69" t="inlineStr">
        <is>
          <t>SUMAJAKA BUANA KREASI</t>
        </is>
      </c>
      <c r="B69" t="inlineStr">
        <is>
          <t>Kota Adm. Jakarta Barat</t>
        </is>
      </c>
      <c r="C69" t="inlineStr">
        <is>
          <t>0215443702</t>
        </is>
      </c>
      <c r="D69" t="inlineStr">
        <is>
          <t>sumajaka.2004@gmail.com</t>
        </is>
      </c>
      <c r="E69" t="inlineStr">
        <is>
          <t>https://lpjk.pu.go.id/search-badan-usaha-detail/ZEFoM0NlUGF2Y0lxdlI2aWxFRGNYQT09</t>
        </is>
      </c>
      <c r="F69" t="n">
        <v>1</v>
      </c>
      <c r="G69" t="inlineStr">
        <is>
          <t>BG005</t>
        </is>
      </c>
      <c r="H69" t="inlineStr">
        <is>
          <t>15 Oktober 2004</t>
        </is>
      </c>
      <c r="I69" s="2" t="n">
        <v>46266</v>
      </c>
      <c r="J69" t="inlineStr">
        <is>
          <t>Disetujui</t>
        </is>
      </c>
      <c r="K69" t="n">
        <v>90</v>
      </c>
      <c r="L69" t="inlineStr">
        <is>
          <t>1 September 2026</t>
        </is>
      </c>
      <c r="M69" t="inlineStr">
        <is>
          <t>Konstruksi Gedung Kesehatan</t>
        </is>
      </c>
      <c r="N69" t="inlineStr">
        <is>
          <t>K</t>
        </is>
      </c>
      <c r="O69" t="inlineStr">
        <is>
          <t>20230804</t>
        </is>
      </c>
      <c r="P69" t="inlineStr">
        <is>
          <t>DKI Jakarta</t>
        </is>
      </c>
      <c r="Q69" t="inlineStr"/>
    </row>
    <row r="70">
      <c r="A70" t="inlineStr">
        <is>
          <t>TIARA AGUNG</t>
        </is>
      </c>
      <c r="B70" t="inlineStr">
        <is>
          <t>Kab. Sumbawa</t>
        </is>
      </c>
      <c r="C70" t="inlineStr">
        <is>
          <t>085293778854</t>
        </is>
      </c>
      <c r="D70" t="inlineStr">
        <is>
          <t>tiaraagungcv@gmail.com</t>
        </is>
      </c>
      <c r="E70" t="inlineStr">
        <is>
          <t>https://lpjk.pu.go.id/search-badan-usaha-detail/Q012bExyZHB1SC9yYU9hWkV5dStWZz09</t>
        </is>
      </c>
      <c r="F70" t="n">
        <v>1</v>
      </c>
      <c r="G70" t="inlineStr">
        <is>
          <t>BG002</t>
        </is>
      </c>
      <c r="H70" t="inlineStr">
        <is>
          <t>13 November 2001</t>
        </is>
      </c>
      <c r="I70" s="2" t="n">
        <v>46266</v>
      </c>
      <c r="J70" t="inlineStr">
        <is>
          <t>Disetujui</t>
        </is>
      </c>
      <c r="K70" t="n">
        <v>90</v>
      </c>
      <c r="L70" t="inlineStr">
        <is>
          <t>1 September 2026</t>
        </is>
      </c>
      <c r="M70" t="inlineStr">
        <is>
          <t>Konstruksi Gedung Perkantoran</t>
        </is>
      </c>
      <c r="N70" t="inlineStr">
        <is>
          <t>K</t>
        </is>
      </c>
      <c r="O70" t="inlineStr">
        <is>
          <t>20230830</t>
        </is>
      </c>
      <c r="P70" t="inlineStr">
        <is>
          <t>Nusa Tenggara Barat</t>
        </is>
      </c>
      <c r="Q70" t="inlineStr"/>
    </row>
    <row r="71">
      <c r="A71" t="inlineStr">
        <is>
          <t>TIGA CAHAYA</t>
        </is>
      </c>
      <c r="B71" t="inlineStr">
        <is>
          <t>Kota Semarang</t>
        </is>
      </c>
      <c r="C71" t="inlineStr">
        <is>
          <t>081226446352</t>
        </is>
      </c>
      <c r="D71" t="inlineStr">
        <is>
          <t>tigacahaya03@gmail.com</t>
        </is>
      </c>
      <c r="E71" t="inlineStr">
        <is>
          <t>https://lpjk.pu.go.id/search-badan-usaha-detail/NHhBY1lFTG95aVNlVU54SDJ1Z05RZz09</t>
        </is>
      </c>
      <c r="F71" t="n">
        <v>2</v>
      </c>
      <c r="G71" t="inlineStr">
        <is>
          <t>BG005, BS004</t>
        </is>
      </c>
      <c r="H71" t="inlineStr">
        <is>
          <t>28 Januari 2015</t>
        </is>
      </c>
      <c r="I71" s="2" t="n">
        <v>46266</v>
      </c>
      <c r="J71" t="inlineStr">
        <is>
          <t>Disetujui</t>
        </is>
      </c>
      <c r="K71" t="n">
        <v>90</v>
      </c>
      <c r="L71" t="inlineStr">
        <is>
          <t>1 September 2026</t>
        </is>
      </c>
      <c r="M71" t="inlineStr">
        <is>
          <t>Konstruksi Gedung Kesehatan, Konstruksi Jaringan Irigasi dan Drainase</t>
        </is>
      </c>
      <c r="N71" t="inlineStr">
        <is>
          <t>K</t>
        </is>
      </c>
      <c r="O71" t="inlineStr">
        <is>
          <t>20230830</t>
        </is>
      </c>
      <c r="P71" t="inlineStr">
        <is>
          <t>Jawa Tengah</t>
        </is>
      </c>
      <c r="Q71" t="inlineStr"/>
    </row>
    <row r="72">
      <c r="A72" t="inlineStr">
        <is>
          <t>TOBA SEJAHTERA KARUNIA</t>
        </is>
      </c>
      <c r="B72" t="inlineStr">
        <is>
          <t>Kota Medan</t>
        </is>
      </c>
      <c r="C72" t="inlineStr">
        <is>
          <t>081321880696</t>
        </is>
      </c>
      <c r="D72" t="inlineStr">
        <is>
          <t>tobasejahterakarunia@gmail.com</t>
        </is>
      </c>
      <c r="E72" t="inlineStr">
        <is>
          <t>https://lpjk.pu.go.id/search-badan-usaha-detail/SzVxaHV4VmtOUEVsWnQ5d2gvYkl5QT09</t>
        </is>
      </c>
      <c r="F72" t="n">
        <v>1</v>
      </c>
      <c r="G72" t="inlineStr">
        <is>
          <t>BG009</t>
        </is>
      </c>
      <c r="H72" t="inlineStr">
        <is>
          <t>18 Maret 2015</t>
        </is>
      </c>
      <c r="I72" s="2" t="n">
        <v>46266</v>
      </c>
      <c r="J72" t="inlineStr">
        <is>
          <t>Disetujui</t>
        </is>
      </c>
      <c r="K72" t="n">
        <v>90</v>
      </c>
      <c r="L72" t="inlineStr">
        <is>
          <t>1 September 2026</t>
        </is>
      </c>
      <c r="M72" t="inlineStr">
        <is>
          <t>Konstruksi Gedung Lainnya</t>
        </is>
      </c>
      <c r="N72" t="inlineStr">
        <is>
          <t>K</t>
        </is>
      </c>
      <c r="O72" t="inlineStr">
        <is>
          <t>20230829</t>
        </is>
      </c>
      <c r="P72" t="inlineStr">
        <is>
          <t>Sumatera Utara</t>
        </is>
      </c>
      <c r="Q72" t="inlineStr"/>
    </row>
    <row r="73">
      <c r="A73" t="inlineStr">
        <is>
          <t>TRI KITA NUSANTARA</t>
        </is>
      </c>
      <c r="B73" t="inlineStr">
        <is>
          <t>Kota Medan</t>
        </is>
      </c>
      <c r="C73" t="inlineStr">
        <is>
          <t>081263575858</t>
        </is>
      </c>
      <c r="D73" t="inlineStr">
        <is>
          <t>PT.TRIKITANUSANTARA@GMAIL.COM</t>
        </is>
      </c>
      <c r="E73" t="inlineStr">
        <is>
          <t>https://lpjk.pu.go.id/search-badan-usaha-detail/MytxZTg3RExmU0FSY1ZaeTdLUEZXdz09</t>
        </is>
      </c>
      <c r="F73" t="n">
        <v>4</v>
      </c>
      <c r="G73" t="inlineStr">
        <is>
          <t>BG001, BG002, BG003, BG009</t>
        </is>
      </c>
      <c r="H73" t="inlineStr">
        <is>
          <t>7 September 2015</t>
        </is>
      </c>
      <c r="I73" s="2" t="n">
        <v>46266</v>
      </c>
      <c r="J73" t="inlineStr">
        <is>
          <t>Disetujui</t>
        </is>
      </c>
      <c r="K73" t="n">
        <v>90</v>
      </c>
      <c r="L73" t="inlineStr">
        <is>
          <t>1 September 2026</t>
        </is>
      </c>
      <c r="M73" t="inlineStr">
        <is>
          <t>Konstruksi Gedung Hunian, Konstruksi Gedung Industri, Konstruksi Gedung Lainnya, Konstruksi Gedung Perkantoran</t>
        </is>
      </c>
      <c r="N73" t="inlineStr">
        <is>
          <t>K</t>
        </is>
      </c>
      <c r="O73" t="inlineStr">
        <is>
          <t>20230831</t>
        </is>
      </c>
      <c r="P73" t="inlineStr">
        <is>
          <t>Sumatera Utara</t>
        </is>
      </c>
      <c r="Q73" t="inlineStr"/>
    </row>
    <row r="74">
      <c r="A74" t="inlineStr">
        <is>
          <t>TRIARTHA GRAHA</t>
        </is>
      </c>
      <c r="B74" t="inlineStr">
        <is>
          <t>Kab. Badung</t>
        </is>
      </c>
      <c r="C74" t="inlineStr">
        <is>
          <t>085103008812</t>
        </is>
      </c>
      <c r="D74" t="inlineStr">
        <is>
          <t>cv.triarthagraha@gmail.com</t>
        </is>
      </c>
      <c r="E74" t="inlineStr">
        <is>
          <t>https://lpjk.pu.go.id/search-badan-usaha-detail/M2VWaDZMTWpNSmVJWk9qL1BYYjhuUT09</t>
        </is>
      </c>
      <c r="F74" t="n">
        <v>1</v>
      </c>
      <c r="G74" t="inlineStr">
        <is>
          <t>BS004</t>
        </is>
      </c>
      <c r="H74" t="inlineStr">
        <is>
          <t>4 Januari 2006</t>
        </is>
      </c>
      <c r="I74" s="2" t="n">
        <v>46266</v>
      </c>
      <c r="J74" t="inlineStr">
        <is>
          <t>Disetujui</t>
        </is>
      </c>
      <c r="K74" t="n">
        <v>90</v>
      </c>
      <c r="L74" t="inlineStr">
        <is>
          <t>1 September 2026</t>
        </is>
      </c>
      <c r="M74" t="inlineStr">
        <is>
          <t>Konstruksi Jaringan Irigasi dan Drainase</t>
        </is>
      </c>
      <c r="N74" t="inlineStr">
        <is>
          <t>K</t>
        </is>
      </c>
      <c r="O74" t="inlineStr">
        <is>
          <t>20230830</t>
        </is>
      </c>
      <c r="P74" t="inlineStr">
        <is>
          <t>Bali</t>
        </is>
      </c>
      <c r="Q74" t="inlineStr"/>
    </row>
    <row r="75">
      <c r="A75" t="inlineStr">
        <is>
          <t>TRIBUANA TUNGGADEWI</t>
        </is>
      </c>
      <c r="B75" t="inlineStr">
        <is>
          <t>Kab. Tulungagung</t>
        </is>
      </c>
      <c r="C75" t="inlineStr">
        <is>
          <t>085645863213</t>
        </is>
      </c>
      <c r="D75" t="inlineStr">
        <is>
          <t>tunggadewitribuana22@gmail.com</t>
        </is>
      </c>
      <c r="E75" t="inlineStr">
        <is>
          <t>https://lpjk.pu.go.id/search-badan-usaha-detail/MVVMMjNBamFjRG9KZU1FMUVUVzFVUT09</t>
        </is>
      </c>
      <c r="F75" t="n">
        <v>5</v>
      </c>
      <c r="G75" t="inlineStr">
        <is>
          <t>BG004, BG006</t>
        </is>
      </c>
      <c r="H75" t="inlineStr">
        <is>
          <t>22 Maret 2017</t>
        </is>
      </c>
      <c r="I75" s="2" t="n">
        <v>46266</v>
      </c>
      <c r="J75" t="inlineStr">
        <is>
          <t>Disetujui</t>
        </is>
      </c>
      <c r="K75" t="n">
        <v>90</v>
      </c>
      <c r="L75" t="inlineStr">
        <is>
          <t>1 September 2026</t>
        </is>
      </c>
      <c r="M75" t="inlineStr">
        <is>
          <t>Konstruksi Gedung Pendidikan, Konstruksi Gedung Perbelanjaan</t>
        </is>
      </c>
      <c r="N75" t="inlineStr">
        <is>
          <t>K</t>
        </is>
      </c>
      <c r="O75" t="inlineStr">
        <is>
          <t>20230829</t>
        </is>
      </c>
      <c r="P75" t="inlineStr">
        <is>
          <t>Jawa Timur</t>
        </is>
      </c>
      <c r="Q75" t="inlineStr"/>
    </row>
    <row r="76">
      <c r="A76" t="inlineStr">
        <is>
          <t>WAHANA GREEN ENERGY</t>
        </is>
      </c>
      <c r="B76" t="inlineStr">
        <is>
          <t>Kota Adm. Jakarta Selatan</t>
        </is>
      </c>
      <c r="C76" t="inlineStr">
        <is>
          <t>02172780214</t>
        </is>
      </c>
      <c r="D76" t="inlineStr">
        <is>
          <t>wahanagreenenergy.wge@gmail.com</t>
        </is>
      </c>
      <c r="E76" t="inlineStr">
        <is>
          <t>https://lpjk.pu.go.id/search-badan-usaha-detail/MXRkOWZlb09FUjduK1ZidUZFdW0zUT09</t>
        </is>
      </c>
      <c r="F76" t="n">
        <v>1</v>
      </c>
      <c r="G76" t="inlineStr">
        <is>
          <t>BG004</t>
        </is>
      </c>
      <c r="H76" t="inlineStr">
        <is>
          <t>13 Oktober 2019</t>
        </is>
      </c>
      <c r="I76" s="2" t="n">
        <v>46266</v>
      </c>
      <c r="J76" t="inlineStr">
        <is>
          <t>Disetujui</t>
        </is>
      </c>
      <c r="K76" t="n">
        <v>90</v>
      </c>
      <c r="L76" t="inlineStr">
        <is>
          <t>1 September 2026</t>
        </is>
      </c>
      <c r="M76" t="inlineStr">
        <is>
          <t>Konstruksi Gedung Perbelanjaan</t>
        </is>
      </c>
      <c r="N76" t="inlineStr">
        <is>
          <t>M</t>
        </is>
      </c>
      <c r="O76" t="inlineStr">
        <is>
          <t>20230831</t>
        </is>
      </c>
      <c r="P76" t="inlineStr">
        <is>
          <t>DKI Jakarta</t>
        </is>
      </c>
      <c r="Q76" t="inlineStr"/>
    </row>
    <row r="77">
      <c r="A77" t="inlineStr">
        <is>
          <t>YOGATAMA RAYA</t>
        </is>
      </c>
      <c r="B77" t="inlineStr">
        <is>
          <t>Kab. Pemalang</t>
        </is>
      </c>
      <c r="C77" t="inlineStr">
        <is>
          <t>081542035300</t>
        </is>
      </c>
      <c r="D77" t="inlineStr">
        <is>
          <t>cv.yogatamaraya@gmail.com</t>
        </is>
      </c>
      <c r="E77" t="inlineStr">
        <is>
          <t>https://lpjk.pu.go.id/search-badan-usaha-detail/YmU3MlRuVGlZUmJGSmJPMm5QejlFdz09</t>
        </is>
      </c>
      <c r="F77" t="n">
        <v>3</v>
      </c>
      <c r="G77" t="inlineStr">
        <is>
          <t>BS010</t>
        </is>
      </c>
      <c r="H77" t="inlineStr">
        <is>
          <t>3 Maret 1994</t>
        </is>
      </c>
      <c r="I77" s="2" t="n">
        <v>46266</v>
      </c>
      <c r="J77" t="inlineStr">
        <is>
          <t>Disetujui</t>
        </is>
      </c>
      <c r="K77" t="n">
        <v>90</v>
      </c>
      <c r="L77" t="inlineStr">
        <is>
          <t>1 September 2026</t>
        </is>
      </c>
      <c r="M77" t="inlineStr">
        <is>
          <t>Konstruksi Bangunan Prasarana Sumber Daya Air</t>
        </is>
      </c>
      <c r="N77" t="inlineStr">
        <is>
          <t>K</t>
        </is>
      </c>
      <c r="O77" t="inlineStr">
        <is>
          <t>20230829</t>
        </is>
      </c>
      <c r="P77" t="inlineStr">
        <is>
          <t>Jawa Tengah</t>
        </is>
      </c>
      <c r="Q7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85"/>
  <sheetViews>
    <sheetView workbookViewId="0">
      <selection activeCell="A1" sqref="A1"/>
    </sheetView>
  </sheetViews>
  <sheetFormatPr baseColWidth="8" defaultRowHeight="15"/>
  <cols>
    <col width="33" customWidth="1" min="1" max="1"/>
    <col width="27" customWidth="1" min="2" max="2"/>
    <col width="16" customWidth="1" min="3" max="3"/>
    <col width="40" customWidth="1" min="4" max="4"/>
    <col width="50" customWidth="1" min="5" max="5"/>
    <col width="18" customWidth="1" min="6" max="6"/>
    <col width="42" customWidth="1" min="7" max="7"/>
    <col width="20" customWidth="1" min="8" max="8"/>
    <col width="28" customWidth="1" min="9" max="9"/>
    <col width="23" customWidth="1" min="10" max="10"/>
    <col width="11" customWidth="1" min="11" max="11"/>
    <col width="17" customWidth="1" min="12" max="12"/>
    <col width="50" customWidth="1" min="13" max="13"/>
    <col width="13"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ADITYA KENCANA SAHAJA</t>
        </is>
      </c>
      <c r="B2" t="inlineStr">
        <is>
          <t>Kab. Bekasi</t>
        </is>
      </c>
      <c r="C2" t="inlineStr">
        <is>
          <t>085312539791</t>
        </is>
      </c>
      <c r="D2" t="inlineStr">
        <is>
          <t>adityakencanasahaja@yahoo.com</t>
        </is>
      </c>
      <c r="E2" t="inlineStr">
        <is>
          <t>https://lpjk.pu.go.id/search-badan-usaha-detail/TjI5NnZ6YytsSEwrT1hzQ2g3RzRJUT09</t>
        </is>
      </c>
      <c r="F2" t="n">
        <v>1</v>
      </c>
      <c r="G2" t="inlineStr">
        <is>
          <t>BG009</t>
        </is>
      </c>
      <c r="H2" t="inlineStr">
        <is>
          <t>21 Oktober 2016</t>
        </is>
      </c>
      <c r="I2" s="2" t="n">
        <v>46236</v>
      </c>
      <c r="J2" t="inlineStr">
        <is>
          <t>Disetujui</t>
        </is>
      </c>
      <c r="K2" t="n">
        <v>60</v>
      </c>
      <c r="L2" t="inlineStr">
        <is>
          <t>2 Agustus 2026</t>
        </is>
      </c>
      <c r="M2" t="inlineStr">
        <is>
          <t>Konstruksi Gedung Lainnya</t>
        </is>
      </c>
      <c r="N2" t="inlineStr">
        <is>
          <t>K</t>
        </is>
      </c>
      <c r="O2" t="inlineStr">
        <is>
          <t>20230729</t>
        </is>
      </c>
      <c r="P2" t="inlineStr">
        <is>
          <t>Jawa Barat</t>
        </is>
      </c>
      <c r="Q2" s="3">
        <f>HYPERLINK("https://wa.me/6285312539791?text=*[PENGINGAT MASA BERLAKU SBU ADITYA KENCANA SAHAJA]*%0A%0AYth. Pimpinan ADITYA KENCANA SAHAJA,%0AMohon izin menginformasikan status SBU Anda di sistem LPJK:%0A%0A📄 SBU: BG009%0A📅 Expired: 2 Agustus 2026 (60 Hari Lagi)%0A%0AKami tim PT. ESDEA Assistance Management siap men-support proses perpanjangan segera.", "Hubungi")</f>
        <v/>
      </c>
    </row>
    <row r="3">
      <c r="A3" t="inlineStr">
        <is>
          <t>ARGA KARYA MANDIRI</t>
        </is>
      </c>
      <c r="B3" t="inlineStr">
        <is>
          <t>Kota Depok</t>
        </is>
      </c>
      <c r="C3" t="inlineStr">
        <is>
          <t>082113440536</t>
        </is>
      </c>
      <c r="D3" t="inlineStr">
        <is>
          <t>argakarya.mandiri@gmail.com</t>
        </is>
      </c>
      <c r="E3" t="inlineStr">
        <is>
          <t>https://lpjk.pu.go.id/search-badan-usaha-detail/R2dBRmFJazEyTWtVWmZuN20xNXFkZz09</t>
        </is>
      </c>
      <c r="F3" t="n">
        <v>4</v>
      </c>
      <c r="G3" t="inlineStr">
        <is>
          <t>BG006, BG009, BS001, BS004</t>
        </is>
      </c>
      <c r="H3" t="inlineStr">
        <is>
          <t>25 April 2016</t>
        </is>
      </c>
      <c r="I3" s="2" t="n">
        <v>46236</v>
      </c>
      <c r="J3" t="inlineStr">
        <is>
          <t>Disetujui</t>
        </is>
      </c>
      <c r="K3" t="n">
        <v>60</v>
      </c>
      <c r="L3" t="inlineStr">
        <is>
          <t>2 Agustus 2026</t>
        </is>
      </c>
      <c r="M3" t="inlineStr">
        <is>
          <t>Konstruksi Bangunan Sipil Jalan, Konstruksi Gedung Lainnya, Konstruksi Gedung Pendidikan, Konstruksi Jaringan Irigasi dan Drainase</t>
        </is>
      </c>
      <c r="N3" t="inlineStr">
        <is>
          <t>K</t>
        </is>
      </c>
      <c r="O3" t="inlineStr">
        <is>
          <t>20230720</t>
        </is>
      </c>
      <c r="P3" t="inlineStr">
        <is>
          <t>Jawa Barat</t>
        </is>
      </c>
      <c r="Q3" s="3">
        <f>HYPERLINK("https://wa.me/6282113440536?text=*[PENGINGAT MASA BERLAKU SBU ARGA KARYA MANDIRI]*%0A%0AYth. Pimpinan ARGA KARYA MANDIRI,%0AMohon izin menginformasikan status SBU Anda di sistem LPJK:%0A%0A📄 SBU: BG006, BG009, BS001, BS004%0A📅 Expired: 2 Agustus 2026 (60 Hari Lagi)%0A%0AKami tim PT. ESDEA Assistance Management siap men-support proses perpanjangan segera.", "Hubungi")</f>
        <v/>
      </c>
    </row>
    <row r="4">
      <c r="A4" t="inlineStr">
        <is>
          <t>AZKA KARYA ABADI</t>
        </is>
      </c>
      <c r="B4" t="inlineStr">
        <is>
          <t>Kab. Bogor</t>
        </is>
      </c>
      <c r="C4" t="inlineStr">
        <is>
          <t>082142077870</t>
        </is>
      </c>
      <c r="D4" t="inlineStr">
        <is>
          <t>azkakaryaabadi.cv@gmail.com</t>
        </is>
      </c>
      <c r="E4" t="inlineStr">
        <is>
          <t>https://lpjk.pu.go.id/search-badan-usaha-detail/eDZUVDRWb1hyZ1BtOVJGVUQzYjl5Zz09</t>
        </is>
      </c>
      <c r="F4" t="n">
        <v>3</v>
      </c>
      <c r="G4" t="inlineStr">
        <is>
          <t>BG006, BS001, BS004</t>
        </is>
      </c>
      <c r="H4" t="inlineStr">
        <is>
          <t>12 Februari 2016</t>
        </is>
      </c>
      <c r="I4" s="2" t="n">
        <v>46236</v>
      </c>
      <c r="J4" t="inlineStr">
        <is>
          <t>Disetujui</t>
        </is>
      </c>
      <c r="K4" t="n">
        <v>60</v>
      </c>
      <c r="L4" t="inlineStr">
        <is>
          <t>2 Agustus 2026</t>
        </is>
      </c>
      <c r="M4" t="inlineStr">
        <is>
          <t>Konstruksi Bangunan Sipil Jalan, Konstruksi Gedung Pendidikan, Konstruksi Jaringan Irigasi dan Drainase</t>
        </is>
      </c>
      <c r="N4" t="inlineStr">
        <is>
          <t>K</t>
        </is>
      </c>
      <c r="O4" t="inlineStr">
        <is>
          <t>20230715, 20230725</t>
        </is>
      </c>
      <c r="P4" t="inlineStr">
        <is>
          <t>Jawa Barat</t>
        </is>
      </c>
      <c r="Q4" s="3">
        <f>HYPERLINK("https://wa.me/6282142077870?text=*[PENGINGAT MASA BERLAKU SBU AZKA KARYA ABADI]*%0A%0AYth. Pimpinan AZKA KARYA ABADI,%0AMohon izin menginformasikan status SBU Anda di sistem LPJK:%0A%0A📄 SBU: BG006, BS001, BS004%0A📅 Expired: 2 Agustus 2026 (60 Hari Lagi)%0A%0AKami tim PT. ESDEA Assistance Management siap men-support proses perpanjangan segera.", "Hubungi")</f>
        <v/>
      </c>
    </row>
    <row r="5">
      <c r="A5" t="inlineStr">
        <is>
          <t>BAGINDA JAYA</t>
        </is>
      </c>
      <c r="B5" t="inlineStr">
        <is>
          <t>Kota Depok</t>
        </is>
      </c>
      <c r="C5" t="inlineStr">
        <is>
          <t>081212336636</t>
        </is>
      </c>
      <c r="D5" t="inlineStr">
        <is>
          <t>bagindajaya.cv@gmail.com</t>
        </is>
      </c>
      <c r="E5" t="inlineStr">
        <is>
          <t>https://lpjk.pu.go.id/search-badan-usaha-detail/YVMwQlFnNUhYbG9JLzJKOUs4WDA5dz09</t>
        </is>
      </c>
      <c r="F5" t="n">
        <v>2</v>
      </c>
      <c r="G5" t="inlineStr">
        <is>
          <t>BS002, BS004</t>
        </is>
      </c>
      <c r="H5" t="inlineStr">
        <is>
          <t>26 Maret 2018</t>
        </is>
      </c>
      <c r="I5" s="2" t="n">
        <v>46236</v>
      </c>
      <c r="J5" t="inlineStr">
        <is>
          <t>Disetujui</t>
        </is>
      </c>
      <c r="K5" t="n">
        <v>60</v>
      </c>
      <c r="L5" t="inlineStr">
        <is>
          <t>2 Agustus 2026</t>
        </is>
      </c>
      <c r="M5" t="inlineStr">
        <is>
          <t>Bangunan Sipil Jembatan, Jalan Layang, Fly Over, dan Underpass, Konstruksi Jaringan Irigasi dan Drainase</t>
        </is>
      </c>
      <c r="N5" t="inlineStr">
        <is>
          <t>K</t>
        </is>
      </c>
      <c r="O5" t="inlineStr">
        <is>
          <t>20230731</t>
        </is>
      </c>
      <c r="P5" t="inlineStr">
        <is>
          <t>Jawa Barat</t>
        </is>
      </c>
      <c r="Q5" s="3">
        <f>HYPERLINK("https://wa.me/6281212336636?text=*[PENGINGAT MASA BERLAKU SBU BAGINDA JAYA]*%0A%0AYth. Pimpinan BAGINDA JAYA,%0AMohon izin menginformasikan status SBU Anda di sistem LPJK:%0A%0A📄 SBU: BS002, BS004%0A📅 Expired: 2 Agustus 2026 (60 Hari Lagi)%0A%0AKami tim PT. ESDEA Assistance Management siap men-support proses perpanjangan segera.", "Hubungi")</f>
        <v/>
      </c>
    </row>
    <row r="6">
      <c r="A6" t="inlineStr">
        <is>
          <t>BAGUS CEMERLANG</t>
        </is>
      </c>
      <c r="B6" t="inlineStr">
        <is>
          <t>Kota Adm. Jakarta Timur</t>
        </is>
      </c>
      <c r="C6" t="inlineStr">
        <is>
          <t>081254353399</t>
        </is>
      </c>
      <c r="D6" t="inlineStr">
        <is>
          <t>baguscemerlang.pt@gmail.com</t>
        </is>
      </c>
      <c r="E6" t="inlineStr">
        <is>
          <t>https://lpjk.pu.go.id/search-badan-usaha-detail/RWMrQ1ZMS0wzZm5MTG1jd2RYdFNyQT09</t>
        </is>
      </c>
      <c r="F6" t="n">
        <v>3</v>
      </c>
      <c r="G6" t="inlineStr">
        <is>
          <t>BG001, BG002, BG009</t>
        </is>
      </c>
      <c r="H6" t="inlineStr">
        <is>
          <t>27 April 2011</t>
        </is>
      </c>
      <c r="I6" s="2" t="n">
        <v>46236</v>
      </c>
      <c r="J6" t="inlineStr">
        <is>
          <t>Disetujui</t>
        </is>
      </c>
      <c r="K6" t="n">
        <v>60</v>
      </c>
      <c r="L6" t="inlineStr">
        <is>
          <t>2 Agustus 2026</t>
        </is>
      </c>
      <c r="M6" t="inlineStr">
        <is>
          <t>Konstruksi Gedung Hunian, Konstruksi Gedung Lainnya, Konstruksi Gedung Perkantoran</t>
        </is>
      </c>
      <c r="N6" t="inlineStr">
        <is>
          <t>K</t>
        </is>
      </c>
      <c r="O6" t="inlineStr">
        <is>
          <t>20230727, 20230802</t>
        </is>
      </c>
      <c r="P6" t="inlineStr">
        <is>
          <t>DKI Jakarta</t>
        </is>
      </c>
      <c r="Q6" s="3">
        <f>HYPERLINK("https://wa.me/6281254353399?text=*[PENGINGAT MASA BERLAKU SBU BAGUS CEMERLANG]*%0A%0AYth. Pimpinan BAGUS CEMERLANG,%0AMohon izin menginformasikan status SBU Anda di sistem LPJK:%0A%0A📄 SBU: BG001, BG002, BG009%0A📅 Expired: 2 Agustus 2026 (60 Hari Lagi)%0A%0AKami tim PT. ESDEA Assistance Management siap men-support proses perpanjangan segera.", "Hubungi")</f>
        <v/>
      </c>
    </row>
    <row r="7">
      <c r="A7" t="inlineStr">
        <is>
          <t>DELAYU IRWA SETIA</t>
        </is>
      </c>
      <c r="B7" t="inlineStr">
        <is>
          <t>Kota Adm. Jakarta Timur</t>
        </is>
      </c>
      <c r="C7" t="inlineStr">
        <is>
          <t>081354915530</t>
        </is>
      </c>
      <c r="D7" t="inlineStr">
        <is>
          <t>delayuirwasetia@yahoo.co.id</t>
        </is>
      </c>
      <c r="E7" t="inlineStr">
        <is>
          <t>https://lpjk.pu.go.id/search-badan-usaha-detail/d0U3NUVJcndhVTd0NGdaaFkwWEpZUT09</t>
        </is>
      </c>
      <c r="F7" t="n">
        <v>1</v>
      </c>
      <c r="G7" t="inlineStr">
        <is>
          <t>BS004</t>
        </is>
      </c>
      <c r="H7" t="inlineStr">
        <is>
          <t>14 November 2012</t>
        </is>
      </c>
      <c r="I7" s="2" t="n">
        <v>46236</v>
      </c>
      <c r="J7" t="inlineStr">
        <is>
          <t>Pencabutan</t>
        </is>
      </c>
      <c r="K7" t="n">
        <v>60</v>
      </c>
      <c r="L7" t="inlineStr">
        <is>
          <t>2 Agustus 2026</t>
        </is>
      </c>
      <c r="M7" t="inlineStr">
        <is>
          <t>Konstruksi Jaringan Irigasi dan Drainase</t>
        </is>
      </c>
      <c r="N7" t="inlineStr">
        <is>
          <t>K</t>
        </is>
      </c>
      <c r="O7" t="inlineStr">
        <is>
          <t>20230731</t>
        </is>
      </c>
      <c r="P7" t="inlineStr">
        <is>
          <t>DKI Jakarta</t>
        </is>
      </c>
      <c r="Q7" s="3">
        <f>HYPERLINK("https://wa.me/6281354915530?text=*[PENGINGAT MASA BERLAKU SBU DELAYU IRWA SETIA]*%0A%0AYth. Pimpinan DELAYU IRWA SETIA,%0AMohon izin menginformasikan status SBU Anda di sistem LPJK:%0A%0A📄 SBU: BS004%0A📅 Expired: 2 Agustus 2026 (60 Hari Lagi)%0A%0AKami tim PT. ESDEA Assistance Management siap men-support proses perpanjangan segera.", "Hubungi")</f>
        <v/>
      </c>
    </row>
    <row r="8">
      <c r="A8" t="inlineStr">
        <is>
          <t>FALDISA UTAMA</t>
        </is>
      </c>
      <c r="B8" t="inlineStr">
        <is>
          <t>Kab. Bogor</t>
        </is>
      </c>
      <c r="C8" t="inlineStr">
        <is>
          <t>082122126077</t>
        </is>
      </c>
      <c r="D8" t="inlineStr">
        <is>
          <t>faldisa.utama@yahoo.com</t>
        </is>
      </c>
      <c r="E8" t="inlineStr">
        <is>
          <t>https://lpjk.pu.go.id/search-badan-usaha-detail/VFNuN2NyVjFQemhBSWxkYnBVOXdXZz09</t>
        </is>
      </c>
      <c r="F8" t="n">
        <v>1</v>
      </c>
      <c r="G8" t="inlineStr">
        <is>
          <t>BG006</t>
        </is>
      </c>
      <c r="H8" t="inlineStr">
        <is>
          <t>28 April 1999</t>
        </is>
      </c>
      <c r="I8" s="2" t="n">
        <v>46236</v>
      </c>
      <c r="J8" t="inlineStr">
        <is>
          <t>Disetujui</t>
        </is>
      </c>
      <c r="K8" t="n">
        <v>60</v>
      </c>
      <c r="L8" t="inlineStr">
        <is>
          <t>2 Agustus 2026</t>
        </is>
      </c>
      <c r="M8" t="inlineStr">
        <is>
          <t>Konstruksi Gedung Pendidikan</t>
        </is>
      </c>
      <c r="N8" t="inlineStr">
        <is>
          <t>K</t>
        </is>
      </c>
      <c r="O8" t="inlineStr">
        <is>
          <t>20230801</t>
        </is>
      </c>
      <c r="P8" t="inlineStr">
        <is>
          <t>Jawa Barat</t>
        </is>
      </c>
      <c r="Q8" s="3">
        <f>HYPERLINK("https://wa.me/6282122126077?text=*[PENGINGAT MASA BERLAKU SBU FALDISA UTAMA]*%0A%0AYth. Pimpinan FALDISA UTAMA,%0AMohon izin menginformasikan status SBU Anda di sistem LPJK:%0A%0A📄 SBU: BG006%0A📅 Expired: 2 Agustus 2026 (60 Hari Lagi)%0A%0AKami tim PT. ESDEA Assistance Management siap men-support proses perpanjangan segera.", "Hubungi")</f>
        <v/>
      </c>
    </row>
    <row r="9">
      <c r="A9" t="inlineStr">
        <is>
          <t>GOKPASU JAYA SAMS</t>
        </is>
      </c>
      <c r="B9" t="inlineStr">
        <is>
          <t>Kab. Bekasi</t>
        </is>
      </c>
      <c r="C9" t="inlineStr">
        <is>
          <t>088801110710</t>
        </is>
      </c>
      <c r="D9" t="inlineStr">
        <is>
          <t>gokpasujayasam@gmail.com</t>
        </is>
      </c>
      <c r="E9" t="inlineStr">
        <is>
          <t>https://lpjk.pu.go.id/search-badan-usaha-detail/M1NYajdIc05aN0hzTWFnUW90YnJBUT09</t>
        </is>
      </c>
      <c r="F9" t="n">
        <v>1</v>
      </c>
      <c r="G9" t="inlineStr">
        <is>
          <t>BS001</t>
        </is>
      </c>
      <c r="H9" t="inlineStr">
        <is>
          <t>17 April 2023</t>
        </is>
      </c>
      <c r="I9" s="2" t="n">
        <v>46236</v>
      </c>
      <c r="J9" t="inlineStr">
        <is>
          <t>Disetujui</t>
        </is>
      </c>
      <c r="K9" t="n">
        <v>60</v>
      </c>
      <c r="L9" t="inlineStr">
        <is>
          <t>2 Agustus 2026</t>
        </is>
      </c>
      <c r="M9" t="inlineStr">
        <is>
          <t>Konstruksi Bangunan Sipil Jalan</t>
        </is>
      </c>
      <c r="N9" t="inlineStr">
        <is>
          <t>K</t>
        </is>
      </c>
      <c r="O9" t="inlineStr">
        <is>
          <t>20230703</t>
        </is>
      </c>
      <c r="P9" t="inlineStr">
        <is>
          <t>Jawa Barat</t>
        </is>
      </c>
      <c r="Q9" s="3">
        <f>HYPERLINK("https://wa.me/6288801110710?text=*[PENGINGAT MASA BERLAKU SBU GOKPASU JAYA SAMS]*%0A%0AYth. Pimpinan GOKPASU JAYA SAMS,%0AMohon izin menginformasikan status SBU Anda di sistem LPJK:%0A%0A📄 SBU: BS001%0A📅 Expired: 2 Agustus 2026 (60 Hari Lagi)%0A%0AKami tim PT. ESDEA Assistance Management siap men-support proses perpanjangan segera.", "Hubungi")</f>
        <v/>
      </c>
    </row>
    <row r="10">
      <c r="A10" t="inlineStr">
        <is>
          <t>HASTA BANGUN IMAJI</t>
        </is>
      </c>
      <c r="B10" t="inlineStr">
        <is>
          <t>Kab. Bekasi</t>
        </is>
      </c>
      <c r="C10" t="inlineStr">
        <is>
          <t>02182609729</t>
        </is>
      </c>
      <c r="D10" t="inlineStr">
        <is>
          <t>hastabangunimaji@gmail.com</t>
        </is>
      </c>
      <c r="E10" t="inlineStr">
        <is>
          <t>https://lpjk.pu.go.id/search-badan-usaha-detail/T0NIYjZ2V29rMFViYjdWMksrYkpxQT09</t>
        </is>
      </c>
      <c r="F10" t="n">
        <v>1</v>
      </c>
      <c r="G10" t="inlineStr">
        <is>
          <t>BG001</t>
        </is>
      </c>
      <c r="H10" t="inlineStr">
        <is>
          <t>5 Maret 2005</t>
        </is>
      </c>
      <c r="I10" s="2" t="n">
        <v>46236</v>
      </c>
      <c r="J10" t="inlineStr">
        <is>
          <t>Disetujui</t>
        </is>
      </c>
      <c r="K10" t="n">
        <v>60</v>
      </c>
      <c r="L10" t="inlineStr">
        <is>
          <t>2 Agustus 2026</t>
        </is>
      </c>
      <c r="M10" t="inlineStr">
        <is>
          <t>Konstruksi Gedung Hunian</t>
        </is>
      </c>
      <c r="N10" t="inlineStr">
        <is>
          <t>K</t>
        </is>
      </c>
      <c r="O10" t="inlineStr">
        <is>
          <t>20230731</t>
        </is>
      </c>
      <c r="P10" t="inlineStr">
        <is>
          <t>Jawa Barat</t>
        </is>
      </c>
      <c r="Q10" t="inlineStr"/>
    </row>
    <row r="11">
      <c r="A11" t="inlineStr">
        <is>
          <t>JASA KONSTRUKSI RAYA</t>
        </is>
      </c>
      <c r="B11" t="inlineStr">
        <is>
          <t>Kota Adm. Jakarta Timur</t>
        </is>
      </c>
      <c r="C11" t="inlineStr">
        <is>
          <t>02147862669</t>
        </is>
      </c>
      <c r="D11" t="inlineStr">
        <is>
          <t>jayakonstruksiraya@gmail.com</t>
        </is>
      </c>
      <c r="E11" t="inlineStr">
        <is>
          <t>https://lpjk.pu.go.id/search-badan-usaha-detail/azBTZkdwcUNEZ2wxeWNlQlcwYVE3UT09</t>
        </is>
      </c>
      <c r="F11" t="n">
        <v>3</v>
      </c>
      <c r="G11" t="inlineStr">
        <is>
          <t>BG006, BG009, BS004</t>
        </is>
      </c>
      <c r="H11" t="inlineStr">
        <is>
          <t>5 April 2000</t>
        </is>
      </c>
      <c r="I11" s="2" t="n">
        <v>46236</v>
      </c>
      <c r="J11" t="inlineStr">
        <is>
          <t>Disetujui</t>
        </is>
      </c>
      <c r="K11" t="n">
        <v>60</v>
      </c>
      <c r="L11" t="inlineStr">
        <is>
          <t>2 Agustus 2026</t>
        </is>
      </c>
      <c r="M11" t="inlineStr">
        <is>
          <t>Konstruksi Gedung Lainnya, Konstruksi Gedung Pendidikan, Konstruksi Jaringan Irigasi dan Drainase</t>
        </is>
      </c>
      <c r="N11" t="inlineStr">
        <is>
          <t>K</t>
        </is>
      </c>
      <c r="O11" t="inlineStr">
        <is>
          <t>20230728</t>
        </is>
      </c>
      <c r="P11" t="inlineStr">
        <is>
          <t>DKI Jakarta</t>
        </is>
      </c>
      <c r="Q11" t="inlineStr"/>
    </row>
    <row r="12">
      <c r="A12" t="inlineStr">
        <is>
          <t>KARTIKA KAROMAH</t>
        </is>
      </c>
      <c r="B12" t="inlineStr">
        <is>
          <t>Kota Depok</t>
        </is>
      </c>
      <c r="C12" t="inlineStr">
        <is>
          <t>02177269068</t>
        </is>
      </c>
      <c r="D12" t="inlineStr">
        <is>
          <t>kartikakaromah_cv@yahoo.co.id</t>
        </is>
      </c>
      <c r="E12" t="inlineStr">
        <is>
          <t>https://lpjk.pu.go.id/search-badan-usaha-detail/eGQyT2NwbEdzNUZhcEQxbTJRWTYwZz09</t>
        </is>
      </c>
      <c r="F12" t="n">
        <v>1</v>
      </c>
      <c r="G12" t="inlineStr">
        <is>
          <t>BG009</t>
        </is>
      </c>
      <c r="H12" t="inlineStr">
        <is>
          <t>23 Januari 2008</t>
        </is>
      </c>
      <c r="I12" s="2" t="n">
        <v>46236</v>
      </c>
      <c r="J12" t="inlineStr">
        <is>
          <t>Disetujui</t>
        </is>
      </c>
      <c r="K12" t="n">
        <v>60</v>
      </c>
      <c r="L12" t="inlineStr">
        <is>
          <t>2 Agustus 2026</t>
        </is>
      </c>
      <c r="M12" t="inlineStr">
        <is>
          <t>Konstruksi Gedung Lainnya</t>
        </is>
      </c>
      <c r="N12" t="inlineStr">
        <is>
          <t>K</t>
        </is>
      </c>
      <c r="O12" t="inlineStr">
        <is>
          <t>20230609</t>
        </is>
      </c>
      <c r="P12" t="inlineStr">
        <is>
          <t>Jawa Barat</t>
        </is>
      </c>
      <c r="Q12" t="inlineStr"/>
    </row>
    <row r="13">
      <c r="A13" t="inlineStr">
        <is>
          <t>KARYA KENCANA</t>
        </is>
      </c>
      <c r="B13" t="inlineStr">
        <is>
          <t>Kota Depok</t>
        </is>
      </c>
      <c r="C13" t="inlineStr">
        <is>
          <t>081219676505</t>
        </is>
      </c>
      <c r="D13" t="inlineStr">
        <is>
          <t>cvkaryakencana85@gmail.com</t>
        </is>
      </c>
      <c r="E13" t="inlineStr">
        <is>
          <t>https://lpjk.pu.go.id/search-badan-usaha-detail/MHEzQURwQTZwSTBCaVNQZnRGZjNjdz09</t>
        </is>
      </c>
      <c r="F13" t="n">
        <v>5</v>
      </c>
      <c r="G13" t="inlineStr">
        <is>
          <t>BG006, BG009, BS001, BS004, BS010</t>
        </is>
      </c>
      <c r="H13" t="inlineStr">
        <is>
          <t>26 Januari 2016</t>
        </is>
      </c>
      <c r="I13" s="2" t="n">
        <v>46236</v>
      </c>
      <c r="J13" t="inlineStr">
        <is>
          <t>Disetujui</t>
        </is>
      </c>
      <c r="K13" t="n">
        <v>60</v>
      </c>
      <c r="L13" t="inlineStr">
        <is>
          <t>2 Agustus 2026</t>
        </is>
      </c>
      <c r="M13" t="inlineStr">
        <is>
          <t>Konstruksi Bangunan Prasarana Sumber Daya Air, Konstruksi Bangunan Sipil Jalan, Konstruksi Gedung Lainnya, Konstruksi Gedung Pendidikan, Konstruksi Jaringan Irigasi dan Drainase</t>
        </is>
      </c>
      <c r="N13" t="inlineStr">
        <is>
          <t>K</t>
        </is>
      </c>
      <c r="O13" t="inlineStr">
        <is>
          <t>20230613, 20230717</t>
        </is>
      </c>
      <c r="P13" t="inlineStr">
        <is>
          <t>Jawa Barat</t>
        </is>
      </c>
      <c r="Q13" s="3">
        <f>HYPERLINK("https://wa.me/6281219676505?text=*[PENGINGAT MASA BERLAKU SBU KARYA KENCANA]*%0A%0AYth. Pimpinan KARYA KENCANA,%0AMohon izin menginformasikan status SBU Anda di sistem LPJK:%0A%0A📄 SBU: BG006, BG009, BS001, BS004, BS010%0A📅 Expired: 2 Agustus 2026 (60 Hari Lagi)%0A%0AKami tim PT. ESDEA Assistance Management siap men-support proses perpanjangan segera.", "Hubungi")</f>
        <v/>
      </c>
    </row>
    <row r="14">
      <c r="A14" t="inlineStr">
        <is>
          <t>KARYA MANDIRI KONSULTAN</t>
        </is>
      </c>
      <c r="B14" t="inlineStr">
        <is>
          <t>Kota Bogor</t>
        </is>
      </c>
      <c r="C14" t="inlineStr">
        <is>
          <t>0218433320</t>
        </is>
      </c>
      <c r="D14" t="inlineStr">
        <is>
          <t>karyamandirikonsul@gmail.com</t>
        </is>
      </c>
      <c r="E14" t="inlineStr">
        <is>
          <t>https://lpjk.pu.go.id/search-badan-usaha-detail/VHBST1BPazI4NEpGamlmVDQ5MjR2QT09</t>
        </is>
      </c>
      <c r="F14" t="n">
        <v>1</v>
      </c>
      <c r="G14" t="inlineStr">
        <is>
          <t>AR002</t>
        </is>
      </c>
      <c r="H14" t="inlineStr">
        <is>
          <t>20 Februari 2017</t>
        </is>
      </c>
      <c r="I14" s="2" t="n">
        <v>46236</v>
      </c>
      <c r="J14" t="inlineStr">
        <is>
          <t>Pencabutan</t>
        </is>
      </c>
      <c r="K14" t="n">
        <v>60</v>
      </c>
      <c r="L14" t="inlineStr">
        <is>
          <t>2 Agustus 2026</t>
        </is>
      </c>
      <c r="M14" t="inlineStr">
        <is>
          <t>Jasa Arsitektural Lainnya</t>
        </is>
      </c>
      <c r="N14" t="inlineStr">
        <is>
          <t>K</t>
        </is>
      </c>
      <c r="O14" t="inlineStr">
        <is>
          <t>20230721</t>
        </is>
      </c>
      <c r="P14" t="inlineStr">
        <is>
          <t>Jawa Barat</t>
        </is>
      </c>
      <c r="Q14" t="inlineStr"/>
    </row>
    <row r="15">
      <c r="A15" t="inlineStr">
        <is>
          <t>LIA PIJER ENERGI</t>
        </is>
      </c>
      <c r="B15" t="inlineStr">
        <is>
          <t>Kota Bekasi</t>
        </is>
      </c>
      <c r="C15" t="inlineStr">
        <is>
          <t>0218252202</t>
        </is>
      </c>
      <c r="D15" t="inlineStr">
        <is>
          <t>liapijerenergikontraktor@gmail.com</t>
        </is>
      </c>
      <c r="E15" t="inlineStr">
        <is>
          <t>https://lpjk.pu.go.id/search-badan-usaha-detail/ak1BazNNa3NyZ0VOQ0xjUnJsdTRhQT09</t>
        </is>
      </c>
      <c r="F15" t="n">
        <v>1</v>
      </c>
      <c r="G15" t="inlineStr">
        <is>
          <t>BS010</t>
        </is>
      </c>
      <c r="H15" t="inlineStr">
        <is>
          <t>1 April 2015</t>
        </is>
      </c>
      <c r="I15" s="2" t="n">
        <v>46236</v>
      </c>
      <c r="J15" t="inlineStr">
        <is>
          <t>Disetujui</t>
        </is>
      </c>
      <c r="K15" t="n">
        <v>60</v>
      </c>
      <c r="L15" t="inlineStr">
        <is>
          <t>2 Agustus 2026</t>
        </is>
      </c>
      <c r="M15" t="inlineStr">
        <is>
          <t>Konstruksi Bangunan Prasarana Sumber Daya Air</t>
        </is>
      </c>
      <c r="N15" t="inlineStr">
        <is>
          <t>K</t>
        </is>
      </c>
      <c r="O15" t="inlineStr">
        <is>
          <t>20230802</t>
        </is>
      </c>
      <c r="P15" t="inlineStr">
        <is>
          <t>Jawa Barat</t>
        </is>
      </c>
      <c r="Q15" t="inlineStr"/>
    </row>
    <row r="16">
      <c r="A16" t="inlineStr">
        <is>
          <t>MITRA PANGRANGO AZRISYA</t>
        </is>
      </c>
      <c r="B16" t="inlineStr">
        <is>
          <t>Kab. Bogor</t>
        </is>
      </c>
      <c r="C16" t="inlineStr">
        <is>
          <t>081284764000</t>
        </is>
      </c>
      <c r="D16" t="inlineStr">
        <is>
          <t>mitrapangrango@gmail.com</t>
        </is>
      </c>
      <c r="E16" t="inlineStr">
        <is>
          <t>https://lpjk.pu.go.id/search-badan-usaha-detail/cDN4N0x0NVFEUEVxQ1dMVGFPbU1VUT09</t>
        </is>
      </c>
      <c r="F16" t="n">
        <v>1</v>
      </c>
      <c r="G16" t="inlineStr">
        <is>
          <t>BG005</t>
        </is>
      </c>
      <c r="H16" t="inlineStr">
        <is>
          <t>25 Agustus 2022</t>
        </is>
      </c>
      <c r="I16" s="2" t="n">
        <v>46236</v>
      </c>
      <c r="J16" t="inlineStr">
        <is>
          <t>Disetujui</t>
        </is>
      </c>
      <c r="K16" t="n">
        <v>60</v>
      </c>
      <c r="L16" t="inlineStr">
        <is>
          <t>2 Agustus 2026</t>
        </is>
      </c>
      <c r="M16" t="inlineStr">
        <is>
          <t>Konstruksi Gedung Kesehatan</t>
        </is>
      </c>
      <c r="N16" t="inlineStr">
        <is>
          <t>K</t>
        </is>
      </c>
      <c r="O16" t="inlineStr">
        <is>
          <t>20230706</t>
        </is>
      </c>
      <c r="P16" t="inlineStr">
        <is>
          <t>Jawa Barat</t>
        </is>
      </c>
      <c r="Q16" s="3">
        <f>HYPERLINK("https://wa.me/6281284764000?text=*[PENGINGAT MASA BERLAKU SBU MITRA PANGRANGO AZRISYA]*%0A%0AYth. Pimpinan MITRA PANGRANGO AZRISYA,%0AMohon izin menginformasikan status SBU Anda di sistem LPJK:%0A%0A📄 SBU: BG005%0A📅 Expired: 2 Agustus 2026 (60 Hari Lagi)%0A%0AKami tim PT. ESDEA Assistance Management siap men-support proses perpanjangan segera.", "Hubungi")</f>
        <v/>
      </c>
    </row>
    <row r="17">
      <c r="A17" t="inlineStr">
        <is>
          <t>NARJA MUKTI JAYA</t>
        </is>
      </c>
      <c r="B17" t="inlineStr">
        <is>
          <t>Kab. Bekasi</t>
        </is>
      </c>
      <c r="C17" t="inlineStr">
        <is>
          <t>088211559064</t>
        </is>
      </c>
      <c r="D17" t="inlineStr">
        <is>
          <t>cvnarjamuktijaya@gmail.com</t>
        </is>
      </c>
      <c r="E17" t="inlineStr">
        <is>
          <t>https://lpjk.pu.go.id/search-badan-usaha-detail/Q1JSS0h5eHJxL1dSaFp5VGRzdjhEQT09</t>
        </is>
      </c>
      <c r="F17" t="n">
        <v>1</v>
      </c>
      <c r="G17" t="inlineStr">
        <is>
          <t>BS001</t>
        </is>
      </c>
      <c r="H17" t="inlineStr">
        <is>
          <t>30 Desember 2019</t>
        </is>
      </c>
      <c r="I17" s="2" t="n">
        <v>46236</v>
      </c>
      <c r="J17" t="inlineStr">
        <is>
          <t>Disetujui</t>
        </is>
      </c>
      <c r="K17" t="n">
        <v>60</v>
      </c>
      <c r="L17" t="inlineStr">
        <is>
          <t>2 Agustus 2026</t>
        </is>
      </c>
      <c r="M17" t="inlineStr">
        <is>
          <t>Konstruksi Bangunan Sipil Jalan</t>
        </is>
      </c>
      <c r="N17" t="inlineStr">
        <is>
          <t>K</t>
        </is>
      </c>
      <c r="O17" t="inlineStr">
        <is>
          <t>20230802</t>
        </is>
      </c>
      <c r="P17" t="inlineStr">
        <is>
          <t>Jawa Barat</t>
        </is>
      </c>
      <c r="Q17" s="3">
        <f>HYPERLINK("https://wa.me/6288211559064?text=*[PENGINGAT MASA BERLAKU SBU NARJA MUKTI JAYA]*%0A%0AYth. Pimpinan NARJA MUKTI JAYA,%0AMohon izin menginformasikan status SBU Anda di sistem LPJK:%0A%0A📄 SBU: BS001%0A📅 Expired: 2 Agustus 2026 (60 Hari Lagi)%0A%0AKami tim PT. ESDEA Assistance Management siap men-support proses perpanjangan segera.", "Hubungi")</f>
        <v/>
      </c>
    </row>
    <row r="18">
      <c r="A18" t="inlineStr">
        <is>
          <t>PILLAR GALIH UTAMA</t>
        </is>
      </c>
      <c r="B18" t="inlineStr">
        <is>
          <t>Kota Adm. Jakarta Timur</t>
        </is>
      </c>
      <c r="C18" t="inlineStr">
        <is>
          <t>087877162168</t>
        </is>
      </c>
      <c r="D18" t="inlineStr">
        <is>
          <t>pgujkt04@gmail.com</t>
        </is>
      </c>
      <c r="E18" t="inlineStr">
        <is>
          <t>https://lpjk.pu.go.id/search-badan-usaha-detail/R0NLSHZFSHN3V3J1S1ZmOGdLVGhZQT09</t>
        </is>
      </c>
      <c r="F18" t="n">
        <v>2</v>
      </c>
      <c r="G18" t="inlineStr">
        <is>
          <t>RK002</t>
        </is>
      </c>
      <c r="H18" t="inlineStr">
        <is>
          <t>17 Mei 2010</t>
        </is>
      </c>
      <c r="I18" s="2" t="n">
        <v>46236</v>
      </c>
      <c r="J18" t="inlineStr">
        <is>
          <t>Disetujui</t>
        </is>
      </c>
      <c r="K18" t="n">
        <v>60</v>
      </c>
      <c r="L18" t="inlineStr">
        <is>
          <t>2 Agustus 2026</t>
        </is>
      </c>
      <c r="M18" t="inlineStr">
        <is>
          <t>Jasa Rekayasa Pekerjaan Teknik Sipil Sumber Daya Air</t>
        </is>
      </c>
      <c r="N18" t="inlineStr">
        <is>
          <t>K</t>
        </is>
      </c>
      <c r="O18" t="inlineStr">
        <is>
          <t>20230623</t>
        </is>
      </c>
      <c r="P18" t="inlineStr">
        <is>
          <t>DKI Jakarta</t>
        </is>
      </c>
      <c r="Q18" s="3">
        <f>HYPERLINK("https://wa.me/6287877162168?text=*[PENGINGAT MASA BERLAKU SBU PILLAR GALIH UTAMA]*%0A%0AYth. Pimpinan PILLAR GALIH UTAMA,%0AMohon izin menginformasikan status SBU Anda di sistem LPJK:%0A%0A📄 SBU: RK002%0A📅 Expired: 2 Agustus 2026 (60 Hari Lagi)%0A%0AKami tim PT. ESDEA Assistance Management siap men-support proses perpanjangan segera.", "Hubungi")</f>
        <v/>
      </c>
    </row>
    <row r="19">
      <c r="A19" t="inlineStr">
        <is>
          <t>PRIMA BERKARYA DWIJAYA</t>
        </is>
      </c>
      <c r="B19" t="inlineStr">
        <is>
          <t>Kota Bekasi</t>
        </is>
      </c>
      <c r="C19" t="inlineStr">
        <is>
          <t>0218210303</t>
        </is>
      </c>
      <c r="D19" t="inlineStr">
        <is>
          <t>ptprimaberkaryad@yahoo.com</t>
        </is>
      </c>
      <c r="E19" t="inlineStr">
        <is>
          <t>https://lpjk.pu.go.id/search-badan-usaha-detail/SnE4UGkxTFdrS1hOQmNWV09mSnJHdz09</t>
        </is>
      </c>
      <c r="F19" t="n">
        <v>1</v>
      </c>
      <c r="G19" t="inlineStr">
        <is>
          <t>BS005</t>
        </is>
      </c>
      <c r="H19" t="inlineStr">
        <is>
          <t>22 April 1989</t>
        </is>
      </c>
      <c r="I19" s="2" t="n">
        <v>46236</v>
      </c>
      <c r="J19" t="inlineStr">
        <is>
          <t>Disetujui</t>
        </is>
      </c>
      <c r="K19" t="n">
        <v>60</v>
      </c>
      <c r="L19" t="inlineStr">
        <is>
          <t>2 Agustus 2026</t>
        </is>
      </c>
      <c r="M19" t="inlineStr">
        <is>
          <t>Konstruksi Bangunan Sipil Pengolahan Air Bersih</t>
        </is>
      </c>
      <c r="N19" t="inlineStr">
        <is>
          <t>M</t>
        </is>
      </c>
      <c r="O19" t="inlineStr">
        <is>
          <t>20230801</t>
        </is>
      </c>
      <c r="P19" t="inlineStr">
        <is>
          <t>Jawa Barat</t>
        </is>
      </c>
      <c r="Q19" t="inlineStr"/>
    </row>
    <row r="20">
      <c r="A20" t="inlineStr">
        <is>
          <t>SANBIL</t>
        </is>
      </c>
      <c r="B20" t="inlineStr">
        <is>
          <t>Kab. Bogor</t>
        </is>
      </c>
      <c r="C20" t="inlineStr">
        <is>
          <t>082299482897</t>
        </is>
      </c>
      <c r="D20" t="inlineStr">
        <is>
          <t>cvsanbil@gmail.com</t>
        </is>
      </c>
      <c r="E20" t="inlineStr">
        <is>
          <t>https://lpjk.pu.go.id/search-badan-usaha-detail/bEVyWmFBa25JcVQ5dHBEelZmbkdGZz09</t>
        </is>
      </c>
      <c r="F20" t="n">
        <v>6</v>
      </c>
      <c r="G20" t="inlineStr">
        <is>
          <t>BG002, BG005, BG006, BG009, BS001, BS004</t>
        </is>
      </c>
      <c r="H20" t="inlineStr">
        <is>
          <t>31 Desember 2009</t>
        </is>
      </c>
      <c r="I20" s="2" t="n">
        <v>46236</v>
      </c>
      <c r="J20" t="inlineStr">
        <is>
          <t>Disetujui</t>
        </is>
      </c>
      <c r="K20" t="n">
        <v>60</v>
      </c>
      <c r="L20" t="inlineStr">
        <is>
          <t>2 Agustus 2026</t>
        </is>
      </c>
      <c r="M20" t="inlineStr">
        <is>
          <t>Konstruksi Bangunan Sipil Jalan, Konstruksi Gedung Kesehatan, Konstruksi Gedung Lainnya, Konstruksi Gedung Pendidikan, Konstruksi Gedung Perkantoran, Konstruksi Jaringan Irigasi dan Drainase</t>
        </is>
      </c>
      <c r="N20" t="inlineStr">
        <is>
          <t>K</t>
        </is>
      </c>
      <c r="O20" t="inlineStr">
        <is>
          <t>20230714, 20230801</t>
        </is>
      </c>
      <c r="P20" t="inlineStr">
        <is>
          <t>Jawa Barat</t>
        </is>
      </c>
      <c r="Q20" s="3">
        <f>HYPERLINK("https://wa.me/6282299482897?text=*[PENGINGAT MASA BERLAKU SBU SANBIL]*%0A%0AYth. Pimpinan SANBIL,%0AMohon izin menginformasikan status SBU Anda di sistem LPJK:%0A%0A📄 SBU: BG002, BG005, BG006, BG009, BS001, BS004%0A📅 Expired: 2 Agustus 2026 (60 Hari Lagi)%0A%0AKami tim PT. ESDEA Assistance Management siap men-support proses perpanjangan segera.", "Hubungi")</f>
        <v/>
      </c>
    </row>
    <row r="21">
      <c r="A21" t="inlineStr">
        <is>
          <t>ABADI KARYA PERTAMA</t>
        </is>
      </c>
      <c r="B21" t="inlineStr">
        <is>
          <t>Kab. Ogan Komering Ulu</t>
        </is>
      </c>
      <c r="C21" t="inlineStr">
        <is>
          <t>081368717775</t>
        </is>
      </c>
      <c r="D21" t="inlineStr">
        <is>
          <t>cvabadikaryapertama@gmail.com</t>
        </is>
      </c>
      <c r="E21" t="inlineStr">
        <is>
          <t>https://lpjk.pu.go.id/search-badan-usaha-detail/YUU5MUpsU2F3UWsrcGhxZzdXYXR3UT09</t>
        </is>
      </c>
      <c r="F21" t="n">
        <v>6</v>
      </c>
      <c r="G21" t="inlineStr">
        <is>
          <t>BG005, BG006, BG009</t>
        </is>
      </c>
      <c r="H21" t="inlineStr">
        <is>
          <t>25 Oktober 2022</t>
        </is>
      </c>
      <c r="I21" s="2" t="n">
        <v>46236</v>
      </c>
      <c r="J21" t="inlineStr">
        <is>
          <t>Disetujui</t>
        </is>
      </c>
      <c r="K21" t="n">
        <v>60</v>
      </c>
      <c r="L21" t="inlineStr">
        <is>
          <t>2 Agustus 2026</t>
        </is>
      </c>
      <c r="M21" t="inlineStr">
        <is>
          <t>Konstruksi Gedung Kesehatan, Konstruksi Gedung Lainnya, Konstruksi Gedung Pendidikan</t>
        </is>
      </c>
      <c r="N21" t="inlineStr">
        <is>
          <t>K</t>
        </is>
      </c>
      <c r="O21" t="inlineStr">
        <is>
          <t>20230801</t>
        </is>
      </c>
      <c r="P21" t="inlineStr">
        <is>
          <t>Sumatera Selatan</t>
        </is>
      </c>
      <c r="Q21" t="inlineStr"/>
    </row>
    <row r="22">
      <c r="A22" t="inlineStr">
        <is>
          <t>ALAM JAYA BATUBARA INDAH</t>
        </is>
      </c>
      <c r="B22" t="inlineStr">
        <is>
          <t>Kab. Batu Bara</t>
        </is>
      </c>
      <c r="C22" t="inlineStr">
        <is>
          <t>081269328006</t>
        </is>
      </c>
      <c r="D22" t="inlineStr">
        <is>
          <t>pt.alamjayabbindah@gmail.com</t>
        </is>
      </c>
      <c r="E22" t="inlineStr">
        <is>
          <t>https://lpjk.pu.go.id/search-badan-usaha-detail/WXplM1hKOWMvZWhsVk1YaUZCSCs5UT09</t>
        </is>
      </c>
      <c r="F22" t="n">
        <v>1</v>
      </c>
      <c r="G22" t="inlineStr">
        <is>
          <t>BG003</t>
        </is>
      </c>
      <c r="H22" t="inlineStr">
        <is>
          <t>19 Agustus 2016</t>
        </is>
      </c>
      <c r="I22" s="2" t="n">
        <v>46236</v>
      </c>
      <c r="J22" t="inlineStr">
        <is>
          <t>Disetujui</t>
        </is>
      </c>
      <c r="K22" t="n">
        <v>60</v>
      </c>
      <c r="L22" t="inlineStr">
        <is>
          <t>2 Agustus 2026</t>
        </is>
      </c>
      <c r="M22" t="inlineStr">
        <is>
          <t>Konstruksi Gedung Industri</t>
        </is>
      </c>
      <c r="N22" t="inlineStr">
        <is>
          <t>K</t>
        </is>
      </c>
      <c r="O22" t="inlineStr">
        <is>
          <t>20230731</t>
        </is>
      </c>
      <c r="P22" t="inlineStr">
        <is>
          <t>Sumatera Utara</t>
        </is>
      </c>
      <c r="Q22" t="inlineStr"/>
    </row>
    <row r="23">
      <c r="A23" t="inlineStr">
        <is>
          <t>ALFA TATA GRIYA</t>
        </is>
      </c>
      <c r="B23" t="inlineStr">
        <is>
          <t>Kab. Kediri</t>
        </is>
      </c>
      <c r="C23" t="inlineStr">
        <is>
          <t>081233051832</t>
        </is>
      </c>
      <c r="D23" t="inlineStr">
        <is>
          <t>pt.alfatatagriya@gmail.com</t>
        </is>
      </c>
      <c r="E23" t="inlineStr">
        <is>
          <t>https://lpjk.pu.go.id/search-badan-usaha-detail/ZElVckNmWU5pbWJIV1pUM1lnMUZoQT09</t>
        </is>
      </c>
      <c r="F23" t="n">
        <v>1</v>
      </c>
      <c r="G23" t="inlineStr">
        <is>
          <t>BG005</t>
        </is>
      </c>
      <c r="H23" t="inlineStr">
        <is>
          <t>29 Mei 2023</t>
        </is>
      </c>
      <c r="I23" s="2" t="n">
        <v>46236</v>
      </c>
      <c r="J23" t="inlineStr">
        <is>
          <t>Pencabutan</t>
        </is>
      </c>
      <c r="K23" t="n">
        <v>60</v>
      </c>
      <c r="L23" t="inlineStr">
        <is>
          <t>2 Agustus 2026</t>
        </is>
      </c>
      <c r="M23" t="inlineStr">
        <is>
          <t>Konstruksi Gedung Kesehatan</t>
        </is>
      </c>
      <c r="N23" t="inlineStr">
        <is>
          <t>K</t>
        </is>
      </c>
      <c r="O23" t="inlineStr">
        <is>
          <t>20230616</t>
        </is>
      </c>
      <c r="P23" t="inlineStr">
        <is>
          <t>Jawa Timur</t>
        </is>
      </c>
      <c r="Q23" t="inlineStr"/>
    </row>
    <row r="24">
      <c r="A24" t="inlineStr">
        <is>
          <t>ALMANOVA JAYA PERSADA</t>
        </is>
      </c>
      <c r="B24" t="inlineStr">
        <is>
          <t>Kab. Tangerang</t>
        </is>
      </c>
      <c r="C24" t="inlineStr">
        <is>
          <t>089652644599</t>
        </is>
      </c>
      <c r="D24" t="inlineStr">
        <is>
          <t>kholil.ptajp@gmail.com</t>
        </is>
      </c>
      <c r="E24" t="inlineStr">
        <is>
          <t>https://lpjk.pu.go.id/search-badan-usaha-detail/a3grZUtpZGdJSENqcXVFcndEMjNBZz09</t>
        </is>
      </c>
      <c r="F24" t="n">
        <v>1</v>
      </c>
      <c r="G24" t="inlineStr">
        <is>
          <t>BG003</t>
        </is>
      </c>
      <c r="H24" t="inlineStr">
        <is>
          <t>17 Juli 2018</t>
        </is>
      </c>
      <c r="I24" s="2" t="n">
        <v>46236</v>
      </c>
      <c r="J24" t="inlineStr">
        <is>
          <t>Disetujui</t>
        </is>
      </c>
      <c r="K24" t="n">
        <v>60</v>
      </c>
      <c r="L24" t="inlineStr">
        <is>
          <t>2 Agustus 2026</t>
        </is>
      </c>
      <c r="M24" t="inlineStr">
        <is>
          <t>Konstruksi Gedung Industri</t>
        </is>
      </c>
      <c r="N24" t="inlineStr">
        <is>
          <t>K</t>
        </is>
      </c>
      <c r="O24" t="inlineStr">
        <is>
          <t>20230726</t>
        </is>
      </c>
      <c r="P24" t="inlineStr">
        <is>
          <t>Banten</t>
        </is>
      </c>
      <c r="Q24" t="inlineStr"/>
    </row>
    <row r="25">
      <c r="A25" t="inlineStr">
        <is>
          <t>AMBAR AGUNG</t>
        </is>
      </c>
      <c r="B25" t="inlineStr">
        <is>
          <t>Kab. Banyumas</t>
        </is>
      </c>
      <c r="C25" t="inlineStr">
        <is>
          <t>0281631860</t>
        </is>
      </c>
      <c r="D25" t="inlineStr">
        <is>
          <t>ambaragung_cv@yahoo.co.id</t>
        </is>
      </c>
      <c r="E25" t="inlineStr">
        <is>
          <t>https://lpjk.pu.go.id/search-badan-usaha-detail/VjVDMXNTVTVjT2t5QmVabzQ3WkhCQT09</t>
        </is>
      </c>
      <c r="F25" t="n">
        <v>1</v>
      </c>
      <c r="G25" t="inlineStr">
        <is>
          <t>BG009</t>
        </is>
      </c>
      <c r="H25" t="inlineStr">
        <is>
          <t>12 November 1985</t>
        </is>
      </c>
      <c r="I25" s="2" t="n">
        <v>46236</v>
      </c>
      <c r="J25" t="inlineStr">
        <is>
          <t>Disetujui</t>
        </is>
      </c>
      <c r="K25" t="n">
        <v>60</v>
      </c>
      <c r="L25" t="inlineStr">
        <is>
          <t>2 Agustus 2026</t>
        </is>
      </c>
      <c r="M25" t="inlineStr">
        <is>
          <t>Konstruksi Gedung Lainnya</t>
        </is>
      </c>
      <c r="N25" t="inlineStr">
        <is>
          <t>K</t>
        </is>
      </c>
      <c r="O25" t="inlineStr">
        <is>
          <t>20230728</t>
        </is>
      </c>
      <c r="P25" t="inlineStr">
        <is>
          <t>Jawa Tengah</t>
        </is>
      </c>
      <c r="Q25" t="inlineStr"/>
    </row>
    <row r="26">
      <c r="A26" t="inlineStr">
        <is>
          <t>ANAK NEGERI SEJAHTRA</t>
        </is>
      </c>
      <c r="B26" t="inlineStr">
        <is>
          <t>Kab. Aceh Besar</t>
        </is>
      </c>
      <c r="C26" t="inlineStr">
        <is>
          <t>081263035463</t>
        </is>
      </c>
      <c r="D26" t="inlineStr">
        <is>
          <t>anaknegerisejahtera.pt@gmail.com</t>
        </is>
      </c>
      <c r="E26" t="inlineStr">
        <is>
          <t>https://lpjk.pu.go.id/search-badan-usaha-detail/c1FwMXZvOWdZWUZlY2FPK0xxNk5FUT09</t>
        </is>
      </c>
      <c r="F26" t="n">
        <v>3</v>
      </c>
      <c r="G26" t="inlineStr">
        <is>
          <t>BG003, BG006, BG009</t>
        </is>
      </c>
      <c r="H26" t="inlineStr">
        <is>
          <t>13 Maret 2023</t>
        </is>
      </c>
      <c r="I26" s="2" t="n">
        <v>46236</v>
      </c>
      <c r="J26" t="inlineStr">
        <is>
          <t>Disetujui</t>
        </is>
      </c>
      <c r="K26" t="n">
        <v>60</v>
      </c>
      <c r="L26" t="inlineStr">
        <is>
          <t>2 Agustus 2026</t>
        </is>
      </c>
      <c r="M26" t="inlineStr">
        <is>
          <t>Konstruksi Gedung Industri, Konstruksi Gedung Lainnya, Konstruksi Gedung Pendidikan</t>
        </is>
      </c>
      <c r="N26" t="inlineStr">
        <is>
          <t>K</t>
        </is>
      </c>
      <c r="O26" t="inlineStr">
        <is>
          <t>20230607, 20230731</t>
        </is>
      </c>
      <c r="P26" t="inlineStr">
        <is>
          <t>Aceh</t>
        </is>
      </c>
      <c r="Q26" t="inlineStr"/>
    </row>
    <row r="27">
      <c r="A27" t="inlineStr">
        <is>
          <t>ANGKASA RAYA</t>
        </is>
      </c>
      <c r="B27" t="inlineStr">
        <is>
          <t>Kota Pontianak</t>
        </is>
      </c>
      <c r="C27" t="inlineStr">
        <is>
          <t>082155539021</t>
        </is>
      </c>
      <c r="D27" t="inlineStr">
        <is>
          <t>aangkasarraya@gmail.com</t>
        </is>
      </c>
      <c r="E27" t="inlineStr">
        <is>
          <t>https://lpjk.pu.go.id/search-badan-usaha-detail/UkV4dWhWTDgvUzQxcWp2NmNFR3hmdz09</t>
        </is>
      </c>
      <c r="F27" t="n">
        <v>2</v>
      </c>
      <c r="G27" t="inlineStr">
        <is>
          <t>BS001</t>
        </is>
      </c>
      <c r="H27" t="inlineStr">
        <is>
          <t>22 Juni 2012</t>
        </is>
      </c>
      <c r="I27" s="2" t="n">
        <v>46236</v>
      </c>
      <c r="J27" t="inlineStr">
        <is>
          <t>Disetujui</t>
        </is>
      </c>
      <c r="K27" t="n">
        <v>60</v>
      </c>
      <c r="L27" t="inlineStr">
        <is>
          <t>2 Agustus 2026</t>
        </is>
      </c>
      <c r="M27" t="inlineStr">
        <is>
          <t>Konstruksi Bangunan Sipil Jalan</t>
        </is>
      </c>
      <c r="N27" t="inlineStr">
        <is>
          <t>K</t>
        </is>
      </c>
      <c r="O27" t="inlineStr">
        <is>
          <t>20230721</t>
        </is>
      </c>
      <c r="P27" t="inlineStr">
        <is>
          <t>Kalimantan Barat</t>
        </is>
      </c>
      <c r="Q27" t="inlineStr"/>
    </row>
    <row r="28">
      <c r="A28" t="inlineStr">
        <is>
          <t>ANINDYA SEJAHTERA</t>
        </is>
      </c>
      <c r="B28" t="inlineStr">
        <is>
          <t>Kota Jambi</t>
        </is>
      </c>
      <c r="C28" t="inlineStr">
        <is>
          <t>82186768827</t>
        </is>
      </c>
      <c r="D28" t="inlineStr">
        <is>
          <t>anindyacv2018@gmail.com</t>
        </is>
      </c>
      <c r="E28" t="inlineStr">
        <is>
          <t>https://lpjk.pu.go.id/search-badan-usaha-detail/Z29jUTNtUDNLYXV1T3ZJVUk0TGRGZz09</t>
        </is>
      </c>
      <c r="F28" t="n">
        <v>2</v>
      </c>
      <c r="G28" t="inlineStr">
        <is>
          <t>BS001</t>
        </is>
      </c>
      <c r="H28" t="inlineStr">
        <is>
          <t>11 Oktober 2017</t>
        </is>
      </c>
      <c r="I28" s="2" t="n">
        <v>46236</v>
      </c>
      <c r="J28" t="inlineStr">
        <is>
          <t>Pencabutan</t>
        </is>
      </c>
      <c r="K28" t="n">
        <v>60</v>
      </c>
      <c r="L28" t="inlineStr">
        <is>
          <t>2 Agustus 2026</t>
        </is>
      </c>
      <c r="M28" t="inlineStr">
        <is>
          <t>Konstruksi Bangunan Sipil Jalan</t>
        </is>
      </c>
      <c r="N28" t="inlineStr">
        <is>
          <t>K</t>
        </is>
      </c>
      <c r="O28" t="inlineStr">
        <is>
          <t>20230714</t>
        </is>
      </c>
      <c r="P28" t="inlineStr">
        <is>
          <t>Jambi</t>
        </is>
      </c>
      <c r="Q28" t="inlineStr"/>
    </row>
    <row r="29">
      <c r="A29" t="inlineStr">
        <is>
          <t>ANUGRAH BERSAMA</t>
        </is>
      </c>
      <c r="B29" t="inlineStr">
        <is>
          <t>Kab. Tanah Laut</t>
        </is>
      </c>
      <c r="C29" t="inlineStr">
        <is>
          <t>082153559220</t>
        </is>
      </c>
      <c r="D29" t="inlineStr">
        <is>
          <t>anugrah.bersama0806@gmail.com</t>
        </is>
      </c>
      <c r="E29" t="inlineStr">
        <is>
          <t>https://lpjk.pu.go.id/search-badan-usaha-detail/ZmtPOEg0dVJXak5RclZrclJyVVIyUT09</t>
        </is>
      </c>
      <c r="F29" t="n">
        <v>2</v>
      </c>
      <c r="G29" t="inlineStr">
        <is>
          <t>BG006</t>
        </is>
      </c>
      <c r="H29" t="inlineStr">
        <is>
          <t>4 April 2017</t>
        </is>
      </c>
      <c r="I29" s="2" t="n">
        <v>46236</v>
      </c>
      <c r="J29" t="inlineStr">
        <is>
          <t>Disetujui</t>
        </is>
      </c>
      <c r="K29" t="n">
        <v>60</v>
      </c>
      <c r="L29" t="inlineStr">
        <is>
          <t>2 Agustus 2026</t>
        </is>
      </c>
      <c r="M29" t="inlineStr">
        <is>
          <t>Konstruksi Gedung Pendidikan</t>
        </is>
      </c>
      <c r="N29" t="inlineStr">
        <is>
          <t>K</t>
        </is>
      </c>
      <c r="O29" t="inlineStr">
        <is>
          <t>20230727</t>
        </is>
      </c>
      <c r="P29" t="inlineStr">
        <is>
          <t>Kalimantan Selatan</t>
        </is>
      </c>
      <c r="Q29" t="inlineStr"/>
    </row>
    <row r="30">
      <c r="A30" t="inlineStr">
        <is>
          <t>ANUGRAH HAYAT ABADI</t>
        </is>
      </c>
      <c r="B30" t="inlineStr">
        <is>
          <t>Kota Palembang</t>
        </is>
      </c>
      <c r="C30" t="inlineStr">
        <is>
          <t>08127869293</t>
        </is>
      </c>
      <c r="D30" t="inlineStr">
        <is>
          <t>anugrahhayatabadi@yahoo.com</t>
        </is>
      </c>
      <c r="E30" t="inlineStr">
        <is>
          <t>https://lpjk.pu.go.id/search-badan-usaha-detail/aFdudFdDS1ppUnhBZnhrZjMxeDN2UT09</t>
        </is>
      </c>
      <c r="F30" t="n">
        <v>2</v>
      </c>
      <c r="G30" t="inlineStr">
        <is>
          <t>BS010</t>
        </is>
      </c>
      <c r="H30" t="inlineStr">
        <is>
          <t>8 April 2009</t>
        </is>
      </c>
      <c r="I30" s="2" t="n">
        <v>46236</v>
      </c>
      <c r="J30" t="inlineStr">
        <is>
          <t>Pencabutan</t>
        </is>
      </c>
      <c r="K30" t="n">
        <v>60</v>
      </c>
      <c r="L30" t="inlineStr">
        <is>
          <t>2 Agustus 2026</t>
        </is>
      </c>
      <c r="M30" t="inlineStr">
        <is>
          <t>Konstruksi Bangunan Prasarana Sumber Daya Air</t>
        </is>
      </c>
      <c r="N30" t="inlineStr">
        <is>
          <t>M</t>
        </is>
      </c>
      <c r="O30" t="inlineStr">
        <is>
          <t>20230728</t>
        </is>
      </c>
      <c r="P30" t="inlineStr">
        <is>
          <t>Sumatera Selatan</t>
        </is>
      </c>
      <c r="Q30" t="inlineStr"/>
    </row>
    <row r="31">
      <c r="A31" t="inlineStr">
        <is>
          <t>ARETA PUTRA UTAMA</t>
        </is>
      </c>
      <c r="B31" t="inlineStr">
        <is>
          <t>Kota Semarang</t>
        </is>
      </c>
      <c r="C31" t="inlineStr">
        <is>
          <t>081390838393</t>
        </is>
      </c>
      <c r="D31" t="inlineStr">
        <is>
          <t>pt_areta@yahoo.com</t>
        </is>
      </c>
      <c r="E31" t="inlineStr">
        <is>
          <t>https://lpjk.pu.go.id/search-badan-usaha-detail/SzMzMXhpYXFmQzFCZmdHRUo5alBaczRtMWxRQUxsOGJweHVMMFhDUFJHTT0</t>
        </is>
      </c>
      <c r="F31" t="n">
        <v>1</v>
      </c>
      <c r="G31" t="inlineStr">
        <is>
          <t>BS003</t>
        </is>
      </c>
      <c r="H31" t="inlineStr">
        <is>
          <t>27 Desember 2018</t>
        </is>
      </c>
      <c r="I31" s="2" t="n">
        <v>46236</v>
      </c>
      <c r="J31" t="inlineStr">
        <is>
          <t>Disetujui</t>
        </is>
      </c>
      <c r="K31" t="n">
        <v>60</v>
      </c>
      <c r="L31" t="inlineStr">
        <is>
          <t>2 Agustus 2026</t>
        </is>
      </c>
      <c r="M31" t="inlineStr">
        <is>
          <t>Konstruksi Jalan Rel</t>
        </is>
      </c>
      <c r="N31" t="inlineStr">
        <is>
          <t>M</t>
        </is>
      </c>
      <c r="O31" t="inlineStr">
        <is>
          <t>20230728</t>
        </is>
      </c>
      <c r="P31" t="inlineStr">
        <is>
          <t>Jawa Tengah</t>
        </is>
      </c>
      <c r="Q31" t="inlineStr"/>
    </row>
    <row r="32">
      <c r="A32" t="inlineStr">
        <is>
          <t>ARJALIMUN PERKASA</t>
        </is>
      </c>
      <c r="B32" t="inlineStr">
        <is>
          <t>Kab. Aceh Besar</t>
        </is>
      </c>
      <c r="C32" t="inlineStr">
        <is>
          <t>082364186181</t>
        </is>
      </c>
      <c r="D32" t="inlineStr">
        <is>
          <t>ajpperkasa18@gmail.com</t>
        </is>
      </c>
      <c r="E32" t="inlineStr">
        <is>
          <t>https://lpjk.pu.go.id/search-badan-usaha-detail/QkJHcEJKODB3K3dvakxBaXNsNWRjQT09</t>
        </is>
      </c>
      <c r="F32" t="n">
        <v>5</v>
      </c>
      <c r="G32" t="inlineStr">
        <is>
          <t>BG002, BG005, BG006, BG008, BG009</t>
        </is>
      </c>
      <c r="H32" t="inlineStr">
        <is>
          <t>1 Januari 2018</t>
        </is>
      </c>
      <c r="I32" s="2" t="n">
        <v>46236</v>
      </c>
      <c r="J32" t="inlineStr">
        <is>
          <t>Disetujui</t>
        </is>
      </c>
      <c r="K32" t="n">
        <v>60</v>
      </c>
      <c r="L32" t="inlineStr">
        <is>
          <t>2 Agustus 2026</t>
        </is>
      </c>
      <c r="M32" t="inlineStr">
        <is>
          <t>Konstruksi Gedung Kesehatan, Konstruksi Gedung Lainnya, Konstruksi Gedung Pendidikan, Konstruksi Gedung Perkantoran, Konstruksi Gedung Tempat Hiburan dan Olahraga</t>
        </is>
      </c>
      <c r="N32" t="inlineStr">
        <is>
          <t>K</t>
        </is>
      </c>
      <c r="O32" t="inlineStr">
        <is>
          <t>20230801, 20230802</t>
        </is>
      </c>
      <c r="P32" t="inlineStr">
        <is>
          <t>Aceh</t>
        </is>
      </c>
      <c r="Q32" t="inlineStr"/>
    </row>
    <row r="33">
      <c r="A33" t="inlineStr">
        <is>
          <t>ARTHA NISSILAND MAKMUR</t>
        </is>
      </c>
      <c r="B33" t="inlineStr">
        <is>
          <t>Kota Adm. Jakarta Barat</t>
        </is>
      </c>
      <c r="C33" t="inlineStr">
        <is>
          <t>02129428828</t>
        </is>
      </c>
      <c r="D33" t="inlineStr">
        <is>
          <t>arthanissiland.makmur107@gmail.com</t>
        </is>
      </c>
      <c r="E33" t="inlineStr">
        <is>
          <t>https://lpjk.pu.go.id/search-badan-usaha-detail/cmpNVlVkWFhoQ2trb2MxeU9OOGQ1UT09</t>
        </is>
      </c>
      <c r="F33" t="n">
        <v>3</v>
      </c>
      <c r="G33" t="inlineStr">
        <is>
          <t>BG005, BG006, BG009</t>
        </is>
      </c>
      <c r="H33" t="inlineStr">
        <is>
          <t>17 September 2014</t>
        </is>
      </c>
      <c r="I33" s="2" t="n">
        <v>46236</v>
      </c>
      <c r="J33" t="inlineStr">
        <is>
          <t>Disetujui</t>
        </is>
      </c>
      <c r="K33" t="n">
        <v>60</v>
      </c>
      <c r="L33" t="inlineStr">
        <is>
          <t>2 Agustus 2026</t>
        </is>
      </c>
      <c r="M33" t="inlineStr">
        <is>
          <t>Konstruksi Gedung Kesehatan, Konstruksi Gedung Lainnya, Konstruksi Gedung Pendidikan</t>
        </is>
      </c>
      <c r="N33" t="inlineStr">
        <is>
          <t>K</t>
        </is>
      </c>
      <c r="O33" t="inlineStr">
        <is>
          <t>20230731</t>
        </is>
      </c>
      <c r="P33" t="inlineStr">
        <is>
          <t>DKI Jakarta</t>
        </is>
      </c>
      <c r="Q33" t="inlineStr"/>
    </row>
    <row r="34">
      <c r="A34" t="inlineStr">
        <is>
          <t>BAGJA BANGUN PERSADA</t>
        </is>
      </c>
      <c r="B34" t="inlineStr">
        <is>
          <t>Kab. Karawang</t>
        </is>
      </c>
      <c r="C34" t="inlineStr">
        <is>
          <t>0812885961214</t>
        </is>
      </c>
      <c r="D34" t="inlineStr">
        <is>
          <t>cv.bbangunpersada@gmail.com</t>
        </is>
      </c>
      <c r="E34" t="inlineStr">
        <is>
          <t>https://lpjk.pu.go.id/search-badan-usaha-detail/THNwc09WRm56STQ4YVhoSG1XbXNGZz09</t>
        </is>
      </c>
      <c r="F34" t="n">
        <v>1</v>
      </c>
      <c r="G34" t="inlineStr">
        <is>
          <t>BG009</t>
        </is>
      </c>
      <c r="H34" t="inlineStr">
        <is>
          <t>21 Desember 2016</t>
        </is>
      </c>
      <c r="I34" s="2" t="n">
        <v>46236</v>
      </c>
      <c r="J34" t="inlineStr">
        <is>
          <t>Disetujui</t>
        </is>
      </c>
      <c r="K34" t="n">
        <v>60</v>
      </c>
      <c r="L34" t="inlineStr">
        <is>
          <t>2 Agustus 2026</t>
        </is>
      </c>
      <c r="M34" t="inlineStr">
        <is>
          <t>Konstruksi Gedung Lainnya</t>
        </is>
      </c>
      <c r="N34" t="inlineStr">
        <is>
          <t>K</t>
        </is>
      </c>
      <c r="O34" t="inlineStr">
        <is>
          <t>20230801</t>
        </is>
      </c>
      <c r="P34" t="inlineStr">
        <is>
          <t>Jawa Barat</t>
        </is>
      </c>
      <c r="Q34" t="inlineStr"/>
    </row>
    <row r="35">
      <c r="A35" t="inlineStr">
        <is>
          <t>BALQIS</t>
        </is>
      </c>
      <c r="B35" t="inlineStr">
        <is>
          <t>Kab. Jepara</t>
        </is>
      </c>
      <c r="C35" t="inlineStr">
        <is>
          <t>089698995090</t>
        </is>
      </c>
      <c r="D35" t="inlineStr">
        <is>
          <t>cvbalqisjepara@gmail.com</t>
        </is>
      </c>
      <c r="E35" t="inlineStr">
        <is>
          <t>https://lpjk.pu.go.id/search-badan-usaha-detail/NUVyazdGdHN1RXVCRXVmYThQQTA2Zz09</t>
        </is>
      </c>
      <c r="F35" t="n">
        <v>2</v>
      </c>
      <c r="G35" t="inlineStr">
        <is>
          <t>BG006, BG009</t>
        </is>
      </c>
      <c r="H35" t="inlineStr">
        <is>
          <t>26 Desember 2015</t>
        </is>
      </c>
      <c r="I35" s="2" t="n">
        <v>46236</v>
      </c>
      <c r="J35" t="inlineStr">
        <is>
          <t>Disetujui</t>
        </is>
      </c>
      <c r="K35" t="n">
        <v>60</v>
      </c>
      <c r="L35" t="inlineStr">
        <is>
          <t>2 Agustus 2026</t>
        </is>
      </c>
      <c r="M35" t="inlineStr">
        <is>
          <t>Konstruksi Gedung Lainnya, Konstruksi Gedung Pendidikan</t>
        </is>
      </c>
      <c r="N35" t="inlineStr">
        <is>
          <t>K</t>
        </is>
      </c>
      <c r="O35" t="inlineStr">
        <is>
          <t>20230801, 20230802</t>
        </is>
      </c>
      <c r="P35" t="inlineStr">
        <is>
          <t>Jawa Tengah</t>
        </is>
      </c>
      <c r="Q35" t="inlineStr"/>
    </row>
    <row r="36">
      <c r="A36" t="inlineStr">
        <is>
          <t>BANGUN PAPUA</t>
        </is>
      </c>
      <c r="B36" t="inlineStr">
        <is>
          <t>Kab. Manokwari</t>
        </is>
      </c>
      <c r="C36" t="inlineStr">
        <is>
          <t>082197410909</t>
        </is>
      </c>
      <c r="D36" t="inlineStr">
        <is>
          <t>cv.bangun.papuaa@gmail.com</t>
        </is>
      </c>
      <c r="E36" t="inlineStr">
        <is>
          <t>https://lpjk.pu.go.id/search-badan-usaha-detail/eW1WSnE2MmhjbWkrWkdpTWVRQmQ1Zz09</t>
        </is>
      </c>
      <c r="F36" t="n">
        <v>3</v>
      </c>
      <c r="G36" t="inlineStr">
        <is>
          <t>BG001, BG002, BG005</t>
        </is>
      </c>
      <c r="H36" t="inlineStr">
        <is>
          <t>12 Februari 2018</t>
        </is>
      </c>
      <c r="I36" s="2" t="n">
        <v>46236</v>
      </c>
      <c r="J36" t="inlineStr">
        <is>
          <t>Pencabutan</t>
        </is>
      </c>
      <c r="K36" t="n">
        <v>60</v>
      </c>
      <c r="L36" t="inlineStr">
        <is>
          <t>2 Agustus 2026</t>
        </is>
      </c>
      <c r="M36" t="inlineStr">
        <is>
          <t>Konstruksi Gedung Hunian, Konstruksi Gedung Kesehatan, Konstruksi Gedung Perkantoran</t>
        </is>
      </c>
      <c r="N36" t="inlineStr">
        <is>
          <t>K</t>
        </is>
      </c>
      <c r="O36" t="inlineStr">
        <is>
          <t>20230731</t>
        </is>
      </c>
      <c r="P36" t="inlineStr">
        <is>
          <t>Papua Barat</t>
        </is>
      </c>
      <c r="Q36" t="inlineStr"/>
    </row>
    <row r="37">
      <c r="A37" t="inlineStr">
        <is>
          <t>BATU BESI</t>
        </is>
      </c>
      <c r="B37" t="inlineStr">
        <is>
          <t>Kab. Melawi</t>
        </is>
      </c>
      <c r="C37" t="inlineStr">
        <is>
          <t>082255809033</t>
        </is>
      </c>
      <c r="D37" t="inlineStr">
        <is>
          <t>batu.besi.cv.10.11@gmail.com</t>
        </is>
      </c>
      <c r="E37" t="inlineStr">
        <is>
          <t>https://lpjk.pu.go.id/search-badan-usaha-detail/SHNtaUIzOHNhQmhqWTBtcGFWTzF0Zz09</t>
        </is>
      </c>
      <c r="F37" t="n">
        <v>1</v>
      </c>
      <c r="G37" t="inlineStr">
        <is>
          <t>BS002</t>
        </is>
      </c>
      <c r="H37" t="inlineStr">
        <is>
          <t>14 November 2014</t>
        </is>
      </c>
      <c r="I37" s="2" t="n">
        <v>46236</v>
      </c>
      <c r="J37" t="inlineStr">
        <is>
          <t>Disetujui</t>
        </is>
      </c>
      <c r="K37" t="n">
        <v>60</v>
      </c>
      <c r="L37" t="inlineStr">
        <is>
          <t>2 Agustus 2026</t>
        </is>
      </c>
      <c r="M37" t="inlineStr">
        <is>
          <t>Bangunan Sipil Jembatan, Jalan Layang, Fly Over, dan Underpass</t>
        </is>
      </c>
      <c r="N37" t="inlineStr">
        <is>
          <t>K</t>
        </is>
      </c>
      <c r="O37" t="inlineStr">
        <is>
          <t>20230725</t>
        </is>
      </c>
      <c r="P37" t="inlineStr">
        <is>
          <t>Kalimantan Barat</t>
        </is>
      </c>
      <c r="Q37" t="inlineStr"/>
    </row>
    <row r="38">
      <c r="A38" t="inlineStr">
        <is>
          <t>BAYUTAMA TEKNIK</t>
        </is>
      </c>
      <c r="B38" t="inlineStr">
        <is>
          <t>Kota Tangerang</t>
        </is>
      </c>
      <c r="C38" t="inlineStr">
        <is>
          <t>02122261042</t>
        </is>
      </c>
      <c r="D38" t="inlineStr">
        <is>
          <t>bayutamateknik@yahoo.com</t>
        </is>
      </c>
      <c r="E38" t="inlineStr">
        <is>
          <t>https://lpjk.pu.go.id/search-badan-usaha-detail/WFRLaFk2Wk5CRlpzNWcvbElFL1orUT09</t>
        </is>
      </c>
      <c r="F38" t="n">
        <v>1</v>
      </c>
      <c r="G38" t="inlineStr">
        <is>
          <t>BS004</t>
        </is>
      </c>
      <c r="H38" t="inlineStr">
        <is>
          <t>22 Juli 2004</t>
        </is>
      </c>
      <c r="I38" s="2" t="n">
        <v>46236</v>
      </c>
      <c r="J38" t="inlineStr">
        <is>
          <t>Disetujui</t>
        </is>
      </c>
      <c r="K38" t="n">
        <v>60</v>
      </c>
      <c r="L38" t="inlineStr">
        <is>
          <t>2 Agustus 2026</t>
        </is>
      </c>
      <c r="M38" t="inlineStr">
        <is>
          <t>Konstruksi Jaringan Irigasi dan Drainase</t>
        </is>
      </c>
      <c r="N38" t="inlineStr">
        <is>
          <t>K</t>
        </is>
      </c>
      <c r="O38" t="inlineStr">
        <is>
          <t>20230718</t>
        </is>
      </c>
      <c r="P38" t="inlineStr">
        <is>
          <t>Banten</t>
        </is>
      </c>
      <c r="Q38" t="inlineStr"/>
    </row>
    <row r="39">
      <c r="A39" t="inlineStr">
        <is>
          <t>BELA PRATAMA</t>
        </is>
      </c>
      <c r="B39" t="inlineStr">
        <is>
          <t>Kota Pontianak</t>
        </is>
      </c>
      <c r="C39" t="inlineStr">
        <is>
          <t>085750748662</t>
        </is>
      </c>
      <c r="D39" t="inlineStr">
        <is>
          <t>diana.ifkha@yahoo.com</t>
        </is>
      </c>
      <c r="E39" t="inlineStr">
        <is>
          <t>https://lpjk.pu.go.id/search-badan-usaha-detail/cHpTUzBOYzB6L0QzZ1BPTUFsQ202QT09</t>
        </is>
      </c>
      <c r="F39" t="n">
        <v>4</v>
      </c>
      <c r="G39" t="inlineStr">
        <is>
          <t>BG001, BG002, BG005, BG006</t>
        </is>
      </c>
      <c r="H39" t="inlineStr">
        <is>
          <t>29 Januari 2001</t>
        </is>
      </c>
      <c r="I39" s="2" t="n">
        <v>46236</v>
      </c>
      <c r="J39" t="inlineStr">
        <is>
          <t>Pencabutan</t>
        </is>
      </c>
      <c r="K39" t="n">
        <v>60</v>
      </c>
      <c r="L39" t="inlineStr">
        <is>
          <t>2 Agustus 2026</t>
        </is>
      </c>
      <c r="M39" t="inlineStr">
        <is>
          <t>Konstruksi Gedung Hunian, Konstruksi Gedung Kesehatan, Konstruksi Gedung Pendidikan, Konstruksi Gedung Perkantoran</t>
        </is>
      </c>
      <c r="N39" t="inlineStr">
        <is>
          <t>K</t>
        </is>
      </c>
      <c r="O39" t="inlineStr">
        <is>
          <t>20230721</t>
        </is>
      </c>
      <c r="P39" t="inlineStr">
        <is>
          <t>Kalimantan Barat</t>
        </is>
      </c>
      <c r="Q39" t="inlineStr"/>
    </row>
    <row r="40">
      <c r="A40" t="inlineStr">
        <is>
          <t>BERKAH PENOMPHA</t>
        </is>
      </c>
      <c r="B40" t="inlineStr">
        <is>
          <t>Kab. Sekadau</t>
        </is>
      </c>
      <c r="C40" t="inlineStr">
        <is>
          <t>0821 4805 7069</t>
        </is>
      </c>
      <c r="D40" t="inlineStr">
        <is>
          <t>berkahpenompha.cv@outlook.com</t>
        </is>
      </c>
      <c r="E40" t="inlineStr">
        <is>
          <t>https://lpjk.pu.go.id/search-badan-usaha-detail/L3NQZXBDQUFaYmZIcUtKMElDZFJmZz09</t>
        </is>
      </c>
      <c r="F40" t="n">
        <v>2</v>
      </c>
      <c r="G40" t="inlineStr">
        <is>
          <t>BS004</t>
        </is>
      </c>
      <c r="H40" t="inlineStr">
        <is>
          <t>5 Januari 2008</t>
        </is>
      </c>
      <c r="I40" s="2" t="n">
        <v>46236</v>
      </c>
      <c r="J40" t="inlineStr">
        <is>
          <t>Disetujui</t>
        </is>
      </c>
      <c r="K40" t="n">
        <v>60</v>
      </c>
      <c r="L40" t="inlineStr">
        <is>
          <t>2 Agustus 2026</t>
        </is>
      </c>
      <c r="M40" t="inlineStr">
        <is>
          <t>Konstruksi Jaringan Irigasi dan Drainase</t>
        </is>
      </c>
      <c r="N40" t="inlineStr">
        <is>
          <t>K</t>
        </is>
      </c>
      <c r="O40" t="inlineStr">
        <is>
          <t>20230801</t>
        </is>
      </c>
      <c r="P40" t="inlineStr">
        <is>
          <t>Kalimantan Barat</t>
        </is>
      </c>
      <c r="Q40" t="inlineStr"/>
    </row>
    <row r="41">
      <c r="A41" t="inlineStr">
        <is>
          <t>BERKAT IVANA MANDIRI</t>
        </is>
      </c>
      <c r="B41" t="inlineStr">
        <is>
          <t>Kab. Bengkayang</t>
        </is>
      </c>
      <c r="C41" t="inlineStr">
        <is>
          <t>085654406843</t>
        </is>
      </c>
      <c r="D41" t="inlineStr">
        <is>
          <t>berkativanamandiri.cv19@gmail.com</t>
        </is>
      </c>
      <c r="E41" t="inlineStr">
        <is>
          <t>https://lpjk.pu.go.id/search-badan-usaha-detail/UmhoR0plWGExSVgrNldpV1FyajdrQT09</t>
        </is>
      </c>
      <c r="F41" t="n">
        <v>2</v>
      </c>
      <c r="G41" t="inlineStr">
        <is>
          <t>BS004</t>
        </is>
      </c>
      <c r="H41" t="inlineStr">
        <is>
          <t>28 Januari 2009</t>
        </is>
      </c>
      <c r="I41" s="2" t="n">
        <v>46236</v>
      </c>
      <c r="J41" t="inlineStr">
        <is>
          <t>Pencabutan</t>
        </is>
      </c>
      <c r="K41" t="n">
        <v>60</v>
      </c>
      <c r="L41" t="inlineStr">
        <is>
          <t>2 Agustus 2026</t>
        </is>
      </c>
      <c r="M41" t="inlineStr">
        <is>
          <t>Konstruksi Jaringan Irigasi dan Drainase</t>
        </is>
      </c>
      <c r="N41" t="inlineStr">
        <is>
          <t>K</t>
        </is>
      </c>
      <c r="O41" t="inlineStr">
        <is>
          <t>20230731</t>
        </is>
      </c>
      <c r="P41" t="inlineStr">
        <is>
          <t>Kalimantan Barat</t>
        </is>
      </c>
      <c r="Q41" t="inlineStr"/>
    </row>
    <row r="42">
      <c r="A42" t="inlineStr">
        <is>
          <t>BINA KARYA NUSANTARA</t>
        </is>
      </c>
      <c r="B42" t="inlineStr">
        <is>
          <t>Kab. Sidoarjo</t>
        </is>
      </c>
      <c r="C42" t="inlineStr">
        <is>
          <t>081252890629</t>
        </is>
      </c>
      <c r="D42" t="inlineStr">
        <is>
          <t>binakaryanusantara2@gmail.com</t>
        </is>
      </c>
      <c r="E42" t="inlineStr">
        <is>
          <t>https://lpjk.pu.go.id/search-badan-usaha-detail/V1A4Y2NTenB0VFB0bnFSVEZOYk9wZz09</t>
        </is>
      </c>
      <c r="F42" t="n">
        <v>3</v>
      </c>
      <c r="G42" t="inlineStr">
        <is>
          <t>BG001, BG003, BG009</t>
        </is>
      </c>
      <c r="H42" t="inlineStr">
        <is>
          <t>23 Juli 2020</t>
        </is>
      </c>
      <c r="I42" s="2" t="n">
        <v>46236</v>
      </c>
      <c r="J42" t="inlineStr">
        <is>
          <t>Disetujui</t>
        </is>
      </c>
      <c r="K42" t="n">
        <v>60</v>
      </c>
      <c r="L42" t="inlineStr">
        <is>
          <t>2 Agustus 2026</t>
        </is>
      </c>
      <c r="M42" t="inlineStr">
        <is>
          <t>Konstruksi Gedung Hunian, Konstruksi Gedung Industri, Konstruksi Gedung Lainnya</t>
        </is>
      </c>
      <c r="N42" t="inlineStr">
        <is>
          <t>K</t>
        </is>
      </c>
      <c r="O42" t="inlineStr">
        <is>
          <t>20230801</t>
        </is>
      </c>
      <c r="P42" t="inlineStr">
        <is>
          <t>Jawa Timur</t>
        </is>
      </c>
      <c r="Q42" t="inlineStr"/>
    </row>
    <row r="43">
      <c r="A43" t="inlineStr">
        <is>
          <t>BINTANG SAKTI</t>
        </is>
      </c>
      <c r="B43" t="inlineStr">
        <is>
          <t>Kab. Purbalingga</t>
        </is>
      </c>
      <c r="C43" t="inlineStr">
        <is>
          <t>085726369746</t>
        </is>
      </c>
      <c r="D43" t="inlineStr">
        <is>
          <t>bintangsakti_cv@yahoo.co.id</t>
        </is>
      </c>
      <c r="E43" t="inlineStr">
        <is>
          <t>https://lpjk.pu.go.id/search-badan-usaha-detail/N2ltYU1CTXliQ3FUY0pHbFFHVDU1Zz09</t>
        </is>
      </c>
      <c r="F43" t="n">
        <v>2</v>
      </c>
      <c r="G43" t="inlineStr">
        <is>
          <t>BG006</t>
        </is>
      </c>
      <c r="H43" t="inlineStr">
        <is>
          <t>14 Februari 2008</t>
        </is>
      </c>
      <c r="I43" s="2" t="n">
        <v>46236</v>
      </c>
      <c r="J43" t="inlineStr">
        <is>
          <t>Disetujui</t>
        </is>
      </c>
      <c r="K43" t="n">
        <v>60</v>
      </c>
      <c r="L43" t="inlineStr">
        <is>
          <t>2 Agustus 2026</t>
        </is>
      </c>
      <c r="M43" t="inlineStr">
        <is>
          <t>Konstruksi Gedung Pendidikan</t>
        </is>
      </c>
      <c r="N43" t="inlineStr">
        <is>
          <t>K</t>
        </is>
      </c>
      <c r="O43" t="inlineStr">
        <is>
          <t>20230731</t>
        </is>
      </c>
      <c r="P43" t="inlineStr">
        <is>
          <t>Jawa Tengah</t>
        </is>
      </c>
      <c r="Q43" t="inlineStr"/>
    </row>
    <row r="44">
      <c r="A44" t="inlineStr">
        <is>
          <t>BORNEO SATURAYA ABADI</t>
        </is>
      </c>
      <c r="B44" t="inlineStr">
        <is>
          <t>Kota Balikpapan</t>
        </is>
      </c>
      <c r="C44" t="inlineStr">
        <is>
          <t>08115851977</t>
        </is>
      </c>
      <c r="D44" t="inlineStr">
        <is>
          <t>borneosaturaya@gmail.com</t>
        </is>
      </c>
      <c r="E44" t="inlineStr">
        <is>
          <t>https://lpjk.pu.go.id/search-badan-usaha-detail/K05iSGhYd0lnMmRWbFpYTTdaTjZLZz09</t>
        </is>
      </c>
      <c r="F44" t="n">
        <v>1</v>
      </c>
      <c r="G44" t="inlineStr">
        <is>
          <t>BG006</t>
        </is>
      </c>
      <c r="H44" t="inlineStr">
        <is>
          <t>12 Juni 2023</t>
        </is>
      </c>
      <c r="I44" s="2" t="n">
        <v>46236</v>
      </c>
      <c r="J44" t="inlineStr">
        <is>
          <t>Disetujui</t>
        </is>
      </c>
      <c r="K44" t="n">
        <v>60</v>
      </c>
      <c r="L44" t="inlineStr">
        <is>
          <t>2 Agustus 2026</t>
        </is>
      </c>
      <c r="M44" t="inlineStr">
        <is>
          <t>Konstruksi Gedung Pendidikan</t>
        </is>
      </c>
      <c r="N44" t="inlineStr">
        <is>
          <t>K</t>
        </is>
      </c>
      <c r="O44" t="inlineStr">
        <is>
          <t>20230802</t>
        </is>
      </c>
      <c r="P44" t="inlineStr">
        <is>
          <t>Kalimantan Timur</t>
        </is>
      </c>
      <c r="Q44" t="inlineStr"/>
    </row>
    <row r="45">
      <c r="A45" t="inlineStr">
        <is>
          <t>BUANA ARTHA MANDIRI</t>
        </is>
      </c>
      <c r="B45" t="inlineStr">
        <is>
          <t>Kota Palembang</t>
        </is>
      </c>
      <c r="C45" t="inlineStr">
        <is>
          <t>081373950099</t>
        </is>
      </c>
      <c r="D45" t="inlineStr">
        <is>
          <t>buanaarthamandiri99@gmail.com</t>
        </is>
      </c>
      <c r="E45" t="inlineStr">
        <is>
          <t>https://lpjk.pu.go.id/search-badan-usaha-detail/NW53alNuRjBTQWRwbXJhSkJqR01qZz09</t>
        </is>
      </c>
      <c r="F45" t="n">
        <v>1</v>
      </c>
      <c r="G45" t="inlineStr">
        <is>
          <t>BS001</t>
        </is>
      </c>
      <c r="H45" t="inlineStr">
        <is>
          <t>5 Juli 2005</t>
        </is>
      </c>
      <c r="I45" s="2" t="n">
        <v>46236</v>
      </c>
      <c r="J45" t="inlineStr">
        <is>
          <t>Disetujui</t>
        </is>
      </c>
      <c r="K45" t="n">
        <v>60</v>
      </c>
      <c r="L45" t="inlineStr">
        <is>
          <t>2 Agustus 2026</t>
        </is>
      </c>
      <c r="M45" t="inlineStr">
        <is>
          <t>Konstruksi Bangunan Sipil Jalan</t>
        </is>
      </c>
      <c r="N45" t="inlineStr">
        <is>
          <t>K</t>
        </is>
      </c>
      <c r="O45" t="inlineStr">
        <is>
          <t>20230704</t>
        </is>
      </c>
      <c r="P45" t="inlineStr">
        <is>
          <t>Sumatera Selatan</t>
        </is>
      </c>
      <c r="Q45" t="inlineStr"/>
    </row>
    <row r="46">
      <c r="A46" t="inlineStr">
        <is>
          <t>BUKIT MAS INDONESIA PERKASA</t>
        </is>
      </c>
      <c r="B46" t="inlineStr">
        <is>
          <t>Kota Adm. Jakarta Selatan</t>
        </is>
      </c>
      <c r="C46" t="inlineStr">
        <is>
          <t>081325759383</t>
        </is>
      </c>
      <c r="D46" t="inlineStr">
        <is>
          <t>bmip_jkt@yahoo.com</t>
        </is>
      </c>
      <c r="E46" t="inlineStr">
        <is>
          <t>https://lpjk.pu.go.id/search-badan-usaha-detail/Q3lBeHl6RStaR0hYbElOeWVwdERJZz09</t>
        </is>
      </c>
      <c r="F46" t="n">
        <v>1</v>
      </c>
      <c r="G46" t="inlineStr">
        <is>
          <t>BG001</t>
        </is>
      </c>
      <c r="H46" t="inlineStr">
        <is>
          <t>12 April 2021</t>
        </is>
      </c>
      <c r="I46" s="2" t="n">
        <v>46236</v>
      </c>
      <c r="J46" t="inlineStr">
        <is>
          <t>Disetujui</t>
        </is>
      </c>
      <c r="K46" t="n">
        <v>60</v>
      </c>
      <c r="L46" t="inlineStr">
        <is>
          <t>2 Agustus 2026</t>
        </is>
      </c>
      <c r="M46" t="inlineStr">
        <is>
          <t>Konstruksi Gedung Hunian</t>
        </is>
      </c>
      <c r="N46" t="inlineStr">
        <is>
          <t>K</t>
        </is>
      </c>
      <c r="O46" t="inlineStr">
        <is>
          <t>20230731</t>
        </is>
      </c>
      <c r="P46" t="inlineStr">
        <is>
          <t>DKI Jakarta</t>
        </is>
      </c>
      <c r="Q46" t="inlineStr"/>
    </row>
    <row r="47">
      <c r="A47" t="inlineStr">
        <is>
          <t>BUKIT MURIA JAYA ESTATE</t>
        </is>
      </c>
      <c r="B47" t="inlineStr">
        <is>
          <t>Kab. Karawang</t>
        </is>
      </c>
      <c r="C47" t="inlineStr">
        <is>
          <t>0267601500</t>
        </is>
      </c>
      <c r="D47" t="inlineStr">
        <is>
          <t>legal@resinda.co.id</t>
        </is>
      </c>
      <c r="E47" t="inlineStr">
        <is>
          <t>https://lpjk.pu.go.id/search-badan-usaha-detail/VmJHSm94NFhnS1hCTnRkOEdSOVhxUT09</t>
        </is>
      </c>
      <c r="F47" t="n">
        <v>1</v>
      </c>
      <c r="G47" t="inlineStr">
        <is>
          <t>BG004</t>
        </is>
      </c>
      <c r="H47" t="inlineStr">
        <is>
          <t>3 November 2022</t>
        </is>
      </c>
      <c r="I47" s="2" t="n">
        <v>46236</v>
      </c>
      <c r="J47" t="inlineStr">
        <is>
          <t>Disetujui</t>
        </is>
      </c>
      <c r="K47" t="n">
        <v>60</v>
      </c>
      <c r="L47" t="inlineStr">
        <is>
          <t>2 Agustus 2026</t>
        </is>
      </c>
      <c r="M47" t="inlineStr">
        <is>
          <t>Konstruksi Gedung Perbelanjaan</t>
        </is>
      </c>
      <c r="N47" t="inlineStr">
        <is>
          <t>K</t>
        </is>
      </c>
      <c r="O47" t="inlineStr">
        <is>
          <t>20230703</t>
        </is>
      </c>
      <c r="P47" t="inlineStr">
        <is>
          <t>Jawa Barat</t>
        </is>
      </c>
      <c r="Q47" t="inlineStr"/>
    </row>
    <row r="48">
      <c r="A48" t="inlineStr">
        <is>
          <t>BULAN SEKAWAN</t>
        </is>
      </c>
      <c r="B48" t="inlineStr">
        <is>
          <t>Kota Semarang</t>
        </is>
      </c>
      <c r="C48" t="inlineStr">
        <is>
          <t>-</t>
        </is>
      </c>
      <c r="D48" t="inlineStr">
        <is>
          <t>bulansekawan1@gmail.com</t>
        </is>
      </c>
      <c r="E48" t="inlineStr">
        <is>
          <t>https://lpjk.pu.go.id/search-badan-usaha-detail/REcvQllER2Uwa01HMk5Ob1hCUU4vdz09</t>
        </is>
      </c>
      <c r="F48" t="n">
        <v>4</v>
      </c>
      <c r="G48" t="inlineStr">
        <is>
          <t>BG002, BG005, BG006, BG009</t>
        </is>
      </c>
      <c r="H48" t="inlineStr">
        <is>
          <t>23 Desember 2013</t>
        </is>
      </c>
      <c r="I48" s="2" t="n">
        <v>46236</v>
      </c>
      <c r="J48" t="inlineStr">
        <is>
          <t>Disetujui</t>
        </is>
      </c>
      <c r="K48" t="n">
        <v>60</v>
      </c>
      <c r="L48" t="inlineStr">
        <is>
          <t>2 Agustus 2026</t>
        </is>
      </c>
      <c r="M48" t="inlineStr">
        <is>
          <t>Konstruksi Gedung Kesehatan, Konstruksi Gedung Lainnya, Konstruksi Gedung Pendidikan, Konstruksi Gedung Perkantoran</t>
        </is>
      </c>
      <c r="N48" t="inlineStr">
        <is>
          <t>K</t>
        </is>
      </c>
      <c r="O48" t="inlineStr">
        <is>
          <t>20230731, 20230801</t>
        </is>
      </c>
      <c r="P48" t="inlineStr">
        <is>
          <t>Jawa Tengah</t>
        </is>
      </c>
      <c r="Q48" t="inlineStr"/>
    </row>
    <row r="49">
      <c r="A49" t="inlineStr">
        <is>
          <t>BUMI ADINUGRAH SENTOSA</t>
        </is>
      </c>
      <c r="B49" t="inlineStr">
        <is>
          <t>Kota Adm. Jakarta Selatan</t>
        </is>
      </c>
      <c r="C49" t="inlineStr">
        <is>
          <t>02127899144</t>
        </is>
      </c>
      <c r="D49" t="inlineStr">
        <is>
          <t>info@basacon.com</t>
        </is>
      </c>
      <c r="E49" t="inlineStr">
        <is>
          <t>https://lpjk.pu.go.id/search-badan-usaha-detail/SllmMXBPMyt4QmJnUDIrTWNBWGRTdz09</t>
        </is>
      </c>
      <c r="F49" t="n">
        <v>1</v>
      </c>
      <c r="G49" t="inlineStr">
        <is>
          <t>BG002</t>
        </is>
      </c>
      <c r="H49" t="inlineStr">
        <is>
          <t>19 Mei 2022</t>
        </is>
      </c>
      <c r="I49" s="2" t="n">
        <v>46236</v>
      </c>
      <c r="J49" t="inlineStr">
        <is>
          <t>Disetujui</t>
        </is>
      </c>
      <c r="K49" t="n">
        <v>60</v>
      </c>
      <c r="L49" t="inlineStr">
        <is>
          <t>2 Agustus 2026</t>
        </is>
      </c>
      <c r="M49" t="inlineStr">
        <is>
          <t>Konstruksi Gedung Perkantoran</t>
        </is>
      </c>
      <c r="N49" t="inlineStr">
        <is>
          <t>K</t>
        </is>
      </c>
      <c r="O49" t="inlineStr">
        <is>
          <t>20230728</t>
        </is>
      </c>
      <c r="P49" t="inlineStr">
        <is>
          <t>DKI Jakarta</t>
        </is>
      </c>
      <c r="Q49" t="inlineStr"/>
    </row>
    <row r="50">
      <c r="A50" t="inlineStr">
        <is>
          <t>BUMI PERKASA KALIPANCUR</t>
        </is>
      </c>
      <c r="B50" t="inlineStr">
        <is>
          <t>Kota Bandar Lampung</t>
        </is>
      </c>
      <c r="C50" t="inlineStr">
        <is>
          <t>081379858513</t>
        </is>
      </c>
      <c r="D50" t="inlineStr">
        <is>
          <t>pt.bumiperkasakalipancur@gmail.com</t>
        </is>
      </c>
      <c r="E50" t="inlineStr">
        <is>
          <t>https://lpjk.pu.go.id/search-badan-usaha-detail/RXlJNWFhTUNCL1lzcnRWUXhvWmdVdz09</t>
        </is>
      </c>
      <c r="F50" t="n">
        <v>1</v>
      </c>
      <c r="G50" t="inlineStr">
        <is>
          <t>BG002</t>
        </is>
      </c>
      <c r="H50" t="inlineStr">
        <is>
          <t>25 Januari 2017</t>
        </is>
      </c>
      <c r="I50" s="2" t="n">
        <v>46236</v>
      </c>
      <c r="J50" t="inlineStr">
        <is>
          <t>Disetujui</t>
        </is>
      </c>
      <c r="K50" t="n">
        <v>60</v>
      </c>
      <c r="L50" t="inlineStr">
        <is>
          <t>2 Agustus 2026</t>
        </is>
      </c>
      <c r="M50" t="inlineStr">
        <is>
          <t>Konstruksi Gedung Perkantoran</t>
        </is>
      </c>
      <c r="N50" t="inlineStr">
        <is>
          <t>M</t>
        </is>
      </c>
      <c r="O50" t="inlineStr">
        <is>
          <t>20230726</t>
        </is>
      </c>
      <c r="P50" t="inlineStr">
        <is>
          <t>Lampung</t>
        </is>
      </c>
      <c r="Q50" t="inlineStr"/>
    </row>
    <row r="51">
      <c r="A51" t="inlineStr">
        <is>
          <t>BUMI PERKASA PRATAMA</t>
        </is>
      </c>
      <c r="B51" t="inlineStr">
        <is>
          <t>Kota Pangkal Pinang</t>
        </is>
      </c>
      <c r="C51" t="inlineStr">
        <is>
          <t>07174261150</t>
        </is>
      </c>
      <c r="D51" t="inlineStr">
        <is>
          <t>bpp.office98@gmail.com</t>
        </is>
      </c>
      <c r="E51" t="inlineStr">
        <is>
          <t>https://lpjk.pu.go.id/search-badan-usaha-detail/ZFFOb2g2NUNiQTYzQ00xS2dtUWtaUT09</t>
        </is>
      </c>
      <c r="F51" t="n">
        <v>1</v>
      </c>
      <c r="G51" t="inlineStr">
        <is>
          <t>BG002</t>
        </is>
      </c>
      <c r="H51" t="inlineStr">
        <is>
          <t>6 Desember 2007</t>
        </is>
      </c>
      <c r="I51" s="2" t="n">
        <v>46236</v>
      </c>
      <c r="J51" t="inlineStr">
        <is>
          <t>Disetujui</t>
        </is>
      </c>
      <c r="K51" t="n">
        <v>60</v>
      </c>
      <c r="L51" t="inlineStr">
        <is>
          <t>2 Agustus 2026</t>
        </is>
      </c>
      <c r="M51" t="inlineStr">
        <is>
          <t>Konstruksi Gedung Perkantoran</t>
        </is>
      </c>
      <c r="N51" t="inlineStr">
        <is>
          <t>K</t>
        </is>
      </c>
      <c r="O51" t="inlineStr">
        <is>
          <t>20230710</t>
        </is>
      </c>
      <c r="P51" t="inlineStr">
        <is>
          <t>Kepulauan Bangka Belitung</t>
        </is>
      </c>
      <c r="Q51" t="inlineStr"/>
    </row>
    <row r="52">
      <c r="A52" t="inlineStr">
        <is>
          <t>CAHAYA ANGKASA UTAMA</t>
        </is>
      </c>
      <c r="B52" t="inlineStr">
        <is>
          <t>Kab. Muna Barat</t>
        </is>
      </c>
      <c r="C52" t="inlineStr">
        <is>
          <t>085398135328</t>
        </is>
      </c>
      <c r="D52" t="inlineStr">
        <is>
          <t>cahayaangkasautama@gmail.com</t>
        </is>
      </c>
      <c r="E52" t="inlineStr">
        <is>
          <t>https://lpjk.pu.go.id/search-badan-usaha-detail/VzY1N1JvZ3pwVTdySzVyOTM3QUZkQT09</t>
        </is>
      </c>
      <c r="F52" t="n">
        <v>2</v>
      </c>
      <c r="G52" t="inlineStr">
        <is>
          <t>BG008, BG009</t>
        </is>
      </c>
      <c r="H52" t="inlineStr">
        <is>
          <t>9 Juni 2022</t>
        </is>
      </c>
      <c r="I52" s="2" t="n">
        <v>46236</v>
      </c>
      <c r="J52" t="inlineStr">
        <is>
          <t>Disetujui</t>
        </is>
      </c>
      <c r="K52" t="n">
        <v>60</v>
      </c>
      <c r="L52" t="inlineStr">
        <is>
          <t>2 Agustus 2026</t>
        </is>
      </c>
      <c r="M52" t="inlineStr">
        <is>
          <t>Konstruksi Gedung Lainnya, Konstruksi Gedung Tempat Hiburan dan Olahraga</t>
        </is>
      </c>
      <c r="N52" t="inlineStr">
        <is>
          <t>K</t>
        </is>
      </c>
      <c r="O52" t="inlineStr">
        <is>
          <t>20230728</t>
        </is>
      </c>
      <c r="P52" t="inlineStr">
        <is>
          <t>Sulawesi Tenggara</t>
        </is>
      </c>
      <c r="Q52" t="inlineStr"/>
    </row>
    <row r="53">
      <c r="A53" t="inlineStr">
        <is>
          <t>CAHAYA RIAU</t>
        </is>
      </c>
      <c r="B53" t="inlineStr">
        <is>
          <t>Kota Pekanbaru</t>
        </is>
      </c>
      <c r="C53" t="inlineStr">
        <is>
          <t>076133674</t>
        </is>
      </c>
      <c r="D53" t="inlineStr">
        <is>
          <t>cahayariau_chr@yahoo.com</t>
        </is>
      </c>
      <c r="E53" t="inlineStr">
        <is>
          <t>https://lpjk.pu.go.id/search-badan-usaha-detail/ZEh5SDVWUzhkZ3BicDF0RFV6OGVtZz09</t>
        </is>
      </c>
      <c r="F53" t="n">
        <v>1</v>
      </c>
      <c r="G53" t="inlineStr">
        <is>
          <t>BG009</t>
        </is>
      </c>
      <c r="H53" t="inlineStr">
        <is>
          <t>15 September 2022</t>
        </is>
      </c>
      <c r="I53" s="2" t="n">
        <v>46236</v>
      </c>
      <c r="J53" t="inlineStr">
        <is>
          <t>Pencabutan</t>
        </is>
      </c>
      <c r="K53" t="n">
        <v>60</v>
      </c>
      <c r="L53" t="inlineStr">
        <is>
          <t>2 Agustus 2026</t>
        </is>
      </c>
      <c r="M53" t="inlineStr">
        <is>
          <t>Konstruksi Gedung Lainnya</t>
        </is>
      </c>
      <c r="N53" t="inlineStr">
        <is>
          <t>K</t>
        </is>
      </c>
      <c r="O53" t="inlineStr">
        <is>
          <t>20230802</t>
        </is>
      </c>
      <c r="P53" t="inlineStr">
        <is>
          <t>Riau</t>
        </is>
      </c>
      <c r="Q53" t="inlineStr"/>
    </row>
    <row r="54">
      <c r="A54" t="inlineStr">
        <is>
          <t>CAKRA TRISNA BUANA</t>
        </is>
      </c>
      <c r="B54" t="inlineStr">
        <is>
          <t>Kab. Sanggau</t>
        </is>
      </c>
      <c r="C54" t="inlineStr">
        <is>
          <t>0852 5014 4972</t>
        </is>
      </c>
      <c r="D54" t="inlineStr">
        <is>
          <t>cakratrisna73@yahoo.com</t>
        </is>
      </c>
      <c r="E54" t="inlineStr">
        <is>
          <t>https://lpjk.pu.go.id/search-badan-usaha-detail/YXV0cDY2SFRHMVc2L2J1VHh1cEoxdz09</t>
        </is>
      </c>
      <c r="F54" t="n">
        <v>1</v>
      </c>
      <c r="G54" t="inlineStr">
        <is>
          <t>BG006</t>
        </is>
      </c>
      <c r="H54" t="inlineStr">
        <is>
          <t>22 Februari 2016</t>
        </is>
      </c>
      <c r="I54" s="2" t="n">
        <v>46236</v>
      </c>
      <c r="J54" t="inlineStr">
        <is>
          <t>Disetujui</t>
        </is>
      </c>
      <c r="K54" t="n">
        <v>60</v>
      </c>
      <c r="L54" t="inlineStr">
        <is>
          <t>2 Agustus 2026</t>
        </is>
      </c>
      <c r="M54" t="inlineStr">
        <is>
          <t>Konstruksi Gedung Pendidikan</t>
        </is>
      </c>
      <c r="N54" t="inlineStr">
        <is>
          <t>K</t>
        </is>
      </c>
      <c r="O54" t="inlineStr">
        <is>
          <t>20230727</t>
        </is>
      </c>
      <c r="P54" t="inlineStr">
        <is>
          <t>Kalimantan Barat</t>
        </is>
      </c>
      <c r="Q54" t="inlineStr"/>
    </row>
    <row r="55">
      <c r="A55" t="inlineStr">
        <is>
          <t>CAKRAWALA KONSOLINDO</t>
        </is>
      </c>
      <c r="B55" t="inlineStr">
        <is>
          <t>Kota Bau Bau</t>
        </is>
      </c>
      <c r="C55" t="inlineStr">
        <is>
          <t>085241821175</t>
        </is>
      </c>
      <c r="D55" t="inlineStr">
        <is>
          <t>cv.cakrawala18@gmail.com</t>
        </is>
      </c>
      <c r="E55" t="inlineStr">
        <is>
          <t>https://lpjk.pu.go.id/search-badan-usaha-detail/N2NHM0U0RFUrdloxMWVwV0ZEVTlpZz09</t>
        </is>
      </c>
      <c r="F55" t="n">
        <v>6</v>
      </c>
      <c r="G55" t="inlineStr">
        <is>
          <t>AR001, AR002, AR003, RK001, RK002, RK003</t>
        </is>
      </c>
      <c r="H55" t="inlineStr">
        <is>
          <t>27 Agustus 2018</t>
        </is>
      </c>
      <c r="I55" s="2" t="n">
        <v>46236</v>
      </c>
      <c r="J55" t="inlineStr">
        <is>
          <t>Disetujui</t>
        </is>
      </c>
      <c r="K55" t="n">
        <v>60</v>
      </c>
      <c r="L55" t="inlineStr">
        <is>
          <t>2 Agustus 2026</t>
        </is>
      </c>
      <c r="M55" t="inlineStr">
        <is>
          <t>Jasa Arsitektural Bangunan Gedung Hunian dan Non Hunian, Jasa Arsitektural Lainnya, Jasa Desain Interior pada Bangunan Gedung dan Bangunan Sipil, Jasa Rekayasa Konstruksi Bangunan Gedung Hunian dan Non Hunian, Jasa Rekayasa Pekerjaan Teknik Sipil Sumber Daya Air, Jasa Rekayasa Pekerjaan Teknik Sipil Transportasi</t>
        </is>
      </c>
      <c r="N55" t="inlineStr">
        <is>
          <t>K</t>
        </is>
      </c>
      <c r="O55" t="inlineStr">
        <is>
          <t>20230721, 20230724</t>
        </is>
      </c>
      <c r="P55" t="inlineStr">
        <is>
          <t>Sulawesi Tenggara</t>
        </is>
      </c>
      <c r="Q55" t="inlineStr"/>
    </row>
    <row r="56">
      <c r="A56" t="inlineStr">
        <is>
          <t>CATUR SETIA KONSTRUKSI</t>
        </is>
      </c>
      <c r="B56" t="inlineStr">
        <is>
          <t>Kab. Sidoarjo</t>
        </is>
      </c>
      <c r="C56" t="inlineStr">
        <is>
          <t>082234568773</t>
        </is>
      </c>
      <c r="D56" t="inlineStr">
        <is>
          <t>ptcatursetiakonstruksi@gmail.com</t>
        </is>
      </c>
      <c r="E56" t="inlineStr">
        <is>
          <t>https://lpjk.pu.go.id/search-badan-usaha-detail/VlVic1Jjb3Ewd1c3aFhNTmVjSTh6QT09</t>
        </is>
      </c>
      <c r="F56" t="n">
        <v>1</v>
      </c>
      <c r="G56" t="inlineStr">
        <is>
          <t>BG009</t>
        </is>
      </c>
      <c r="H56" t="inlineStr">
        <is>
          <t>26 Januari 2021</t>
        </is>
      </c>
      <c r="I56" s="2" t="n">
        <v>46236</v>
      </c>
      <c r="J56" t="inlineStr">
        <is>
          <t>Disetujui</t>
        </is>
      </c>
      <c r="K56" t="n">
        <v>60</v>
      </c>
      <c r="L56" t="inlineStr">
        <is>
          <t>2 Agustus 2026</t>
        </is>
      </c>
      <c r="M56" t="inlineStr">
        <is>
          <t>Konstruksi Gedung Lainnya</t>
        </is>
      </c>
      <c r="N56" t="inlineStr">
        <is>
          <t>K</t>
        </is>
      </c>
      <c r="O56" t="inlineStr">
        <is>
          <t>20230724</t>
        </is>
      </c>
      <c r="P56" t="inlineStr">
        <is>
          <t>Jawa Timur</t>
        </is>
      </c>
      <c r="Q56" t="inlineStr"/>
    </row>
    <row r="57">
      <c r="A57" t="inlineStr">
        <is>
          <t>CINTA PERUBAHAN</t>
        </is>
      </c>
      <c r="B57" t="inlineStr">
        <is>
          <t>Kab. Aceh Tenggara</t>
        </is>
      </c>
      <c r="C57" t="inlineStr">
        <is>
          <t>085275220353</t>
        </is>
      </c>
      <c r="D57" t="inlineStr">
        <is>
          <t>cvcintaperubahan@gmail.com</t>
        </is>
      </c>
      <c r="E57" t="inlineStr">
        <is>
          <t>https://lpjk.pu.go.id/search-badan-usaha-detail/QjRSY3M4MDRXYU91TEllK2VNWmt2UT09</t>
        </is>
      </c>
      <c r="F57" t="n">
        <v>2</v>
      </c>
      <c r="G57" t="inlineStr">
        <is>
          <t>BG004, BG005</t>
        </is>
      </c>
      <c r="H57" t="inlineStr">
        <is>
          <t>4 Oktober 2017</t>
        </is>
      </c>
      <c r="I57" s="2" t="n">
        <v>46236</v>
      </c>
      <c r="J57" t="inlineStr">
        <is>
          <t>Disetujui</t>
        </is>
      </c>
      <c r="K57" t="n">
        <v>60</v>
      </c>
      <c r="L57" t="inlineStr">
        <is>
          <t>2 Agustus 2026</t>
        </is>
      </c>
      <c r="M57" t="inlineStr">
        <is>
          <t>Konstruksi Gedung Kesehatan, Konstruksi Gedung Perbelanjaan</t>
        </is>
      </c>
      <c r="N57" t="inlineStr">
        <is>
          <t>K</t>
        </is>
      </c>
      <c r="O57" t="inlineStr">
        <is>
          <t>20230731</t>
        </is>
      </c>
      <c r="P57" t="inlineStr">
        <is>
          <t>Aceh</t>
        </is>
      </c>
      <c r="Q57" t="inlineStr"/>
    </row>
    <row r="58">
      <c r="A58" t="inlineStr">
        <is>
          <t>CIPTA DINAMIK PERKASA</t>
        </is>
      </c>
      <c r="B58" t="inlineStr">
        <is>
          <t>Kota Palembang</t>
        </is>
      </c>
      <c r="C58" t="inlineStr">
        <is>
          <t>082185678988</t>
        </is>
      </c>
      <c r="D58" t="inlineStr">
        <is>
          <t>cv.ciptadinamikperkasa@gmail.com</t>
        </is>
      </c>
      <c r="E58" t="inlineStr">
        <is>
          <t>https://lpjk.pu.go.id/search-badan-usaha-detail/UWZmRlk0OHEvckVCTnMveXVUdUN5QT09</t>
        </is>
      </c>
      <c r="F58" t="n">
        <v>1</v>
      </c>
      <c r="G58" t="inlineStr">
        <is>
          <t>BG006</t>
        </is>
      </c>
      <c r="H58" t="inlineStr">
        <is>
          <t>2 Desember 2019</t>
        </is>
      </c>
      <c r="I58" s="2" t="n">
        <v>46236</v>
      </c>
      <c r="J58" t="inlineStr">
        <is>
          <t>Disetujui</t>
        </is>
      </c>
      <c r="K58" t="n">
        <v>60</v>
      </c>
      <c r="L58" t="inlineStr">
        <is>
          <t>2 Agustus 2026</t>
        </is>
      </c>
      <c r="M58" t="inlineStr">
        <is>
          <t>Konstruksi Gedung Pendidikan</t>
        </is>
      </c>
      <c r="N58" t="inlineStr">
        <is>
          <t>K</t>
        </is>
      </c>
      <c r="O58" t="inlineStr">
        <is>
          <t>20230803</t>
        </is>
      </c>
      <c r="P58" t="inlineStr">
        <is>
          <t>Sumatera Selatan</t>
        </is>
      </c>
      <c r="Q58" t="inlineStr"/>
    </row>
    <row r="59">
      <c r="A59" t="inlineStr">
        <is>
          <t>CIPTA INDO LESTARI</t>
        </is>
      </c>
      <c r="B59" t="inlineStr">
        <is>
          <t>Kota Pekanbaru</t>
        </is>
      </c>
      <c r="C59" t="inlineStr">
        <is>
          <t>085257817175</t>
        </is>
      </c>
      <c r="D59" t="inlineStr">
        <is>
          <t>ciptaindolestari@gmail.com</t>
        </is>
      </c>
      <c r="E59" t="inlineStr">
        <is>
          <t>https://lpjk.pu.go.id/search-badan-usaha-detail/M3dEbVNaTGJ0NHpKODVOdVFreEpDdz09</t>
        </is>
      </c>
      <c r="F59" t="n">
        <v>1</v>
      </c>
      <c r="G59" t="inlineStr">
        <is>
          <t>BG006</t>
        </is>
      </c>
      <c r="H59" t="inlineStr">
        <is>
          <t>3 Juni 2023</t>
        </is>
      </c>
      <c r="I59" s="2" t="n">
        <v>46236</v>
      </c>
      <c r="J59" t="inlineStr">
        <is>
          <t>Disetujui</t>
        </is>
      </c>
      <c r="K59" t="n">
        <v>60</v>
      </c>
      <c r="L59" t="inlineStr">
        <is>
          <t>2 Agustus 2026</t>
        </is>
      </c>
      <c r="M59" t="inlineStr">
        <is>
          <t>Konstruksi Gedung Pendidikan</t>
        </is>
      </c>
      <c r="N59" t="inlineStr">
        <is>
          <t>K</t>
        </is>
      </c>
      <c r="O59" t="inlineStr">
        <is>
          <t>20230802</t>
        </is>
      </c>
      <c r="P59" t="inlineStr">
        <is>
          <t>Riau</t>
        </is>
      </c>
      <c r="Q59" t="inlineStr"/>
    </row>
    <row r="60">
      <c r="A60" t="inlineStr">
        <is>
          <t>CIPTA INOVASI PERSADA</t>
        </is>
      </c>
      <c r="B60" t="inlineStr">
        <is>
          <t>Kota Samarinda</t>
        </is>
      </c>
      <c r="C60" t="inlineStr">
        <is>
          <t>0811582882</t>
        </is>
      </c>
      <c r="D60" t="inlineStr">
        <is>
          <t>ci_persada@yahoo.com</t>
        </is>
      </c>
      <c r="E60" t="inlineStr">
        <is>
          <t>https://lpjk.pu.go.id/search-badan-usaha-detail/L1l3OWt5a0hjTk9zSFMvTVlhQWN5dz09</t>
        </is>
      </c>
      <c r="F60" t="n">
        <v>1</v>
      </c>
      <c r="G60" t="inlineStr">
        <is>
          <t>BG001</t>
        </is>
      </c>
      <c r="H60" t="inlineStr">
        <is>
          <t>3 Maret 2017</t>
        </is>
      </c>
      <c r="I60" s="2" t="n">
        <v>46236</v>
      </c>
      <c r="J60" t="inlineStr">
        <is>
          <t>Disetujui</t>
        </is>
      </c>
      <c r="K60" t="n">
        <v>60</v>
      </c>
      <c r="L60" t="inlineStr">
        <is>
          <t>2 Agustus 2026</t>
        </is>
      </c>
      <c r="M60" t="inlineStr">
        <is>
          <t>Konstruksi Gedung Hunian</t>
        </is>
      </c>
      <c r="N60" t="inlineStr">
        <is>
          <t>K</t>
        </is>
      </c>
      <c r="O60" t="inlineStr">
        <is>
          <t>20230802</t>
        </is>
      </c>
      <c r="P60" t="inlineStr">
        <is>
          <t>Kalimantan Timur</t>
        </is>
      </c>
      <c r="Q60" t="inlineStr"/>
    </row>
    <row r="61">
      <c r="A61" t="inlineStr">
        <is>
          <t>CV. BALELONG KONSTRUKSI</t>
        </is>
      </c>
      <c r="B61" t="inlineStr">
        <is>
          <t>Kota Sawahlunto</t>
        </is>
      </c>
      <c r="C61" t="inlineStr">
        <is>
          <t>085263095080</t>
        </is>
      </c>
      <c r="D61" t="inlineStr">
        <is>
          <t>cvbalelongkonstruksi@gmail.com</t>
        </is>
      </c>
      <c r="E61" t="inlineStr">
        <is>
          <t>https://lpjk.pu.go.id/search-badan-usaha-detail/SFFpaS9JTVhRb005dzFITUJzeFh0UT09</t>
        </is>
      </c>
      <c r="F61" t="n">
        <v>1</v>
      </c>
      <c r="G61" t="inlineStr">
        <is>
          <t>BS001</t>
        </is>
      </c>
      <c r="H61" t="inlineStr">
        <is>
          <t>23 September 2019</t>
        </is>
      </c>
      <c r="I61" s="2" t="n">
        <v>46236</v>
      </c>
      <c r="J61" t="inlineStr">
        <is>
          <t>Disetujui</t>
        </is>
      </c>
      <c r="K61" t="n">
        <v>60</v>
      </c>
      <c r="L61" t="inlineStr">
        <is>
          <t>2 Agustus 2026</t>
        </is>
      </c>
      <c r="M61" t="inlineStr">
        <is>
          <t>Konstruksi Bangunan Sipil Jalan</t>
        </is>
      </c>
      <c r="N61" t="inlineStr">
        <is>
          <t>K</t>
        </is>
      </c>
      <c r="O61" t="inlineStr">
        <is>
          <t>20230802</t>
        </is>
      </c>
      <c r="P61" t="inlineStr">
        <is>
          <t>Sumatera Barat</t>
        </is>
      </c>
      <c r="Q61" t="inlineStr"/>
    </row>
    <row r="62">
      <c r="A62" t="inlineStr">
        <is>
          <t>CV. ROYAL MARLYN BONANZA</t>
        </is>
      </c>
      <c r="B62" t="inlineStr">
        <is>
          <t>Kab. Natuna</t>
        </is>
      </c>
      <c r="C62" t="inlineStr">
        <is>
          <t>085228384333</t>
        </is>
      </c>
      <c r="D62" t="inlineStr">
        <is>
          <t>royalmarlynbonanza@gmail.com</t>
        </is>
      </c>
      <c r="E62" t="inlineStr">
        <is>
          <t>https://lpjk.pu.go.id/search-badan-usaha-detail/cWsydngrRmgxSW51T002a21LNTBpQT09</t>
        </is>
      </c>
      <c r="F62" t="n">
        <v>2</v>
      </c>
      <c r="G62" t="inlineStr">
        <is>
          <t>BS004</t>
        </is>
      </c>
      <c r="H62" t="inlineStr">
        <is>
          <t>13 Januari 2020</t>
        </is>
      </c>
      <c r="I62" s="2" t="n">
        <v>46236</v>
      </c>
      <c r="J62" t="inlineStr">
        <is>
          <t>Disetujui</t>
        </is>
      </c>
      <c r="K62" t="n">
        <v>60</v>
      </c>
      <c r="L62" t="inlineStr">
        <is>
          <t>2 Agustus 2026</t>
        </is>
      </c>
      <c r="M62" t="inlineStr">
        <is>
          <t>Konstruksi Jaringan Irigasi dan Drainase</t>
        </is>
      </c>
      <c r="N62" t="inlineStr">
        <is>
          <t>K</t>
        </is>
      </c>
      <c r="O62" t="inlineStr">
        <is>
          <t>20230802</t>
        </is>
      </c>
      <c r="P62" t="inlineStr">
        <is>
          <t>Kepulauan Riau</t>
        </is>
      </c>
      <c r="Q62" t="inlineStr"/>
    </row>
    <row r="63">
      <c r="A63" t="inlineStr">
        <is>
          <t>DANABRATA KONSTRUKSI</t>
        </is>
      </c>
      <c r="B63" t="inlineStr">
        <is>
          <t>Kab. Tana Toraja</t>
        </is>
      </c>
      <c r="C63" t="inlineStr">
        <is>
          <t>081210345877</t>
        </is>
      </c>
      <c r="D63" t="inlineStr">
        <is>
          <t>danabratakonstruksi010@gmail.com</t>
        </is>
      </c>
      <c r="E63" t="inlineStr">
        <is>
          <t>https://lpjk.pu.go.id/search-badan-usaha-detail/UUU5akZnZG43VjZNMDJPM0pqQi9pdz09</t>
        </is>
      </c>
      <c r="F63" t="n">
        <v>1</v>
      </c>
      <c r="G63" t="inlineStr">
        <is>
          <t>BS001</t>
        </is>
      </c>
      <c r="H63" t="inlineStr">
        <is>
          <t>10 Februari 2020</t>
        </is>
      </c>
      <c r="I63" s="2" t="n">
        <v>46236</v>
      </c>
      <c r="J63" t="inlineStr">
        <is>
          <t>Disetujui</t>
        </is>
      </c>
      <c r="K63" t="n">
        <v>60</v>
      </c>
      <c r="L63" t="inlineStr">
        <is>
          <t>2 Agustus 2026</t>
        </is>
      </c>
      <c r="M63" t="inlineStr">
        <is>
          <t>Konstruksi Bangunan Sipil Jalan</t>
        </is>
      </c>
      <c r="N63" t="inlineStr">
        <is>
          <t>K</t>
        </is>
      </c>
      <c r="O63" t="inlineStr">
        <is>
          <t>20230802</t>
        </is>
      </c>
      <c r="P63" t="inlineStr">
        <is>
          <t>Sulawesi Selatan</t>
        </is>
      </c>
      <c r="Q63" t="inlineStr"/>
    </row>
    <row r="64">
      <c r="A64" t="inlineStr">
        <is>
          <t>DESATRIA ALARD MANDIRI</t>
        </is>
      </c>
      <c r="B64" t="inlineStr">
        <is>
          <t>Kab. Ciamis</t>
        </is>
      </c>
      <c r="C64" t="inlineStr">
        <is>
          <t>081320689088</t>
        </is>
      </c>
      <c r="D64" t="inlineStr">
        <is>
          <t>desatriaalard.project@gmail.com</t>
        </is>
      </c>
      <c r="E64" t="inlineStr">
        <is>
          <t>https://lpjk.pu.go.id/search-badan-usaha-detail/NE5FRWJJSzUwYno4QjV4aFVPaUd0dz09</t>
        </is>
      </c>
      <c r="F64" t="n">
        <v>1</v>
      </c>
      <c r="G64" t="inlineStr">
        <is>
          <t>BS009</t>
        </is>
      </c>
      <c r="H64" t="inlineStr">
        <is>
          <t>19 Januari 2021</t>
        </is>
      </c>
      <c r="I64" s="2" t="n">
        <v>46236</v>
      </c>
      <c r="J64" t="inlineStr">
        <is>
          <t>Disetujui</t>
        </is>
      </c>
      <c r="K64" t="n">
        <v>60</v>
      </c>
      <c r="L64" t="inlineStr">
        <is>
          <t>2 Agustus 2026</t>
        </is>
      </c>
      <c r="M64" t="inlineStr">
        <is>
          <t>Konstruksi Sentral Telekomunikasi</t>
        </is>
      </c>
      <c r="N64" t="inlineStr">
        <is>
          <t>K</t>
        </is>
      </c>
      <c r="O64" t="inlineStr">
        <is>
          <t>20230710</t>
        </is>
      </c>
      <c r="P64" t="inlineStr">
        <is>
          <t>Jawa Barat</t>
        </is>
      </c>
      <c r="Q64" t="inlineStr"/>
    </row>
    <row r="65">
      <c r="A65" t="inlineStr">
        <is>
          <t>DEWA KONSULTANT</t>
        </is>
      </c>
      <c r="B65" t="inlineStr">
        <is>
          <t>Kab. Manokwari</t>
        </is>
      </c>
      <c r="C65" t="inlineStr">
        <is>
          <t>081343121507</t>
        </is>
      </c>
      <c r="D65" t="inlineStr">
        <is>
          <t>dewakonsultant@gmail.com</t>
        </is>
      </c>
      <c r="E65" t="inlineStr">
        <is>
          <t>https://lpjk.pu.go.id/search-badan-usaha-detail/Si95MVZIOVFSODh5OWlpOW5RZERhdz09</t>
        </is>
      </c>
      <c r="F65" t="n">
        <v>2</v>
      </c>
      <c r="G65" t="inlineStr">
        <is>
          <t>RK001, RK003</t>
        </is>
      </c>
      <c r="H65" t="inlineStr">
        <is>
          <t>15 April 2019</t>
        </is>
      </c>
      <c r="I65" s="2" t="n">
        <v>46236</v>
      </c>
      <c r="J65" t="inlineStr">
        <is>
          <t>Disetujui, Pencabutan</t>
        </is>
      </c>
      <c r="K65" t="n">
        <v>60</v>
      </c>
      <c r="L65" t="inlineStr">
        <is>
          <t>2 Agustus 2026</t>
        </is>
      </c>
      <c r="M65" t="inlineStr">
        <is>
          <t>Jasa Rekayasa Konstruksi Bangunan Gedung Hunian dan Non Hunian, Jasa Rekayasa Pekerjaan Teknik Sipil Transportasi</t>
        </is>
      </c>
      <c r="N65" t="inlineStr">
        <is>
          <t>K</t>
        </is>
      </c>
      <c r="O65" t="inlineStr">
        <is>
          <t>20230731</t>
        </is>
      </c>
      <c r="P65" t="inlineStr">
        <is>
          <t>Papua Barat</t>
        </is>
      </c>
      <c r="Q65" t="inlineStr"/>
    </row>
    <row r="66">
      <c r="A66" t="inlineStr">
        <is>
          <t>DIAMOND KONSTRUKSI</t>
        </is>
      </c>
      <c r="B66" t="inlineStr">
        <is>
          <t>Kab. Landak</t>
        </is>
      </c>
      <c r="C66" t="inlineStr">
        <is>
          <t>081345549005</t>
        </is>
      </c>
      <c r="D66" t="inlineStr">
        <is>
          <t>konstruksidiamond@yahoo.com</t>
        </is>
      </c>
      <c r="E66" t="inlineStr">
        <is>
          <t>https://lpjk.pu.go.id/search-badan-usaha-detail/ays2K3liUGl4VkpEMldmR3J5aFF1dz09</t>
        </is>
      </c>
      <c r="F66" t="n">
        <v>3</v>
      </c>
      <c r="G66" t="inlineStr">
        <is>
          <t>BG005, BG009, BS001</t>
        </is>
      </c>
      <c r="H66" t="inlineStr">
        <is>
          <t>13 September 2016</t>
        </is>
      </c>
      <c r="I66" s="2" t="n">
        <v>46236</v>
      </c>
      <c r="J66" t="inlineStr">
        <is>
          <t>Disetujui</t>
        </is>
      </c>
      <c r="K66" t="n">
        <v>60</v>
      </c>
      <c r="L66" t="inlineStr">
        <is>
          <t>2 Agustus 2026</t>
        </is>
      </c>
      <c r="M66" t="inlineStr">
        <is>
          <t>Konstruksi Bangunan Sipil Jalan, Konstruksi Gedung Kesehatan, Konstruksi Gedung Lainnya</t>
        </is>
      </c>
      <c r="N66" t="inlineStr">
        <is>
          <t>K</t>
        </is>
      </c>
      <c r="O66" t="inlineStr">
        <is>
          <t>20230802</t>
        </is>
      </c>
      <c r="P66" t="inlineStr">
        <is>
          <t>Kalimantan Barat</t>
        </is>
      </c>
      <c r="Q66" t="inlineStr"/>
    </row>
    <row r="67">
      <c r="A67" t="inlineStr">
        <is>
          <t>DIFARMIA</t>
        </is>
      </c>
      <c r="B67" t="inlineStr">
        <is>
          <t>Kab. Solok</t>
        </is>
      </c>
      <c r="C67" t="inlineStr">
        <is>
          <t>085374743796</t>
        </is>
      </c>
      <c r="D67" t="inlineStr">
        <is>
          <t>dila30570@gmail.com</t>
        </is>
      </c>
      <c r="E67" t="inlineStr">
        <is>
          <t>https://lpjk.pu.go.id/search-badan-usaha-detail/WUE1cjl4SDRGZU42R3JXK0RlZll4QT09</t>
        </is>
      </c>
      <c r="F67" t="n">
        <v>1</v>
      </c>
      <c r="G67" t="inlineStr">
        <is>
          <t>BG009</t>
        </is>
      </c>
      <c r="H67" t="inlineStr">
        <is>
          <t>14 Juli 1999</t>
        </is>
      </c>
      <c r="I67" s="2" t="n">
        <v>46236</v>
      </c>
      <c r="J67" t="inlineStr">
        <is>
          <t>Disetujui</t>
        </is>
      </c>
      <c r="K67" t="n">
        <v>60</v>
      </c>
      <c r="L67" t="inlineStr">
        <is>
          <t>2 Agustus 2026</t>
        </is>
      </c>
      <c r="M67" t="inlineStr">
        <is>
          <t>Konstruksi Gedung Lainnya</t>
        </is>
      </c>
      <c r="N67" t="inlineStr">
        <is>
          <t>K</t>
        </is>
      </c>
      <c r="O67" t="inlineStr">
        <is>
          <t>20230728</t>
        </is>
      </c>
      <c r="P67" t="inlineStr">
        <is>
          <t>Sumatera Barat</t>
        </is>
      </c>
      <c r="Q67" t="inlineStr"/>
    </row>
    <row r="68">
      <c r="A68" t="inlineStr">
        <is>
          <t>DIKA BERSAUDARA</t>
        </is>
      </c>
      <c r="B68" t="inlineStr">
        <is>
          <t>Kab. Bojonegoro</t>
        </is>
      </c>
      <c r="C68" t="inlineStr">
        <is>
          <t>082223719260</t>
        </is>
      </c>
      <c r="D68" t="inlineStr">
        <is>
          <t>dikabersaudara442@gmail.com</t>
        </is>
      </c>
      <c r="E68" t="inlineStr">
        <is>
          <t>https://lpjk.pu.go.id/search-badan-usaha-detail/UHI4Tk1LeUl1M2RJak96YjZyc0Z2UT09</t>
        </is>
      </c>
      <c r="F68" t="n">
        <v>1</v>
      </c>
      <c r="G68" t="inlineStr">
        <is>
          <t>BS001</t>
        </is>
      </c>
      <c r="H68" t="inlineStr">
        <is>
          <t>8 September 2022</t>
        </is>
      </c>
      <c r="I68" s="2" t="n">
        <v>46236</v>
      </c>
      <c r="J68" t="inlineStr">
        <is>
          <t>Disetujui</t>
        </is>
      </c>
      <c r="K68" t="n">
        <v>60</v>
      </c>
      <c r="L68" t="inlineStr">
        <is>
          <t>2 Agustus 2026</t>
        </is>
      </c>
      <c r="M68" t="inlineStr">
        <is>
          <t>Konstruksi Bangunan Sipil Jalan</t>
        </is>
      </c>
      <c r="N68" t="inlineStr">
        <is>
          <t>K</t>
        </is>
      </c>
      <c r="O68" t="inlineStr">
        <is>
          <t>20230802</t>
        </is>
      </c>
      <c r="P68" t="inlineStr">
        <is>
          <t>Jawa Timur</t>
        </is>
      </c>
      <c r="Q68" t="inlineStr"/>
    </row>
    <row r="69">
      <c r="A69" t="inlineStr">
        <is>
          <t>DINAMIKA MEKANIKA</t>
        </is>
      </c>
      <c r="B69" t="inlineStr">
        <is>
          <t>Kab. Garut</t>
        </is>
      </c>
      <c r="C69" t="inlineStr">
        <is>
          <t>0</t>
        </is>
      </c>
      <c r="D69" t="inlineStr">
        <is>
          <t>dinamikamekanika.cv@gmail.com</t>
        </is>
      </c>
      <c r="E69" t="inlineStr">
        <is>
          <t>https://lpjk.pu.go.id/search-badan-usaha-detail/LzN6b1BIY1RNQXQxWUxlcEFPbzN3QT09</t>
        </is>
      </c>
      <c r="F69" t="n">
        <v>3</v>
      </c>
      <c r="G69" t="inlineStr">
        <is>
          <t>BG006</t>
        </is>
      </c>
      <c r="H69" t="inlineStr">
        <is>
          <t>20 September 2016</t>
        </is>
      </c>
      <c r="I69" s="2" t="n">
        <v>46236</v>
      </c>
      <c r="J69" t="inlineStr">
        <is>
          <t>Disetujui</t>
        </is>
      </c>
      <c r="K69" t="n">
        <v>60</v>
      </c>
      <c r="L69" t="inlineStr">
        <is>
          <t>2 Agustus 2026</t>
        </is>
      </c>
      <c r="M69" t="inlineStr">
        <is>
          <t>Konstruksi Gedung Pendidikan</t>
        </is>
      </c>
      <c r="N69" t="inlineStr">
        <is>
          <t>K</t>
        </is>
      </c>
      <c r="O69" t="inlineStr">
        <is>
          <t>20230731</t>
        </is>
      </c>
      <c r="P69" t="inlineStr">
        <is>
          <t>Jawa Barat</t>
        </is>
      </c>
      <c r="Q69" t="inlineStr"/>
    </row>
    <row r="70">
      <c r="A70" t="inlineStr">
        <is>
          <t>DIPTA JAYA</t>
        </is>
      </c>
      <c r="B70" t="inlineStr">
        <is>
          <t>Kota Pontianak</t>
        </is>
      </c>
      <c r="C70" t="inlineStr">
        <is>
          <t>082150451800</t>
        </is>
      </c>
      <c r="D70" t="inlineStr">
        <is>
          <t>cvdiptajayaa@gmail.com</t>
        </is>
      </c>
      <c r="E70" t="inlineStr">
        <is>
          <t>https://lpjk.pu.go.id/search-badan-usaha-detail/NzNRMWozZE1EL2hvVll1a0VTTm12UT09</t>
        </is>
      </c>
      <c r="F70" t="n">
        <v>1</v>
      </c>
      <c r="G70" t="inlineStr">
        <is>
          <t>BG003</t>
        </is>
      </c>
      <c r="H70" t="inlineStr">
        <is>
          <t>8 November 2016</t>
        </is>
      </c>
      <c r="I70" s="2" t="n">
        <v>46236</v>
      </c>
      <c r="J70" t="inlineStr">
        <is>
          <t>Disetujui</t>
        </is>
      </c>
      <c r="K70" t="n">
        <v>60</v>
      </c>
      <c r="L70" t="inlineStr">
        <is>
          <t>2 Agustus 2026</t>
        </is>
      </c>
      <c r="M70" t="inlineStr">
        <is>
          <t>Konstruksi Gedung Industri</t>
        </is>
      </c>
      <c r="N70" t="inlineStr">
        <is>
          <t>K</t>
        </is>
      </c>
      <c r="O70" t="inlineStr">
        <is>
          <t>20230714</t>
        </is>
      </c>
      <c r="P70" t="inlineStr">
        <is>
          <t>Kalimantan Barat</t>
        </is>
      </c>
      <c r="Q70" t="inlineStr"/>
    </row>
    <row r="71">
      <c r="A71" t="inlineStr">
        <is>
          <t>DUA MITRA KOALISI</t>
        </is>
      </c>
      <c r="B71" t="inlineStr">
        <is>
          <t>Kota Banda Aceh</t>
        </is>
      </c>
      <c r="C71" t="inlineStr">
        <is>
          <t>082276393517</t>
        </is>
      </c>
      <c r="D71" t="inlineStr">
        <is>
          <t>koalisimitra@gmail.com</t>
        </is>
      </c>
      <c r="E71" t="inlineStr">
        <is>
          <t>https://lpjk.pu.go.id/search-badan-usaha-detail/WEtCeTJDdDZPYTV6TlVDR3FHSzhFZz09</t>
        </is>
      </c>
      <c r="F71" t="n">
        <v>5</v>
      </c>
      <c r="G71" t="inlineStr">
        <is>
          <t>AL002, RK001, RK002, RK003, RK005</t>
        </is>
      </c>
      <c r="H71" t="inlineStr">
        <is>
          <t>24 Desember 1998</t>
        </is>
      </c>
      <c r="I71" s="2" t="n">
        <v>46236</v>
      </c>
      <c r="J71" t="inlineStr">
        <is>
          <t>Disetujui</t>
        </is>
      </c>
      <c r="K71" t="n">
        <v>60</v>
      </c>
      <c r="L71" t="inlineStr">
        <is>
          <t>2 Agustus 2026</t>
        </is>
      </c>
      <c r="M71" t="inlineStr">
        <is>
          <t>Jasa Pengembangan Wilayah, Jasa Rekayasa Konstruksi Bangunan Gedung Hunian dan Non Hunian, Jasa Rekayasa Lainnya, Jasa Rekayasa Pekerjaan Teknik Sipil Sumber Daya Air, Jasa Rekayasa Pekerjaan Teknik Sipil Transportasi</t>
        </is>
      </c>
      <c r="N71" t="inlineStr">
        <is>
          <t>K</t>
        </is>
      </c>
      <c r="O71" t="inlineStr">
        <is>
          <t>20230714</t>
        </is>
      </c>
      <c r="P71" t="inlineStr">
        <is>
          <t>Aceh</t>
        </is>
      </c>
      <c r="Q71" t="inlineStr"/>
    </row>
    <row r="72">
      <c r="A72" t="inlineStr">
        <is>
          <t>DUA PUTRA</t>
        </is>
      </c>
      <c r="B72" t="inlineStr">
        <is>
          <t>Kota Balikpapan</t>
        </is>
      </c>
      <c r="C72" t="inlineStr">
        <is>
          <t>05428512763</t>
        </is>
      </c>
      <c r="D72" t="inlineStr">
        <is>
          <t>duaputra_22@yahoo.com</t>
        </is>
      </c>
      <c r="E72" t="inlineStr">
        <is>
          <t>https://lpjk.pu.go.id/search-badan-usaha-detail/bGhqOGxIU0Q3dlpjYkpQUmxhNld0QT09</t>
        </is>
      </c>
      <c r="F72" t="n">
        <v>1</v>
      </c>
      <c r="G72" t="inlineStr">
        <is>
          <t>IN011</t>
        </is>
      </c>
      <c r="H72" t="inlineStr">
        <is>
          <t>4 November 2008</t>
        </is>
      </c>
      <c r="I72" s="2" t="n">
        <v>46236</v>
      </c>
      <c r="J72" t="inlineStr">
        <is>
          <t>Pencabutan</t>
        </is>
      </c>
      <c r="K72" t="n">
        <v>60</v>
      </c>
      <c r="L72" t="inlineStr">
        <is>
          <t>2 Agustus 2026</t>
        </is>
      </c>
      <c r="M72" t="inlineStr">
        <is>
          <t>Instalasi Sinyal dan Rambu-rambu Jalan Raya</t>
        </is>
      </c>
      <c r="N72" t="inlineStr">
        <is>
          <t>Spesialis</t>
        </is>
      </c>
      <c r="O72" t="inlineStr">
        <is>
          <t>20230721</t>
        </is>
      </c>
      <c r="P72" t="inlineStr">
        <is>
          <t>Kalimantan Timur</t>
        </is>
      </c>
      <c r="Q72" t="inlineStr"/>
    </row>
    <row r="73">
      <c r="A73" t="inlineStr">
        <is>
          <t>DUTA BINANGUN</t>
        </is>
      </c>
      <c r="B73" t="inlineStr">
        <is>
          <t>Kab. Kulon Progo</t>
        </is>
      </c>
      <c r="C73" t="inlineStr">
        <is>
          <t>087839110101</t>
        </is>
      </c>
      <c r="D73" t="inlineStr">
        <is>
          <t>dutabinangun.cv@gmail.com</t>
        </is>
      </c>
      <c r="E73" t="inlineStr">
        <is>
          <t>https://lpjk.pu.go.id/search-badan-usaha-detail/LzQ2R0c0d09SeVNYT202cm5zNnBEUT09</t>
        </is>
      </c>
      <c r="F73" t="n">
        <v>1</v>
      </c>
      <c r="G73" t="inlineStr">
        <is>
          <t>BS010</t>
        </is>
      </c>
      <c r="H73" t="inlineStr">
        <is>
          <t>9 Oktober 2014</t>
        </is>
      </c>
      <c r="I73" s="2" t="n">
        <v>46236</v>
      </c>
      <c r="J73" t="inlineStr">
        <is>
          <t>Disetujui</t>
        </is>
      </c>
      <c r="K73" t="n">
        <v>60</v>
      </c>
      <c r="L73" t="inlineStr">
        <is>
          <t>2 Agustus 2026</t>
        </is>
      </c>
      <c r="M73" t="inlineStr">
        <is>
          <t>Konstruksi Bangunan Prasarana Sumber Daya Air</t>
        </is>
      </c>
      <c r="N73" t="inlineStr">
        <is>
          <t>K</t>
        </is>
      </c>
      <c r="O73" t="inlineStr">
        <is>
          <t>20230708</t>
        </is>
      </c>
      <c r="P73" t="inlineStr">
        <is>
          <t>DI Yogyakarta</t>
        </is>
      </c>
      <c r="Q73" t="inlineStr"/>
    </row>
    <row r="74">
      <c r="A74" t="inlineStr">
        <is>
          <t>EMPAT POETRA JAYA WAMENA PAPUA</t>
        </is>
      </c>
      <c r="B74" t="inlineStr">
        <is>
          <t>Kab. Jayawijaya</t>
        </is>
      </c>
      <c r="C74" t="inlineStr">
        <is>
          <t>081354061655</t>
        </is>
      </c>
      <c r="D74" t="inlineStr">
        <is>
          <t>ptempatpoetrajayawamenapapua@gmail.com</t>
        </is>
      </c>
      <c r="E74" t="inlineStr">
        <is>
          <t>https://lpjk.pu.go.id/search-badan-usaha-detail/NTlUQW9XWHd5Nk1VYWZmL1VIMnJSZz09</t>
        </is>
      </c>
      <c r="F74" t="n">
        <v>3</v>
      </c>
      <c r="G74" t="inlineStr">
        <is>
          <t>BG001, BG005, BG006</t>
        </is>
      </c>
      <c r="H74" t="inlineStr">
        <is>
          <t>15 September 2008</t>
        </is>
      </c>
      <c r="I74" s="2" t="n">
        <v>46236</v>
      </c>
      <c r="J74" t="inlineStr">
        <is>
          <t>Pencabutan</t>
        </is>
      </c>
      <c r="K74" t="n">
        <v>60</v>
      </c>
      <c r="L74" t="inlineStr">
        <is>
          <t>2 Agustus 2026</t>
        </is>
      </c>
      <c r="M74" t="inlineStr">
        <is>
          <t>Konstruksi Gedung Hunian, Konstruksi Gedung Kesehatan, Konstruksi Gedung Pendidikan</t>
        </is>
      </c>
      <c r="N74" t="inlineStr">
        <is>
          <t>K</t>
        </is>
      </c>
      <c r="O74" t="inlineStr">
        <is>
          <t>20230717</t>
        </is>
      </c>
      <c r="P74" t="inlineStr">
        <is>
          <t>Papua</t>
        </is>
      </c>
      <c r="Q74" t="inlineStr"/>
    </row>
    <row r="75">
      <c r="A75" t="inlineStr">
        <is>
          <t>ERNANDA MANDIRI WIJAYA</t>
        </is>
      </c>
      <c r="B75" t="inlineStr">
        <is>
          <t>Kab. Sintang</t>
        </is>
      </c>
      <c r="C75" t="inlineStr">
        <is>
          <t>081254555889</t>
        </is>
      </c>
      <c r="D75" t="inlineStr">
        <is>
          <t>erickyorlanda@gmail.com</t>
        </is>
      </c>
      <c r="E75" t="inlineStr">
        <is>
          <t>https://lpjk.pu.go.id/search-badan-usaha-detail/NWprYkFaQlZVSGgzMyt0MkpwMjBrZz09</t>
        </is>
      </c>
      <c r="F75" t="n">
        <v>4</v>
      </c>
      <c r="G75" t="inlineStr">
        <is>
          <t>BG006, BG009, BS001, BS004</t>
        </is>
      </c>
      <c r="H75" t="inlineStr">
        <is>
          <t>1 Agustus 2019</t>
        </is>
      </c>
      <c r="I75" s="2" t="n">
        <v>46236</v>
      </c>
      <c r="J75" t="inlineStr">
        <is>
          <t>Disetujui</t>
        </is>
      </c>
      <c r="K75" t="n">
        <v>60</v>
      </c>
      <c r="L75" t="inlineStr">
        <is>
          <t>2 Agustus 2026</t>
        </is>
      </c>
      <c r="M75" t="inlineStr">
        <is>
          <t>Konstruksi Bangunan Sipil Jalan, Konstruksi Gedung Lainnya, Konstruksi Gedung Pendidikan, Konstruksi Jaringan Irigasi dan Drainase</t>
        </is>
      </c>
      <c r="N75" t="inlineStr">
        <is>
          <t>K</t>
        </is>
      </c>
      <c r="O75" t="inlineStr">
        <is>
          <t>20230801, 20230802</t>
        </is>
      </c>
      <c r="P75" t="inlineStr">
        <is>
          <t>Kalimantan Barat</t>
        </is>
      </c>
      <c r="Q75" t="inlineStr"/>
    </row>
    <row r="76">
      <c r="A76" t="inlineStr">
        <is>
          <t>EVAN</t>
        </is>
      </c>
      <c r="B76" t="inlineStr">
        <is>
          <t>Kab. Pasaman</t>
        </is>
      </c>
      <c r="C76" t="inlineStr">
        <is>
          <t>081267812004</t>
        </is>
      </c>
      <c r="D76" t="inlineStr">
        <is>
          <t>cvevan86@yahoo.com</t>
        </is>
      </c>
      <c r="E76" t="inlineStr">
        <is>
          <t>https://lpjk.pu.go.id/search-badan-usaha-detail/anJGN2RPYkZtd3RXQkIxRmFMSUY3Zz09</t>
        </is>
      </c>
      <c r="F76" t="n">
        <v>2</v>
      </c>
      <c r="G76" t="inlineStr">
        <is>
          <t>BG002, BG009</t>
        </is>
      </c>
      <c r="H76" t="inlineStr">
        <is>
          <t>20 Februari 2009</t>
        </is>
      </c>
      <c r="I76" s="2" t="n">
        <v>46236</v>
      </c>
      <c r="J76" t="inlineStr">
        <is>
          <t>Disetujui</t>
        </is>
      </c>
      <c r="K76" t="n">
        <v>60</v>
      </c>
      <c r="L76" t="inlineStr">
        <is>
          <t>2 Agustus 2026</t>
        </is>
      </c>
      <c r="M76" t="inlineStr">
        <is>
          <t>Konstruksi Gedung Lainnya, Konstruksi Gedung Perkantoran</t>
        </is>
      </c>
      <c r="N76" t="inlineStr">
        <is>
          <t>K</t>
        </is>
      </c>
      <c r="O76" t="inlineStr">
        <is>
          <t>20230726, 20230728</t>
        </is>
      </c>
      <c r="P76" t="inlineStr">
        <is>
          <t>Sumatera Barat</t>
        </is>
      </c>
      <c r="Q76" t="inlineStr"/>
    </row>
    <row r="77">
      <c r="A77" t="inlineStr">
        <is>
          <t>FAJAR MULIA</t>
        </is>
      </c>
      <c r="B77" t="inlineStr">
        <is>
          <t>Kab. Tuban</t>
        </is>
      </c>
      <c r="C77" t="inlineStr">
        <is>
          <t>082234222576</t>
        </is>
      </c>
      <c r="D77" t="inlineStr">
        <is>
          <t>fajarmuliatbn.baru@gmail.com</t>
        </is>
      </c>
      <c r="E77" t="inlineStr">
        <is>
          <t>https://lpjk.pu.go.id/search-badan-usaha-detail/WmxMMGJ3RysrUlBkRkllUGNRUlhvZz09</t>
        </is>
      </c>
      <c r="F77" t="n">
        <v>1</v>
      </c>
      <c r="G77" t="inlineStr">
        <is>
          <t>BS001</t>
        </is>
      </c>
      <c r="H77" t="inlineStr">
        <is>
          <t>2 Februari 2012</t>
        </is>
      </c>
      <c r="I77" s="2" t="n">
        <v>46236</v>
      </c>
      <c r="J77" t="inlineStr">
        <is>
          <t>Pencabutan</t>
        </is>
      </c>
      <c r="K77" t="n">
        <v>60</v>
      </c>
      <c r="L77" t="inlineStr">
        <is>
          <t>2 Agustus 2026</t>
        </is>
      </c>
      <c r="M77" t="inlineStr">
        <is>
          <t>Konstruksi Bangunan Sipil Jalan</t>
        </is>
      </c>
      <c r="N77" t="inlineStr">
        <is>
          <t>K</t>
        </is>
      </c>
      <c r="O77" t="inlineStr">
        <is>
          <t>20230802</t>
        </is>
      </c>
      <c r="P77" t="inlineStr">
        <is>
          <t>Jawa Timur</t>
        </is>
      </c>
      <c r="Q77" t="inlineStr"/>
    </row>
    <row r="78">
      <c r="A78" t="inlineStr">
        <is>
          <t>FERDA LESTARI</t>
        </is>
      </c>
      <c r="B78" t="inlineStr">
        <is>
          <t>Kota Bandung</t>
        </is>
      </c>
      <c r="C78" t="inlineStr">
        <is>
          <t>081648731171</t>
        </is>
      </c>
      <c r="D78" t="inlineStr">
        <is>
          <t>ferdalestari42@gmail.com</t>
        </is>
      </c>
      <c r="E78" t="inlineStr">
        <is>
          <t>https://lpjk.pu.go.id/search-badan-usaha-detail/dU5Yc0pjSzlWYlpVU09GRFNOU2lndz09</t>
        </is>
      </c>
      <c r="F78" t="n">
        <v>1</v>
      </c>
      <c r="G78" t="inlineStr">
        <is>
          <t>BS004</t>
        </is>
      </c>
      <c r="H78" t="inlineStr">
        <is>
          <t>11 Juni 1984</t>
        </is>
      </c>
      <c r="I78" s="2" t="n">
        <v>46236</v>
      </c>
      <c r="J78" t="inlineStr">
        <is>
          <t>Disetujui</t>
        </is>
      </c>
      <c r="K78" t="n">
        <v>60</v>
      </c>
      <c r="L78" t="inlineStr">
        <is>
          <t>2 Agustus 2026</t>
        </is>
      </c>
      <c r="M78" t="inlineStr">
        <is>
          <t>Konstruksi Jaringan Irigasi dan Drainase</t>
        </is>
      </c>
      <c r="N78" t="inlineStr">
        <is>
          <t>K</t>
        </is>
      </c>
      <c r="O78" t="inlineStr">
        <is>
          <t>20230801</t>
        </is>
      </c>
      <c r="P78" t="inlineStr">
        <is>
          <t>Jawa Barat</t>
        </is>
      </c>
      <c r="Q78" t="inlineStr"/>
    </row>
    <row r="79">
      <c r="A79" t="inlineStr">
        <is>
          <t>GANIMAH SAKTI</t>
        </is>
      </c>
      <c r="B79" t="inlineStr">
        <is>
          <t>Kota Padang Sidempuan</t>
        </is>
      </c>
      <c r="C79" t="inlineStr">
        <is>
          <t>081377320500</t>
        </is>
      </c>
      <c r="D79" t="inlineStr">
        <is>
          <t>ganimahsakticv@ymail.com</t>
        </is>
      </c>
      <c r="E79" t="inlineStr">
        <is>
          <t>https://lpjk.pu.go.id/search-badan-usaha-detail/ZE5vS1U3TDE0eExtaGRZdTBtQjJCUT09</t>
        </is>
      </c>
      <c r="F79" t="n">
        <v>1</v>
      </c>
      <c r="G79" t="inlineStr">
        <is>
          <t>BS010</t>
        </is>
      </c>
      <c r="H79" t="inlineStr">
        <is>
          <t>15 Oktober 1994</t>
        </is>
      </c>
      <c r="I79" s="2" t="n">
        <v>46236</v>
      </c>
      <c r="J79" t="inlineStr">
        <is>
          <t>Disetujui</t>
        </is>
      </c>
      <c r="K79" t="n">
        <v>60</v>
      </c>
      <c r="L79" t="inlineStr">
        <is>
          <t>2 Agustus 2026</t>
        </is>
      </c>
      <c r="M79" t="inlineStr">
        <is>
          <t>Konstruksi Bangunan Prasarana Sumber Daya Air</t>
        </is>
      </c>
      <c r="N79" t="inlineStr">
        <is>
          <t>K</t>
        </is>
      </c>
      <c r="O79" t="inlineStr">
        <is>
          <t>20230802</t>
        </is>
      </c>
      <c r="P79" t="inlineStr">
        <is>
          <t>Sumatera Utara</t>
        </is>
      </c>
      <c r="Q79" t="inlineStr"/>
    </row>
    <row r="80">
      <c r="A80" t="inlineStr">
        <is>
          <t>GRAHA RAYA CONSULTANT</t>
        </is>
      </c>
      <c r="B80" t="inlineStr">
        <is>
          <t>Kota Gunungsitoli</t>
        </is>
      </c>
      <c r="C80" t="inlineStr">
        <is>
          <t>082168481995</t>
        </is>
      </c>
      <c r="D80" t="inlineStr">
        <is>
          <t>graharaya2023@gmail.com</t>
        </is>
      </c>
      <c r="E80" t="inlineStr">
        <is>
          <t>https://lpjk.pu.go.id/search-badan-usaha-detail/YWNSOVNOd0pERXQ2dFVjLytLVlg0QT09</t>
        </is>
      </c>
      <c r="F80" t="n">
        <v>3</v>
      </c>
      <c r="G80" t="inlineStr">
        <is>
          <t>AR001, RK001, RK003</t>
        </is>
      </c>
      <c r="H80" t="inlineStr">
        <is>
          <t>31 Maret 2023</t>
        </is>
      </c>
      <c r="I80" s="2" t="n">
        <v>46236</v>
      </c>
      <c r="J80" t="inlineStr">
        <is>
          <t>Disetujui</t>
        </is>
      </c>
      <c r="K80" t="n">
        <v>60</v>
      </c>
      <c r="L80" t="inlineStr">
        <is>
          <t>2 Agustus 2026</t>
        </is>
      </c>
      <c r="M80" t="inlineStr">
        <is>
          <t>Jasa Arsitektural Bangunan Gedung Hunian dan Non Hunian, Jasa Rekayasa Konstruksi Bangunan Gedung Hunian dan Non Hunian, Jasa Rekayasa Pekerjaan Teknik Sipil Transportasi</t>
        </is>
      </c>
      <c r="N80" t="inlineStr">
        <is>
          <t>K</t>
        </is>
      </c>
      <c r="O80" t="inlineStr">
        <is>
          <t>20230724</t>
        </is>
      </c>
      <c r="P80" t="inlineStr">
        <is>
          <t>Sumatera Utara</t>
        </is>
      </c>
      <c r="Q80" t="inlineStr"/>
    </row>
    <row r="81">
      <c r="A81" t="inlineStr">
        <is>
          <t>GRHA PUTERA KARSA</t>
        </is>
      </c>
      <c r="B81" t="inlineStr">
        <is>
          <t>Kota Bandung</t>
        </is>
      </c>
      <c r="C81" t="inlineStr">
        <is>
          <t>0895411640115</t>
        </is>
      </c>
      <c r="D81" t="inlineStr">
        <is>
          <t>grhaputerakarsa@gmail.com</t>
        </is>
      </c>
      <c r="E81" t="inlineStr">
        <is>
          <t>https://lpjk.pu.go.id/search-badan-usaha-detail/M0QwejB0WmtwQ1RaZ3J6UGIvYVI4dz09</t>
        </is>
      </c>
      <c r="F81" t="n">
        <v>1</v>
      </c>
      <c r="G81" t="inlineStr">
        <is>
          <t>BG009</t>
        </is>
      </c>
      <c r="H81" t="inlineStr">
        <is>
          <t>15 Januari 2021</t>
        </is>
      </c>
      <c r="I81" s="2" t="n">
        <v>46236</v>
      </c>
      <c r="J81" t="inlineStr">
        <is>
          <t>Disetujui</t>
        </is>
      </c>
      <c r="K81" t="n">
        <v>60</v>
      </c>
      <c r="L81" t="inlineStr">
        <is>
          <t>2 Agustus 2026</t>
        </is>
      </c>
      <c r="M81" t="inlineStr">
        <is>
          <t>Konstruksi Gedung Lainnya</t>
        </is>
      </c>
      <c r="N81" t="inlineStr">
        <is>
          <t>K</t>
        </is>
      </c>
      <c r="O81" t="inlineStr">
        <is>
          <t>20230802</t>
        </is>
      </c>
      <c r="P81" t="inlineStr">
        <is>
          <t>Jawa Barat</t>
        </is>
      </c>
      <c r="Q81" t="inlineStr"/>
    </row>
    <row r="82">
      <c r="A82" t="inlineStr">
        <is>
          <t>GUGUN PUTRA</t>
        </is>
      </c>
      <c r="B82" t="inlineStr">
        <is>
          <t>Kab. Ciamis</t>
        </is>
      </c>
      <c r="C82" t="inlineStr">
        <is>
          <t>085223735948</t>
        </is>
      </c>
      <c r="D82" t="inlineStr">
        <is>
          <t>cv.gugunputra@yahoo.co.id</t>
        </is>
      </c>
      <c r="E82" t="inlineStr">
        <is>
          <t>https://lpjk.pu.go.id/search-badan-usaha-detail/OFNQbkd5ZUJRQy9VdnUwaE41OStYdz09</t>
        </is>
      </c>
      <c r="F82" t="n">
        <v>2</v>
      </c>
      <c r="G82" t="inlineStr">
        <is>
          <t>BG006, BS005</t>
        </is>
      </c>
      <c r="H82" t="inlineStr">
        <is>
          <t>14 Maret 1984</t>
        </is>
      </c>
      <c r="I82" s="2" t="n">
        <v>46236</v>
      </c>
      <c r="J82" t="inlineStr">
        <is>
          <t>Disetujui</t>
        </is>
      </c>
      <c r="K82" t="n">
        <v>60</v>
      </c>
      <c r="L82" t="inlineStr">
        <is>
          <t>2 Agustus 2026</t>
        </is>
      </c>
      <c r="M82" t="inlineStr">
        <is>
          <t>Konstruksi Bangunan Sipil Pengolahan Air Bersih, Konstruksi Gedung Pendidikan</t>
        </is>
      </c>
      <c r="N82" t="inlineStr">
        <is>
          <t>K</t>
        </is>
      </c>
      <c r="O82" t="inlineStr">
        <is>
          <t>20230731</t>
        </is>
      </c>
      <c r="P82" t="inlineStr">
        <is>
          <t>Jawa Barat</t>
        </is>
      </c>
      <c r="Q82" t="inlineStr"/>
    </row>
    <row r="83">
      <c r="A83" t="inlineStr">
        <is>
          <t>GUNUNG BATU RAYA</t>
        </is>
      </c>
      <c r="B83" t="inlineStr">
        <is>
          <t>Kab. Sukamara</t>
        </is>
      </c>
      <c r="C83" t="inlineStr">
        <is>
          <t>081352771199</t>
        </is>
      </c>
      <c r="D83" t="inlineStr">
        <is>
          <t>cv.gunungbaturaya@gmail.com</t>
        </is>
      </c>
      <c r="E83" t="inlineStr">
        <is>
          <t>https://lpjk.pu.go.id/search-badan-usaha-detail/dWUxTDNVa1FLZHJTNlRTWlhobkFOQT09</t>
        </is>
      </c>
      <c r="F83" t="n">
        <v>1</v>
      </c>
      <c r="G83" t="inlineStr">
        <is>
          <t>BS001</t>
        </is>
      </c>
      <c r="H83" t="inlineStr">
        <is>
          <t>20 Agustus 2002</t>
        </is>
      </c>
      <c r="I83" s="2" t="n">
        <v>46236</v>
      </c>
      <c r="J83" t="inlineStr">
        <is>
          <t>Disetujui</t>
        </is>
      </c>
      <c r="K83" t="n">
        <v>60</v>
      </c>
      <c r="L83" t="inlineStr">
        <is>
          <t>2 Agustus 2026</t>
        </is>
      </c>
      <c r="M83" t="inlineStr">
        <is>
          <t>Konstruksi Bangunan Sipil Jalan</t>
        </is>
      </c>
      <c r="N83" t="inlineStr">
        <is>
          <t>K</t>
        </is>
      </c>
      <c r="O83" t="inlineStr">
        <is>
          <t>20230731</t>
        </is>
      </c>
      <c r="P83" t="inlineStr">
        <is>
          <t>Kalimantan Tengah</t>
        </is>
      </c>
      <c r="Q83" t="inlineStr"/>
    </row>
    <row r="84">
      <c r="A84" t="inlineStr">
        <is>
          <t>GUNUNG SANGKARAN</t>
        </is>
      </c>
      <c r="B84" t="inlineStr">
        <is>
          <t>Kab. Way Kanan</t>
        </is>
      </c>
      <c r="C84" t="inlineStr">
        <is>
          <t>082186172450</t>
        </is>
      </c>
      <c r="D84" t="inlineStr">
        <is>
          <t>gunungsangkarancv@gmail.com</t>
        </is>
      </c>
      <c r="E84" t="inlineStr">
        <is>
          <t>https://lpjk.pu.go.id/search-badan-usaha-detail/YU1QWmwzR0c1RHpQQnVyaW51d0hUUT09</t>
        </is>
      </c>
      <c r="F84" t="n">
        <v>2</v>
      </c>
      <c r="G84" t="inlineStr">
        <is>
          <t>BS001, BS002</t>
        </is>
      </c>
      <c r="H84" t="inlineStr">
        <is>
          <t>1 Oktober 2014</t>
        </is>
      </c>
      <c r="I84" s="2" t="n">
        <v>46236</v>
      </c>
      <c r="J84" t="inlineStr">
        <is>
          <t>Disetujui</t>
        </is>
      </c>
      <c r="K84" t="n">
        <v>60</v>
      </c>
      <c r="L84" t="inlineStr">
        <is>
          <t>2 Agustus 2026</t>
        </is>
      </c>
      <c r="M84" t="inlineStr">
        <is>
          <t>Bangunan Sipil Jembatan, Jalan Layang, Fly Over, dan Underpass, Konstruksi Bangunan Sipil Jalan</t>
        </is>
      </c>
      <c r="N84" t="inlineStr">
        <is>
          <t>K</t>
        </is>
      </c>
      <c r="O84" t="inlineStr">
        <is>
          <t>20230713</t>
        </is>
      </c>
      <c r="P84" t="inlineStr">
        <is>
          <t>Lampung</t>
        </is>
      </c>
      <c r="Q84" t="inlineStr"/>
    </row>
    <row r="85">
      <c r="A85" t="inlineStr">
        <is>
          <t>HADI KARYA NGANJUK</t>
        </is>
      </c>
      <c r="B85" t="inlineStr">
        <is>
          <t>Kab. Nganjuk</t>
        </is>
      </c>
      <c r="C85" t="inlineStr">
        <is>
          <t>082139240009</t>
        </is>
      </c>
      <c r="D85" t="inlineStr">
        <is>
          <t>pt.hadikaryanganjuk@yahoo.com</t>
        </is>
      </c>
      <c r="E85" t="inlineStr">
        <is>
          <t>https://lpjk.pu.go.id/search-badan-usaha-detail/THlJUFhrYlhEdXpyd3VNZnVZK2MwZz09</t>
        </is>
      </c>
      <c r="F85" t="n">
        <v>3</v>
      </c>
      <c r="G85" t="inlineStr">
        <is>
          <t>BG002, BG003, BG006</t>
        </is>
      </c>
      <c r="H85" t="inlineStr">
        <is>
          <t>27 November 2017</t>
        </is>
      </c>
      <c r="I85" s="2" t="n">
        <v>46236</v>
      </c>
      <c r="J85" t="inlineStr">
        <is>
          <t>Disetujui</t>
        </is>
      </c>
      <c r="K85" t="n">
        <v>60</v>
      </c>
      <c r="L85" t="inlineStr">
        <is>
          <t>2 Agustus 2026</t>
        </is>
      </c>
      <c r="M85" t="inlineStr">
        <is>
          <t>Konstruksi Gedung Industri, Konstruksi Gedung Pendidikan, Konstruksi Gedung Perkantoran</t>
        </is>
      </c>
      <c r="N85" t="inlineStr">
        <is>
          <t>K</t>
        </is>
      </c>
      <c r="O85" t="inlineStr">
        <is>
          <t>20230727, 20230728</t>
        </is>
      </c>
      <c r="P85" t="inlineStr">
        <is>
          <t>Jawa Timur</t>
        </is>
      </c>
      <c r="Q85" t="inlineStr"/>
    </row>
    <row r="86">
      <c r="A86" t="inlineStr">
        <is>
          <t>HALIM JAYA ABADI</t>
        </is>
      </c>
      <c r="B86" t="inlineStr">
        <is>
          <t>Kab. Jember</t>
        </is>
      </c>
      <c r="C86" t="inlineStr">
        <is>
          <t>085257771269</t>
        </is>
      </c>
      <c r="D86" t="inlineStr">
        <is>
          <t>halimjayaabadi@gmail.com</t>
        </is>
      </c>
      <c r="E86" t="inlineStr">
        <is>
          <t>https://lpjk.pu.go.id/search-badan-usaha-detail/Q0FSa3M5RUJEU2FUNW8zdzdyVEE2QT09</t>
        </is>
      </c>
      <c r="F86" t="n">
        <v>1</v>
      </c>
      <c r="G86" t="inlineStr">
        <is>
          <t>BS001</t>
        </is>
      </c>
      <c r="H86" t="inlineStr">
        <is>
          <t>22 Desember 2015</t>
        </is>
      </c>
      <c r="I86" s="2" t="n">
        <v>46236</v>
      </c>
      <c r="J86" t="inlineStr">
        <is>
          <t>Disetujui</t>
        </is>
      </c>
      <c r="K86" t="n">
        <v>60</v>
      </c>
      <c r="L86" t="inlineStr">
        <is>
          <t>2 Agustus 2026</t>
        </is>
      </c>
      <c r="M86" t="inlineStr">
        <is>
          <t>Konstruksi Bangunan Sipil Jalan</t>
        </is>
      </c>
      <c r="N86" t="inlineStr">
        <is>
          <t>K</t>
        </is>
      </c>
      <c r="O86" t="inlineStr">
        <is>
          <t>20230727</t>
        </is>
      </c>
      <c r="P86" t="inlineStr">
        <is>
          <t>Jawa Timur</t>
        </is>
      </c>
      <c r="Q86" t="inlineStr"/>
    </row>
    <row r="87">
      <c r="A87" t="inlineStr">
        <is>
          <t>HAN PUTRA PERKASA</t>
        </is>
      </c>
      <c r="B87" t="inlineStr">
        <is>
          <t>Kota Surabaya</t>
        </is>
      </c>
      <c r="C87" t="inlineStr">
        <is>
          <t>087852933429</t>
        </is>
      </c>
      <c r="D87" t="inlineStr">
        <is>
          <t>cv.hanputraperkasa16@gmail.com</t>
        </is>
      </c>
      <c r="E87" t="inlineStr">
        <is>
          <t>https://lpjk.pu.go.id/search-badan-usaha-detail/ZkRibERkcXU4aUxGY08vZFFXUmhwZz09</t>
        </is>
      </c>
      <c r="F87" t="n">
        <v>1</v>
      </c>
      <c r="G87" t="inlineStr">
        <is>
          <t>IN007</t>
        </is>
      </c>
      <c r="H87" t="inlineStr">
        <is>
          <t>16 Agustus 2022</t>
        </is>
      </c>
      <c r="I87" s="2" t="n">
        <v>46236</v>
      </c>
      <c r="J87" t="inlineStr">
        <is>
          <t>Pencabutan</t>
        </is>
      </c>
      <c r="K87" t="n">
        <v>60</v>
      </c>
      <c r="L87" t="inlineStr">
        <is>
          <t>2 Agustus 2026</t>
        </is>
      </c>
      <c r="M87" t="inlineStr">
        <is>
          <t>Instalasi Saluran Air (Plambing)</t>
        </is>
      </c>
      <c r="N87" t="inlineStr">
        <is>
          <t>Spesialis</t>
        </is>
      </c>
      <c r="O87" t="inlineStr">
        <is>
          <t>20230720</t>
        </is>
      </c>
      <c r="P87" t="inlineStr">
        <is>
          <t>Jawa Timur</t>
        </is>
      </c>
      <c r="Q87" t="inlineStr"/>
    </row>
    <row r="88">
      <c r="A88" t="inlineStr">
        <is>
          <t>HANIKARYA ENGINEERING</t>
        </is>
      </c>
      <c r="B88" t="inlineStr">
        <is>
          <t>Kab. Barito Kuala</t>
        </is>
      </c>
      <c r="C88" t="inlineStr">
        <is>
          <t>-</t>
        </is>
      </c>
      <c r="D88" t="inlineStr">
        <is>
          <t>hanikarya.engineering@gmail.com</t>
        </is>
      </c>
      <c r="E88" t="inlineStr">
        <is>
          <t>https://lpjk.pu.go.id/search-badan-usaha-detail/VU1vcjRZSEhJeWNSOENlVlhmcU1jQT09</t>
        </is>
      </c>
      <c r="F88" t="n">
        <v>3</v>
      </c>
      <c r="G88" t="inlineStr">
        <is>
          <t>AR002, RK001, RK003</t>
        </is>
      </c>
      <c r="H88" t="inlineStr">
        <is>
          <t>26 Juni 2023</t>
        </is>
      </c>
      <c r="I88" s="2" t="n">
        <v>46236</v>
      </c>
      <c r="J88" t="inlineStr">
        <is>
          <t>Disetujui</t>
        </is>
      </c>
      <c r="K88" t="n">
        <v>60</v>
      </c>
      <c r="L88" t="inlineStr">
        <is>
          <t>2 Agustus 2026</t>
        </is>
      </c>
      <c r="M88" t="inlineStr">
        <is>
          <t>Jasa Arsitektural Lainnya, Jasa Rekayasa Konstruksi Bangunan Gedung Hunian dan Non Hunian, Jasa Rekayasa Pekerjaan Teknik Sipil Transportasi</t>
        </is>
      </c>
      <c r="N88" t="inlineStr">
        <is>
          <t>K</t>
        </is>
      </c>
      <c r="O88" t="inlineStr">
        <is>
          <t>20230731</t>
        </is>
      </c>
      <c r="P88" t="inlineStr">
        <is>
          <t>Kalimantan Selatan</t>
        </is>
      </c>
      <c r="Q88" t="inlineStr"/>
    </row>
    <row r="89">
      <c r="A89" t="inlineStr">
        <is>
          <t>HANSARI JAYA MANDIRI</t>
        </is>
      </c>
      <c r="B89" t="inlineStr">
        <is>
          <t>Kab. Blitar</t>
        </is>
      </c>
      <c r="C89" t="inlineStr">
        <is>
          <t>085649586693</t>
        </is>
      </c>
      <c r="D89" t="inlineStr">
        <is>
          <t>kantorhansari@gmail.com</t>
        </is>
      </c>
      <c r="E89" t="inlineStr">
        <is>
          <t>https://lpjk.pu.go.id/search-badan-usaha-detail/bUdqTjVSS2Uvb1RYUVBHNVU4QnMzdz09</t>
        </is>
      </c>
      <c r="F89" t="n">
        <v>4</v>
      </c>
      <c r="G89" t="inlineStr">
        <is>
          <t>BG006, BS001, BS002, BS004</t>
        </is>
      </c>
      <c r="H89" t="inlineStr">
        <is>
          <t>6 Agustus 2022</t>
        </is>
      </c>
      <c r="I89" s="2" t="n">
        <v>46236</v>
      </c>
      <c r="J89" t="inlineStr">
        <is>
          <t>Disetujui, Pencabutan</t>
        </is>
      </c>
      <c r="K89" t="n">
        <v>60</v>
      </c>
      <c r="L89" t="inlineStr">
        <is>
          <t>2 Agustus 2026</t>
        </is>
      </c>
      <c r="M89" t="inlineStr">
        <is>
          <t>Bangunan Sipil Jembatan, Jalan Layang, Fly Over, dan Underpass, Konstruksi Bangunan Sipil Jalan, Konstruksi Gedung Pendidikan, Konstruksi Jaringan Irigasi dan Drainase</t>
        </is>
      </c>
      <c r="N89" t="inlineStr">
        <is>
          <t>K</t>
        </is>
      </c>
      <c r="O89" t="inlineStr">
        <is>
          <t>20230727</t>
        </is>
      </c>
      <c r="P89" t="inlineStr">
        <is>
          <t>Jawa Timur</t>
        </is>
      </c>
      <c r="Q89" t="inlineStr"/>
    </row>
    <row r="90">
      <c r="A90" t="inlineStr">
        <is>
          <t>HARIS TONAPA GROUP</t>
        </is>
      </c>
      <c r="B90" t="inlineStr">
        <is>
          <t>Kab. Kutai Timur</t>
        </is>
      </c>
      <c r="C90" t="inlineStr">
        <is>
          <t>082243639739</t>
        </is>
      </c>
      <c r="D90" t="inlineStr">
        <is>
          <t>cv.haristonapagroup@gmail.com</t>
        </is>
      </c>
      <c r="E90" t="inlineStr">
        <is>
          <t>https://lpjk.pu.go.id/search-badan-usaha-detail/OHpLWWtZL1dDakxHcFBUQjUrNHVuZz09</t>
        </is>
      </c>
      <c r="F90" t="n">
        <v>2</v>
      </c>
      <c r="G90" t="inlineStr">
        <is>
          <t>BG009</t>
        </is>
      </c>
      <c r="H90" t="inlineStr">
        <is>
          <t>3 Februari 2025</t>
        </is>
      </c>
      <c r="I90" s="2" t="n">
        <v>46236</v>
      </c>
      <c r="J90" t="inlineStr">
        <is>
          <t>Disetujui</t>
        </is>
      </c>
      <c r="K90" t="n">
        <v>60</v>
      </c>
      <c r="L90" t="inlineStr">
        <is>
          <t>2 Agustus 2026</t>
        </is>
      </c>
      <c r="M90" t="inlineStr">
        <is>
          <t>Konstruksi Gedung Lainnya</t>
        </is>
      </c>
      <c r="N90" t="inlineStr">
        <is>
          <t>K</t>
        </is>
      </c>
      <c r="O90" t="inlineStr">
        <is>
          <t>20230801</t>
        </is>
      </c>
      <c r="P90" t="inlineStr">
        <is>
          <t>Kalimantan Timur</t>
        </is>
      </c>
      <c r="Q90" t="inlineStr"/>
    </row>
    <row r="91">
      <c r="A91" t="inlineStr">
        <is>
          <t>HASNA CIPTA BUANA</t>
        </is>
      </c>
      <c r="B91" t="inlineStr">
        <is>
          <t>Kab. Bojonegoro</t>
        </is>
      </c>
      <c r="C91" t="inlineStr">
        <is>
          <t>082257788005</t>
        </is>
      </c>
      <c r="D91" t="inlineStr">
        <is>
          <t>hasnaciptabuana@gmail.com</t>
        </is>
      </c>
      <c r="E91" t="inlineStr">
        <is>
          <t>https://lpjk.pu.go.id/search-badan-usaha-detail/bDU5cm9vMHhHSmFEcWRxdXowc2tRUT09</t>
        </is>
      </c>
      <c r="F91" t="n">
        <v>3</v>
      </c>
      <c r="G91" t="inlineStr">
        <is>
          <t>RK001, RK002, RK003</t>
        </is>
      </c>
      <c r="H91" t="inlineStr">
        <is>
          <t>19 Agustus 2020</t>
        </is>
      </c>
      <c r="I91" s="2" t="n">
        <v>46236</v>
      </c>
      <c r="J91" t="inlineStr">
        <is>
          <t>Disetujui</t>
        </is>
      </c>
      <c r="K91" t="n">
        <v>60</v>
      </c>
      <c r="L91" t="inlineStr">
        <is>
          <t>2 Agustus 2026</t>
        </is>
      </c>
      <c r="M91" t="inlineStr">
        <is>
          <t>Jasa Rekayasa Konstruksi Bangunan Gedung Hunian dan Non Hunian, Jasa Rekayasa Pekerjaan Teknik Sipil Sumber Daya Air, Jasa Rekayasa Pekerjaan Teknik Sipil Transportasi</t>
        </is>
      </c>
      <c r="N91" t="inlineStr">
        <is>
          <t>K</t>
        </is>
      </c>
      <c r="O91" t="inlineStr">
        <is>
          <t>20230720, 20230731</t>
        </is>
      </c>
      <c r="P91" t="inlineStr">
        <is>
          <t>Jawa Timur</t>
        </is>
      </c>
      <c r="Q91" t="inlineStr"/>
    </row>
    <row r="92">
      <c r="A92" t="inlineStr">
        <is>
          <t>HASTA KARYA</t>
        </is>
      </c>
      <c r="B92" t="inlineStr">
        <is>
          <t>Kab. Jember</t>
        </is>
      </c>
      <c r="C92" t="inlineStr">
        <is>
          <t>085100841037</t>
        </is>
      </c>
      <c r="D92" t="inlineStr">
        <is>
          <t>aristiawanw@yahoo.co.id</t>
        </is>
      </c>
      <c r="E92" t="inlineStr">
        <is>
          <t>https://lpjk.pu.go.id/search-badan-usaha-detail/bkg0NGhJb0t1VHZ2N1AzNjREUFllUT09</t>
        </is>
      </c>
      <c r="F92" t="n">
        <v>1</v>
      </c>
      <c r="G92" t="inlineStr">
        <is>
          <t>BS005</t>
        </is>
      </c>
      <c r="H92" t="inlineStr">
        <is>
          <t>19 April 1974</t>
        </is>
      </c>
      <c r="I92" s="2" t="n">
        <v>46236</v>
      </c>
      <c r="J92" t="inlineStr">
        <is>
          <t>Pencabutan</t>
        </is>
      </c>
      <c r="K92" t="n">
        <v>60</v>
      </c>
      <c r="L92" t="inlineStr">
        <is>
          <t>2 Agustus 2026</t>
        </is>
      </c>
      <c r="M92" t="inlineStr">
        <is>
          <t>Konstruksi Bangunan Sipil Pengolahan Air Bersih</t>
        </is>
      </c>
      <c r="N92" t="inlineStr">
        <is>
          <t>K</t>
        </is>
      </c>
      <c r="O92" t="inlineStr">
        <is>
          <t>20230728</t>
        </is>
      </c>
      <c r="P92" t="inlineStr">
        <is>
          <t>Jawa Timur</t>
        </is>
      </c>
      <c r="Q92" t="inlineStr"/>
    </row>
    <row r="93">
      <c r="A93" t="inlineStr">
        <is>
          <t>HASTUTI</t>
        </is>
      </c>
      <c r="B93" t="inlineStr">
        <is>
          <t>Kab. Cianjur</t>
        </is>
      </c>
      <c r="C93" t="inlineStr">
        <is>
          <t>087820419109</t>
        </is>
      </c>
      <c r="D93" t="inlineStr">
        <is>
          <t>cv.hastuti@gmail.com</t>
        </is>
      </c>
      <c r="E93" t="inlineStr">
        <is>
          <t>https://lpjk.pu.go.id/search-badan-usaha-detail/eituOVBadEhrZmlkQzhLR1Rzb1RjQT09</t>
        </is>
      </c>
      <c r="F93" t="n">
        <v>1</v>
      </c>
      <c r="G93" t="inlineStr">
        <is>
          <t>BS001</t>
        </is>
      </c>
      <c r="H93" t="inlineStr">
        <is>
          <t>9 Februari 2016</t>
        </is>
      </c>
      <c r="I93" s="2" t="n">
        <v>46236</v>
      </c>
      <c r="J93" t="inlineStr">
        <is>
          <t>Disetujui</t>
        </is>
      </c>
      <c r="K93" t="n">
        <v>60</v>
      </c>
      <c r="L93" t="inlineStr">
        <is>
          <t>2 Agustus 2026</t>
        </is>
      </c>
      <c r="M93" t="inlineStr">
        <is>
          <t>Konstruksi Bangunan Sipil Jalan</t>
        </is>
      </c>
      <c r="N93" t="inlineStr">
        <is>
          <t>K</t>
        </is>
      </c>
      <c r="O93" t="inlineStr">
        <is>
          <t>20230728</t>
        </is>
      </c>
      <c r="P93" t="inlineStr">
        <is>
          <t>Jawa Barat</t>
        </is>
      </c>
      <c r="Q93" t="inlineStr"/>
    </row>
    <row r="94">
      <c r="A94" t="inlineStr">
        <is>
          <t>KARANG SUCY TEHNIK PRATAMA</t>
        </is>
      </c>
      <c r="B94" t="inlineStr">
        <is>
          <t>Kota Padang</t>
        </is>
      </c>
      <c r="C94" t="inlineStr">
        <is>
          <t>085376417074</t>
        </is>
      </c>
      <c r="D94" t="inlineStr">
        <is>
          <t>karangsucytehnikpratamapt@yahoo.com</t>
        </is>
      </c>
      <c r="E94" t="inlineStr">
        <is>
          <t>https://lpjk.pu.go.id/search-badan-usaha-detail/SHljY0RtYk1nUzg4QTVKaVFySGhnUT09</t>
        </is>
      </c>
      <c r="F94" t="n">
        <v>3</v>
      </c>
      <c r="G94" t="inlineStr">
        <is>
          <t>BG002</t>
        </is>
      </c>
      <c r="H94" t="inlineStr">
        <is>
          <t>7 Juni 2012</t>
        </is>
      </c>
      <c r="I94" s="2" t="n">
        <v>46236</v>
      </c>
      <c r="J94" t="inlineStr">
        <is>
          <t>Disetujui</t>
        </is>
      </c>
      <c r="K94" t="n">
        <v>60</v>
      </c>
      <c r="L94" t="inlineStr">
        <is>
          <t>2 Agustus 2026</t>
        </is>
      </c>
      <c r="M94" t="inlineStr">
        <is>
          <t>Konstruksi Gedung Perkantoran</t>
        </is>
      </c>
      <c r="N94" t="inlineStr">
        <is>
          <t>K</t>
        </is>
      </c>
      <c r="O94" t="inlineStr">
        <is>
          <t>20230725</t>
        </is>
      </c>
      <c r="P94" t="inlineStr">
        <is>
          <t>Sumatera Barat</t>
        </is>
      </c>
      <c r="Q94" t="inlineStr"/>
    </row>
    <row r="95">
      <c r="A95" t="inlineStr">
        <is>
          <t>KARUNIA BERKAH SUMBER SEJAHTERA</t>
        </is>
      </c>
      <c r="B95" t="inlineStr">
        <is>
          <t>Kab. Indramayu</t>
        </is>
      </c>
      <c r="C95" t="inlineStr">
        <is>
          <t>087875121298</t>
        </is>
      </c>
      <c r="D95" t="inlineStr">
        <is>
          <t>karuniaberkahsumbersejahtera@gmail.com</t>
        </is>
      </c>
      <c r="E95" t="inlineStr">
        <is>
          <t>https://lpjk.pu.go.id/search-badan-usaha-detail/bVBUaTdTZXhBcWZXemFaMmNhZTdiZz09</t>
        </is>
      </c>
      <c r="F95" t="n">
        <v>2</v>
      </c>
      <c r="G95" t="inlineStr">
        <is>
          <t>BG001, BG002</t>
        </is>
      </c>
      <c r="H95" t="inlineStr">
        <is>
          <t>28 Maret 2022</t>
        </is>
      </c>
      <c r="I95" s="2" t="n">
        <v>46236</v>
      </c>
      <c r="J95" t="inlineStr">
        <is>
          <t>Disetujui</t>
        </is>
      </c>
      <c r="K95" t="n">
        <v>60</v>
      </c>
      <c r="L95" t="inlineStr">
        <is>
          <t>2 Agustus 2026</t>
        </is>
      </c>
      <c r="M95" t="inlineStr">
        <is>
          <t>Konstruksi Gedung Hunian, Konstruksi Gedung Perkantoran</t>
        </is>
      </c>
      <c r="N95" t="inlineStr">
        <is>
          <t>K</t>
        </is>
      </c>
      <c r="O95" t="inlineStr">
        <is>
          <t>20230723</t>
        </is>
      </c>
      <c r="P95" t="inlineStr">
        <is>
          <t>Jawa Barat</t>
        </is>
      </c>
      <c r="Q95" t="inlineStr"/>
    </row>
    <row r="96">
      <c r="A96" t="inlineStr">
        <is>
          <t>KARYA MANDIRI</t>
        </is>
      </c>
      <c r="B96" t="inlineStr">
        <is>
          <t>Kab. Konawe</t>
        </is>
      </c>
      <c r="C96" t="inlineStr">
        <is>
          <t>0823 9530 0723</t>
        </is>
      </c>
      <c r="D96" t="inlineStr">
        <is>
          <t>karyamandirikonawe@gmail.com</t>
        </is>
      </c>
      <c r="E96" t="inlineStr">
        <is>
          <t>https://lpjk.pu.go.id/search-badan-usaha-detail/cERpZ3ZMOE1DWkZidFhFRE9YNlVZdz09</t>
        </is>
      </c>
      <c r="F96" t="n">
        <v>1</v>
      </c>
      <c r="G96" t="inlineStr">
        <is>
          <t>BS004</t>
        </is>
      </c>
      <c r="H96" t="inlineStr">
        <is>
          <t>1 Maret 2010</t>
        </is>
      </c>
      <c r="I96" s="2" t="n">
        <v>46236</v>
      </c>
      <c r="J96" t="inlineStr">
        <is>
          <t>Disetujui</t>
        </is>
      </c>
      <c r="K96" t="n">
        <v>60</v>
      </c>
      <c r="L96" t="inlineStr">
        <is>
          <t>2 Agustus 2026</t>
        </is>
      </c>
      <c r="M96" t="inlineStr">
        <is>
          <t>Konstruksi Jaringan Irigasi dan Drainase</t>
        </is>
      </c>
      <c r="N96" t="inlineStr">
        <is>
          <t>K</t>
        </is>
      </c>
      <c r="O96" t="inlineStr">
        <is>
          <t>20221223</t>
        </is>
      </c>
      <c r="P96" t="inlineStr">
        <is>
          <t>Sulawesi Tenggara</t>
        </is>
      </c>
      <c r="Q96" t="inlineStr"/>
    </row>
    <row r="97">
      <c r="A97" t="inlineStr">
        <is>
          <t>KARYA MANDIRI GEMILANG</t>
        </is>
      </c>
      <c r="B97" t="inlineStr">
        <is>
          <t>Kab. Sidoarjo</t>
        </is>
      </c>
      <c r="C97" t="inlineStr">
        <is>
          <t>085200441444</t>
        </is>
      </c>
      <c r="D97" t="inlineStr">
        <is>
          <t>karyamandirigemilangsda@gmail.com</t>
        </is>
      </c>
      <c r="E97" t="inlineStr">
        <is>
          <t>https://lpjk.pu.go.id/search-badan-usaha-detail/L0xRS0E3VjdmdUkzeWd6SzJ6Z2NVQT09</t>
        </is>
      </c>
      <c r="F97" t="n">
        <v>1</v>
      </c>
      <c r="G97" t="inlineStr">
        <is>
          <t>BG004</t>
        </is>
      </c>
      <c r="H97" t="inlineStr">
        <is>
          <t>14 November 2022</t>
        </is>
      </c>
      <c r="I97" s="2" t="n">
        <v>46236</v>
      </c>
      <c r="J97" t="inlineStr">
        <is>
          <t>Disetujui</t>
        </is>
      </c>
      <c r="K97" t="n">
        <v>60</v>
      </c>
      <c r="L97" t="inlineStr">
        <is>
          <t>2 Agustus 2026</t>
        </is>
      </c>
      <c r="M97" t="inlineStr">
        <is>
          <t>Konstruksi Gedung Perbelanjaan</t>
        </is>
      </c>
      <c r="N97" t="inlineStr">
        <is>
          <t>K</t>
        </is>
      </c>
      <c r="O97" t="inlineStr">
        <is>
          <t>20230612</t>
        </is>
      </c>
      <c r="P97" t="inlineStr">
        <is>
          <t>Jawa Timur</t>
        </is>
      </c>
      <c r="Q97" t="inlineStr"/>
    </row>
    <row r="98">
      <c r="A98" t="inlineStr">
        <is>
          <t>KARYA SANTOSO</t>
        </is>
      </c>
      <c r="B98" t="inlineStr">
        <is>
          <t>Kab. Kotawaringin Timur</t>
        </is>
      </c>
      <c r="C98" t="inlineStr">
        <is>
          <t>081251593291</t>
        </is>
      </c>
      <c r="D98" t="inlineStr">
        <is>
          <t>cvkaryasantoso@gmail.com</t>
        </is>
      </c>
      <c r="E98" t="inlineStr">
        <is>
          <t>https://lpjk.pu.go.id/search-badan-usaha-detail/cmlKMTBSVWE1VXVnYWFKbW10R1Q1dz09</t>
        </is>
      </c>
      <c r="F98" t="n">
        <v>1</v>
      </c>
      <c r="G98" t="inlineStr">
        <is>
          <t>BG005</t>
        </is>
      </c>
      <c r="H98" t="inlineStr">
        <is>
          <t>16 November 2015</t>
        </is>
      </c>
      <c r="I98" s="2" t="n">
        <v>46236</v>
      </c>
      <c r="J98" t="inlineStr">
        <is>
          <t>Pencabutan</t>
        </is>
      </c>
      <c r="K98" t="n">
        <v>60</v>
      </c>
      <c r="L98" t="inlineStr">
        <is>
          <t>2 Agustus 2026</t>
        </is>
      </c>
      <c r="M98" t="inlineStr">
        <is>
          <t>Konstruksi Gedung Kesehatan</t>
        </is>
      </c>
      <c r="N98" t="inlineStr">
        <is>
          <t>K</t>
        </is>
      </c>
      <c r="O98" t="inlineStr">
        <is>
          <t>20230801</t>
        </is>
      </c>
      <c r="P98" t="inlineStr">
        <is>
          <t>Kalimantan Tengah</t>
        </is>
      </c>
      <c r="Q98" t="inlineStr"/>
    </row>
    <row r="99">
      <c r="A99" t="inlineStr">
        <is>
          <t>KARYA SEJAHTERA</t>
        </is>
      </c>
      <c r="B99" t="inlineStr">
        <is>
          <t>Kab. Tuban</t>
        </is>
      </c>
      <c r="C99" t="inlineStr">
        <is>
          <t>0356812193</t>
        </is>
      </c>
      <c r="D99" t="inlineStr">
        <is>
          <t>sejahteracv68@gmail.com</t>
        </is>
      </c>
      <c r="E99" t="inlineStr">
        <is>
          <t>https://lpjk.pu.go.id/search-badan-usaha-detail/bm9GRjVKMnFaZXMreE5YL3lZUWRBUT09</t>
        </is>
      </c>
      <c r="F99" t="n">
        <v>1</v>
      </c>
      <c r="G99" t="inlineStr">
        <is>
          <t>BS001</t>
        </is>
      </c>
      <c r="H99" t="inlineStr">
        <is>
          <t>22 Januari 2003</t>
        </is>
      </c>
      <c r="I99" s="2" t="n">
        <v>46236</v>
      </c>
      <c r="J99" t="inlineStr">
        <is>
          <t>Disetujui</t>
        </is>
      </c>
      <c r="K99" t="n">
        <v>60</v>
      </c>
      <c r="L99" t="inlineStr">
        <is>
          <t>2 Agustus 2026</t>
        </is>
      </c>
      <c r="M99" t="inlineStr">
        <is>
          <t>Konstruksi Bangunan Sipil Jalan</t>
        </is>
      </c>
      <c r="N99" t="inlineStr">
        <is>
          <t>K</t>
        </is>
      </c>
      <c r="O99" t="inlineStr">
        <is>
          <t>20230728</t>
        </is>
      </c>
      <c r="P99" t="inlineStr">
        <is>
          <t>Jawa Timur</t>
        </is>
      </c>
      <c r="Q99" t="inlineStr"/>
    </row>
    <row r="100">
      <c r="A100" t="inlineStr">
        <is>
          <t>KARYA UTAMA MANDIRI</t>
        </is>
      </c>
      <c r="B100" t="inlineStr">
        <is>
          <t>Kab. Sukabumi</t>
        </is>
      </c>
      <c r="C100" t="inlineStr">
        <is>
          <t>081563393800</t>
        </is>
      </c>
      <c r="D100" t="inlineStr">
        <is>
          <t>cv.karyautamamandiri251191@yahoo.com</t>
        </is>
      </c>
      <c r="E100" t="inlineStr">
        <is>
          <t>https://lpjk.pu.go.id/search-badan-usaha-detail/ZkVCYm5zZGtlMGtVeTc4bWx1RVRjQT09</t>
        </is>
      </c>
      <c r="F100" t="n">
        <v>1</v>
      </c>
      <c r="G100" t="inlineStr">
        <is>
          <t>BG005</t>
        </is>
      </c>
      <c r="H100" t="inlineStr">
        <is>
          <t>13 Desember 2006</t>
        </is>
      </c>
      <c r="I100" s="2" t="n">
        <v>46236</v>
      </c>
      <c r="J100" t="inlineStr">
        <is>
          <t>Disetujui</t>
        </is>
      </c>
      <c r="K100" t="n">
        <v>60</v>
      </c>
      <c r="L100" t="inlineStr">
        <is>
          <t>2 Agustus 2026</t>
        </is>
      </c>
      <c r="M100" t="inlineStr">
        <is>
          <t>Konstruksi Gedung Kesehatan</t>
        </is>
      </c>
      <c r="N100" t="inlineStr">
        <is>
          <t>K</t>
        </is>
      </c>
      <c r="O100" t="inlineStr">
        <is>
          <t>20230731</t>
        </is>
      </c>
      <c r="P100" t="inlineStr">
        <is>
          <t>Jawa Barat</t>
        </is>
      </c>
      <c r="Q100" t="inlineStr"/>
    </row>
    <row r="101">
      <c r="A101" t="inlineStr">
        <is>
          <t>LARAS GENDHIS</t>
        </is>
      </c>
      <c r="B101" t="inlineStr">
        <is>
          <t>Kab. Ngawi</t>
        </is>
      </c>
      <c r="C101" t="inlineStr">
        <is>
          <t>085330599990</t>
        </is>
      </c>
      <c r="D101" t="inlineStr">
        <is>
          <t>framesections.cv@gmail.com</t>
        </is>
      </c>
      <c r="E101" t="inlineStr">
        <is>
          <t>https://lpjk.pu.go.id/search-badan-usaha-detail/UVFCcUJ5N2tocnBxeFpBVFBrYXRZQT09</t>
        </is>
      </c>
      <c r="F101" t="n">
        <v>1</v>
      </c>
      <c r="G101" t="inlineStr">
        <is>
          <t>BG006</t>
        </is>
      </c>
      <c r="H101" t="inlineStr">
        <is>
          <t>25 Februari 2023</t>
        </is>
      </c>
      <c r="I101" s="2" t="n">
        <v>46236</v>
      </c>
      <c r="J101" t="inlineStr">
        <is>
          <t>Disetujui</t>
        </is>
      </c>
      <c r="K101" t="n">
        <v>60</v>
      </c>
      <c r="L101" t="inlineStr">
        <is>
          <t>2 Agustus 2026</t>
        </is>
      </c>
      <c r="M101" t="inlineStr">
        <is>
          <t>Konstruksi Gedung Pendidikan</t>
        </is>
      </c>
      <c r="N101" t="inlineStr">
        <is>
          <t>K</t>
        </is>
      </c>
      <c r="O101" t="inlineStr">
        <is>
          <t>20230721</t>
        </is>
      </c>
      <c r="P101" t="inlineStr">
        <is>
          <t>Jawa Timur</t>
        </is>
      </c>
      <c r="Q101" t="inlineStr"/>
    </row>
    <row r="102">
      <c r="A102" t="inlineStr">
        <is>
          <t>LENTERA LESTARI</t>
        </is>
      </c>
      <c r="B102" t="inlineStr">
        <is>
          <t>Kota Tangerang</t>
        </is>
      </c>
      <c r="C102" t="inlineStr">
        <is>
          <t>02124284</t>
        </is>
      </c>
      <c r="D102" t="inlineStr">
        <is>
          <t>cv.lentera_lestari@yahoo.co.id</t>
        </is>
      </c>
      <c r="E102" t="inlineStr">
        <is>
          <t>https://lpjk.pu.go.id/search-badan-usaha-detail/dE8rYTZOektmdlhaUHJCTE9XbTlpdz09</t>
        </is>
      </c>
      <c r="F102" t="n">
        <v>4</v>
      </c>
      <c r="G102" t="inlineStr">
        <is>
          <t>BG004, BG005, BG006, BG009</t>
        </is>
      </c>
      <c r="H102" t="inlineStr">
        <is>
          <t>14 Oktober 1986</t>
        </is>
      </c>
      <c r="I102" s="2" t="n">
        <v>46236</v>
      </c>
      <c r="J102" t="inlineStr">
        <is>
          <t>Disetujui</t>
        </is>
      </c>
      <c r="K102" t="n">
        <v>60</v>
      </c>
      <c r="L102" t="inlineStr">
        <is>
          <t>2 Agustus 2026</t>
        </is>
      </c>
      <c r="M102" t="inlineStr">
        <is>
          <t>Konstruksi Gedung Kesehatan, Konstruksi Gedung Lainnya, Konstruksi Gedung Pendidikan, Konstruksi Gedung Perbelanjaan</t>
        </is>
      </c>
      <c r="N102" t="inlineStr">
        <is>
          <t>K</t>
        </is>
      </c>
      <c r="O102" t="inlineStr">
        <is>
          <t>20230621, 20230623, 20230627</t>
        </is>
      </c>
      <c r="P102" t="inlineStr">
        <is>
          <t>Banten</t>
        </is>
      </c>
      <c r="Q102" t="inlineStr"/>
    </row>
    <row r="103">
      <c r="A103" t="inlineStr">
        <is>
          <t>LINGGA</t>
        </is>
      </c>
      <c r="B103" t="inlineStr">
        <is>
          <t>Kota Palembang</t>
        </is>
      </c>
      <c r="C103" t="inlineStr">
        <is>
          <t>082371993899</t>
        </is>
      </c>
      <c r="D103" t="inlineStr">
        <is>
          <t>lingga_palembang@yahoo.com</t>
        </is>
      </c>
      <c r="E103" t="inlineStr">
        <is>
          <t>https://lpjk.pu.go.id/search-badan-usaha-detail/SGE0R01ScDl0UUxsMmxyRWFxdzhOZz09</t>
        </is>
      </c>
      <c r="F103" t="n">
        <v>5</v>
      </c>
      <c r="G103" t="inlineStr">
        <is>
          <t>BG001, BG002, BG005, BG006, BG009</t>
        </is>
      </c>
      <c r="H103" t="inlineStr">
        <is>
          <t>6 September 1985</t>
        </is>
      </c>
      <c r="I103" s="2" t="n">
        <v>46236</v>
      </c>
      <c r="J103" t="inlineStr">
        <is>
          <t>Disetujui</t>
        </is>
      </c>
      <c r="K103" t="n">
        <v>60</v>
      </c>
      <c r="L103" t="inlineStr">
        <is>
          <t>2 Agustus 2026</t>
        </is>
      </c>
      <c r="M103" t="inlineStr">
        <is>
          <t>Konstruksi Gedung Hunian, Konstruksi Gedung Kesehatan, Konstruksi Gedung Lainnya, Konstruksi Gedung Pendidikan, Konstruksi Gedung Perkantoran</t>
        </is>
      </c>
      <c r="N103" t="inlineStr">
        <is>
          <t>K</t>
        </is>
      </c>
      <c r="O103" t="inlineStr">
        <is>
          <t>20230802</t>
        </is>
      </c>
      <c r="P103" t="inlineStr">
        <is>
          <t>Sumatera Selatan</t>
        </is>
      </c>
      <c r="Q103" t="inlineStr"/>
    </row>
    <row r="104">
      <c r="A104" t="inlineStr">
        <is>
          <t>LINGGARJATI</t>
        </is>
      </c>
      <c r="B104" t="inlineStr">
        <is>
          <t>Kab. Kediri</t>
        </is>
      </c>
      <c r="C104" t="inlineStr">
        <is>
          <t>085233119878</t>
        </is>
      </c>
      <c r="D104" t="inlineStr">
        <is>
          <t>linggarjaticv@yahoo.co.id</t>
        </is>
      </c>
      <c r="E104" t="inlineStr">
        <is>
          <t>https://lpjk.pu.go.id/search-badan-usaha-detail/Z0o5MDdNWTZHRzBaL0N3ZGJGRm9tdz09</t>
        </is>
      </c>
      <c r="F104" t="n">
        <v>2</v>
      </c>
      <c r="G104" t="inlineStr">
        <is>
          <t>BS001</t>
        </is>
      </c>
      <c r="H104" t="inlineStr">
        <is>
          <t>30 Desember 1982</t>
        </is>
      </c>
      <c r="I104" s="2" t="n">
        <v>46236</v>
      </c>
      <c r="J104" t="inlineStr">
        <is>
          <t>Disetujui</t>
        </is>
      </c>
      <c r="K104" t="n">
        <v>60</v>
      </c>
      <c r="L104" t="inlineStr">
        <is>
          <t>2 Agustus 2026</t>
        </is>
      </c>
      <c r="M104" t="inlineStr">
        <is>
          <t>Konstruksi Bangunan Sipil Jalan</t>
        </is>
      </c>
      <c r="N104" t="inlineStr">
        <is>
          <t>K</t>
        </is>
      </c>
      <c r="O104" t="inlineStr">
        <is>
          <t>20230705</t>
        </is>
      </c>
      <c r="P104" t="inlineStr">
        <is>
          <t>Jawa Timur</t>
        </is>
      </c>
      <c r="Q104" t="inlineStr"/>
    </row>
    <row r="105">
      <c r="A105" t="inlineStr">
        <is>
          <t>LUTFI BANGUN PERSADA</t>
        </is>
      </c>
      <c r="B105" t="inlineStr">
        <is>
          <t>Kab. Sidoarjo</t>
        </is>
      </c>
      <c r="C105" t="inlineStr">
        <is>
          <t>082139838992</t>
        </is>
      </c>
      <c r="D105" t="inlineStr">
        <is>
          <t>lb.persada@gmail.com</t>
        </is>
      </c>
      <c r="E105" t="inlineStr">
        <is>
          <t>https://lpjk.pu.go.id/search-badan-usaha-detail/WVc2Y3VaQytOMUFMWXpxemttQzNJQT09</t>
        </is>
      </c>
      <c r="F105" t="n">
        <v>3</v>
      </c>
      <c r="G105" t="inlineStr">
        <is>
          <t>BG002, BG005, BG009</t>
        </is>
      </c>
      <c r="H105" t="inlineStr">
        <is>
          <t>2 September 2006</t>
        </is>
      </c>
      <c r="I105" s="2" t="n">
        <v>46236</v>
      </c>
      <c r="J105" t="inlineStr">
        <is>
          <t>Disetujui</t>
        </is>
      </c>
      <c r="K105" t="n">
        <v>60</v>
      </c>
      <c r="L105" t="inlineStr">
        <is>
          <t>2 Agustus 2026</t>
        </is>
      </c>
      <c r="M105" t="inlineStr">
        <is>
          <t>Konstruksi Gedung Kesehatan, Konstruksi Gedung Lainnya, Konstruksi Gedung Perkantoran</t>
        </is>
      </c>
      <c r="N105" t="inlineStr">
        <is>
          <t>K</t>
        </is>
      </c>
      <c r="O105" t="inlineStr">
        <is>
          <t>20230802</t>
        </is>
      </c>
      <c r="P105" t="inlineStr">
        <is>
          <t>Jawa Timur</t>
        </is>
      </c>
      <c r="Q105" t="inlineStr"/>
    </row>
    <row r="106">
      <c r="A106" t="inlineStr">
        <is>
          <t>MAHAKA JAYA MANDIRI</t>
        </is>
      </c>
      <c r="B106" t="inlineStr">
        <is>
          <t>Kota Surabaya</t>
        </is>
      </c>
      <c r="C106" t="inlineStr">
        <is>
          <t>082233522568</t>
        </is>
      </c>
      <c r="D106" t="inlineStr">
        <is>
          <t>mjm.snk@gmail.com</t>
        </is>
      </c>
      <c r="E106" t="inlineStr">
        <is>
          <t>https://lpjk.pu.go.id/search-badan-usaha-detail/bEpLaUM0NkhmVStkWUlITmxpZDBNdz09</t>
        </is>
      </c>
      <c r="F106" t="n">
        <v>2</v>
      </c>
      <c r="G106" t="inlineStr">
        <is>
          <t>BG009</t>
        </is>
      </c>
      <c r="H106" t="inlineStr">
        <is>
          <t>15 Januari 2020</t>
        </is>
      </c>
      <c r="I106" s="2" t="n">
        <v>46236</v>
      </c>
      <c r="J106" t="inlineStr">
        <is>
          <t>Disetujui</t>
        </is>
      </c>
      <c r="K106" t="n">
        <v>60</v>
      </c>
      <c r="L106" t="inlineStr">
        <is>
          <t>2 Agustus 2026</t>
        </is>
      </c>
      <c r="M106" t="inlineStr">
        <is>
          <t>Konstruksi Gedung Lainnya</t>
        </is>
      </c>
      <c r="N106" t="inlineStr">
        <is>
          <t>K</t>
        </is>
      </c>
      <c r="O106" t="inlineStr">
        <is>
          <t>20230721</t>
        </is>
      </c>
      <c r="P106" t="inlineStr">
        <is>
          <t>Jawa Timur</t>
        </is>
      </c>
      <c r="Q106" t="inlineStr"/>
    </row>
    <row r="107">
      <c r="A107" t="inlineStr">
        <is>
          <t>MAHAKARYA</t>
        </is>
      </c>
      <c r="B107" t="inlineStr">
        <is>
          <t>Kab. Blitar</t>
        </is>
      </c>
      <c r="C107" t="inlineStr">
        <is>
          <t>08123359554</t>
        </is>
      </c>
      <c r="D107" t="inlineStr">
        <is>
          <t>didikbudifariadi@yahoo.co.id</t>
        </is>
      </c>
      <c r="E107" t="inlineStr">
        <is>
          <t>https://lpjk.pu.go.id/search-badan-usaha-detail/M3lTZlVPem5wci9uWWU1bUhLVFJIdz09</t>
        </is>
      </c>
      <c r="F107" t="n">
        <v>3</v>
      </c>
      <c r="G107" t="inlineStr">
        <is>
          <t>BG007</t>
        </is>
      </c>
      <c r="H107" t="inlineStr">
        <is>
          <t>9 September 1999</t>
        </is>
      </c>
      <c r="I107" s="2" t="n">
        <v>46236</v>
      </c>
      <c r="J107" t="inlineStr">
        <is>
          <t>Disetujui</t>
        </is>
      </c>
      <c r="K107" t="n">
        <v>60</v>
      </c>
      <c r="L107" t="inlineStr">
        <is>
          <t>2 Agustus 2026</t>
        </is>
      </c>
      <c r="M107" t="inlineStr">
        <is>
          <t>Konstruksi Gedung Penginapan</t>
        </is>
      </c>
      <c r="N107" t="inlineStr">
        <is>
          <t>K</t>
        </is>
      </c>
      <c r="O107" t="inlineStr">
        <is>
          <t>20230727</t>
        </is>
      </c>
      <c r="P107" t="inlineStr">
        <is>
          <t>Jawa Timur</t>
        </is>
      </c>
      <c r="Q107" t="inlineStr"/>
    </row>
    <row r="108">
      <c r="A108" t="inlineStr">
        <is>
          <t>MALAYA CIPTA NUSA</t>
        </is>
      </c>
      <c r="B108" t="inlineStr">
        <is>
          <t>Kab. Batanghari</t>
        </is>
      </c>
      <c r="C108" t="inlineStr">
        <is>
          <t>085266238993</t>
        </is>
      </c>
      <c r="D108" t="inlineStr">
        <is>
          <t>septa.tvrijambi@gmail.com</t>
        </is>
      </c>
      <c r="E108" t="inlineStr">
        <is>
          <t>https://lpjk.pu.go.id/search-badan-usaha-detail/SHVlZUpVNldMcE9aVEl2Wk4yaWpKUT09</t>
        </is>
      </c>
      <c r="F108" t="n">
        <v>4</v>
      </c>
      <c r="G108" t="inlineStr">
        <is>
          <t>BG002, BG005, BG006, BG009</t>
        </is>
      </c>
      <c r="H108" t="inlineStr">
        <is>
          <t>4 Juni 2020</t>
        </is>
      </c>
      <c r="I108" s="2" t="n">
        <v>46236</v>
      </c>
      <c r="J108" t="inlineStr">
        <is>
          <t>Disetujui</t>
        </is>
      </c>
      <c r="K108" t="n">
        <v>60</v>
      </c>
      <c r="L108" t="inlineStr">
        <is>
          <t>2 Agustus 2026</t>
        </is>
      </c>
      <c r="M108" t="inlineStr">
        <is>
          <t>Konstruksi Gedung Kesehatan, Konstruksi Gedung Lainnya, Konstruksi Gedung Pendidikan, Konstruksi Gedung Perkantoran</t>
        </is>
      </c>
      <c r="N108" t="inlineStr">
        <is>
          <t>K</t>
        </is>
      </c>
      <c r="O108" t="inlineStr">
        <is>
          <t>20230729, 20230801</t>
        </is>
      </c>
      <c r="P108" t="inlineStr">
        <is>
          <t>Jambi</t>
        </is>
      </c>
      <c r="Q108" t="inlineStr"/>
    </row>
    <row r="109">
      <c r="A109" t="inlineStr">
        <is>
          <t>MALEO GALERI UTAMA</t>
        </is>
      </c>
      <c r="B109" t="inlineStr">
        <is>
          <t>Kota Palu</t>
        </is>
      </c>
      <c r="C109" t="inlineStr">
        <is>
          <t>08114530918</t>
        </is>
      </c>
      <c r="D109" t="inlineStr">
        <is>
          <t>maleogaleriutama@gmail.com</t>
        </is>
      </c>
      <c r="E109" t="inlineStr">
        <is>
          <t>https://lpjk.pu.go.id/search-badan-usaha-detail/YWJOVnB0VGtzeHUwTW5UU1BReG82UT09</t>
        </is>
      </c>
      <c r="F109" t="n">
        <v>6</v>
      </c>
      <c r="G109" t="inlineStr">
        <is>
          <t>BG001, BG002, BG005</t>
        </is>
      </c>
      <c r="H109" t="inlineStr">
        <is>
          <t>14 Maret 2012</t>
        </is>
      </c>
      <c r="I109" s="2" t="n">
        <v>46236</v>
      </c>
      <c r="J109" t="inlineStr">
        <is>
          <t>Disetujui</t>
        </is>
      </c>
      <c r="K109" t="n">
        <v>60</v>
      </c>
      <c r="L109" t="inlineStr">
        <is>
          <t>2 Agustus 2026</t>
        </is>
      </c>
      <c r="M109" t="inlineStr">
        <is>
          <t>Konstruksi Gedung Hunian, Konstruksi Gedung Kesehatan, Konstruksi Gedung Perkantoran</t>
        </is>
      </c>
      <c r="N109" t="inlineStr">
        <is>
          <t>K, M</t>
        </is>
      </c>
      <c r="O109" t="inlineStr">
        <is>
          <t>20230718, 20230719</t>
        </is>
      </c>
      <c r="P109" t="inlineStr">
        <is>
          <t>Sulawesi Tengah</t>
        </is>
      </c>
      <c r="Q109" t="inlineStr"/>
    </row>
    <row r="110">
      <c r="A110" t="inlineStr">
        <is>
          <t>MALINDO</t>
        </is>
      </c>
      <c r="B110" t="inlineStr">
        <is>
          <t>Kab. Bondowoso</t>
        </is>
      </c>
      <c r="C110" t="inlineStr">
        <is>
          <t>085253871456</t>
        </is>
      </c>
      <c r="D110" t="inlineStr">
        <is>
          <t>cheve_malindo@yahoo.com</t>
        </is>
      </c>
      <c r="E110" t="inlineStr">
        <is>
          <t>https://lpjk.pu.go.id/search-badan-usaha-detail/cTJpQ0NYWDEydUkwTHJuVHlGYlovQT09</t>
        </is>
      </c>
      <c r="F110" t="n">
        <v>1</v>
      </c>
      <c r="G110" t="inlineStr">
        <is>
          <t>BS004</t>
        </is>
      </c>
      <c r="H110" t="inlineStr">
        <is>
          <t>5 Januari 2009</t>
        </is>
      </c>
      <c r="I110" s="2" t="n">
        <v>46236</v>
      </c>
      <c r="J110" t="inlineStr">
        <is>
          <t>Disetujui</t>
        </is>
      </c>
      <c r="K110" t="n">
        <v>60</v>
      </c>
      <c r="L110" t="inlineStr">
        <is>
          <t>2 Agustus 2026</t>
        </is>
      </c>
      <c r="M110" t="inlineStr">
        <is>
          <t>Konstruksi Jaringan Irigasi dan Drainase</t>
        </is>
      </c>
      <c r="N110" t="inlineStr">
        <is>
          <t>K</t>
        </is>
      </c>
      <c r="O110" t="inlineStr">
        <is>
          <t>20230731</t>
        </is>
      </c>
      <c r="P110" t="inlineStr">
        <is>
          <t>Jawa Timur</t>
        </is>
      </c>
      <c r="Q110" t="inlineStr"/>
    </row>
    <row r="111">
      <c r="A111" t="inlineStr">
        <is>
          <t>MANDIRI JAYA</t>
        </is>
      </c>
      <c r="B111" t="inlineStr">
        <is>
          <t>Kab. Kulon Progo</t>
        </is>
      </c>
      <c r="C111" t="inlineStr">
        <is>
          <t>0274 - 775221</t>
        </is>
      </c>
      <c r="D111" t="inlineStr">
        <is>
          <t>cvmandirijayakp@gmail.com</t>
        </is>
      </c>
      <c r="E111" t="inlineStr">
        <is>
          <t>https://lpjk.pu.go.id/search-badan-usaha-detail/UDgxejd1T3RlTHJoMVA4MUFLbjkxZz09</t>
        </is>
      </c>
      <c r="F111" t="n">
        <v>2</v>
      </c>
      <c r="G111" t="inlineStr">
        <is>
          <t>BG005, BG006</t>
        </is>
      </c>
      <c r="H111" t="inlineStr">
        <is>
          <t>7 April 2004</t>
        </is>
      </c>
      <c r="I111" s="2" t="n">
        <v>46236</v>
      </c>
      <c r="J111" t="inlineStr">
        <is>
          <t>Disetujui</t>
        </is>
      </c>
      <c r="K111" t="n">
        <v>60</v>
      </c>
      <c r="L111" t="inlineStr">
        <is>
          <t>2 Agustus 2026</t>
        </is>
      </c>
      <c r="M111" t="inlineStr">
        <is>
          <t>Konstruksi Gedung Kesehatan, Konstruksi Gedung Pendidikan</t>
        </is>
      </c>
      <c r="N111" t="inlineStr">
        <is>
          <t>K</t>
        </is>
      </c>
      <c r="O111" t="inlineStr">
        <is>
          <t>20230727</t>
        </is>
      </c>
      <c r="P111" t="inlineStr">
        <is>
          <t>DI Yogyakarta</t>
        </is>
      </c>
      <c r="Q111" t="inlineStr"/>
    </row>
    <row r="112">
      <c r="A112" t="inlineStr">
        <is>
          <t>MANDIRI JAYA</t>
        </is>
      </c>
      <c r="B112" t="inlineStr">
        <is>
          <t>Kab. Bondowoso</t>
        </is>
      </c>
      <c r="C112" t="inlineStr">
        <is>
          <t>081336158253</t>
        </is>
      </c>
      <c r="D112" t="inlineStr">
        <is>
          <t>jmandiri998@gmail.com</t>
        </is>
      </c>
      <c r="E112" t="inlineStr">
        <is>
          <t>https://lpjk.pu.go.id/search-badan-usaha-detail/WmNzZWNiYnI3UlNyY3B1c2pGeDNaZz09</t>
        </is>
      </c>
      <c r="F112" t="n">
        <v>1</v>
      </c>
      <c r="G112" t="inlineStr">
        <is>
          <t>BG006</t>
        </is>
      </c>
      <c r="H112" t="inlineStr">
        <is>
          <t>17 Januari 2009</t>
        </is>
      </c>
      <c r="I112" s="2" t="n">
        <v>46236</v>
      </c>
      <c r="J112" t="inlineStr">
        <is>
          <t>Disetujui</t>
        </is>
      </c>
      <c r="K112" t="n">
        <v>60</v>
      </c>
      <c r="L112" t="inlineStr">
        <is>
          <t>2 Agustus 2026</t>
        </is>
      </c>
      <c r="M112" t="inlineStr">
        <is>
          <t>Konstruksi Gedung Pendidikan</t>
        </is>
      </c>
      <c r="N112" t="inlineStr">
        <is>
          <t>K</t>
        </is>
      </c>
      <c r="O112" t="inlineStr">
        <is>
          <t>20230728</t>
        </is>
      </c>
      <c r="P112" t="inlineStr">
        <is>
          <t>Jawa Timur</t>
        </is>
      </c>
      <c r="Q112" t="inlineStr"/>
    </row>
    <row r="113">
      <c r="A113" t="inlineStr">
        <is>
          <t>MANGGALA MAHA KARYA</t>
        </is>
      </c>
      <c r="B113" t="inlineStr">
        <is>
          <t>Kota Surabaya</t>
        </is>
      </c>
      <c r="C113" t="inlineStr">
        <is>
          <t>08123511992</t>
        </is>
      </c>
      <c r="D113" t="inlineStr">
        <is>
          <t>manggala.maha.karyaoss@torwebmail.com</t>
        </is>
      </c>
      <c r="E113" t="inlineStr">
        <is>
          <t>https://lpjk.pu.go.id/search-badan-usaha-detail/dW5UaHpkMTF5aFBZOHI4bk00VWk0UT09</t>
        </is>
      </c>
      <c r="F113" t="n">
        <v>3</v>
      </c>
      <c r="G113" t="inlineStr">
        <is>
          <t>BG003, BG004, BG009</t>
        </is>
      </c>
      <c r="H113" t="inlineStr">
        <is>
          <t>30 Maret 2023</t>
        </is>
      </c>
      <c r="I113" s="2" t="n">
        <v>46236</v>
      </c>
      <c r="J113" t="inlineStr">
        <is>
          <t>Disetujui</t>
        </is>
      </c>
      <c r="K113" t="n">
        <v>60</v>
      </c>
      <c r="L113" t="inlineStr">
        <is>
          <t>2 Agustus 2026</t>
        </is>
      </c>
      <c r="M113" t="inlineStr">
        <is>
          <t>Konstruksi Gedung Industri, Konstruksi Gedung Lainnya, Konstruksi Gedung Perbelanjaan</t>
        </is>
      </c>
      <c r="N113" t="inlineStr">
        <is>
          <t>K</t>
        </is>
      </c>
      <c r="O113" t="inlineStr">
        <is>
          <t>20230801</t>
        </is>
      </c>
      <c r="P113" t="inlineStr">
        <is>
          <t>Jawa Timur</t>
        </is>
      </c>
      <c r="Q113" t="inlineStr"/>
    </row>
    <row r="114">
      <c r="A114" t="inlineStr">
        <is>
          <t>MARADDA SEJAHTERA</t>
        </is>
      </c>
      <c r="B114" t="inlineStr">
        <is>
          <t>Kota Makassar</t>
        </is>
      </c>
      <c r="C114" t="inlineStr">
        <is>
          <t>082191192440</t>
        </is>
      </c>
      <c r="D114" t="inlineStr">
        <is>
          <t>maraddasejahtera@gmail.com</t>
        </is>
      </c>
      <c r="E114" t="inlineStr">
        <is>
          <t>https://lpjk.pu.go.id/search-badan-usaha-detail/SjdoTldCRCswaW54OFhxQkhNQ0tPUT09</t>
        </is>
      </c>
      <c r="F114" t="n">
        <v>2</v>
      </c>
      <c r="G114" t="inlineStr">
        <is>
          <t>BS001, BS004</t>
        </is>
      </c>
      <c r="H114" t="inlineStr">
        <is>
          <t>4 November 2011</t>
        </is>
      </c>
      <c r="I114" s="2" t="n">
        <v>46236</v>
      </c>
      <c r="J114" t="inlineStr">
        <is>
          <t>Pencabutan</t>
        </is>
      </c>
      <c r="K114" t="n">
        <v>60</v>
      </c>
      <c r="L114" t="inlineStr">
        <is>
          <t>2 Agustus 2026</t>
        </is>
      </c>
      <c r="M114" t="inlineStr">
        <is>
          <t>Konstruksi Bangunan Sipil Jalan, Konstruksi Jaringan Irigasi dan Drainase</t>
        </is>
      </c>
      <c r="N114" t="inlineStr">
        <is>
          <t>K</t>
        </is>
      </c>
      <c r="O114" t="inlineStr">
        <is>
          <t>20230727</t>
        </is>
      </c>
      <c r="P114" t="inlineStr">
        <is>
          <t>Sulawesi Selatan</t>
        </is>
      </c>
      <c r="Q114" t="inlineStr"/>
    </row>
    <row r="115">
      <c r="A115" t="inlineStr">
        <is>
          <t>MARINA PURNA KARYA</t>
        </is>
      </c>
      <c r="B115" t="inlineStr">
        <is>
          <t>Kota Cilegon</t>
        </is>
      </c>
      <c r="C115" t="inlineStr">
        <is>
          <t>082111363030</t>
        </is>
      </c>
      <c r="D115" t="inlineStr">
        <is>
          <t>cv.marinapurnakarya@gmail.com</t>
        </is>
      </c>
      <c r="E115" t="inlineStr">
        <is>
          <t>https://lpjk.pu.go.id/search-badan-usaha-detail/eWRCdnBQellLZU10OUVYYWRFeVk0UT09</t>
        </is>
      </c>
      <c r="F115" t="n">
        <v>1</v>
      </c>
      <c r="G115" t="inlineStr">
        <is>
          <t>BS001</t>
        </is>
      </c>
      <c r="H115" t="inlineStr">
        <is>
          <t>2 Februari 2022</t>
        </is>
      </c>
      <c r="I115" s="2" t="n">
        <v>46236</v>
      </c>
      <c r="J115" t="inlineStr">
        <is>
          <t>Pencabutan</t>
        </is>
      </c>
      <c r="K115" t="n">
        <v>60</v>
      </c>
      <c r="L115" t="inlineStr">
        <is>
          <t>2 Agustus 2026</t>
        </is>
      </c>
      <c r="M115" t="inlineStr">
        <is>
          <t>Konstruksi Bangunan Sipil Jalan</t>
        </is>
      </c>
      <c r="N115" t="inlineStr">
        <is>
          <t>K</t>
        </is>
      </c>
      <c r="O115" t="inlineStr">
        <is>
          <t>20230303</t>
        </is>
      </c>
      <c r="P115" t="inlineStr">
        <is>
          <t>Banten</t>
        </is>
      </c>
      <c r="Q115" t="inlineStr"/>
    </row>
    <row r="116">
      <c r="A116" t="inlineStr">
        <is>
          <t>MATAHARI BAKTI</t>
        </is>
      </c>
      <c r="B116" t="inlineStr">
        <is>
          <t>Kab. Banyuasin</t>
        </is>
      </c>
      <c r="C116" t="inlineStr">
        <is>
          <t>081367538718</t>
        </is>
      </c>
      <c r="D116" t="inlineStr">
        <is>
          <t>mataharibakti@gmail.com</t>
        </is>
      </c>
      <c r="E116" t="inlineStr">
        <is>
          <t>https://lpjk.pu.go.id/search-badan-usaha-detail/M2JNMVlsSWl4R21qdCs5SEg0TGN2dz09</t>
        </is>
      </c>
      <c r="F116" t="n">
        <v>2</v>
      </c>
      <c r="G116" t="inlineStr">
        <is>
          <t>BS004</t>
        </is>
      </c>
      <c r="H116" t="inlineStr">
        <is>
          <t>9 Februari 2015</t>
        </is>
      </c>
      <c r="I116" s="2" t="n">
        <v>46236</v>
      </c>
      <c r="J116" t="inlineStr">
        <is>
          <t>Disetujui</t>
        </is>
      </c>
      <c r="K116" t="n">
        <v>60</v>
      </c>
      <c r="L116" t="inlineStr">
        <is>
          <t>2 Agustus 2026</t>
        </is>
      </c>
      <c r="M116" t="inlineStr">
        <is>
          <t>Konstruksi Jaringan Irigasi dan Drainase</t>
        </is>
      </c>
      <c r="N116" t="inlineStr">
        <is>
          <t>K</t>
        </is>
      </c>
      <c r="O116" t="inlineStr">
        <is>
          <t>20230802</t>
        </is>
      </c>
      <c r="P116" t="inlineStr">
        <is>
          <t>Sumatera Selatan</t>
        </is>
      </c>
      <c r="Q116" t="inlineStr"/>
    </row>
    <row r="117">
      <c r="A117" t="inlineStr">
        <is>
          <t>MEGA BERKAH UTAMA</t>
        </is>
      </c>
      <c r="B117" t="inlineStr">
        <is>
          <t>Kab. Paser</t>
        </is>
      </c>
      <c r="C117" t="inlineStr">
        <is>
          <t>0812248988880</t>
        </is>
      </c>
      <c r="D117" t="inlineStr">
        <is>
          <t>megaberkahutama@gmail.com</t>
        </is>
      </c>
      <c r="E117" t="inlineStr">
        <is>
          <t>https://lpjk.pu.go.id/search-badan-usaha-detail/ZGs3aFhmUWxtOWFvcnNKK3orLzZLZz09</t>
        </is>
      </c>
      <c r="F117" t="n">
        <v>1</v>
      </c>
      <c r="G117" t="inlineStr">
        <is>
          <t>BS001</t>
        </is>
      </c>
      <c r="H117" t="inlineStr">
        <is>
          <t>16 September 2022</t>
        </is>
      </c>
      <c r="I117" s="2" t="n">
        <v>46236</v>
      </c>
      <c r="J117" t="inlineStr">
        <is>
          <t>Disetujui</t>
        </is>
      </c>
      <c r="K117" t="n">
        <v>60</v>
      </c>
      <c r="L117" t="inlineStr">
        <is>
          <t>2 Agustus 2026</t>
        </is>
      </c>
      <c r="M117" t="inlineStr">
        <is>
          <t>Konstruksi Bangunan Sipil Jalan</t>
        </is>
      </c>
      <c r="N117" t="inlineStr">
        <is>
          <t>K</t>
        </is>
      </c>
      <c r="O117" t="inlineStr">
        <is>
          <t>20230728</t>
        </is>
      </c>
      <c r="P117" t="inlineStr">
        <is>
          <t>Kalimantan Timur</t>
        </is>
      </c>
      <c r="Q117" t="inlineStr"/>
    </row>
    <row r="118">
      <c r="A118" t="inlineStr">
        <is>
          <t>MEGA CITRA MEDIA</t>
        </is>
      </c>
      <c r="B118" t="inlineStr">
        <is>
          <t>Kota Bandung</t>
        </is>
      </c>
      <c r="C118" t="inlineStr">
        <is>
          <t>08122397503</t>
        </is>
      </c>
      <c r="D118" t="inlineStr">
        <is>
          <t>megacitra2018@gmail.com</t>
        </is>
      </c>
      <c r="E118" t="inlineStr">
        <is>
          <t>https://lpjk.pu.go.id/search-badan-usaha-detail/YU5HM2V3aTFBVVRUZENISk5EOEpnUT09</t>
        </is>
      </c>
      <c r="F118" t="n">
        <v>10</v>
      </c>
      <c r="G118" t="inlineStr">
        <is>
          <t>BG001, BG002, BG005, BG006, BG009</t>
        </is>
      </c>
      <c r="H118" t="inlineStr">
        <is>
          <t>27 April 1998</t>
        </is>
      </c>
      <c r="I118" s="2" t="n">
        <v>46236</v>
      </c>
      <c r="J118" t="inlineStr">
        <is>
          <t>Disetujui</t>
        </is>
      </c>
      <c r="K118" t="n">
        <v>60</v>
      </c>
      <c r="L118" t="inlineStr">
        <is>
          <t>2 Agustus 2026</t>
        </is>
      </c>
      <c r="M118" t="inlineStr">
        <is>
          <t>Konstruksi Gedung Hunian, Konstruksi Gedung Kesehatan, Konstruksi Gedung Lainnya, Konstruksi Gedung Pendidikan, Konstruksi Gedung Perkantoran</t>
        </is>
      </c>
      <c r="N118" t="inlineStr">
        <is>
          <t>K</t>
        </is>
      </c>
      <c r="O118" t="inlineStr">
        <is>
          <t>20230728, 20230731</t>
        </is>
      </c>
      <c r="P118" t="inlineStr">
        <is>
          <t>Jawa Barat</t>
        </is>
      </c>
      <c r="Q118" t="inlineStr"/>
    </row>
    <row r="119">
      <c r="A119" t="inlineStr">
        <is>
          <t>MEGA KREASI CAKRAWALA</t>
        </is>
      </c>
      <c r="B119" t="inlineStr">
        <is>
          <t>Kab. Garut</t>
        </is>
      </c>
      <c r="C119" t="inlineStr">
        <is>
          <t>081320658670</t>
        </is>
      </c>
      <c r="D119" t="inlineStr">
        <is>
          <t>megakreasickr@gmail.com</t>
        </is>
      </c>
      <c r="E119" t="inlineStr">
        <is>
          <t>https://lpjk.pu.go.id/search-badan-usaha-detail/cVQ0eENWbldpTHp0cW1wYi95SVNxUT09</t>
        </is>
      </c>
      <c r="F119" t="n">
        <v>3</v>
      </c>
      <c r="G119" t="inlineStr">
        <is>
          <t>BG007, BG008, BG009</t>
        </is>
      </c>
      <c r="H119" t="inlineStr">
        <is>
          <t>30 September 2020</t>
        </is>
      </c>
      <c r="I119" s="2" t="n">
        <v>46236</v>
      </c>
      <c r="J119" t="inlineStr">
        <is>
          <t>Disetujui</t>
        </is>
      </c>
      <c r="K119" t="n">
        <v>60</v>
      </c>
      <c r="L119" t="inlineStr">
        <is>
          <t>2 Agustus 2026</t>
        </is>
      </c>
      <c r="M119" t="inlineStr">
        <is>
          <t>Konstruksi Gedung Lainnya, Konstruksi Gedung Penginapan, Konstruksi Gedung Tempat Hiburan dan Olahraga</t>
        </is>
      </c>
      <c r="N119" t="inlineStr">
        <is>
          <t>K</t>
        </is>
      </c>
      <c r="O119" t="inlineStr">
        <is>
          <t>20230801</t>
        </is>
      </c>
      <c r="P119" t="inlineStr">
        <is>
          <t>Jawa Barat</t>
        </is>
      </c>
      <c r="Q119" t="inlineStr"/>
    </row>
    <row r="120">
      <c r="A120" t="inlineStr">
        <is>
          <t>MENTARI PAGI SEMESTA</t>
        </is>
      </c>
      <c r="B120" t="inlineStr">
        <is>
          <t>Kab. Jember</t>
        </is>
      </c>
      <c r="C120" t="inlineStr">
        <is>
          <t>081217254468</t>
        </is>
      </c>
      <c r="D120" t="inlineStr">
        <is>
          <t>mentaripagisemestacv@gmail.com</t>
        </is>
      </c>
      <c r="E120" t="inlineStr">
        <is>
          <t>https://lpjk.pu.go.id/search-badan-usaha-detail/ZGp0aElVUGpsU1ppNHVad013MHYydz09</t>
        </is>
      </c>
      <c r="F120" t="n">
        <v>1</v>
      </c>
      <c r="G120" t="inlineStr">
        <is>
          <t>BG005</t>
        </is>
      </c>
      <c r="H120" t="inlineStr">
        <is>
          <t>11 Februari 2022</t>
        </is>
      </c>
      <c r="I120" s="2" t="n">
        <v>46236</v>
      </c>
      <c r="J120" t="inlineStr">
        <is>
          <t>Disetujui</t>
        </is>
      </c>
      <c r="K120" t="n">
        <v>60</v>
      </c>
      <c r="L120" t="inlineStr">
        <is>
          <t>2 Agustus 2026</t>
        </is>
      </c>
      <c r="M120" t="inlineStr">
        <is>
          <t>Konstruksi Gedung Kesehatan</t>
        </is>
      </c>
      <c r="N120" t="inlineStr">
        <is>
          <t>K</t>
        </is>
      </c>
      <c r="O120" t="inlineStr">
        <is>
          <t>20230725</t>
        </is>
      </c>
      <c r="P120" t="inlineStr">
        <is>
          <t>Jawa Timur</t>
        </is>
      </c>
      <c r="Q120" t="inlineStr"/>
    </row>
    <row r="121">
      <c r="A121" t="inlineStr">
        <is>
          <t>MITRA MANDIRI</t>
        </is>
      </c>
      <c r="B121" t="inlineStr">
        <is>
          <t>Kab. Deli Serdang</t>
        </is>
      </c>
      <c r="C121" t="inlineStr">
        <is>
          <t>0811634087</t>
        </is>
      </c>
      <c r="D121" t="inlineStr">
        <is>
          <t>mandiri.edylie@gmail.com</t>
        </is>
      </c>
      <c r="E121" t="inlineStr">
        <is>
          <t>https://lpjk.pu.go.id/search-badan-usaha-detail/Z1NvT284NHI2S0diWHhjV0l6Zm05UT09</t>
        </is>
      </c>
      <c r="F121" t="n">
        <v>1</v>
      </c>
      <c r="G121" t="inlineStr">
        <is>
          <t>BG003</t>
        </is>
      </c>
      <c r="H121" t="inlineStr">
        <is>
          <t>24 Agustus 2011</t>
        </is>
      </c>
      <c r="I121" s="2" t="n">
        <v>46236</v>
      </c>
      <c r="J121" t="inlineStr">
        <is>
          <t>Disetujui</t>
        </is>
      </c>
      <c r="K121" t="n">
        <v>60</v>
      </c>
      <c r="L121" t="inlineStr">
        <is>
          <t>2 Agustus 2026</t>
        </is>
      </c>
      <c r="M121" t="inlineStr">
        <is>
          <t>Konstruksi Gedung Industri</t>
        </is>
      </c>
      <c r="N121" t="inlineStr">
        <is>
          <t>K</t>
        </is>
      </c>
      <c r="O121" t="inlineStr">
        <is>
          <t>20230714</t>
        </is>
      </c>
      <c r="P121" t="inlineStr">
        <is>
          <t>Sumatera Utara</t>
        </is>
      </c>
      <c r="Q121" t="inlineStr"/>
    </row>
    <row r="122">
      <c r="A122" t="inlineStr">
        <is>
          <t>MITRA MULIA ANALITIKA</t>
        </is>
      </c>
      <c r="B122" t="inlineStr">
        <is>
          <t>Kab. Aceh Besar</t>
        </is>
      </c>
      <c r="C122" t="inlineStr">
        <is>
          <t>082288216008</t>
        </is>
      </c>
      <c r="D122" t="inlineStr">
        <is>
          <t>widodoagus137@gmail.com</t>
        </is>
      </c>
      <c r="E122" t="inlineStr">
        <is>
          <t>https://lpjk.pu.go.id/search-badan-usaha-detail/VExwVE9qVU1TSldtaUFtZGYyYTBDUT09</t>
        </is>
      </c>
      <c r="F122" t="n">
        <v>1</v>
      </c>
      <c r="G122" t="inlineStr">
        <is>
          <t>BG001</t>
        </is>
      </c>
      <c r="H122" t="inlineStr">
        <is>
          <t>20 Oktober 2015</t>
        </is>
      </c>
      <c r="I122" s="2" t="n">
        <v>46236</v>
      </c>
      <c r="J122" t="inlineStr">
        <is>
          <t>Disetujui</t>
        </is>
      </c>
      <c r="K122" t="n">
        <v>60</v>
      </c>
      <c r="L122" t="inlineStr">
        <is>
          <t>2 Agustus 2026</t>
        </is>
      </c>
      <c r="M122" t="inlineStr">
        <is>
          <t>Konstruksi Gedung Hunian</t>
        </is>
      </c>
      <c r="N122" t="inlineStr">
        <is>
          <t>K</t>
        </is>
      </c>
      <c r="O122" t="inlineStr">
        <is>
          <t>20230705</t>
        </is>
      </c>
      <c r="P122" t="inlineStr">
        <is>
          <t>Aceh</t>
        </is>
      </c>
      <c r="Q122" t="inlineStr"/>
    </row>
    <row r="123">
      <c r="A123" t="inlineStr">
        <is>
          <t>MOJOPAHIT</t>
        </is>
      </c>
      <c r="B123" t="inlineStr">
        <is>
          <t>Kota Mojokerto</t>
        </is>
      </c>
      <c r="C123" t="inlineStr">
        <is>
          <t>0321327531</t>
        </is>
      </c>
      <c r="D123" t="inlineStr">
        <is>
          <t>cv.mojopahit11@gmail.com</t>
        </is>
      </c>
      <c r="E123" t="inlineStr">
        <is>
          <t>https://lpjk.pu.go.id/search-badan-usaha-detail/cGg3MG8wWWVSblh4aVBlclNXSWg1QT09</t>
        </is>
      </c>
      <c r="F123" t="n">
        <v>1</v>
      </c>
      <c r="G123" t="inlineStr">
        <is>
          <t>BS001</t>
        </is>
      </c>
      <c r="H123" t="inlineStr">
        <is>
          <t>19 Agustus 1992</t>
        </is>
      </c>
      <c r="I123" s="2" t="n">
        <v>46236</v>
      </c>
      <c r="J123" t="inlineStr">
        <is>
          <t>Disetujui</t>
        </is>
      </c>
      <c r="K123" t="n">
        <v>60</v>
      </c>
      <c r="L123" t="inlineStr">
        <is>
          <t>2 Agustus 2026</t>
        </is>
      </c>
      <c r="M123" t="inlineStr">
        <is>
          <t>Konstruksi Bangunan Sipil Jalan</t>
        </is>
      </c>
      <c r="N123" t="inlineStr">
        <is>
          <t>K</t>
        </is>
      </c>
      <c r="O123" t="inlineStr">
        <is>
          <t>20230801</t>
        </is>
      </c>
      <c r="P123" t="inlineStr">
        <is>
          <t>Jawa Timur</t>
        </is>
      </c>
      <c r="Q123" t="inlineStr"/>
    </row>
    <row r="124">
      <c r="A124" t="inlineStr">
        <is>
          <t>MORANG REKAYASA GEOTEKNIK</t>
        </is>
      </c>
      <c r="B124" t="inlineStr">
        <is>
          <t>Kota Semarang</t>
        </is>
      </c>
      <c r="C124" t="inlineStr">
        <is>
          <t>081228709055</t>
        </is>
      </c>
      <c r="D124" t="inlineStr">
        <is>
          <t>morangrekayasageoteknik@gmail.com</t>
        </is>
      </c>
      <c r="E124" t="inlineStr">
        <is>
          <t>https://lpjk.pu.go.id/search-badan-usaha-detail/VjIzakt3RVhGajRBa2JRVDMzQWQ1Zz09</t>
        </is>
      </c>
      <c r="F124" t="n">
        <v>3</v>
      </c>
      <c r="G124" t="inlineStr">
        <is>
          <t>RK001, RK002, RK003</t>
        </is>
      </c>
      <c r="H124" t="inlineStr">
        <is>
          <t>31 Januari 2020</t>
        </is>
      </c>
      <c r="I124" s="2" t="n">
        <v>46236</v>
      </c>
      <c r="J124" t="inlineStr">
        <is>
          <t>Disetujui</t>
        </is>
      </c>
      <c r="K124" t="n">
        <v>60</v>
      </c>
      <c r="L124" t="inlineStr">
        <is>
          <t>2 Agustus 2026</t>
        </is>
      </c>
      <c r="M124" t="inlineStr">
        <is>
          <t>Jasa Rekayasa Konstruksi Bangunan Gedung Hunian dan Non Hunian, Jasa Rekayasa Pekerjaan Teknik Sipil Sumber Daya Air, Jasa Rekayasa Pekerjaan Teknik Sipil Transportasi</t>
        </is>
      </c>
      <c r="N124" t="inlineStr">
        <is>
          <t>K, M</t>
        </is>
      </c>
      <c r="O124" t="inlineStr">
        <is>
          <t>20230731</t>
        </is>
      </c>
      <c r="P124" t="inlineStr">
        <is>
          <t>Jawa Tengah</t>
        </is>
      </c>
      <c r="Q124" t="inlineStr"/>
    </row>
    <row r="125">
      <c r="A125" t="inlineStr">
        <is>
          <t>MUARA HULU TEKNOLOGI</t>
        </is>
      </c>
      <c r="B125" t="inlineStr">
        <is>
          <t>Kab. Hulu Sungai Selatan</t>
        </is>
      </c>
      <c r="C125" t="inlineStr">
        <is>
          <t>081353031443</t>
        </is>
      </c>
      <c r="D125" t="inlineStr">
        <is>
          <t>admin@muarahulu.com</t>
        </is>
      </c>
      <c r="E125" t="inlineStr">
        <is>
          <t>https://lpjk.pu.go.id/search-badan-usaha-detail/aHRqWjhORlBsM0szNGp0RnArQVpoUT09</t>
        </is>
      </c>
      <c r="F125" t="n">
        <v>1</v>
      </c>
      <c r="G125" t="inlineStr">
        <is>
          <t>BS009</t>
        </is>
      </c>
      <c r="H125" t="inlineStr">
        <is>
          <t>1 Februari 2023</t>
        </is>
      </c>
      <c r="I125" s="2" t="n">
        <v>46236</v>
      </c>
      <c r="J125" t="inlineStr">
        <is>
          <t>Pencabutan</t>
        </is>
      </c>
      <c r="K125" t="n">
        <v>60</v>
      </c>
      <c r="L125" t="inlineStr">
        <is>
          <t>2 Agustus 2026</t>
        </is>
      </c>
      <c r="M125" t="inlineStr">
        <is>
          <t>Konstruksi Sentral Telekomunikasi</t>
        </is>
      </c>
      <c r="N125" t="inlineStr">
        <is>
          <t>K</t>
        </is>
      </c>
      <c r="O125" t="inlineStr">
        <is>
          <t>20230801</t>
        </is>
      </c>
      <c r="P125" t="inlineStr">
        <is>
          <t>Kalimantan Selatan</t>
        </is>
      </c>
      <c r="Q125" t="inlineStr"/>
    </row>
    <row r="126">
      <c r="A126" t="inlineStr">
        <is>
          <t>MUBARAK</t>
        </is>
      </c>
      <c r="B126" t="inlineStr">
        <is>
          <t>Kab. Majene</t>
        </is>
      </c>
      <c r="C126" t="inlineStr">
        <is>
          <t>081355201798</t>
        </is>
      </c>
      <c r="D126" t="inlineStr">
        <is>
          <t>mubarak77cv@gmail.com</t>
        </is>
      </c>
      <c r="E126" t="inlineStr">
        <is>
          <t>https://lpjk.pu.go.id/search-badan-usaha-detail/SlQvQXprcVR2RlUrNlhvc2FRWmMyUT09</t>
        </is>
      </c>
      <c r="F126" t="n">
        <v>1</v>
      </c>
      <c r="G126" t="inlineStr">
        <is>
          <t>BG006</t>
        </is>
      </c>
      <c r="H126" t="inlineStr">
        <is>
          <t>11 April 2002</t>
        </is>
      </c>
      <c r="I126" s="2" t="n">
        <v>46236</v>
      </c>
      <c r="J126" t="inlineStr">
        <is>
          <t>Pencabutan</t>
        </is>
      </c>
      <c r="K126" t="n">
        <v>60</v>
      </c>
      <c r="L126" t="inlineStr">
        <is>
          <t>2 Agustus 2026</t>
        </is>
      </c>
      <c r="M126" t="inlineStr">
        <is>
          <t>Konstruksi Gedung Pendidikan</t>
        </is>
      </c>
      <c r="N126" t="inlineStr">
        <is>
          <t>K</t>
        </is>
      </c>
      <c r="O126" t="inlineStr">
        <is>
          <t>20230727</t>
        </is>
      </c>
      <c r="P126" t="inlineStr">
        <is>
          <t>Sulawesi Barat</t>
        </is>
      </c>
      <c r="Q126" t="inlineStr"/>
    </row>
    <row r="127">
      <c r="A127" t="inlineStr">
        <is>
          <t>MUTIARA EKA PERKASA</t>
        </is>
      </c>
      <c r="B127" t="inlineStr">
        <is>
          <t>Kab. Sidoarjo</t>
        </is>
      </c>
      <c r="C127" t="inlineStr">
        <is>
          <t>081230711428</t>
        </is>
      </c>
      <c r="D127" t="inlineStr">
        <is>
          <t>cv.mutiara.eka.perkasa@gmail.com</t>
        </is>
      </c>
      <c r="E127" t="inlineStr">
        <is>
          <t>https://lpjk.pu.go.id/search-badan-usaha-detail/SjUweUZVd0ZiZys0ZHlPeTFhUmZ4UT09</t>
        </is>
      </c>
      <c r="F127" t="n">
        <v>2</v>
      </c>
      <c r="G127" t="inlineStr">
        <is>
          <t>BG006</t>
        </is>
      </c>
      <c r="H127" t="inlineStr">
        <is>
          <t>14 Desember 2007</t>
        </is>
      </c>
      <c r="I127" s="2" t="n">
        <v>46236</v>
      </c>
      <c r="J127" t="inlineStr">
        <is>
          <t>Disetujui</t>
        </is>
      </c>
      <c r="K127" t="n">
        <v>60</v>
      </c>
      <c r="L127" t="inlineStr">
        <is>
          <t>2 Agustus 2026</t>
        </is>
      </c>
      <c r="M127" t="inlineStr">
        <is>
          <t>Konstruksi Gedung Pendidikan</t>
        </is>
      </c>
      <c r="N127" t="inlineStr">
        <is>
          <t>K</t>
        </is>
      </c>
      <c r="O127" t="inlineStr">
        <is>
          <t>20230728</t>
        </is>
      </c>
      <c r="P127" t="inlineStr">
        <is>
          <t>Jawa Timur</t>
        </is>
      </c>
      <c r="Q127" t="inlineStr"/>
    </row>
    <row r="128">
      <c r="A128" t="inlineStr">
        <is>
          <t>PERKASA ADITAMA</t>
        </is>
      </c>
      <c r="B128" t="inlineStr">
        <is>
          <t>Kota Bandung</t>
        </is>
      </c>
      <c r="C128" t="inlineStr">
        <is>
          <t>087739762026</t>
        </is>
      </c>
      <c r="D128" t="inlineStr">
        <is>
          <t>perkasaaditama1@gmail.com</t>
        </is>
      </c>
      <c r="E128" t="inlineStr">
        <is>
          <t>https://lpjk.pu.go.id/search-badan-usaha-detail/dGxyUVNYcUtBVFk1QWxxdHF5ZlBuQT09</t>
        </is>
      </c>
      <c r="F128" t="n">
        <v>1</v>
      </c>
      <c r="G128" t="inlineStr">
        <is>
          <t>BS002</t>
        </is>
      </c>
      <c r="H128" t="inlineStr">
        <is>
          <t>29 September 2022</t>
        </is>
      </c>
      <c r="I128" s="2" t="n">
        <v>46236</v>
      </c>
      <c r="J128" t="inlineStr">
        <is>
          <t>Pencabutan</t>
        </is>
      </c>
      <c r="K128" t="n">
        <v>60</v>
      </c>
      <c r="L128" t="inlineStr">
        <is>
          <t>2 Agustus 2026</t>
        </is>
      </c>
      <c r="M128" t="inlineStr">
        <is>
          <t>Bangunan Sipil Jembatan, Jalan Layang, Fly Over, dan Underpass</t>
        </is>
      </c>
      <c r="N128" t="inlineStr">
        <is>
          <t>K</t>
        </is>
      </c>
      <c r="O128" t="inlineStr">
        <is>
          <t>20230706</t>
        </is>
      </c>
      <c r="P128" t="inlineStr">
        <is>
          <t>Jawa Barat</t>
        </is>
      </c>
      <c r="Q128" t="inlineStr"/>
    </row>
    <row r="129">
      <c r="A129" t="inlineStr">
        <is>
          <t>PERMATA BUNDA</t>
        </is>
      </c>
      <c r="B129" t="inlineStr">
        <is>
          <t>Kab. Flores Timur</t>
        </is>
      </c>
      <c r="C129" t="inlineStr">
        <is>
          <t>085232127512</t>
        </is>
      </c>
      <c r="D129" t="inlineStr">
        <is>
          <t>permatabundacv1@yahoo.co.id</t>
        </is>
      </c>
      <c r="E129" t="inlineStr">
        <is>
          <t>https://lpjk.pu.go.id/search-badan-usaha-detail/TTZwZ0VzN3QyR05pUFFDMEY1dEswdz09</t>
        </is>
      </c>
      <c r="F129" t="n">
        <v>1</v>
      </c>
      <c r="G129" t="inlineStr">
        <is>
          <t>BS005</t>
        </is>
      </c>
      <c r="H129" t="inlineStr">
        <is>
          <t>27 Agustus 2001</t>
        </is>
      </c>
      <c r="I129" s="2" t="n">
        <v>46236</v>
      </c>
      <c r="J129" t="inlineStr">
        <is>
          <t>Pencabutan</t>
        </is>
      </c>
      <c r="K129" t="n">
        <v>60</v>
      </c>
      <c r="L129" t="inlineStr">
        <is>
          <t>2 Agustus 2026</t>
        </is>
      </c>
      <c r="M129" t="inlineStr">
        <is>
          <t>Konstruksi Bangunan Sipil Pengolahan Air Bersih</t>
        </is>
      </c>
      <c r="N129" t="inlineStr">
        <is>
          <t>K</t>
        </is>
      </c>
      <c r="O129" t="inlineStr">
        <is>
          <t>20230724</t>
        </is>
      </c>
      <c r="P129" t="inlineStr">
        <is>
          <t>Nusa Tenggara Timur</t>
        </is>
      </c>
      <c r="Q129" t="inlineStr"/>
    </row>
    <row r="130">
      <c r="A130" t="inlineStr">
        <is>
          <t>PERMATA VAIAN</t>
        </is>
      </c>
      <c r="B130" t="inlineStr">
        <is>
          <t>Kab. Sidoarjo</t>
        </is>
      </c>
      <c r="C130" t="inlineStr">
        <is>
          <t>08123058026</t>
        </is>
      </c>
      <c r="D130" t="inlineStr">
        <is>
          <t>cv.permatavaian@gmail.com</t>
        </is>
      </c>
      <c r="E130" t="inlineStr">
        <is>
          <t>https://lpjk.pu.go.id/search-badan-usaha-detail/RXdseCtRRVdoL2l4WWxJTTV3TzJYdz09</t>
        </is>
      </c>
      <c r="F130" t="n">
        <v>1</v>
      </c>
      <c r="G130" t="inlineStr">
        <is>
          <t>BS004</t>
        </is>
      </c>
      <c r="H130" t="inlineStr">
        <is>
          <t>20 Desember 2012</t>
        </is>
      </c>
      <c r="I130" s="2" t="n">
        <v>46236</v>
      </c>
      <c r="J130" t="inlineStr">
        <is>
          <t>Disetujui</t>
        </is>
      </c>
      <c r="K130" t="n">
        <v>60</v>
      </c>
      <c r="L130" t="inlineStr">
        <is>
          <t>2 Agustus 2026</t>
        </is>
      </c>
      <c r="M130" t="inlineStr">
        <is>
          <t>Konstruksi Jaringan Irigasi dan Drainase</t>
        </is>
      </c>
      <c r="N130" t="inlineStr">
        <is>
          <t>K</t>
        </is>
      </c>
      <c r="O130" t="inlineStr">
        <is>
          <t>20230801</t>
        </is>
      </c>
      <c r="P130" t="inlineStr">
        <is>
          <t>Jawa Timur</t>
        </is>
      </c>
      <c r="Q130" t="inlineStr"/>
    </row>
    <row r="131">
      <c r="A131" t="inlineStr">
        <is>
          <t>PESONA JAYA MANDIRI</t>
        </is>
      </c>
      <c r="B131" t="inlineStr">
        <is>
          <t>Kota Bandung</t>
        </is>
      </c>
      <c r="C131" t="inlineStr">
        <is>
          <t>0811210510</t>
        </is>
      </c>
      <c r="D131" t="inlineStr">
        <is>
          <t>pjm.desk@gmail.com</t>
        </is>
      </c>
      <c r="E131" t="inlineStr">
        <is>
          <t>https://lpjk.pu.go.id/search-badan-usaha-detail/cG8xcVpFeXA0NTZTWmlYMnpnam5rZz09</t>
        </is>
      </c>
      <c r="F131" t="n">
        <v>1</v>
      </c>
      <c r="G131" t="inlineStr">
        <is>
          <t>BG009</t>
        </is>
      </c>
      <c r="H131" t="inlineStr">
        <is>
          <t>22 Januari 2013</t>
        </is>
      </c>
      <c r="I131" s="2" t="n">
        <v>46236</v>
      </c>
      <c r="J131" t="inlineStr">
        <is>
          <t>Disetujui</t>
        </is>
      </c>
      <c r="K131" t="n">
        <v>60</v>
      </c>
      <c r="L131" t="inlineStr">
        <is>
          <t>2 Agustus 2026</t>
        </is>
      </c>
      <c r="M131" t="inlineStr">
        <is>
          <t>Konstruksi Gedung Lainnya</t>
        </is>
      </c>
      <c r="N131" t="inlineStr">
        <is>
          <t>K</t>
        </is>
      </c>
      <c r="O131" t="inlineStr">
        <is>
          <t>20230802</t>
        </is>
      </c>
      <c r="P131" t="inlineStr">
        <is>
          <t>Jawa Barat</t>
        </is>
      </c>
      <c r="Q131" t="inlineStr"/>
    </row>
    <row r="132">
      <c r="A132" t="inlineStr">
        <is>
          <t>PILAR PERKASINDO</t>
        </is>
      </c>
      <c r="B132" t="inlineStr">
        <is>
          <t>Kota Adm. Jakarta Barat</t>
        </is>
      </c>
      <c r="C132" t="inlineStr">
        <is>
          <t>0215622976</t>
        </is>
      </c>
      <c r="D132" t="inlineStr">
        <is>
          <t>pilar_perkasindo@yahoo.com</t>
        </is>
      </c>
      <c r="E132" t="inlineStr">
        <is>
          <t>https://lpjk.pu.go.id/search-badan-usaha-detail/a0FqSEtlOFN6YXZ6NFV2R0tkVjVNdz09</t>
        </is>
      </c>
      <c r="F132" t="n">
        <v>2</v>
      </c>
      <c r="G132" t="inlineStr">
        <is>
          <t>BG001, BG003</t>
        </is>
      </c>
      <c r="H132" t="inlineStr">
        <is>
          <t>3 November 2021</t>
        </is>
      </c>
      <c r="I132" s="2" t="n">
        <v>46236</v>
      </c>
      <c r="J132" t="inlineStr">
        <is>
          <t>Disetujui</t>
        </is>
      </c>
      <c r="K132" t="n">
        <v>60</v>
      </c>
      <c r="L132" t="inlineStr">
        <is>
          <t>2 Agustus 2026</t>
        </is>
      </c>
      <c r="M132" t="inlineStr">
        <is>
          <t>Konstruksi Gedung Hunian, Konstruksi Gedung Industri</t>
        </is>
      </c>
      <c r="N132" t="inlineStr">
        <is>
          <t>K</t>
        </is>
      </c>
      <c r="O132" t="inlineStr">
        <is>
          <t>20230726</t>
        </is>
      </c>
      <c r="P132" t="inlineStr">
        <is>
          <t>DKI Jakarta</t>
        </is>
      </c>
      <c r="Q132" t="inlineStr"/>
    </row>
    <row r="133">
      <c r="A133" t="inlineStr">
        <is>
          <t>PRESISI CIPTA KREASI</t>
        </is>
      </c>
      <c r="B133" t="inlineStr">
        <is>
          <t>Kab. Pasuruan</t>
        </is>
      </c>
      <c r="C133" t="inlineStr">
        <is>
          <t>034361121</t>
        </is>
      </c>
      <c r="D133" t="inlineStr">
        <is>
          <t>presisi_cipta_kreasi@yahoo.com</t>
        </is>
      </c>
      <c r="E133" t="inlineStr">
        <is>
          <t>https://lpjk.pu.go.id/search-badan-usaha-detail/YThjM2E4QWtBbmpmRVBsSmxsMndaQT09</t>
        </is>
      </c>
      <c r="F133" t="n">
        <v>1</v>
      </c>
      <c r="G133" t="inlineStr">
        <is>
          <t>BG002</t>
        </is>
      </c>
      <c r="H133" t="inlineStr">
        <is>
          <t>25 Juli 2005</t>
        </is>
      </c>
      <c r="I133" s="2" t="n">
        <v>46236</v>
      </c>
      <c r="J133" t="inlineStr">
        <is>
          <t>Disetujui</t>
        </is>
      </c>
      <c r="K133" t="n">
        <v>60</v>
      </c>
      <c r="L133" t="inlineStr">
        <is>
          <t>2 Agustus 2026</t>
        </is>
      </c>
      <c r="M133" t="inlineStr">
        <is>
          <t>Konstruksi Gedung Perkantoran</t>
        </is>
      </c>
      <c r="N133" t="inlineStr">
        <is>
          <t>K</t>
        </is>
      </c>
      <c r="O133" t="inlineStr">
        <is>
          <t>20230729</t>
        </is>
      </c>
      <c r="P133" t="inlineStr">
        <is>
          <t>Jawa Timur</t>
        </is>
      </c>
      <c r="Q133" t="inlineStr"/>
    </row>
    <row r="134">
      <c r="A134" t="inlineStr">
        <is>
          <t>PRIMA SHINA CAHAYA</t>
        </is>
      </c>
      <c r="B134" t="inlineStr">
        <is>
          <t>Kota Bandung</t>
        </is>
      </c>
      <c r="C134" t="inlineStr">
        <is>
          <t>08112030367</t>
        </is>
      </c>
      <c r="D134" t="inlineStr">
        <is>
          <t>primashina.pt@gmail.com</t>
        </is>
      </c>
      <c r="E134" t="inlineStr">
        <is>
          <t>https://lpjk.pu.go.id/search-badan-usaha-detail/VklmNW1PZm9wV29NVlRvR2QwK09vUT09</t>
        </is>
      </c>
      <c r="F134" t="n">
        <v>1</v>
      </c>
      <c r="G134" t="inlineStr">
        <is>
          <t>BG005</t>
        </is>
      </c>
      <c r="H134" t="inlineStr">
        <is>
          <t>2 Desember 2014</t>
        </is>
      </c>
      <c r="I134" s="2" t="n">
        <v>46236</v>
      </c>
      <c r="J134" t="inlineStr">
        <is>
          <t>Disetujui</t>
        </is>
      </c>
      <c r="K134" t="n">
        <v>60</v>
      </c>
      <c r="L134" t="inlineStr">
        <is>
          <t>2 Agustus 2026</t>
        </is>
      </c>
      <c r="M134" t="inlineStr">
        <is>
          <t>Konstruksi Gedung Kesehatan</t>
        </is>
      </c>
      <c r="N134" t="inlineStr">
        <is>
          <t>M</t>
        </is>
      </c>
      <c r="O134" t="inlineStr">
        <is>
          <t>20230801</t>
        </is>
      </c>
      <c r="P134" t="inlineStr">
        <is>
          <t>Jawa Barat</t>
        </is>
      </c>
      <c r="Q134" t="inlineStr"/>
    </row>
    <row r="135">
      <c r="A135" t="inlineStr">
        <is>
          <t>PURBAYANTI</t>
        </is>
      </c>
      <c r="B135" t="inlineStr">
        <is>
          <t>Kab. Garut</t>
        </is>
      </c>
      <c r="C135" t="inlineStr">
        <is>
          <t>0</t>
        </is>
      </c>
      <c r="D135" t="inlineStr">
        <is>
          <t>purbayanti_cv@yahoo.co.id</t>
        </is>
      </c>
      <c r="E135" t="inlineStr">
        <is>
          <t>https://lpjk.pu.go.id/search-badan-usaha-detail/ZXRROGRFYUplZWhkWmNmV3JyQ3V6dz09</t>
        </is>
      </c>
      <c r="F135" t="n">
        <v>2</v>
      </c>
      <c r="G135" t="inlineStr">
        <is>
          <t>BG009</t>
        </is>
      </c>
      <c r="H135" t="inlineStr">
        <is>
          <t>1 Desember 1980</t>
        </is>
      </c>
      <c r="I135" s="2" t="n">
        <v>46236</v>
      </c>
      <c r="J135" t="inlineStr">
        <is>
          <t>Disetujui</t>
        </is>
      </c>
      <c r="K135" t="n">
        <v>60</v>
      </c>
      <c r="L135" t="inlineStr">
        <is>
          <t>2 Agustus 2026</t>
        </is>
      </c>
      <c r="M135" t="inlineStr">
        <is>
          <t>Konstruksi Gedung Lainnya</t>
        </is>
      </c>
      <c r="N135" t="inlineStr">
        <is>
          <t>K</t>
        </is>
      </c>
      <c r="O135" t="inlineStr">
        <is>
          <t>20230731</t>
        </is>
      </c>
      <c r="P135" t="inlineStr">
        <is>
          <t>Jawa Barat</t>
        </is>
      </c>
      <c r="Q135" t="inlineStr"/>
    </row>
    <row r="136">
      <c r="A136" t="inlineStr">
        <is>
          <t>PUTRA JASSOH PERSADA</t>
        </is>
      </c>
      <c r="B136" t="inlineStr">
        <is>
          <t>Kab. Simalungun</t>
        </is>
      </c>
      <c r="C136" t="inlineStr">
        <is>
          <t>082273032131</t>
        </is>
      </c>
      <c r="D136" t="inlineStr">
        <is>
          <t>cv.putrajassoh@gmail.com</t>
        </is>
      </c>
      <c r="E136" t="inlineStr">
        <is>
          <t>https://lpjk.pu.go.id/search-badan-usaha-detail/cjRmWUIxK050QVNxQUlWZmdjV3R4dz09</t>
        </is>
      </c>
      <c r="F136" t="n">
        <v>4</v>
      </c>
      <c r="G136" t="inlineStr">
        <is>
          <t>BG006, BG009, BS001, BS004</t>
        </is>
      </c>
      <c r="H136" t="inlineStr">
        <is>
          <t>3 November 2011</t>
        </is>
      </c>
      <c r="I136" s="2" t="n">
        <v>46236</v>
      </c>
      <c r="J136" t="inlineStr">
        <is>
          <t>Disetujui, Pencabutan</t>
        </is>
      </c>
      <c r="K136" t="n">
        <v>60</v>
      </c>
      <c r="L136" t="inlineStr">
        <is>
          <t>2 Agustus 2026</t>
        </is>
      </c>
      <c r="M136" t="inlineStr">
        <is>
          <t>Konstruksi Bangunan Sipil Jalan, Konstruksi Gedung Lainnya, Konstruksi Gedung Pendidikan, Konstruksi Jaringan Irigasi dan Drainase</t>
        </is>
      </c>
      <c r="N136" t="inlineStr">
        <is>
          <t>K</t>
        </is>
      </c>
      <c r="O136" t="inlineStr">
        <is>
          <t>20230703</t>
        </is>
      </c>
      <c r="P136" t="inlineStr">
        <is>
          <t>Sumatera Utara</t>
        </is>
      </c>
      <c r="Q136" t="inlineStr"/>
    </row>
    <row r="137">
      <c r="A137" t="inlineStr">
        <is>
          <t>PUTRA PRATAMA</t>
        </is>
      </c>
      <c r="B137" t="inlineStr">
        <is>
          <t>Kab. Mandailing Natal</t>
        </is>
      </c>
      <c r="C137" t="inlineStr">
        <is>
          <t>081265116222</t>
        </is>
      </c>
      <c r="D137" t="inlineStr">
        <is>
          <t>cv.putra_pratama23@yahoo.com</t>
        </is>
      </c>
      <c r="E137" t="inlineStr">
        <is>
          <t>https://lpjk.pu.go.id/search-badan-usaha-detail/MGYyZHdnTmFmbmRuUTBDWkZCMFlXUT09</t>
        </is>
      </c>
      <c r="F137" t="n">
        <v>1</v>
      </c>
      <c r="G137" t="inlineStr">
        <is>
          <t>BG006</t>
        </is>
      </c>
      <c r="H137" t="inlineStr">
        <is>
          <t>18 Juli 2016</t>
        </is>
      </c>
      <c r="I137" s="2" t="n">
        <v>46236</v>
      </c>
      <c r="J137" t="inlineStr">
        <is>
          <t>Disetujui</t>
        </is>
      </c>
      <c r="K137" t="n">
        <v>60</v>
      </c>
      <c r="L137" t="inlineStr">
        <is>
          <t>2 Agustus 2026</t>
        </is>
      </c>
      <c r="M137" t="inlineStr">
        <is>
          <t>Konstruksi Gedung Pendidikan</t>
        </is>
      </c>
      <c r="N137" t="inlineStr">
        <is>
          <t>K</t>
        </is>
      </c>
      <c r="O137" t="inlineStr">
        <is>
          <t>20230728</t>
        </is>
      </c>
      <c r="P137" t="inlineStr">
        <is>
          <t>Sumatera Utara</t>
        </is>
      </c>
      <c r="Q137" t="inlineStr"/>
    </row>
    <row r="138">
      <c r="A138" t="inlineStr">
        <is>
          <t>PUTRA SANG FAJAR</t>
        </is>
      </c>
      <c r="B138" t="inlineStr">
        <is>
          <t>Kab. Pamekasan</t>
        </is>
      </c>
      <c r="C138" t="inlineStr">
        <is>
          <t>087752027650</t>
        </is>
      </c>
      <c r="D138" t="inlineStr">
        <is>
          <t>psf.pmk@gmail.com</t>
        </is>
      </c>
      <c r="E138" t="inlineStr">
        <is>
          <t>https://lpjk.pu.go.id/search-badan-usaha-detail/YzRvOEEyVDJOMDlCTWxCZ2E1RS9JUT09</t>
        </is>
      </c>
      <c r="F138" t="n">
        <v>6</v>
      </c>
      <c r="G138" t="inlineStr">
        <is>
          <t>BG002, BG004, BG005, BG006, BG009, BS004</t>
        </is>
      </c>
      <c r="H138" t="inlineStr">
        <is>
          <t>17 Desember 2015</t>
        </is>
      </c>
      <c r="I138" s="2" t="n">
        <v>46236</v>
      </c>
      <c r="J138" t="inlineStr">
        <is>
          <t>Disetujui</t>
        </is>
      </c>
      <c r="K138" t="n">
        <v>60</v>
      </c>
      <c r="L138" t="inlineStr">
        <is>
          <t>2 Agustus 2026</t>
        </is>
      </c>
      <c r="M138" t="inlineStr">
        <is>
          <t>Konstruksi Gedung Kesehatan, Konstruksi Gedung Lainnya, Konstruksi Gedung Pendidikan, Konstruksi Gedung Perbelanjaan, Konstruksi Gedung Perkantoran, Konstruksi Jaringan Irigasi dan Drainase</t>
        </is>
      </c>
      <c r="N138" t="inlineStr">
        <is>
          <t>K</t>
        </is>
      </c>
      <c r="O138" t="inlineStr">
        <is>
          <t>20230714, 20230715</t>
        </is>
      </c>
      <c r="P138" t="inlineStr">
        <is>
          <t>Jawa Timur</t>
        </is>
      </c>
      <c r="Q138" t="inlineStr"/>
    </row>
    <row r="139">
      <c r="A139" t="inlineStr">
        <is>
          <t>PUTRA SANJAYA</t>
        </is>
      </c>
      <c r="B139" t="inlineStr">
        <is>
          <t>Kab. Belitung Timur</t>
        </is>
      </c>
      <c r="C139" t="inlineStr">
        <is>
          <t>08194879948</t>
        </is>
      </c>
      <c r="D139" t="inlineStr">
        <is>
          <t>putrasanjaya.cv@gmail.com</t>
        </is>
      </c>
      <c r="E139" t="inlineStr">
        <is>
          <t>https://lpjk.pu.go.id/search-badan-usaha-detail/bUFkbDlRcEd3QzIvcy9BaHpFQVkxdz09</t>
        </is>
      </c>
      <c r="F139" t="n">
        <v>1</v>
      </c>
      <c r="G139" t="inlineStr">
        <is>
          <t>BG001</t>
        </is>
      </c>
      <c r="H139" t="inlineStr">
        <is>
          <t>3 Oktober 2017</t>
        </is>
      </c>
      <c r="I139" s="2" t="n">
        <v>46236</v>
      </c>
      <c r="J139" t="inlineStr">
        <is>
          <t>Disetujui</t>
        </is>
      </c>
      <c r="K139" t="n">
        <v>60</v>
      </c>
      <c r="L139" t="inlineStr">
        <is>
          <t>2 Agustus 2026</t>
        </is>
      </c>
      <c r="M139" t="inlineStr">
        <is>
          <t>Konstruksi Gedung Hunian</t>
        </is>
      </c>
      <c r="N139" t="inlineStr">
        <is>
          <t>K</t>
        </is>
      </c>
      <c r="O139" t="inlineStr">
        <is>
          <t>20230730</t>
        </is>
      </c>
      <c r="P139" t="inlineStr">
        <is>
          <t>Kepulauan Bangka Belitung</t>
        </is>
      </c>
      <c r="Q139" t="inlineStr"/>
    </row>
    <row r="140">
      <c r="A140" t="inlineStr">
        <is>
          <t>PUTRA SATRIA FAMILY</t>
        </is>
      </c>
      <c r="B140" t="inlineStr">
        <is>
          <t>Kota Sukabumi</t>
        </is>
      </c>
      <c r="C140" t="inlineStr">
        <is>
          <t>081563973111</t>
        </is>
      </c>
      <c r="D140" t="inlineStr">
        <is>
          <t>lelazahra4@gmail.com</t>
        </is>
      </c>
      <c r="E140" t="inlineStr">
        <is>
          <t>https://lpjk.pu.go.id/search-badan-usaha-detail/akVRcGI5WWxhY3Yxd1BQTE13eUNqdz09</t>
        </is>
      </c>
      <c r="F140" t="n">
        <v>3</v>
      </c>
      <c r="G140" t="inlineStr">
        <is>
          <t>BG006, BG008, BG009</t>
        </is>
      </c>
      <c r="H140" t="inlineStr">
        <is>
          <t>30 April 2019</t>
        </is>
      </c>
      <c r="I140" s="2" t="n">
        <v>46236</v>
      </c>
      <c r="J140" t="inlineStr">
        <is>
          <t>Disetujui</t>
        </is>
      </c>
      <c r="K140" t="n">
        <v>60</v>
      </c>
      <c r="L140" t="inlineStr">
        <is>
          <t>2 Agustus 2026</t>
        </is>
      </c>
      <c r="M140" t="inlineStr">
        <is>
          <t>Konstruksi Gedung Lainnya, Konstruksi Gedung Pendidikan, Konstruksi Gedung Tempat Hiburan dan Olahraga</t>
        </is>
      </c>
      <c r="N140" t="inlineStr">
        <is>
          <t>K</t>
        </is>
      </c>
      <c r="O140" t="inlineStr">
        <is>
          <t>20230731</t>
        </is>
      </c>
      <c r="P140" t="inlineStr">
        <is>
          <t>Jawa Barat</t>
        </is>
      </c>
      <c r="Q140" t="inlineStr"/>
    </row>
    <row r="141">
      <c r="A141" t="inlineStr">
        <is>
          <t>PUTRI LESTARI</t>
        </is>
      </c>
      <c r="B141" t="inlineStr">
        <is>
          <t>Kab. Sambas</t>
        </is>
      </c>
      <c r="C141" t="inlineStr">
        <is>
          <t>085265252536</t>
        </is>
      </c>
      <c r="D141" t="inlineStr">
        <is>
          <t>cvputrilestarisbs@gmail.com</t>
        </is>
      </c>
      <c r="E141" t="inlineStr">
        <is>
          <t>https://lpjk.pu.go.id/search-badan-usaha-detail/R3RVcXAwNWVBRVprRlExZW9iTGw4dz09</t>
        </is>
      </c>
      <c r="F141" t="n">
        <v>1</v>
      </c>
      <c r="G141" t="inlineStr">
        <is>
          <t>BS002</t>
        </is>
      </c>
      <c r="H141" t="inlineStr">
        <is>
          <t>10 Oktober 2013</t>
        </is>
      </c>
      <c r="I141" s="2" t="n">
        <v>46236</v>
      </c>
      <c r="J141" t="inlineStr">
        <is>
          <t>Disetujui</t>
        </is>
      </c>
      <c r="K141" t="n">
        <v>60</v>
      </c>
      <c r="L141" t="inlineStr">
        <is>
          <t>2 Agustus 2026</t>
        </is>
      </c>
      <c r="M141" t="inlineStr">
        <is>
          <t>Bangunan Sipil Jembatan, Jalan Layang, Fly Over, dan Underpass</t>
        </is>
      </c>
      <c r="N141" t="inlineStr">
        <is>
          <t>K</t>
        </is>
      </c>
      <c r="O141" t="inlineStr">
        <is>
          <t>20230802</t>
        </is>
      </c>
      <c r="P141" t="inlineStr">
        <is>
          <t>Kalimantan Barat</t>
        </is>
      </c>
      <c r="Q141" t="inlineStr"/>
    </row>
    <row r="142">
      <c r="A142" t="inlineStr">
        <is>
          <t>PUTRI SULUNG</t>
        </is>
      </c>
      <c r="B142" t="inlineStr">
        <is>
          <t>Kab. Lahat</t>
        </is>
      </c>
      <c r="C142" t="inlineStr">
        <is>
          <t>081386440123</t>
        </is>
      </c>
      <c r="D142" t="inlineStr">
        <is>
          <t>cvputrisulung@yahoo.com</t>
        </is>
      </c>
      <c r="E142" t="inlineStr">
        <is>
          <t>https://lpjk.pu.go.id/search-badan-usaha-detail/WjFGc2FIQzE1bWVML3dkUmNvYzNPdz09</t>
        </is>
      </c>
      <c r="F142" t="n">
        <v>1</v>
      </c>
      <c r="G142" t="inlineStr">
        <is>
          <t>BS004</t>
        </is>
      </c>
      <c r="H142" t="inlineStr">
        <is>
          <t>4 Januari 2003</t>
        </is>
      </c>
      <c r="I142" s="2" t="n">
        <v>46236</v>
      </c>
      <c r="J142" t="inlineStr">
        <is>
          <t>Pencabutan</t>
        </is>
      </c>
      <c r="K142" t="n">
        <v>60</v>
      </c>
      <c r="L142" t="inlineStr">
        <is>
          <t>2 Agustus 2026</t>
        </is>
      </c>
      <c r="M142" t="inlineStr">
        <is>
          <t>Konstruksi Jaringan Irigasi dan Drainase</t>
        </is>
      </c>
      <c r="N142" t="inlineStr">
        <is>
          <t>K</t>
        </is>
      </c>
      <c r="O142" t="inlineStr">
        <is>
          <t>20230801</t>
        </is>
      </c>
      <c r="P142" t="inlineStr">
        <is>
          <t>Sumatera Selatan</t>
        </is>
      </c>
      <c r="Q142" t="inlineStr"/>
    </row>
    <row r="143">
      <c r="A143" t="inlineStr">
        <is>
          <t>RAHMAT ASRI SEJATI</t>
        </is>
      </c>
      <c r="B143" t="inlineStr">
        <is>
          <t>-</t>
        </is>
      </c>
      <c r="C143" t="inlineStr">
        <is>
          <t>082291696055</t>
        </is>
      </c>
      <c r="D143" t="inlineStr">
        <is>
          <t>pt.rahmatasrisejati.nabire@gmail.com</t>
        </is>
      </c>
      <c r="E143" t="inlineStr">
        <is>
          <t>https://lpjk.pu.go.id/search-badan-usaha-detail/a3JMbHJJOE8rMHEwcUNyWUc1RWFoUT09</t>
        </is>
      </c>
      <c r="F143" t="n">
        <v>2</v>
      </c>
      <c r="G143" t="inlineStr">
        <is>
          <t>BS001</t>
        </is>
      </c>
      <c r="H143" t="inlineStr">
        <is>
          <t>18 Januari 2010</t>
        </is>
      </c>
      <c r="I143" s="2" t="n">
        <v>46236</v>
      </c>
      <c r="J143" t="inlineStr">
        <is>
          <t>Disetujui</t>
        </is>
      </c>
      <c r="K143" t="n">
        <v>60</v>
      </c>
      <c r="L143" t="inlineStr">
        <is>
          <t>2 Agustus 2026</t>
        </is>
      </c>
      <c r="M143" t="inlineStr">
        <is>
          <t>Konstruksi Bangunan Sipil Jalan</t>
        </is>
      </c>
      <c r="N143" t="inlineStr">
        <is>
          <t>K</t>
        </is>
      </c>
      <c r="O143" t="inlineStr">
        <is>
          <t>20230609</t>
        </is>
      </c>
      <c r="P143" t="inlineStr">
        <is>
          <t>Papua Tengah</t>
        </is>
      </c>
      <c r="Q143" t="inlineStr"/>
    </row>
    <row r="144">
      <c r="A144" t="inlineStr">
        <is>
          <t>RAHMATIA INDAH</t>
        </is>
      </c>
      <c r="B144" t="inlineStr">
        <is>
          <t>Kota Bau Bau</t>
        </is>
      </c>
      <c r="C144" t="inlineStr">
        <is>
          <t>081341599690</t>
        </is>
      </c>
      <c r="D144" t="inlineStr">
        <is>
          <t>cvrahmatiaindah@gmail.com</t>
        </is>
      </c>
      <c r="E144" t="inlineStr">
        <is>
          <t>https://lpjk.pu.go.id/search-badan-usaha-detail/dUIxZG1YYU9mZDc4Mi9teEdnRkluQT09</t>
        </is>
      </c>
      <c r="F144" t="n">
        <v>6</v>
      </c>
      <c r="G144" t="inlineStr">
        <is>
          <t>BG002, BG005, BG006</t>
        </is>
      </c>
      <c r="H144" t="inlineStr">
        <is>
          <t>10 Juli 2023</t>
        </is>
      </c>
      <c r="I144" s="2" t="n">
        <v>46236</v>
      </c>
      <c r="J144" t="inlineStr">
        <is>
          <t>Disetujui</t>
        </is>
      </c>
      <c r="K144" t="n">
        <v>60</v>
      </c>
      <c r="L144" t="inlineStr">
        <is>
          <t>2 Agustus 2026</t>
        </is>
      </c>
      <c r="M144" t="inlineStr">
        <is>
          <t>Konstruksi Gedung Kesehatan, Konstruksi Gedung Pendidikan, Konstruksi Gedung Perkantoran</t>
        </is>
      </c>
      <c r="N144" t="inlineStr">
        <is>
          <t>K</t>
        </is>
      </c>
      <c r="O144" t="inlineStr">
        <is>
          <t>20230802</t>
        </is>
      </c>
      <c r="P144" t="inlineStr">
        <is>
          <t>Sulawesi Tenggara</t>
        </is>
      </c>
      <c r="Q144" t="inlineStr"/>
    </row>
    <row r="145">
      <c r="A145" t="inlineStr">
        <is>
          <t>REZKY MEGA PROPERTI</t>
        </is>
      </c>
      <c r="B145" t="inlineStr">
        <is>
          <t>Kota Kendari</t>
        </is>
      </c>
      <c r="C145" t="inlineStr">
        <is>
          <t>082338527555</t>
        </is>
      </c>
      <c r="D145" t="inlineStr">
        <is>
          <t>rezkymegap21@gmail.com</t>
        </is>
      </c>
      <c r="E145" t="inlineStr">
        <is>
          <t>https://lpjk.pu.go.id/search-badan-usaha-detail/UzNlWTdCeXBzejhHVjExOHJKWDl4UT09</t>
        </is>
      </c>
      <c r="F145" t="n">
        <v>1</v>
      </c>
      <c r="G145" t="inlineStr">
        <is>
          <t>BG001</t>
        </is>
      </c>
      <c r="H145" t="inlineStr">
        <is>
          <t>13 November 2019</t>
        </is>
      </c>
      <c r="I145" s="2" t="n">
        <v>46236</v>
      </c>
      <c r="J145" t="inlineStr">
        <is>
          <t>Disetujui</t>
        </is>
      </c>
      <c r="K145" t="n">
        <v>60</v>
      </c>
      <c r="L145" t="inlineStr">
        <is>
          <t>2 Agustus 2026</t>
        </is>
      </c>
      <c r="M145" t="inlineStr">
        <is>
          <t>Konstruksi Gedung Hunian</t>
        </is>
      </c>
      <c r="N145" t="inlineStr">
        <is>
          <t>K</t>
        </is>
      </c>
      <c r="O145" t="inlineStr">
        <is>
          <t>20230801</t>
        </is>
      </c>
      <c r="P145" t="inlineStr">
        <is>
          <t>Sulawesi Tenggara</t>
        </is>
      </c>
      <c r="Q145" t="inlineStr"/>
    </row>
    <row r="146">
      <c r="A146" t="inlineStr">
        <is>
          <t>RIMA CIPTA CONSULTANT</t>
        </is>
      </c>
      <c r="B146" t="inlineStr">
        <is>
          <t>Kota Samarinda</t>
        </is>
      </c>
      <c r="C146" t="inlineStr">
        <is>
          <t>08125517799</t>
        </is>
      </c>
      <c r="D146" t="inlineStr">
        <is>
          <t>rima_cipta@yahoo.co.id</t>
        </is>
      </c>
      <c r="E146" t="inlineStr">
        <is>
          <t>https://lpjk.pu.go.id/search-badan-usaha-detail/VmhtbmhZNnZLdDk3QytIRjl2ZEE2UT09</t>
        </is>
      </c>
      <c r="F146" t="n">
        <v>5</v>
      </c>
      <c r="G146" t="inlineStr">
        <is>
          <t>AR001, AR002, RK001, RK002, RK003</t>
        </is>
      </c>
      <c r="H146" t="inlineStr">
        <is>
          <t>10 Juli 2006</t>
        </is>
      </c>
      <c r="I146" s="2" t="n">
        <v>46236</v>
      </c>
      <c r="J146" t="inlineStr">
        <is>
          <t>Disetujui</t>
        </is>
      </c>
      <c r="K146" t="n">
        <v>60</v>
      </c>
      <c r="L146" t="inlineStr">
        <is>
          <t>2 Agustus 2026</t>
        </is>
      </c>
      <c r="M146" t="inlineStr">
        <is>
          <t>Jasa Arsitektural Bangunan Gedung Hunian dan Non Hunian, Jasa Arsitektural Lainnya, Jasa Rekayasa Konstruksi Bangunan Gedung Hunian dan Non Hunian, Jasa Rekayasa Pekerjaan Teknik Sipil Sumber Daya Air, Jasa Rekayasa Pekerjaan Teknik Sipil Transportasi</t>
        </is>
      </c>
      <c r="N146" t="inlineStr">
        <is>
          <t>K</t>
        </is>
      </c>
      <c r="O146" t="inlineStr">
        <is>
          <t>20230714, 20230727</t>
        </is>
      </c>
      <c r="P146" t="inlineStr">
        <is>
          <t>Kalimantan Timur</t>
        </is>
      </c>
      <c r="Q146" t="inlineStr"/>
    </row>
    <row r="147">
      <c r="A147" t="inlineStr">
        <is>
          <t>SABDA ALAM PUTRA</t>
        </is>
      </c>
      <c r="B147" t="inlineStr">
        <is>
          <t>Kab. Kolaka Timur</t>
        </is>
      </c>
      <c r="C147" t="inlineStr">
        <is>
          <t>082291255410</t>
        </is>
      </c>
      <c r="D147" t="inlineStr">
        <is>
          <t>juslanefendy@gmail.com</t>
        </is>
      </c>
      <c r="E147" t="inlineStr">
        <is>
          <t>https://lpjk.pu.go.id/search-badan-usaha-detail/SEo0Z0hWVFYyamE0VGVlR1pxVkxZZz09</t>
        </is>
      </c>
      <c r="F147" t="n">
        <v>1</v>
      </c>
      <c r="G147" t="inlineStr">
        <is>
          <t>BS001</t>
        </is>
      </c>
      <c r="H147" t="inlineStr">
        <is>
          <t>21 Desember 2009</t>
        </is>
      </c>
      <c r="I147" s="2" t="n">
        <v>46236</v>
      </c>
      <c r="J147" t="inlineStr">
        <is>
          <t>Disetujui</t>
        </is>
      </c>
      <c r="K147" t="n">
        <v>60</v>
      </c>
      <c r="L147" t="inlineStr">
        <is>
          <t>2 Agustus 2026</t>
        </is>
      </c>
      <c r="M147" t="inlineStr">
        <is>
          <t>Konstruksi Bangunan Sipil Jalan</t>
        </is>
      </c>
      <c r="N147" t="inlineStr">
        <is>
          <t>K</t>
        </is>
      </c>
      <c r="O147" t="inlineStr">
        <is>
          <t>20230801</t>
        </is>
      </c>
      <c r="P147" t="inlineStr">
        <is>
          <t>Sulawesi Tenggara</t>
        </is>
      </c>
      <c r="Q147" t="inlineStr"/>
    </row>
    <row r="148">
      <c r="A148" t="inlineStr">
        <is>
          <t>SADAN KARYA UTAMA</t>
        </is>
      </c>
      <c r="B148" t="inlineStr">
        <is>
          <t>Kota Tarakan</t>
        </is>
      </c>
      <c r="C148" t="inlineStr">
        <is>
          <t>085349655889</t>
        </is>
      </c>
      <c r="D148" t="inlineStr">
        <is>
          <t>berthatrk4@gmail.com</t>
        </is>
      </c>
      <c r="E148" t="inlineStr">
        <is>
          <t>https://lpjk.pu.go.id/search-badan-usaha-detail/cGNvcHFSNjNpNFhpd2NUMW9CWVl4Zz09</t>
        </is>
      </c>
      <c r="F148" t="n">
        <v>1</v>
      </c>
      <c r="G148" t="inlineStr">
        <is>
          <t>BS004</t>
        </is>
      </c>
      <c r="H148" t="inlineStr">
        <is>
          <t>14 Maret 2023</t>
        </is>
      </c>
      <c r="I148" s="2" t="n">
        <v>46236</v>
      </c>
      <c r="J148" t="inlineStr">
        <is>
          <t>Disetujui</t>
        </is>
      </c>
      <c r="K148" t="n">
        <v>60</v>
      </c>
      <c r="L148" t="inlineStr">
        <is>
          <t>2 Agustus 2026</t>
        </is>
      </c>
      <c r="M148" t="inlineStr">
        <is>
          <t>Konstruksi Jaringan Irigasi dan Drainase</t>
        </is>
      </c>
      <c r="N148" t="inlineStr">
        <is>
          <t>K</t>
        </is>
      </c>
      <c r="O148" t="inlineStr">
        <is>
          <t>20230728</t>
        </is>
      </c>
      <c r="P148" t="inlineStr">
        <is>
          <t>Kalimantan Utara</t>
        </is>
      </c>
      <c r="Q148" t="inlineStr"/>
    </row>
    <row r="149">
      <c r="A149" t="inlineStr">
        <is>
          <t>SAGARA SYANDANA PRIMA</t>
        </is>
      </c>
      <c r="B149" t="inlineStr">
        <is>
          <t>Kota Bandung</t>
        </is>
      </c>
      <c r="C149" t="inlineStr">
        <is>
          <t>082116855598</t>
        </is>
      </c>
      <c r="D149" t="inlineStr">
        <is>
          <t>sagaraprima@gmail.com</t>
        </is>
      </c>
      <c r="E149" t="inlineStr">
        <is>
          <t>https://lpjk.pu.go.id/search-badan-usaha-detail/NE10UUlrWVNzdlV4bmhFZmFJWGdhQT09</t>
        </is>
      </c>
      <c r="F149" t="n">
        <v>4</v>
      </c>
      <c r="G149" t="inlineStr">
        <is>
          <t>RK001, RK002, RK003, RK005</t>
        </is>
      </c>
      <c r="H149" t="inlineStr">
        <is>
          <t>26 Januari 2015</t>
        </is>
      </c>
      <c r="I149" s="2" t="n">
        <v>46236</v>
      </c>
      <c r="J149" t="inlineStr">
        <is>
          <t>Disetujui</t>
        </is>
      </c>
      <c r="K149" t="n">
        <v>60</v>
      </c>
      <c r="L149" t="inlineStr">
        <is>
          <t>2 Agustus 2026</t>
        </is>
      </c>
      <c r="M149" t="inlineStr">
        <is>
          <t>Jasa Rekayasa Konstruksi Bangunan Gedung Hunian dan Non Hunian, Jasa Rekayasa Lainnya, Jasa Rekayasa Pekerjaan Teknik Sipil Sumber Daya Air, Jasa Rekayasa Pekerjaan Teknik Sipil Transportasi</t>
        </is>
      </c>
      <c r="N149" t="inlineStr">
        <is>
          <t>K</t>
        </is>
      </c>
      <c r="O149" t="inlineStr">
        <is>
          <t>20230725</t>
        </is>
      </c>
      <c r="P149" t="inlineStr">
        <is>
          <t>Jawa Barat</t>
        </is>
      </c>
      <c r="Q149" t="inlineStr"/>
    </row>
    <row r="150">
      <c r="A150" t="inlineStr">
        <is>
          <t>SALIM INDOMAS EKAMITRA</t>
        </is>
      </c>
      <c r="B150" t="inlineStr">
        <is>
          <t>Kab. Tangerang</t>
        </is>
      </c>
      <c r="C150" t="inlineStr">
        <is>
          <t>02122222488</t>
        </is>
      </c>
      <c r="D150" t="inlineStr">
        <is>
          <t>salim_indomas@yahoo.co.id</t>
        </is>
      </c>
      <c r="E150" t="inlineStr">
        <is>
          <t>https://lpjk.pu.go.id/search-badan-usaha-detail/YW9MZ3NacTRlYWN3K05Nc1ZwWi9aQT09</t>
        </is>
      </c>
      <c r="F150" t="n">
        <v>1</v>
      </c>
      <c r="G150" t="inlineStr">
        <is>
          <t>BG009</t>
        </is>
      </c>
      <c r="H150" t="inlineStr">
        <is>
          <t>18 Juli 2011</t>
        </is>
      </c>
      <c r="I150" s="2" t="n">
        <v>46236</v>
      </c>
      <c r="J150" t="inlineStr">
        <is>
          <t>Disetujui</t>
        </is>
      </c>
      <c r="K150" t="n">
        <v>60</v>
      </c>
      <c r="L150" t="inlineStr">
        <is>
          <t>2 Agustus 2026</t>
        </is>
      </c>
      <c r="M150" t="inlineStr">
        <is>
          <t>Konstruksi Gedung Lainnya</t>
        </is>
      </c>
      <c r="N150" t="inlineStr">
        <is>
          <t>K</t>
        </is>
      </c>
      <c r="O150" t="inlineStr">
        <is>
          <t>20230706</t>
        </is>
      </c>
      <c r="P150" t="inlineStr">
        <is>
          <t>Banten</t>
        </is>
      </c>
      <c r="Q150" t="inlineStr"/>
    </row>
    <row r="151">
      <c r="A151" t="inlineStr">
        <is>
          <t>SAMAS</t>
        </is>
      </c>
      <c r="B151" t="inlineStr">
        <is>
          <t>Kota Mataram</t>
        </is>
      </c>
      <c r="C151" t="inlineStr">
        <is>
          <t>0817362553</t>
        </is>
      </c>
      <c r="D151" t="inlineStr">
        <is>
          <t>cvsamas@yahoo.com</t>
        </is>
      </c>
      <c r="E151" t="inlineStr">
        <is>
          <t>https://lpjk.pu.go.id/search-badan-usaha-detail/WjBubGtxWDNaOEVKdUxoZlVwY1Z1dz09</t>
        </is>
      </c>
      <c r="F151" t="n">
        <v>1</v>
      </c>
      <c r="G151" t="inlineStr">
        <is>
          <t>BS002</t>
        </is>
      </c>
      <c r="H151" t="inlineStr">
        <is>
          <t>29 Desember 1980</t>
        </is>
      </c>
      <c r="I151" s="2" t="n">
        <v>46236</v>
      </c>
      <c r="J151" t="inlineStr">
        <is>
          <t>Pencabutan</t>
        </is>
      </c>
      <c r="K151" t="n">
        <v>60</v>
      </c>
      <c r="L151" t="inlineStr">
        <is>
          <t>2 Agustus 2026</t>
        </is>
      </c>
      <c r="M151" t="inlineStr">
        <is>
          <t>Bangunan Sipil Jembatan, Jalan Layang, Fly Over, dan Underpass</t>
        </is>
      </c>
      <c r="N151" t="inlineStr">
        <is>
          <t>K</t>
        </is>
      </c>
      <c r="O151" t="inlineStr">
        <is>
          <t>20230802</t>
        </is>
      </c>
      <c r="P151" t="inlineStr">
        <is>
          <t>Nusa Tenggara Barat</t>
        </is>
      </c>
      <c r="Q151" t="inlineStr"/>
    </row>
    <row r="152">
      <c r="A152" t="inlineStr">
        <is>
          <t>SARANA ABADI CORPORATE (SAC)</t>
        </is>
      </c>
      <c r="B152" t="inlineStr">
        <is>
          <t>Kota Jambi</t>
        </is>
      </c>
      <c r="C152" t="inlineStr">
        <is>
          <t>-</t>
        </is>
      </c>
      <c r="D152" t="inlineStr">
        <is>
          <t>cv.sac@yahoo.com</t>
        </is>
      </c>
      <c r="E152" t="inlineStr">
        <is>
          <t>https://lpjk.pu.go.id/search-badan-usaha-detail/cnlydjRTVmxwVUg3RWNaTG1lYXhzdz09</t>
        </is>
      </c>
      <c r="F152" t="n">
        <v>3</v>
      </c>
      <c r="G152" t="inlineStr">
        <is>
          <t>BG002, BG006, BG009</t>
        </is>
      </c>
      <c r="H152" t="inlineStr">
        <is>
          <t>1 Desember 2006</t>
        </is>
      </c>
      <c r="I152" s="2" t="n">
        <v>46236</v>
      </c>
      <c r="J152" t="inlineStr">
        <is>
          <t>Disetujui</t>
        </is>
      </c>
      <c r="K152" t="n">
        <v>60</v>
      </c>
      <c r="L152" t="inlineStr">
        <is>
          <t>2 Agustus 2026</t>
        </is>
      </c>
      <c r="M152" t="inlineStr">
        <is>
          <t>Konstruksi Gedung Lainnya, Konstruksi Gedung Pendidikan, Konstruksi Gedung Perkantoran</t>
        </is>
      </c>
      <c r="N152" t="inlineStr">
        <is>
          <t>K</t>
        </is>
      </c>
      <c r="O152" t="inlineStr">
        <is>
          <t>20230704</t>
        </is>
      </c>
      <c r="P152" t="inlineStr">
        <is>
          <t>Jambi</t>
        </is>
      </c>
      <c r="Q152" t="inlineStr"/>
    </row>
    <row r="153">
      <c r="A153" t="inlineStr">
        <is>
          <t>SATRIA PININGIT</t>
        </is>
      </c>
      <c r="B153" t="inlineStr">
        <is>
          <t>Kota Cimahi</t>
        </is>
      </c>
      <c r="C153" t="inlineStr">
        <is>
          <t>085974205111</t>
        </is>
      </c>
      <c r="D153" t="inlineStr">
        <is>
          <t>cv.satriapiningit01@gmail.com</t>
        </is>
      </c>
      <c r="E153" t="inlineStr">
        <is>
          <t>https://lpjk.pu.go.id/search-badan-usaha-detail/Qk1jd0I0MlgydDh1QXR6U2haY0Z6UT09</t>
        </is>
      </c>
      <c r="F153" t="n">
        <v>1</v>
      </c>
      <c r="G153" t="inlineStr">
        <is>
          <t>BG006</t>
        </is>
      </c>
      <c r="H153" t="inlineStr">
        <is>
          <t>7 Februari 2019</t>
        </is>
      </c>
      <c r="I153" s="2" t="n">
        <v>46236</v>
      </c>
      <c r="J153" t="inlineStr">
        <is>
          <t>Disetujui</t>
        </is>
      </c>
      <c r="K153" t="n">
        <v>60</v>
      </c>
      <c r="L153" t="inlineStr">
        <is>
          <t>2 Agustus 2026</t>
        </is>
      </c>
      <c r="M153" t="inlineStr">
        <is>
          <t>Konstruksi Gedung Pendidikan</t>
        </is>
      </c>
      <c r="N153" t="inlineStr">
        <is>
          <t>K</t>
        </is>
      </c>
      <c r="O153" t="inlineStr">
        <is>
          <t>20230731</t>
        </is>
      </c>
      <c r="P153" t="inlineStr">
        <is>
          <t>Jawa Barat</t>
        </is>
      </c>
      <c r="Q153" t="inlineStr"/>
    </row>
    <row r="154">
      <c r="A154" t="inlineStr">
        <is>
          <t>SEGI TIGA EMAS</t>
        </is>
      </c>
      <c r="B154" t="inlineStr">
        <is>
          <t>Kab. Kerinci</t>
        </is>
      </c>
      <c r="C154" t="inlineStr">
        <is>
          <t>085366482851</t>
        </is>
      </c>
      <c r="D154" t="inlineStr">
        <is>
          <t>segitigaemascv5@gmail.com</t>
        </is>
      </c>
      <c r="E154" t="inlineStr">
        <is>
          <t>https://lpjk.pu.go.id/search-badan-usaha-detail/bHBGNmpIYVJMTUtwVDhjTGRWY2dQUT09</t>
        </is>
      </c>
      <c r="F154" t="n">
        <v>1</v>
      </c>
      <c r="G154" t="inlineStr">
        <is>
          <t>BS004</t>
        </is>
      </c>
      <c r="H154" t="inlineStr">
        <is>
          <t>7 Februari 2023</t>
        </is>
      </c>
      <c r="I154" s="2" t="n">
        <v>46236</v>
      </c>
      <c r="J154" t="inlineStr">
        <is>
          <t>Disetujui</t>
        </is>
      </c>
      <c r="K154" t="n">
        <v>60</v>
      </c>
      <c r="L154" t="inlineStr">
        <is>
          <t>2 Agustus 2026</t>
        </is>
      </c>
      <c r="M154" t="inlineStr">
        <is>
          <t>Konstruksi Jaringan Irigasi dan Drainase</t>
        </is>
      </c>
      <c r="N154" t="inlineStr">
        <is>
          <t>K</t>
        </is>
      </c>
      <c r="O154" t="inlineStr">
        <is>
          <t>20230727</t>
        </is>
      </c>
      <c r="P154" t="inlineStr">
        <is>
          <t>Jambi</t>
        </is>
      </c>
      <c r="Q154" t="inlineStr"/>
    </row>
    <row r="155">
      <c r="A155" t="inlineStr">
        <is>
          <t>SELAMAT KARYA BERSAMA</t>
        </is>
      </c>
      <c r="B155" t="inlineStr">
        <is>
          <t>Kab. Kutai Timur</t>
        </is>
      </c>
      <c r="C155" t="inlineStr">
        <is>
          <t>082148347685</t>
        </is>
      </c>
      <c r="D155" t="inlineStr">
        <is>
          <t>cv.selamatkaryabersama@gmail.com</t>
        </is>
      </c>
      <c r="E155" t="inlineStr">
        <is>
          <t>https://lpjk.pu.go.id/search-badan-usaha-detail/Y3kzem9zUXJvUkxWS1oxaUQ3MUFKUT09</t>
        </is>
      </c>
      <c r="F155" t="n">
        <v>2</v>
      </c>
      <c r="G155" t="inlineStr">
        <is>
          <t>BG006, BG009</t>
        </is>
      </c>
      <c r="H155" t="inlineStr">
        <is>
          <t>24 Juli 2023</t>
        </is>
      </c>
      <c r="I155" s="2" t="n">
        <v>46236</v>
      </c>
      <c r="J155" t="inlineStr">
        <is>
          <t>Disetujui</t>
        </is>
      </c>
      <c r="K155" t="n">
        <v>60</v>
      </c>
      <c r="L155" t="inlineStr">
        <is>
          <t>2 Agustus 2026</t>
        </is>
      </c>
      <c r="M155" t="inlineStr">
        <is>
          <t>Konstruksi Gedung Lainnya, Konstruksi Gedung Pendidikan</t>
        </is>
      </c>
      <c r="N155" t="inlineStr">
        <is>
          <t>K</t>
        </is>
      </c>
      <c r="O155" t="inlineStr">
        <is>
          <t>20230727</t>
        </is>
      </c>
      <c r="P155" t="inlineStr">
        <is>
          <t>Kalimantan Timur</t>
        </is>
      </c>
      <c r="Q155" t="inlineStr"/>
    </row>
    <row r="156">
      <c r="A156" t="inlineStr">
        <is>
          <t>SERUMPUN MUTIARA PETUNG</t>
        </is>
      </c>
      <c r="B156" t="inlineStr">
        <is>
          <t>Kab. Penajam Paser Utara</t>
        </is>
      </c>
      <c r="C156" t="inlineStr">
        <is>
          <t>081253437033</t>
        </is>
      </c>
      <c r="D156" t="inlineStr">
        <is>
          <t>pt.mutiarapetung@gmail.com</t>
        </is>
      </c>
      <c r="E156" t="inlineStr">
        <is>
          <t>https://lpjk.pu.go.id/search-badan-usaha-detail/WjdOckhmdHFSWVZuU3poQ0xFdytBUT09</t>
        </is>
      </c>
      <c r="F156" t="n">
        <v>4</v>
      </c>
      <c r="G156" t="inlineStr">
        <is>
          <t>BG002, BG004, BG006, BG009</t>
        </is>
      </c>
      <c r="H156" t="inlineStr">
        <is>
          <t>27 November 2018</t>
        </is>
      </c>
      <c r="I156" s="2" t="n">
        <v>46236</v>
      </c>
      <c r="J156" t="inlineStr">
        <is>
          <t>Pencabutan</t>
        </is>
      </c>
      <c r="K156" t="n">
        <v>60</v>
      </c>
      <c r="L156" t="inlineStr">
        <is>
          <t>2 Agustus 2026</t>
        </is>
      </c>
      <c r="M156" t="inlineStr">
        <is>
          <t>Konstruksi Gedung Lainnya, Konstruksi Gedung Pendidikan, Konstruksi Gedung Perbelanjaan, Konstruksi Gedung Perkantoran</t>
        </is>
      </c>
      <c r="N156" t="inlineStr">
        <is>
          <t>K</t>
        </is>
      </c>
      <c r="O156" t="inlineStr">
        <is>
          <t>20230731</t>
        </is>
      </c>
      <c r="P156" t="inlineStr">
        <is>
          <t>Kalimantan Timur</t>
        </is>
      </c>
      <c r="Q156" t="inlineStr"/>
    </row>
    <row r="157">
      <c r="A157" t="inlineStr">
        <is>
          <t>SHAKILA JAYA ABADI</t>
        </is>
      </c>
      <c r="B157" t="inlineStr">
        <is>
          <t>Kab. Majalengka</t>
        </is>
      </c>
      <c r="C157" t="inlineStr">
        <is>
          <t>0</t>
        </is>
      </c>
      <c r="D157" t="inlineStr">
        <is>
          <t>asepjokosutirto.8282@yahoo.com</t>
        </is>
      </c>
      <c r="E157" t="inlineStr">
        <is>
          <t>https://lpjk.pu.go.id/search-badan-usaha-detail/cmoxL21ucE5hUlh1OVBKdkVqZzJhZz09</t>
        </is>
      </c>
      <c r="F157" t="n">
        <v>1</v>
      </c>
      <c r="G157" t="inlineStr">
        <is>
          <t>BS004</t>
        </is>
      </c>
      <c r="H157" t="inlineStr">
        <is>
          <t>1 Agustus 2013</t>
        </is>
      </c>
      <c r="I157" s="2" t="n">
        <v>46236</v>
      </c>
      <c r="J157" t="inlineStr">
        <is>
          <t>Disetujui</t>
        </is>
      </c>
      <c r="K157" t="n">
        <v>60</v>
      </c>
      <c r="L157" t="inlineStr">
        <is>
          <t>2 Agustus 2026</t>
        </is>
      </c>
      <c r="M157" t="inlineStr">
        <is>
          <t>Konstruksi Jaringan Irigasi dan Drainase</t>
        </is>
      </c>
      <c r="N157" t="inlineStr">
        <is>
          <t>K</t>
        </is>
      </c>
      <c r="O157" t="inlineStr">
        <is>
          <t>20230801</t>
        </is>
      </c>
      <c r="P157" t="inlineStr">
        <is>
          <t>Jawa Barat</t>
        </is>
      </c>
      <c r="Q157" t="inlineStr"/>
    </row>
    <row r="158">
      <c r="A158" t="inlineStr">
        <is>
          <t>SHAMARA KONS PERKASA</t>
        </is>
      </c>
      <c r="B158" t="inlineStr">
        <is>
          <t>Kab. Grobogan</t>
        </is>
      </c>
      <c r="C158" t="inlineStr">
        <is>
          <t>081281510144</t>
        </is>
      </c>
      <c r="D158" t="inlineStr">
        <is>
          <t>shamarakons27@gmail.com</t>
        </is>
      </c>
      <c r="E158" t="inlineStr">
        <is>
          <t>https://lpjk.pu.go.id/search-badan-usaha-detail/Uk54VFBYOWYyVmJPZkk2eTRwa1pnZz09</t>
        </is>
      </c>
      <c r="F158" t="n">
        <v>2</v>
      </c>
      <c r="G158" t="inlineStr">
        <is>
          <t>BG006, BG009</t>
        </is>
      </c>
      <c r="H158" t="inlineStr">
        <is>
          <t>19 Juli 2021</t>
        </is>
      </c>
      <c r="I158" s="2" t="n">
        <v>46236</v>
      </c>
      <c r="J158" t="inlineStr">
        <is>
          <t>Disetujui</t>
        </is>
      </c>
      <c r="K158" t="n">
        <v>60</v>
      </c>
      <c r="L158" t="inlineStr">
        <is>
          <t>2 Agustus 2026</t>
        </is>
      </c>
      <c r="M158" t="inlineStr">
        <is>
          <t>Konstruksi Gedung Lainnya, Konstruksi Gedung Pendidikan</t>
        </is>
      </c>
      <c r="N158" t="inlineStr">
        <is>
          <t>K</t>
        </is>
      </c>
      <c r="O158" t="inlineStr">
        <is>
          <t>20230802</t>
        </is>
      </c>
      <c r="P158" t="inlineStr">
        <is>
          <t>Jawa Tengah</t>
        </is>
      </c>
      <c r="Q158" t="inlineStr"/>
    </row>
    <row r="159">
      <c r="A159" t="inlineStr">
        <is>
          <t>SINAR JERUK</t>
        </is>
      </c>
      <c r="B159" t="inlineStr">
        <is>
          <t>Kab. Lebak</t>
        </is>
      </c>
      <c r="C159" t="inlineStr">
        <is>
          <t>085695250121</t>
        </is>
      </c>
      <c r="D159" t="inlineStr">
        <is>
          <t>cvsinarjeruk@gmail.com</t>
        </is>
      </c>
      <c r="E159" t="inlineStr">
        <is>
          <t>https://lpjk.pu.go.id/search-badan-usaha-detail/Mm9GSHZIZUdmU1RpK3dlWGRGend1Zz09</t>
        </is>
      </c>
      <c r="F159" t="n">
        <v>1</v>
      </c>
      <c r="G159" t="inlineStr">
        <is>
          <t>BS001</t>
        </is>
      </c>
      <c r="H159" t="inlineStr">
        <is>
          <t>25 Agustus 2016</t>
        </is>
      </c>
      <c r="I159" s="2" t="n">
        <v>46236</v>
      </c>
      <c r="J159" t="inlineStr">
        <is>
          <t>Disetujui</t>
        </is>
      </c>
      <c r="K159" t="n">
        <v>60</v>
      </c>
      <c r="L159" t="inlineStr">
        <is>
          <t>2 Agustus 2026</t>
        </is>
      </c>
      <c r="M159" t="inlineStr">
        <is>
          <t>Konstruksi Bangunan Sipil Jalan</t>
        </is>
      </c>
      <c r="N159" t="inlineStr">
        <is>
          <t>K</t>
        </is>
      </c>
      <c r="O159" t="inlineStr">
        <is>
          <t>20230726</t>
        </is>
      </c>
      <c r="P159" t="inlineStr">
        <is>
          <t>Banten</t>
        </is>
      </c>
      <c r="Q159" t="inlineStr"/>
    </row>
    <row r="160">
      <c r="A160" t="inlineStr">
        <is>
          <t>SULTHAN MANDIRI</t>
        </is>
      </c>
      <c r="B160" t="inlineStr">
        <is>
          <t>Kab. Musi Rawas</t>
        </is>
      </c>
      <c r="C160" t="inlineStr">
        <is>
          <t>85273052458</t>
        </is>
      </c>
      <c r="D160" t="inlineStr">
        <is>
          <t>saprin.sulthanmandiri@gmail.com</t>
        </is>
      </c>
      <c r="E160" t="inlineStr">
        <is>
          <t>https://lpjk.pu.go.id/search-badan-usaha-detail/Q0xBOEZIeC9Mem9xR1JYbWlMaUhLQT09</t>
        </is>
      </c>
      <c r="F160" t="n">
        <v>5</v>
      </c>
      <c r="G160" t="inlineStr">
        <is>
          <t>BG005, BG006, BG009, BS001, BS004</t>
        </is>
      </c>
      <c r="H160" t="inlineStr">
        <is>
          <t>24 November 2014</t>
        </is>
      </c>
      <c r="I160" s="2" t="n">
        <v>46236</v>
      </c>
      <c r="J160" t="inlineStr">
        <is>
          <t>Disetujui</t>
        </is>
      </c>
      <c r="K160" t="n">
        <v>60</v>
      </c>
      <c r="L160" t="inlineStr">
        <is>
          <t>2 Agustus 2026</t>
        </is>
      </c>
      <c r="M160" t="inlineStr">
        <is>
          <t>Konstruksi Bangunan Sipil Jalan, Konstruksi Gedung Kesehatan, Konstruksi Gedung Lainnya, Konstruksi Gedung Pendidikan, Konstruksi Jaringan Irigasi dan Drainase</t>
        </is>
      </c>
      <c r="N160" t="inlineStr">
        <is>
          <t>K</t>
        </is>
      </c>
      <c r="O160" t="inlineStr">
        <is>
          <t>20230731</t>
        </is>
      </c>
      <c r="P160" t="inlineStr">
        <is>
          <t>Sumatera Selatan</t>
        </is>
      </c>
      <c r="Q160" t="inlineStr"/>
    </row>
    <row r="161">
      <c r="A161" t="inlineStr">
        <is>
          <t>SUMBER BENING KONSTRUKSI</t>
        </is>
      </c>
      <c r="B161" t="inlineStr">
        <is>
          <t>Kab. Banyuwangi</t>
        </is>
      </c>
      <c r="C161" t="inlineStr">
        <is>
          <t>085936163353</t>
        </is>
      </c>
      <c r="D161" t="inlineStr">
        <is>
          <t>beningsumber077@gmail.com</t>
        </is>
      </c>
      <c r="E161" t="inlineStr">
        <is>
          <t>https://lpjk.pu.go.id/search-badan-usaha-detail/b3U5bktCR3dnSis4ZU1sWkdvaTYxZz09</t>
        </is>
      </c>
      <c r="F161" t="n">
        <v>1</v>
      </c>
      <c r="G161" t="inlineStr">
        <is>
          <t>BS001</t>
        </is>
      </c>
      <c r="H161" t="inlineStr">
        <is>
          <t>2 Juni 2023</t>
        </is>
      </c>
      <c r="I161" s="2" t="n">
        <v>46236</v>
      </c>
      <c r="J161" t="inlineStr">
        <is>
          <t>Disetujui</t>
        </is>
      </c>
      <c r="K161" t="n">
        <v>60</v>
      </c>
      <c r="L161" t="inlineStr">
        <is>
          <t>2 Agustus 2026</t>
        </is>
      </c>
      <c r="M161" t="inlineStr">
        <is>
          <t>Konstruksi Bangunan Sipil Jalan</t>
        </is>
      </c>
      <c r="N161" t="inlineStr">
        <is>
          <t>K</t>
        </is>
      </c>
      <c r="O161" t="inlineStr">
        <is>
          <t>20230802</t>
        </is>
      </c>
      <c r="P161" t="inlineStr">
        <is>
          <t>Jawa Timur</t>
        </is>
      </c>
      <c r="Q161" t="inlineStr"/>
    </row>
    <row r="162">
      <c r="A162" t="inlineStr">
        <is>
          <t>SUMBER JAYA</t>
        </is>
      </c>
      <c r="B162" t="inlineStr">
        <is>
          <t>Kab. Sidoarjo</t>
        </is>
      </c>
      <c r="C162" t="inlineStr">
        <is>
          <t>0318852620</t>
        </is>
      </c>
      <c r="D162" t="inlineStr">
        <is>
          <t>ia.sumberjaya@gmail.com</t>
        </is>
      </c>
      <c r="E162" t="inlineStr">
        <is>
          <t>https://lpjk.pu.go.id/search-badan-usaha-detail/UVQzbndhUWlFbGdhVmdwczc5RittQT09</t>
        </is>
      </c>
      <c r="F162" t="n">
        <v>1</v>
      </c>
      <c r="G162" t="inlineStr">
        <is>
          <t>BS001</t>
        </is>
      </c>
      <c r="H162" t="inlineStr">
        <is>
          <t>6 Agustus 2009</t>
        </is>
      </c>
      <c r="I162" s="2" t="n">
        <v>46236</v>
      </c>
      <c r="J162" t="inlineStr">
        <is>
          <t>Pencabutan</t>
        </is>
      </c>
      <c r="K162" t="n">
        <v>60</v>
      </c>
      <c r="L162" t="inlineStr">
        <is>
          <t>2 Agustus 2026</t>
        </is>
      </c>
      <c r="M162" t="inlineStr">
        <is>
          <t>Konstruksi Bangunan Sipil Jalan</t>
        </is>
      </c>
      <c r="N162" t="inlineStr">
        <is>
          <t>K</t>
        </is>
      </c>
      <c r="O162" t="inlineStr">
        <is>
          <t>20230731</t>
        </is>
      </c>
      <c r="P162" t="inlineStr">
        <is>
          <t>Jawa Timur</t>
        </is>
      </c>
      <c r="Q162" t="inlineStr"/>
    </row>
    <row r="163">
      <c r="A163" t="inlineStr">
        <is>
          <t>SUMBER MAKMUR AKSATA</t>
        </is>
      </c>
      <c r="B163" t="inlineStr">
        <is>
          <t>Kota Banda Aceh</t>
        </is>
      </c>
      <c r="C163" t="inlineStr">
        <is>
          <t>085276593171</t>
        </is>
      </c>
      <c r="D163" t="inlineStr">
        <is>
          <t>sumbermakmuraksata@gmail.com</t>
        </is>
      </c>
      <c r="E163" t="inlineStr">
        <is>
          <t>https://lpjk.pu.go.id/search-badan-usaha-detail/bVppNFBoSWQrV2ZPNHdBR2N0N0FEdz09</t>
        </is>
      </c>
      <c r="F163" t="n">
        <v>1</v>
      </c>
      <c r="G163" t="inlineStr">
        <is>
          <t>BS004</t>
        </is>
      </c>
      <c r="H163" t="inlineStr">
        <is>
          <t>20 Januari 2020</t>
        </is>
      </c>
      <c r="I163" s="2" t="n">
        <v>46236</v>
      </c>
      <c r="J163" t="inlineStr">
        <is>
          <t>Disetujui</t>
        </is>
      </c>
      <c r="K163" t="n">
        <v>60</v>
      </c>
      <c r="L163" t="inlineStr">
        <is>
          <t>2 Agustus 2026</t>
        </is>
      </c>
      <c r="M163" t="inlineStr">
        <is>
          <t>Konstruksi Jaringan Irigasi dan Drainase</t>
        </is>
      </c>
      <c r="N163" t="inlineStr">
        <is>
          <t>K</t>
        </is>
      </c>
      <c r="O163" t="inlineStr">
        <is>
          <t>20230731</t>
        </is>
      </c>
      <c r="P163" t="inlineStr">
        <is>
          <t>Aceh</t>
        </is>
      </c>
      <c r="Q163" t="inlineStr"/>
    </row>
    <row r="164">
      <c r="A164" t="inlineStr">
        <is>
          <t>SUMBER MULYO</t>
        </is>
      </c>
      <c r="B164" t="inlineStr">
        <is>
          <t>Kab. Gunungkidul</t>
        </is>
      </c>
      <c r="C164" t="inlineStr">
        <is>
          <t>081327725559</t>
        </is>
      </c>
      <c r="D164" t="inlineStr">
        <is>
          <t>sumbermulyocvpri@ymail.com</t>
        </is>
      </c>
      <c r="E164" t="inlineStr">
        <is>
          <t>https://lpjk.pu.go.id/search-badan-usaha-detail/d3hmTEg5ZjJVOVZURUh2VFp5TnFoQT09</t>
        </is>
      </c>
      <c r="F164" t="n">
        <v>1</v>
      </c>
      <c r="G164" t="inlineStr">
        <is>
          <t>BS001</t>
        </is>
      </c>
      <c r="H164" t="inlineStr">
        <is>
          <t>31 Juli 2004</t>
        </is>
      </c>
      <c r="I164" s="2" t="n">
        <v>46236</v>
      </c>
      <c r="J164" t="inlineStr">
        <is>
          <t>Disetujui</t>
        </is>
      </c>
      <c r="K164" t="n">
        <v>60</v>
      </c>
      <c r="L164" t="inlineStr">
        <is>
          <t>2 Agustus 2026</t>
        </is>
      </c>
      <c r="M164" t="inlineStr">
        <is>
          <t>Konstruksi Bangunan Sipil Jalan</t>
        </is>
      </c>
      <c r="N164" t="inlineStr">
        <is>
          <t>K</t>
        </is>
      </c>
      <c r="O164" t="inlineStr">
        <is>
          <t>20230731</t>
        </is>
      </c>
      <c r="P164" t="inlineStr">
        <is>
          <t>DI Yogyakarta</t>
        </is>
      </c>
      <c r="Q164" t="inlineStr"/>
    </row>
    <row r="165">
      <c r="A165" t="inlineStr">
        <is>
          <t>SUMBER RESKY</t>
        </is>
      </c>
      <c r="B165" t="inlineStr">
        <is>
          <t>Kota Pontianak</t>
        </is>
      </c>
      <c r="C165" t="inlineStr">
        <is>
          <t>082157818272</t>
        </is>
      </c>
      <c r="D165" t="inlineStr">
        <is>
          <t>CV.SumberResky@gmail.com</t>
        </is>
      </c>
      <c r="E165" t="inlineStr">
        <is>
          <t>https://lpjk.pu.go.id/search-badan-usaha-detail/NHduU0NUVkluK1ltT0lIdEFuU0Fzdz09</t>
        </is>
      </c>
      <c r="F165" t="n">
        <v>1</v>
      </c>
      <c r="G165" t="inlineStr">
        <is>
          <t>BS005</t>
        </is>
      </c>
      <c r="H165" t="inlineStr">
        <is>
          <t>7 Agustus 2019</t>
        </is>
      </c>
      <c r="I165" s="2" t="n">
        <v>46236</v>
      </c>
      <c r="J165" t="inlineStr">
        <is>
          <t>Pencabutan</t>
        </is>
      </c>
      <c r="K165" t="n">
        <v>60</v>
      </c>
      <c r="L165" t="inlineStr">
        <is>
          <t>2 Agustus 2026</t>
        </is>
      </c>
      <c r="M165" t="inlineStr">
        <is>
          <t>Konstruksi Bangunan Sipil Pengolahan Air Bersih</t>
        </is>
      </c>
      <c r="N165" t="inlineStr">
        <is>
          <t>K</t>
        </is>
      </c>
      <c r="O165" t="inlineStr">
        <is>
          <t>20230704</t>
        </is>
      </c>
      <c r="P165" t="inlineStr">
        <is>
          <t>Kalimantan Barat</t>
        </is>
      </c>
      <c r="Q165" t="inlineStr"/>
    </row>
    <row r="166">
      <c r="A166" t="inlineStr">
        <is>
          <t>SUMBER REZEKI</t>
        </is>
      </c>
      <c r="B166" t="inlineStr">
        <is>
          <t>Kab. Tapin</t>
        </is>
      </c>
      <c r="C166" t="inlineStr">
        <is>
          <t>082152480999</t>
        </is>
      </c>
      <c r="D166" t="inlineStr">
        <is>
          <t>cv.sr@yahoo.com</t>
        </is>
      </c>
      <c r="E166" t="inlineStr">
        <is>
          <t>https://lpjk.pu.go.id/search-badan-usaha-detail/MWhqZXNuSExIbW95ZnE5UXNvb3I5UT09</t>
        </is>
      </c>
      <c r="F166" t="n">
        <v>1</v>
      </c>
      <c r="G166" t="inlineStr">
        <is>
          <t>BS004</t>
        </is>
      </c>
      <c r="H166" t="inlineStr">
        <is>
          <t>29 Agustus 2007</t>
        </is>
      </c>
      <c r="I166" s="2" t="n">
        <v>46236</v>
      </c>
      <c r="J166" t="inlineStr">
        <is>
          <t>Disetujui</t>
        </is>
      </c>
      <c r="K166" t="n">
        <v>60</v>
      </c>
      <c r="L166" t="inlineStr">
        <is>
          <t>2 Agustus 2026</t>
        </is>
      </c>
      <c r="M166" t="inlineStr">
        <is>
          <t>Konstruksi Jaringan Irigasi dan Drainase</t>
        </is>
      </c>
      <c r="N166" t="inlineStr">
        <is>
          <t>K</t>
        </is>
      </c>
      <c r="O166" t="inlineStr">
        <is>
          <t>20230803</t>
        </is>
      </c>
      <c r="P166" t="inlineStr">
        <is>
          <t>Kalimantan Selatan</t>
        </is>
      </c>
      <c r="Q166" t="inlineStr"/>
    </row>
    <row r="167">
      <c r="A167" t="inlineStr">
        <is>
          <t>SURYA CITRA PERSADA</t>
        </is>
      </c>
      <c r="B167" t="inlineStr">
        <is>
          <t>Kota Jambi</t>
        </is>
      </c>
      <c r="C167" t="inlineStr">
        <is>
          <t>081366330877</t>
        </is>
      </c>
      <c r="D167" t="inlineStr">
        <is>
          <t>cpersada44@yahoo.com</t>
        </is>
      </c>
      <c r="E167" t="inlineStr">
        <is>
          <t>https://lpjk.pu.go.id/search-badan-usaha-detail/cGR0cmJJV21xaStLSG1uQjB3eGtTUT09</t>
        </is>
      </c>
      <c r="F167" t="n">
        <v>2</v>
      </c>
      <c r="G167" t="inlineStr">
        <is>
          <t>BS001, BS011</t>
        </is>
      </c>
      <c r="H167" t="inlineStr">
        <is>
          <t>3 Januari 2008</t>
        </is>
      </c>
      <c r="I167" s="2" t="n">
        <v>46236</v>
      </c>
      <c r="J167" t="inlineStr">
        <is>
          <t>Disetujui, Pencabutan</t>
        </is>
      </c>
      <c r="K167" t="n">
        <v>60</v>
      </c>
      <c r="L167" t="inlineStr">
        <is>
          <t>2 Agustus 2026</t>
        </is>
      </c>
      <c r="M167" t="inlineStr">
        <is>
          <t>Konstruksi Bangunan Pelabuhan Bukan Perikanan, Konstruksi Bangunan Sipil Jalan</t>
        </is>
      </c>
      <c r="N167" t="inlineStr">
        <is>
          <t>K</t>
        </is>
      </c>
      <c r="O167" t="inlineStr">
        <is>
          <t>20230621, 20230731</t>
        </is>
      </c>
      <c r="P167" t="inlineStr">
        <is>
          <t>Jambi</t>
        </is>
      </c>
      <c r="Q167" t="inlineStr"/>
    </row>
    <row r="168">
      <c r="A168" t="inlineStr">
        <is>
          <t>SURYA JAYA UTAMA</t>
        </is>
      </c>
      <c r="B168" t="inlineStr">
        <is>
          <t>Kota Pematangsiantar</t>
        </is>
      </c>
      <c r="C168" t="inlineStr">
        <is>
          <t>081361446720</t>
        </is>
      </c>
      <c r="D168" t="inlineStr">
        <is>
          <t>suryajayautamaps@yahoo.com</t>
        </is>
      </c>
      <c r="E168" t="inlineStr">
        <is>
          <t>https://lpjk.pu.go.id/search-badan-usaha-detail/MG1GcS9vTUM3UDNORFB6RFJyR0ZjZz09</t>
        </is>
      </c>
      <c r="F168" t="n">
        <v>1</v>
      </c>
      <c r="G168" t="inlineStr">
        <is>
          <t>BG005</t>
        </is>
      </c>
      <c r="H168" t="inlineStr">
        <is>
          <t>22 Juni 2012</t>
        </is>
      </c>
      <c r="I168" s="2" t="n">
        <v>46236</v>
      </c>
      <c r="J168" t="inlineStr">
        <is>
          <t>Disetujui</t>
        </is>
      </c>
      <c r="K168" t="n">
        <v>60</v>
      </c>
      <c r="L168" t="inlineStr">
        <is>
          <t>2 Agustus 2026</t>
        </is>
      </c>
      <c r="M168" t="inlineStr">
        <is>
          <t>Konstruksi Gedung Kesehatan</t>
        </is>
      </c>
      <c r="N168" t="inlineStr">
        <is>
          <t>K</t>
        </is>
      </c>
      <c r="O168" t="inlineStr">
        <is>
          <t>20230803</t>
        </is>
      </c>
      <c r="P168" t="inlineStr">
        <is>
          <t>Sumatera Utara</t>
        </is>
      </c>
      <c r="Q168" t="inlineStr"/>
    </row>
    <row r="169">
      <c r="A169" t="inlineStr">
        <is>
          <t>TANGGUH SWAKARSA MANDIRI</t>
        </is>
      </c>
      <c r="B169" t="inlineStr">
        <is>
          <t>Kota Adm. Jakarta Selatan</t>
        </is>
      </c>
      <c r="C169" t="inlineStr">
        <is>
          <t>02183701922</t>
        </is>
      </c>
      <c r="D169" t="inlineStr">
        <is>
          <t>tangguhsm@ymail.com</t>
        </is>
      </c>
      <c r="E169" t="inlineStr">
        <is>
          <t>https://lpjk.pu.go.id/search-badan-usaha-detail/Z2Z3b1JKSC9TSnZCQVhpRVJKWXdiUT09</t>
        </is>
      </c>
      <c r="F169" t="n">
        <v>1</v>
      </c>
      <c r="G169" t="inlineStr">
        <is>
          <t>BG002</t>
        </is>
      </c>
      <c r="H169" t="inlineStr">
        <is>
          <t>26 Juli 1996</t>
        </is>
      </c>
      <c r="I169" s="2" t="n">
        <v>46236</v>
      </c>
      <c r="J169" t="inlineStr">
        <is>
          <t>Disetujui</t>
        </is>
      </c>
      <c r="K169" t="n">
        <v>60</v>
      </c>
      <c r="L169" t="inlineStr">
        <is>
          <t>2 Agustus 2026</t>
        </is>
      </c>
      <c r="M169" t="inlineStr">
        <is>
          <t>Konstruksi Gedung Perkantoran</t>
        </is>
      </c>
      <c r="N169" t="inlineStr">
        <is>
          <t>K</t>
        </is>
      </c>
      <c r="O169" t="inlineStr">
        <is>
          <t>20230727</t>
        </is>
      </c>
      <c r="P169" t="inlineStr">
        <is>
          <t>DKI Jakarta</t>
        </is>
      </c>
      <c r="Q169" t="inlineStr"/>
    </row>
    <row r="170">
      <c r="A170" t="inlineStr">
        <is>
          <t>TEAM BROTHERS</t>
        </is>
      </c>
      <c r="B170" t="inlineStr">
        <is>
          <t>Kota Sawahlunto</t>
        </is>
      </c>
      <c r="C170" t="inlineStr">
        <is>
          <t>081363240000</t>
        </is>
      </c>
      <c r="D170" t="inlineStr">
        <is>
          <t>cvteambrothers@gmail.com</t>
        </is>
      </c>
      <c r="E170" t="inlineStr">
        <is>
          <t>https://lpjk.pu.go.id/search-badan-usaha-detail/bDlndHhWWVRCczJlNUFuYTJpSWZyUT09</t>
        </is>
      </c>
      <c r="F170" t="n">
        <v>1</v>
      </c>
      <c r="G170" t="inlineStr">
        <is>
          <t>BG006</t>
        </is>
      </c>
      <c r="H170" t="inlineStr">
        <is>
          <t>23 Januari 2017</t>
        </is>
      </c>
      <c r="I170" s="2" t="n">
        <v>46236</v>
      </c>
      <c r="J170" t="inlineStr">
        <is>
          <t>Disetujui</t>
        </is>
      </c>
      <c r="K170" t="n">
        <v>60</v>
      </c>
      <c r="L170" t="inlineStr">
        <is>
          <t>2 Agustus 2026</t>
        </is>
      </c>
      <c r="M170" t="inlineStr">
        <is>
          <t>Konstruksi Gedung Pendidikan</t>
        </is>
      </c>
      <c r="N170" t="inlineStr">
        <is>
          <t>K</t>
        </is>
      </c>
      <c r="O170" t="inlineStr">
        <is>
          <t>20230721</t>
        </is>
      </c>
      <c r="P170" t="inlineStr">
        <is>
          <t>Sumatera Barat</t>
        </is>
      </c>
      <c r="Q170" t="inlineStr"/>
    </row>
    <row r="171">
      <c r="A171" t="inlineStr">
        <is>
          <t>TIGA BANGUN UTAMA</t>
        </is>
      </c>
      <c r="B171" t="inlineStr">
        <is>
          <t>Kab. Ketapang</t>
        </is>
      </c>
      <c r="C171" t="inlineStr">
        <is>
          <t>08115620971</t>
        </is>
      </c>
      <c r="D171" t="inlineStr">
        <is>
          <t>tigabangunutama@gmail.com</t>
        </is>
      </c>
      <c r="E171" t="inlineStr">
        <is>
          <t>https://lpjk.pu.go.id/search-badan-usaha-detail/VHZLWVRvOHpuaGxnVzZjRlMrMDVPZz09</t>
        </is>
      </c>
      <c r="F171" t="n">
        <v>1</v>
      </c>
      <c r="G171" t="inlineStr">
        <is>
          <t>BG001</t>
        </is>
      </c>
      <c r="H171" t="inlineStr">
        <is>
          <t>1 Januari 2018</t>
        </is>
      </c>
      <c r="I171" s="2" t="n">
        <v>46236</v>
      </c>
      <c r="J171" t="inlineStr">
        <is>
          <t>Disetujui</t>
        </is>
      </c>
      <c r="K171" t="n">
        <v>60</v>
      </c>
      <c r="L171" t="inlineStr">
        <is>
          <t>2 Agustus 2026</t>
        </is>
      </c>
      <c r="M171" t="inlineStr">
        <is>
          <t>Konstruksi Gedung Hunian</t>
        </is>
      </c>
      <c r="N171" t="inlineStr">
        <is>
          <t>K</t>
        </is>
      </c>
      <c r="O171" t="inlineStr">
        <is>
          <t>20230731</t>
        </is>
      </c>
      <c r="P171" t="inlineStr">
        <is>
          <t>Kalimantan Barat</t>
        </is>
      </c>
      <c r="Q171" t="inlineStr"/>
    </row>
    <row r="172">
      <c r="A172" t="inlineStr">
        <is>
          <t>TIGA PILAR BERSATU</t>
        </is>
      </c>
      <c r="B172" t="inlineStr">
        <is>
          <t>Kota Pekalongan</t>
        </is>
      </c>
      <c r="C172" t="inlineStr">
        <is>
          <t>081575231297</t>
        </is>
      </c>
      <c r="D172" t="inlineStr">
        <is>
          <t>tigapilarbersatu@yahoo.com</t>
        </is>
      </c>
      <c r="E172" t="inlineStr">
        <is>
          <t>https://lpjk.pu.go.id/search-badan-usaha-detail/RlZkcFdQaXYzUU5oQ3dVSEdPdUhOZz09</t>
        </is>
      </c>
      <c r="F172" t="n">
        <v>1</v>
      </c>
      <c r="G172" t="inlineStr">
        <is>
          <t>BS001</t>
        </is>
      </c>
      <c r="H172" t="inlineStr">
        <is>
          <t>19 September 2012</t>
        </is>
      </c>
      <c r="I172" s="2" t="n">
        <v>46236</v>
      </c>
      <c r="J172" t="inlineStr">
        <is>
          <t>Disetujui</t>
        </is>
      </c>
      <c r="K172" t="n">
        <v>60</v>
      </c>
      <c r="L172" t="inlineStr">
        <is>
          <t>2 Agustus 2026</t>
        </is>
      </c>
      <c r="M172" t="inlineStr">
        <is>
          <t>Konstruksi Bangunan Sipil Jalan</t>
        </is>
      </c>
      <c r="N172" t="inlineStr">
        <is>
          <t>K</t>
        </is>
      </c>
      <c r="O172" t="inlineStr">
        <is>
          <t>20230802</t>
        </is>
      </c>
      <c r="P172" t="inlineStr">
        <is>
          <t>Jawa Tengah</t>
        </is>
      </c>
      <c r="Q172" t="inlineStr"/>
    </row>
    <row r="173">
      <c r="A173" t="inlineStr">
        <is>
          <t>TIGA PUTRA CINTA</t>
        </is>
      </c>
      <c r="B173" t="inlineStr">
        <is>
          <t>Kab. Lamongan</t>
        </is>
      </c>
      <c r="C173" t="inlineStr">
        <is>
          <t>085746056818</t>
        </is>
      </c>
      <c r="D173" t="inlineStr">
        <is>
          <t>3putracintacv@gmail.com</t>
        </is>
      </c>
      <c r="E173" t="inlineStr">
        <is>
          <t>https://lpjk.pu.go.id/search-badan-usaha-detail/M0lnbEhXdVdmVDFZM0VaKzRsM1Fldz09</t>
        </is>
      </c>
      <c r="F173" t="n">
        <v>2</v>
      </c>
      <c r="G173" t="inlineStr">
        <is>
          <t>BS001, BS004</t>
        </is>
      </c>
      <c r="H173" t="inlineStr">
        <is>
          <t>9 Maret 2023</t>
        </is>
      </c>
      <c r="I173" s="2" t="n">
        <v>46236</v>
      </c>
      <c r="J173" t="inlineStr">
        <is>
          <t>Disetujui</t>
        </is>
      </c>
      <c r="K173" t="n">
        <v>60</v>
      </c>
      <c r="L173" t="inlineStr">
        <is>
          <t>2 Agustus 2026</t>
        </is>
      </c>
      <c r="M173" t="inlineStr">
        <is>
          <t>Konstruksi Bangunan Sipil Jalan, Konstruksi Jaringan Irigasi dan Drainase</t>
        </is>
      </c>
      <c r="N173" t="inlineStr">
        <is>
          <t>K</t>
        </is>
      </c>
      <c r="O173" t="inlineStr">
        <is>
          <t>20230726, 20230727</t>
        </is>
      </c>
      <c r="P173" t="inlineStr">
        <is>
          <t>Jawa Timur</t>
        </is>
      </c>
      <c r="Q173" t="inlineStr"/>
    </row>
    <row r="174">
      <c r="A174" t="inlineStr">
        <is>
          <t>TIGA PUTRA MISOOL</t>
        </is>
      </c>
      <c r="B174" t="inlineStr">
        <is>
          <t>Kab. Raja Ampat</t>
        </is>
      </c>
      <c r="C174" t="inlineStr">
        <is>
          <t>082399982878</t>
        </is>
      </c>
      <c r="D174" t="inlineStr">
        <is>
          <t>3putramisool@gmail.com</t>
        </is>
      </c>
      <c r="E174" t="inlineStr">
        <is>
          <t>https://lpjk.pu.go.id/search-badan-usaha-detail/NW9NNnduQ2NVaHordmQ0VXkwL05Ydz09</t>
        </is>
      </c>
      <c r="F174" t="n">
        <v>1</v>
      </c>
      <c r="G174" t="inlineStr">
        <is>
          <t>BG009</t>
        </is>
      </c>
      <c r="H174" t="inlineStr">
        <is>
          <t>22 Juli 2008</t>
        </is>
      </c>
      <c r="I174" s="2" t="n">
        <v>46236</v>
      </c>
      <c r="J174" t="inlineStr">
        <is>
          <t>Pencabutan</t>
        </is>
      </c>
      <c r="K174" t="n">
        <v>60</v>
      </c>
      <c r="L174" t="inlineStr">
        <is>
          <t>2 Agustus 2026</t>
        </is>
      </c>
      <c r="M174" t="inlineStr">
        <is>
          <t>Konstruksi Gedung Lainnya</t>
        </is>
      </c>
      <c r="N174" t="inlineStr">
        <is>
          <t>K</t>
        </is>
      </c>
      <c r="O174" t="inlineStr">
        <is>
          <t>20230711</t>
        </is>
      </c>
      <c r="P174" t="inlineStr">
        <is>
          <t>Papua Barat</t>
        </is>
      </c>
      <c r="Q174" t="inlineStr"/>
    </row>
    <row r="175">
      <c r="A175" t="inlineStr">
        <is>
          <t>TIMAS SUPLINDO</t>
        </is>
      </c>
      <c r="B175" t="inlineStr">
        <is>
          <t>Kota Adm. Jakarta Pusat</t>
        </is>
      </c>
      <c r="C175" t="inlineStr">
        <is>
          <t>0213522828</t>
        </is>
      </c>
      <c r="D175" t="inlineStr">
        <is>
          <t>hrga@timas.com</t>
        </is>
      </c>
      <c r="E175" t="inlineStr">
        <is>
          <t>https://lpjk.pu.go.id/search-badan-usaha-detail/T3VYVXVLSzd5WkRCd3M2RDRQUnp1UT09</t>
        </is>
      </c>
      <c r="F175" t="n">
        <v>1</v>
      </c>
      <c r="G175" t="inlineStr">
        <is>
          <t>IN003</t>
        </is>
      </c>
      <c r="H175" t="inlineStr">
        <is>
          <t>21 November 1989</t>
        </is>
      </c>
      <c r="I175" s="2" t="n">
        <v>46236</v>
      </c>
      <c r="J175" t="inlineStr">
        <is>
          <t>Disetujui</t>
        </is>
      </c>
      <c r="K175" t="n">
        <v>60</v>
      </c>
      <c r="L175" t="inlineStr">
        <is>
          <t>2 Agustus 2026</t>
        </is>
      </c>
      <c r="M175" t="inlineStr">
        <is>
          <t>Instalasi Peralatan Infrastruktur Pertambangan dan Manufaktur</t>
        </is>
      </c>
      <c r="N175" t="inlineStr">
        <is>
          <t>Spesialis</t>
        </is>
      </c>
      <c r="O175" t="inlineStr">
        <is>
          <t>20230717</t>
        </is>
      </c>
      <c r="P175" t="inlineStr">
        <is>
          <t>DKI Jakarta</t>
        </is>
      </c>
      <c r="Q175" t="inlineStr"/>
    </row>
    <row r="176">
      <c r="A176" t="inlineStr">
        <is>
          <t>TIRTA BARATA</t>
        </is>
      </c>
      <c r="B176" t="inlineStr">
        <is>
          <t>Kab. Dompu</t>
        </is>
      </c>
      <c r="C176" t="inlineStr">
        <is>
          <t>085378507114</t>
        </is>
      </c>
      <c r="D176" t="inlineStr">
        <is>
          <t>cv.tirtabarata@gmail.com</t>
        </is>
      </c>
      <c r="E176" t="inlineStr">
        <is>
          <t>https://lpjk.pu.go.id/search-badan-usaha-detail/WEVDYnRjT2xLOE4xSzJpQVdRU2NkZz09</t>
        </is>
      </c>
      <c r="F176" t="n">
        <v>5</v>
      </c>
      <c r="G176" t="inlineStr">
        <is>
          <t>BG002, BG003, BG004, BG008, BG009</t>
        </is>
      </c>
      <c r="H176" t="inlineStr">
        <is>
          <t>23 Juni 2021</t>
        </is>
      </c>
      <c r="I176" s="2" t="n">
        <v>46236</v>
      </c>
      <c r="J176" t="inlineStr">
        <is>
          <t>Disetujui</t>
        </is>
      </c>
      <c r="K176" t="n">
        <v>60</v>
      </c>
      <c r="L176" t="inlineStr">
        <is>
          <t>2 Agustus 2026</t>
        </is>
      </c>
      <c r="M176" t="inlineStr">
        <is>
          <t>Konstruksi Gedung Industri, Konstruksi Gedung Lainnya, Konstruksi Gedung Perbelanjaan, Konstruksi Gedung Perkantoran, Konstruksi Gedung Tempat Hiburan dan Olahraga</t>
        </is>
      </c>
      <c r="N176" t="inlineStr">
        <is>
          <t>K</t>
        </is>
      </c>
      <c r="O176" t="inlineStr">
        <is>
          <t>20230801</t>
        </is>
      </c>
      <c r="P176" t="inlineStr">
        <is>
          <t>Nusa Tenggara Barat</t>
        </is>
      </c>
      <c r="Q176" t="inlineStr"/>
    </row>
    <row r="177">
      <c r="A177" t="inlineStr">
        <is>
          <t>TRI BOWO</t>
        </is>
      </c>
      <c r="B177" t="inlineStr">
        <is>
          <t>Kota Malang</t>
        </is>
      </c>
      <c r="C177" t="inlineStr">
        <is>
          <t>083833997555</t>
        </is>
      </c>
      <c r="D177" t="inlineStr">
        <is>
          <t>cv.tribowo@yahoo.com</t>
        </is>
      </c>
      <c r="E177" t="inlineStr">
        <is>
          <t>https://lpjk.pu.go.id/search-badan-usaha-detail/WUdoSExIWHQ3Kytpa1kzbDg3Ty9LZz09</t>
        </is>
      </c>
      <c r="F177" t="n">
        <v>2</v>
      </c>
      <c r="G177" t="inlineStr">
        <is>
          <t>BS001, BS004</t>
        </is>
      </c>
      <c r="H177" t="inlineStr">
        <is>
          <t>13 November 1986</t>
        </is>
      </c>
      <c r="I177" s="2" t="n">
        <v>46236</v>
      </c>
      <c r="J177" t="inlineStr">
        <is>
          <t>Disetujui</t>
        </is>
      </c>
      <c r="K177" t="n">
        <v>60</v>
      </c>
      <c r="L177" t="inlineStr">
        <is>
          <t>2 Agustus 2026</t>
        </is>
      </c>
      <c r="M177" t="inlineStr">
        <is>
          <t>Konstruksi Bangunan Sipil Jalan, Konstruksi Jaringan Irigasi dan Drainase</t>
        </is>
      </c>
      <c r="N177" t="inlineStr">
        <is>
          <t>K</t>
        </is>
      </c>
      <c r="O177" t="inlineStr">
        <is>
          <t>20230801</t>
        </is>
      </c>
      <c r="P177" t="inlineStr">
        <is>
          <t>Jawa Timur</t>
        </is>
      </c>
      <c r="Q177" t="inlineStr"/>
    </row>
    <row r="178">
      <c r="A178" t="inlineStr">
        <is>
          <t>TRI PUTERA JATI</t>
        </is>
      </c>
      <c r="B178" t="inlineStr">
        <is>
          <t>Kab. Kebumen</t>
        </is>
      </c>
      <c r="C178" t="inlineStr">
        <is>
          <t>08122786673</t>
        </is>
      </c>
      <c r="D178" t="inlineStr">
        <is>
          <t>triputerajaticv2015@gmail.com</t>
        </is>
      </c>
      <c r="E178" t="inlineStr">
        <is>
          <t>https://lpjk.pu.go.id/search-badan-usaha-detail/Ri8yUy9zcDdzMUJoVTdPQjc1c3EwZz09</t>
        </is>
      </c>
      <c r="F178" t="n">
        <v>1</v>
      </c>
      <c r="G178" t="inlineStr">
        <is>
          <t>BS002</t>
        </is>
      </c>
      <c r="H178" t="inlineStr">
        <is>
          <t>22 Juni 2012</t>
        </is>
      </c>
      <c r="I178" s="2" t="n">
        <v>46236</v>
      </c>
      <c r="J178" t="inlineStr">
        <is>
          <t>Disetujui</t>
        </is>
      </c>
      <c r="K178" t="n">
        <v>60</v>
      </c>
      <c r="L178" t="inlineStr">
        <is>
          <t>2 Agustus 2026</t>
        </is>
      </c>
      <c r="M178" t="inlineStr">
        <is>
          <t>Bangunan Sipil Jembatan, Jalan Layang, Fly Over, dan Underpass</t>
        </is>
      </c>
      <c r="N178" t="inlineStr">
        <is>
          <t>K</t>
        </is>
      </c>
      <c r="O178" t="inlineStr">
        <is>
          <t>20230801</t>
        </is>
      </c>
      <c r="P178" t="inlineStr">
        <is>
          <t>Jawa Tengah</t>
        </is>
      </c>
      <c r="Q178" t="inlineStr"/>
    </row>
    <row r="179">
      <c r="A179" t="inlineStr">
        <is>
          <t>TRI TUNGGAL JAYA</t>
        </is>
      </c>
      <c r="B179" t="inlineStr">
        <is>
          <t>Kota Jayapura</t>
        </is>
      </c>
      <c r="C179" t="inlineStr">
        <is>
          <t>082349992513</t>
        </is>
      </c>
      <c r="D179" t="inlineStr">
        <is>
          <t>tri_tunggal_jaya.papua@yahoo.com</t>
        </is>
      </c>
      <c r="E179" t="inlineStr">
        <is>
          <t>https://lpjk.pu.go.id/search-badan-usaha-detail/YmZNVlNkMS9xMm9YZ1RRTTBZT2ZjZz09</t>
        </is>
      </c>
      <c r="F179" t="n">
        <v>1</v>
      </c>
      <c r="G179" t="inlineStr">
        <is>
          <t>BG009</t>
        </is>
      </c>
      <c r="H179" t="inlineStr">
        <is>
          <t>28 Desember 2005</t>
        </is>
      </c>
      <c r="I179" s="2" t="n">
        <v>46236</v>
      </c>
      <c r="J179" t="inlineStr">
        <is>
          <t>Disetujui</t>
        </is>
      </c>
      <c r="K179" t="n">
        <v>60</v>
      </c>
      <c r="L179" t="inlineStr">
        <is>
          <t>2 Agustus 2026</t>
        </is>
      </c>
      <c r="M179" t="inlineStr">
        <is>
          <t>Konstruksi Gedung Lainnya</t>
        </is>
      </c>
      <c r="N179" t="inlineStr">
        <is>
          <t>K</t>
        </is>
      </c>
      <c r="O179" t="inlineStr">
        <is>
          <t>20230803</t>
        </is>
      </c>
      <c r="P179" t="inlineStr">
        <is>
          <t>Papua</t>
        </is>
      </c>
      <c r="Q179" t="inlineStr"/>
    </row>
    <row r="180">
      <c r="A180" t="inlineStr">
        <is>
          <t>TRI WAHANA KARYA</t>
        </is>
      </c>
      <c r="B180" t="inlineStr">
        <is>
          <t>Kab. Bantul</t>
        </is>
      </c>
      <c r="C180" t="inlineStr">
        <is>
          <t>082135779727</t>
        </is>
      </c>
      <c r="D180" t="inlineStr">
        <is>
          <t>triwahanakarya@gmail.com</t>
        </is>
      </c>
      <c r="E180" t="inlineStr">
        <is>
          <t>https://lpjk.pu.go.id/search-badan-usaha-detail/cVUyVVRLV1FJZ0NJcXJuNDZHeDBQdz09</t>
        </is>
      </c>
      <c r="F180" t="n">
        <v>1</v>
      </c>
      <c r="G180" t="inlineStr">
        <is>
          <t>BS010</t>
        </is>
      </c>
      <c r="H180" t="inlineStr">
        <is>
          <t>28 Mei 2016</t>
        </is>
      </c>
      <c r="I180" s="2" t="n">
        <v>46236</v>
      </c>
      <c r="J180" t="inlineStr">
        <is>
          <t>Pencabutan</t>
        </is>
      </c>
      <c r="K180" t="n">
        <v>60</v>
      </c>
      <c r="L180" t="inlineStr">
        <is>
          <t>2 Agustus 2026</t>
        </is>
      </c>
      <c r="M180" t="inlineStr">
        <is>
          <t>Konstruksi Bangunan Prasarana Sumber Daya Air</t>
        </is>
      </c>
      <c r="N180" t="inlineStr">
        <is>
          <t>K</t>
        </is>
      </c>
      <c r="O180" t="inlineStr">
        <is>
          <t>20230607</t>
        </is>
      </c>
      <c r="P180" t="inlineStr">
        <is>
          <t>DI Yogyakarta</t>
        </is>
      </c>
      <c r="Q180" t="inlineStr"/>
    </row>
    <row r="181">
      <c r="A181" t="inlineStr">
        <is>
          <t>TUNAS JAYA IRJA</t>
        </is>
      </c>
      <c r="B181" t="inlineStr">
        <is>
          <t>Kab. Merauke</t>
        </is>
      </c>
      <c r="C181" t="inlineStr">
        <is>
          <t>0971321212</t>
        </is>
      </c>
      <c r="D181" t="inlineStr">
        <is>
          <t>tjimerauke.1976@gmail.com</t>
        </is>
      </c>
      <c r="E181" t="inlineStr">
        <is>
          <t>https://lpjk.pu.go.id/search-badan-usaha-detail/ZWU4T0JDMnA2elBVbDBUU3R3U2VlQT09</t>
        </is>
      </c>
      <c r="F181" t="n">
        <v>1</v>
      </c>
      <c r="G181" t="inlineStr">
        <is>
          <t>BG005</t>
        </is>
      </c>
      <c r="H181" t="inlineStr">
        <is>
          <t>1 Maret 1976</t>
        </is>
      </c>
      <c r="I181" s="2" t="n">
        <v>46236</v>
      </c>
      <c r="J181" t="inlineStr">
        <is>
          <t>Disetujui</t>
        </is>
      </c>
      <c r="K181" t="n">
        <v>60</v>
      </c>
      <c r="L181" t="inlineStr">
        <is>
          <t>2 Agustus 2026</t>
        </is>
      </c>
      <c r="M181" t="inlineStr">
        <is>
          <t>Konstruksi Gedung Kesehatan</t>
        </is>
      </c>
      <c r="N181" t="inlineStr">
        <is>
          <t>M</t>
        </is>
      </c>
      <c r="O181" t="inlineStr">
        <is>
          <t>20230728</t>
        </is>
      </c>
      <c r="P181" t="inlineStr">
        <is>
          <t>Papua Selatan</t>
        </is>
      </c>
      <c r="Q181" t="inlineStr"/>
    </row>
    <row r="182">
      <c r="A182" t="inlineStr">
        <is>
          <t>UNGGUL KARYA</t>
        </is>
      </c>
      <c r="B182" t="inlineStr">
        <is>
          <t>Kota Semarang</t>
        </is>
      </c>
      <c r="C182" t="inlineStr">
        <is>
          <t>081325542550</t>
        </is>
      </c>
      <c r="D182" t="inlineStr">
        <is>
          <t>unggulkarya10@gmail.com</t>
        </is>
      </c>
      <c r="E182" t="inlineStr">
        <is>
          <t>https://lpjk.pu.go.id/search-badan-usaha-detail/RFpzb1hTamhZeEIwb25VSjl3ZWdZZz09</t>
        </is>
      </c>
      <c r="F182" t="n">
        <v>3</v>
      </c>
      <c r="G182" t="inlineStr">
        <is>
          <t>BG002, BG006, BG009</t>
        </is>
      </c>
      <c r="H182" t="inlineStr">
        <is>
          <t>15 Maret 2010</t>
        </is>
      </c>
      <c r="I182" s="2" t="n">
        <v>46236</v>
      </c>
      <c r="J182" t="inlineStr">
        <is>
          <t>Disetujui</t>
        </is>
      </c>
      <c r="K182" t="n">
        <v>60</v>
      </c>
      <c r="L182" t="inlineStr">
        <is>
          <t>2 Agustus 2026</t>
        </is>
      </c>
      <c r="M182" t="inlineStr">
        <is>
          <t>Konstruksi Gedung Lainnya, Konstruksi Gedung Pendidikan, Konstruksi Gedung Perkantoran</t>
        </is>
      </c>
      <c r="N182" t="inlineStr">
        <is>
          <t>K</t>
        </is>
      </c>
      <c r="O182" t="inlineStr">
        <is>
          <t>20230619</t>
        </is>
      </c>
      <c r="P182" t="inlineStr">
        <is>
          <t>Jawa Tengah</t>
        </is>
      </c>
      <c r="Q182" t="inlineStr"/>
    </row>
    <row r="183">
      <c r="A183" t="inlineStr">
        <is>
          <t>WAHANA MITRAKARYA NUSANTARA</t>
        </is>
      </c>
      <c r="B183" t="inlineStr">
        <is>
          <t>Kota Adm. Jakarta Utara</t>
        </is>
      </c>
      <c r="C183" t="inlineStr">
        <is>
          <t>0212452790</t>
        </is>
      </c>
      <c r="D183" t="inlineStr">
        <is>
          <t>PTWAHANAMITRAKARYANUSANTARA@GMAIL.COM</t>
        </is>
      </c>
      <c r="E183" t="inlineStr">
        <is>
          <t>https://lpjk.pu.go.id/search-badan-usaha-detail/VnF0azhWbGRQaUQ5ZnNScjc1SzlKZz09</t>
        </is>
      </c>
      <c r="F183" t="n">
        <v>1</v>
      </c>
      <c r="G183" t="inlineStr">
        <is>
          <t>BG006</t>
        </is>
      </c>
      <c r="H183" t="inlineStr">
        <is>
          <t>1 Februari 2023</t>
        </is>
      </c>
      <c r="I183" s="2" t="n">
        <v>46236</v>
      </c>
      <c r="J183" t="inlineStr">
        <is>
          <t>Disetujui</t>
        </is>
      </c>
      <c r="K183" t="n">
        <v>60</v>
      </c>
      <c r="L183" t="inlineStr">
        <is>
          <t>2 Agustus 2026</t>
        </is>
      </c>
      <c r="M183" t="inlineStr">
        <is>
          <t>Konstruksi Gedung Pendidikan</t>
        </is>
      </c>
      <c r="N183" t="inlineStr">
        <is>
          <t>K</t>
        </is>
      </c>
      <c r="O183" t="inlineStr">
        <is>
          <t>20230731</t>
        </is>
      </c>
      <c r="P183" t="inlineStr">
        <is>
          <t>DKI Jakarta</t>
        </is>
      </c>
      <c r="Q183" t="inlineStr"/>
    </row>
    <row r="184">
      <c r="A184" t="inlineStr">
        <is>
          <t>WAHYU JAYA</t>
        </is>
      </c>
      <c r="B184" t="inlineStr">
        <is>
          <t>Kab. Pasuruan</t>
        </is>
      </c>
      <c r="C184" t="inlineStr">
        <is>
          <t>081334724346</t>
        </is>
      </c>
      <c r="D184" t="inlineStr">
        <is>
          <t>wahyu_jaya13@yahoo.co.id</t>
        </is>
      </c>
      <c r="E184" t="inlineStr">
        <is>
          <t>https://lpjk.pu.go.id/search-badan-usaha-detail/VDAwUHFmdTJFZzJTQ3RzcnJUeW84Zz09</t>
        </is>
      </c>
      <c r="F184" t="n">
        <v>2</v>
      </c>
      <c r="G184" t="inlineStr">
        <is>
          <t>BG006, BG009</t>
        </is>
      </c>
      <c r="H184" t="inlineStr">
        <is>
          <t>10 April 2013</t>
        </is>
      </c>
      <c r="I184" s="2" t="n">
        <v>46236</v>
      </c>
      <c r="J184" t="inlineStr">
        <is>
          <t>Disetujui</t>
        </is>
      </c>
      <c r="K184" t="n">
        <v>60</v>
      </c>
      <c r="L184" t="inlineStr">
        <is>
          <t>2 Agustus 2026</t>
        </is>
      </c>
      <c r="M184" t="inlineStr">
        <is>
          <t>Konstruksi Gedung Lainnya, Konstruksi Gedung Pendidikan</t>
        </is>
      </c>
      <c r="N184" t="inlineStr">
        <is>
          <t>K</t>
        </is>
      </c>
      <c r="O184" t="inlineStr">
        <is>
          <t>20230801, 20230802</t>
        </is>
      </c>
      <c r="P184" t="inlineStr">
        <is>
          <t>Jawa Timur</t>
        </is>
      </c>
      <c r="Q184" t="inlineStr"/>
    </row>
    <row r="185">
      <c r="A185" t="inlineStr">
        <is>
          <t>WAHYU MITRA MANDIRI</t>
        </is>
      </c>
      <c r="B185" t="inlineStr">
        <is>
          <t>Kab. Luwu Utara</t>
        </is>
      </c>
      <c r="C185" t="inlineStr">
        <is>
          <t>082347994799</t>
        </is>
      </c>
      <c r="D185" t="inlineStr">
        <is>
          <t>cv.wahyumitramandiri@gmail.com</t>
        </is>
      </c>
      <c r="E185" t="inlineStr">
        <is>
          <t>https://lpjk.pu.go.id/search-badan-usaha-detail/TnFFeEhiSm0wSFlMVnNobWhUTE1HZz09</t>
        </is>
      </c>
      <c r="F185" t="n">
        <v>1</v>
      </c>
      <c r="G185" t="inlineStr">
        <is>
          <t>BS002</t>
        </is>
      </c>
      <c r="H185" t="inlineStr">
        <is>
          <t>12 April 2022</t>
        </is>
      </c>
      <c r="I185" s="2" t="n">
        <v>46236</v>
      </c>
      <c r="J185" t="inlineStr">
        <is>
          <t>Pencabutan</t>
        </is>
      </c>
      <c r="K185" t="n">
        <v>60</v>
      </c>
      <c r="L185" t="inlineStr">
        <is>
          <t>2 Agustus 2026</t>
        </is>
      </c>
      <c r="M185" t="inlineStr">
        <is>
          <t>Bangunan Sipil Jembatan, Jalan Layang, Fly Over, dan Underpass</t>
        </is>
      </c>
      <c r="N185" t="inlineStr">
        <is>
          <t>K</t>
        </is>
      </c>
      <c r="O185" t="inlineStr">
        <is>
          <t>20230802</t>
        </is>
      </c>
      <c r="P185" t="inlineStr">
        <is>
          <t>Sulawesi Selatan</t>
        </is>
      </c>
      <c r="Q18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74"/>
  <sheetViews>
    <sheetView workbookViewId="0">
      <selection activeCell="A1" sqref="A1"/>
    </sheetView>
  </sheetViews>
  <sheetFormatPr baseColWidth="8" defaultRowHeight="15"/>
  <cols>
    <col width="32" customWidth="1" min="1" max="1"/>
    <col width="27" customWidth="1" min="2" max="2"/>
    <col width="16" customWidth="1" min="3" max="3"/>
    <col width="38" customWidth="1" min="4" max="4"/>
    <col width="50" customWidth="1" min="5" max="5"/>
    <col width="18" customWidth="1" min="6" max="6"/>
    <col width="35" customWidth="1" min="7" max="7"/>
    <col width="20" customWidth="1" min="8" max="8"/>
    <col width="28" customWidth="1" min="9" max="9"/>
    <col width="23" customWidth="1" min="10" max="10"/>
    <col width="11" customWidth="1" min="11" max="11"/>
    <col width="17" customWidth="1" min="12" max="12"/>
    <col width="50" customWidth="1" min="13" max="13"/>
    <col width="13"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BUMI PUTRA PERSADA</t>
        </is>
      </c>
      <c r="B2" t="inlineStr">
        <is>
          <t>Kab. Bogor</t>
        </is>
      </c>
      <c r="C2" t="inlineStr">
        <is>
          <t>085210065385</t>
        </is>
      </c>
      <c r="D2" t="inlineStr">
        <is>
          <t>cvbumiputrapersada532@gmail.com</t>
        </is>
      </c>
      <c r="E2" t="inlineStr">
        <is>
          <t>https://lpjk.pu.go.id/search-badan-usaha-detail/S2MvaFcrclRGd0h5Y0N2aFRMUkd6QT09</t>
        </is>
      </c>
      <c r="F2" t="n">
        <v>1</v>
      </c>
      <c r="G2" t="inlineStr">
        <is>
          <t>BS001</t>
        </is>
      </c>
      <c r="H2" t="inlineStr">
        <is>
          <t>20 Januari 2016</t>
        </is>
      </c>
      <c r="I2" s="2" t="n">
        <v>46206</v>
      </c>
      <c r="J2" t="inlineStr">
        <is>
          <t>Disetujui</t>
        </is>
      </c>
      <c r="K2" t="n">
        <v>30</v>
      </c>
      <c r="L2" t="inlineStr">
        <is>
          <t>3 Juli 2026</t>
        </is>
      </c>
      <c r="M2" t="inlineStr">
        <is>
          <t>Konstruksi Bangunan Sipil Jalan</t>
        </is>
      </c>
      <c r="N2" t="inlineStr">
        <is>
          <t>K</t>
        </is>
      </c>
      <c r="O2" t="inlineStr">
        <is>
          <t>20230627</t>
        </is>
      </c>
      <c r="P2" t="inlineStr">
        <is>
          <t>Jawa Barat</t>
        </is>
      </c>
      <c r="Q2" s="3">
        <f>HYPERLINK("https://wa.me/6285210065385?text=*[Pengingat Masa Berlaku SBU BUMI PUTRA PERSADA]*%0A%0AYth. Pimpinan BUMI PUTRA PERSADA,%0AMohon izin menginformasikan status SBU Anda:%0A%0A📄 SBU: BS001%0A📅 Expired: 3 Juli 2026 (30 Hari Lagi)%0A%0AKami tim PT. ESDEA Assistance Management siap men-support proses perpanjangan segera.", "Hubungi")</f>
        <v/>
      </c>
    </row>
    <row r="3">
      <c r="A3" t="inlineStr">
        <is>
          <t>FIKRAM KARYA SEJAHTERA</t>
        </is>
      </c>
      <c r="B3" t="inlineStr">
        <is>
          <t>Kota Bogor</t>
        </is>
      </c>
      <c r="C3" t="inlineStr">
        <is>
          <t>081316112646</t>
        </is>
      </c>
      <c r="D3" t="inlineStr">
        <is>
          <t>cvfikramkaryasejahtera@gmail.com</t>
        </is>
      </c>
      <c r="E3" t="inlineStr">
        <is>
          <t>https://lpjk.pu.go.id/search-badan-usaha-detail/T0VsbDZoTHJFbTNoam1nU0hzeU45dz09</t>
        </is>
      </c>
      <c r="F3" t="n">
        <v>1</v>
      </c>
      <c r="G3" t="inlineStr">
        <is>
          <t>BS001</t>
        </is>
      </c>
      <c r="H3" t="inlineStr">
        <is>
          <t>1 Februari 2019</t>
        </is>
      </c>
      <c r="I3" s="2" t="n">
        <v>46206</v>
      </c>
      <c r="J3" t="inlineStr">
        <is>
          <t>Disetujui</t>
        </is>
      </c>
      <c r="K3" t="n">
        <v>30</v>
      </c>
      <c r="L3" t="inlineStr">
        <is>
          <t>3 Juli 2026</t>
        </is>
      </c>
      <c r="M3" t="inlineStr">
        <is>
          <t>Konstruksi Bangunan Sipil Jalan</t>
        </is>
      </c>
      <c r="N3" t="inlineStr">
        <is>
          <t>K</t>
        </is>
      </c>
      <c r="O3" t="inlineStr">
        <is>
          <t>20230627</t>
        </is>
      </c>
      <c r="P3" t="inlineStr">
        <is>
          <t>Jawa Barat</t>
        </is>
      </c>
      <c r="Q3" s="3">
        <f>HYPERLINK("https://wa.me/6281316112646?text=*[Pengingat Masa Berlaku SBU FIKRAM KARYA SEJAHTERA]*%0A%0AYth. Pimpinan FIKRAM KARYA SEJAHTERA,%0AMohon izin menginformasikan status SBU Anda:%0A%0A📄 SBU: BS001%0A📅 Expired: 3 Juli 2026 (30 Hari Lagi)%0A%0AKami tim PT. ESDEA Assistance Management siap men-support proses perpanjangan segera.", "Hubungi")</f>
        <v/>
      </c>
    </row>
    <row r="4">
      <c r="A4" t="inlineStr">
        <is>
          <t>META WAHYU</t>
        </is>
      </c>
      <c r="B4" t="inlineStr">
        <is>
          <t>Kota Depok</t>
        </is>
      </c>
      <c r="C4" t="inlineStr">
        <is>
          <t>0218742753</t>
        </is>
      </c>
      <c r="D4" t="inlineStr">
        <is>
          <t>metawahyu_glass@yahoo.com</t>
        </is>
      </c>
      <c r="E4" t="inlineStr">
        <is>
          <t>https://lpjk.pu.go.id/search-badan-usaha-detail/MUhvVml2dWNUd1dMcUNFbGdCSURZQT09</t>
        </is>
      </c>
      <c r="F4" t="n">
        <v>1</v>
      </c>
      <c r="G4" t="inlineStr">
        <is>
          <t>BG001</t>
        </is>
      </c>
      <c r="H4" t="inlineStr">
        <is>
          <t>27 Oktober 2004</t>
        </is>
      </c>
      <c r="I4" s="2" t="n">
        <v>46206</v>
      </c>
      <c r="J4" t="inlineStr">
        <is>
          <t>Disetujui</t>
        </is>
      </c>
      <c r="K4" t="n">
        <v>30</v>
      </c>
      <c r="L4" t="inlineStr">
        <is>
          <t>3 Juli 2026</t>
        </is>
      </c>
      <c r="M4" t="inlineStr">
        <is>
          <t>Konstruksi Gedung Hunian</t>
        </is>
      </c>
      <c r="N4" t="inlineStr">
        <is>
          <t>K</t>
        </is>
      </c>
      <c r="O4" t="inlineStr">
        <is>
          <t>20230619</t>
        </is>
      </c>
      <c r="P4" t="inlineStr">
        <is>
          <t>Jawa Barat</t>
        </is>
      </c>
      <c r="Q4" t="inlineStr"/>
    </row>
    <row r="5">
      <c r="A5" t="inlineStr">
        <is>
          <t>MITRA EKACATUR PERKASA</t>
        </is>
      </c>
      <c r="B5" t="inlineStr">
        <is>
          <t>Kota Bekasi</t>
        </is>
      </c>
      <c r="C5" t="inlineStr">
        <is>
          <t>(021)29622784</t>
        </is>
      </c>
      <c r="D5" t="inlineStr">
        <is>
          <t>mitraekacaturperkasa@gmail.com</t>
        </is>
      </c>
      <c r="E5" t="inlineStr">
        <is>
          <t>https://lpjk.pu.go.id/search-badan-usaha-detail/UjJqeEl2VGEvMzBpZDFZcWluUFZIUT09</t>
        </is>
      </c>
      <c r="F5" t="n">
        <v>2</v>
      </c>
      <c r="G5" t="inlineStr">
        <is>
          <t>BG002, BG009</t>
        </is>
      </c>
      <c r="H5" t="inlineStr">
        <is>
          <t>6 Februari 2018</t>
        </is>
      </c>
      <c r="I5" s="2" t="n">
        <v>46206</v>
      </c>
      <c r="J5" t="inlineStr">
        <is>
          <t>Disetujui</t>
        </is>
      </c>
      <c r="K5" t="n">
        <v>30</v>
      </c>
      <c r="L5" t="inlineStr">
        <is>
          <t>3 Juli 2026</t>
        </is>
      </c>
      <c r="M5" t="inlineStr">
        <is>
          <t>Konstruksi Gedung Lainnya, Konstruksi Gedung Perkantoran</t>
        </is>
      </c>
      <c r="N5" t="inlineStr">
        <is>
          <t>K</t>
        </is>
      </c>
      <c r="O5" t="inlineStr">
        <is>
          <t>20230629</t>
        </is>
      </c>
      <c r="P5" t="inlineStr">
        <is>
          <t>Jawa Barat</t>
        </is>
      </c>
      <c r="Q5" t="inlineStr"/>
    </row>
    <row r="6">
      <c r="A6" t="inlineStr">
        <is>
          <t>PILAR MUTIARA TIMUR</t>
        </is>
      </c>
      <c r="B6" t="inlineStr">
        <is>
          <t>Kota Depok</t>
        </is>
      </c>
      <c r="C6" t="inlineStr">
        <is>
          <t>02187706431</t>
        </is>
      </c>
      <c r="D6" t="inlineStr">
        <is>
          <t>cv.pilarmutiaratimur@gmail.com</t>
        </is>
      </c>
      <c r="E6" t="inlineStr">
        <is>
          <t>https://lpjk.pu.go.id/search-badan-usaha-detail/RVdRL3A2b002R05JNytPSmtnNVRadz09</t>
        </is>
      </c>
      <c r="F6" t="n">
        <v>1</v>
      </c>
      <c r="G6" t="inlineStr">
        <is>
          <t>BS001</t>
        </is>
      </c>
      <c r="H6" t="inlineStr">
        <is>
          <t>4 Januari 2016</t>
        </is>
      </c>
      <c r="I6" s="2" t="n">
        <v>46206</v>
      </c>
      <c r="J6" t="inlineStr">
        <is>
          <t>Pencabutan</t>
        </is>
      </c>
      <c r="K6" t="n">
        <v>30</v>
      </c>
      <c r="L6" t="inlineStr">
        <is>
          <t>3 Juli 2026</t>
        </is>
      </c>
      <c r="M6" t="inlineStr">
        <is>
          <t>Konstruksi Bangunan Sipil Jalan</t>
        </is>
      </c>
      <c r="N6" t="inlineStr">
        <is>
          <t>K</t>
        </is>
      </c>
      <c r="O6" t="inlineStr">
        <is>
          <t>20230703</t>
        </is>
      </c>
      <c r="P6" t="inlineStr">
        <is>
          <t>Jawa Barat</t>
        </is>
      </c>
      <c r="Q6" t="inlineStr"/>
    </row>
    <row r="7">
      <c r="A7" t="inlineStr">
        <is>
          <t>SUMBER KAYA STRUKTUR BAJA</t>
        </is>
      </c>
      <c r="B7" t="inlineStr">
        <is>
          <t>Kab. Bekasi</t>
        </is>
      </c>
      <c r="C7" t="inlineStr">
        <is>
          <t>0218997770</t>
        </is>
      </c>
      <c r="D7" t="inlineStr">
        <is>
          <t>strukturbaja@gmail.com</t>
        </is>
      </c>
      <c r="E7" t="inlineStr">
        <is>
          <t>https://lpjk.pu.go.id/search-badan-usaha-detail/Z1djaXFsTGd4OHJ1MEVseTExd3ZNQT09</t>
        </is>
      </c>
      <c r="F7" t="n">
        <v>1</v>
      </c>
      <c r="G7" t="inlineStr">
        <is>
          <t>BG001</t>
        </is>
      </c>
      <c r="H7" t="inlineStr">
        <is>
          <t>9 Februari 2012</t>
        </is>
      </c>
      <c r="I7" s="2" t="n">
        <v>46206</v>
      </c>
      <c r="J7" t="inlineStr">
        <is>
          <t>Disetujui</t>
        </is>
      </c>
      <c r="K7" t="n">
        <v>30</v>
      </c>
      <c r="L7" t="inlineStr">
        <is>
          <t>3 Juli 2026</t>
        </is>
      </c>
      <c r="M7" t="inlineStr">
        <is>
          <t>Konstruksi Gedung Hunian</t>
        </is>
      </c>
      <c r="N7" t="inlineStr">
        <is>
          <t>K</t>
        </is>
      </c>
      <c r="O7" t="inlineStr">
        <is>
          <t>20230627</t>
        </is>
      </c>
      <c r="P7" t="inlineStr">
        <is>
          <t>Jawa Barat</t>
        </is>
      </c>
      <c r="Q7" t="inlineStr"/>
    </row>
    <row r="8">
      <c r="A8" t="inlineStr">
        <is>
          <t>WARREN BUANA</t>
        </is>
      </c>
      <c r="B8" t="inlineStr">
        <is>
          <t>Kota Bekasi</t>
        </is>
      </c>
      <c r="C8" t="inlineStr">
        <is>
          <t>081314111198</t>
        </is>
      </c>
      <c r="D8" t="inlineStr">
        <is>
          <t>warrenbuana@gmail.com</t>
        </is>
      </c>
      <c r="E8" t="inlineStr">
        <is>
          <t>https://lpjk.pu.go.id/search-badan-usaha-detail/REx5T3F4NGpxbnBhVlhBdnhhc0RDZz09</t>
        </is>
      </c>
      <c r="F8" t="n">
        <v>3</v>
      </c>
      <c r="G8" t="inlineStr">
        <is>
          <t>BS001, BS002, BS004</t>
        </is>
      </c>
      <c r="H8" t="inlineStr">
        <is>
          <t>11 Februari 2016</t>
        </is>
      </c>
      <c r="I8" s="2" t="n">
        <v>46206</v>
      </c>
      <c r="J8" t="inlineStr">
        <is>
          <t>Pencabutan</t>
        </is>
      </c>
      <c r="K8" t="n">
        <v>30</v>
      </c>
      <c r="L8" t="inlineStr">
        <is>
          <t>3 Juli 2026</t>
        </is>
      </c>
      <c r="M8" t="inlineStr">
        <is>
          <t>Bangunan Sipil Jembatan, Jalan Layang, Fly Over, dan Underpass, Konstruksi Bangunan Sipil Jalan, Konstruksi Jaringan Irigasi dan Drainase</t>
        </is>
      </c>
      <c r="N8" t="inlineStr">
        <is>
          <t>K</t>
        </is>
      </c>
      <c r="O8" t="inlineStr">
        <is>
          <t>20230629</t>
        </is>
      </c>
      <c r="P8" t="inlineStr">
        <is>
          <t>Jawa Barat</t>
        </is>
      </c>
      <c r="Q8" s="3">
        <f>HYPERLINK("https://wa.me/6281314111198?text=*[Pengingat Masa Berlaku SBU WARREN BUANA]*%0A%0AYth. Pimpinan WARREN BUANA,%0AMohon izin menginformasikan status SBU Anda:%0A%0A📄 SBU: BS001, BS002, BS004%0A📅 Expired: 3 Juli 2026 (30 Hari Lagi)%0A%0AKami tim PT. ESDEA Assistance Management siap men-support proses perpanjangan segera.", "Hubungi")</f>
        <v/>
      </c>
    </row>
    <row r="9">
      <c r="A9" t="inlineStr">
        <is>
          <t>ABDI JASA TAMA</t>
        </is>
      </c>
      <c r="B9" t="inlineStr">
        <is>
          <t>Kota Pontianak</t>
        </is>
      </c>
      <c r="C9" t="inlineStr">
        <is>
          <t>0561734621</t>
        </is>
      </c>
      <c r="D9" t="inlineStr">
        <is>
          <t>pt_ajt_ptk@yahoo.co.id</t>
        </is>
      </c>
      <c r="E9" t="inlineStr">
        <is>
          <t>https://lpjk.pu.go.id/search-badan-usaha-detail/blBCYTYzWUdQWFFVWTUwaHFkdUdXdz09</t>
        </is>
      </c>
      <c r="F9" t="n">
        <v>1</v>
      </c>
      <c r="G9" t="inlineStr">
        <is>
          <t>BS001</t>
        </is>
      </c>
      <c r="H9" t="inlineStr">
        <is>
          <t>2 Juni 1983</t>
        </is>
      </c>
      <c r="I9" s="2" t="n">
        <v>46206</v>
      </c>
      <c r="J9" t="inlineStr">
        <is>
          <t>Disetujui</t>
        </is>
      </c>
      <c r="K9" t="n">
        <v>30</v>
      </c>
      <c r="L9" t="inlineStr">
        <is>
          <t>3 Juli 2026</t>
        </is>
      </c>
      <c r="M9" t="inlineStr">
        <is>
          <t>Konstruksi Bangunan Sipil Jalan</t>
        </is>
      </c>
      <c r="N9" t="inlineStr">
        <is>
          <t>M</t>
        </is>
      </c>
      <c r="O9" t="inlineStr">
        <is>
          <t>20230623</t>
        </is>
      </c>
      <c r="P9" t="inlineStr">
        <is>
          <t>Kalimantan Barat</t>
        </is>
      </c>
      <c r="Q9" t="inlineStr"/>
    </row>
    <row r="10">
      <c r="A10" t="inlineStr">
        <is>
          <t>ADHI GALA</t>
        </is>
      </c>
      <c r="B10" t="inlineStr">
        <is>
          <t>Kota Medan</t>
        </is>
      </c>
      <c r="C10" t="inlineStr">
        <is>
          <t>082165006261</t>
        </is>
      </c>
      <c r="D10" t="inlineStr">
        <is>
          <t>adhigala2022@gmail.com</t>
        </is>
      </c>
      <c r="E10" t="inlineStr">
        <is>
          <t>https://lpjk.pu.go.id/search-badan-usaha-detail/ZURsVmRGT2I2WjRSbUZGUnVMS1Z4dz09</t>
        </is>
      </c>
      <c r="F10" t="n">
        <v>1</v>
      </c>
      <c r="G10" t="inlineStr">
        <is>
          <t>BG006</t>
        </is>
      </c>
      <c r="H10" t="inlineStr">
        <is>
          <t>3 Juni 2022</t>
        </is>
      </c>
      <c r="I10" s="2" t="n">
        <v>46206</v>
      </c>
      <c r="J10" t="inlineStr">
        <is>
          <t>Disetujui</t>
        </is>
      </c>
      <c r="K10" t="n">
        <v>30</v>
      </c>
      <c r="L10" t="inlineStr">
        <is>
          <t>3 Juli 2026</t>
        </is>
      </c>
      <c r="M10" t="inlineStr">
        <is>
          <t>Konstruksi Gedung Pendidikan</t>
        </is>
      </c>
      <c r="N10" t="inlineStr">
        <is>
          <t>K</t>
        </is>
      </c>
      <c r="O10" t="inlineStr">
        <is>
          <t>20230616</t>
        </is>
      </c>
      <c r="P10" t="inlineStr">
        <is>
          <t>Sumatera Utara</t>
        </is>
      </c>
      <c r="Q10" t="inlineStr"/>
    </row>
    <row r="11">
      <c r="A11" t="inlineStr">
        <is>
          <t>ADI KURNIA</t>
        </is>
      </c>
      <c r="B11" t="inlineStr">
        <is>
          <t>Kab. Ngawi</t>
        </is>
      </c>
      <c r="C11" t="inlineStr">
        <is>
          <t>081335597241</t>
        </is>
      </c>
      <c r="D11" t="inlineStr">
        <is>
          <t>cv.adikurnia@yahoo.com</t>
        </is>
      </c>
      <c r="E11" t="inlineStr">
        <is>
          <t>https://lpjk.pu.go.id/search-badan-usaha-detail/WlJkY0N3RG5tYVoyMlZKb0FCdXJYZz09</t>
        </is>
      </c>
      <c r="F11" t="n">
        <v>1</v>
      </c>
      <c r="G11" t="inlineStr">
        <is>
          <t>BS001</t>
        </is>
      </c>
      <c r="H11" t="inlineStr">
        <is>
          <t>10 Maret 1980</t>
        </is>
      </c>
      <c r="I11" s="2" t="n">
        <v>46206</v>
      </c>
      <c r="J11" t="inlineStr">
        <is>
          <t>Pencabutan</t>
        </is>
      </c>
      <c r="K11" t="n">
        <v>30</v>
      </c>
      <c r="L11" t="inlineStr">
        <is>
          <t>3 Juli 2026</t>
        </is>
      </c>
      <c r="M11" t="inlineStr">
        <is>
          <t>Konstruksi Bangunan Sipil Jalan</t>
        </is>
      </c>
      <c r="N11" t="inlineStr">
        <is>
          <t>K</t>
        </is>
      </c>
      <c r="O11" t="inlineStr">
        <is>
          <t>20230626</t>
        </is>
      </c>
      <c r="P11" t="inlineStr">
        <is>
          <t>Jawa Timur</t>
        </is>
      </c>
      <c r="Q11" t="inlineStr"/>
    </row>
    <row r="12">
      <c r="A12" t="inlineStr">
        <is>
          <t>ADITYA MAHA PUTRA</t>
        </is>
      </c>
      <c r="B12" t="inlineStr">
        <is>
          <t>Kota Denpasar</t>
        </is>
      </c>
      <c r="C12" t="inlineStr">
        <is>
          <t>08133967682</t>
        </is>
      </c>
      <c r="D12" t="inlineStr">
        <is>
          <t>pt.adityamahaputra@gmail.com</t>
        </is>
      </c>
      <c r="E12" t="inlineStr">
        <is>
          <t>https://lpjk.pu.go.id/search-badan-usaha-detail/bnE2S3QyYVNJeUZ1WHVGSFFmZVRMdz09</t>
        </is>
      </c>
      <c r="F12" t="n">
        <v>1</v>
      </c>
      <c r="G12" t="inlineStr">
        <is>
          <t>RK001</t>
        </is>
      </c>
      <c r="H12" t="inlineStr">
        <is>
          <t>28 September 2018</t>
        </is>
      </c>
      <c r="I12" s="2" t="n">
        <v>46206</v>
      </c>
      <c r="J12" t="inlineStr">
        <is>
          <t>Disetujui</t>
        </is>
      </c>
      <c r="K12" t="n">
        <v>30</v>
      </c>
      <c r="L12" t="inlineStr">
        <is>
          <t>3 Juli 2026</t>
        </is>
      </c>
      <c r="M12" t="inlineStr">
        <is>
          <t>Jasa Rekayasa Konstruksi Bangunan Gedung Hunian dan Non Hunian</t>
        </is>
      </c>
      <c r="N12" t="inlineStr">
        <is>
          <t>K</t>
        </is>
      </c>
      <c r="O12" t="inlineStr">
        <is>
          <t>20230613</t>
        </is>
      </c>
      <c r="P12" t="inlineStr">
        <is>
          <t>Bali</t>
        </is>
      </c>
      <c r="Q12" t="inlineStr"/>
    </row>
    <row r="13">
      <c r="A13" t="inlineStr">
        <is>
          <t>ADIYASA PUTRA UTAMA</t>
        </is>
      </c>
      <c r="B13" t="inlineStr">
        <is>
          <t>Kota Adm. Jakarta Selatan</t>
        </is>
      </c>
      <c r="C13" t="inlineStr">
        <is>
          <t>02173881106</t>
        </is>
      </c>
      <c r="D13" t="inlineStr">
        <is>
          <t>ptadiyasaputrautama@yahoo.co.id</t>
        </is>
      </c>
      <c r="E13" t="inlineStr">
        <is>
          <t>https://lpjk.pu.go.id/search-badan-usaha-detail/V091K2E2RzRHaEhzZ3A1V0FOeFY1QT09</t>
        </is>
      </c>
      <c r="F13" t="n">
        <v>1</v>
      </c>
      <c r="G13" t="inlineStr">
        <is>
          <t>BS007</t>
        </is>
      </c>
      <c r="H13" t="inlineStr">
        <is>
          <t>12 November 2003</t>
        </is>
      </c>
      <c r="I13" s="2" t="n">
        <v>46206</v>
      </c>
      <c r="J13" t="inlineStr">
        <is>
          <t>Disetujui</t>
        </is>
      </c>
      <c r="K13" t="n">
        <v>30</v>
      </c>
      <c r="L13" t="inlineStr">
        <is>
          <t>3 Juli 2026</t>
        </is>
      </c>
      <c r="M13" t="inlineStr">
        <is>
          <t>Konstruksi Bangunan Sipil Elektrikal</t>
        </is>
      </c>
      <c r="N13" t="inlineStr">
        <is>
          <t>K</t>
        </is>
      </c>
      <c r="O13" t="inlineStr">
        <is>
          <t>20230626</t>
        </is>
      </c>
      <c r="P13" t="inlineStr">
        <is>
          <t>DKI Jakarta</t>
        </is>
      </c>
      <c r="Q13" t="inlineStr"/>
    </row>
    <row r="14">
      <c r="A14" t="inlineStr">
        <is>
          <t>AJI SENTOSA</t>
        </is>
      </c>
      <c r="B14" t="inlineStr">
        <is>
          <t>Kab. Gunungkidul</t>
        </is>
      </c>
      <c r="C14" t="inlineStr">
        <is>
          <t>081328564110</t>
        </is>
      </c>
      <c r="D14" t="inlineStr">
        <is>
          <t>cv_ajisentosagk@yahoo.com</t>
        </is>
      </c>
      <c r="E14" t="inlineStr">
        <is>
          <t>https://lpjk.pu.go.id/search-badan-usaha-detail/ckpLOForU0VZT1VQUTRCSmpjSGxwQT09</t>
        </is>
      </c>
      <c r="F14" t="n">
        <v>1</v>
      </c>
      <c r="G14" t="inlineStr">
        <is>
          <t>BS001</t>
        </is>
      </c>
      <c r="H14" t="inlineStr">
        <is>
          <t>1 Maret 2014</t>
        </is>
      </c>
      <c r="I14" s="2" t="n">
        <v>46206</v>
      </c>
      <c r="J14" t="inlineStr">
        <is>
          <t>Disetujui</t>
        </is>
      </c>
      <c r="K14" t="n">
        <v>30</v>
      </c>
      <c r="L14" t="inlineStr">
        <is>
          <t>3 Juli 2026</t>
        </is>
      </c>
      <c r="M14" t="inlineStr">
        <is>
          <t>Konstruksi Bangunan Sipil Jalan</t>
        </is>
      </c>
      <c r="N14" t="inlineStr">
        <is>
          <t>K</t>
        </is>
      </c>
      <c r="O14" t="inlineStr">
        <is>
          <t>20230615</t>
        </is>
      </c>
      <c r="P14" t="inlineStr">
        <is>
          <t>DI Yogyakarta</t>
        </is>
      </c>
      <c r="Q14" t="inlineStr"/>
    </row>
    <row r="15">
      <c r="A15" t="inlineStr">
        <is>
          <t>AKRAM DESIGN CONSULTANT GROUP</t>
        </is>
      </c>
      <c r="B15" t="inlineStr">
        <is>
          <t>Kota Banda Aceh</t>
        </is>
      </c>
      <c r="C15" t="inlineStr">
        <is>
          <t>085361595544</t>
        </is>
      </c>
      <c r="D15" t="inlineStr">
        <is>
          <t>akramdcg@yahoo.com</t>
        </is>
      </c>
      <c r="E15" t="inlineStr">
        <is>
          <t>https://lpjk.pu.go.id/search-badan-usaha-detail/TFU5YUs2Y2IwV2M1SmU0WFluK1h4dz09</t>
        </is>
      </c>
      <c r="F15" t="n">
        <v>6</v>
      </c>
      <c r="G15" t="inlineStr">
        <is>
          <t>AR001, AR002, RK001</t>
        </is>
      </c>
      <c r="H15" t="inlineStr">
        <is>
          <t>12 Juni 2008</t>
        </is>
      </c>
      <c r="I15" s="2" t="n">
        <v>46206</v>
      </c>
      <c r="J15" t="inlineStr">
        <is>
          <t>Disetujui</t>
        </is>
      </c>
      <c r="K15" t="n">
        <v>30</v>
      </c>
      <c r="L15" t="inlineStr">
        <is>
          <t>3 Juli 2026</t>
        </is>
      </c>
      <c r="M15" t="inlineStr">
        <is>
          <t>Jasa Arsitektural Bangunan Gedung Hunian dan Non Hunian, Jasa Arsitektural Lainnya, Jasa Rekayasa Konstruksi Bangunan Gedung Hunian dan Non Hunian</t>
        </is>
      </c>
      <c r="N15" t="inlineStr">
        <is>
          <t>K</t>
        </is>
      </c>
      <c r="O15" t="inlineStr">
        <is>
          <t>20230619</t>
        </is>
      </c>
      <c r="P15" t="inlineStr">
        <is>
          <t>Aceh</t>
        </is>
      </c>
      <c r="Q15" t="inlineStr"/>
    </row>
    <row r="16">
      <c r="A16" t="inlineStr">
        <is>
          <t>ALINA MANDIRI</t>
        </is>
      </c>
      <c r="B16" t="inlineStr">
        <is>
          <t>Kab. Sanggau</t>
        </is>
      </c>
      <c r="C16" t="inlineStr">
        <is>
          <t>0</t>
        </is>
      </c>
      <c r="D16" t="inlineStr">
        <is>
          <t>alinamandiri88@gmail.com</t>
        </is>
      </c>
      <c r="E16" t="inlineStr">
        <is>
          <t>https://lpjk.pu.go.id/search-badan-usaha-detail/bVN3U3lFWlFDaUp3bW5RQkxTaXp2dz09</t>
        </is>
      </c>
      <c r="F16" t="n">
        <v>2</v>
      </c>
      <c r="G16" t="inlineStr">
        <is>
          <t>BS002, BS004</t>
        </is>
      </c>
      <c r="H16" t="inlineStr">
        <is>
          <t>10 Mei 2017</t>
        </is>
      </c>
      <c r="I16" s="2" t="n">
        <v>46206</v>
      </c>
      <c r="J16" t="inlineStr">
        <is>
          <t>Disetujui</t>
        </is>
      </c>
      <c r="K16" t="n">
        <v>30</v>
      </c>
      <c r="L16" t="inlineStr">
        <is>
          <t>3 Juli 2026</t>
        </is>
      </c>
      <c r="M16" t="inlineStr">
        <is>
          <t>Bangunan Sipil Jembatan, Jalan Layang, Fly Over, dan Underpass, Konstruksi Jaringan Irigasi dan Drainase</t>
        </is>
      </c>
      <c r="N16" t="inlineStr">
        <is>
          <t>K</t>
        </is>
      </c>
      <c r="O16" t="inlineStr">
        <is>
          <t>20230628</t>
        </is>
      </c>
      <c r="P16" t="inlineStr">
        <is>
          <t>Kalimantan Barat</t>
        </is>
      </c>
      <c r="Q16" t="inlineStr"/>
    </row>
    <row r="17">
      <c r="A17" t="inlineStr">
        <is>
          <t>ALTHAFUNNISA BERKAH MANDIRI</t>
        </is>
      </c>
      <c r="B17" t="inlineStr">
        <is>
          <t>Kota Medan</t>
        </is>
      </c>
      <c r="C17" t="inlineStr">
        <is>
          <t>0810000000</t>
        </is>
      </c>
      <c r="D17" t="inlineStr">
        <is>
          <t>altahunnisa.berkah.mandiri@gmail.com</t>
        </is>
      </c>
      <c r="E17" t="inlineStr">
        <is>
          <t>https://lpjk.pu.go.id/search-badan-usaha-detail/YzJxd0ZOb2dkM3ZJL0NkMjZ4MEhjdz09</t>
        </is>
      </c>
      <c r="F17" t="n">
        <v>2</v>
      </c>
      <c r="G17" t="inlineStr">
        <is>
          <t>BG006</t>
        </is>
      </c>
      <c r="H17" t="inlineStr">
        <is>
          <t>23 Mei 2023</t>
        </is>
      </c>
      <c r="I17" s="2" t="n">
        <v>46206</v>
      </c>
      <c r="J17" t="inlineStr">
        <is>
          <t>Disetujui</t>
        </is>
      </c>
      <c r="K17" t="n">
        <v>30</v>
      </c>
      <c r="L17" t="inlineStr">
        <is>
          <t>3 Juli 2026</t>
        </is>
      </c>
      <c r="M17" t="inlineStr">
        <is>
          <t>Konstruksi Gedung Pendidikan</t>
        </is>
      </c>
      <c r="N17" t="inlineStr">
        <is>
          <t>K</t>
        </is>
      </c>
      <c r="O17" t="inlineStr">
        <is>
          <t>20230701</t>
        </is>
      </c>
      <c r="P17" t="inlineStr">
        <is>
          <t>Sumatera Utara</t>
        </is>
      </c>
      <c r="Q17" t="inlineStr"/>
    </row>
    <row r="18">
      <c r="A18" t="inlineStr">
        <is>
          <t>AMRU</t>
        </is>
      </c>
      <c r="B18" t="inlineStr">
        <is>
          <t>Kab. Kuningan</t>
        </is>
      </c>
      <c r="C18" t="inlineStr">
        <is>
          <t>08992111799</t>
        </is>
      </c>
      <c r="D18" t="inlineStr">
        <is>
          <t>amru_inc@yahoo.com</t>
        </is>
      </c>
      <c r="E18" t="inlineStr">
        <is>
          <t>https://lpjk.pu.go.id/search-badan-usaha-detail/dUR4dmdoWHBMTGVObHJtVzdRTUhYQT09</t>
        </is>
      </c>
      <c r="F18" t="n">
        <v>1</v>
      </c>
      <c r="G18" t="inlineStr">
        <is>
          <t>BS001</t>
        </is>
      </c>
      <c r="H18" t="inlineStr">
        <is>
          <t>30 Januari 2007</t>
        </is>
      </c>
      <c r="I18" s="2" t="n">
        <v>46206</v>
      </c>
      <c r="J18" t="inlineStr">
        <is>
          <t>Disetujui</t>
        </is>
      </c>
      <c r="K18" t="n">
        <v>30</v>
      </c>
      <c r="L18" t="inlineStr">
        <is>
          <t>3 Juli 2026</t>
        </is>
      </c>
      <c r="M18" t="inlineStr">
        <is>
          <t>Konstruksi Bangunan Sipil Jalan</t>
        </is>
      </c>
      <c r="N18" t="inlineStr">
        <is>
          <t>K</t>
        </is>
      </c>
      <c r="O18" t="inlineStr">
        <is>
          <t>20230626</t>
        </is>
      </c>
      <c r="P18" t="inlineStr">
        <is>
          <t>Jawa Barat</t>
        </is>
      </c>
      <c r="Q18" t="inlineStr"/>
    </row>
    <row r="19">
      <c r="A19" t="inlineStr">
        <is>
          <t>ANGGANG BORNEO</t>
        </is>
      </c>
      <c r="B19" t="inlineStr">
        <is>
          <t>Kab. Hulu Sungai Tengah</t>
        </is>
      </c>
      <c r="C19" t="inlineStr">
        <is>
          <t>081253757738</t>
        </is>
      </c>
      <c r="D19" t="inlineStr">
        <is>
          <t>Anggangborneo01@gmail.com</t>
        </is>
      </c>
      <c r="E19" t="inlineStr">
        <is>
          <t>https://lpjk.pu.go.id/search-badan-usaha-detail/ekVxOGpoWkRaM3hPVUVxL3lsUk9tUT09</t>
        </is>
      </c>
      <c r="F19" t="n">
        <v>2</v>
      </c>
      <c r="G19" t="inlineStr">
        <is>
          <t>BG005, BG008</t>
        </is>
      </c>
      <c r="H19" t="inlineStr">
        <is>
          <t>2 Mei 2023</t>
        </is>
      </c>
      <c r="I19" s="2" t="n">
        <v>46206</v>
      </c>
      <c r="J19" t="inlineStr">
        <is>
          <t>Pencabutan</t>
        </is>
      </c>
      <c r="K19" t="n">
        <v>30</v>
      </c>
      <c r="L19" t="inlineStr">
        <is>
          <t>3 Juli 2026</t>
        </is>
      </c>
      <c r="M19" t="inlineStr">
        <is>
          <t>Konstruksi Gedung Kesehatan, Konstruksi Gedung Tempat Hiburan dan Olahraga</t>
        </is>
      </c>
      <c r="N19" t="inlineStr">
        <is>
          <t>K</t>
        </is>
      </c>
      <c r="O19" t="inlineStr">
        <is>
          <t>20230704</t>
        </is>
      </c>
      <c r="P19" t="inlineStr">
        <is>
          <t>Kalimantan Selatan</t>
        </is>
      </c>
      <c r="Q19" t="inlineStr"/>
    </row>
    <row r="20">
      <c r="A20" t="inlineStr">
        <is>
          <t>ANUGERAH RAKHA PRATAMA</t>
        </is>
      </c>
      <c r="B20" t="inlineStr">
        <is>
          <t>Kab. Kubu Raya</t>
        </is>
      </c>
      <c r="C20" t="inlineStr">
        <is>
          <t>081251608990</t>
        </is>
      </c>
      <c r="D20" t="inlineStr">
        <is>
          <t>anugerahrakhapratama@yahoo.com</t>
        </is>
      </c>
      <c r="E20" t="inlineStr">
        <is>
          <t>https://lpjk.pu.go.id/search-badan-usaha-detail/VUJnQk41QjB4eHZVaGRsdzhocjQ4dz09</t>
        </is>
      </c>
      <c r="F20" t="n">
        <v>1</v>
      </c>
      <c r="G20" t="inlineStr">
        <is>
          <t>BG006</t>
        </is>
      </c>
      <c r="H20" t="inlineStr">
        <is>
          <t>14 April 2014</t>
        </is>
      </c>
      <c r="I20" s="2" t="n">
        <v>46206</v>
      </c>
      <c r="J20" t="inlineStr">
        <is>
          <t>Disetujui</t>
        </is>
      </c>
      <c r="K20" t="n">
        <v>30</v>
      </c>
      <c r="L20" t="inlineStr">
        <is>
          <t>3 Juli 2026</t>
        </is>
      </c>
      <c r="M20" t="inlineStr">
        <is>
          <t>Konstruksi Gedung Pendidikan</t>
        </is>
      </c>
      <c r="N20" t="inlineStr">
        <is>
          <t>K</t>
        </is>
      </c>
      <c r="O20" t="inlineStr">
        <is>
          <t>20230703</t>
        </is>
      </c>
      <c r="P20" t="inlineStr">
        <is>
          <t>Kalimantan Barat</t>
        </is>
      </c>
      <c r="Q20" t="inlineStr"/>
    </row>
    <row r="21">
      <c r="A21" t="inlineStr">
        <is>
          <t>ANUGERAH TEKNIK</t>
        </is>
      </c>
      <c r="B21" t="inlineStr">
        <is>
          <t>Kab. Tangerang</t>
        </is>
      </c>
      <c r="C21" t="inlineStr">
        <is>
          <t>085213848668</t>
        </is>
      </c>
      <c r="D21" t="inlineStr">
        <is>
          <t>anugerahteknik2019@gmail.com</t>
        </is>
      </c>
      <c r="E21" t="inlineStr">
        <is>
          <t>https://lpjk.pu.go.id/search-badan-usaha-detail/TFFQNGxBbndDVDloNE5mR3FZZWNxQT09</t>
        </is>
      </c>
      <c r="F21" t="n">
        <v>4</v>
      </c>
      <c r="G21" t="inlineStr">
        <is>
          <t>BG006, BG009, BS001, BS010</t>
        </is>
      </c>
      <c r="H21" t="inlineStr">
        <is>
          <t>3 Januari 2002</t>
        </is>
      </c>
      <c r="I21" s="2" t="n">
        <v>46206</v>
      </c>
      <c r="J21" t="inlineStr">
        <is>
          <t>Disetujui</t>
        </is>
      </c>
      <c r="K21" t="n">
        <v>30</v>
      </c>
      <c r="L21" t="inlineStr">
        <is>
          <t>3 Juli 2026</t>
        </is>
      </c>
      <c r="M21" t="inlineStr">
        <is>
          <t>Konstruksi Bangunan Prasarana Sumber Daya Air, Konstruksi Bangunan Sipil Jalan, Konstruksi Gedung Lainnya, Konstruksi Gedung Pendidikan</t>
        </is>
      </c>
      <c r="N21" t="inlineStr">
        <is>
          <t>K</t>
        </is>
      </c>
      <c r="O21" t="inlineStr">
        <is>
          <t>20221205, 20230701</t>
        </is>
      </c>
      <c r="P21" t="inlineStr">
        <is>
          <t>Banten</t>
        </is>
      </c>
      <c r="Q21" t="inlineStr"/>
    </row>
    <row r="22">
      <c r="A22" t="inlineStr">
        <is>
          <t>AQILLA SUMBER BERKAH</t>
        </is>
      </c>
      <c r="B22" t="inlineStr">
        <is>
          <t>Kab. Tangerang</t>
        </is>
      </c>
      <c r="C22" t="inlineStr">
        <is>
          <t>082111223838</t>
        </is>
      </c>
      <c r="D22" t="inlineStr">
        <is>
          <t>aqillasumber@gmail.com</t>
        </is>
      </c>
      <c r="E22" t="inlineStr">
        <is>
          <t>https://lpjk.pu.go.id/search-badan-usaha-detail/a1lTMzZHcGdoOHV6enFrbWs5SWtuUT09</t>
        </is>
      </c>
      <c r="F22" t="n">
        <v>3</v>
      </c>
      <c r="G22" t="inlineStr">
        <is>
          <t>BG009, BS001, BS004</t>
        </is>
      </c>
      <c r="H22" t="inlineStr">
        <is>
          <t>7 Januari 2023</t>
        </is>
      </c>
      <c r="I22" s="2" t="n">
        <v>46206</v>
      </c>
      <c r="J22" t="inlineStr">
        <is>
          <t>Disetujui</t>
        </is>
      </c>
      <c r="K22" t="n">
        <v>30</v>
      </c>
      <c r="L22" t="inlineStr">
        <is>
          <t>3 Juli 2026</t>
        </is>
      </c>
      <c r="M22" t="inlineStr">
        <is>
          <t>Konstruksi Bangunan Sipil Jalan, Konstruksi Gedung Lainnya, Konstruksi Jaringan Irigasi dan Drainase</t>
        </is>
      </c>
      <c r="N22" t="inlineStr">
        <is>
          <t>K</t>
        </is>
      </c>
      <c r="O22" t="inlineStr">
        <is>
          <t>20230701</t>
        </is>
      </c>
      <c r="P22" t="inlineStr">
        <is>
          <t>Banten</t>
        </is>
      </c>
      <c r="Q22" t="inlineStr"/>
    </row>
    <row r="23">
      <c r="A23" t="inlineStr">
        <is>
          <t>ARIF BERSAUDARA</t>
        </is>
      </c>
      <c r="B23" t="inlineStr">
        <is>
          <t>Kab. Banjar</t>
        </is>
      </c>
      <c r="C23" t="inlineStr">
        <is>
          <t>08125052310</t>
        </is>
      </c>
      <c r="D23" t="inlineStr">
        <is>
          <t>cv.arifbersaudara@yahoo.co.id</t>
        </is>
      </c>
      <c r="E23" t="inlineStr">
        <is>
          <t>https://lpjk.pu.go.id/search-badan-usaha-detail/UXRqZUorYzFMZGpQOE9CNWF4MThNUT09</t>
        </is>
      </c>
      <c r="F23" t="n">
        <v>3</v>
      </c>
      <c r="G23" t="inlineStr">
        <is>
          <t>BG005, BG006, BG009</t>
        </is>
      </c>
      <c r="H23" t="inlineStr">
        <is>
          <t>31 Mei 2010</t>
        </is>
      </c>
      <c r="I23" s="2" t="n">
        <v>46206</v>
      </c>
      <c r="J23" t="inlineStr">
        <is>
          <t>Disetujui</t>
        </is>
      </c>
      <c r="K23" t="n">
        <v>30</v>
      </c>
      <c r="L23" t="inlineStr">
        <is>
          <t>3 Juli 2026</t>
        </is>
      </c>
      <c r="M23" t="inlineStr">
        <is>
          <t>Konstruksi Gedung Kesehatan, Konstruksi Gedung Lainnya, Konstruksi Gedung Pendidikan</t>
        </is>
      </c>
      <c r="N23" t="inlineStr">
        <is>
          <t>K</t>
        </is>
      </c>
      <c r="O23" t="inlineStr">
        <is>
          <t>20230628</t>
        </is>
      </c>
      <c r="P23" t="inlineStr">
        <is>
          <t>Kalimantan Selatan</t>
        </is>
      </c>
      <c r="Q23" t="inlineStr"/>
    </row>
    <row r="24">
      <c r="A24" t="inlineStr">
        <is>
          <t>ARSHA JAYA</t>
        </is>
      </c>
      <c r="B24" t="inlineStr">
        <is>
          <t>Kab. Solok</t>
        </is>
      </c>
      <c r="C24" t="inlineStr">
        <is>
          <t>081363466820</t>
        </is>
      </c>
      <c r="D24" t="inlineStr">
        <is>
          <t>lisayenti@yahoo.com</t>
        </is>
      </c>
      <c r="E24" t="inlineStr">
        <is>
          <t>https://lpjk.pu.go.id/search-badan-usaha-detail/N3pRS21FUmkzU2JwNUhoVEhBNWwxdz09</t>
        </is>
      </c>
      <c r="F24" t="n">
        <v>3</v>
      </c>
      <c r="G24" t="inlineStr">
        <is>
          <t>BG006, BS001, BS004</t>
        </is>
      </c>
      <c r="H24" t="inlineStr">
        <is>
          <t>15 April 2004</t>
        </is>
      </c>
      <c r="I24" s="2" t="n">
        <v>46206</v>
      </c>
      <c r="J24" t="inlineStr">
        <is>
          <t>Disetujui</t>
        </is>
      </c>
      <c r="K24" t="n">
        <v>30</v>
      </c>
      <c r="L24" t="inlineStr">
        <is>
          <t>3 Juli 2026</t>
        </is>
      </c>
      <c r="M24" t="inlineStr">
        <is>
          <t>Konstruksi Bangunan Sipil Jalan, Konstruksi Gedung Pendidikan, Konstruksi Jaringan Irigasi dan Drainase</t>
        </is>
      </c>
      <c r="N24" t="inlineStr">
        <is>
          <t>K</t>
        </is>
      </c>
      <c r="O24" t="inlineStr">
        <is>
          <t>20230613, 20230616</t>
        </is>
      </c>
      <c r="P24" t="inlineStr">
        <is>
          <t>Sumatera Barat</t>
        </is>
      </c>
      <c r="Q24" t="inlineStr"/>
    </row>
    <row r="25">
      <c r="A25" t="inlineStr">
        <is>
          <t>ARTHA BRILIAN JAYA</t>
        </is>
      </c>
      <c r="B25" t="inlineStr">
        <is>
          <t>Kota Pekanbaru</t>
        </is>
      </c>
      <c r="C25" t="inlineStr">
        <is>
          <t>085271594447</t>
        </is>
      </c>
      <c r="D25" t="inlineStr">
        <is>
          <t>arthabrilianjaya@gmail.com</t>
        </is>
      </c>
      <c r="E25" t="inlineStr">
        <is>
          <t>https://lpjk.pu.go.id/search-badan-usaha-detail/K1p2ZmlGSEZkMHpydHRxcEJQRU9GUT09</t>
        </is>
      </c>
      <c r="F25" t="n">
        <v>1</v>
      </c>
      <c r="G25" t="inlineStr">
        <is>
          <t>BS001</t>
        </is>
      </c>
      <c r="H25" t="inlineStr">
        <is>
          <t>12 Oktober 2022</t>
        </is>
      </c>
      <c r="I25" s="2" t="n">
        <v>46206</v>
      </c>
      <c r="J25" t="inlineStr">
        <is>
          <t>Disetujui</t>
        </is>
      </c>
      <c r="K25" t="n">
        <v>30</v>
      </c>
      <c r="L25" t="inlineStr">
        <is>
          <t>3 Juli 2026</t>
        </is>
      </c>
      <c r="M25" t="inlineStr">
        <is>
          <t>Konstruksi Bangunan Sipil Jalan</t>
        </is>
      </c>
      <c r="N25" t="inlineStr">
        <is>
          <t>K</t>
        </is>
      </c>
      <c r="O25" t="inlineStr">
        <is>
          <t>20230703</t>
        </is>
      </c>
      <c r="P25" t="inlineStr">
        <is>
          <t>Riau</t>
        </is>
      </c>
      <c r="Q25" t="inlineStr"/>
    </row>
    <row r="26">
      <c r="A26" t="inlineStr">
        <is>
          <t>ARTHAYASA DHARMA KENCANA</t>
        </is>
      </c>
      <c r="B26" t="inlineStr">
        <is>
          <t>Kab. Sidoarjo</t>
        </is>
      </c>
      <c r="C26" t="inlineStr">
        <is>
          <t>082244551314</t>
        </is>
      </c>
      <c r="D26" t="inlineStr">
        <is>
          <t>cv.arthayasadharma.k@gmail.com</t>
        </is>
      </c>
      <c r="E26" t="inlineStr">
        <is>
          <t>https://lpjk.pu.go.id/search-badan-usaha-detail/cDlJQzJXRFdka0NRWVU5TVJqaDZuUT09</t>
        </is>
      </c>
      <c r="F26" t="n">
        <v>1</v>
      </c>
      <c r="G26" t="inlineStr">
        <is>
          <t>RK005</t>
        </is>
      </c>
      <c r="H26" t="inlineStr">
        <is>
          <t>25 April 2022</t>
        </is>
      </c>
      <c r="I26" s="2" t="n">
        <v>46206</v>
      </c>
      <c r="J26" t="inlineStr">
        <is>
          <t>Pencabutan</t>
        </is>
      </c>
      <c r="K26" t="n">
        <v>30</v>
      </c>
      <c r="L26" t="inlineStr">
        <is>
          <t>3 Juli 2026</t>
        </is>
      </c>
      <c r="M26" t="inlineStr">
        <is>
          <t>Jasa Rekayasa Lainnya</t>
        </is>
      </c>
      <c r="N26" t="inlineStr">
        <is>
          <t>K</t>
        </is>
      </c>
      <c r="O26" t="inlineStr">
        <is>
          <t>20230620</t>
        </is>
      </c>
      <c r="P26" t="inlineStr">
        <is>
          <t>Jawa Timur</t>
        </is>
      </c>
      <c r="Q26" t="inlineStr"/>
    </row>
    <row r="27">
      <c r="A27" t="inlineStr">
        <is>
          <t>ARUNIKA REKA CIPTA</t>
        </is>
      </c>
      <c r="B27" t="inlineStr">
        <is>
          <t>Kab. Kotawaringin Barat</t>
        </is>
      </c>
      <c r="C27" t="inlineStr">
        <is>
          <t>081348951983</t>
        </is>
      </c>
      <c r="D27" t="inlineStr">
        <is>
          <t>pt.arunika.reka.cipta@gmail.com</t>
        </is>
      </c>
      <c r="E27" t="inlineStr">
        <is>
          <t>https://lpjk.pu.go.id/search-badan-usaha-detail/ZU1XbGZFRUx4Njh5Q0dNdjNjVXBzUT09</t>
        </is>
      </c>
      <c r="F27" t="n">
        <v>2</v>
      </c>
      <c r="G27" t="inlineStr">
        <is>
          <t>RK003</t>
        </is>
      </c>
      <c r="H27" t="inlineStr">
        <is>
          <t>23 Januari 2023</t>
        </is>
      </c>
      <c r="I27" s="2" t="n">
        <v>46206</v>
      </c>
      <c r="J27" t="inlineStr">
        <is>
          <t>Disetujui</t>
        </is>
      </c>
      <c r="K27" t="n">
        <v>30</v>
      </c>
      <c r="L27" t="inlineStr">
        <is>
          <t>3 Juli 2026</t>
        </is>
      </c>
      <c r="M27" t="inlineStr">
        <is>
          <t>Jasa Rekayasa Pekerjaan Teknik Sipil Transportasi</t>
        </is>
      </c>
      <c r="N27" t="inlineStr">
        <is>
          <t>K</t>
        </is>
      </c>
      <c r="O27" t="inlineStr">
        <is>
          <t>20230315</t>
        </is>
      </c>
      <c r="P27" t="inlineStr">
        <is>
          <t>Kalimantan Tengah</t>
        </is>
      </c>
      <c r="Q27" t="inlineStr"/>
    </row>
    <row r="28">
      <c r="A28" t="inlineStr">
        <is>
          <t>BAKTI NUGROHO</t>
        </is>
      </c>
      <c r="B28" t="inlineStr">
        <is>
          <t>Kab. Bantul</t>
        </is>
      </c>
      <c r="C28" t="inlineStr">
        <is>
          <t>085729837400</t>
        </is>
      </c>
      <c r="D28" t="inlineStr">
        <is>
          <t>baktinugrohobantul@gmail.com</t>
        </is>
      </c>
      <c r="E28" t="inlineStr">
        <is>
          <t>https://lpjk.pu.go.id/search-badan-usaha-detail/dVhkNXFRU2dOdkdkT3dHclliTFdEdz09</t>
        </is>
      </c>
      <c r="F28" t="n">
        <v>1</v>
      </c>
      <c r="G28" t="inlineStr">
        <is>
          <t>BS010</t>
        </is>
      </c>
      <c r="H28" t="inlineStr">
        <is>
          <t>14 Mei 2020</t>
        </is>
      </c>
      <c r="I28" s="2" t="n">
        <v>46206</v>
      </c>
      <c r="J28" t="inlineStr">
        <is>
          <t>Disetujui</t>
        </is>
      </c>
      <c r="K28" t="n">
        <v>30</v>
      </c>
      <c r="L28" t="inlineStr">
        <is>
          <t>3 Juli 2026</t>
        </is>
      </c>
      <c r="M28" t="inlineStr">
        <is>
          <t>Konstruksi Bangunan Prasarana Sumber Daya Air</t>
        </is>
      </c>
      <c r="N28" t="inlineStr">
        <is>
          <t>K</t>
        </is>
      </c>
      <c r="O28" t="inlineStr">
        <is>
          <t>20230626</t>
        </is>
      </c>
      <c r="P28" t="inlineStr">
        <is>
          <t>DI Yogyakarta</t>
        </is>
      </c>
      <c r="Q28" t="inlineStr"/>
    </row>
    <row r="29">
      <c r="A29" t="inlineStr">
        <is>
          <t>BANDUNG PILAR KONTRUKSINDO</t>
        </is>
      </c>
      <c r="B29" t="inlineStr">
        <is>
          <t>Kota Cimahi</t>
        </is>
      </c>
      <c r="C29" t="inlineStr">
        <is>
          <t>081320935494</t>
        </is>
      </c>
      <c r="D29" t="inlineStr">
        <is>
          <t>pt.bapikon@gmail.com</t>
        </is>
      </c>
      <c r="E29" t="inlineStr">
        <is>
          <t>https://lpjk.pu.go.id/search-badan-usaha-detail/eVY4SGJDTW5UeklUMjUrREducjYwQT09</t>
        </is>
      </c>
      <c r="F29" t="n">
        <v>1</v>
      </c>
      <c r="G29" t="inlineStr">
        <is>
          <t>BG005</t>
        </is>
      </c>
      <c r="H29" t="inlineStr">
        <is>
          <t>4 Januari 2018</t>
        </is>
      </c>
      <c r="I29" s="2" t="n">
        <v>46206</v>
      </c>
      <c r="J29" t="inlineStr">
        <is>
          <t>Pencabutan</t>
        </is>
      </c>
      <c r="K29" t="n">
        <v>30</v>
      </c>
      <c r="L29" t="inlineStr">
        <is>
          <t>3 Juli 2026</t>
        </is>
      </c>
      <c r="M29" t="inlineStr">
        <is>
          <t>Konstruksi Gedung Kesehatan</t>
        </is>
      </c>
      <c r="N29" t="inlineStr">
        <is>
          <t>K</t>
        </is>
      </c>
      <c r="O29" t="inlineStr">
        <is>
          <t>20230614</t>
        </is>
      </c>
      <c r="P29" t="inlineStr">
        <is>
          <t>Jawa Barat</t>
        </is>
      </c>
      <c r="Q29" t="inlineStr"/>
    </row>
    <row r="30">
      <c r="A30" t="inlineStr">
        <is>
          <t>BANGUN SAMUDRA MANDIRI</t>
        </is>
      </c>
      <c r="B30" t="inlineStr">
        <is>
          <t>Kab. Kepulauan Selayar</t>
        </is>
      </c>
      <c r="C30" t="inlineStr">
        <is>
          <t>082190919222</t>
        </is>
      </c>
      <c r="D30" t="inlineStr">
        <is>
          <t>bangunsamudra_mandiri@yahoo.com</t>
        </is>
      </c>
      <c r="E30" t="inlineStr">
        <is>
          <t>https://lpjk.pu.go.id/search-badan-usaha-detail/ZytDM09FTGd4bGdwZ21kRDBWU3Zodz09</t>
        </is>
      </c>
      <c r="F30" t="n">
        <v>4</v>
      </c>
      <c r="G30" t="inlineStr">
        <is>
          <t>BG001, BG005, BG006, BG009</t>
        </is>
      </c>
      <c r="H30" t="inlineStr">
        <is>
          <t>1 Februari 2017</t>
        </is>
      </c>
      <c r="I30" s="2" t="n">
        <v>46206</v>
      </c>
      <c r="J30" t="inlineStr">
        <is>
          <t>Disetujui</t>
        </is>
      </c>
      <c r="K30" t="n">
        <v>30</v>
      </c>
      <c r="L30" t="inlineStr">
        <is>
          <t>3 Juli 2026</t>
        </is>
      </c>
      <c r="M30" t="inlineStr">
        <is>
          <t>Konstruksi Gedung Hunian, Konstruksi Gedung Kesehatan, Konstruksi Gedung Lainnya, Konstruksi Gedung Pendidikan</t>
        </is>
      </c>
      <c r="N30" t="inlineStr">
        <is>
          <t>K</t>
        </is>
      </c>
      <c r="O30" t="inlineStr">
        <is>
          <t>20230703</t>
        </is>
      </c>
      <c r="P30" t="inlineStr">
        <is>
          <t>Sulawesi Selatan</t>
        </is>
      </c>
      <c r="Q30" t="inlineStr"/>
    </row>
    <row r="31">
      <c r="A31" t="inlineStr">
        <is>
          <t>BANGUN SARANA MULYA</t>
        </is>
      </c>
      <c r="B31" t="inlineStr">
        <is>
          <t>Kab. Blitar</t>
        </is>
      </c>
      <c r="C31" t="inlineStr">
        <is>
          <t>081249450891</t>
        </is>
      </c>
      <c r="D31" t="inlineStr">
        <is>
          <t>cvbsm0001@gmail.com</t>
        </is>
      </c>
      <c r="E31" t="inlineStr">
        <is>
          <t>https://lpjk.pu.go.id/search-badan-usaha-detail/YmNhNTBWTnpsSWlVaXREaEJEdGR2dz09</t>
        </is>
      </c>
      <c r="F31" t="n">
        <v>1</v>
      </c>
      <c r="G31" t="inlineStr">
        <is>
          <t>BG004</t>
        </is>
      </c>
      <c r="H31" t="inlineStr">
        <is>
          <t>5 Juli 2017</t>
        </is>
      </c>
      <c r="I31" s="2" t="n">
        <v>46206</v>
      </c>
      <c r="J31" t="inlineStr">
        <is>
          <t>Disetujui</t>
        </is>
      </c>
      <c r="K31" t="n">
        <v>30</v>
      </c>
      <c r="L31" t="inlineStr">
        <is>
          <t>3 Juli 2026</t>
        </is>
      </c>
      <c r="M31" t="inlineStr">
        <is>
          <t>Konstruksi Gedung Perbelanjaan</t>
        </is>
      </c>
      <c r="N31" t="inlineStr">
        <is>
          <t>K</t>
        </is>
      </c>
      <c r="O31" t="inlineStr">
        <is>
          <t>20230627</t>
        </is>
      </c>
      <c r="P31" t="inlineStr">
        <is>
          <t>Jawa Timur</t>
        </is>
      </c>
      <c r="Q31" t="inlineStr"/>
    </row>
    <row r="32">
      <c r="A32" t="inlineStr">
        <is>
          <t>BANGUN SELARAS</t>
        </is>
      </c>
      <c r="B32" t="inlineStr">
        <is>
          <t>Kota Kediri</t>
        </is>
      </c>
      <c r="C32" t="inlineStr">
        <is>
          <t>0354774928</t>
        </is>
      </c>
      <c r="D32" t="inlineStr">
        <is>
          <t>anis_mufarida@yahoo.com</t>
        </is>
      </c>
      <c r="E32" t="inlineStr">
        <is>
          <t>https://lpjk.pu.go.id/search-badan-usaha-detail/a3pvcW9XN0Nkc25DUklydUFKUVo4dz09</t>
        </is>
      </c>
      <c r="F32" t="n">
        <v>1</v>
      </c>
      <c r="G32" t="inlineStr">
        <is>
          <t>BG005</t>
        </is>
      </c>
      <c r="H32" t="inlineStr">
        <is>
          <t>11 Juni 2015</t>
        </is>
      </c>
      <c r="I32" s="2" t="n">
        <v>46206</v>
      </c>
      <c r="J32" t="inlineStr">
        <is>
          <t>Disetujui</t>
        </is>
      </c>
      <c r="K32" t="n">
        <v>30</v>
      </c>
      <c r="L32" t="inlineStr">
        <is>
          <t>3 Juli 2026</t>
        </is>
      </c>
      <c r="M32" t="inlineStr">
        <is>
          <t>Konstruksi Gedung Kesehatan</t>
        </is>
      </c>
      <c r="N32" t="inlineStr">
        <is>
          <t>K</t>
        </is>
      </c>
      <c r="O32" t="inlineStr">
        <is>
          <t>20230626</t>
        </is>
      </c>
      <c r="P32" t="inlineStr">
        <is>
          <t>Jawa Timur</t>
        </is>
      </c>
      <c r="Q32" t="inlineStr"/>
    </row>
    <row r="33">
      <c r="A33" t="inlineStr">
        <is>
          <t>BATARA CIPTA SARANA</t>
        </is>
      </c>
      <c r="B33" t="inlineStr">
        <is>
          <t>Kota Medan</t>
        </is>
      </c>
      <c r="C33" t="inlineStr">
        <is>
          <t>0811160099</t>
        </is>
      </c>
      <c r="D33" t="inlineStr">
        <is>
          <t>bataraciptasarana@yahoo.com</t>
        </is>
      </c>
      <c r="E33" t="inlineStr">
        <is>
          <t>https://lpjk.pu.go.id/search-badan-usaha-detail/cTlTVW5oNmRobjFSTHd2U1lmL0Y5UT09</t>
        </is>
      </c>
      <c r="F33" t="n">
        <v>1</v>
      </c>
      <c r="G33" t="inlineStr">
        <is>
          <t>BS001</t>
        </is>
      </c>
      <c r="H33" t="inlineStr">
        <is>
          <t>22 Agustus 2014</t>
        </is>
      </c>
      <c r="I33" s="2" t="n">
        <v>46206</v>
      </c>
      <c r="J33" t="inlineStr">
        <is>
          <t>Disetujui</t>
        </is>
      </c>
      <c r="K33" t="n">
        <v>30</v>
      </c>
      <c r="L33" t="inlineStr">
        <is>
          <t>3 Juli 2026</t>
        </is>
      </c>
      <c r="M33" t="inlineStr">
        <is>
          <t>Konstruksi Bangunan Sipil Jalan</t>
        </is>
      </c>
      <c r="N33" t="inlineStr">
        <is>
          <t>M</t>
        </is>
      </c>
      <c r="O33" t="inlineStr">
        <is>
          <t>20230612</t>
        </is>
      </c>
      <c r="P33" t="inlineStr">
        <is>
          <t>Sumatera Utara</t>
        </is>
      </c>
      <c r="Q33" t="inlineStr"/>
    </row>
    <row r="34">
      <c r="A34" t="inlineStr">
        <is>
          <t>BATRA JAYA</t>
        </is>
      </c>
      <c r="B34" t="inlineStr">
        <is>
          <t>Kab. Jember</t>
        </is>
      </c>
      <c r="C34" t="inlineStr">
        <is>
          <t>085313943617</t>
        </is>
      </c>
      <c r="D34" t="inlineStr">
        <is>
          <t>cvbatrajayajember@yahoo.com</t>
        </is>
      </c>
      <c r="E34" t="inlineStr">
        <is>
          <t>https://lpjk.pu.go.id/search-badan-usaha-detail/M2JnYjlCTEZaUnRoWkpPYVJJY2xFQT09</t>
        </is>
      </c>
      <c r="F34" t="n">
        <v>1</v>
      </c>
      <c r="G34" t="inlineStr">
        <is>
          <t>BS004</t>
        </is>
      </c>
      <c r="H34" t="inlineStr">
        <is>
          <t>17 Januari 2022</t>
        </is>
      </c>
      <c r="I34" s="2" t="n">
        <v>46206</v>
      </c>
      <c r="J34" t="inlineStr">
        <is>
          <t>Pencabutan</t>
        </is>
      </c>
      <c r="K34" t="n">
        <v>30</v>
      </c>
      <c r="L34" t="inlineStr">
        <is>
          <t>3 Juli 2026</t>
        </is>
      </c>
      <c r="M34" t="inlineStr">
        <is>
          <t>Konstruksi Jaringan Irigasi dan Drainase</t>
        </is>
      </c>
      <c r="N34" t="inlineStr">
        <is>
          <t>K</t>
        </is>
      </c>
      <c r="O34" t="inlineStr">
        <is>
          <t>20230630</t>
        </is>
      </c>
      <c r="P34" t="inlineStr">
        <is>
          <t>Jawa Timur</t>
        </is>
      </c>
      <c r="Q34" t="inlineStr"/>
    </row>
    <row r="35">
      <c r="A35" t="inlineStr">
        <is>
          <t>BERKAH MEAR HANIFA</t>
        </is>
      </c>
      <c r="B35" t="inlineStr">
        <is>
          <t>Kab. Pasaman Barat</t>
        </is>
      </c>
      <c r="C35" t="inlineStr">
        <is>
          <t>082171555252</t>
        </is>
      </c>
      <c r="D35" t="inlineStr">
        <is>
          <t>cvberkahmearhanifa@gmail.com</t>
        </is>
      </c>
      <c r="E35" t="inlineStr">
        <is>
          <t>https://lpjk.pu.go.id/search-badan-usaha-detail/VkZsTXI1SU9IWmpyS0paM2k2RWdndz09</t>
        </is>
      </c>
      <c r="F35" t="n">
        <v>2</v>
      </c>
      <c r="G35" t="inlineStr">
        <is>
          <t>BG009</t>
        </is>
      </c>
      <c r="H35" t="inlineStr">
        <is>
          <t>13 Juli 2020</t>
        </is>
      </c>
      <c r="I35" s="2" t="n">
        <v>46206</v>
      </c>
      <c r="J35" t="inlineStr">
        <is>
          <t>Disetujui</t>
        </is>
      </c>
      <c r="K35" t="n">
        <v>30</v>
      </c>
      <c r="L35" t="inlineStr">
        <is>
          <t>3 Juli 2026</t>
        </is>
      </c>
      <c r="M35" t="inlineStr">
        <is>
          <t>Konstruksi Gedung Lainnya</t>
        </is>
      </c>
      <c r="N35" t="inlineStr">
        <is>
          <t>K</t>
        </is>
      </c>
      <c r="O35" t="inlineStr">
        <is>
          <t>20230606</t>
        </is>
      </c>
      <c r="P35" t="inlineStr">
        <is>
          <t>Sumatera Barat</t>
        </is>
      </c>
      <c r="Q35" t="inlineStr"/>
    </row>
    <row r="36">
      <c r="A36" t="inlineStr">
        <is>
          <t>BERKAT KELUARGA</t>
        </is>
      </c>
      <c r="B36" t="inlineStr">
        <is>
          <t>Kab. Tapin</t>
        </is>
      </c>
      <c r="C36" t="inlineStr">
        <is>
          <t>08115123556</t>
        </is>
      </c>
      <c r="D36" t="inlineStr">
        <is>
          <t>berkatkeluarga25@gmail.com</t>
        </is>
      </c>
      <c r="E36" t="inlineStr">
        <is>
          <t>https://lpjk.pu.go.id/search-badan-usaha-detail/OWM1UzNkS2JiT1d0R0d0NGttZXNFQT09</t>
        </is>
      </c>
      <c r="F36" t="n">
        <v>6</v>
      </c>
      <c r="G36" t="inlineStr">
        <is>
          <t>BS001, BS002, BS004</t>
        </is>
      </c>
      <c r="H36" t="inlineStr">
        <is>
          <t>4 Juli 2006</t>
        </is>
      </c>
      <c r="I36" s="2" t="n">
        <v>46206</v>
      </c>
      <c r="J36" t="inlineStr">
        <is>
          <t>Disetujui</t>
        </is>
      </c>
      <c r="K36" t="n">
        <v>30</v>
      </c>
      <c r="L36" t="inlineStr">
        <is>
          <t>3 Juli 2026</t>
        </is>
      </c>
      <c r="M36" t="inlineStr">
        <is>
          <t>Bangunan Sipil Jembatan, Jalan Layang, Fly Over, dan Underpass, Konstruksi Bangunan Sipil Jalan, Konstruksi Jaringan Irigasi dan Drainase</t>
        </is>
      </c>
      <c r="N36" t="inlineStr">
        <is>
          <t>K</t>
        </is>
      </c>
      <c r="O36" t="inlineStr">
        <is>
          <t>20230627</t>
        </is>
      </c>
      <c r="P36" t="inlineStr">
        <is>
          <t>Kalimantan Selatan</t>
        </is>
      </c>
      <c r="Q36" t="inlineStr"/>
    </row>
    <row r="37">
      <c r="A37" t="inlineStr">
        <is>
          <t>BIMA PUTRA</t>
        </is>
      </c>
      <c r="B37" t="inlineStr">
        <is>
          <t>Kab. Jember</t>
        </is>
      </c>
      <c r="C37" t="inlineStr">
        <is>
          <t>082139558339</t>
        </is>
      </c>
      <c r="D37" t="inlineStr">
        <is>
          <t>bimaputra_bp@yahoo.com</t>
        </is>
      </c>
      <c r="E37" t="inlineStr">
        <is>
          <t>https://lpjk.pu.go.id/search-badan-usaha-detail/TkZiNHRsdXp3QjNibG9XQmZYU21NZz09</t>
        </is>
      </c>
      <c r="F37" t="n">
        <v>2</v>
      </c>
      <c r="G37" t="inlineStr">
        <is>
          <t>BG006, BG009</t>
        </is>
      </c>
      <c r="H37" t="inlineStr">
        <is>
          <t>22 November 2006</t>
        </is>
      </c>
      <c r="I37" s="2" t="n">
        <v>46206</v>
      </c>
      <c r="J37" t="inlineStr">
        <is>
          <t>Pencabutan</t>
        </is>
      </c>
      <c r="K37" t="n">
        <v>30</v>
      </c>
      <c r="L37" t="inlineStr">
        <is>
          <t>3 Juli 2026</t>
        </is>
      </c>
      <c r="M37" t="inlineStr">
        <is>
          <t>Konstruksi Gedung Lainnya, Konstruksi Gedung Pendidikan</t>
        </is>
      </c>
      <c r="N37" t="inlineStr">
        <is>
          <t>K</t>
        </is>
      </c>
      <c r="O37" t="inlineStr">
        <is>
          <t>20230626</t>
        </is>
      </c>
      <c r="P37" t="inlineStr">
        <is>
          <t>Jawa Timur</t>
        </is>
      </c>
      <c r="Q37" t="inlineStr"/>
    </row>
    <row r="38">
      <c r="A38" t="inlineStr">
        <is>
          <t>BINA KARYA MANDIRI</t>
        </is>
      </c>
      <c r="B38" t="inlineStr">
        <is>
          <t>Kota Banda Aceh</t>
        </is>
      </c>
      <c r="C38" t="inlineStr">
        <is>
          <t>085260440800</t>
        </is>
      </c>
      <c r="D38" t="inlineStr">
        <is>
          <t>binakaryamandiri@hotmail.com</t>
        </is>
      </c>
      <c r="E38" t="inlineStr">
        <is>
          <t>https://lpjk.pu.go.id/search-badan-usaha-detail/WG4raXNMRUxwOGtYdlB1TXVCT0lKQT09</t>
        </is>
      </c>
      <c r="F38" t="n">
        <v>1</v>
      </c>
      <c r="G38" t="inlineStr">
        <is>
          <t>BS010</t>
        </is>
      </c>
      <c r="H38" t="inlineStr">
        <is>
          <t>28 Agustus 2015</t>
        </is>
      </c>
      <c r="I38" s="2" t="n">
        <v>46206</v>
      </c>
      <c r="J38" t="inlineStr">
        <is>
          <t>Pencabutan</t>
        </is>
      </c>
      <c r="K38" t="n">
        <v>30</v>
      </c>
      <c r="L38" t="inlineStr">
        <is>
          <t>3 Juli 2026</t>
        </is>
      </c>
      <c r="M38" t="inlineStr">
        <is>
          <t>Konstruksi Bangunan Prasarana Sumber Daya Air</t>
        </is>
      </c>
      <c r="N38" t="inlineStr">
        <is>
          <t>K</t>
        </is>
      </c>
      <c r="O38" t="inlineStr">
        <is>
          <t>20230609</t>
        </is>
      </c>
      <c r="P38" t="inlineStr">
        <is>
          <t>Aceh</t>
        </is>
      </c>
      <c r="Q38" t="inlineStr"/>
    </row>
    <row r="39">
      <c r="A39" t="inlineStr">
        <is>
          <t>BINA PUTRA MANDIRI</t>
        </is>
      </c>
      <c r="B39" t="inlineStr">
        <is>
          <t>Kab. Hulu Sungai Utara</t>
        </is>
      </c>
      <c r="C39" t="inlineStr">
        <is>
          <t>085345773333</t>
        </is>
      </c>
      <c r="D39" t="inlineStr">
        <is>
          <t>binaputramandiri.232@gmail.com</t>
        </is>
      </c>
      <c r="E39" t="inlineStr">
        <is>
          <t>https://lpjk.pu.go.id/search-badan-usaha-detail/OVFuRHU1Y2RWTWtlNUxsV28rYWtwUT09</t>
        </is>
      </c>
      <c r="F39" t="n">
        <v>1</v>
      </c>
      <c r="G39" t="inlineStr">
        <is>
          <t>BS004</t>
        </is>
      </c>
      <c r="H39" t="inlineStr">
        <is>
          <t>29 Mei 2023</t>
        </is>
      </c>
      <c r="I39" s="2" t="n">
        <v>46206</v>
      </c>
      <c r="J39" t="inlineStr">
        <is>
          <t>Disetujui</t>
        </is>
      </c>
      <c r="K39" t="n">
        <v>30</v>
      </c>
      <c r="L39" t="inlineStr">
        <is>
          <t>3 Juli 2026</t>
        </is>
      </c>
      <c r="M39" t="inlineStr">
        <is>
          <t>Konstruksi Jaringan Irigasi dan Drainase</t>
        </is>
      </c>
      <c r="N39" t="inlineStr">
        <is>
          <t>K</t>
        </is>
      </c>
      <c r="O39" t="inlineStr">
        <is>
          <t>20230623</t>
        </is>
      </c>
      <c r="P39" t="inlineStr">
        <is>
          <t>Kalimantan Selatan</t>
        </is>
      </c>
      <c r="Q39" t="inlineStr"/>
    </row>
    <row r="40">
      <c r="A40" t="inlineStr">
        <is>
          <t>BINANGKIT</t>
        </is>
      </c>
      <c r="B40" t="inlineStr">
        <is>
          <t>Kota Sukabumi</t>
        </is>
      </c>
      <c r="C40" t="inlineStr">
        <is>
          <t>02662488125</t>
        </is>
      </c>
      <c r="D40" t="inlineStr">
        <is>
          <t>cv.binangkit.smi@gmail.com</t>
        </is>
      </c>
      <c r="E40" t="inlineStr">
        <is>
          <t>https://lpjk.pu.go.id/search-badan-usaha-detail/NGJ5bk02QytlZnZ0K1l0ZlJDVlZZUT09</t>
        </is>
      </c>
      <c r="F40" t="n">
        <v>2</v>
      </c>
      <c r="G40" t="inlineStr">
        <is>
          <t>BS004</t>
        </is>
      </c>
      <c r="H40" t="inlineStr">
        <is>
          <t>6 Agustus 1992</t>
        </is>
      </c>
      <c r="I40" s="2" t="n">
        <v>46206</v>
      </c>
      <c r="J40" t="inlineStr">
        <is>
          <t>Pencabutan</t>
        </is>
      </c>
      <c r="K40" t="n">
        <v>30</v>
      </c>
      <c r="L40" t="inlineStr">
        <is>
          <t>3 Juli 2026</t>
        </is>
      </c>
      <c r="M40" t="inlineStr">
        <is>
          <t>Konstruksi Jaringan Irigasi dan Drainase</t>
        </is>
      </c>
      <c r="N40" t="inlineStr">
        <is>
          <t>K</t>
        </is>
      </c>
      <c r="O40" t="inlineStr">
        <is>
          <t>20230627</t>
        </is>
      </c>
      <c r="P40" t="inlineStr">
        <is>
          <t>Jawa Barat</t>
        </is>
      </c>
      <c r="Q40" t="inlineStr"/>
    </row>
    <row r="41">
      <c r="A41" t="inlineStr">
        <is>
          <t>BINTANG LESTARI</t>
        </is>
      </c>
      <c r="B41" t="inlineStr">
        <is>
          <t>Kab. Tanah Datar</t>
        </is>
      </c>
      <c r="C41" t="inlineStr">
        <is>
          <t>085355394263</t>
        </is>
      </c>
      <c r="D41" t="inlineStr">
        <is>
          <t>diratriana83@yahoo.com</t>
        </is>
      </c>
      <c r="E41" t="inlineStr">
        <is>
          <t>https://lpjk.pu.go.id/search-badan-usaha-detail/aGZZejkwbEo5Qk43MEI3OUZYY21OUT09</t>
        </is>
      </c>
      <c r="F41" t="n">
        <v>2</v>
      </c>
      <c r="G41" t="inlineStr">
        <is>
          <t>BG006</t>
        </is>
      </c>
      <c r="H41" t="inlineStr">
        <is>
          <t>18 Februari 2020</t>
        </is>
      </c>
      <c r="I41" s="2" t="n">
        <v>46206</v>
      </c>
      <c r="J41" t="inlineStr">
        <is>
          <t>Disetujui</t>
        </is>
      </c>
      <c r="K41" t="n">
        <v>30</v>
      </c>
      <c r="L41" t="inlineStr">
        <is>
          <t>3 Juli 2026</t>
        </is>
      </c>
      <c r="M41" t="inlineStr">
        <is>
          <t>Konstruksi Gedung Pendidikan</t>
        </is>
      </c>
      <c r="N41" t="inlineStr">
        <is>
          <t>K</t>
        </is>
      </c>
      <c r="O41" t="inlineStr">
        <is>
          <t>20230627</t>
        </is>
      </c>
      <c r="P41" t="inlineStr">
        <is>
          <t>Sumatera Barat</t>
        </is>
      </c>
      <c r="Q41" t="inlineStr"/>
    </row>
    <row r="42">
      <c r="A42" t="inlineStr">
        <is>
          <t>BINTANG NUSANTARA</t>
        </is>
      </c>
      <c r="B42" t="inlineStr">
        <is>
          <t>Kab. Kampar</t>
        </is>
      </c>
      <c r="C42" t="inlineStr">
        <is>
          <t>0811751655</t>
        </is>
      </c>
      <c r="D42" t="inlineStr">
        <is>
          <t>cv.arkanindotama@gmail.com</t>
        </is>
      </c>
      <c r="E42" t="inlineStr">
        <is>
          <t>https://lpjk.pu.go.id/search-badan-usaha-detail/MVZwK3VNeElxZUE2VTRoQzUxazZnZz09</t>
        </is>
      </c>
      <c r="F42" t="n">
        <v>10</v>
      </c>
      <c r="G42" t="inlineStr">
        <is>
          <t>BG002, BG003, BG004, BG006, BS001</t>
        </is>
      </c>
      <c r="H42" t="inlineStr">
        <is>
          <t>7 Maret 2017</t>
        </is>
      </c>
      <c r="I42" s="2" t="n">
        <v>46206</v>
      </c>
      <c r="J42" t="inlineStr">
        <is>
          <t>Disetujui</t>
        </is>
      </c>
      <c r="K42" t="n">
        <v>30</v>
      </c>
      <c r="L42" t="inlineStr">
        <is>
          <t>3 Juli 2026</t>
        </is>
      </c>
      <c r="M42" t="inlineStr">
        <is>
          <t>Konstruksi Bangunan Sipil Jalan, Konstruksi Gedung Industri, Konstruksi Gedung Pendidikan, Konstruksi Gedung Perbelanjaan, Konstruksi Gedung Perkantoran</t>
        </is>
      </c>
      <c r="N42" t="inlineStr">
        <is>
          <t>K</t>
        </is>
      </c>
      <c r="O42" t="inlineStr">
        <is>
          <t>20230621, 20230622</t>
        </is>
      </c>
      <c r="P42" t="inlineStr">
        <is>
          <t>Riau</t>
        </is>
      </c>
      <c r="Q42" t="inlineStr"/>
    </row>
    <row r="43">
      <c r="A43" t="inlineStr">
        <is>
          <t>BINTANG SESAMA</t>
        </is>
      </c>
      <c r="B43" t="inlineStr">
        <is>
          <t>Kab. Poso</t>
        </is>
      </c>
      <c r="C43" t="inlineStr">
        <is>
          <t>082296373650</t>
        </is>
      </c>
      <c r="D43" t="inlineStr">
        <is>
          <t>martendosi@gmaiil.com</t>
        </is>
      </c>
      <c r="E43" t="inlineStr">
        <is>
          <t>https://lpjk.pu.go.id/search-badan-usaha-detail/MFlpM1JHUVE1cVdDS2tCaHJlcnRIdz09</t>
        </is>
      </c>
      <c r="F43" t="n">
        <v>2</v>
      </c>
      <c r="G43" t="inlineStr">
        <is>
          <t>BG006</t>
        </is>
      </c>
      <c r="H43" t="inlineStr">
        <is>
          <t>12 Januari 2021</t>
        </is>
      </c>
      <c r="I43" s="2" t="n">
        <v>46206</v>
      </c>
      <c r="J43" t="inlineStr">
        <is>
          <t>Disetujui</t>
        </is>
      </c>
      <c r="K43" t="n">
        <v>30</v>
      </c>
      <c r="L43" t="inlineStr">
        <is>
          <t>3 Juli 2026</t>
        </is>
      </c>
      <c r="M43" t="inlineStr">
        <is>
          <t>Konstruksi Gedung Pendidikan</t>
        </is>
      </c>
      <c r="N43" t="inlineStr">
        <is>
          <t>K</t>
        </is>
      </c>
      <c r="O43" t="inlineStr">
        <is>
          <t>20230703</t>
        </is>
      </c>
      <c r="P43" t="inlineStr">
        <is>
          <t>Sulawesi Tengah</t>
        </is>
      </c>
      <c r="Q43" t="inlineStr"/>
    </row>
    <row r="44">
      <c r="A44" t="inlineStr">
        <is>
          <t>BINTANG TRI MURTI</t>
        </is>
      </c>
      <c r="B44" t="inlineStr">
        <is>
          <t>Kab. Banyuwangi</t>
        </is>
      </c>
      <c r="C44" t="inlineStr">
        <is>
          <t>082231135463</t>
        </is>
      </c>
      <c r="D44" t="inlineStr">
        <is>
          <t>bintangtrimurti.2019@gmail.com</t>
        </is>
      </c>
      <c r="E44" t="inlineStr">
        <is>
          <t>https://lpjk.pu.go.id/search-badan-usaha-detail/S2oyYTE4Z2xBZDJ6L0VIV1NjWC8vdz09</t>
        </is>
      </c>
      <c r="F44" t="n">
        <v>2</v>
      </c>
      <c r="G44" t="inlineStr">
        <is>
          <t>BG009</t>
        </is>
      </c>
      <c r="H44" t="inlineStr">
        <is>
          <t>10 Oktober 2015</t>
        </is>
      </c>
      <c r="I44" s="2" t="n">
        <v>46206</v>
      </c>
      <c r="J44" t="inlineStr">
        <is>
          <t>Disetujui</t>
        </is>
      </c>
      <c r="K44" t="n">
        <v>30</v>
      </c>
      <c r="L44" t="inlineStr">
        <is>
          <t>3 Juli 2026</t>
        </is>
      </c>
      <c r="M44" t="inlineStr">
        <is>
          <t>Konstruksi Gedung Lainnya</t>
        </is>
      </c>
      <c r="N44" t="inlineStr">
        <is>
          <t>K</t>
        </is>
      </c>
      <c r="O44" t="inlineStr">
        <is>
          <t>20230626</t>
        </is>
      </c>
      <c r="P44" t="inlineStr">
        <is>
          <t>Jawa Timur</t>
        </is>
      </c>
      <c r="Q44" t="inlineStr"/>
    </row>
    <row r="45">
      <c r="A45" t="inlineStr">
        <is>
          <t>BIRUNI BIO ARSITEKTUR</t>
        </is>
      </c>
      <c r="B45" t="inlineStr">
        <is>
          <t>Kota Adm. Jakarta Selatan</t>
        </is>
      </c>
      <c r="C45" t="inlineStr">
        <is>
          <t>081113610165</t>
        </is>
      </c>
      <c r="D45" t="inlineStr">
        <is>
          <t>ptbirunibioarsitektur@gmail.com</t>
        </is>
      </c>
      <c r="E45" t="inlineStr">
        <is>
          <t>https://lpjk.pu.go.id/search-badan-usaha-detail/S1pBWlRId1ZxdUdFNnJzUVhhSmw3Zz09</t>
        </is>
      </c>
      <c r="F45" t="n">
        <v>2</v>
      </c>
      <c r="G45" t="inlineStr">
        <is>
          <t>AR001, AR002</t>
        </is>
      </c>
      <c r="H45" t="inlineStr">
        <is>
          <t>5 Agustus 2022</t>
        </is>
      </c>
      <c r="I45" s="2" t="n">
        <v>46206</v>
      </c>
      <c r="J45" t="inlineStr">
        <is>
          <t>Disetujui</t>
        </is>
      </c>
      <c r="K45" t="n">
        <v>30</v>
      </c>
      <c r="L45" t="inlineStr">
        <is>
          <t>3 Juli 2026</t>
        </is>
      </c>
      <c r="M45" t="inlineStr">
        <is>
          <t>Jasa Arsitektural Bangunan Gedung Hunian dan Non Hunian, Jasa Arsitektural Lainnya</t>
        </is>
      </c>
      <c r="N45" t="inlineStr">
        <is>
          <t>K</t>
        </is>
      </c>
      <c r="O45" t="inlineStr">
        <is>
          <t>20230522, 20230620</t>
        </is>
      </c>
      <c r="P45" t="inlineStr">
        <is>
          <t>DKI Jakarta</t>
        </is>
      </c>
      <c r="Q45" t="inlineStr"/>
    </row>
    <row r="46">
      <c r="A46" t="inlineStr">
        <is>
          <t>BRAVO INDOTAMA</t>
        </is>
      </c>
      <c r="B46" t="inlineStr">
        <is>
          <t>Kab. Tangerang</t>
        </is>
      </c>
      <c r="C46" t="inlineStr">
        <is>
          <t>081388318078</t>
        </is>
      </c>
      <c r="D46" t="inlineStr">
        <is>
          <t>bravoindotama@gmail.com</t>
        </is>
      </c>
      <c r="E46" t="inlineStr">
        <is>
          <t>https://lpjk.pu.go.id/search-badan-usaha-detail/WFpGSWZVWWxtSDFKZUt2ek5TL3RKdz09</t>
        </is>
      </c>
      <c r="F46" t="n">
        <v>4</v>
      </c>
      <c r="G46" t="inlineStr">
        <is>
          <t>BG005, BG006, BG009, BS004</t>
        </is>
      </c>
      <c r="H46" t="inlineStr">
        <is>
          <t>12 Januari 2012</t>
        </is>
      </c>
      <c r="I46" s="2" t="n">
        <v>46206</v>
      </c>
      <c r="J46" t="inlineStr">
        <is>
          <t>Disetujui</t>
        </is>
      </c>
      <c r="K46" t="n">
        <v>30</v>
      </c>
      <c r="L46" t="inlineStr">
        <is>
          <t>3 Juli 2026</t>
        </is>
      </c>
      <c r="M46" t="inlineStr">
        <is>
          <t>Konstruksi Gedung Kesehatan, Konstruksi Gedung Lainnya, Konstruksi Gedung Pendidikan, Konstruksi Jaringan Irigasi dan Drainase</t>
        </is>
      </c>
      <c r="N46" t="inlineStr">
        <is>
          <t>K</t>
        </is>
      </c>
      <c r="O46" t="inlineStr">
        <is>
          <t>20230619, 20230704</t>
        </is>
      </c>
      <c r="P46" t="inlineStr">
        <is>
          <t>Banten</t>
        </is>
      </c>
      <c r="Q46" t="inlineStr"/>
    </row>
    <row r="47">
      <c r="A47" t="inlineStr">
        <is>
          <t>BUKIT INTAN MULIA AGUNG</t>
        </is>
      </c>
      <c r="B47" t="inlineStr">
        <is>
          <t>Kota Palembang</t>
        </is>
      </c>
      <c r="C47" t="inlineStr">
        <is>
          <t>082176687629</t>
        </is>
      </c>
      <c r="D47" t="inlineStr">
        <is>
          <t>bukitintanmuliaagung@gmail.com</t>
        </is>
      </c>
      <c r="E47" t="inlineStr">
        <is>
          <t>https://lpjk.pu.go.id/search-badan-usaha-detail/RjFGRW5acnBxRmtQWHNIT3JvbXRBQT09</t>
        </is>
      </c>
      <c r="F47" t="n">
        <v>1</v>
      </c>
      <c r="G47" t="inlineStr">
        <is>
          <t>BG002</t>
        </is>
      </c>
      <c r="H47" t="inlineStr">
        <is>
          <t>27 Mei 2022</t>
        </is>
      </c>
      <c r="I47" s="2" t="n">
        <v>46206</v>
      </c>
      <c r="J47" t="inlineStr">
        <is>
          <t>Pembekuan</t>
        </is>
      </c>
      <c r="K47" t="n">
        <v>30</v>
      </c>
      <c r="L47" t="inlineStr">
        <is>
          <t>3 Juli 2026</t>
        </is>
      </c>
      <c r="M47" t="inlineStr">
        <is>
          <t>Konstruksi Gedung Perkantoran</t>
        </is>
      </c>
      <c r="N47" t="inlineStr">
        <is>
          <t>M</t>
        </is>
      </c>
      <c r="O47" t="inlineStr">
        <is>
          <t>20230703</t>
        </is>
      </c>
      <c r="P47" t="inlineStr">
        <is>
          <t>Sumatera Selatan</t>
        </is>
      </c>
      <c r="Q47" t="inlineStr"/>
    </row>
    <row r="48">
      <c r="A48" t="inlineStr">
        <is>
          <t>BUNGASAW DHALLS</t>
        </is>
      </c>
      <c r="B48" t="inlineStr">
        <is>
          <t>Kota Palu</t>
        </is>
      </c>
      <c r="C48" t="inlineStr">
        <is>
          <t>08114500231</t>
        </is>
      </c>
      <c r="D48" t="inlineStr">
        <is>
          <t>bungasaw@yahoo.com</t>
        </is>
      </c>
      <c r="E48" t="inlineStr">
        <is>
          <t>https://lpjk.pu.go.id/search-badan-usaha-detail/bGFnWm9uUnJ0czZQd0xFd2hQMlhSdz09</t>
        </is>
      </c>
      <c r="F48" t="n">
        <v>1</v>
      </c>
      <c r="G48" t="inlineStr">
        <is>
          <t>BG009</t>
        </is>
      </c>
      <c r="H48" t="inlineStr">
        <is>
          <t>7 September 2019</t>
        </is>
      </c>
      <c r="I48" s="2" t="n">
        <v>46206</v>
      </c>
      <c r="J48" t="inlineStr">
        <is>
          <t>Disetujui</t>
        </is>
      </c>
      <c r="K48" t="n">
        <v>30</v>
      </c>
      <c r="L48" t="inlineStr">
        <is>
          <t>3 Juli 2026</t>
        </is>
      </c>
      <c r="M48" t="inlineStr">
        <is>
          <t>Konstruksi Gedung Lainnya</t>
        </is>
      </c>
      <c r="N48" t="inlineStr">
        <is>
          <t>K</t>
        </is>
      </c>
      <c r="O48" t="inlineStr">
        <is>
          <t>20230616</t>
        </is>
      </c>
      <c r="P48" t="inlineStr">
        <is>
          <t>Sulawesi Tengah</t>
        </is>
      </c>
      <c r="Q48" t="inlineStr"/>
    </row>
    <row r="49">
      <c r="A49" t="inlineStr">
        <is>
          <t>CAHAYA BINTANG LOMBOK</t>
        </is>
      </c>
      <c r="B49" t="inlineStr">
        <is>
          <t>Kab. Lombok Tengah</t>
        </is>
      </c>
      <c r="C49" t="inlineStr">
        <is>
          <t>087885215705</t>
        </is>
      </c>
      <c r="D49" t="inlineStr">
        <is>
          <t>cvcahayabl@gmail.com</t>
        </is>
      </c>
      <c r="E49" t="inlineStr">
        <is>
          <t>https://lpjk.pu.go.id/search-badan-usaha-detail/blQyU1p4T0x3Mnd1d1ZBWVRQckJjQT09</t>
        </is>
      </c>
      <c r="F49" t="n">
        <v>1</v>
      </c>
      <c r="G49" t="inlineStr">
        <is>
          <t>BG005</t>
        </is>
      </c>
      <c r="H49" t="inlineStr">
        <is>
          <t>15 Januari 2020</t>
        </is>
      </c>
      <c r="I49" s="2" t="n">
        <v>46206</v>
      </c>
      <c r="J49" t="inlineStr">
        <is>
          <t>Disetujui</t>
        </is>
      </c>
      <c r="K49" t="n">
        <v>30</v>
      </c>
      <c r="L49" t="inlineStr">
        <is>
          <t>3 Juli 2026</t>
        </is>
      </c>
      <c r="M49" t="inlineStr">
        <is>
          <t>Konstruksi Gedung Kesehatan</t>
        </is>
      </c>
      <c r="N49" t="inlineStr">
        <is>
          <t>K</t>
        </is>
      </c>
      <c r="O49" t="inlineStr">
        <is>
          <t>20230703</t>
        </is>
      </c>
      <c r="P49" t="inlineStr">
        <is>
          <t>Nusa Tenggara Barat</t>
        </is>
      </c>
      <c r="Q49" t="inlineStr"/>
    </row>
    <row r="50">
      <c r="A50" t="inlineStr">
        <is>
          <t>CAHAYA INDAH</t>
        </is>
      </c>
      <c r="B50" t="inlineStr">
        <is>
          <t>Kab. Trenggalek</t>
        </is>
      </c>
      <c r="C50" t="inlineStr">
        <is>
          <t>081335852148</t>
        </is>
      </c>
      <c r="D50" t="inlineStr">
        <is>
          <t>cvcahayaindah2000@gmail.com</t>
        </is>
      </c>
      <c r="E50" t="inlineStr">
        <is>
          <t>https://lpjk.pu.go.id/search-badan-usaha-detail/Q1dHWTU0eE1hOGxRVVF1dTBpUHhrdz09</t>
        </is>
      </c>
      <c r="F50" t="n">
        <v>1</v>
      </c>
      <c r="G50" t="inlineStr">
        <is>
          <t>BG005</t>
        </is>
      </c>
      <c r="H50" t="inlineStr">
        <is>
          <t>1 April 2000</t>
        </is>
      </c>
      <c r="I50" s="2" t="n">
        <v>46206</v>
      </c>
      <c r="J50" t="inlineStr">
        <is>
          <t>Disetujui</t>
        </is>
      </c>
      <c r="K50" t="n">
        <v>30</v>
      </c>
      <c r="L50" t="inlineStr">
        <is>
          <t>3 Juli 2026</t>
        </is>
      </c>
      <c r="M50" t="inlineStr">
        <is>
          <t>Konstruksi Gedung Kesehatan</t>
        </is>
      </c>
      <c r="N50" t="inlineStr">
        <is>
          <t>K</t>
        </is>
      </c>
      <c r="O50" t="inlineStr">
        <is>
          <t>20230622</t>
        </is>
      </c>
      <c r="P50" t="inlineStr">
        <is>
          <t>Jawa Timur</t>
        </is>
      </c>
      <c r="Q50" t="inlineStr"/>
    </row>
    <row r="51">
      <c r="A51" t="inlineStr">
        <is>
          <t>CAKRAWALA KUTAI TIMUR</t>
        </is>
      </c>
      <c r="B51" t="inlineStr">
        <is>
          <t>Kab. Kutai Timur</t>
        </is>
      </c>
      <c r="C51" t="inlineStr">
        <is>
          <t>081350006187</t>
        </is>
      </c>
      <c r="D51" t="inlineStr">
        <is>
          <t>cakrawalakutaitimur.cv@gmail.com</t>
        </is>
      </c>
      <c r="E51" t="inlineStr">
        <is>
          <t>https://lpjk.pu.go.id/search-badan-usaha-detail/UWx4UTdGM0NFWEdoS3RkTjdhZmVadz09</t>
        </is>
      </c>
      <c r="F51" t="n">
        <v>1</v>
      </c>
      <c r="G51" t="inlineStr">
        <is>
          <t>BG002</t>
        </is>
      </c>
      <c r="H51" t="inlineStr">
        <is>
          <t>6 Desember 2000</t>
        </is>
      </c>
      <c r="I51" s="2" t="n">
        <v>46206</v>
      </c>
      <c r="J51" t="inlineStr">
        <is>
          <t>Disetujui</t>
        </is>
      </c>
      <c r="K51" t="n">
        <v>30</v>
      </c>
      <c r="L51" t="inlineStr">
        <is>
          <t>3 Juli 2026</t>
        </is>
      </c>
      <c r="M51" t="inlineStr">
        <is>
          <t>Konstruksi Gedung Perkantoran</t>
        </is>
      </c>
      <c r="N51" t="inlineStr">
        <is>
          <t>K</t>
        </is>
      </c>
      <c r="O51" t="inlineStr">
        <is>
          <t>20230627</t>
        </is>
      </c>
      <c r="P51" t="inlineStr">
        <is>
          <t>Kalimantan Timur</t>
        </is>
      </c>
      <c r="Q51" t="inlineStr"/>
    </row>
    <row r="52">
      <c r="A52" t="inlineStr">
        <is>
          <t>CELEBES</t>
        </is>
      </c>
      <c r="B52" t="inlineStr">
        <is>
          <t>Kota Ternate</t>
        </is>
      </c>
      <c r="C52" t="inlineStr">
        <is>
          <t>08114322353</t>
        </is>
      </c>
      <c r="D52" t="inlineStr">
        <is>
          <t>ces_celebes@yahoo.com</t>
        </is>
      </c>
      <c r="E52" t="inlineStr">
        <is>
          <t>https://lpjk.pu.go.id/search-badan-usaha-detail/OERkdlI0eFJDRkhSMUY3Nm5CSEtSZz09</t>
        </is>
      </c>
      <c r="F52" t="n">
        <v>4</v>
      </c>
      <c r="G52" t="inlineStr">
        <is>
          <t>AR001, RK001, RK002, RK003</t>
        </is>
      </c>
      <c r="H52" t="inlineStr">
        <is>
          <t>22 Juni 2012</t>
        </is>
      </c>
      <c r="I52" s="2" t="n">
        <v>46206</v>
      </c>
      <c r="J52" t="inlineStr">
        <is>
          <t>Disetujui</t>
        </is>
      </c>
      <c r="K52" t="n">
        <v>30</v>
      </c>
      <c r="L52" t="inlineStr">
        <is>
          <t>3 Juli 2026</t>
        </is>
      </c>
      <c r="M52" t="inlineStr">
        <is>
          <t>Jasa Arsitektural Bangunan Gedung Hunian dan Non Hunian, Jasa Rekayasa Konstruksi Bangunan Gedung Hunian dan Non Hunian, Jasa Rekayasa Pekerjaan Teknik Sipil Sumber Daya Air, Jasa Rekayasa Pekerjaan Teknik Sipil Transportasi</t>
        </is>
      </c>
      <c r="N52" t="inlineStr">
        <is>
          <t>K</t>
        </is>
      </c>
      <c r="O52" t="inlineStr">
        <is>
          <t>20230619</t>
        </is>
      </c>
      <c r="P52" t="inlineStr">
        <is>
          <t>Maluku Utara</t>
        </is>
      </c>
      <c r="Q52" t="inlineStr"/>
    </row>
    <row r="53">
      <c r="A53" t="inlineStr">
        <is>
          <t>CIPTA GRAHA</t>
        </is>
      </c>
      <c r="B53" t="inlineStr">
        <is>
          <t>Kota Banjarmasin</t>
        </is>
      </c>
      <c r="C53" t="inlineStr">
        <is>
          <t>082153600901</t>
        </is>
      </c>
      <c r="D53" t="inlineStr">
        <is>
          <t>cvciptagrahabjm@gmail.com</t>
        </is>
      </c>
      <c r="E53" t="inlineStr">
        <is>
          <t>https://lpjk.pu.go.id/search-badan-usaha-detail/SlY5cXpDZS9PanBuaFZ3aG5Zak1CZz09</t>
        </is>
      </c>
      <c r="F53" t="n">
        <v>2</v>
      </c>
      <c r="G53" t="inlineStr">
        <is>
          <t>BG002</t>
        </is>
      </c>
      <c r="H53" t="inlineStr">
        <is>
          <t>23 Maret 2009</t>
        </is>
      </c>
      <c r="I53" s="2" t="n">
        <v>46206</v>
      </c>
      <c r="J53" t="inlineStr">
        <is>
          <t>Disetujui</t>
        </is>
      </c>
      <c r="K53" t="n">
        <v>30</v>
      </c>
      <c r="L53" t="inlineStr">
        <is>
          <t>3 Juli 2026</t>
        </is>
      </c>
      <c r="M53" t="inlineStr">
        <is>
          <t>Konstruksi Gedung Perkantoran</t>
        </is>
      </c>
      <c r="N53" t="inlineStr">
        <is>
          <t>K</t>
        </is>
      </c>
      <c r="O53" t="inlineStr">
        <is>
          <t>20230405</t>
        </is>
      </c>
      <c r="P53" t="inlineStr">
        <is>
          <t>Kalimantan Selatan</t>
        </is>
      </c>
      <c r="Q53" t="inlineStr"/>
    </row>
    <row r="54">
      <c r="A54" t="inlineStr">
        <is>
          <t>CIPTA KARUNIA ABADI</t>
        </is>
      </c>
      <c r="B54" t="inlineStr">
        <is>
          <t>Kota Pekanbaru</t>
        </is>
      </c>
      <c r="C54" t="inlineStr">
        <is>
          <t>081268727588</t>
        </is>
      </c>
      <c r="D54" t="inlineStr">
        <is>
          <t>ciptakaruniaabadi@yahoo.co.id</t>
        </is>
      </c>
      <c r="E54" t="inlineStr">
        <is>
          <t>https://lpjk.pu.go.id/search-badan-usaha-detail/cjBiVjlIT3RFb0hkcDRpOE9tU2MrQT09</t>
        </is>
      </c>
      <c r="F54" t="n">
        <v>1</v>
      </c>
      <c r="G54" t="inlineStr">
        <is>
          <t>BG001</t>
        </is>
      </c>
      <c r="H54" t="inlineStr">
        <is>
          <t>27 Juli 2022</t>
        </is>
      </c>
      <c r="I54" s="2" t="n">
        <v>46206</v>
      </c>
      <c r="J54" t="inlineStr">
        <is>
          <t>Disetujui</t>
        </is>
      </c>
      <c r="K54" t="n">
        <v>30</v>
      </c>
      <c r="L54" t="inlineStr">
        <is>
          <t>3 Juli 2026</t>
        </is>
      </c>
      <c r="M54" t="inlineStr">
        <is>
          <t>Konstruksi Gedung Hunian</t>
        </is>
      </c>
      <c r="N54" t="inlineStr">
        <is>
          <t>K</t>
        </is>
      </c>
      <c r="O54" t="inlineStr">
        <is>
          <t>20230626</t>
        </is>
      </c>
      <c r="P54" t="inlineStr">
        <is>
          <t>Riau</t>
        </is>
      </c>
      <c r="Q54" t="inlineStr"/>
    </row>
    <row r="55">
      <c r="A55" t="inlineStr">
        <is>
          <t>CIPTA KARYA OGAN</t>
        </is>
      </c>
      <c r="B55" t="inlineStr">
        <is>
          <t>Kab. Ogan Ilir</t>
        </is>
      </c>
      <c r="C55" t="inlineStr">
        <is>
          <t>085273088844</t>
        </is>
      </c>
      <c r="D55" t="inlineStr">
        <is>
          <t>cv.ciptakaryaogan@gmail.com</t>
        </is>
      </c>
      <c r="E55" t="inlineStr">
        <is>
          <t>https://lpjk.pu.go.id/search-badan-usaha-detail/UUtibmVxSk5Qa0c4QktNQ3M2UFlLdz09</t>
        </is>
      </c>
      <c r="F55" t="n">
        <v>2</v>
      </c>
      <c r="G55" t="inlineStr">
        <is>
          <t>BS002</t>
        </is>
      </c>
      <c r="H55" t="inlineStr">
        <is>
          <t>22 Januari 2019</t>
        </is>
      </c>
      <c r="I55" s="2" t="n">
        <v>46206</v>
      </c>
      <c r="J55" t="inlineStr">
        <is>
          <t>Disetujui</t>
        </is>
      </c>
      <c r="K55" t="n">
        <v>30</v>
      </c>
      <c r="L55" t="inlineStr">
        <is>
          <t>3 Juli 2026</t>
        </is>
      </c>
      <c r="M55" t="inlineStr">
        <is>
          <t>Bangunan Sipil Jembatan, Jalan Layang, Fly Over, dan Underpass</t>
        </is>
      </c>
      <c r="N55" t="inlineStr">
        <is>
          <t>K</t>
        </is>
      </c>
      <c r="O55" t="inlineStr">
        <is>
          <t>20230624</t>
        </is>
      </c>
      <c r="P55" t="inlineStr">
        <is>
          <t>Sumatera Selatan</t>
        </is>
      </c>
      <c r="Q55" t="inlineStr"/>
    </row>
    <row r="56">
      <c r="A56" t="inlineStr">
        <is>
          <t>CIPTA PRAKARSA MANDIRI</t>
        </is>
      </c>
      <c r="B56" t="inlineStr">
        <is>
          <t>Kota Surabaya</t>
        </is>
      </c>
      <c r="C56" t="inlineStr">
        <is>
          <t>081329549819</t>
        </is>
      </c>
      <c r="D56" t="inlineStr">
        <is>
          <t>cm.sby99@gmail.com</t>
        </is>
      </c>
      <c r="E56" t="inlineStr">
        <is>
          <t>https://lpjk.pu.go.id/search-badan-usaha-detail/b3c3M2pkWnlvL2JWZnE0U2UzRXZ1UT09</t>
        </is>
      </c>
      <c r="F56" t="n">
        <v>1</v>
      </c>
      <c r="G56" t="inlineStr">
        <is>
          <t>BS001</t>
        </is>
      </c>
      <c r="H56" t="inlineStr">
        <is>
          <t>2 Mei 2023</t>
        </is>
      </c>
      <c r="I56" s="2" t="n">
        <v>46206</v>
      </c>
      <c r="J56" t="inlineStr">
        <is>
          <t>Disetujui</t>
        </is>
      </c>
      <c r="K56" t="n">
        <v>30</v>
      </c>
      <c r="L56" t="inlineStr">
        <is>
          <t>3 Juli 2026</t>
        </is>
      </c>
      <c r="M56" t="inlineStr">
        <is>
          <t>Konstruksi Bangunan Sipil Jalan</t>
        </is>
      </c>
      <c r="N56" t="inlineStr">
        <is>
          <t>K</t>
        </is>
      </c>
      <c r="O56" t="inlineStr">
        <is>
          <t>20230616</t>
        </is>
      </c>
      <c r="P56" t="inlineStr">
        <is>
          <t>Jawa Timur</t>
        </is>
      </c>
      <c r="Q56" t="inlineStr"/>
    </row>
    <row r="57">
      <c r="A57" t="inlineStr">
        <is>
          <t>CITRA EXACT ENGINEERING</t>
        </is>
      </c>
      <c r="B57" t="inlineStr">
        <is>
          <t>Kab. Badung</t>
        </is>
      </c>
      <c r="C57" t="inlineStr">
        <is>
          <t>0361766632</t>
        </is>
      </c>
      <c r="D57" t="inlineStr">
        <is>
          <t>ptcee_bali@pttjs.com</t>
        </is>
      </c>
      <c r="E57" t="inlineStr">
        <is>
          <t>https://lpjk.pu.go.id/search-badan-usaha-detail/SEhDanJLeUY2bHAvMWxyS3NQY2hoQT09</t>
        </is>
      </c>
      <c r="F57" t="n">
        <v>1</v>
      </c>
      <c r="G57" t="inlineStr">
        <is>
          <t>IN006</t>
        </is>
      </c>
      <c r="H57" t="inlineStr">
        <is>
          <t>3 Oktober 1991</t>
        </is>
      </c>
      <c r="I57" s="2" t="n">
        <v>46206</v>
      </c>
      <c r="J57" t="inlineStr">
        <is>
          <t>Disetujui</t>
        </is>
      </c>
      <c r="K57" t="n">
        <v>30</v>
      </c>
      <c r="L57" t="inlineStr">
        <is>
          <t>3 Juli 2026</t>
        </is>
      </c>
      <c r="M57" t="inlineStr">
        <is>
          <t>Instalasi Elektronika</t>
        </is>
      </c>
      <c r="N57" t="inlineStr">
        <is>
          <t>Spesialis</t>
        </is>
      </c>
      <c r="O57" t="inlineStr">
        <is>
          <t>20230621</t>
        </is>
      </c>
      <c r="P57" t="inlineStr">
        <is>
          <t>Bali</t>
        </is>
      </c>
      <c r="Q57" t="inlineStr"/>
    </row>
    <row r="58">
      <c r="A58" t="inlineStr">
        <is>
          <t>CITRA LENGGANIS</t>
        </is>
      </c>
      <c r="B58" t="inlineStr">
        <is>
          <t>Kota Mataram</t>
        </is>
      </c>
      <c r="C58" t="inlineStr">
        <is>
          <t>081239380735</t>
        </is>
      </c>
      <c r="D58" t="inlineStr">
        <is>
          <t>cvcitralengganis@yahoo.com</t>
        </is>
      </c>
      <c r="E58" t="inlineStr">
        <is>
          <t>https://lpjk.pu.go.id/search-badan-usaha-detail/S2oxaEJXYjV6dDVzZUd1L1VtWHlRUT09</t>
        </is>
      </c>
      <c r="F58" t="n">
        <v>1</v>
      </c>
      <c r="G58" t="inlineStr">
        <is>
          <t>BG009</t>
        </is>
      </c>
      <c r="H58" t="inlineStr">
        <is>
          <t>19 September 2006</t>
        </is>
      </c>
      <c r="I58" s="2" t="n">
        <v>46206</v>
      </c>
      <c r="J58" t="inlineStr">
        <is>
          <t>Disetujui</t>
        </is>
      </c>
      <c r="K58" t="n">
        <v>30</v>
      </c>
      <c r="L58" t="inlineStr">
        <is>
          <t>3 Juli 2026</t>
        </is>
      </c>
      <c r="M58" t="inlineStr">
        <is>
          <t>Konstruksi Gedung Lainnya</t>
        </is>
      </c>
      <c r="N58" t="inlineStr">
        <is>
          <t>K</t>
        </is>
      </c>
      <c r="O58" t="inlineStr">
        <is>
          <t>20230622</t>
        </is>
      </c>
      <c r="P58" t="inlineStr">
        <is>
          <t>Nusa Tenggara Barat</t>
        </is>
      </c>
      <c r="Q58" t="inlineStr"/>
    </row>
    <row r="59">
      <c r="A59" t="inlineStr">
        <is>
          <t>CITRA RAYA NUSANTARA</t>
        </is>
      </c>
      <c r="B59" t="inlineStr">
        <is>
          <t>Kab. Seruyan</t>
        </is>
      </c>
      <c r="C59" t="inlineStr">
        <is>
          <t>081345271980</t>
        </is>
      </c>
      <c r="D59" t="inlineStr">
        <is>
          <t>crnseruyan07@gmail.com</t>
        </is>
      </c>
      <c r="E59" t="inlineStr">
        <is>
          <t>https://lpjk.pu.go.id/search-badan-usaha-detail/cGhKUUJBSXN5U1VRWFdKeTJXeCtGUT09</t>
        </is>
      </c>
      <c r="F59" t="n">
        <v>1</v>
      </c>
      <c r="G59" t="inlineStr">
        <is>
          <t>PL003</t>
        </is>
      </c>
      <c r="H59" t="inlineStr">
        <is>
          <t>18 Januari 2018</t>
        </is>
      </c>
      <c r="I59" s="2" t="n">
        <v>46206</v>
      </c>
      <c r="J59" t="inlineStr">
        <is>
          <t>Disetujui</t>
        </is>
      </c>
      <c r="K59" t="n">
        <v>30</v>
      </c>
      <c r="L59" t="inlineStr">
        <is>
          <t>3 Juli 2026</t>
        </is>
      </c>
      <c r="M59" t="inlineStr">
        <is>
          <t>Penyiapan Lahan Konstruksi</t>
        </is>
      </c>
      <c r="N59" t="inlineStr">
        <is>
          <t>Spesialis</t>
        </is>
      </c>
      <c r="O59" t="inlineStr">
        <is>
          <t>20230628</t>
        </is>
      </c>
      <c r="P59" t="inlineStr">
        <is>
          <t>Kalimantan Tengah</t>
        </is>
      </c>
      <c r="Q59" t="inlineStr"/>
    </row>
    <row r="60">
      <c r="A60" t="inlineStr">
        <is>
          <t>DAKSA INDONESIA KONSULTAN</t>
        </is>
      </c>
      <c r="B60" t="inlineStr">
        <is>
          <t>Kota Surabaya</t>
        </is>
      </c>
      <c r="C60" t="inlineStr">
        <is>
          <t>0318420735</t>
        </is>
      </c>
      <c r="D60" t="inlineStr">
        <is>
          <t>daksaindonesiakonsultan@yahoo.com</t>
        </is>
      </c>
      <c r="E60" t="inlineStr">
        <is>
          <t>https://lpjk.pu.go.id/search-badan-usaha-detail/czB2c3MxaXp1MEVwWnFkSlo0d1padz09</t>
        </is>
      </c>
      <c r="F60" t="n">
        <v>2</v>
      </c>
      <c r="G60" t="inlineStr">
        <is>
          <t>AR001, RK001</t>
        </is>
      </c>
      <c r="H60" t="inlineStr">
        <is>
          <t>6 Desember 2022</t>
        </is>
      </c>
      <c r="I60" s="2" t="n">
        <v>46206</v>
      </c>
      <c r="J60" t="inlineStr">
        <is>
          <t>Disetujui</t>
        </is>
      </c>
      <c r="K60" t="n">
        <v>30</v>
      </c>
      <c r="L60" t="inlineStr">
        <is>
          <t>3 Juli 2026</t>
        </is>
      </c>
      <c r="M60" t="inlineStr">
        <is>
          <t>Jasa Arsitektural Bangunan Gedung Hunian dan Non Hunian, Jasa Rekayasa Konstruksi Bangunan Gedung Hunian dan Non Hunian</t>
        </is>
      </c>
      <c r="N60" t="inlineStr">
        <is>
          <t>K</t>
        </is>
      </c>
      <c r="O60" t="inlineStr">
        <is>
          <t>20230622</t>
        </is>
      </c>
      <c r="P60" t="inlineStr">
        <is>
          <t>Jawa Timur</t>
        </is>
      </c>
      <c r="Q60" t="inlineStr"/>
    </row>
    <row r="61">
      <c r="A61" t="inlineStr">
        <is>
          <t>DAYA GUNA &amp; CO</t>
        </is>
      </c>
      <c r="B61" t="inlineStr">
        <is>
          <t>Kab. Banyumas</t>
        </is>
      </c>
      <c r="C61" t="inlineStr">
        <is>
          <t>085226308660</t>
        </is>
      </c>
      <c r="D61" t="inlineStr">
        <is>
          <t>cv.dayaguna06@gmail.com</t>
        </is>
      </c>
      <c r="E61" t="inlineStr">
        <is>
          <t>https://lpjk.pu.go.id/search-badan-usaha-detail/MFZTNnQ2Uy9saUx3MzNoWDRFMTVsdz09</t>
        </is>
      </c>
      <c r="F61" t="n">
        <v>1</v>
      </c>
      <c r="G61" t="inlineStr">
        <is>
          <t>BG005</t>
        </is>
      </c>
      <c r="H61" t="inlineStr">
        <is>
          <t>17 Januari 2003</t>
        </is>
      </c>
      <c r="I61" s="2" t="n">
        <v>46206</v>
      </c>
      <c r="J61" t="inlineStr">
        <is>
          <t>Disetujui</t>
        </is>
      </c>
      <c r="K61" t="n">
        <v>30</v>
      </c>
      <c r="L61" t="inlineStr">
        <is>
          <t>3 Juli 2026</t>
        </is>
      </c>
      <c r="M61" t="inlineStr">
        <is>
          <t>Konstruksi Gedung Kesehatan</t>
        </is>
      </c>
      <c r="N61" t="inlineStr">
        <is>
          <t>K</t>
        </is>
      </c>
      <c r="O61" t="inlineStr">
        <is>
          <t>20230627</t>
        </is>
      </c>
      <c r="P61" t="inlineStr">
        <is>
          <t>Jawa Tengah</t>
        </is>
      </c>
      <c r="Q61" t="inlineStr"/>
    </row>
    <row r="62">
      <c r="A62" t="inlineStr">
        <is>
          <t>DAYA UTAMA PAPUA SELATAN</t>
        </is>
      </c>
      <c r="B62" t="inlineStr">
        <is>
          <t>Kab. Merauke</t>
        </is>
      </c>
      <c r="C62" t="inlineStr">
        <is>
          <t>085244554846</t>
        </is>
      </c>
      <c r="D62" t="inlineStr">
        <is>
          <t>-</t>
        </is>
      </c>
      <c r="E62" t="inlineStr">
        <is>
          <t>https://lpjk.pu.go.id/search-badan-usaha-detail/cFpTc3NRZzQ1Z3RCeVFkejNRSEx0Zz09</t>
        </is>
      </c>
      <c r="F62" t="n">
        <v>1</v>
      </c>
      <c r="G62" t="inlineStr">
        <is>
          <t>BS009</t>
        </is>
      </c>
      <c r="H62" t="inlineStr">
        <is>
          <t>8 Maret 2010</t>
        </is>
      </c>
      <c r="I62" s="2" t="n">
        <v>46206</v>
      </c>
      <c r="J62" t="inlineStr">
        <is>
          <t>Disetujui</t>
        </is>
      </c>
      <c r="K62" t="n">
        <v>30</v>
      </c>
      <c r="L62" t="inlineStr">
        <is>
          <t>3 Juli 2026</t>
        </is>
      </c>
      <c r="M62" t="inlineStr">
        <is>
          <t>Konstruksi Sentral Telekomunikasi</t>
        </is>
      </c>
      <c r="N62" t="inlineStr">
        <is>
          <t>K</t>
        </is>
      </c>
      <c r="O62" t="inlineStr">
        <is>
          <t>20230704</t>
        </is>
      </c>
      <c r="P62" t="inlineStr">
        <is>
          <t>Papua</t>
        </is>
      </c>
      <c r="Q62" t="inlineStr"/>
    </row>
    <row r="63">
      <c r="A63" t="inlineStr">
        <is>
          <t>DERAYU</t>
        </is>
      </c>
      <c r="B63" t="inlineStr">
        <is>
          <t>Kab. Lamongan</t>
        </is>
      </c>
      <c r="C63" t="inlineStr">
        <is>
          <t>085707160126</t>
        </is>
      </c>
      <c r="D63" t="inlineStr">
        <is>
          <t>cv.derayu@yahoo.com</t>
        </is>
      </c>
      <c r="E63" t="inlineStr">
        <is>
          <t>https://lpjk.pu.go.id/search-badan-usaha-detail/RHlOSUV6cHB1VTREUHdVZEJaeWlWQT09</t>
        </is>
      </c>
      <c r="F63" t="n">
        <v>1</v>
      </c>
      <c r="G63" t="inlineStr">
        <is>
          <t>BG009</t>
        </is>
      </c>
      <c r="H63" t="inlineStr">
        <is>
          <t>3 Februari 2004</t>
        </is>
      </c>
      <c r="I63" s="2" t="n">
        <v>46206</v>
      </c>
      <c r="J63" t="inlineStr">
        <is>
          <t>Disetujui</t>
        </is>
      </c>
      <c r="K63" t="n">
        <v>30</v>
      </c>
      <c r="L63" t="inlineStr">
        <is>
          <t>3 Juli 2026</t>
        </is>
      </c>
      <c r="M63" t="inlineStr">
        <is>
          <t>Konstruksi Gedung Lainnya</t>
        </is>
      </c>
      <c r="N63" t="inlineStr">
        <is>
          <t>K</t>
        </is>
      </c>
      <c r="O63" t="inlineStr">
        <is>
          <t>20230622</t>
        </is>
      </c>
      <c r="P63" t="inlineStr">
        <is>
          <t>Jawa Timur</t>
        </is>
      </c>
      <c r="Q63" t="inlineStr"/>
    </row>
    <row r="64">
      <c r="A64" t="inlineStr">
        <is>
          <t>DINIE TEHNIK</t>
        </is>
      </c>
      <c r="B64" t="inlineStr">
        <is>
          <t>Kab. Subang</t>
        </is>
      </c>
      <c r="C64" t="inlineStr">
        <is>
          <t>085222266887</t>
        </is>
      </c>
      <c r="D64" t="inlineStr">
        <is>
          <t>tehnikendin@hotmail.com</t>
        </is>
      </c>
      <c r="E64" t="inlineStr">
        <is>
          <t>https://lpjk.pu.go.id/search-badan-usaha-detail/SWtKaExVOGxPUHhoOWxmYzAycTZwZz09</t>
        </is>
      </c>
      <c r="F64" t="n">
        <v>4</v>
      </c>
      <c r="G64" t="inlineStr">
        <is>
          <t>BG002, BG009</t>
        </is>
      </c>
      <c r="H64" t="inlineStr">
        <is>
          <t>26 Februari 2016</t>
        </is>
      </c>
      <c r="I64" s="2" t="n">
        <v>46206</v>
      </c>
      <c r="J64" t="inlineStr">
        <is>
          <t>Disetujui</t>
        </is>
      </c>
      <c r="K64" t="n">
        <v>30</v>
      </c>
      <c r="L64" t="inlineStr">
        <is>
          <t>3 Juli 2026</t>
        </is>
      </c>
      <c r="M64" t="inlineStr">
        <is>
          <t>Konstruksi Gedung Lainnya, Konstruksi Gedung Perkantoran</t>
        </is>
      </c>
      <c r="N64" t="inlineStr">
        <is>
          <t>K</t>
        </is>
      </c>
      <c r="O64" t="inlineStr">
        <is>
          <t>20230628</t>
        </is>
      </c>
      <c r="P64" t="inlineStr">
        <is>
          <t>Jawa Barat</t>
        </is>
      </c>
      <c r="Q64" t="inlineStr"/>
    </row>
    <row r="65">
      <c r="A65" t="inlineStr">
        <is>
          <t>DITA PRATAMA</t>
        </is>
      </c>
      <c r="B65" t="inlineStr">
        <is>
          <t>Kota Surakarta</t>
        </is>
      </c>
      <c r="C65" t="inlineStr">
        <is>
          <t>0271661786</t>
        </is>
      </c>
      <c r="D65" t="inlineStr">
        <is>
          <t>cv.dita_pratama@yahoo.com</t>
        </is>
      </c>
      <c r="E65" t="inlineStr">
        <is>
          <t>https://lpjk.pu.go.id/search-badan-usaha-detail/NFJ2ZjlreFJ6aHpoZ3NPL2lSR3hXQT09</t>
        </is>
      </c>
      <c r="F65" t="n">
        <v>1</v>
      </c>
      <c r="G65" t="inlineStr">
        <is>
          <t>BG005</t>
        </is>
      </c>
      <c r="H65" t="inlineStr">
        <is>
          <t>13 Agustus 2012</t>
        </is>
      </c>
      <c r="I65" s="2" t="n">
        <v>46206</v>
      </c>
      <c r="J65" t="inlineStr">
        <is>
          <t>Pencabutan</t>
        </is>
      </c>
      <c r="K65" t="n">
        <v>30</v>
      </c>
      <c r="L65" t="inlineStr">
        <is>
          <t>3 Juli 2026</t>
        </is>
      </c>
      <c r="M65" t="inlineStr">
        <is>
          <t>Konstruksi Gedung Kesehatan</t>
        </is>
      </c>
      <c r="N65" t="inlineStr">
        <is>
          <t>K</t>
        </is>
      </c>
      <c r="O65" t="inlineStr">
        <is>
          <t>20230626</t>
        </is>
      </c>
      <c r="P65" t="inlineStr">
        <is>
          <t>Jawa Tengah</t>
        </is>
      </c>
      <c r="Q65" t="inlineStr"/>
    </row>
    <row r="66">
      <c r="A66" t="inlineStr">
        <is>
          <t>EKA KARYA</t>
        </is>
      </c>
      <c r="B66" t="inlineStr">
        <is>
          <t>Kab. Grobogan</t>
        </is>
      </c>
      <c r="C66" t="inlineStr">
        <is>
          <t>0292423728</t>
        </is>
      </c>
      <c r="D66" t="inlineStr">
        <is>
          <t>ekakarya.cv@gmail.com</t>
        </is>
      </c>
      <c r="E66" t="inlineStr">
        <is>
          <t>https://lpjk.pu.go.id/search-badan-usaha-detail/Wk5WaUNTZ0Vqbkd3RUx6eGxoenNKZz09</t>
        </is>
      </c>
      <c r="F66" t="n">
        <v>2</v>
      </c>
      <c r="G66" t="inlineStr">
        <is>
          <t>BS001, BS002</t>
        </is>
      </c>
      <c r="H66" t="inlineStr">
        <is>
          <t>8 Juli 1982</t>
        </is>
      </c>
      <c r="I66" s="2" t="n">
        <v>46206</v>
      </c>
      <c r="J66" t="inlineStr">
        <is>
          <t>Disetujui</t>
        </is>
      </c>
      <c r="K66" t="n">
        <v>30</v>
      </c>
      <c r="L66" t="inlineStr">
        <is>
          <t>3 Juli 2026</t>
        </is>
      </c>
      <c r="M66" t="inlineStr">
        <is>
          <t>Bangunan Sipil Jembatan, Jalan Layang, Fly Over, dan Underpass, Konstruksi Bangunan Sipil Jalan</t>
        </is>
      </c>
      <c r="N66" t="inlineStr">
        <is>
          <t>K</t>
        </is>
      </c>
      <c r="O66" t="inlineStr">
        <is>
          <t>20230624</t>
        </is>
      </c>
      <c r="P66" t="inlineStr">
        <is>
          <t>Jawa Tengah</t>
        </is>
      </c>
      <c r="Q66" t="inlineStr"/>
    </row>
    <row r="67">
      <c r="A67" t="inlineStr">
        <is>
          <t>ESTU ALAM KREASI</t>
        </is>
      </c>
      <c r="B67" t="inlineStr">
        <is>
          <t>Kota Adm. Jakarta Selatan</t>
        </is>
      </c>
      <c r="C67" t="inlineStr">
        <is>
          <t>02179182160</t>
        </is>
      </c>
      <c r="D67" t="inlineStr">
        <is>
          <t>41alamkreasi@gmail.com</t>
        </is>
      </c>
      <c r="E67" t="inlineStr">
        <is>
          <t>https://lpjk.pu.go.id/search-badan-usaha-detail/SVY3aUpjMFZBQTBnQmhFVGlYVTlFYnFFa2EyamczWitJT09JcFREVDRYcz0</t>
        </is>
      </c>
      <c r="F67" t="n">
        <v>1</v>
      </c>
      <c r="G67" t="inlineStr">
        <is>
          <t>AR001</t>
        </is>
      </c>
      <c r="H67" t="inlineStr">
        <is>
          <t>29 September 2022</t>
        </is>
      </c>
      <c r="I67" s="2" t="n">
        <v>46206</v>
      </c>
      <c r="J67" t="inlineStr">
        <is>
          <t>Disetujui</t>
        </is>
      </c>
      <c r="K67" t="n">
        <v>30</v>
      </c>
      <c r="L67" t="inlineStr">
        <is>
          <t>3 Juli 2026</t>
        </is>
      </c>
      <c r="M67" t="inlineStr">
        <is>
          <t>Jasa Arsitektural Bangunan Gedung Hunian dan Non Hunian</t>
        </is>
      </c>
      <c r="N67" t="inlineStr">
        <is>
          <t>K</t>
        </is>
      </c>
      <c r="O67" t="inlineStr">
        <is>
          <t>20230619</t>
        </is>
      </c>
      <c r="P67" t="inlineStr">
        <is>
          <t>DKI Jakarta</t>
        </is>
      </c>
      <c r="Q67" t="inlineStr"/>
    </row>
    <row r="68">
      <c r="A68" t="inlineStr">
        <is>
          <t>EUCLUDIEN LIMA BINTANG</t>
        </is>
      </c>
      <c r="B68" t="inlineStr">
        <is>
          <t>Kab. Karawang</t>
        </is>
      </c>
      <c r="C68" t="inlineStr">
        <is>
          <t>081284592869</t>
        </is>
      </c>
      <c r="D68" t="inlineStr">
        <is>
          <t>limabintangeucludien@yahoo.com</t>
        </is>
      </c>
      <c r="E68" t="inlineStr">
        <is>
          <t>https://lpjk.pu.go.id/search-badan-usaha-detail/VmMrYjlMZy9MTGF3TWVoTXJlZ0FRQT09</t>
        </is>
      </c>
      <c r="F68" t="n">
        <v>1</v>
      </c>
      <c r="G68" t="inlineStr">
        <is>
          <t>BG009</t>
        </is>
      </c>
      <c r="H68" t="inlineStr">
        <is>
          <t>2 Januari 2006</t>
        </is>
      </c>
      <c r="I68" s="2" t="n">
        <v>46206</v>
      </c>
      <c r="J68" t="inlineStr">
        <is>
          <t>Disetujui</t>
        </is>
      </c>
      <c r="K68" t="n">
        <v>30</v>
      </c>
      <c r="L68" t="inlineStr">
        <is>
          <t>3 Juli 2026</t>
        </is>
      </c>
      <c r="M68" t="inlineStr">
        <is>
          <t>Konstruksi Gedung Lainnya</t>
        </is>
      </c>
      <c r="N68" t="inlineStr">
        <is>
          <t>K</t>
        </is>
      </c>
      <c r="O68" t="inlineStr">
        <is>
          <t>20230703</t>
        </is>
      </c>
      <c r="P68" t="inlineStr">
        <is>
          <t>Jawa Barat</t>
        </is>
      </c>
      <c r="Q68" t="inlineStr"/>
    </row>
    <row r="69">
      <c r="A69" t="inlineStr">
        <is>
          <t>FAEYZA YASA CONSULTANT</t>
        </is>
      </c>
      <c r="B69" t="inlineStr">
        <is>
          <t>Kota Cilegon</t>
        </is>
      </c>
      <c r="C69" t="inlineStr">
        <is>
          <t>087874389434</t>
        </is>
      </c>
      <c r="D69" t="inlineStr">
        <is>
          <t>faeyzayasaconsultant@yahoo.com</t>
        </is>
      </c>
      <c r="E69" t="inlineStr">
        <is>
          <t>https://lpjk.pu.go.id/search-badan-usaha-detail/cUZvc3R5RXpYWXlzMHZZbC92ZXZBQT09</t>
        </is>
      </c>
      <c r="F69" t="n">
        <v>2</v>
      </c>
      <c r="G69" t="inlineStr">
        <is>
          <t>RK001, RK002</t>
        </is>
      </c>
      <c r="H69" t="inlineStr">
        <is>
          <t>28 April 2020</t>
        </is>
      </c>
      <c r="I69" s="2" t="n">
        <v>46206</v>
      </c>
      <c r="J69" t="inlineStr">
        <is>
          <t>Pencabutan</t>
        </is>
      </c>
      <c r="K69" t="n">
        <v>30</v>
      </c>
      <c r="L69" t="inlineStr">
        <is>
          <t>3 Juli 2026</t>
        </is>
      </c>
      <c r="M69" t="inlineStr">
        <is>
          <t>Jasa Rekayasa Konstruksi Bangunan Gedung Hunian dan Non Hunian, Jasa Rekayasa Pekerjaan Teknik Sipil Sumber Daya Air</t>
        </is>
      </c>
      <c r="N69" t="inlineStr">
        <is>
          <t>K</t>
        </is>
      </c>
      <c r="O69" t="inlineStr">
        <is>
          <t>20230619</t>
        </is>
      </c>
      <c r="P69" t="inlineStr">
        <is>
          <t>Banten</t>
        </is>
      </c>
      <c r="Q69" t="inlineStr"/>
    </row>
    <row r="70">
      <c r="A70" t="inlineStr">
        <is>
          <t>FAJAR BINTANG TIRIWANDIN</t>
        </is>
      </c>
      <c r="B70" t="inlineStr">
        <is>
          <t>Kota Jayapura</t>
        </is>
      </c>
      <c r="C70" t="inlineStr">
        <is>
          <t>081343438408</t>
        </is>
      </c>
      <c r="D70" t="inlineStr">
        <is>
          <t>cvfajarbintangtirwandin@gmail.com</t>
        </is>
      </c>
      <c r="E70" t="inlineStr">
        <is>
          <t>https://lpjk.pu.go.id/search-badan-usaha-detail/ZkV0TG9UZkc1eVUyVXFyZ1dZNkdOQT09</t>
        </is>
      </c>
      <c r="F70" t="n">
        <v>2</v>
      </c>
      <c r="G70" t="inlineStr">
        <is>
          <t>BG005, BG009</t>
        </is>
      </c>
      <c r="H70" t="inlineStr">
        <is>
          <t>25 Januari 2019</t>
        </is>
      </c>
      <c r="I70" s="2" t="n">
        <v>46206</v>
      </c>
      <c r="J70" t="inlineStr">
        <is>
          <t>Pencabutan</t>
        </is>
      </c>
      <c r="K70" t="n">
        <v>30</v>
      </c>
      <c r="L70" t="inlineStr">
        <is>
          <t>3 Juli 2026</t>
        </is>
      </c>
      <c r="M70" t="inlineStr">
        <is>
          <t>Konstruksi Gedung Kesehatan, Konstruksi Gedung Lainnya</t>
        </is>
      </c>
      <c r="N70" t="inlineStr">
        <is>
          <t>K</t>
        </is>
      </c>
      <c r="O70" t="inlineStr">
        <is>
          <t>20230630</t>
        </is>
      </c>
      <c r="P70" t="inlineStr">
        <is>
          <t>Papua</t>
        </is>
      </c>
      <c r="Q70" t="inlineStr"/>
    </row>
    <row r="71">
      <c r="A71" t="inlineStr">
        <is>
          <t>FAJAR GHAISAN</t>
        </is>
      </c>
      <c r="B71" t="inlineStr">
        <is>
          <t>Kab. Kebumen</t>
        </is>
      </c>
      <c r="C71" t="inlineStr">
        <is>
          <t>0287551242</t>
        </is>
      </c>
      <c r="D71" t="inlineStr">
        <is>
          <t>cv.fajarghaisan@yahoo.co.id</t>
        </is>
      </c>
      <c r="E71" t="inlineStr">
        <is>
          <t>https://lpjk.pu.go.id/search-badan-usaha-detail/eDVZODJOcThrb2txWW10cEpiSGVJdz09</t>
        </is>
      </c>
      <c r="F71" t="n">
        <v>1</v>
      </c>
      <c r="G71" t="inlineStr">
        <is>
          <t>BS004</t>
        </is>
      </c>
      <c r="H71" t="inlineStr">
        <is>
          <t>26 Juni 2007</t>
        </is>
      </c>
      <c r="I71" s="2" t="n">
        <v>46206</v>
      </c>
      <c r="J71" t="inlineStr">
        <is>
          <t>Disetujui</t>
        </is>
      </c>
      <c r="K71" t="n">
        <v>30</v>
      </c>
      <c r="L71" t="inlineStr">
        <is>
          <t>3 Juli 2026</t>
        </is>
      </c>
      <c r="M71" t="inlineStr">
        <is>
          <t>Konstruksi Jaringan Irigasi dan Drainase</t>
        </is>
      </c>
      <c r="N71" t="inlineStr">
        <is>
          <t>K</t>
        </is>
      </c>
      <c r="O71" t="inlineStr">
        <is>
          <t>20230614</t>
        </is>
      </c>
      <c r="P71" t="inlineStr">
        <is>
          <t>Jawa Tengah</t>
        </is>
      </c>
      <c r="Q71" t="inlineStr"/>
    </row>
    <row r="72">
      <c r="A72" t="inlineStr">
        <is>
          <t>FAJAR NUR JAYA</t>
        </is>
      </c>
      <c r="B72" t="inlineStr">
        <is>
          <t>Kota Balikpapan</t>
        </is>
      </c>
      <c r="C72" t="inlineStr">
        <is>
          <t>087827283121</t>
        </is>
      </c>
      <c r="D72" t="inlineStr">
        <is>
          <t>fajarnurjaya79@gmail.com</t>
        </is>
      </c>
      <c r="E72" t="inlineStr">
        <is>
          <t>https://lpjk.pu.go.id/search-badan-usaha-detail/OGdsNzFYQ3BwdENsR2hUQWFiajFNUT09</t>
        </is>
      </c>
      <c r="F72" t="n">
        <v>2</v>
      </c>
      <c r="G72" t="inlineStr">
        <is>
          <t>BG005, BG009</t>
        </is>
      </c>
      <c r="H72" t="inlineStr">
        <is>
          <t>26 Juli 2016</t>
        </is>
      </c>
      <c r="I72" s="2" t="n">
        <v>46206</v>
      </c>
      <c r="J72" t="inlineStr">
        <is>
          <t>Pencabutan</t>
        </is>
      </c>
      <c r="K72" t="n">
        <v>30</v>
      </c>
      <c r="L72" t="inlineStr">
        <is>
          <t>3 Juli 2026</t>
        </is>
      </c>
      <c r="M72" t="inlineStr">
        <is>
          <t>Konstruksi Gedung Kesehatan, Konstruksi Gedung Lainnya</t>
        </is>
      </c>
      <c r="N72" t="inlineStr">
        <is>
          <t>K</t>
        </is>
      </c>
      <c r="O72" t="inlineStr">
        <is>
          <t>20230703</t>
        </is>
      </c>
      <c r="P72" t="inlineStr">
        <is>
          <t>Kalimantan Timur</t>
        </is>
      </c>
      <c r="Q72" t="inlineStr"/>
    </row>
    <row r="73">
      <c r="A73" t="inlineStr">
        <is>
          <t>FAKHRI PUTRA UTAMA</t>
        </is>
      </c>
      <c r="B73" t="inlineStr">
        <is>
          <t>Kota Adm. Jakarta Selatan</t>
        </is>
      </c>
      <c r="C73" t="inlineStr">
        <is>
          <t>08111471154</t>
        </is>
      </c>
      <c r="D73" t="inlineStr">
        <is>
          <t>ptfakhrip@yahoo.com</t>
        </is>
      </c>
      <c r="E73" t="inlineStr">
        <is>
          <t>https://lpjk.pu.go.id/search-badan-usaha-detail/ODVja1BqZG45VHZWZm5NTEpFOE5CZz09</t>
        </is>
      </c>
      <c r="F73" t="n">
        <v>1</v>
      </c>
      <c r="G73" t="inlineStr">
        <is>
          <t>BS001</t>
        </is>
      </c>
      <c r="H73" t="inlineStr">
        <is>
          <t>19 Mei 2008</t>
        </is>
      </c>
      <c r="I73" s="2" t="n">
        <v>46206</v>
      </c>
      <c r="J73" t="inlineStr">
        <is>
          <t>Disetujui</t>
        </is>
      </c>
      <c r="K73" t="n">
        <v>30</v>
      </c>
      <c r="L73" t="inlineStr">
        <is>
          <t>3 Juli 2026</t>
        </is>
      </c>
      <c r="M73" t="inlineStr">
        <is>
          <t>Konstruksi Bangunan Sipil Jalan</t>
        </is>
      </c>
      <c r="N73" t="inlineStr">
        <is>
          <t>K</t>
        </is>
      </c>
      <c r="O73" t="inlineStr">
        <is>
          <t>20230626</t>
        </is>
      </c>
      <c r="P73" t="inlineStr">
        <is>
          <t>DKI Jakarta</t>
        </is>
      </c>
      <c r="Q73" t="inlineStr"/>
    </row>
    <row r="74">
      <c r="A74" t="inlineStr">
        <is>
          <t>FIKRI JAYA</t>
        </is>
      </c>
      <c r="B74" t="inlineStr">
        <is>
          <t>Kab. Tanjung Jabung Barat</t>
        </is>
      </c>
      <c r="C74" t="inlineStr">
        <is>
          <t>085266092545</t>
        </is>
      </c>
      <c r="D74" t="inlineStr">
        <is>
          <t>cvfikrijaya1@gmail.com</t>
        </is>
      </c>
      <c r="E74" t="inlineStr">
        <is>
          <t>https://lpjk.pu.go.id/search-badan-usaha-detail/ZldlTE1CTlhsem44cWsyZFoxRG9GZz09</t>
        </is>
      </c>
      <c r="F74" t="n">
        <v>1</v>
      </c>
      <c r="G74" t="inlineStr">
        <is>
          <t>BG009</t>
        </is>
      </c>
      <c r="H74" t="inlineStr">
        <is>
          <t>8 September 2011</t>
        </is>
      </c>
      <c r="I74" s="2" t="n">
        <v>46206</v>
      </c>
      <c r="J74" t="inlineStr">
        <is>
          <t>Disetujui</t>
        </is>
      </c>
      <c r="K74" t="n">
        <v>30</v>
      </c>
      <c r="L74" t="inlineStr">
        <is>
          <t>3 Juli 2026</t>
        </is>
      </c>
      <c r="M74" t="inlineStr">
        <is>
          <t>Konstruksi Gedung Lainnya</t>
        </is>
      </c>
      <c r="N74" t="inlineStr">
        <is>
          <t>K</t>
        </is>
      </c>
      <c r="O74" t="inlineStr">
        <is>
          <t>20230623</t>
        </is>
      </c>
      <c r="P74" t="inlineStr">
        <is>
          <t>Jambi</t>
        </is>
      </c>
      <c r="Q74" t="inlineStr"/>
    </row>
    <row r="75">
      <c r="A75" t="inlineStr">
        <is>
          <t>GRAHA CIPTA SEJAHTERA</t>
        </is>
      </c>
      <c r="B75" t="inlineStr">
        <is>
          <t>Kab. Jember</t>
        </is>
      </c>
      <c r="C75" t="inlineStr">
        <is>
          <t>0331331447</t>
        </is>
      </c>
      <c r="D75" t="inlineStr">
        <is>
          <t>pt_grahacipta@yahoo.com</t>
        </is>
      </c>
      <c r="E75" t="inlineStr">
        <is>
          <t>https://lpjk.pu.go.id/search-badan-usaha-detail/aUhIUGdKN054NEdkVFdQZnN3UmJXZz09</t>
        </is>
      </c>
      <c r="F75" t="n">
        <v>1</v>
      </c>
      <c r="G75" t="inlineStr">
        <is>
          <t>BG001</t>
        </is>
      </c>
      <c r="H75" t="inlineStr">
        <is>
          <t>11 Agustus 2010</t>
        </is>
      </c>
      <c r="I75" s="2" t="n">
        <v>46206</v>
      </c>
      <c r="J75" t="inlineStr">
        <is>
          <t>Disetujui</t>
        </is>
      </c>
      <c r="K75" t="n">
        <v>30</v>
      </c>
      <c r="L75" t="inlineStr">
        <is>
          <t>3 Juli 2026</t>
        </is>
      </c>
      <c r="M75" t="inlineStr">
        <is>
          <t>Konstruksi Gedung Hunian</t>
        </is>
      </c>
      <c r="N75" t="inlineStr">
        <is>
          <t>K</t>
        </is>
      </c>
      <c r="O75" t="inlineStr">
        <is>
          <t>20230626</t>
        </is>
      </c>
      <c r="P75" t="inlineStr">
        <is>
          <t>Jawa Timur</t>
        </is>
      </c>
      <c r="Q75" t="inlineStr"/>
    </row>
    <row r="76">
      <c r="A76" t="inlineStr">
        <is>
          <t>GUNUNG PRAMAS BERKAHRAHMAH</t>
        </is>
      </c>
      <c r="B76" t="inlineStr">
        <is>
          <t>Kota Pontianak</t>
        </is>
      </c>
      <c r="C76" t="inlineStr">
        <is>
          <t>0561777363</t>
        </is>
      </c>
      <c r="D76" t="inlineStr">
        <is>
          <t>gunungpramasbr@gmail.com</t>
        </is>
      </c>
      <c r="E76" t="inlineStr">
        <is>
          <t>https://lpjk.pu.go.id/search-badan-usaha-detail/MUMxUVFnUTBkaDZDcWEwMXhYTlpaZz09</t>
        </is>
      </c>
      <c r="F76" t="n">
        <v>1</v>
      </c>
      <c r="G76" t="inlineStr">
        <is>
          <t>BG006</t>
        </is>
      </c>
      <c r="H76" t="inlineStr">
        <is>
          <t>6 Januari 2017</t>
        </is>
      </c>
      <c r="I76" s="2" t="n">
        <v>46206</v>
      </c>
      <c r="J76" t="inlineStr">
        <is>
          <t>Pencabutan</t>
        </is>
      </c>
      <c r="K76" t="n">
        <v>30</v>
      </c>
      <c r="L76" t="inlineStr">
        <is>
          <t>3 Juli 2026</t>
        </is>
      </c>
      <c r="M76" t="inlineStr">
        <is>
          <t>Konstruksi Gedung Pendidikan</t>
        </is>
      </c>
      <c r="N76" t="inlineStr">
        <is>
          <t>K</t>
        </is>
      </c>
      <c r="O76" t="inlineStr">
        <is>
          <t>20230621</t>
        </is>
      </c>
      <c r="P76" t="inlineStr">
        <is>
          <t>Kalimantan Barat</t>
        </is>
      </c>
      <c r="Q76" t="inlineStr"/>
    </row>
    <row r="77">
      <c r="A77" t="inlineStr">
        <is>
          <t>GUNUNG RAYA</t>
        </is>
      </c>
      <c r="B77" t="inlineStr">
        <is>
          <t>Kab. Aceh Tengah</t>
        </is>
      </c>
      <c r="C77" t="inlineStr">
        <is>
          <t>081362808010</t>
        </is>
      </c>
      <c r="D77" t="inlineStr">
        <is>
          <t>cvgunungraya@gmail.com</t>
        </is>
      </c>
      <c r="E77" t="inlineStr">
        <is>
          <t>https://lpjk.pu.go.id/search-badan-usaha-detail/eE5JS21EVXA4UU5JUUFLRXFZSVVtdz09</t>
        </is>
      </c>
      <c r="F77" t="n">
        <v>1</v>
      </c>
      <c r="G77" t="inlineStr">
        <is>
          <t>BS001</t>
        </is>
      </c>
      <c r="H77" t="inlineStr">
        <is>
          <t>29 Juli 2000</t>
        </is>
      </c>
      <c r="I77" s="2" t="n">
        <v>46206</v>
      </c>
      <c r="J77" t="inlineStr">
        <is>
          <t>Disetujui</t>
        </is>
      </c>
      <c r="K77" t="n">
        <v>30</v>
      </c>
      <c r="L77" t="inlineStr">
        <is>
          <t>3 Juli 2026</t>
        </is>
      </c>
      <c r="M77" t="inlineStr">
        <is>
          <t>Konstruksi Bangunan Sipil Jalan</t>
        </is>
      </c>
      <c r="N77" t="inlineStr">
        <is>
          <t>K</t>
        </is>
      </c>
      <c r="O77" t="inlineStr">
        <is>
          <t>20230624</t>
        </is>
      </c>
      <c r="P77" t="inlineStr">
        <is>
          <t>Aceh</t>
        </is>
      </c>
      <c r="Q77" t="inlineStr"/>
    </row>
    <row r="78">
      <c r="A78" t="inlineStr">
        <is>
          <t>HADIYAH</t>
        </is>
      </c>
      <c r="B78" t="inlineStr">
        <is>
          <t>Kota Surabaya</t>
        </is>
      </c>
      <c r="C78" t="inlineStr">
        <is>
          <t>081333786909</t>
        </is>
      </c>
      <c r="D78" t="inlineStr">
        <is>
          <t>hadiyah.cv123@gmail.com</t>
        </is>
      </c>
      <c r="E78" t="inlineStr">
        <is>
          <t>https://lpjk.pu.go.id/search-badan-usaha-detail/aTI2Nzh1bHQxa00zMWNXUWpSMkI3UT09</t>
        </is>
      </c>
      <c r="F78" t="n">
        <v>1</v>
      </c>
      <c r="G78" t="inlineStr">
        <is>
          <t>BG009</t>
        </is>
      </c>
      <c r="H78" t="inlineStr">
        <is>
          <t>11 Februari 2010</t>
        </is>
      </c>
      <c r="I78" s="2" t="n">
        <v>46206</v>
      </c>
      <c r="J78" t="inlineStr">
        <is>
          <t>Disetujui</t>
        </is>
      </c>
      <c r="K78" t="n">
        <v>30</v>
      </c>
      <c r="L78" t="inlineStr">
        <is>
          <t>3 Juli 2026</t>
        </is>
      </c>
      <c r="M78" t="inlineStr">
        <is>
          <t>Konstruksi Gedung Lainnya</t>
        </is>
      </c>
      <c r="N78" t="inlineStr">
        <is>
          <t>K</t>
        </is>
      </c>
      <c r="O78" t="inlineStr">
        <is>
          <t>20230622</t>
        </is>
      </c>
      <c r="P78" t="inlineStr">
        <is>
          <t>Jawa Timur</t>
        </is>
      </c>
      <c r="Q78" t="inlineStr"/>
    </row>
    <row r="79">
      <c r="A79" t="inlineStr">
        <is>
          <t>HAZBRO JAYA BERSAMA</t>
        </is>
      </c>
      <c r="B79" t="inlineStr">
        <is>
          <t>Kab. Karawang</t>
        </is>
      </c>
      <c r="C79" t="inlineStr">
        <is>
          <t>08119851108</t>
        </is>
      </c>
      <c r="D79" t="inlineStr">
        <is>
          <t>hjb_karawang@hazbro-jayabersama.com</t>
        </is>
      </c>
      <c r="E79" t="inlineStr">
        <is>
          <t>https://lpjk.pu.go.id/search-badan-usaha-detail/T0t5aHpSdGVnYXBCakF4YlBPY1Z2QT09</t>
        </is>
      </c>
      <c r="F79" t="n">
        <v>2</v>
      </c>
      <c r="G79" t="inlineStr">
        <is>
          <t>BG002, BG005</t>
        </is>
      </c>
      <c r="H79" t="inlineStr">
        <is>
          <t>20 Februari 2023</t>
        </is>
      </c>
      <c r="I79" s="2" t="n">
        <v>46206</v>
      </c>
      <c r="J79" t="inlineStr">
        <is>
          <t>Disetujui</t>
        </is>
      </c>
      <c r="K79" t="n">
        <v>30</v>
      </c>
      <c r="L79" t="inlineStr">
        <is>
          <t>3 Juli 2026</t>
        </is>
      </c>
      <c r="M79" t="inlineStr">
        <is>
          <t>Konstruksi Gedung Kesehatan, Konstruksi Gedung Perkantoran</t>
        </is>
      </c>
      <c r="N79" t="inlineStr">
        <is>
          <t>K</t>
        </is>
      </c>
      <c r="O79" t="inlineStr">
        <is>
          <t>20230619, 20230626</t>
        </is>
      </c>
      <c r="P79" t="inlineStr">
        <is>
          <t>Jawa Barat</t>
        </is>
      </c>
      <c r="Q79" t="inlineStr"/>
    </row>
    <row r="80">
      <c r="A80" t="inlineStr">
        <is>
          <t>HUTAMA KARYA KONSTRUKSI</t>
        </is>
      </c>
      <c r="B80" t="inlineStr">
        <is>
          <t>Kab. Kayong Utara</t>
        </is>
      </c>
      <c r="C80" t="inlineStr">
        <is>
          <t>081258245062</t>
        </is>
      </c>
      <c r="D80" t="inlineStr">
        <is>
          <t>hutamakarya2023konstruksi@gmail.com</t>
        </is>
      </c>
      <c r="E80" t="inlineStr">
        <is>
          <t>https://lpjk.pu.go.id/search-badan-usaha-detail/RTdVcE9VQ3RlMnhSdGFldUVCZFBXUT09</t>
        </is>
      </c>
      <c r="F80" t="n">
        <v>2</v>
      </c>
      <c r="G80" t="inlineStr">
        <is>
          <t>BS002</t>
        </is>
      </c>
      <c r="H80" t="inlineStr">
        <is>
          <t>18 April 2023</t>
        </is>
      </c>
      <c r="I80" s="2" t="n">
        <v>46206</v>
      </c>
      <c r="J80" t="inlineStr">
        <is>
          <t>Disetujui</t>
        </is>
      </c>
      <c r="K80" t="n">
        <v>30</v>
      </c>
      <c r="L80" t="inlineStr">
        <is>
          <t>3 Juli 2026</t>
        </is>
      </c>
      <c r="M80" t="inlineStr">
        <is>
          <t>Bangunan Sipil Jembatan, Jalan Layang, Fly Over, dan Underpass</t>
        </is>
      </c>
      <c r="N80" t="inlineStr">
        <is>
          <t>K</t>
        </is>
      </c>
      <c r="O80" t="inlineStr">
        <is>
          <t>20230630</t>
        </is>
      </c>
      <c r="P80" t="inlineStr">
        <is>
          <t>Kalimantan Barat</t>
        </is>
      </c>
      <c r="Q80" t="inlineStr"/>
    </row>
    <row r="81">
      <c r="A81" t="inlineStr">
        <is>
          <t>INDO JAYA</t>
        </is>
      </c>
      <c r="B81" t="inlineStr">
        <is>
          <t>Kab. Puncak Jaya</t>
        </is>
      </c>
      <c r="C81" t="inlineStr">
        <is>
          <t>081247948815</t>
        </is>
      </c>
      <c r="D81" t="inlineStr">
        <is>
          <t>cvindojaya959@gmail.com</t>
        </is>
      </c>
      <c r="E81" t="inlineStr">
        <is>
          <t>https://lpjk.pu.go.id/search-badan-usaha-detail/VHE0WVRpSldpZVVDc2N5TzkwcE9rdz09</t>
        </is>
      </c>
      <c r="F81" t="n">
        <v>1</v>
      </c>
      <c r="G81" t="inlineStr">
        <is>
          <t>BG005</t>
        </is>
      </c>
      <c r="H81" t="inlineStr">
        <is>
          <t>12 Januari 2018</t>
        </is>
      </c>
      <c r="I81" s="2" t="n">
        <v>46206</v>
      </c>
      <c r="J81" t="inlineStr">
        <is>
          <t>Disetujui</t>
        </is>
      </c>
      <c r="K81" t="n">
        <v>30</v>
      </c>
      <c r="L81" t="inlineStr">
        <is>
          <t>3 Juli 2026</t>
        </is>
      </c>
      <c r="M81" t="inlineStr">
        <is>
          <t>Konstruksi Gedung Kesehatan</t>
        </is>
      </c>
      <c r="N81" t="inlineStr">
        <is>
          <t>K</t>
        </is>
      </c>
      <c r="O81" t="inlineStr">
        <is>
          <t>20230701</t>
        </is>
      </c>
      <c r="P81" t="inlineStr">
        <is>
          <t>Papua</t>
        </is>
      </c>
      <c r="Q81" t="inlineStr"/>
    </row>
    <row r="82">
      <c r="A82" t="inlineStr">
        <is>
          <t>IRSANJAYA</t>
        </is>
      </c>
      <c r="B82" t="inlineStr">
        <is>
          <t>Kab. Dairi</t>
        </is>
      </c>
      <c r="C82" t="inlineStr">
        <is>
          <t>081361543092</t>
        </is>
      </c>
      <c r="D82" t="inlineStr">
        <is>
          <t>cvirsanjayasidikalang@gmail.com</t>
        </is>
      </c>
      <c r="E82" t="inlineStr">
        <is>
          <t>https://lpjk.pu.go.id/search-badan-usaha-detail/SGl3SDlrK09YQTlQR0wxRC9QdlowUT09</t>
        </is>
      </c>
      <c r="F82" t="n">
        <v>1</v>
      </c>
      <c r="G82" t="inlineStr">
        <is>
          <t>BG008</t>
        </is>
      </c>
      <c r="H82" t="inlineStr">
        <is>
          <t>5 Oktober 1995</t>
        </is>
      </c>
      <c r="I82" s="2" t="n">
        <v>46206</v>
      </c>
      <c r="J82" t="inlineStr">
        <is>
          <t>Disetujui</t>
        </is>
      </c>
      <c r="K82" t="n">
        <v>30</v>
      </c>
      <c r="L82" t="inlineStr">
        <is>
          <t>3 Juli 2026</t>
        </is>
      </c>
      <c r="M82" t="inlineStr">
        <is>
          <t>Konstruksi Gedung Tempat Hiburan dan Olahraga</t>
        </is>
      </c>
      <c r="N82" t="inlineStr">
        <is>
          <t>K</t>
        </is>
      </c>
      <c r="O82" t="inlineStr">
        <is>
          <t>20230627</t>
        </is>
      </c>
      <c r="P82" t="inlineStr">
        <is>
          <t>Sumatera Utara</t>
        </is>
      </c>
      <c r="Q82" t="inlineStr"/>
    </row>
    <row r="83">
      <c r="A83" t="inlineStr">
        <is>
          <t>JATI PRAKASA UPAKARYA</t>
        </is>
      </c>
      <c r="B83" t="inlineStr">
        <is>
          <t>Kota Medan</t>
        </is>
      </c>
      <c r="C83" t="inlineStr">
        <is>
          <t>0811816717</t>
        </is>
      </c>
      <c r="D83" t="inlineStr">
        <is>
          <t>jpupakarya@gmail.com</t>
        </is>
      </c>
      <c r="E83" t="inlineStr">
        <is>
          <t>https://lpjk.pu.go.id/search-badan-usaha-detail/T2hvNlBPQnR2eHNpcU1BenJhSndKdz09</t>
        </is>
      </c>
      <c r="F83" t="n">
        <v>5</v>
      </c>
      <c r="G83" t="inlineStr">
        <is>
          <t>BG002, BG005, BG006, BS001, BS004</t>
        </is>
      </c>
      <c r="H83" t="inlineStr">
        <is>
          <t>22 Juni 2023</t>
        </is>
      </c>
      <c r="I83" s="2" t="n">
        <v>46206</v>
      </c>
      <c r="J83" t="inlineStr">
        <is>
          <t>Pencabutan</t>
        </is>
      </c>
      <c r="K83" t="n">
        <v>30</v>
      </c>
      <c r="L83" t="inlineStr">
        <is>
          <t>3 Juli 2026</t>
        </is>
      </c>
      <c r="M83" t="inlineStr">
        <is>
          <t>Konstruksi Bangunan Sipil Jalan, Konstruksi Gedung Kesehatan, Konstruksi Gedung Pendidikan, Konstruksi Gedung Perkantoran, Konstruksi Jaringan Irigasi dan Drainase</t>
        </is>
      </c>
      <c r="N83" t="inlineStr">
        <is>
          <t>K</t>
        </is>
      </c>
      <c r="O83" t="inlineStr">
        <is>
          <t>20230630, 20230701</t>
        </is>
      </c>
      <c r="P83" t="inlineStr">
        <is>
          <t>Sumatera Utara</t>
        </is>
      </c>
      <c r="Q83" t="inlineStr"/>
    </row>
    <row r="84">
      <c r="A84" t="inlineStr">
        <is>
          <t>KARYA ADHI GUNA</t>
        </is>
      </c>
      <c r="B84" t="inlineStr">
        <is>
          <t>Kab. Cilacap</t>
        </is>
      </c>
      <c r="C84" t="inlineStr">
        <is>
          <t>085938361755</t>
        </is>
      </c>
      <c r="D84" t="inlineStr">
        <is>
          <t>karyaag_cv@yahoo.co.id</t>
        </is>
      </c>
      <c r="E84" t="inlineStr">
        <is>
          <t>https://lpjk.pu.go.id/search-badan-usaha-detail/OXh2dmppaGs3WDlWa3F2QndjTmtRdz09</t>
        </is>
      </c>
      <c r="F84" t="n">
        <v>3</v>
      </c>
      <c r="G84" t="inlineStr">
        <is>
          <t>BG002, BG006, BS004</t>
        </is>
      </c>
      <c r="H84" t="inlineStr">
        <is>
          <t>18 Mei 1995</t>
        </is>
      </c>
      <c r="I84" s="2" t="n">
        <v>46206</v>
      </c>
      <c r="J84" t="inlineStr">
        <is>
          <t>Disetujui</t>
        </is>
      </c>
      <c r="K84" t="n">
        <v>30</v>
      </c>
      <c r="L84" t="inlineStr">
        <is>
          <t>3 Juli 2026</t>
        </is>
      </c>
      <c r="M84" t="inlineStr">
        <is>
          <t>Konstruksi Gedung Pendidikan, Konstruksi Gedung Perkantoran, Konstruksi Jaringan Irigasi dan Drainase</t>
        </is>
      </c>
      <c r="N84" t="inlineStr">
        <is>
          <t>K</t>
        </is>
      </c>
      <c r="O84" t="inlineStr">
        <is>
          <t>20230201, 20230627</t>
        </is>
      </c>
      <c r="P84" t="inlineStr">
        <is>
          <t>Jawa Tengah</t>
        </is>
      </c>
      <c r="Q84" t="inlineStr"/>
    </row>
    <row r="85">
      <c r="A85" t="inlineStr">
        <is>
          <t>KARYA BINTANG PRISMA</t>
        </is>
      </c>
      <c r="B85" t="inlineStr">
        <is>
          <t>Kota Palangkaraya</t>
        </is>
      </c>
      <c r="C85" t="inlineStr">
        <is>
          <t>081258213944</t>
        </is>
      </c>
      <c r="D85" t="inlineStr">
        <is>
          <t>karya.bintang.prisma@gmail.com</t>
        </is>
      </c>
      <c r="E85" t="inlineStr">
        <is>
          <t>https://lpjk.pu.go.id/search-badan-usaha-detail/QkdSYWZLVmV4d29HTkpvemQzcmdudz09</t>
        </is>
      </c>
      <c r="F85" t="n">
        <v>3</v>
      </c>
      <c r="G85" t="inlineStr">
        <is>
          <t>BG001, BG002, BG006</t>
        </is>
      </c>
      <c r="H85" t="inlineStr">
        <is>
          <t>27 Juli 2022</t>
        </is>
      </c>
      <c r="I85" s="2" t="n">
        <v>46206</v>
      </c>
      <c r="J85" t="inlineStr">
        <is>
          <t>Disetujui</t>
        </is>
      </c>
      <c r="K85" t="n">
        <v>30</v>
      </c>
      <c r="L85" t="inlineStr">
        <is>
          <t>3 Juli 2026</t>
        </is>
      </c>
      <c r="M85" t="inlineStr">
        <is>
          <t>Konstruksi Gedung Hunian, Konstruksi Gedung Pendidikan, Konstruksi Gedung Perkantoran</t>
        </is>
      </c>
      <c r="N85" t="inlineStr">
        <is>
          <t>K</t>
        </is>
      </c>
      <c r="O85" t="inlineStr">
        <is>
          <t>20221014, 20230216, 20230607</t>
        </is>
      </c>
      <c r="P85" t="inlineStr">
        <is>
          <t>Kalimantan Tengah</t>
        </is>
      </c>
      <c r="Q85" t="inlineStr"/>
    </row>
    <row r="86">
      <c r="A86" t="inlineStr">
        <is>
          <t>KARYA MUDA</t>
        </is>
      </c>
      <c r="B86" t="inlineStr">
        <is>
          <t>Kab. Magetan</t>
        </is>
      </c>
      <c r="C86" t="inlineStr">
        <is>
          <t>082335242045</t>
        </is>
      </c>
      <c r="D86" t="inlineStr">
        <is>
          <t>cvkaryamuda1@gmail.com</t>
        </is>
      </c>
      <c r="E86" t="inlineStr">
        <is>
          <t>https://lpjk.pu.go.id/search-badan-usaha-detail/UDhVNURhZlE4a2pWcFZrOU5JVHFGQT09</t>
        </is>
      </c>
      <c r="F86" t="n">
        <v>2</v>
      </c>
      <c r="G86" t="inlineStr">
        <is>
          <t>BG006, BG009</t>
        </is>
      </c>
      <c r="H86" t="inlineStr">
        <is>
          <t>31 Januari 2011</t>
        </is>
      </c>
      <c r="I86" s="2" t="n">
        <v>46206</v>
      </c>
      <c r="J86" t="inlineStr">
        <is>
          <t>Pencabutan</t>
        </is>
      </c>
      <c r="K86" t="n">
        <v>30</v>
      </c>
      <c r="L86" t="inlineStr">
        <is>
          <t>3 Juli 2026</t>
        </is>
      </c>
      <c r="M86" t="inlineStr">
        <is>
          <t>Konstruksi Gedung Lainnya, Konstruksi Gedung Pendidikan</t>
        </is>
      </c>
      <c r="N86" t="inlineStr">
        <is>
          <t>K</t>
        </is>
      </c>
      <c r="O86" t="inlineStr">
        <is>
          <t>20230703</t>
        </is>
      </c>
      <c r="P86" t="inlineStr">
        <is>
          <t>Jawa Timur</t>
        </is>
      </c>
      <c r="Q86" t="inlineStr"/>
    </row>
    <row r="87">
      <c r="A87" t="inlineStr">
        <is>
          <t>KENANG TANAH HITAM</t>
        </is>
      </c>
      <c r="B87" t="inlineStr">
        <is>
          <t>Kab. Manokwari</t>
        </is>
      </c>
      <c r="C87" t="inlineStr">
        <is>
          <t>082198621235</t>
        </is>
      </c>
      <c r="D87" t="inlineStr">
        <is>
          <t>cv.kenangtanahhitam20@gmail.com</t>
        </is>
      </c>
      <c r="E87" t="inlineStr">
        <is>
          <t>https://lpjk.pu.go.id/search-badan-usaha-detail/cDBtR1FjQitxN2pxZWVCOGhDZmMyQT09</t>
        </is>
      </c>
      <c r="F87" t="n">
        <v>1</v>
      </c>
      <c r="G87" t="inlineStr">
        <is>
          <t>BS001</t>
        </is>
      </c>
      <c r="H87" t="inlineStr">
        <is>
          <t>1 Februari 2010</t>
        </is>
      </c>
      <c r="I87" s="2" t="n">
        <v>46206</v>
      </c>
      <c r="J87" t="inlineStr">
        <is>
          <t>Disetujui</t>
        </is>
      </c>
      <c r="K87" t="n">
        <v>30</v>
      </c>
      <c r="L87" t="inlineStr">
        <is>
          <t>3 Juli 2026</t>
        </is>
      </c>
      <c r="M87" t="inlineStr">
        <is>
          <t>Konstruksi Bangunan Sipil Jalan</t>
        </is>
      </c>
      <c r="N87" t="inlineStr">
        <is>
          <t>K</t>
        </is>
      </c>
      <c r="O87" t="inlineStr">
        <is>
          <t>20230627</t>
        </is>
      </c>
      <c r="P87" t="inlineStr">
        <is>
          <t>Papua Barat</t>
        </is>
      </c>
      <c r="Q87" t="inlineStr"/>
    </row>
    <row r="88">
      <c r="A88" t="inlineStr">
        <is>
          <t>KENANGA</t>
        </is>
      </c>
      <c r="B88" t="inlineStr">
        <is>
          <t>Kab. Sanggau</t>
        </is>
      </c>
      <c r="C88" t="inlineStr">
        <is>
          <t>085821041892</t>
        </is>
      </c>
      <c r="D88" t="inlineStr">
        <is>
          <t>cvkenanga732@gmail.com</t>
        </is>
      </c>
      <c r="E88" t="inlineStr">
        <is>
          <t>https://lpjk.pu.go.id/search-badan-usaha-detail/ZU5IUXcrcUFCWnpYbmgyemVkSUxWdz09</t>
        </is>
      </c>
      <c r="F88" t="n">
        <v>2</v>
      </c>
      <c r="G88" t="inlineStr">
        <is>
          <t>BS001</t>
        </is>
      </c>
      <c r="H88" t="inlineStr">
        <is>
          <t>27 Maret 2012</t>
        </is>
      </c>
      <c r="I88" s="2" t="n">
        <v>46206</v>
      </c>
      <c r="J88" t="inlineStr">
        <is>
          <t>Pencabutan</t>
        </is>
      </c>
      <c r="K88" t="n">
        <v>30</v>
      </c>
      <c r="L88" t="inlineStr">
        <is>
          <t>3 Juli 2026</t>
        </is>
      </c>
      <c r="M88" t="inlineStr">
        <is>
          <t>Konstruksi Bangunan Sipil Jalan</t>
        </is>
      </c>
      <c r="N88" t="inlineStr">
        <is>
          <t>K</t>
        </is>
      </c>
      <c r="O88" t="inlineStr">
        <is>
          <t>20230508</t>
        </is>
      </c>
      <c r="P88" t="inlineStr">
        <is>
          <t>Kalimantan Barat</t>
        </is>
      </c>
      <c r="Q88" t="inlineStr"/>
    </row>
    <row r="89">
      <c r="A89" t="inlineStr">
        <is>
          <t>KHARISMA SEJATI</t>
        </is>
      </c>
      <c r="B89" t="inlineStr">
        <is>
          <t>Kab. Bintan</t>
        </is>
      </c>
      <c r="C89" t="inlineStr">
        <is>
          <t>082284090157</t>
        </is>
      </c>
      <c r="D89" t="inlineStr">
        <is>
          <t>kharismasejati750@gmail.com</t>
        </is>
      </c>
      <c r="E89" t="inlineStr">
        <is>
          <t>https://lpjk.pu.go.id/search-badan-usaha-detail/Y3orUEJQWEhBRFhFejg0S09yMSt1dz09</t>
        </is>
      </c>
      <c r="F89" t="n">
        <v>1</v>
      </c>
      <c r="G89" t="inlineStr">
        <is>
          <t>BG005</t>
        </is>
      </c>
      <c r="H89" t="inlineStr">
        <is>
          <t>16 Mei 2002</t>
        </is>
      </c>
      <c r="I89" s="2" t="n">
        <v>46206</v>
      </c>
      <c r="J89" t="inlineStr">
        <is>
          <t>Disetujui</t>
        </is>
      </c>
      <c r="K89" t="n">
        <v>30</v>
      </c>
      <c r="L89" t="inlineStr">
        <is>
          <t>3 Juli 2026</t>
        </is>
      </c>
      <c r="M89" t="inlineStr">
        <is>
          <t>Konstruksi Gedung Kesehatan</t>
        </is>
      </c>
      <c r="N89" t="inlineStr">
        <is>
          <t>K</t>
        </is>
      </c>
      <c r="O89" t="inlineStr">
        <is>
          <t>20230626</t>
        </is>
      </c>
      <c r="P89" t="inlineStr">
        <is>
          <t>Kepulauan Riau</t>
        </is>
      </c>
      <c r="Q89" t="inlineStr"/>
    </row>
    <row r="90">
      <c r="A90" t="inlineStr">
        <is>
          <t>KIRANA DELI PERSADA</t>
        </is>
      </c>
      <c r="B90" t="inlineStr">
        <is>
          <t>Kab. Deli Serdang</t>
        </is>
      </c>
      <c r="C90" t="inlineStr">
        <is>
          <t>081263753773</t>
        </is>
      </c>
      <c r="D90" t="inlineStr">
        <is>
          <t>cv.kdp2018@gmail.com</t>
        </is>
      </c>
      <c r="E90" t="inlineStr">
        <is>
          <t>https://lpjk.pu.go.id/search-badan-usaha-detail/aTJsMnlET3ZpT2Y2czdmUm1tY3pYQT09</t>
        </is>
      </c>
      <c r="F90" t="n">
        <v>1</v>
      </c>
      <c r="G90" t="inlineStr">
        <is>
          <t>BG009</t>
        </is>
      </c>
      <c r="H90" t="inlineStr">
        <is>
          <t>25 November 2019</t>
        </is>
      </c>
      <c r="I90" s="2" t="n">
        <v>46206</v>
      </c>
      <c r="J90" t="inlineStr">
        <is>
          <t>Disetujui</t>
        </is>
      </c>
      <c r="K90" t="n">
        <v>30</v>
      </c>
      <c r="L90" t="inlineStr">
        <is>
          <t>3 Juli 2026</t>
        </is>
      </c>
      <c r="M90" t="inlineStr">
        <is>
          <t>Konstruksi Gedung Lainnya</t>
        </is>
      </c>
      <c r="N90" t="inlineStr">
        <is>
          <t>K</t>
        </is>
      </c>
      <c r="O90" t="inlineStr">
        <is>
          <t>20230703</t>
        </is>
      </c>
      <c r="P90" t="inlineStr">
        <is>
          <t>Sumatera Utara</t>
        </is>
      </c>
      <c r="Q90" t="inlineStr"/>
    </row>
    <row r="91">
      <c r="A91" t="inlineStr">
        <is>
          <t>KREASINDO BANGUN PERSADA</t>
        </is>
      </c>
      <c r="B91" t="inlineStr">
        <is>
          <t>Kota Tangerang Selatan</t>
        </is>
      </c>
      <c r="C91" t="inlineStr">
        <is>
          <t>02129313480</t>
        </is>
      </c>
      <c r="D91" t="inlineStr">
        <is>
          <t>bangunpersada42@gmail.com</t>
        </is>
      </c>
      <c r="E91" t="inlineStr">
        <is>
          <t>https://lpjk.pu.go.id/search-badan-usaha-detail/NC85VGJhQnJEWU1tcEo1S09SWTYyQT09</t>
        </is>
      </c>
      <c r="F91" t="n">
        <v>2</v>
      </c>
      <c r="G91" t="inlineStr">
        <is>
          <t>BG005</t>
        </is>
      </c>
      <c r="H91" t="inlineStr">
        <is>
          <t>22 Juni 2012</t>
        </is>
      </c>
      <c r="I91" s="2" t="n">
        <v>46206</v>
      </c>
      <c r="J91" t="inlineStr">
        <is>
          <t>Disetujui</t>
        </is>
      </c>
      <c r="K91" t="n">
        <v>30</v>
      </c>
      <c r="L91" t="inlineStr">
        <is>
          <t>3 Juli 2026</t>
        </is>
      </c>
      <c r="M91" t="inlineStr">
        <is>
          <t>Konstruksi Gedung Kesehatan</t>
        </is>
      </c>
      <c r="N91" t="inlineStr">
        <is>
          <t>K</t>
        </is>
      </c>
      <c r="O91" t="inlineStr">
        <is>
          <t>20230626</t>
        </is>
      </c>
      <c r="P91" t="inlineStr">
        <is>
          <t>Banten</t>
        </is>
      </c>
      <c r="Q91" t="inlineStr"/>
    </row>
    <row r="92">
      <c r="A92" t="inlineStr">
        <is>
          <t>KURNIA PERKASA</t>
        </is>
      </c>
      <c r="B92" t="inlineStr">
        <is>
          <t>Kab. Bondowoso</t>
        </is>
      </c>
      <c r="C92" t="inlineStr">
        <is>
          <t>081234858571</t>
        </is>
      </c>
      <c r="D92" t="inlineStr">
        <is>
          <t>kurniaperkasa2024@gmail.com</t>
        </is>
      </c>
      <c r="E92" t="inlineStr">
        <is>
          <t>https://lpjk.pu.go.id/search-badan-usaha-detail/MWVGcHp0bFROdDhOcWNlRE5LME5RZz09</t>
        </is>
      </c>
      <c r="F92" t="n">
        <v>1</v>
      </c>
      <c r="G92" t="inlineStr">
        <is>
          <t>BS001</t>
        </is>
      </c>
      <c r="H92" t="inlineStr">
        <is>
          <t>4 September 2007</t>
        </is>
      </c>
      <c r="I92" s="2" t="n">
        <v>46206</v>
      </c>
      <c r="J92" t="inlineStr">
        <is>
          <t>Disetujui</t>
        </is>
      </c>
      <c r="K92" t="n">
        <v>30</v>
      </c>
      <c r="L92" t="inlineStr">
        <is>
          <t>3 Juli 2026</t>
        </is>
      </c>
      <c r="M92" t="inlineStr">
        <is>
          <t>Konstruksi Bangunan Sipil Jalan</t>
        </is>
      </c>
      <c r="N92" t="inlineStr">
        <is>
          <t>K</t>
        </is>
      </c>
      <c r="O92" t="inlineStr">
        <is>
          <t>20230627</t>
        </is>
      </c>
      <c r="P92" t="inlineStr">
        <is>
          <t>Jawa Timur</t>
        </is>
      </c>
      <c r="Q92" t="inlineStr"/>
    </row>
    <row r="93">
      <c r="A93" t="inlineStr">
        <is>
          <t>LUMBUNG RIZKI</t>
        </is>
      </c>
      <c r="B93" t="inlineStr">
        <is>
          <t>Kab. Banyumas</t>
        </is>
      </c>
      <c r="C93" t="inlineStr">
        <is>
          <t>082243368586</t>
        </is>
      </c>
      <c r="D93" t="inlineStr">
        <is>
          <t>lumbungrizki2020@gmail.com</t>
        </is>
      </c>
      <c r="E93" t="inlineStr">
        <is>
          <t>https://lpjk.pu.go.id/search-badan-usaha-detail/cUo1Rkc5ZkdjbXBmSFJXODhWWUdpdz09</t>
        </is>
      </c>
      <c r="F93" t="n">
        <v>1</v>
      </c>
      <c r="G93" t="inlineStr">
        <is>
          <t>BG002</t>
        </is>
      </c>
      <c r="H93" t="inlineStr">
        <is>
          <t>28 November 2020</t>
        </is>
      </c>
      <c r="I93" s="2" t="n">
        <v>46206</v>
      </c>
      <c r="J93" t="inlineStr">
        <is>
          <t>Disetujui</t>
        </is>
      </c>
      <c r="K93" t="n">
        <v>30</v>
      </c>
      <c r="L93" t="inlineStr">
        <is>
          <t>3 Juli 2026</t>
        </is>
      </c>
      <c r="M93" t="inlineStr">
        <is>
          <t>Konstruksi Gedung Perkantoran</t>
        </is>
      </c>
      <c r="N93" t="inlineStr">
        <is>
          <t>K</t>
        </is>
      </c>
      <c r="O93" t="inlineStr">
        <is>
          <t>20230628</t>
        </is>
      </c>
      <c r="P93" t="inlineStr">
        <is>
          <t>Jawa Tengah</t>
        </is>
      </c>
      <c r="Q93" t="inlineStr"/>
    </row>
    <row r="94">
      <c r="A94" t="inlineStr">
        <is>
          <t>MAHAKARYA</t>
        </is>
      </c>
      <c r="B94" t="inlineStr">
        <is>
          <t>Kab. Blitar</t>
        </is>
      </c>
      <c r="C94" t="inlineStr">
        <is>
          <t>08123359554</t>
        </is>
      </c>
      <c r="D94" t="inlineStr">
        <is>
          <t>didikbudifariadi@yahoo.co.id</t>
        </is>
      </c>
      <c r="E94" t="inlineStr">
        <is>
          <t>https://lpjk.pu.go.id/search-badan-usaha-detail/M3lTZlVPem5wci9uWWU1bUhLVFJIdz09</t>
        </is>
      </c>
      <c r="F94" t="n">
        <v>3</v>
      </c>
      <c r="G94" t="inlineStr">
        <is>
          <t>BG006</t>
        </is>
      </c>
      <c r="H94" t="inlineStr">
        <is>
          <t>9 September 1999</t>
        </is>
      </c>
      <c r="I94" s="2" t="n">
        <v>46206</v>
      </c>
      <c r="J94" t="inlineStr">
        <is>
          <t>Disetujui</t>
        </is>
      </c>
      <c r="K94" t="n">
        <v>30</v>
      </c>
      <c r="L94" t="inlineStr">
        <is>
          <t>3 Juli 2026</t>
        </is>
      </c>
      <c r="M94" t="inlineStr">
        <is>
          <t>Konstruksi Gedung Pendidikan</t>
        </is>
      </c>
      <c r="N94" t="inlineStr">
        <is>
          <t>K</t>
        </is>
      </c>
      <c r="O94" t="inlineStr">
        <is>
          <t>20230623</t>
        </is>
      </c>
      <c r="P94" t="inlineStr">
        <is>
          <t>Jawa Timur</t>
        </is>
      </c>
      <c r="Q94" t="inlineStr"/>
    </row>
    <row r="95">
      <c r="A95" t="inlineStr">
        <is>
          <t>MAHAKARYA CITRA</t>
        </is>
      </c>
      <c r="B95" t="inlineStr">
        <is>
          <t>Kab. Bandung</t>
        </is>
      </c>
      <c r="C95" t="inlineStr">
        <is>
          <t>081320117662</t>
        </is>
      </c>
      <c r="D95" t="inlineStr">
        <is>
          <t>mahakaryacitra.cv@gmail.com</t>
        </is>
      </c>
      <c r="E95" t="inlineStr">
        <is>
          <t>https://lpjk.pu.go.id/search-badan-usaha-detail/a3ZYZ0hUalZCVWpncWozR0FiKzhvZz09</t>
        </is>
      </c>
      <c r="F95" t="n">
        <v>3</v>
      </c>
      <c r="G95" t="inlineStr">
        <is>
          <t>BG001</t>
        </is>
      </c>
      <c r="H95" t="inlineStr">
        <is>
          <t>25 Juli 1991</t>
        </is>
      </c>
      <c r="I95" s="2" t="n">
        <v>46206</v>
      </c>
      <c r="J95" t="inlineStr">
        <is>
          <t>Disetujui</t>
        </is>
      </c>
      <c r="K95" t="n">
        <v>30</v>
      </c>
      <c r="L95" t="inlineStr">
        <is>
          <t>3 Juli 2026</t>
        </is>
      </c>
      <c r="M95" t="inlineStr">
        <is>
          <t>Konstruksi Gedung Hunian</t>
        </is>
      </c>
      <c r="N95" t="inlineStr">
        <is>
          <t>K</t>
        </is>
      </c>
      <c r="O95" t="inlineStr">
        <is>
          <t>20230621</t>
        </is>
      </c>
      <c r="P95" t="inlineStr">
        <is>
          <t>Jawa Barat</t>
        </is>
      </c>
      <c r="Q95" t="inlineStr"/>
    </row>
    <row r="96">
      <c r="A96" t="inlineStr">
        <is>
          <t>MAHAKARYA TIGA OETAMA</t>
        </is>
      </c>
      <c r="B96" t="inlineStr">
        <is>
          <t>Kab. Garut</t>
        </is>
      </c>
      <c r="C96" t="inlineStr">
        <is>
          <t>081222459940</t>
        </is>
      </c>
      <c r="D96" t="inlineStr">
        <is>
          <t>mahakaryatigaoetama02@gmail.com</t>
        </is>
      </c>
      <c r="E96" t="inlineStr">
        <is>
          <t>https://lpjk.pu.go.id/search-badan-usaha-detail/bEVrS1hKcTRtb1p1VVFGejlHcXlaZz09</t>
        </is>
      </c>
      <c r="F96" t="n">
        <v>3</v>
      </c>
      <c r="G96" t="inlineStr">
        <is>
          <t>BG001</t>
        </is>
      </c>
      <c r="H96" t="inlineStr">
        <is>
          <t>27 Oktober 2022</t>
        </is>
      </c>
      <c r="I96" s="2" t="n">
        <v>46206</v>
      </c>
      <c r="J96" t="inlineStr">
        <is>
          <t>Disetujui</t>
        </is>
      </c>
      <c r="K96" t="n">
        <v>30</v>
      </c>
      <c r="L96" t="inlineStr">
        <is>
          <t>3 Juli 2026</t>
        </is>
      </c>
      <c r="M96" t="inlineStr">
        <is>
          <t>Konstruksi Gedung Hunian</t>
        </is>
      </c>
      <c r="N96" t="inlineStr">
        <is>
          <t>K</t>
        </is>
      </c>
      <c r="O96" t="inlineStr">
        <is>
          <t>20230626</t>
        </is>
      </c>
      <c r="P96" t="inlineStr">
        <is>
          <t>Jawa Barat</t>
        </is>
      </c>
      <c r="Q96" t="inlineStr"/>
    </row>
    <row r="97">
      <c r="A97" t="inlineStr">
        <is>
          <t>MAHESA KARYA</t>
        </is>
      </c>
      <c r="B97" t="inlineStr">
        <is>
          <t>Kab. Banjarnegara</t>
        </is>
      </c>
      <c r="C97" t="inlineStr">
        <is>
          <t>082134819719</t>
        </is>
      </c>
      <c r="D97" t="inlineStr">
        <is>
          <t>mahesakarya87@gmail.com</t>
        </is>
      </c>
      <c r="E97" t="inlineStr">
        <is>
          <t>https://lpjk.pu.go.id/search-badan-usaha-detail/Y0dqQW83NFZmN1NIZVB4dmJZcWV0UT09</t>
        </is>
      </c>
      <c r="F97" t="n">
        <v>3</v>
      </c>
      <c r="G97" t="inlineStr">
        <is>
          <t>BG005, BG006, BG009</t>
        </is>
      </c>
      <c r="H97" t="inlineStr">
        <is>
          <t>5 Desember 1998</t>
        </is>
      </c>
      <c r="I97" s="2" t="n">
        <v>46206</v>
      </c>
      <c r="J97" t="inlineStr">
        <is>
          <t>Disetujui</t>
        </is>
      </c>
      <c r="K97" t="n">
        <v>30</v>
      </c>
      <c r="L97" t="inlineStr">
        <is>
          <t>3 Juli 2026</t>
        </is>
      </c>
      <c r="M97" t="inlineStr">
        <is>
          <t>Konstruksi Gedung Kesehatan, Konstruksi Gedung Lainnya, Konstruksi Gedung Pendidikan</t>
        </is>
      </c>
      <c r="N97" t="inlineStr">
        <is>
          <t>K</t>
        </is>
      </c>
      <c r="O97" t="inlineStr">
        <is>
          <t>20230625</t>
        </is>
      </c>
      <c r="P97" t="inlineStr">
        <is>
          <t>Jawa Tengah</t>
        </is>
      </c>
      <c r="Q97" t="inlineStr"/>
    </row>
    <row r="98">
      <c r="A98" t="inlineStr">
        <is>
          <t>MANDALA</t>
        </is>
      </c>
      <c r="B98" t="inlineStr">
        <is>
          <t>Kab. Lampung Selatan</t>
        </is>
      </c>
      <c r="C98" t="inlineStr">
        <is>
          <t>082285866727</t>
        </is>
      </c>
      <c r="D98" t="inlineStr">
        <is>
          <t>wyulyasari@gmail.com</t>
        </is>
      </c>
      <c r="E98" t="inlineStr">
        <is>
          <t>https://lpjk.pu.go.id/search-badan-usaha-detail/bThiUXRtWVZGN3hWT1ZjWEdOaTNTZz09</t>
        </is>
      </c>
      <c r="F98" t="n">
        <v>2</v>
      </c>
      <c r="G98" t="inlineStr">
        <is>
          <t>BS001</t>
        </is>
      </c>
      <c r="H98" t="inlineStr">
        <is>
          <t>18 November 2010</t>
        </is>
      </c>
      <c r="I98" s="2" t="n">
        <v>46206</v>
      </c>
      <c r="J98" t="inlineStr">
        <is>
          <t>Disetujui</t>
        </is>
      </c>
      <c r="K98" t="n">
        <v>30</v>
      </c>
      <c r="L98" t="inlineStr">
        <is>
          <t>3 Juli 2026</t>
        </is>
      </c>
      <c r="M98" t="inlineStr">
        <is>
          <t>Konstruksi Bangunan Sipil Jalan</t>
        </is>
      </c>
      <c r="N98" t="inlineStr">
        <is>
          <t>K</t>
        </is>
      </c>
      <c r="O98" t="inlineStr">
        <is>
          <t>20230622</t>
        </is>
      </c>
      <c r="P98" t="inlineStr">
        <is>
          <t>Lampung</t>
        </is>
      </c>
      <c r="Q98" t="inlineStr"/>
    </row>
    <row r="99">
      <c r="A99" t="inlineStr">
        <is>
          <t>MANDALIKA UTAMA</t>
        </is>
      </c>
      <c r="B99" t="inlineStr">
        <is>
          <t>Kab. Lombok Tengah</t>
        </is>
      </c>
      <c r="C99" t="inlineStr">
        <is>
          <t>08175724082</t>
        </is>
      </c>
      <c r="D99" t="inlineStr">
        <is>
          <t>cvmandalikautama@gmail.com</t>
        </is>
      </c>
      <c r="E99" t="inlineStr">
        <is>
          <t>https://lpjk.pu.go.id/search-badan-usaha-detail/N1BTWXlKdlhneU5iLzQrZno5b3M5UT09</t>
        </is>
      </c>
      <c r="F99" t="n">
        <v>1</v>
      </c>
      <c r="G99" t="inlineStr">
        <is>
          <t>BS001</t>
        </is>
      </c>
      <c r="H99" t="inlineStr">
        <is>
          <t>18 Februari 2016</t>
        </is>
      </c>
      <c r="I99" s="2" t="n">
        <v>46206</v>
      </c>
      <c r="J99" t="inlineStr">
        <is>
          <t>Disetujui</t>
        </is>
      </c>
      <c r="K99" t="n">
        <v>30</v>
      </c>
      <c r="L99" t="inlineStr">
        <is>
          <t>3 Juli 2026</t>
        </is>
      </c>
      <c r="M99" t="inlineStr">
        <is>
          <t>Konstruksi Bangunan Sipil Jalan</t>
        </is>
      </c>
      <c r="N99" t="inlineStr">
        <is>
          <t>K</t>
        </is>
      </c>
      <c r="O99" t="inlineStr">
        <is>
          <t>20230627</t>
        </is>
      </c>
      <c r="P99" t="inlineStr">
        <is>
          <t>Nusa Tenggara Barat</t>
        </is>
      </c>
      <c r="Q99" t="inlineStr"/>
    </row>
    <row r="100">
      <c r="A100" t="inlineStr">
        <is>
          <t>MANDIRI KONSTRUKSI</t>
        </is>
      </c>
      <c r="B100" t="inlineStr">
        <is>
          <t>Kab. Kampar</t>
        </is>
      </c>
      <c r="C100" t="inlineStr">
        <is>
          <t>085271523110</t>
        </is>
      </c>
      <c r="D100" t="inlineStr">
        <is>
          <t>cv.mandirikonstruksi89@gmail.com</t>
        </is>
      </c>
      <c r="E100" t="inlineStr">
        <is>
          <t>https://lpjk.pu.go.id/search-badan-usaha-detail/WjJROWNuVllFckpjUnJxdFpCSU1MQT09</t>
        </is>
      </c>
      <c r="F100" t="n">
        <v>1</v>
      </c>
      <c r="G100" t="inlineStr">
        <is>
          <t>BG009</t>
        </is>
      </c>
      <c r="H100" t="inlineStr">
        <is>
          <t>31 Agustus 2017</t>
        </is>
      </c>
      <c r="I100" s="2" t="n">
        <v>46206</v>
      </c>
      <c r="J100" t="inlineStr">
        <is>
          <t>Disetujui</t>
        </is>
      </c>
      <c r="K100" t="n">
        <v>30</v>
      </c>
      <c r="L100" t="inlineStr">
        <is>
          <t>3 Juli 2026</t>
        </is>
      </c>
      <c r="M100" t="inlineStr">
        <is>
          <t>Konstruksi Gedung Lainnya</t>
        </is>
      </c>
      <c r="N100" t="inlineStr">
        <is>
          <t>K</t>
        </is>
      </c>
      <c r="O100" t="inlineStr">
        <is>
          <t>20230403</t>
        </is>
      </c>
      <c r="P100" t="inlineStr">
        <is>
          <t>Riau</t>
        </is>
      </c>
      <c r="Q100" t="inlineStr"/>
    </row>
    <row r="101">
      <c r="A101" t="inlineStr">
        <is>
          <t>MASTER KARYA PAPUA</t>
        </is>
      </c>
      <c r="B101" t="inlineStr">
        <is>
          <t>Kota Jayapura</t>
        </is>
      </c>
      <c r="C101" t="inlineStr">
        <is>
          <t>0</t>
        </is>
      </c>
      <c r="D101" t="inlineStr">
        <is>
          <t>cvmkpapua@gmail.com</t>
        </is>
      </c>
      <c r="E101" t="inlineStr">
        <is>
          <t>https://lpjk.pu.go.id/search-badan-usaha-detail/d1Y2VTc5VUdKUVl2REZhbTg0RnBNZz09</t>
        </is>
      </c>
      <c r="F101" t="n">
        <v>1</v>
      </c>
      <c r="G101" t="inlineStr">
        <is>
          <t>BS010</t>
        </is>
      </c>
      <c r="H101" t="inlineStr">
        <is>
          <t>25 Januari 2023</t>
        </is>
      </c>
      <c r="I101" s="2" t="n">
        <v>46206</v>
      </c>
      <c r="J101" t="inlineStr">
        <is>
          <t>Pencabutan</t>
        </is>
      </c>
      <c r="K101" t="n">
        <v>30</v>
      </c>
      <c r="L101" t="inlineStr">
        <is>
          <t>3 Juli 2026</t>
        </is>
      </c>
      <c r="M101" t="inlineStr">
        <is>
          <t>Konstruksi Bangunan Prasarana Sumber Daya Air</t>
        </is>
      </c>
      <c r="N101" t="inlineStr">
        <is>
          <t>K</t>
        </is>
      </c>
      <c r="O101" t="inlineStr">
        <is>
          <t>20230626</t>
        </is>
      </c>
      <c r="P101" t="inlineStr">
        <is>
          <t>Papua</t>
        </is>
      </c>
      <c r="Q101" t="inlineStr"/>
    </row>
    <row r="102">
      <c r="A102" t="inlineStr">
        <is>
          <t>MEGA BINTANG SUMATERA</t>
        </is>
      </c>
      <c r="B102" t="inlineStr">
        <is>
          <t>Kota Pekanbaru</t>
        </is>
      </c>
      <c r="C102" t="inlineStr">
        <is>
          <t>081260199262</t>
        </is>
      </c>
      <c r="D102" t="inlineStr">
        <is>
          <t>Kharisma.buana@yahoo.com</t>
        </is>
      </c>
      <c r="E102" t="inlineStr">
        <is>
          <t>https://lpjk.pu.go.id/search-badan-usaha-detail/cnNHOE1rbWpFckovZUNnaks2dU9jQT09</t>
        </is>
      </c>
      <c r="F102" t="n">
        <v>1</v>
      </c>
      <c r="G102" t="inlineStr">
        <is>
          <t>PL003</t>
        </is>
      </c>
      <c r="H102" t="inlineStr">
        <is>
          <t>12 Mei 2017</t>
        </is>
      </c>
      <c r="I102" s="2" t="n">
        <v>46206</v>
      </c>
      <c r="J102" t="inlineStr">
        <is>
          <t>Pembekuan</t>
        </is>
      </c>
      <c r="K102" t="n">
        <v>30</v>
      </c>
      <c r="L102" t="inlineStr">
        <is>
          <t>3 Juli 2026</t>
        </is>
      </c>
      <c r="M102" t="inlineStr">
        <is>
          <t>Penyiapan Lahan Konstruksi</t>
        </is>
      </c>
      <c r="N102" t="inlineStr">
        <is>
          <t>Spesialis</t>
        </is>
      </c>
      <c r="O102" t="inlineStr">
        <is>
          <t>20230626</t>
        </is>
      </c>
      <c r="P102" t="inlineStr">
        <is>
          <t>Riau</t>
        </is>
      </c>
      <c r="Q102" t="inlineStr"/>
    </row>
    <row r="103">
      <c r="A103" t="inlineStr">
        <is>
          <t>MEGAH PRATAMA MULIA</t>
        </is>
      </c>
      <c r="B103" t="inlineStr">
        <is>
          <t>Kab. Boyolali</t>
        </is>
      </c>
      <c r="C103" t="inlineStr">
        <is>
          <t>081322373127</t>
        </is>
      </c>
      <c r="D103" t="inlineStr">
        <is>
          <t>megahpratamacv@gmail.com</t>
        </is>
      </c>
      <c r="E103" t="inlineStr">
        <is>
          <t>https://lpjk.pu.go.id/search-badan-usaha-detail/Skd4VDF3V0xCZDhmTzFJWmcyM2UvQT09</t>
        </is>
      </c>
      <c r="F103" t="n">
        <v>4</v>
      </c>
      <c r="G103" t="inlineStr">
        <is>
          <t>BS002, BS004</t>
        </is>
      </c>
      <c r="H103" t="inlineStr">
        <is>
          <t>28 Desember 1995</t>
        </is>
      </c>
      <c r="I103" s="2" t="n">
        <v>46206</v>
      </c>
      <c r="J103" t="inlineStr">
        <is>
          <t>Disetujui</t>
        </is>
      </c>
      <c r="K103" t="n">
        <v>30</v>
      </c>
      <c r="L103" t="inlineStr">
        <is>
          <t>3 Juli 2026</t>
        </is>
      </c>
      <c r="M103" t="inlineStr">
        <is>
          <t>Bangunan Sipil Jembatan, Jalan Layang, Fly Over, dan Underpass, Konstruksi Jaringan Irigasi dan Drainase</t>
        </is>
      </c>
      <c r="N103" t="inlineStr">
        <is>
          <t>K</t>
        </is>
      </c>
      <c r="O103" t="inlineStr">
        <is>
          <t>20230609</t>
        </is>
      </c>
      <c r="P103" t="inlineStr">
        <is>
          <t>Jawa Tengah</t>
        </is>
      </c>
      <c r="Q103" t="inlineStr"/>
    </row>
    <row r="104">
      <c r="A104" t="inlineStr">
        <is>
          <t>MERAH PUTIH</t>
        </is>
      </c>
      <c r="B104" t="inlineStr">
        <is>
          <t>Kab. Asahan</t>
        </is>
      </c>
      <c r="C104" t="inlineStr">
        <is>
          <t>081221268899</t>
        </is>
      </c>
      <c r="D104" t="inlineStr">
        <is>
          <t>cv.merahputihasahan@gmail.com</t>
        </is>
      </c>
      <c r="E104" t="inlineStr">
        <is>
          <t>https://lpjk.pu.go.id/search-badan-usaha-detail/ZGxobHRsSDVBU3JjKzJLd1hzZVhRZz09</t>
        </is>
      </c>
      <c r="F104" t="n">
        <v>2</v>
      </c>
      <c r="G104" t="inlineStr">
        <is>
          <t>BG009, BS004</t>
        </is>
      </c>
      <c r="H104" t="inlineStr">
        <is>
          <t>13 Juli 2010</t>
        </is>
      </c>
      <c r="I104" s="2" t="n">
        <v>46206</v>
      </c>
      <c r="J104" t="inlineStr">
        <is>
          <t>Pencabutan</t>
        </is>
      </c>
      <c r="K104" t="n">
        <v>30</v>
      </c>
      <c r="L104" t="inlineStr">
        <is>
          <t>3 Juli 2026</t>
        </is>
      </c>
      <c r="M104" t="inlineStr">
        <is>
          <t>Konstruksi Gedung Lainnya, Konstruksi Jaringan Irigasi dan Drainase</t>
        </is>
      </c>
      <c r="N104" t="inlineStr">
        <is>
          <t>K</t>
        </is>
      </c>
      <c r="O104" t="inlineStr">
        <is>
          <t>20230628</t>
        </is>
      </c>
      <c r="P104" t="inlineStr">
        <is>
          <t>Sumatera Utara</t>
        </is>
      </c>
      <c r="Q104" t="inlineStr"/>
    </row>
    <row r="105">
      <c r="A105" t="inlineStr">
        <is>
          <t>MITRA KERJA</t>
        </is>
      </c>
      <c r="B105" t="inlineStr">
        <is>
          <t>Kab. Pahuwato</t>
        </is>
      </c>
      <c r="C105" t="inlineStr">
        <is>
          <t>081244051666</t>
        </is>
      </c>
      <c r="D105" t="inlineStr">
        <is>
          <t>cv.mitrakerja86@gmail.com</t>
        </is>
      </c>
      <c r="E105" t="inlineStr">
        <is>
          <t>https://lpjk.pu.go.id/search-badan-usaha-detail/dyt0SXplRWVjWGZwSFRoc3dNZVIvQT09</t>
        </is>
      </c>
      <c r="F105" t="n">
        <v>1</v>
      </c>
      <c r="G105" t="inlineStr">
        <is>
          <t>BS002</t>
        </is>
      </c>
      <c r="H105" t="inlineStr">
        <is>
          <t>13 Januari 2020</t>
        </is>
      </c>
      <c r="I105" s="2" t="n">
        <v>46206</v>
      </c>
      <c r="J105" t="inlineStr">
        <is>
          <t>Disetujui</t>
        </is>
      </c>
      <c r="K105" t="n">
        <v>30</v>
      </c>
      <c r="L105" t="inlineStr">
        <is>
          <t>3 Juli 2026</t>
        </is>
      </c>
      <c r="M105" t="inlineStr">
        <is>
          <t>Bangunan Sipil Jembatan, Jalan Layang, Fly Over, dan Underpass</t>
        </is>
      </c>
      <c r="N105" t="inlineStr">
        <is>
          <t>K</t>
        </is>
      </c>
      <c r="O105" t="inlineStr">
        <is>
          <t>20230703</t>
        </is>
      </c>
      <c r="P105" t="inlineStr">
        <is>
          <t>Gorontalo</t>
        </is>
      </c>
      <c r="Q105" t="inlineStr"/>
    </row>
    <row r="106">
      <c r="A106" t="inlineStr">
        <is>
          <t>MITRA MAKMUR</t>
        </is>
      </c>
      <c r="B106" t="inlineStr">
        <is>
          <t>Kab. Banyuwangi</t>
        </is>
      </c>
      <c r="C106" t="inlineStr">
        <is>
          <t>082234514757</t>
        </is>
      </c>
      <c r="D106" t="inlineStr">
        <is>
          <t>cv.mitramakmur2016@gmail.com</t>
        </is>
      </c>
      <c r="E106" t="inlineStr">
        <is>
          <t>https://lpjk.pu.go.id/search-badan-usaha-detail/U0dYdFZIeUNvbWRTT1RoWTF3TTFuZz09</t>
        </is>
      </c>
      <c r="F106" t="n">
        <v>1</v>
      </c>
      <c r="G106" t="inlineStr">
        <is>
          <t>BG005</t>
        </is>
      </c>
      <c r="H106" t="inlineStr">
        <is>
          <t>6 Oktober 2014</t>
        </is>
      </c>
      <c r="I106" s="2" t="n">
        <v>46206</v>
      </c>
      <c r="J106" t="inlineStr">
        <is>
          <t>Pencabutan</t>
        </is>
      </c>
      <c r="K106" t="n">
        <v>30</v>
      </c>
      <c r="L106" t="inlineStr">
        <is>
          <t>3 Juli 2026</t>
        </is>
      </c>
      <c r="M106" t="inlineStr">
        <is>
          <t>Konstruksi Gedung Kesehatan</t>
        </is>
      </c>
      <c r="N106" t="inlineStr">
        <is>
          <t>K</t>
        </is>
      </c>
      <c r="O106" t="inlineStr">
        <is>
          <t>20230704</t>
        </is>
      </c>
      <c r="P106" t="inlineStr">
        <is>
          <t>Jawa Timur</t>
        </is>
      </c>
      <c r="Q106" t="inlineStr"/>
    </row>
    <row r="107">
      <c r="A107" t="inlineStr">
        <is>
          <t>MITRA MEDIA GEMILANG</t>
        </is>
      </c>
      <c r="B107" t="inlineStr">
        <is>
          <t>Kab. Malang</t>
        </is>
      </c>
      <c r="C107" t="inlineStr">
        <is>
          <t>081259607451</t>
        </is>
      </c>
      <c r="D107" t="inlineStr">
        <is>
          <t>mitramg12@gmail.com</t>
        </is>
      </c>
      <c r="E107" t="inlineStr">
        <is>
          <t>https://lpjk.pu.go.id/search-badan-usaha-detail/czhXS2VxaGVzUmN0WEx6NkFSdU12QT09</t>
        </is>
      </c>
      <c r="F107" t="n">
        <v>1</v>
      </c>
      <c r="G107" t="inlineStr">
        <is>
          <t>BS004</t>
        </is>
      </c>
      <c r="H107" t="inlineStr">
        <is>
          <t>24 November 2009</t>
        </is>
      </c>
      <c r="I107" s="2" t="n">
        <v>46206</v>
      </c>
      <c r="J107" t="inlineStr">
        <is>
          <t>Disetujui</t>
        </is>
      </c>
      <c r="K107" t="n">
        <v>30</v>
      </c>
      <c r="L107" t="inlineStr">
        <is>
          <t>3 Juli 2026</t>
        </is>
      </c>
      <c r="M107" t="inlineStr">
        <is>
          <t>Konstruksi Jaringan Irigasi dan Drainase</t>
        </is>
      </c>
      <c r="N107" t="inlineStr">
        <is>
          <t>K</t>
        </is>
      </c>
      <c r="O107" t="inlineStr">
        <is>
          <t>20230703</t>
        </is>
      </c>
      <c r="P107" t="inlineStr">
        <is>
          <t>Jawa Timur</t>
        </is>
      </c>
      <c r="Q107" t="inlineStr"/>
    </row>
    <row r="108">
      <c r="A108" t="inlineStr">
        <is>
          <t>MULTI AHRINDO</t>
        </is>
      </c>
      <c r="B108" t="inlineStr">
        <is>
          <t>Kota Surabaya</t>
        </is>
      </c>
      <c r="C108" t="inlineStr">
        <is>
          <t>085706919070</t>
        </is>
      </c>
      <c r="D108" t="inlineStr">
        <is>
          <t>Luluk.mutrofin3@gmail.com</t>
        </is>
      </c>
      <c r="E108" t="inlineStr">
        <is>
          <t>https://lpjk.pu.go.id/search-badan-usaha-detail/NVFSRS9EeDlibW9nOG8wc2UraTdrZz09</t>
        </is>
      </c>
      <c r="F108" t="n">
        <v>1</v>
      </c>
      <c r="G108" t="inlineStr">
        <is>
          <t>BG001</t>
        </is>
      </c>
      <c r="H108" t="inlineStr">
        <is>
          <t>17 Juli 1990</t>
        </is>
      </c>
      <c r="I108" s="2" t="n">
        <v>46206</v>
      </c>
      <c r="J108" t="inlineStr">
        <is>
          <t>Disetujui</t>
        </is>
      </c>
      <c r="K108" t="n">
        <v>30</v>
      </c>
      <c r="L108" t="inlineStr">
        <is>
          <t>3 Juli 2026</t>
        </is>
      </c>
      <c r="M108" t="inlineStr">
        <is>
          <t>Konstruksi Gedung Hunian</t>
        </is>
      </c>
      <c r="N108" t="inlineStr">
        <is>
          <t>K</t>
        </is>
      </c>
      <c r="O108" t="inlineStr">
        <is>
          <t>20230626</t>
        </is>
      </c>
      <c r="P108" t="inlineStr">
        <is>
          <t>Jawa Timur</t>
        </is>
      </c>
      <c r="Q108" t="inlineStr"/>
    </row>
    <row r="109">
      <c r="A109" t="inlineStr">
        <is>
          <t>MULYA JAYA</t>
        </is>
      </c>
      <c r="B109" t="inlineStr">
        <is>
          <t>Kab. Wonosobo</t>
        </is>
      </c>
      <c r="C109" t="inlineStr">
        <is>
          <t>082225287007</t>
        </is>
      </c>
      <c r="D109" t="inlineStr">
        <is>
          <t>cvmulyajaya1@gmail.com</t>
        </is>
      </c>
      <c r="E109" t="inlineStr">
        <is>
          <t>https://lpjk.pu.go.id/search-badan-usaha-detail/N25tcUxGTzloVXBDM2d6SHdvNXVndz09</t>
        </is>
      </c>
      <c r="F109" t="n">
        <v>4</v>
      </c>
      <c r="G109" t="inlineStr">
        <is>
          <t>BG002, BG005, BG006, BG008</t>
        </is>
      </c>
      <c r="H109" t="inlineStr">
        <is>
          <t>16 Januari 2003</t>
        </is>
      </c>
      <c r="I109" s="2" t="n">
        <v>46206</v>
      </c>
      <c r="J109" t="inlineStr">
        <is>
          <t>Disetujui</t>
        </is>
      </c>
      <c r="K109" t="n">
        <v>30</v>
      </c>
      <c r="L109" t="inlineStr">
        <is>
          <t>3 Juli 2026</t>
        </is>
      </c>
      <c r="M109" t="inlineStr">
        <is>
          <t>Konstruksi Gedung Kesehatan, Konstruksi Gedung Pendidikan, Konstruksi Gedung Perkantoran, Konstruksi Gedung Tempat Hiburan dan Olahraga</t>
        </is>
      </c>
      <c r="N109" t="inlineStr">
        <is>
          <t>K</t>
        </is>
      </c>
      <c r="O109" t="inlineStr">
        <is>
          <t>20230626</t>
        </is>
      </c>
      <c r="P109" t="inlineStr">
        <is>
          <t>Jawa Tengah</t>
        </is>
      </c>
      <c r="Q109" t="inlineStr"/>
    </row>
    <row r="110">
      <c r="A110" t="inlineStr">
        <is>
          <t>MULYA REZEKI</t>
        </is>
      </c>
      <c r="B110" t="inlineStr">
        <is>
          <t>Kab. Tasikmalaya</t>
        </is>
      </c>
      <c r="C110" t="inlineStr">
        <is>
          <t>082115272392</t>
        </is>
      </c>
      <c r="D110" t="inlineStr">
        <is>
          <t>cvmulyarezeki@gmail.com</t>
        </is>
      </c>
      <c r="E110" t="inlineStr">
        <is>
          <t>https://lpjk.pu.go.id/search-badan-usaha-detail/RHRZV3RVbUllQ2QzNzJadnBaQkJNZz09</t>
        </is>
      </c>
      <c r="F110" t="n">
        <v>1</v>
      </c>
      <c r="G110" t="inlineStr">
        <is>
          <t>BS005</t>
        </is>
      </c>
      <c r="H110" t="inlineStr">
        <is>
          <t>31 Januari 2022</t>
        </is>
      </c>
      <c r="I110" s="2" t="n">
        <v>46206</v>
      </c>
      <c r="J110" t="inlineStr">
        <is>
          <t>Disetujui</t>
        </is>
      </c>
      <c r="K110" t="n">
        <v>30</v>
      </c>
      <c r="L110" t="inlineStr">
        <is>
          <t>3 Juli 2026</t>
        </is>
      </c>
      <c r="M110" t="inlineStr">
        <is>
          <t>Konstruksi Bangunan Sipil Pengolahan Air Bersih</t>
        </is>
      </c>
      <c r="N110" t="inlineStr">
        <is>
          <t>K</t>
        </is>
      </c>
      <c r="O110" t="inlineStr">
        <is>
          <t>20230627</t>
        </is>
      </c>
      <c r="P110" t="inlineStr">
        <is>
          <t>Jawa Barat</t>
        </is>
      </c>
      <c r="Q110" t="inlineStr"/>
    </row>
    <row r="111">
      <c r="A111" t="inlineStr">
        <is>
          <t>MURAI INDAH</t>
        </is>
      </c>
      <c r="B111" t="inlineStr">
        <is>
          <t>Kab. Majalengka</t>
        </is>
      </c>
      <c r="C111" t="inlineStr">
        <is>
          <t>082316547561</t>
        </is>
      </c>
      <c r="D111" t="inlineStr">
        <is>
          <t>denyapunk68@gmail.com</t>
        </is>
      </c>
      <c r="E111" t="inlineStr">
        <is>
          <t>https://lpjk.pu.go.id/search-badan-usaha-detail/Mko2MDhiSndZNWxFQlRCN1g1anl2Zz09</t>
        </is>
      </c>
      <c r="F111" t="n">
        <v>2</v>
      </c>
      <c r="G111" t="inlineStr">
        <is>
          <t>BG009</t>
        </is>
      </c>
      <c r="H111" t="inlineStr">
        <is>
          <t>24 Agustus 1990</t>
        </is>
      </c>
      <c r="I111" s="2" t="n">
        <v>46206</v>
      </c>
      <c r="J111" t="inlineStr">
        <is>
          <t>Disetujui</t>
        </is>
      </c>
      <c r="K111" t="n">
        <v>30</v>
      </c>
      <c r="L111" t="inlineStr">
        <is>
          <t>3 Juli 2026</t>
        </is>
      </c>
      <c r="M111" t="inlineStr">
        <is>
          <t>Konstruksi Gedung Lainnya</t>
        </is>
      </c>
      <c r="N111" t="inlineStr">
        <is>
          <t>K</t>
        </is>
      </c>
      <c r="O111" t="inlineStr">
        <is>
          <t>20230626</t>
        </is>
      </c>
      <c r="P111" t="inlineStr">
        <is>
          <t>Jawa Barat</t>
        </is>
      </c>
      <c r="Q111" t="inlineStr"/>
    </row>
    <row r="112">
      <c r="A112" t="inlineStr">
        <is>
          <t>MUTIARA KARYA ABADI</t>
        </is>
      </c>
      <c r="B112" t="inlineStr">
        <is>
          <t>Kab. Garut</t>
        </is>
      </c>
      <c r="C112" t="inlineStr">
        <is>
          <t>085352834152</t>
        </is>
      </c>
      <c r="D112" t="inlineStr">
        <is>
          <t>cvmutiarakaryaabadi128@gmail.com</t>
        </is>
      </c>
      <c r="E112" t="inlineStr">
        <is>
          <t>https://lpjk.pu.go.id/search-badan-usaha-detail/Z1dGRE1aa2s1Tnlmc25UbFI4b2tSQT09</t>
        </is>
      </c>
      <c r="F112" t="n">
        <v>2</v>
      </c>
      <c r="G112" t="inlineStr">
        <is>
          <t>BS001</t>
        </is>
      </c>
      <c r="H112" t="inlineStr">
        <is>
          <t>31 Januari 2017</t>
        </is>
      </c>
      <c r="I112" s="2" t="n">
        <v>46206</v>
      </c>
      <c r="J112" t="inlineStr">
        <is>
          <t>Disetujui</t>
        </is>
      </c>
      <c r="K112" t="n">
        <v>30</v>
      </c>
      <c r="L112" t="inlineStr">
        <is>
          <t>3 Juli 2026</t>
        </is>
      </c>
      <c r="M112" t="inlineStr">
        <is>
          <t>Konstruksi Bangunan Sipil Jalan</t>
        </is>
      </c>
      <c r="N112" t="inlineStr">
        <is>
          <t>K</t>
        </is>
      </c>
      <c r="O112" t="inlineStr">
        <is>
          <t>20230627</t>
        </is>
      </c>
      <c r="P112" t="inlineStr">
        <is>
          <t>Jawa Barat</t>
        </is>
      </c>
      <c r="Q112" t="inlineStr"/>
    </row>
    <row r="113">
      <c r="A113" t="inlineStr">
        <is>
          <t>MUTIARA SULTAN</t>
        </is>
      </c>
      <c r="B113" t="inlineStr">
        <is>
          <t>Kota Cilegon</t>
        </is>
      </c>
      <c r="C113" t="inlineStr">
        <is>
          <t>087771097515</t>
        </is>
      </c>
      <c r="D113" t="inlineStr">
        <is>
          <t>cv.mutiarasultan@gmail.com</t>
        </is>
      </c>
      <c r="E113" t="inlineStr">
        <is>
          <t>https://lpjk.pu.go.id/search-badan-usaha-detail/b3A3emxkZm0vTERQWDlPQllGQ2ZRdz09</t>
        </is>
      </c>
      <c r="F113" t="n">
        <v>4</v>
      </c>
      <c r="G113" t="inlineStr">
        <is>
          <t>BG009, BS004</t>
        </is>
      </c>
      <c r="H113" t="inlineStr">
        <is>
          <t>11 Januari 2023</t>
        </is>
      </c>
      <c r="I113" s="2" t="n">
        <v>46206</v>
      </c>
      <c r="J113" t="inlineStr">
        <is>
          <t>Disetujui</t>
        </is>
      </c>
      <c r="K113" t="n">
        <v>30</v>
      </c>
      <c r="L113" t="inlineStr">
        <is>
          <t>3 Juli 2026</t>
        </is>
      </c>
      <c r="M113" t="inlineStr">
        <is>
          <t>Konstruksi Gedung Lainnya, Konstruksi Jaringan Irigasi dan Drainase</t>
        </is>
      </c>
      <c r="N113" t="inlineStr">
        <is>
          <t>K</t>
        </is>
      </c>
      <c r="O113" t="inlineStr">
        <is>
          <t>20230321, 20230703</t>
        </is>
      </c>
      <c r="P113" t="inlineStr">
        <is>
          <t>Banten</t>
        </is>
      </c>
      <c r="Q113" t="inlineStr"/>
    </row>
    <row r="114">
      <c r="A114" t="inlineStr">
        <is>
          <t>NANDA PUTRA</t>
        </is>
      </c>
      <c r="B114" t="inlineStr">
        <is>
          <t>Kab. Sambas</t>
        </is>
      </c>
      <c r="C114" t="inlineStr">
        <is>
          <t>089617701752</t>
        </is>
      </c>
      <c r="D114" t="inlineStr">
        <is>
          <t>cvnandaputra2022@gmail.com</t>
        </is>
      </c>
      <c r="E114" t="inlineStr">
        <is>
          <t>https://lpjk.pu.go.id/search-badan-usaha-detail/NStTVjAzaEVTb2U0Q2lxSDJrYnRKUT09</t>
        </is>
      </c>
      <c r="F114" t="n">
        <v>3</v>
      </c>
      <c r="G114" t="inlineStr">
        <is>
          <t>BG009, BS001, BS004</t>
        </is>
      </c>
      <c r="H114" t="inlineStr">
        <is>
          <t>6 Desember 2007</t>
        </is>
      </c>
      <c r="I114" s="2" t="n">
        <v>46206</v>
      </c>
      <c r="J114" t="inlineStr">
        <is>
          <t>Disetujui</t>
        </is>
      </c>
      <c r="K114" t="n">
        <v>30</v>
      </c>
      <c r="L114" t="inlineStr">
        <is>
          <t>3 Juli 2026</t>
        </is>
      </c>
      <c r="M114" t="inlineStr">
        <is>
          <t>Konstruksi Bangunan Sipil Jalan, Konstruksi Gedung Lainnya, Konstruksi Jaringan Irigasi dan Drainase</t>
        </is>
      </c>
      <c r="N114" t="inlineStr">
        <is>
          <t>K</t>
        </is>
      </c>
      <c r="O114" t="inlineStr">
        <is>
          <t>20230627, 20230703, 20230704</t>
        </is>
      </c>
      <c r="P114" t="inlineStr">
        <is>
          <t>Kalimantan Barat</t>
        </is>
      </c>
      <c r="Q114" t="inlineStr"/>
    </row>
    <row r="115">
      <c r="A115" t="inlineStr">
        <is>
          <t>NOVILI PUTRI</t>
        </is>
      </c>
      <c r="B115" t="inlineStr">
        <is>
          <t>Kab. Kapuas Hulu</t>
        </is>
      </c>
      <c r="C115" t="inlineStr">
        <is>
          <t>085245567116</t>
        </is>
      </c>
      <c r="D115" t="inlineStr">
        <is>
          <t>noviliputricv@yahoo.co.id</t>
        </is>
      </c>
      <c r="E115" t="inlineStr">
        <is>
          <t>https://lpjk.pu.go.id/search-badan-usaha-detail/WkRWTVlFVWNXcEs4eXFVNmcxK0hhZz09</t>
        </is>
      </c>
      <c r="F115" t="n">
        <v>2</v>
      </c>
      <c r="G115" t="inlineStr">
        <is>
          <t>BG002, BG005</t>
        </is>
      </c>
      <c r="H115" t="inlineStr">
        <is>
          <t>5 Juni 2002</t>
        </is>
      </c>
      <c r="I115" s="2" t="n">
        <v>46206</v>
      </c>
      <c r="J115" t="inlineStr">
        <is>
          <t>Disetujui</t>
        </is>
      </c>
      <c r="K115" t="n">
        <v>30</v>
      </c>
      <c r="L115" t="inlineStr">
        <is>
          <t>3 Juli 2026</t>
        </is>
      </c>
      <c r="M115" t="inlineStr">
        <is>
          <t>Konstruksi Gedung Kesehatan, Konstruksi Gedung Perkantoran</t>
        </is>
      </c>
      <c r="N115" t="inlineStr">
        <is>
          <t>K</t>
        </is>
      </c>
      <c r="O115" t="inlineStr">
        <is>
          <t>20230703</t>
        </is>
      </c>
      <c r="P115" t="inlineStr">
        <is>
          <t>Kalimantan Barat</t>
        </is>
      </c>
      <c r="Q115" t="inlineStr"/>
    </row>
    <row r="116">
      <c r="A116" t="inlineStr">
        <is>
          <t>NUGRAHA PERSADA UTAMA</t>
        </is>
      </c>
      <c r="B116" t="inlineStr">
        <is>
          <t>Kota Makassar</t>
        </is>
      </c>
      <c r="C116" t="inlineStr">
        <is>
          <t>081242349999</t>
        </is>
      </c>
      <c r="D116" t="inlineStr">
        <is>
          <t>cv.nugrahapersadautama@gmail.com</t>
        </is>
      </c>
      <c r="E116" t="inlineStr">
        <is>
          <t>https://lpjk.pu.go.id/search-badan-usaha-detail/eTQ4RG1kL2FHZ0xsOFQ4REZ3b29wdz09</t>
        </is>
      </c>
      <c r="F116" t="n">
        <v>2</v>
      </c>
      <c r="G116" t="inlineStr">
        <is>
          <t>BS001</t>
        </is>
      </c>
      <c r="H116" t="inlineStr">
        <is>
          <t>1 Juli 2021</t>
        </is>
      </c>
      <c r="I116" s="2" t="n">
        <v>46206</v>
      </c>
      <c r="J116" t="inlineStr">
        <is>
          <t>Pencabutan</t>
        </is>
      </c>
      <c r="K116" t="n">
        <v>30</v>
      </c>
      <c r="L116" t="inlineStr">
        <is>
          <t>3 Juli 2026</t>
        </is>
      </c>
      <c r="M116" t="inlineStr">
        <is>
          <t>Konstruksi Bangunan Sipil Jalan</t>
        </is>
      </c>
      <c r="N116" t="inlineStr">
        <is>
          <t>K</t>
        </is>
      </c>
      <c r="O116" t="inlineStr">
        <is>
          <t>20230509</t>
        </is>
      </c>
      <c r="P116" t="inlineStr">
        <is>
          <t>Sulawesi Selatan</t>
        </is>
      </c>
      <c r="Q116" t="inlineStr"/>
    </row>
    <row r="117">
      <c r="A117" t="inlineStr">
        <is>
          <t>PARTAYA BERKAH</t>
        </is>
      </c>
      <c r="B117" t="inlineStr">
        <is>
          <t>Kab. Ciamis</t>
        </is>
      </c>
      <c r="C117" t="inlineStr">
        <is>
          <t>0</t>
        </is>
      </c>
      <c r="D117" t="inlineStr">
        <is>
          <t>partayaberkah@gmail.com</t>
        </is>
      </c>
      <c r="E117" t="inlineStr">
        <is>
          <t>https://lpjk.pu.go.id/search-badan-usaha-detail/WWMxMDZadk9VZUFya1RwTlc2QktNQT09</t>
        </is>
      </c>
      <c r="F117" t="n">
        <v>2</v>
      </c>
      <c r="G117" t="inlineStr">
        <is>
          <t>BS001</t>
        </is>
      </c>
      <c r="H117" t="inlineStr">
        <is>
          <t>17 Februari 2020</t>
        </is>
      </c>
      <c r="I117" s="2" t="n">
        <v>46206</v>
      </c>
      <c r="J117" t="inlineStr">
        <is>
          <t>Disetujui</t>
        </is>
      </c>
      <c r="K117" t="n">
        <v>30</v>
      </c>
      <c r="L117" t="inlineStr">
        <is>
          <t>3 Juli 2026</t>
        </is>
      </c>
      <c r="M117" t="inlineStr">
        <is>
          <t>Konstruksi Bangunan Sipil Jalan</t>
        </is>
      </c>
      <c r="N117" t="inlineStr">
        <is>
          <t>K</t>
        </is>
      </c>
      <c r="O117" t="inlineStr">
        <is>
          <t>20230412</t>
        </is>
      </c>
      <c r="P117" t="inlineStr">
        <is>
          <t>Jawa Barat</t>
        </is>
      </c>
      <c r="Q117" t="inlineStr"/>
    </row>
    <row r="118">
      <c r="A118" t="inlineStr">
        <is>
          <t>PEGAWAI TELKOM PROBOLINGGO</t>
        </is>
      </c>
      <c r="B118" t="inlineStr">
        <is>
          <t>Kota Probolinggo</t>
        </is>
      </c>
      <c r="C118" t="inlineStr">
        <is>
          <t>082302149734</t>
        </is>
      </c>
      <c r="D118" t="inlineStr">
        <is>
          <t>slamet.ptp1979@gmail.com</t>
        </is>
      </c>
      <c r="E118" t="inlineStr">
        <is>
          <t>https://lpjk.pu.go.id/search-badan-usaha-detail/NWJyOHFmanViT2ZrMHZ6VktvdXpyQT09</t>
        </is>
      </c>
      <c r="F118" t="n">
        <v>1</v>
      </c>
      <c r="G118" t="inlineStr">
        <is>
          <t>BS009</t>
        </is>
      </c>
      <c r="H118" t="inlineStr">
        <is>
          <t>6 April 2016</t>
        </is>
      </c>
      <c r="I118" s="2" t="n">
        <v>46206</v>
      </c>
      <c r="J118" t="inlineStr">
        <is>
          <t>Disetujui</t>
        </is>
      </c>
      <c r="K118" t="n">
        <v>30</v>
      </c>
      <c r="L118" t="inlineStr">
        <is>
          <t>3 Juli 2026</t>
        </is>
      </c>
      <c r="M118" t="inlineStr">
        <is>
          <t>Konstruksi Sentral Telekomunikasi</t>
        </is>
      </c>
      <c r="N118" t="inlineStr">
        <is>
          <t>K</t>
        </is>
      </c>
      <c r="O118" t="inlineStr">
        <is>
          <t>20230628</t>
        </is>
      </c>
      <c r="P118" t="inlineStr">
        <is>
          <t>Jawa Timur</t>
        </is>
      </c>
      <c r="Q118" t="inlineStr"/>
    </row>
    <row r="119">
      <c r="A119" t="inlineStr">
        <is>
          <t>PERDANA KHATULISTIWA</t>
        </is>
      </c>
      <c r="B119" t="inlineStr">
        <is>
          <t>Kota Palu</t>
        </is>
      </c>
      <c r="C119" t="inlineStr">
        <is>
          <t>081354377365</t>
        </is>
      </c>
      <c r="D119" t="inlineStr">
        <is>
          <t>pdkhatulistiwa@yahoo.com</t>
        </is>
      </c>
      <c r="E119" t="inlineStr">
        <is>
          <t>https://lpjk.pu.go.id/search-badan-usaha-detail/RGlKVkxnc1FuOTRocXBCcjVHMkNjUT09</t>
        </is>
      </c>
      <c r="F119" t="n">
        <v>4</v>
      </c>
      <c r="G119" t="inlineStr">
        <is>
          <t>BG001, BG002, BG005, BG006</t>
        </is>
      </c>
      <c r="H119" t="inlineStr">
        <is>
          <t>22 Desember 2020</t>
        </is>
      </c>
      <c r="I119" s="2" t="n">
        <v>46206</v>
      </c>
      <c r="J119" t="inlineStr">
        <is>
          <t>Disetujui</t>
        </is>
      </c>
      <c r="K119" t="n">
        <v>30</v>
      </c>
      <c r="L119" t="inlineStr">
        <is>
          <t>3 Juli 2026</t>
        </is>
      </c>
      <c r="M119" t="inlineStr">
        <is>
          <t>Konstruksi Gedung Hunian, Konstruksi Gedung Kesehatan, Konstruksi Gedung Pendidikan, Konstruksi Gedung Perkantoran</t>
        </is>
      </c>
      <c r="N119" t="inlineStr">
        <is>
          <t>K</t>
        </is>
      </c>
      <c r="O119" t="inlineStr">
        <is>
          <t>20230626</t>
        </is>
      </c>
      <c r="P119" t="inlineStr">
        <is>
          <t>Sulawesi Tengah</t>
        </is>
      </c>
      <c r="Q119" t="inlineStr"/>
    </row>
    <row r="120">
      <c r="A120" t="inlineStr">
        <is>
          <t>PERWIRA KREASINDO</t>
        </is>
      </c>
      <c r="B120" t="inlineStr">
        <is>
          <t>Kab. Cirebon</t>
        </is>
      </c>
      <c r="C120" t="inlineStr">
        <is>
          <t>081394218651</t>
        </is>
      </c>
      <c r="D120" t="inlineStr">
        <is>
          <t>perwirakreasindo@gmail.com</t>
        </is>
      </c>
      <c r="E120" t="inlineStr">
        <is>
          <t>https://lpjk.pu.go.id/search-badan-usaha-detail/N0U5dlplSEI3bFQ5TmJSTWFYUTh0QT09</t>
        </is>
      </c>
      <c r="F120" t="n">
        <v>1</v>
      </c>
      <c r="G120" t="inlineStr">
        <is>
          <t>AR001</t>
        </is>
      </c>
      <c r="H120" t="inlineStr">
        <is>
          <t>9 Juni 2023</t>
        </is>
      </c>
      <c r="I120" s="2" t="n">
        <v>46206</v>
      </c>
      <c r="J120" t="inlineStr">
        <is>
          <t>Disetujui</t>
        </is>
      </c>
      <c r="K120" t="n">
        <v>30</v>
      </c>
      <c r="L120" t="inlineStr">
        <is>
          <t>3 Juli 2026</t>
        </is>
      </c>
      <c r="M120" t="inlineStr">
        <is>
          <t>Jasa Arsitektural Bangunan Gedung Hunian dan Non Hunian</t>
        </is>
      </c>
      <c r="N120" t="inlineStr">
        <is>
          <t>K</t>
        </is>
      </c>
      <c r="O120" t="inlineStr">
        <is>
          <t>20230527</t>
        </is>
      </c>
      <c r="P120" t="inlineStr">
        <is>
          <t>Jawa Barat</t>
        </is>
      </c>
      <c r="Q120" t="inlineStr"/>
    </row>
    <row r="121">
      <c r="A121" t="inlineStr">
        <is>
          <t>PILAR PERMATA ABADI</t>
        </is>
      </c>
      <c r="B121" t="inlineStr">
        <is>
          <t>Kota Pontianak</t>
        </is>
      </c>
      <c r="C121" t="inlineStr">
        <is>
          <t>082157880958</t>
        </is>
      </c>
      <c r="D121" t="inlineStr">
        <is>
          <t>cv.ppa.2020@gmail.com</t>
        </is>
      </c>
      <c r="E121" t="inlineStr">
        <is>
          <t>https://lpjk.pu.go.id/search-badan-usaha-detail/cElGTHY3ODVmeVBtU0hnL2hLaFVTQT09</t>
        </is>
      </c>
      <c r="F121" t="n">
        <v>5</v>
      </c>
      <c r="G121" t="inlineStr">
        <is>
          <t>BG002, BG005, BG009, BS001, BS002</t>
        </is>
      </c>
      <c r="H121" t="inlineStr">
        <is>
          <t>7 Januari 2020</t>
        </is>
      </c>
      <c r="I121" s="2" t="n">
        <v>46206</v>
      </c>
      <c r="J121" t="inlineStr">
        <is>
          <t>Disetujui</t>
        </is>
      </c>
      <c r="K121" t="n">
        <v>30</v>
      </c>
      <c r="L121" t="inlineStr">
        <is>
          <t>3 Juli 2026</t>
        </is>
      </c>
      <c r="M121" t="inlineStr">
        <is>
          <t>Bangunan Sipil Jembatan, Jalan Layang, Fly Over, dan Underpass, Konstruksi Bangunan Sipil Jalan, Konstruksi Gedung Kesehatan, Konstruksi Gedung Lainnya, Konstruksi Gedung Perkantoran</t>
        </is>
      </c>
      <c r="N121" t="inlineStr">
        <is>
          <t>K</t>
        </is>
      </c>
      <c r="O121" t="inlineStr">
        <is>
          <t>20230630</t>
        </is>
      </c>
      <c r="P121" t="inlineStr">
        <is>
          <t>Kalimantan Barat</t>
        </is>
      </c>
      <c r="Q121" t="inlineStr"/>
    </row>
    <row r="122">
      <c r="A122" t="inlineStr">
        <is>
          <t>PIRAMIDHA</t>
        </is>
      </c>
      <c r="B122" t="inlineStr">
        <is>
          <t>Kab. Kediri</t>
        </is>
      </c>
      <c r="C122" t="inlineStr">
        <is>
          <t>085736589539</t>
        </is>
      </c>
      <c r="D122" t="inlineStr">
        <is>
          <t>piramidha.2011@gmail.com</t>
        </is>
      </c>
      <c r="E122" t="inlineStr">
        <is>
          <t>https://lpjk.pu.go.id/search-badan-usaha-detail/Sk1lcWdyT2tDYVZGUVN5T0QwMDVKdz09</t>
        </is>
      </c>
      <c r="F122" t="n">
        <v>2</v>
      </c>
      <c r="G122" t="inlineStr">
        <is>
          <t>BG002, BG006</t>
        </is>
      </c>
      <c r="H122" t="inlineStr">
        <is>
          <t>21 Juli 2009</t>
        </is>
      </c>
      <c r="I122" s="2" t="n">
        <v>46206</v>
      </c>
      <c r="J122" t="inlineStr">
        <is>
          <t>Disetujui</t>
        </is>
      </c>
      <c r="K122" t="n">
        <v>30</v>
      </c>
      <c r="L122" t="inlineStr">
        <is>
          <t>3 Juli 2026</t>
        </is>
      </c>
      <c r="M122" t="inlineStr">
        <is>
          <t>Konstruksi Gedung Pendidikan, Konstruksi Gedung Perkantoran</t>
        </is>
      </c>
      <c r="N122" t="inlineStr">
        <is>
          <t>K</t>
        </is>
      </c>
      <c r="O122" t="inlineStr">
        <is>
          <t>20230623</t>
        </is>
      </c>
      <c r="P122" t="inlineStr">
        <is>
          <t>Jawa Timur</t>
        </is>
      </c>
      <c r="Q122" t="inlineStr"/>
    </row>
    <row r="123">
      <c r="A123" t="inlineStr">
        <is>
          <t>PRADIPTA PUTRA MANDIRI</t>
        </is>
      </c>
      <c r="B123" t="inlineStr">
        <is>
          <t>Kota Pekalongan</t>
        </is>
      </c>
      <c r="C123" t="inlineStr">
        <is>
          <t>085601752740</t>
        </is>
      </c>
      <c r="D123" t="inlineStr">
        <is>
          <t>pradiptaputramandiri@gmail.com</t>
        </is>
      </c>
      <c r="E123" t="inlineStr">
        <is>
          <t>https://lpjk.pu.go.id/search-badan-usaha-detail/ajJDWmVrUGZTZU1wcWw5NVlLWjVOdz09</t>
        </is>
      </c>
      <c r="F123" t="n">
        <v>2</v>
      </c>
      <c r="G123" t="inlineStr">
        <is>
          <t>BS001, BS004</t>
        </is>
      </c>
      <c r="H123" t="inlineStr">
        <is>
          <t>9 Februari 2023</t>
        </is>
      </c>
      <c r="I123" s="2" t="n">
        <v>46206</v>
      </c>
      <c r="J123" t="inlineStr">
        <is>
          <t>Disetujui</t>
        </is>
      </c>
      <c r="K123" t="n">
        <v>30</v>
      </c>
      <c r="L123" t="inlineStr">
        <is>
          <t>3 Juli 2026</t>
        </is>
      </c>
      <c r="M123" t="inlineStr">
        <is>
          <t>Konstruksi Bangunan Sipil Jalan, Konstruksi Jaringan Irigasi dan Drainase</t>
        </is>
      </c>
      <c r="N123" t="inlineStr">
        <is>
          <t>K</t>
        </is>
      </c>
      <c r="O123" t="inlineStr">
        <is>
          <t>20230627</t>
        </is>
      </c>
      <c r="P123" t="inlineStr">
        <is>
          <t>Jawa Tengah</t>
        </is>
      </c>
      <c r="Q123" t="inlineStr"/>
    </row>
    <row r="124">
      <c r="A124" t="inlineStr">
        <is>
          <t>PRATAMA KONSTRUKSI</t>
        </is>
      </c>
      <c r="B124" t="inlineStr">
        <is>
          <t>Kab. Gowa</t>
        </is>
      </c>
      <c r="C124" t="inlineStr">
        <is>
          <t>085397770691</t>
        </is>
      </c>
      <c r="D124" t="inlineStr">
        <is>
          <t>cv.pratamakonstruksi@gmail.com</t>
        </is>
      </c>
      <c r="E124" t="inlineStr">
        <is>
          <t>https://lpjk.pu.go.id/search-badan-usaha-detail/Z1VVUXBDbXFMOVJrNnJlUmF4WWl4Zz09</t>
        </is>
      </c>
      <c r="F124" t="n">
        <v>1</v>
      </c>
      <c r="G124" t="inlineStr">
        <is>
          <t>BS001</t>
        </is>
      </c>
      <c r="H124" t="inlineStr">
        <is>
          <t>30 Juni 2015</t>
        </is>
      </c>
      <c r="I124" s="2" t="n">
        <v>46206</v>
      </c>
      <c r="J124" t="inlineStr">
        <is>
          <t>Disetujui</t>
        </is>
      </c>
      <c r="K124" t="n">
        <v>30</v>
      </c>
      <c r="L124" t="inlineStr">
        <is>
          <t>3 Juli 2026</t>
        </is>
      </c>
      <c r="M124" t="inlineStr">
        <is>
          <t>Konstruksi Bangunan Sipil Jalan</t>
        </is>
      </c>
      <c r="N124" t="inlineStr">
        <is>
          <t>K</t>
        </is>
      </c>
      <c r="O124" t="inlineStr">
        <is>
          <t>20230621</t>
        </is>
      </c>
      <c r="P124" t="inlineStr">
        <is>
          <t>Sulawesi Selatan</t>
        </is>
      </c>
      <c r="Q124" t="inlineStr"/>
    </row>
    <row r="125">
      <c r="A125" t="inlineStr">
        <is>
          <t>PRIMA MANDIRI</t>
        </is>
      </c>
      <c r="B125" t="inlineStr">
        <is>
          <t>Kota Medan</t>
        </is>
      </c>
      <c r="C125" t="inlineStr">
        <is>
          <t>085262237315</t>
        </is>
      </c>
      <c r="D125" t="inlineStr">
        <is>
          <t>cv.primamandiri2023@gmail.com</t>
        </is>
      </c>
      <c r="E125" t="inlineStr">
        <is>
          <t>https://lpjk.pu.go.id/search-badan-usaha-detail/YTZoUHRLVEVMQU5nUEx5NVdFNExCZz09</t>
        </is>
      </c>
      <c r="F125" t="n">
        <v>1</v>
      </c>
      <c r="G125" t="inlineStr">
        <is>
          <t>IN004</t>
        </is>
      </c>
      <c r="H125" t="inlineStr">
        <is>
          <t>19 Januari 2016</t>
        </is>
      </c>
      <c r="I125" s="2" t="n">
        <v>46206</v>
      </c>
      <c r="J125" t="inlineStr">
        <is>
          <t>Pencabutan</t>
        </is>
      </c>
      <c r="K125" t="n">
        <v>30</v>
      </c>
      <c r="L125" t="inlineStr">
        <is>
          <t>3 Juli 2026</t>
        </is>
      </c>
      <c r="M125" t="inlineStr">
        <is>
          <t>Instalasi Minyak dan Gas</t>
        </is>
      </c>
      <c r="N125" t="inlineStr">
        <is>
          <t>Spesialis</t>
        </is>
      </c>
      <c r="O125" t="inlineStr">
        <is>
          <t>20230703</t>
        </is>
      </c>
      <c r="P125" t="inlineStr">
        <is>
          <t>Sumatera Utara</t>
        </is>
      </c>
      <c r="Q125" t="inlineStr"/>
    </row>
    <row r="126">
      <c r="A126" t="inlineStr">
        <is>
          <t>PRIMA PRADANA MULIA</t>
        </is>
      </c>
      <c r="B126" t="inlineStr">
        <is>
          <t>Kota Surabaya</t>
        </is>
      </c>
      <c r="C126" t="inlineStr">
        <is>
          <t>08113456010</t>
        </is>
      </c>
      <c r="D126" t="inlineStr">
        <is>
          <t>primapradanamulia2018@gmail.com</t>
        </is>
      </c>
      <c r="E126" t="inlineStr">
        <is>
          <t>https://lpjk.pu.go.id/search-badan-usaha-detail/cTNKRE01bi9ZdVdDcll2TWY5OURDUT09</t>
        </is>
      </c>
      <c r="F126" t="n">
        <v>1</v>
      </c>
      <c r="G126" t="inlineStr">
        <is>
          <t>BS002</t>
        </is>
      </c>
      <c r="H126" t="inlineStr">
        <is>
          <t>29 Oktober 2018</t>
        </is>
      </c>
      <c r="I126" s="2" t="n">
        <v>46206</v>
      </c>
      <c r="J126" t="inlineStr">
        <is>
          <t>Disetujui</t>
        </is>
      </c>
      <c r="K126" t="n">
        <v>30</v>
      </c>
      <c r="L126" t="inlineStr">
        <is>
          <t>3 Juli 2026</t>
        </is>
      </c>
      <c r="M126" t="inlineStr">
        <is>
          <t>Bangunan Sipil Jembatan, Jalan Layang, Fly Over, dan Underpass</t>
        </is>
      </c>
      <c r="N126" t="inlineStr">
        <is>
          <t>K</t>
        </is>
      </c>
      <c r="O126" t="inlineStr">
        <is>
          <t>20230704</t>
        </is>
      </c>
      <c r="P126" t="inlineStr">
        <is>
          <t>Jawa Timur</t>
        </is>
      </c>
      <c r="Q126" t="inlineStr"/>
    </row>
    <row r="127">
      <c r="A127" t="inlineStr">
        <is>
          <t>PUSAKA UTAMA</t>
        </is>
      </c>
      <c r="B127" t="inlineStr">
        <is>
          <t>Kota Bandung</t>
        </is>
      </c>
      <c r="C127" t="inlineStr">
        <is>
          <t>08112332182</t>
        </is>
      </c>
      <c r="D127" t="inlineStr">
        <is>
          <t>epusakautama@gmail.com</t>
        </is>
      </c>
      <c r="E127" t="inlineStr">
        <is>
          <t>https://lpjk.pu.go.id/search-badan-usaha-detail/eGg0WVk0M25reCtQU3ZxT01adm9xdz09</t>
        </is>
      </c>
      <c r="F127" t="n">
        <v>1</v>
      </c>
      <c r="G127" t="inlineStr">
        <is>
          <t>BS010</t>
        </is>
      </c>
      <c r="H127" t="inlineStr">
        <is>
          <t>12 Juni 2023</t>
        </is>
      </c>
      <c r="I127" s="2" t="n">
        <v>46206</v>
      </c>
      <c r="J127" t="inlineStr">
        <is>
          <t>Disetujui</t>
        </is>
      </c>
      <c r="K127" t="n">
        <v>30</v>
      </c>
      <c r="L127" t="inlineStr">
        <is>
          <t>3 Juli 2026</t>
        </is>
      </c>
      <c r="M127" t="inlineStr">
        <is>
          <t>Konstruksi Bangunan Prasarana Sumber Daya Air</t>
        </is>
      </c>
      <c r="N127" t="inlineStr">
        <is>
          <t>K</t>
        </is>
      </c>
      <c r="O127" t="inlineStr">
        <is>
          <t>20230627</t>
        </is>
      </c>
      <c r="P127" t="inlineStr">
        <is>
          <t>Jawa Barat</t>
        </is>
      </c>
      <c r="Q127" t="inlineStr"/>
    </row>
    <row r="128">
      <c r="A128" t="inlineStr">
        <is>
          <t>PUTRA BERJAYA ALAM</t>
        </is>
      </c>
      <c r="B128" t="inlineStr">
        <is>
          <t>Kab. Lombok Tengah</t>
        </is>
      </c>
      <c r="C128" t="inlineStr">
        <is>
          <t>08175758800</t>
        </is>
      </c>
      <c r="D128" t="inlineStr">
        <is>
          <t>cvputraberjayaalam@yahoo.com</t>
        </is>
      </c>
      <c r="E128" t="inlineStr">
        <is>
          <t>https://lpjk.pu.go.id/search-badan-usaha-detail/Y0FzZUpWUFJyZy9uanMzN2Y3cnZXdz09</t>
        </is>
      </c>
      <c r="F128" t="n">
        <v>1</v>
      </c>
      <c r="G128" t="inlineStr">
        <is>
          <t>BS001</t>
        </is>
      </c>
      <c r="H128" t="inlineStr">
        <is>
          <t>4 Oktober 2013</t>
        </is>
      </c>
      <c r="I128" s="2" t="n">
        <v>46206</v>
      </c>
      <c r="J128" t="inlineStr">
        <is>
          <t>Pencabutan</t>
        </is>
      </c>
      <c r="K128" t="n">
        <v>30</v>
      </c>
      <c r="L128" t="inlineStr">
        <is>
          <t>3 Juli 2026</t>
        </is>
      </c>
      <c r="M128" t="inlineStr">
        <is>
          <t>Konstruksi Bangunan Sipil Jalan</t>
        </is>
      </c>
      <c r="N128" t="inlineStr">
        <is>
          <t>K</t>
        </is>
      </c>
      <c r="O128" t="inlineStr">
        <is>
          <t>20230623</t>
        </is>
      </c>
      <c r="P128" t="inlineStr">
        <is>
          <t>Nusa Tenggara Barat</t>
        </is>
      </c>
      <c r="Q128" t="inlineStr"/>
    </row>
    <row r="129">
      <c r="A129" t="inlineStr">
        <is>
          <t>PUTRA BUWANA JAYA</t>
        </is>
      </c>
      <c r="B129" t="inlineStr">
        <is>
          <t>Kota Bandar Lampung</t>
        </is>
      </c>
      <c r="C129" t="inlineStr">
        <is>
          <t>082280562200</t>
        </is>
      </c>
      <c r="D129" t="inlineStr">
        <is>
          <t>pjb.lampung@gmail.com</t>
        </is>
      </c>
      <c r="E129" t="inlineStr">
        <is>
          <t>https://lpjk.pu.go.id/search-badan-usaha-detail/d0RJSlR2OGoyTDF2WTNLVlJVQlJXdz09</t>
        </is>
      </c>
      <c r="F129" t="n">
        <v>1</v>
      </c>
      <c r="G129" t="inlineStr">
        <is>
          <t>BG006</t>
        </is>
      </c>
      <c r="H129" t="inlineStr">
        <is>
          <t>18 Mei 2009</t>
        </is>
      </c>
      <c r="I129" s="2" t="n">
        <v>46206</v>
      </c>
      <c r="J129" t="inlineStr">
        <is>
          <t>Disetujui</t>
        </is>
      </c>
      <c r="K129" t="n">
        <v>30</v>
      </c>
      <c r="L129" t="inlineStr">
        <is>
          <t>3 Juli 2026</t>
        </is>
      </c>
      <c r="M129" t="inlineStr">
        <is>
          <t>Konstruksi Gedung Pendidikan</t>
        </is>
      </c>
      <c r="N129" t="inlineStr">
        <is>
          <t>K</t>
        </is>
      </c>
      <c r="O129" t="inlineStr">
        <is>
          <t>20230627</t>
        </is>
      </c>
      <c r="P129" t="inlineStr">
        <is>
          <t>Lampung</t>
        </is>
      </c>
      <c r="Q129" t="inlineStr"/>
    </row>
    <row r="130">
      <c r="A130" t="inlineStr">
        <is>
          <t>PUTRA POKAN SEJAHTERA</t>
        </is>
      </c>
      <c r="B130" t="inlineStr">
        <is>
          <t>Kota Pekanbaru</t>
        </is>
      </c>
      <c r="C130" t="inlineStr">
        <is>
          <t>085265736596</t>
        </is>
      </c>
      <c r="D130" t="inlineStr">
        <is>
          <t>cvputrapokan@gmail.com</t>
        </is>
      </c>
      <c r="E130" t="inlineStr">
        <is>
          <t>https://lpjk.pu.go.id/search-badan-usaha-detail/NlFHUFVMYXFHcFhEMnRYYXJ0NHZsdz09</t>
        </is>
      </c>
      <c r="F130" t="n">
        <v>2</v>
      </c>
      <c r="G130" t="inlineStr">
        <is>
          <t>BG005, BG009</t>
        </is>
      </c>
      <c r="H130" t="inlineStr">
        <is>
          <t>8 Juni 2023</t>
        </is>
      </c>
      <c r="I130" s="2" t="n">
        <v>46206</v>
      </c>
      <c r="J130" t="inlineStr">
        <is>
          <t>Pencabutan</t>
        </is>
      </c>
      <c r="K130" t="n">
        <v>30</v>
      </c>
      <c r="L130" t="inlineStr">
        <is>
          <t>3 Juli 2026</t>
        </is>
      </c>
      <c r="M130" t="inlineStr">
        <is>
          <t>Konstruksi Gedung Kesehatan, Konstruksi Gedung Lainnya</t>
        </is>
      </c>
      <c r="N130" t="inlineStr">
        <is>
          <t>K</t>
        </is>
      </c>
      <c r="O130" t="inlineStr">
        <is>
          <t>20230625, 20230626</t>
        </is>
      </c>
      <c r="P130" t="inlineStr">
        <is>
          <t>Riau</t>
        </is>
      </c>
      <c r="Q130" t="inlineStr"/>
    </row>
    <row r="131">
      <c r="A131" t="inlineStr">
        <is>
          <t>PUTRA WOLOK</t>
        </is>
      </c>
      <c r="B131" t="inlineStr">
        <is>
          <t>Kab. Seram Bagian Timur</t>
        </is>
      </c>
      <c r="C131" t="inlineStr">
        <is>
          <t>081383324243</t>
        </is>
      </c>
      <c r="D131" t="inlineStr">
        <is>
          <t>cvputrawolok@yahoo.com</t>
        </is>
      </c>
      <c r="E131" t="inlineStr">
        <is>
          <t>https://lpjk.pu.go.id/search-badan-usaha-detail/VGppak1tN001TkF0TXNkdkk4QWorQT09</t>
        </is>
      </c>
      <c r="F131" t="n">
        <v>1</v>
      </c>
      <c r="G131" t="inlineStr">
        <is>
          <t>BS010</t>
        </is>
      </c>
      <c r="H131" t="inlineStr">
        <is>
          <t>6 Januari 2020</t>
        </is>
      </c>
      <c r="I131" s="2" t="n">
        <v>46206</v>
      </c>
      <c r="J131" t="inlineStr">
        <is>
          <t>Disetujui</t>
        </is>
      </c>
      <c r="K131" t="n">
        <v>30</v>
      </c>
      <c r="L131" t="inlineStr">
        <is>
          <t>3 Juli 2026</t>
        </is>
      </c>
      <c r="M131" t="inlineStr">
        <is>
          <t>Konstruksi Bangunan Prasarana Sumber Daya Air</t>
        </is>
      </c>
      <c r="N131" t="inlineStr">
        <is>
          <t>K</t>
        </is>
      </c>
      <c r="O131" t="inlineStr">
        <is>
          <t>20230704</t>
        </is>
      </c>
      <c r="P131" t="inlineStr">
        <is>
          <t>Maluku</t>
        </is>
      </c>
      <c r="Q131" t="inlineStr"/>
    </row>
    <row r="132">
      <c r="A132" t="inlineStr">
        <is>
          <t>PUTRI DOMINIKA SOBA</t>
        </is>
      </c>
      <c r="B132" t="inlineStr">
        <is>
          <t>Kab. Mappi</t>
        </is>
      </c>
      <c r="C132" t="inlineStr">
        <is>
          <t>082198949474</t>
        </is>
      </c>
      <c r="D132" t="inlineStr">
        <is>
          <t>cvputridominikasoba@gmail.com</t>
        </is>
      </c>
      <c r="E132" t="inlineStr">
        <is>
          <t>https://lpjk.pu.go.id/search-badan-usaha-detail/TFhjOWg1elMrQWFmcG51MnBZdWJVQT09</t>
        </is>
      </c>
      <c r="F132" t="n">
        <v>2</v>
      </c>
      <c r="G132" t="inlineStr">
        <is>
          <t>BG001, BG006</t>
        </is>
      </c>
      <c r="H132" t="inlineStr">
        <is>
          <t>14 Februari 2022</t>
        </is>
      </c>
      <c r="I132" s="2" t="n">
        <v>46206</v>
      </c>
      <c r="J132" t="inlineStr">
        <is>
          <t>Disetujui</t>
        </is>
      </c>
      <c r="K132" t="n">
        <v>30</v>
      </c>
      <c r="L132" t="inlineStr">
        <is>
          <t>3 Juli 2026</t>
        </is>
      </c>
      <c r="M132" t="inlineStr">
        <is>
          <t>Konstruksi Gedung Hunian, Konstruksi Gedung Pendidikan</t>
        </is>
      </c>
      <c r="N132" t="inlineStr">
        <is>
          <t>K</t>
        </is>
      </c>
      <c r="O132" t="inlineStr">
        <is>
          <t>20230704</t>
        </is>
      </c>
      <c r="P132" t="inlineStr">
        <is>
          <t>Papua</t>
        </is>
      </c>
      <c r="Q132" t="inlineStr"/>
    </row>
    <row r="133">
      <c r="A133" t="inlineStr">
        <is>
          <t>PUTROE CONSTRUCKSI MANDIRI</t>
        </is>
      </c>
      <c r="B133" t="inlineStr">
        <is>
          <t>Kab. Aceh Barat Daya</t>
        </is>
      </c>
      <c r="C133" t="inlineStr">
        <is>
          <t>000000</t>
        </is>
      </c>
      <c r="D133" t="inlineStr">
        <is>
          <t>putroeconstrucksimandiri@gmail.com</t>
        </is>
      </c>
      <c r="E133" t="inlineStr">
        <is>
          <t>https://lpjk.pu.go.id/search-badan-usaha-detail/ZXQvNWFzRDVWWi9yWjNsckJSU3F0dz09</t>
        </is>
      </c>
      <c r="F133" t="n">
        <v>1</v>
      </c>
      <c r="G133" t="inlineStr">
        <is>
          <t>BG009</t>
        </is>
      </c>
      <c r="H133" t="inlineStr">
        <is>
          <t>3 Maret 2021</t>
        </is>
      </c>
      <c r="I133" s="2" t="n">
        <v>46206</v>
      </c>
      <c r="J133" t="inlineStr">
        <is>
          <t>Disetujui</t>
        </is>
      </c>
      <c r="K133" t="n">
        <v>30</v>
      </c>
      <c r="L133" t="inlineStr">
        <is>
          <t>3 Juli 2026</t>
        </is>
      </c>
      <c r="M133" t="inlineStr">
        <is>
          <t>Konstruksi Gedung Lainnya</t>
        </is>
      </c>
      <c r="N133" t="inlineStr">
        <is>
          <t>K</t>
        </is>
      </c>
      <c r="O133" t="inlineStr">
        <is>
          <t>20230627</t>
        </is>
      </c>
      <c r="P133" t="inlineStr">
        <is>
          <t>Aceh</t>
        </is>
      </c>
      <c r="Q133" t="inlineStr"/>
    </row>
    <row r="134">
      <c r="A134" t="inlineStr">
        <is>
          <t>RAHMAT KARYA MANDIRI</t>
        </is>
      </c>
      <c r="B134" t="inlineStr">
        <is>
          <t>Kab. Boalemo</t>
        </is>
      </c>
      <c r="C134" t="inlineStr">
        <is>
          <t>082271524552</t>
        </is>
      </c>
      <c r="D134" t="inlineStr">
        <is>
          <t>rkmandiri29@gmail.com</t>
        </is>
      </c>
      <c r="E134" t="inlineStr">
        <is>
          <t>https://lpjk.pu.go.id/search-badan-usaha-detail/bGo1dmhxNEJ5bWJrQkJNMlJNV0d2QT09</t>
        </is>
      </c>
      <c r="F134" t="n">
        <v>8</v>
      </c>
      <c r="G134" t="inlineStr">
        <is>
          <t>BG002, BG004, BG005, BG006</t>
        </is>
      </c>
      <c r="H134" t="inlineStr">
        <is>
          <t>16 Juni 2017</t>
        </is>
      </c>
      <c r="I134" s="2" t="n">
        <v>46206</v>
      </c>
      <c r="J134" t="inlineStr">
        <is>
          <t>Disetujui</t>
        </is>
      </c>
      <c r="K134" t="n">
        <v>30</v>
      </c>
      <c r="L134" t="inlineStr">
        <is>
          <t>3 Juli 2026</t>
        </is>
      </c>
      <c r="M134" t="inlineStr">
        <is>
          <t>Konstruksi Gedung Kesehatan, Konstruksi Gedung Pendidikan, Konstruksi Gedung Perbelanjaan, Konstruksi Gedung Perkantoran</t>
        </is>
      </c>
      <c r="N134" t="inlineStr">
        <is>
          <t>K</t>
        </is>
      </c>
      <c r="O134" t="inlineStr">
        <is>
          <t>20220407, 20230701, 20230703</t>
        </is>
      </c>
      <c r="P134" t="inlineStr">
        <is>
          <t>Gorontalo</t>
        </is>
      </c>
      <c r="Q134" t="inlineStr"/>
    </row>
    <row r="135">
      <c r="A135" t="inlineStr">
        <is>
          <t>RAIHAN</t>
        </is>
      </c>
      <c r="B135" t="inlineStr">
        <is>
          <t>Kota Probolinggo</t>
        </is>
      </c>
      <c r="C135" t="inlineStr">
        <is>
          <t>081234793959</t>
        </is>
      </c>
      <c r="D135" t="inlineStr">
        <is>
          <t>raihanjreng@gmail.com</t>
        </is>
      </c>
      <c r="E135" t="inlineStr">
        <is>
          <t>https://lpjk.pu.go.id/search-badan-usaha-detail/UzNzUUd5cWlMcXh1WlU3VzBCTU1iZz09</t>
        </is>
      </c>
      <c r="F135" t="n">
        <v>2</v>
      </c>
      <c r="G135" t="inlineStr">
        <is>
          <t>BS004</t>
        </is>
      </c>
      <c r="H135" t="inlineStr">
        <is>
          <t>26 Juli 2004</t>
        </is>
      </c>
      <c r="I135" s="2" t="n">
        <v>46206</v>
      </c>
      <c r="J135" t="inlineStr">
        <is>
          <t>Disetujui</t>
        </is>
      </c>
      <c r="K135" t="n">
        <v>30</v>
      </c>
      <c r="L135" t="inlineStr">
        <is>
          <t>3 Juli 2026</t>
        </is>
      </c>
      <c r="M135" t="inlineStr">
        <is>
          <t>Konstruksi Jaringan Irigasi dan Drainase</t>
        </is>
      </c>
      <c r="N135" t="inlineStr">
        <is>
          <t>K</t>
        </is>
      </c>
      <c r="O135" t="inlineStr">
        <is>
          <t>20230623</t>
        </is>
      </c>
      <c r="P135" t="inlineStr">
        <is>
          <t>Jawa Timur</t>
        </is>
      </c>
      <c r="Q135" t="inlineStr"/>
    </row>
    <row r="136">
      <c r="A136" t="inlineStr">
        <is>
          <t>RAKSA AULIA PRATAMA</t>
        </is>
      </c>
      <c r="B136" t="inlineStr">
        <is>
          <t>Kota Sukabumi</t>
        </is>
      </c>
      <c r="C136" t="inlineStr">
        <is>
          <t>085861208797</t>
        </is>
      </c>
      <c r="D136" t="inlineStr">
        <is>
          <t>cvraksaauliapratama@gmail.com</t>
        </is>
      </c>
      <c r="E136" t="inlineStr">
        <is>
          <t>https://lpjk.pu.go.id/search-badan-usaha-detail/OFlPaTFJQXUrZ0tTM3R5bDJabjYzdz09</t>
        </is>
      </c>
      <c r="F136" t="n">
        <v>2</v>
      </c>
      <c r="G136" t="inlineStr">
        <is>
          <t>BG002, BG006</t>
        </is>
      </c>
      <c r="H136" t="inlineStr">
        <is>
          <t>15 September 2021</t>
        </is>
      </c>
      <c r="I136" s="2" t="n">
        <v>46206</v>
      </c>
      <c r="J136" t="inlineStr">
        <is>
          <t>Disetujui</t>
        </is>
      </c>
      <c r="K136" t="n">
        <v>30</v>
      </c>
      <c r="L136" t="inlineStr">
        <is>
          <t>3 Juli 2026</t>
        </is>
      </c>
      <c r="M136" t="inlineStr">
        <is>
          <t>Konstruksi Gedung Pendidikan, Konstruksi Gedung Perkantoran</t>
        </is>
      </c>
      <c r="N136" t="inlineStr">
        <is>
          <t>K</t>
        </is>
      </c>
      <c r="O136" t="inlineStr">
        <is>
          <t>20230704</t>
        </is>
      </c>
      <c r="P136" t="inlineStr">
        <is>
          <t>Jawa Barat</t>
        </is>
      </c>
      <c r="Q136" t="inlineStr"/>
    </row>
    <row r="137">
      <c r="A137" t="inlineStr">
        <is>
          <t>RAKSA DIVA JAGARAKSA WWA</t>
        </is>
      </c>
      <c r="B137" t="inlineStr">
        <is>
          <t>Kab. Sukabumi</t>
        </is>
      </c>
      <c r="C137" t="inlineStr">
        <is>
          <t>085624014864</t>
        </is>
      </c>
      <c r="D137" t="inlineStr">
        <is>
          <t>ade.ozon19@gmail.com</t>
        </is>
      </c>
      <c r="E137" t="inlineStr">
        <is>
          <t>https://lpjk.pu.go.id/search-badan-usaha-detail/WWh1NWtRbXhGTjNzQjE3OEFnUXpndz09</t>
        </is>
      </c>
      <c r="F137" t="n">
        <v>1</v>
      </c>
      <c r="G137" t="inlineStr">
        <is>
          <t>BS001</t>
        </is>
      </c>
      <c r="H137" t="inlineStr">
        <is>
          <t>22 Juni 2012</t>
        </is>
      </c>
      <c r="I137" s="2" t="n">
        <v>46206</v>
      </c>
      <c r="J137" t="inlineStr">
        <is>
          <t>Disetujui</t>
        </is>
      </c>
      <c r="K137" t="n">
        <v>30</v>
      </c>
      <c r="L137" t="inlineStr">
        <is>
          <t>3 Juli 2026</t>
        </is>
      </c>
      <c r="M137" t="inlineStr">
        <is>
          <t>Konstruksi Bangunan Sipil Jalan</t>
        </is>
      </c>
      <c r="N137" t="inlineStr">
        <is>
          <t>K</t>
        </is>
      </c>
      <c r="O137" t="inlineStr">
        <is>
          <t>20230623</t>
        </is>
      </c>
      <c r="P137" t="inlineStr">
        <is>
          <t>Jawa Barat</t>
        </is>
      </c>
      <c r="Q137" t="inlineStr"/>
    </row>
    <row r="138">
      <c r="A138" t="inlineStr">
        <is>
          <t>RAMA OKSIBIL SEJAHTERA</t>
        </is>
      </c>
      <c r="B138" t="inlineStr">
        <is>
          <t>Kab Pegunungan Bintang</t>
        </is>
      </c>
      <c r="C138" t="inlineStr">
        <is>
          <t>082337195698</t>
        </is>
      </c>
      <c r="D138" t="inlineStr">
        <is>
          <t>cvramaoks@gmail.com</t>
        </is>
      </c>
      <c r="E138" t="inlineStr">
        <is>
          <t>https://lpjk.pu.go.id/search-badan-usaha-detail/enVSTUw0NGZNR2pEblBBQnQrakJDZz09</t>
        </is>
      </c>
      <c r="F138" t="n">
        <v>1</v>
      </c>
      <c r="G138" t="inlineStr">
        <is>
          <t>BG005</t>
        </is>
      </c>
      <c r="H138" t="inlineStr">
        <is>
          <t>15 Januari 2020</t>
        </is>
      </c>
      <c r="I138" s="2" t="n">
        <v>46206</v>
      </c>
      <c r="J138" t="inlineStr">
        <is>
          <t>Disetujui</t>
        </is>
      </c>
      <c r="K138" t="n">
        <v>30</v>
      </c>
      <c r="L138" t="inlineStr">
        <is>
          <t>3 Juli 2026</t>
        </is>
      </c>
      <c r="M138" t="inlineStr">
        <is>
          <t>Konstruksi Gedung Kesehatan</t>
        </is>
      </c>
      <c r="N138" t="inlineStr">
        <is>
          <t>K</t>
        </is>
      </c>
      <c r="O138" t="inlineStr">
        <is>
          <t>20230704</t>
        </is>
      </c>
      <c r="P138" t="inlineStr">
        <is>
          <t>Papua</t>
        </is>
      </c>
      <c r="Q138" t="inlineStr"/>
    </row>
    <row r="139">
      <c r="A139" t="inlineStr">
        <is>
          <t>RANGGA PERKASA</t>
        </is>
      </c>
      <c r="B139" t="inlineStr">
        <is>
          <t>Kab. Sambas</t>
        </is>
      </c>
      <c r="C139" t="inlineStr">
        <is>
          <t>085245799757</t>
        </is>
      </c>
      <c r="D139" t="inlineStr">
        <is>
          <t>cv.ranggaperkasasbs@gmail.com</t>
        </is>
      </c>
      <c r="E139" t="inlineStr">
        <is>
          <t>https://lpjk.pu.go.id/search-badan-usaha-detail/UURRY01qY09GUDhVa3JJMEdEVUhhQT09</t>
        </is>
      </c>
      <c r="F139" t="n">
        <v>1</v>
      </c>
      <c r="G139" t="inlineStr">
        <is>
          <t>BS001</t>
        </is>
      </c>
      <c r="H139" t="inlineStr">
        <is>
          <t>14 Februari 2017</t>
        </is>
      </c>
      <c r="I139" s="2" t="n">
        <v>46206</v>
      </c>
      <c r="J139" t="inlineStr">
        <is>
          <t>Disetujui</t>
        </is>
      </c>
      <c r="K139" t="n">
        <v>30</v>
      </c>
      <c r="L139" t="inlineStr">
        <is>
          <t>3 Juli 2026</t>
        </is>
      </c>
      <c r="M139" t="inlineStr">
        <is>
          <t>Konstruksi Bangunan Sipil Jalan</t>
        </is>
      </c>
      <c r="N139" t="inlineStr">
        <is>
          <t>K</t>
        </is>
      </c>
      <c r="O139" t="inlineStr">
        <is>
          <t>20230627</t>
        </is>
      </c>
      <c r="P139" t="inlineStr">
        <is>
          <t>Kalimantan Barat</t>
        </is>
      </c>
      <c r="Q139" t="inlineStr"/>
    </row>
    <row r="140">
      <c r="A140" t="inlineStr">
        <is>
          <t>REKAN PALING SOLIDER</t>
        </is>
      </c>
      <c r="B140" t="inlineStr">
        <is>
          <t>Kab. Manokwari</t>
        </is>
      </c>
      <c r="C140" t="inlineStr">
        <is>
          <t>082239399174</t>
        </is>
      </c>
      <c r="D140" t="inlineStr">
        <is>
          <t>repsolpt@gmail.com</t>
        </is>
      </c>
      <c r="E140" t="inlineStr">
        <is>
          <t>https://lpjk.pu.go.id/search-badan-usaha-detail/dU9TZFREVW55Ty8weWxMUzdzOXRvZz09</t>
        </is>
      </c>
      <c r="F140" t="n">
        <v>2</v>
      </c>
      <c r="G140" t="inlineStr">
        <is>
          <t>BS001</t>
        </is>
      </c>
      <c r="H140" t="inlineStr">
        <is>
          <t>6 Mei 2020</t>
        </is>
      </c>
      <c r="I140" s="2" t="n">
        <v>46206</v>
      </c>
      <c r="J140" t="inlineStr">
        <is>
          <t>Pencabutan</t>
        </is>
      </c>
      <c r="K140" t="n">
        <v>30</v>
      </c>
      <c r="L140" t="inlineStr">
        <is>
          <t>3 Juli 2026</t>
        </is>
      </c>
      <c r="M140" t="inlineStr">
        <is>
          <t>Konstruksi Bangunan Sipil Jalan</t>
        </is>
      </c>
      <c r="N140" t="inlineStr">
        <is>
          <t>K</t>
        </is>
      </c>
      <c r="O140" t="inlineStr">
        <is>
          <t>20230630</t>
        </is>
      </c>
      <c r="P140" t="inlineStr">
        <is>
          <t>Papua Barat</t>
        </is>
      </c>
      <c r="Q140" t="inlineStr"/>
    </row>
    <row r="141">
      <c r="A141" t="inlineStr">
        <is>
          <t>REKARUPA TEKNIK</t>
        </is>
      </c>
      <c r="B141" t="inlineStr">
        <is>
          <t>Kab. Toli Toli</t>
        </is>
      </c>
      <c r="C141" t="inlineStr">
        <is>
          <t>082292645282</t>
        </is>
      </c>
      <c r="D141" t="inlineStr">
        <is>
          <t>rekakonsultan@gmail.com</t>
        </is>
      </c>
      <c r="E141" t="inlineStr">
        <is>
          <t>https://lpjk.pu.go.id/search-badan-usaha-detail/VUwvQkE2Z3FzSkhPZC80MWttSFpjZz09</t>
        </is>
      </c>
      <c r="F141" t="n">
        <v>1</v>
      </c>
      <c r="G141" t="inlineStr">
        <is>
          <t>AR002</t>
        </is>
      </c>
      <c r="H141" t="inlineStr">
        <is>
          <t>22 Juni 2012</t>
        </is>
      </c>
      <c r="I141" s="2" t="n">
        <v>46206</v>
      </c>
      <c r="J141" t="inlineStr">
        <is>
          <t>Disetujui</t>
        </is>
      </c>
      <c r="K141" t="n">
        <v>30</v>
      </c>
      <c r="L141" t="inlineStr">
        <is>
          <t>3 Juli 2026</t>
        </is>
      </c>
      <c r="M141" t="inlineStr">
        <is>
          <t>Jasa Arsitektural Lainnya</t>
        </is>
      </c>
      <c r="N141" t="inlineStr">
        <is>
          <t>K</t>
        </is>
      </c>
      <c r="O141" t="inlineStr">
        <is>
          <t>20230612</t>
        </is>
      </c>
      <c r="P141" t="inlineStr">
        <is>
          <t>Sulawesi Tengah</t>
        </is>
      </c>
      <c r="Q141" t="inlineStr"/>
    </row>
    <row r="142">
      <c r="A142" t="inlineStr">
        <is>
          <t>RESTOE BUMI</t>
        </is>
      </c>
      <c r="B142" t="inlineStr">
        <is>
          <t>Kab. Tanjung Jabung Barat</t>
        </is>
      </c>
      <c r="C142" t="inlineStr">
        <is>
          <t>082306661991</t>
        </is>
      </c>
      <c r="D142" t="inlineStr">
        <is>
          <t>cv.restoebumi9@gmail.com</t>
        </is>
      </c>
      <c r="E142" t="inlineStr">
        <is>
          <t>https://lpjk.pu.go.id/search-badan-usaha-detail/WDJXZXFlMk83bi9jN0dzMk9WZnZCZz09</t>
        </is>
      </c>
      <c r="F142" t="n">
        <v>1</v>
      </c>
      <c r="G142" t="inlineStr">
        <is>
          <t>BS002</t>
        </is>
      </c>
      <c r="H142" t="inlineStr">
        <is>
          <t>14 Februari 2020</t>
        </is>
      </c>
      <c r="I142" s="2" t="n">
        <v>46206</v>
      </c>
      <c r="J142" t="inlineStr">
        <is>
          <t>Disetujui</t>
        </is>
      </c>
      <c r="K142" t="n">
        <v>30</v>
      </c>
      <c r="L142" t="inlineStr">
        <is>
          <t>3 Juli 2026</t>
        </is>
      </c>
      <c r="M142" t="inlineStr">
        <is>
          <t>Bangunan Sipil Jembatan, Jalan Layang, Fly Over, dan Underpass</t>
        </is>
      </c>
      <c r="N142" t="inlineStr">
        <is>
          <t>K</t>
        </is>
      </c>
      <c r="O142" t="inlineStr">
        <is>
          <t>20230623</t>
        </is>
      </c>
      <c r="P142" t="inlineStr">
        <is>
          <t>Jambi</t>
        </is>
      </c>
      <c r="Q142" t="inlineStr"/>
    </row>
    <row r="143">
      <c r="A143" t="inlineStr">
        <is>
          <t>RINO PERSADA</t>
        </is>
      </c>
      <c r="B143" t="inlineStr">
        <is>
          <t>Kab. Konawe</t>
        </is>
      </c>
      <c r="C143" t="inlineStr">
        <is>
          <t>081341530543</t>
        </is>
      </c>
      <c r="D143" t="inlineStr">
        <is>
          <t>rinopersada2020@gmail.com</t>
        </is>
      </c>
      <c r="E143" t="inlineStr">
        <is>
          <t>https://lpjk.pu.go.id/search-badan-usaha-detail/Y1BhV0lnYkozbXkvVmplR1dJVzY1QT09</t>
        </is>
      </c>
      <c r="F143" t="n">
        <v>2</v>
      </c>
      <c r="G143" t="inlineStr">
        <is>
          <t>BG005, BS004</t>
        </is>
      </c>
      <c r="H143" t="inlineStr">
        <is>
          <t>7 Januari 2013</t>
        </is>
      </c>
      <c r="I143" s="2" t="n">
        <v>46206</v>
      </c>
      <c r="J143" t="inlineStr">
        <is>
          <t>Pencabutan</t>
        </is>
      </c>
      <c r="K143" t="n">
        <v>30</v>
      </c>
      <c r="L143" t="inlineStr">
        <is>
          <t>3 Juli 2026</t>
        </is>
      </c>
      <c r="M143" t="inlineStr">
        <is>
          <t>Konstruksi Gedung Kesehatan, Konstruksi Jaringan Irigasi dan Drainase</t>
        </is>
      </c>
      <c r="N143" t="inlineStr">
        <is>
          <t>K</t>
        </is>
      </c>
      <c r="O143" t="inlineStr">
        <is>
          <t>20230623</t>
        </is>
      </c>
      <c r="P143" t="inlineStr">
        <is>
          <t>Sulawesi Tenggara</t>
        </is>
      </c>
      <c r="Q143" t="inlineStr"/>
    </row>
    <row r="144">
      <c r="A144" t="inlineStr">
        <is>
          <t>SAGA KONSTRUKSI</t>
        </is>
      </c>
      <c r="B144" t="inlineStr">
        <is>
          <t>Kab. Lumajang</t>
        </is>
      </c>
      <c r="C144" t="inlineStr">
        <is>
          <t>081334392406</t>
        </is>
      </c>
      <c r="D144" t="inlineStr">
        <is>
          <t>sagakonstruksi00@gmail.com</t>
        </is>
      </c>
      <c r="E144" t="inlineStr">
        <is>
          <t>https://lpjk.pu.go.id/search-badan-usaha-detail/dXFldEtGdTVTcURnLzNaNG43UGV4UT09</t>
        </is>
      </c>
      <c r="F144" t="n">
        <v>1</v>
      </c>
      <c r="G144" t="inlineStr">
        <is>
          <t>BG002</t>
        </is>
      </c>
      <c r="H144" t="inlineStr">
        <is>
          <t>21 Januari 2021</t>
        </is>
      </c>
      <c r="I144" s="2" t="n">
        <v>46206</v>
      </c>
      <c r="J144" t="inlineStr">
        <is>
          <t>Disetujui</t>
        </is>
      </c>
      <c r="K144" t="n">
        <v>30</v>
      </c>
      <c r="L144" t="inlineStr">
        <is>
          <t>3 Juli 2026</t>
        </is>
      </c>
      <c r="M144" t="inlineStr">
        <is>
          <t>Konstruksi Gedung Perkantoran</t>
        </is>
      </c>
      <c r="N144" t="inlineStr">
        <is>
          <t>K</t>
        </is>
      </c>
      <c r="O144" t="inlineStr">
        <is>
          <t>20230704</t>
        </is>
      </c>
      <c r="P144" t="inlineStr">
        <is>
          <t>Jawa Timur</t>
        </is>
      </c>
      <c r="Q144" t="inlineStr"/>
    </row>
    <row r="145">
      <c r="A145" t="inlineStr">
        <is>
          <t>SAHARA</t>
        </is>
      </c>
      <c r="B145" t="inlineStr">
        <is>
          <t>Kab. Bangkalan</t>
        </is>
      </c>
      <c r="C145" t="inlineStr">
        <is>
          <t>0</t>
        </is>
      </c>
      <c r="D145" t="inlineStr">
        <is>
          <t>sahara_cv@yahoo.co.id</t>
        </is>
      </c>
      <c r="E145" t="inlineStr">
        <is>
          <t>https://lpjk.pu.go.id/search-badan-usaha-detail/Y3M1cVgyOEViN1VYbVp6SnJybzFtdz09</t>
        </is>
      </c>
      <c r="F145" t="n">
        <v>1</v>
      </c>
      <c r="G145" t="inlineStr">
        <is>
          <t>BG002</t>
        </is>
      </c>
      <c r="H145" t="inlineStr">
        <is>
          <t>12 Maret 1998</t>
        </is>
      </c>
      <c r="I145" s="2" t="n">
        <v>46206</v>
      </c>
      <c r="J145" t="inlineStr">
        <is>
          <t>Disetujui</t>
        </is>
      </c>
      <c r="K145" t="n">
        <v>30</v>
      </c>
      <c r="L145" t="inlineStr">
        <is>
          <t>3 Juli 2026</t>
        </is>
      </c>
      <c r="M145" t="inlineStr">
        <is>
          <t>Konstruksi Gedung Perkantoran</t>
        </is>
      </c>
      <c r="N145" t="inlineStr">
        <is>
          <t>K</t>
        </is>
      </c>
      <c r="O145" t="inlineStr">
        <is>
          <t>20230530</t>
        </is>
      </c>
      <c r="P145" t="inlineStr">
        <is>
          <t>Jawa Timur</t>
        </is>
      </c>
      <c r="Q145" t="inlineStr"/>
    </row>
    <row r="146">
      <c r="A146" t="inlineStr">
        <is>
          <t>SANDIA JAYA</t>
        </is>
      </c>
      <c r="B146" t="inlineStr">
        <is>
          <t>Kab. Lombok Tengah</t>
        </is>
      </c>
      <c r="C146" t="inlineStr">
        <is>
          <t>085337303195</t>
        </is>
      </c>
      <c r="D146" t="inlineStr">
        <is>
          <t>sandiajaya3@gmail.com</t>
        </is>
      </c>
      <c r="E146" t="inlineStr">
        <is>
          <t>https://lpjk.pu.go.id/search-badan-usaha-detail/dVVXb1RueFZNQjhseEgyR0dOem13QT09</t>
        </is>
      </c>
      <c r="F146" t="n">
        <v>1</v>
      </c>
      <c r="G146" t="inlineStr">
        <is>
          <t>BS001</t>
        </is>
      </c>
      <c r="H146" t="inlineStr">
        <is>
          <t>21 Maret 1981</t>
        </is>
      </c>
      <c r="I146" s="2" t="n">
        <v>46206</v>
      </c>
      <c r="J146" t="inlineStr">
        <is>
          <t>Disetujui</t>
        </is>
      </c>
      <c r="K146" t="n">
        <v>30</v>
      </c>
      <c r="L146" t="inlineStr">
        <is>
          <t>3 Juli 2026</t>
        </is>
      </c>
      <c r="M146" t="inlineStr">
        <is>
          <t>Konstruksi Bangunan Sipil Jalan</t>
        </is>
      </c>
      <c r="N146" t="inlineStr">
        <is>
          <t>K</t>
        </is>
      </c>
      <c r="O146" t="inlineStr">
        <is>
          <t>20220326</t>
        </is>
      </c>
      <c r="P146" t="inlineStr">
        <is>
          <t>Nusa Tenggara Barat</t>
        </is>
      </c>
      <c r="Q146" t="inlineStr"/>
    </row>
    <row r="147">
      <c r="A147" t="inlineStr">
        <is>
          <t>SARANA BANGUN NUSA ENGINEERING</t>
        </is>
      </c>
      <c r="B147" t="inlineStr">
        <is>
          <t>Kota Kupang</t>
        </is>
      </c>
      <c r="C147" t="inlineStr">
        <is>
          <t>082244738282</t>
        </is>
      </c>
      <c r="D147" t="inlineStr">
        <is>
          <t>sarana_bangun_nusa_eng@yahoo.com</t>
        </is>
      </c>
      <c r="E147" t="inlineStr">
        <is>
          <t>https://lpjk.pu.go.id/search-badan-usaha-detail/ME1lR1I4UkxpSGVTY2QxcHo2YjJ6UT09</t>
        </is>
      </c>
      <c r="F147" t="n">
        <v>4</v>
      </c>
      <c r="G147" t="inlineStr">
        <is>
          <t>AL002, RK001, RK002, RK003</t>
        </is>
      </c>
      <c r="H147" t="inlineStr">
        <is>
          <t>4 Oktober 2007</t>
        </is>
      </c>
      <c r="I147" s="2" t="n">
        <v>46206</v>
      </c>
      <c r="J147" t="inlineStr">
        <is>
          <t>Disetujui, Pencabutan</t>
        </is>
      </c>
      <c r="K147" t="n">
        <v>30</v>
      </c>
      <c r="L147" t="inlineStr">
        <is>
          <t>3 Juli 2026</t>
        </is>
      </c>
      <c r="M147" t="inlineStr">
        <is>
          <t>Jasa Pengembangan Wilayah, Jasa Rekayasa Konstruksi Bangunan Gedung Hunian dan Non Hunian, Jasa Rekayasa Pekerjaan Teknik Sipil Sumber Daya Air, Jasa Rekayasa Pekerjaan Teknik Sipil Transportasi</t>
        </is>
      </c>
      <c r="N147" t="inlineStr">
        <is>
          <t>K</t>
        </is>
      </c>
      <c r="O147" t="inlineStr">
        <is>
          <t>20230619</t>
        </is>
      </c>
      <c r="P147" t="inlineStr">
        <is>
          <t>Nusa Tenggara Timur</t>
        </is>
      </c>
      <c r="Q147" t="inlineStr"/>
    </row>
    <row r="148">
      <c r="A148" t="inlineStr">
        <is>
          <t>SARANA MAKMUR MANDIRI</t>
        </is>
      </c>
      <c r="B148" t="inlineStr">
        <is>
          <t>Kab. Kubu Raya</t>
        </is>
      </c>
      <c r="C148" t="inlineStr">
        <is>
          <t>082155281068</t>
        </is>
      </c>
      <c r="D148" t="inlineStr">
        <is>
          <t>tarmiji062@gmail.com</t>
        </is>
      </c>
      <c r="E148" t="inlineStr">
        <is>
          <t>https://lpjk.pu.go.id/search-badan-usaha-detail/dWFzcTRuVG5udTZoaXFyVmlhMnJ0QT09</t>
        </is>
      </c>
      <c r="F148" t="n">
        <v>4</v>
      </c>
      <c r="G148" t="inlineStr">
        <is>
          <t>BS001, BS004</t>
        </is>
      </c>
      <c r="H148" t="inlineStr">
        <is>
          <t>19 Juli 2016</t>
        </is>
      </c>
      <c r="I148" s="2" t="n">
        <v>46206</v>
      </c>
      <c r="J148" t="inlineStr">
        <is>
          <t>Disetujui</t>
        </is>
      </c>
      <c r="K148" t="n">
        <v>30</v>
      </c>
      <c r="L148" t="inlineStr">
        <is>
          <t>3 Juli 2026</t>
        </is>
      </c>
      <c r="M148" t="inlineStr">
        <is>
          <t>Konstruksi Bangunan Sipil Jalan, Konstruksi Jaringan Irigasi dan Drainase</t>
        </is>
      </c>
      <c r="N148" t="inlineStr">
        <is>
          <t>K</t>
        </is>
      </c>
      <c r="O148" t="inlineStr">
        <is>
          <t>20230626, 20230630</t>
        </is>
      </c>
      <c r="P148" t="inlineStr">
        <is>
          <t>Kalimantan Barat</t>
        </is>
      </c>
      <c r="Q148" t="inlineStr"/>
    </row>
    <row r="149">
      <c r="A149" t="inlineStr">
        <is>
          <t>SARI MUNCUL MEGUNUNG</t>
        </is>
      </c>
      <c r="B149" t="inlineStr">
        <is>
          <t>Kab. Gianyar</t>
        </is>
      </c>
      <c r="C149" t="inlineStr">
        <is>
          <t>0811386443</t>
        </is>
      </c>
      <c r="D149" t="inlineStr">
        <is>
          <t>munculmegunung38@gmail.com</t>
        </is>
      </c>
      <c r="E149" t="inlineStr">
        <is>
          <t>https://lpjk.pu.go.id/search-badan-usaha-detail/NWxGV0pPdVpZQ091SURqNDY3bGxwQT09</t>
        </is>
      </c>
      <c r="F149" t="n">
        <v>1</v>
      </c>
      <c r="G149" t="inlineStr">
        <is>
          <t>BG002</t>
        </is>
      </c>
      <c r="H149" t="inlineStr">
        <is>
          <t>5 Maret 2008</t>
        </is>
      </c>
      <c r="I149" s="2" t="n">
        <v>46206</v>
      </c>
      <c r="J149" t="inlineStr">
        <is>
          <t>Disetujui</t>
        </is>
      </c>
      <c r="K149" t="n">
        <v>30</v>
      </c>
      <c r="L149" t="inlineStr">
        <is>
          <t>3 Juli 2026</t>
        </is>
      </c>
      <c r="M149" t="inlineStr">
        <is>
          <t>Konstruksi Gedung Perkantoran</t>
        </is>
      </c>
      <c r="N149" t="inlineStr">
        <is>
          <t>K</t>
        </is>
      </c>
      <c r="O149" t="inlineStr">
        <is>
          <t>20230627</t>
        </is>
      </c>
      <c r="P149" t="inlineStr">
        <is>
          <t>Bali</t>
        </is>
      </c>
      <c r="Q149" t="inlineStr"/>
    </row>
    <row r="150">
      <c r="A150" t="inlineStr">
        <is>
          <t>SEGITIGA MAS</t>
        </is>
      </c>
      <c r="B150" t="inlineStr">
        <is>
          <t>Kab. Trenggalek</t>
        </is>
      </c>
      <c r="C150" t="inlineStr">
        <is>
          <t>081335754822</t>
        </is>
      </c>
      <c r="D150" t="inlineStr">
        <is>
          <t>segi3mascv@gmail.com</t>
        </is>
      </c>
      <c r="E150" t="inlineStr">
        <is>
          <t>https://lpjk.pu.go.id/search-badan-usaha-detail/NXYvTEFWMTlRRDZYa1FzY2piVWlxZz09</t>
        </is>
      </c>
      <c r="F150" t="n">
        <v>1</v>
      </c>
      <c r="G150" t="inlineStr">
        <is>
          <t>BS001</t>
        </is>
      </c>
      <c r="H150" t="inlineStr">
        <is>
          <t>21 Desember 2006</t>
        </is>
      </c>
      <c r="I150" s="2" t="n">
        <v>46206</v>
      </c>
      <c r="J150" t="inlineStr">
        <is>
          <t>Disetujui</t>
        </is>
      </c>
      <c r="K150" t="n">
        <v>30</v>
      </c>
      <c r="L150" t="inlineStr">
        <is>
          <t>3 Juli 2026</t>
        </is>
      </c>
      <c r="M150" t="inlineStr">
        <is>
          <t>Konstruksi Bangunan Sipil Jalan</t>
        </is>
      </c>
      <c r="N150" t="inlineStr">
        <is>
          <t>K</t>
        </is>
      </c>
      <c r="O150" t="inlineStr">
        <is>
          <t>20230624</t>
        </is>
      </c>
      <c r="P150" t="inlineStr">
        <is>
          <t>Jawa Timur</t>
        </is>
      </c>
      <c r="Q150" t="inlineStr"/>
    </row>
    <row r="151">
      <c r="A151" t="inlineStr">
        <is>
          <t>SENTOSA RENTALINDO</t>
        </is>
      </c>
      <c r="B151" t="inlineStr">
        <is>
          <t>Kota Adm. Jakarta Selatan</t>
        </is>
      </c>
      <c r="C151" t="inlineStr">
        <is>
          <t>08111637000</t>
        </is>
      </c>
      <c r="D151" t="inlineStr">
        <is>
          <t>sentosarentalindo@gmail.com</t>
        </is>
      </c>
      <c r="E151" t="inlineStr">
        <is>
          <t>https://lpjk.pu.go.id/search-badan-usaha-detail/dGp2VTNCWVdCbDNISDM5ZUZZTUNMUT09</t>
        </is>
      </c>
      <c r="F151" t="n">
        <v>1</v>
      </c>
      <c r="G151" t="inlineStr">
        <is>
          <t>IT003</t>
        </is>
      </c>
      <c r="H151" t="inlineStr">
        <is>
          <t>15 November 2018</t>
        </is>
      </c>
      <c r="I151" s="2" t="n">
        <v>46206</v>
      </c>
      <c r="J151" t="inlineStr">
        <is>
          <t>Disetujui</t>
        </is>
      </c>
      <c r="K151" t="n">
        <v>30</v>
      </c>
      <c r="L151" t="inlineStr">
        <is>
          <t>3 Juli 2026</t>
        </is>
      </c>
      <c r="M151" t="inlineStr">
        <is>
          <t>Jasa Konsultansi Ilmiah dan Teknis Permukaan Tanah dan Pembuatan Peta</t>
        </is>
      </c>
      <c r="N151" t="inlineStr">
        <is>
          <t>Spesialis</t>
        </is>
      </c>
      <c r="O151" t="inlineStr">
        <is>
          <t>20230323</t>
        </is>
      </c>
      <c r="P151" t="inlineStr">
        <is>
          <t>DKI Jakarta</t>
        </is>
      </c>
      <c r="Q151" t="inlineStr"/>
    </row>
    <row r="152">
      <c r="A152" t="inlineStr">
        <is>
          <t>SEPAKAT</t>
        </is>
      </c>
      <c r="B152" t="inlineStr">
        <is>
          <t>Kab. Pasaman</t>
        </is>
      </c>
      <c r="C152" t="inlineStr">
        <is>
          <t>082385175567</t>
        </is>
      </c>
      <c r="D152" t="inlineStr">
        <is>
          <t>cvsepakat00@gmail.com</t>
        </is>
      </c>
      <c r="E152" t="inlineStr">
        <is>
          <t>https://lpjk.pu.go.id/search-badan-usaha-detail/ZTRMWThNcEt4RFNPVUhZeTBFcys2dz09</t>
        </is>
      </c>
      <c r="F152" t="n">
        <v>1</v>
      </c>
      <c r="G152" t="inlineStr">
        <is>
          <t>BS001</t>
        </is>
      </c>
      <c r="H152" t="inlineStr">
        <is>
          <t>17 Januari 2017</t>
        </is>
      </c>
      <c r="I152" s="2" t="n">
        <v>46206</v>
      </c>
      <c r="J152" t="inlineStr">
        <is>
          <t>Pencabutan</t>
        </is>
      </c>
      <c r="K152" t="n">
        <v>30</v>
      </c>
      <c r="L152" t="inlineStr">
        <is>
          <t>3 Juli 2026</t>
        </is>
      </c>
      <c r="M152" t="inlineStr">
        <is>
          <t>Konstruksi Bangunan Sipil Jalan</t>
        </is>
      </c>
      <c r="N152" t="inlineStr">
        <is>
          <t>K</t>
        </is>
      </c>
      <c r="O152" t="inlineStr">
        <is>
          <t>20230626</t>
        </is>
      </c>
      <c r="P152" t="inlineStr">
        <is>
          <t>Sumatera Barat</t>
        </is>
      </c>
      <c r="Q152" t="inlineStr"/>
    </row>
    <row r="153">
      <c r="A153" t="inlineStr">
        <is>
          <t>SETYA MITRA PERKASA</t>
        </is>
      </c>
      <c r="B153" t="inlineStr">
        <is>
          <t>Kab. Banyuwangi</t>
        </is>
      </c>
      <c r="C153" t="inlineStr">
        <is>
          <t>081249510808</t>
        </is>
      </c>
      <c r="D153" t="inlineStr">
        <is>
          <t>smp59cv@gmail.com</t>
        </is>
      </c>
      <c r="E153" t="inlineStr">
        <is>
          <t>https://lpjk.pu.go.id/search-badan-usaha-detail/dGhsNE11OEVmSTBhdkRmRmNSMWc4QT09</t>
        </is>
      </c>
      <c r="F153" t="n">
        <v>1</v>
      </c>
      <c r="G153" t="inlineStr">
        <is>
          <t>BS004</t>
        </is>
      </c>
      <c r="H153" t="inlineStr">
        <is>
          <t>27 Desember 2006</t>
        </is>
      </c>
      <c r="I153" s="2" t="n">
        <v>46206</v>
      </c>
      <c r="J153" t="inlineStr">
        <is>
          <t>Disetujui</t>
        </is>
      </c>
      <c r="K153" t="n">
        <v>30</v>
      </c>
      <c r="L153" t="inlineStr">
        <is>
          <t>3 Juli 2026</t>
        </is>
      </c>
      <c r="M153" t="inlineStr">
        <is>
          <t>Konstruksi Jaringan Irigasi dan Drainase</t>
        </is>
      </c>
      <c r="N153" t="inlineStr">
        <is>
          <t>K</t>
        </is>
      </c>
      <c r="O153" t="inlineStr">
        <is>
          <t>20230627</t>
        </is>
      </c>
      <c r="P153" t="inlineStr">
        <is>
          <t>Jawa Timur</t>
        </is>
      </c>
      <c r="Q153" t="inlineStr"/>
    </row>
    <row r="154">
      <c r="A154" t="inlineStr">
        <is>
          <t>SIDO MULYO</t>
        </is>
      </c>
      <c r="B154" t="inlineStr">
        <is>
          <t>Kab. Pasuruan</t>
        </is>
      </c>
      <c r="C154" t="inlineStr">
        <is>
          <t>081234642800</t>
        </is>
      </c>
      <c r="D154" t="inlineStr">
        <is>
          <t>sidomulyocv8@gmail.com</t>
        </is>
      </c>
      <c r="E154" t="inlineStr">
        <is>
          <t>https://lpjk.pu.go.id/search-badan-usaha-detail/WEtvZ1gxUUl5amlrZ0J3YjEzYzJ4dz09</t>
        </is>
      </c>
      <c r="F154" t="n">
        <v>1</v>
      </c>
      <c r="G154" t="inlineStr">
        <is>
          <t>BS004</t>
        </is>
      </c>
      <c r="H154" t="inlineStr">
        <is>
          <t>9 Januari 2004</t>
        </is>
      </c>
      <c r="I154" s="2" t="n">
        <v>46206</v>
      </c>
      <c r="J154" t="inlineStr">
        <is>
          <t>Disetujui</t>
        </is>
      </c>
      <c r="K154" t="n">
        <v>30</v>
      </c>
      <c r="L154" t="inlineStr">
        <is>
          <t>3 Juli 2026</t>
        </is>
      </c>
      <c r="M154" t="inlineStr">
        <is>
          <t>Konstruksi Jaringan Irigasi dan Drainase</t>
        </is>
      </c>
      <c r="N154" t="inlineStr">
        <is>
          <t>K</t>
        </is>
      </c>
      <c r="O154" t="inlineStr">
        <is>
          <t>20230703</t>
        </is>
      </c>
      <c r="P154" t="inlineStr">
        <is>
          <t>Jawa Timur</t>
        </is>
      </c>
      <c r="Q154" t="inlineStr"/>
    </row>
    <row r="155">
      <c r="A155" t="inlineStr">
        <is>
          <t>SINAR TIMU</t>
        </is>
      </c>
      <c r="B155" t="inlineStr">
        <is>
          <t>Kota Kendari</t>
        </is>
      </c>
      <c r="C155" t="inlineStr">
        <is>
          <t>085215207884</t>
        </is>
      </c>
      <c r="D155" t="inlineStr">
        <is>
          <t>cvtimusinar@gmail.com</t>
        </is>
      </c>
      <c r="E155" t="inlineStr">
        <is>
          <t>https://lpjk.pu.go.id/search-badan-usaha-detail/bGppUkh5S1ROMjJiYXgwSWt1cXNvZz09</t>
        </is>
      </c>
      <c r="F155" t="n">
        <v>2</v>
      </c>
      <c r="G155" t="inlineStr">
        <is>
          <t>BG001, BG008</t>
        </is>
      </c>
      <c r="H155" t="inlineStr">
        <is>
          <t>4 Desember 2003</t>
        </is>
      </c>
      <c r="I155" s="2" t="n">
        <v>46206</v>
      </c>
      <c r="J155" t="inlineStr">
        <is>
          <t>Disetujui</t>
        </is>
      </c>
      <c r="K155" t="n">
        <v>30</v>
      </c>
      <c r="L155" t="inlineStr">
        <is>
          <t>3 Juli 2026</t>
        </is>
      </c>
      <c r="M155" t="inlineStr">
        <is>
          <t>Konstruksi Gedung Hunian, Konstruksi Gedung Tempat Hiburan dan Olahraga</t>
        </is>
      </c>
      <c r="N155" t="inlineStr">
        <is>
          <t>K</t>
        </is>
      </c>
      <c r="O155" t="inlineStr">
        <is>
          <t>20230627</t>
        </is>
      </c>
      <c r="P155" t="inlineStr">
        <is>
          <t>Sulawesi Tenggara</t>
        </is>
      </c>
      <c r="Q155" t="inlineStr"/>
    </row>
    <row r="156">
      <c r="A156" t="inlineStr">
        <is>
          <t>SINAR VILOTY</t>
        </is>
      </c>
      <c r="B156" t="inlineStr">
        <is>
          <t>Kab. Merauke</t>
        </is>
      </c>
      <c r="C156" t="inlineStr">
        <is>
          <t>082198629775</t>
        </is>
      </c>
      <c r="D156" t="inlineStr">
        <is>
          <t>sinarviloty868@gmail.com</t>
        </is>
      </c>
      <c r="E156" t="inlineStr">
        <is>
          <t>https://lpjk.pu.go.id/search-badan-usaha-detail/U2ZQOTZCMHl0TGNkNm5DL09ockNZdz09</t>
        </is>
      </c>
      <c r="F156" t="n">
        <v>1</v>
      </c>
      <c r="G156" t="inlineStr">
        <is>
          <t>BG006</t>
        </is>
      </c>
      <c r="H156" t="inlineStr">
        <is>
          <t>28 Agustus 2007</t>
        </is>
      </c>
      <c r="I156" s="2" t="n">
        <v>46206</v>
      </c>
      <c r="J156" t="inlineStr">
        <is>
          <t>Disetujui</t>
        </is>
      </c>
      <c r="K156" t="n">
        <v>30</v>
      </c>
      <c r="L156" t="inlineStr">
        <is>
          <t>3 Juli 2026</t>
        </is>
      </c>
      <c r="M156" t="inlineStr">
        <is>
          <t>Konstruksi Gedung Pendidikan</t>
        </is>
      </c>
      <c r="N156" t="inlineStr">
        <is>
          <t>K</t>
        </is>
      </c>
      <c r="O156" t="inlineStr">
        <is>
          <t>20230602</t>
        </is>
      </c>
      <c r="P156" t="inlineStr">
        <is>
          <t>Papua Selatan</t>
        </is>
      </c>
      <c r="Q156" t="inlineStr"/>
    </row>
    <row r="157">
      <c r="A157" t="inlineStr">
        <is>
          <t>SKETSA KATA DESIGN</t>
        </is>
      </c>
      <c r="B157" t="inlineStr">
        <is>
          <t>Kab. Yalimo</t>
        </is>
      </c>
      <c r="C157" t="inlineStr">
        <is>
          <t>082194583714</t>
        </is>
      </c>
      <c r="D157" t="inlineStr">
        <is>
          <t>cvsketsakatadesign@gmail.com</t>
        </is>
      </c>
      <c r="E157" t="inlineStr">
        <is>
          <t>https://lpjk.pu.go.id/search-badan-usaha-detail/VlBxODlDMmY5akttbUhzK2xmS0JhUT09</t>
        </is>
      </c>
      <c r="F157" t="n">
        <v>3</v>
      </c>
      <c r="G157" t="inlineStr">
        <is>
          <t>AR001, RK002, RK003</t>
        </is>
      </c>
      <c r="H157" t="inlineStr">
        <is>
          <t>28 Februari 2023</t>
        </is>
      </c>
      <c r="I157" s="2" t="n">
        <v>46206</v>
      </c>
      <c r="J157" t="inlineStr">
        <is>
          <t>Disetujui, Pencabutan</t>
        </is>
      </c>
      <c r="K157" t="n">
        <v>30</v>
      </c>
      <c r="L157" t="inlineStr">
        <is>
          <t>3 Juli 2026</t>
        </is>
      </c>
      <c r="M157" t="inlineStr">
        <is>
          <t>Jasa Arsitektural Bangunan Gedung Hunian dan Non Hunian, Jasa Rekayasa Pekerjaan Teknik Sipil Sumber Daya Air, Jasa Rekayasa Pekerjaan Teknik Sipil Transportasi</t>
        </is>
      </c>
      <c r="N157" t="inlineStr">
        <is>
          <t>K</t>
        </is>
      </c>
      <c r="O157" t="inlineStr">
        <is>
          <t>20230607</t>
        </is>
      </c>
      <c r="P157" t="inlineStr">
        <is>
          <t>Papua</t>
        </is>
      </c>
      <c r="Q157" t="inlineStr"/>
    </row>
    <row r="158">
      <c r="A158" t="inlineStr">
        <is>
          <t>SOFYAN MANDIRI</t>
        </is>
      </c>
      <c r="B158" t="inlineStr">
        <is>
          <t>Kab. Bima</t>
        </is>
      </c>
      <c r="C158" t="inlineStr">
        <is>
          <t>081237172319</t>
        </is>
      </c>
      <c r="D158" t="inlineStr">
        <is>
          <t>cvsofyanmandiri123@gmail.com</t>
        </is>
      </c>
      <c r="E158" t="inlineStr">
        <is>
          <t>https://lpjk.pu.go.id/search-badan-usaha-detail/L3l4WkVyMVBIbkdPS0tzVFVVNGREYUovTmpmTHNKcEJXaVdlcFlzS09oND0</t>
        </is>
      </c>
      <c r="F158" t="n">
        <v>2</v>
      </c>
      <c r="G158" t="inlineStr">
        <is>
          <t>BS004, BS005</t>
        </is>
      </c>
      <c r="H158" t="inlineStr">
        <is>
          <t>13 Februari 2020</t>
        </is>
      </c>
      <c r="I158" s="2" t="n">
        <v>46206</v>
      </c>
      <c r="J158" t="inlineStr">
        <is>
          <t>Disetujui</t>
        </is>
      </c>
      <c r="K158" t="n">
        <v>30</v>
      </c>
      <c r="L158" t="inlineStr">
        <is>
          <t>3 Juli 2026</t>
        </is>
      </c>
      <c r="M158" t="inlineStr">
        <is>
          <t>Konstruksi Bangunan Sipil Pengolahan Air Bersih, Konstruksi Jaringan Irigasi dan Drainase</t>
        </is>
      </c>
      <c r="N158" t="inlineStr">
        <is>
          <t>K</t>
        </is>
      </c>
      <c r="O158" t="inlineStr">
        <is>
          <t>20230627</t>
        </is>
      </c>
      <c r="P158" t="inlineStr">
        <is>
          <t>Nusa Tenggara Barat</t>
        </is>
      </c>
      <c r="Q158" t="inlineStr"/>
    </row>
    <row r="159">
      <c r="A159" t="inlineStr">
        <is>
          <t>SUMBER BERKAT ASRI</t>
        </is>
      </c>
      <c r="B159" t="inlineStr">
        <is>
          <t>Kota Tangerang</t>
        </is>
      </c>
      <c r="C159" t="inlineStr">
        <is>
          <t>0215529072</t>
        </is>
      </c>
      <c r="D159" t="inlineStr">
        <is>
          <t>sumberberkat_asri@yahoo.co.id</t>
        </is>
      </c>
      <c r="E159" t="inlineStr">
        <is>
          <t>https://lpjk.pu.go.id/search-badan-usaha-detail/Y2wwUVVKZ1F6TkVjMFUzQW5sYjVMZz09</t>
        </is>
      </c>
      <c r="F159" t="n">
        <v>2</v>
      </c>
      <c r="G159" t="inlineStr">
        <is>
          <t>BG001, BG008</t>
        </is>
      </c>
      <c r="H159" t="inlineStr">
        <is>
          <t>3 Oktober 2013</t>
        </is>
      </c>
      <c r="I159" s="2" t="n">
        <v>46206</v>
      </c>
      <c r="J159" t="inlineStr">
        <is>
          <t>Disetujui</t>
        </is>
      </c>
      <c r="K159" t="n">
        <v>30</v>
      </c>
      <c r="L159" t="inlineStr">
        <is>
          <t>3 Juli 2026</t>
        </is>
      </c>
      <c r="M159" t="inlineStr">
        <is>
          <t>Konstruksi Gedung Hunian, Konstruksi Gedung Tempat Hiburan dan Olahraga</t>
        </is>
      </c>
      <c r="N159" t="inlineStr">
        <is>
          <t>K</t>
        </is>
      </c>
      <c r="O159" t="inlineStr">
        <is>
          <t>20230209, 20230620</t>
        </is>
      </c>
      <c r="P159" t="inlineStr">
        <is>
          <t>Banten</t>
        </is>
      </c>
      <c r="Q159" t="inlineStr"/>
    </row>
    <row r="160">
      <c r="A160" t="inlineStr">
        <is>
          <t>SURYA KAMI YASHKA</t>
        </is>
      </c>
      <c r="B160" t="inlineStr">
        <is>
          <t>Kota Jambi</t>
        </is>
      </c>
      <c r="C160" t="inlineStr">
        <is>
          <t>08111716583</t>
        </is>
      </c>
      <c r="D160" t="inlineStr">
        <is>
          <t>suryaskyjambi@gmail.com</t>
        </is>
      </c>
      <c r="E160" t="inlineStr">
        <is>
          <t>https://lpjk.pu.go.id/search-badan-usaha-detail/SmxIVml2SFQ2cmJEVnlhOEYyMHNhdz09</t>
        </is>
      </c>
      <c r="F160" t="n">
        <v>2</v>
      </c>
      <c r="G160" t="inlineStr">
        <is>
          <t>BS001, BS004</t>
        </is>
      </c>
      <c r="H160" t="inlineStr">
        <is>
          <t>30 Maret 2023</t>
        </is>
      </c>
      <c r="I160" s="2" t="n">
        <v>46206</v>
      </c>
      <c r="J160" t="inlineStr">
        <is>
          <t>Pencabutan</t>
        </is>
      </c>
      <c r="K160" t="n">
        <v>30</v>
      </c>
      <c r="L160" t="inlineStr">
        <is>
          <t>3 Juli 2026</t>
        </is>
      </c>
      <c r="M160" t="inlineStr">
        <is>
          <t>Konstruksi Bangunan Sipil Jalan, Konstruksi Jaringan Irigasi dan Drainase</t>
        </is>
      </c>
      <c r="N160" t="inlineStr">
        <is>
          <t>K</t>
        </is>
      </c>
      <c r="O160" t="inlineStr">
        <is>
          <t>20230627</t>
        </is>
      </c>
      <c r="P160" t="inlineStr">
        <is>
          <t>Jambi</t>
        </is>
      </c>
      <c r="Q160" t="inlineStr"/>
    </row>
    <row r="161">
      <c r="A161" t="inlineStr">
        <is>
          <t>THREETE PERSADA</t>
        </is>
      </c>
      <c r="B161" t="inlineStr">
        <is>
          <t>Kab. Buru Selatan</t>
        </is>
      </c>
      <c r="C161" t="inlineStr">
        <is>
          <t>082267763667</t>
        </is>
      </c>
      <c r="D161" t="inlineStr">
        <is>
          <t>cvthreetepersada@gmail.com</t>
        </is>
      </c>
      <c r="E161" t="inlineStr">
        <is>
          <t>https://lpjk.pu.go.id/search-badan-usaha-detail/aXRVR0hBWFVOTVFZNXM1MitqVFp5QT09</t>
        </is>
      </c>
      <c r="F161" t="n">
        <v>2</v>
      </c>
      <c r="G161" t="inlineStr">
        <is>
          <t>BG006, BG009</t>
        </is>
      </c>
      <c r="H161" t="inlineStr">
        <is>
          <t>2 Februari 2023</t>
        </is>
      </c>
      <c r="I161" s="2" t="n">
        <v>46206</v>
      </c>
      <c r="J161" t="inlineStr">
        <is>
          <t>Disetujui</t>
        </is>
      </c>
      <c r="K161" t="n">
        <v>30</v>
      </c>
      <c r="L161" t="inlineStr">
        <is>
          <t>3 Juli 2026</t>
        </is>
      </c>
      <c r="M161" t="inlineStr">
        <is>
          <t>Konstruksi Gedung Lainnya, Konstruksi Gedung Pendidikan</t>
        </is>
      </c>
      <c r="N161" t="inlineStr">
        <is>
          <t>K</t>
        </is>
      </c>
      <c r="O161" t="inlineStr">
        <is>
          <t>20230623</t>
        </is>
      </c>
      <c r="P161" t="inlineStr">
        <is>
          <t>Maluku</t>
        </is>
      </c>
      <c r="Q161" t="inlineStr"/>
    </row>
    <row r="162">
      <c r="A162" t="inlineStr">
        <is>
          <t>TRAYA REKADAYA EFENDI</t>
        </is>
      </c>
      <c r="B162" t="inlineStr">
        <is>
          <t>Kab. Temanggung</t>
        </is>
      </c>
      <c r="C162" t="inlineStr">
        <is>
          <t>081249754532</t>
        </is>
      </c>
      <c r="D162" t="inlineStr">
        <is>
          <t>traya03.tmg@gmail.com</t>
        </is>
      </c>
      <c r="E162" t="inlineStr">
        <is>
          <t>https://lpjk.pu.go.id/search-badan-usaha-detail/NWFqbytyTkpVZWpKOEtXM2JsTkNoZz09</t>
        </is>
      </c>
      <c r="F162" t="n">
        <v>1</v>
      </c>
      <c r="G162" t="inlineStr">
        <is>
          <t>BS002</t>
        </is>
      </c>
      <c r="H162" t="inlineStr">
        <is>
          <t>16 Februari 2023</t>
        </is>
      </c>
      <c r="I162" s="2" t="n">
        <v>46206</v>
      </c>
      <c r="J162" t="inlineStr">
        <is>
          <t>Disetujui</t>
        </is>
      </c>
      <c r="K162" t="n">
        <v>30</v>
      </c>
      <c r="L162" t="inlineStr">
        <is>
          <t>3 Juli 2026</t>
        </is>
      </c>
      <c r="M162" t="inlineStr">
        <is>
          <t>Bangunan Sipil Jembatan, Jalan Layang, Fly Over, dan Underpass</t>
        </is>
      </c>
      <c r="N162" t="inlineStr">
        <is>
          <t>K</t>
        </is>
      </c>
      <c r="O162" t="inlineStr">
        <is>
          <t>20230701</t>
        </is>
      </c>
      <c r="P162" t="inlineStr">
        <is>
          <t>Jawa Tengah</t>
        </is>
      </c>
      <c r="Q162" t="inlineStr"/>
    </row>
    <row r="163">
      <c r="A163" t="inlineStr">
        <is>
          <t>TRIASA</t>
        </is>
      </c>
      <c r="B163" t="inlineStr">
        <is>
          <t>Kab. Sleman</t>
        </is>
      </c>
      <c r="C163" t="inlineStr">
        <is>
          <t>0274895038</t>
        </is>
      </c>
      <c r="D163" t="inlineStr">
        <is>
          <t>cv_triasa@ymail.com</t>
        </is>
      </c>
      <c r="E163" t="inlineStr">
        <is>
          <t>https://lpjk.pu.go.id/search-badan-usaha-detail/VHFJWHlwNVVlVWVDWVd5MEp2dnlwQT09</t>
        </is>
      </c>
      <c r="F163" t="n">
        <v>3</v>
      </c>
      <c r="G163" t="inlineStr">
        <is>
          <t>BS004</t>
        </is>
      </c>
      <c r="H163" t="inlineStr">
        <is>
          <t>3 September 1985</t>
        </is>
      </c>
      <c r="I163" s="2" t="n">
        <v>46206</v>
      </c>
      <c r="J163" t="inlineStr">
        <is>
          <t>Disetujui</t>
        </is>
      </c>
      <c r="K163" t="n">
        <v>30</v>
      </c>
      <c r="L163" t="inlineStr">
        <is>
          <t>3 Juli 2026</t>
        </is>
      </c>
      <c r="M163" t="inlineStr">
        <is>
          <t>Konstruksi Jaringan Irigasi dan Drainase</t>
        </is>
      </c>
      <c r="N163" t="inlineStr">
        <is>
          <t>K</t>
        </is>
      </c>
      <c r="O163" t="inlineStr">
        <is>
          <t>20230628</t>
        </is>
      </c>
      <c r="P163" t="inlineStr">
        <is>
          <t>DI Yogyakarta</t>
        </is>
      </c>
      <c r="Q163" t="inlineStr"/>
    </row>
    <row r="164">
      <c r="A164" t="inlineStr">
        <is>
          <t>TUAH MERBAY</t>
        </is>
      </c>
      <c r="B164" t="inlineStr">
        <is>
          <t>Kab. Sintang</t>
        </is>
      </c>
      <c r="C164" t="inlineStr">
        <is>
          <t>082152082466</t>
        </is>
      </c>
      <c r="D164" t="inlineStr">
        <is>
          <t>cvtuahmerbay2023@gmail.com</t>
        </is>
      </c>
      <c r="E164" t="inlineStr">
        <is>
          <t>https://lpjk.pu.go.id/search-badan-usaha-detail/UjZqajhvUWdyV2p1WEtNNWNyMXZoRUUvOWk4Qytsd3VVRWRrMkQxcndIdz0</t>
        </is>
      </c>
      <c r="F164" t="n">
        <v>1</v>
      </c>
      <c r="G164" t="inlineStr">
        <is>
          <t>BS001</t>
        </is>
      </c>
      <c r="H164" t="inlineStr">
        <is>
          <t>3 Agustus 2015</t>
        </is>
      </c>
      <c r="I164" s="2" t="n">
        <v>46206</v>
      </c>
      <c r="J164" t="inlineStr">
        <is>
          <t>Disetujui</t>
        </is>
      </c>
      <c r="K164" t="n">
        <v>30</v>
      </c>
      <c r="L164" t="inlineStr">
        <is>
          <t>3 Juli 2026</t>
        </is>
      </c>
      <c r="M164" t="inlineStr">
        <is>
          <t>Konstruksi Bangunan Sipil Jalan</t>
        </is>
      </c>
      <c r="N164" t="inlineStr">
        <is>
          <t>K</t>
        </is>
      </c>
      <c r="O164" t="inlineStr">
        <is>
          <t>20230623</t>
        </is>
      </c>
      <c r="P164" t="inlineStr">
        <is>
          <t>Kalimantan Barat</t>
        </is>
      </c>
      <c r="Q164" t="inlineStr"/>
    </row>
    <row r="165">
      <c r="A165" t="inlineStr">
        <is>
          <t>TUNAS HARAPAN</t>
        </is>
      </c>
      <c r="B165" t="inlineStr">
        <is>
          <t>Kota Magelang</t>
        </is>
      </c>
      <c r="C165" t="inlineStr">
        <is>
          <t>085743337005</t>
        </is>
      </c>
      <c r="D165" t="inlineStr">
        <is>
          <t>tunasharapan05@gmail.com</t>
        </is>
      </c>
      <c r="E165" t="inlineStr">
        <is>
          <t>https://lpjk.pu.go.id/search-badan-usaha-detail/Z0ZRS2hMenlBcUVpZVdpK1VHMDlvQT09</t>
        </is>
      </c>
      <c r="F165" t="n">
        <v>1</v>
      </c>
      <c r="G165" t="inlineStr">
        <is>
          <t>BS001</t>
        </is>
      </c>
      <c r="H165" t="inlineStr">
        <is>
          <t>28 Januari 2009</t>
        </is>
      </c>
      <c r="I165" s="2" t="n">
        <v>46206</v>
      </c>
      <c r="J165" t="inlineStr">
        <is>
          <t>Disetujui</t>
        </is>
      </c>
      <c r="K165" t="n">
        <v>30</v>
      </c>
      <c r="L165" t="inlineStr">
        <is>
          <t>3 Juli 2026</t>
        </is>
      </c>
      <c r="M165" t="inlineStr">
        <is>
          <t>Konstruksi Bangunan Sipil Jalan</t>
        </is>
      </c>
      <c r="N165" t="inlineStr">
        <is>
          <t>K</t>
        </is>
      </c>
      <c r="O165" t="inlineStr">
        <is>
          <t>20230627</t>
        </is>
      </c>
      <c r="P165" t="inlineStr">
        <is>
          <t>Jawa Tengah</t>
        </is>
      </c>
      <c r="Q165" t="inlineStr"/>
    </row>
    <row r="166">
      <c r="A166" t="inlineStr">
        <is>
          <t>USAHA BERSAMA MANDIRI</t>
        </is>
      </c>
      <c r="B166" t="inlineStr">
        <is>
          <t>Kab. Malang</t>
        </is>
      </c>
      <c r="C166" t="inlineStr">
        <is>
          <t>081477041870</t>
        </is>
      </c>
      <c r="D166" t="inlineStr">
        <is>
          <t>123sumberoto@gmail.com</t>
        </is>
      </c>
      <c r="E166" t="inlineStr">
        <is>
          <t>https://lpjk.pu.go.id/search-badan-usaha-detail/RDBrdUtCWUJSZFVvVmtIekJYcUNrdz09</t>
        </is>
      </c>
      <c r="F166" t="n">
        <v>3</v>
      </c>
      <c r="G166" t="inlineStr">
        <is>
          <t>BS001, BS002, BS004</t>
        </is>
      </c>
      <c r="H166" t="inlineStr">
        <is>
          <t>26 Mei 2006</t>
        </is>
      </c>
      <c r="I166" s="2" t="n">
        <v>46206</v>
      </c>
      <c r="J166" t="inlineStr">
        <is>
          <t>Disetujui</t>
        </is>
      </c>
      <c r="K166" t="n">
        <v>30</v>
      </c>
      <c r="L166" t="inlineStr">
        <is>
          <t>3 Juli 2026</t>
        </is>
      </c>
      <c r="M166" t="inlineStr">
        <is>
          <t>Bangunan Sipil Jembatan, Jalan Layang, Fly Over, dan Underpass, Konstruksi Bangunan Sipil Jalan, Konstruksi Jaringan Irigasi dan Drainase</t>
        </is>
      </c>
      <c r="N166" t="inlineStr">
        <is>
          <t>K</t>
        </is>
      </c>
      <c r="O166" t="inlineStr">
        <is>
          <t>20230702, 20230703</t>
        </is>
      </c>
      <c r="P166" t="inlineStr">
        <is>
          <t>Jawa Timur</t>
        </is>
      </c>
      <c r="Q166" t="inlineStr"/>
    </row>
    <row r="167">
      <c r="A167" t="inlineStr">
        <is>
          <t>USAHA BHAKTI MANDIRI</t>
        </is>
      </c>
      <c r="B167" t="inlineStr">
        <is>
          <t>Kota Padang</t>
        </is>
      </c>
      <c r="C167" t="inlineStr">
        <is>
          <t>82170200401</t>
        </is>
      </c>
      <c r="D167" t="inlineStr">
        <is>
          <t>cvubmpdg@yahoo.com</t>
        </is>
      </c>
      <c r="E167" t="inlineStr">
        <is>
          <t>https://lpjk.pu.go.id/search-badan-usaha-detail/d1dRN3hHc045MGVQL0tzSi9iZWVudz09</t>
        </is>
      </c>
      <c r="F167" t="n">
        <v>5</v>
      </c>
      <c r="G167" t="inlineStr">
        <is>
          <t>BG001, BG002, BG005, BG006, BG009</t>
        </is>
      </c>
      <c r="H167" t="inlineStr">
        <is>
          <t>18 Desember 2003</t>
        </is>
      </c>
      <c r="I167" s="2" t="n">
        <v>46206</v>
      </c>
      <c r="J167" t="inlineStr">
        <is>
          <t>Disetujui</t>
        </is>
      </c>
      <c r="K167" t="n">
        <v>30</v>
      </c>
      <c r="L167" t="inlineStr">
        <is>
          <t>3 Juli 2026</t>
        </is>
      </c>
      <c r="M167" t="inlineStr">
        <is>
          <t>Konstruksi Gedung Hunian, Konstruksi Gedung Kesehatan, Konstruksi Gedung Lainnya, Konstruksi Gedung Pendidikan, Konstruksi Gedung Perkantoran</t>
        </is>
      </c>
      <c r="N167" t="inlineStr">
        <is>
          <t>K</t>
        </is>
      </c>
      <c r="O167" t="inlineStr">
        <is>
          <t>20230610, 20230703</t>
        </is>
      </c>
      <c r="P167" t="inlineStr">
        <is>
          <t>Sumatera Barat</t>
        </is>
      </c>
      <c r="Q167" t="inlineStr"/>
    </row>
    <row r="168">
      <c r="A168" t="inlineStr">
        <is>
          <t>UTAMA KARYA</t>
        </is>
      </c>
      <c r="B168" t="inlineStr">
        <is>
          <t>Kab. Mamasa</t>
        </is>
      </c>
      <c r="C168" t="inlineStr">
        <is>
          <t>081349845504</t>
        </is>
      </c>
      <c r="D168" t="inlineStr">
        <is>
          <t>cvutamakarya9@gmail.com</t>
        </is>
      </c>
      <c r="E168" t="inlineStr">
        <is>
          <t>https://lpjk.pu.go.id/search-badan-usaha-detail/VXN3UTlLUXRVWW9PM2NvMHdrNURLZz09</t>
        </is>
      </c>
      <c r="F168" t="n">
        <v>1</v>
      </c>
      <c r="G168" t="inlineStr">
        <is>
          <t>BG006</t>
        </is>
      </c>
      <c r="H168" t="inlineStr">
        <is>
          <t>3 Februari 2017</t>
        </is>
      </c>
      <c r="I168" s="2" t="n">
        <v>46206</v>
      </c>
      <c r="J168" t="inlineStr">
        <is>
          <t>Disetujui</t>
        </is>
      </c>
      <c r="K168" t="n">
        <v>30</v>
      </c>
      <c r="L168" t="inlineStr">
        <is>
          <t>3 Juli 2026</t>
        </is>
      </c>
      <c r="M168" t="inlineStr">
        <is>
          <t>Konstruksi Gedung Pendidikan</t>
        </is>
      </c>
      <c r="N168" t="inlineStr">
        <is>
          <t>K</t>
        </is>
      </c>
      <c r="O168" t="inlineStr">
        <is>
          <t>20230628</t>
        </is>
      </c>
      <c r="P168" t="inlineStr">
        <is>
          <t>Sulawesi Barat</t>
        </is>
      </c>
      <c r="Q168" t="inlineStr"/>
    </row>
    <row r="169">
      <c r="A169" t="inlineStr">
        <is>
          <t>UTAMA KARYA</t>
        </is>
      </c>
      <c r="B169" t="inlineStr">
        <is>
          <t>Kab. Kudus</t>
        </is>
      </c>
      <c r="C169" t="inlineStr">
        <is>
          <t>(0291) 4249729</t>
        </is>
      </c>
      <c r="D169" t="inlineStr">
        <is>
          <t>cv.utamakarya02@yahoo.com</t>
        </is>
      </c>
      <c r="E169" t="inlineStr">
        <is>
          <t>https://lpjk.pu.go.id/search-badan-usaha-detail/bloxM3lWNmZCL0d6alJEK0ZNQ0F3Zz09</t>
        </is>
      </c>
      <c r="F169" t="n">
        <v>1</v>
      </c>
      <c r="G169" t="inlineStr">
        <is>
          <t>BS001</t>
        </is>
      </c>
      <c r="H169" t="inlineStr">
        <is>
          <t>24 Juli 2002</t>
        </is>
      </c>
      <c r="I169" s="2" t="n">
        <v>46206</v>
      </c>
      <c r="J169" t="inlineStr">
        <is>
          <t>Disetujui</t>
        </is>
      </c>
      <c r="K169" t="n">
        <v>30</v>
      </c>
      <c r="L169" t="inlineStr">
        <is>
          <t>3 Juli 2026</t>
        </is>
      </c>
      <c r="M169" t="inlineStr">
        <is>
          <t>Konstruksi Bangunan Sipil Jalan</t>
        </is>
      </c>
      <c r="N169" t="inlineStr">
        <is>
          <t>K</t>
        </is>
      </c>
      <c r="O169" t="inlineStr">
        <is>
          <t>20230703</t>
        </is>
      </c>
      <c r="P169" t="inlineStr">
        <is>
          <t>Jawa Tengah</t>
        </is>
      </c>
      <c r="Q169" t="inlineStr"/>
    </row>
    <row r="170">
      <c r="A170" t="inlineStr">
        <is>
          <t>VISTA EMAS SEJATI</t>
        </is>
      </c>
      <c r="B170" t="inlineStr">
        <is>
          <t>Kota Pontianak</t>
        </is>
      </c>
      <c r="C170" t="inlineStr">
        <is>
          <t>085245653666</t>
        </is>
      </c>
      <c r="D170" t="inlineStr">
        <is>
          <t>vistaemassejati12@gmail.com</t>
        </is>
      </c>
      <c r="E170" t="inlineStr">
        <is>
          <t>https://lpjk.pu.go.id/search-badan-usaha-detail/SmdzODFBdmxIL2RqYjRWVHJ3NGF0QT09</t>
        </is>
      </c>
      <c r="F170" t="n">
        <v>1</v>
      </c>
      <c r="G170" t="inlineStr">
        <is>
          <t>BG005</t>
        </is>
      </c>
      <c r="H170" t="inlineStr">
        <is>
          <t>31 Oktober 2007</t>
        </is>
      </c>
      <c r="I170" s="2" t="n">
        <v>46206</v>
      </c>
      <c r="J170" t="inlineStr">
        <is>
          <t>Disetujui</t>
        </is>
      </c>
      <c r="K170" t="n">
        <v>30</v>
      </c>
      <c r="L170" t="inlineStr">
        <is>
          <t>3 Juli 2026</t>
        </is>
      </c>
      <c r="M170" t="inlineStr">
        <is>
          <t>Konstruksi Gedung Kesehatan</t>
        </is>
      </c>
      <c r="N170" t="inlineStr">
        <is>
          <t>K</t>
        </is>
      </c>
      <c r="O170" t="inlineStr">
        <is>
          <t>20230701</t>
        </is>
      </c>
      <c r="P170" t="inlineStr">
        <is>
          <t>Kalimantan Barat</t>
        </is>
      </c>
      <c r="Q170" t="inlineStr"/>
    </row>
    <row r="171">
      <c r="A171" t="inlineStr">
        <is>
          <t>WAHYU INTAN</t>
        </is>
      </c>
      <c r="B171" t="inlineStr">
        <is>
          <t>Kab. Sleman</t>
        </is>
      </c>
      <c r="C171" t="inlineStr">
        <is>
          <t>0274898485</t>
        </is>
      </c>
      <c r="D171" t="inlineStr">
        <is>
          <t>wahyuintan@gmail.com</t>
        </is>
      </c>
      <c r="E171" t="inlineStr">
        <is>
          <t>https://lpjk.pu.go.id/search-badan-usaha-detail/d0xrRlF6M1N1VHJoa3Ava3RxeFg4dz09</t>
        </is>
      </c>
      <c r="F171" t="n">
        <v>2</v>
      </c>
      <c r="G171" t="inlineStr">
        <is>
          <t>BS001, BS004</t>
        </is>
      </c>
      <c r="H171" t="inlineStr">
        <is>
          <t>19 Agustus 2003</t>
        </is>
      </c>
      <c r="I171" s="2" t="n">
        <v>46206</v>
      </c>
      <c r="J171" t="inlineStr">
        <is>
          <t>Disetujui</t>
        </is>
      </c>
      <c r="K171" t="n">
        <v>30</v>
      </c>
      <c r="L171" t="inlineStr">
        <is>
          <t>3 Juli 2026</t>
        </is>
      </c>
      <c r="M171" t="inlineStr">
        <is>
          <t>Konstruksi Bangunan Sipil Jalan, Konstruksi Jaringan Irigasi dan Drainase</t>
        </is>
      </c>
      <c r="N171" t="inlineStr">
        <is>
          <t>K</t>
        </is>
      </c>
      <c r="O171" t="inlineStr">
        <is>
          <t>20230614</t>
        </is>
      </c>
      <c r="P171" t="inlineStr">
        <is>
          <t>DI Yogyakarta</t>
        </is>
      </c>
      <c r="Q171" t="inlineStr"/>
    </row>
    <row r="172">
      <c r="A172" t="inlineStr">
        <is>
          <t>WIGUNA INDRA JAYA</t>
        </is>
      </c>
      <c r="B172" t="inlineStr">
        <is>
          <t>Kab. Bojonegoro</t>
        </is>
      </c>
      <c r="C172" t="inlineStr">
        <is>
          <t>085335412557</t>
        </is>
      </c>
      <c r="D172" t="inlineStr">
        <is>
          <t>indrawindra6@gmail.com</t>
        </is>
      </c>
      <c r="E172" t="inlineStr">
        <is>
          <t>https://lpjk.pu.go.id/search-badan-usaha-detail/cGQ0YlZnV0ZyWGprN1N3TDBZQ2llUT09</t>
        </is>
      </c>
      <c r="F172" t="n">
        <v>1</v>
      </c>
      <c r="G172" t="inlineStr">
        <is>
          <t>BS001</t>
        </is>
      </c>
      <c r="H172" t="inlineStr">
        <is>
          <t>15 November 2019</t>
        </is>
      </c>
      <c r="I172" s="2" t="n">
        <v>46206</v>
      </c>
      <c r="J172" t="inlineStr">
        <is>
          <t>Disetujui</t>
        </is>
      </c>
      <c r="K172" t="n">
        <v>30</v>
      </c>
      <c r="L172" t="inlineStr">
        <is>
          <t>3 Juli 2026</t>
        </is>
      </c>
      <c r="M172" t="inlineStr">
        <is>
          <t>Konstruksi Bangunan Sipil Jalan</t>
        </is>
      </c>
      <c r="N172" t="inlineStr">
        <is>
          <t>K</t>
        </is>
      </c>
      <c r="O172" t="inlineStr">
        <is>
          <t>20230703</t>
        </is>
      </c>
      <c r="P172" t="inlineStr">
        <is>
          <t>Jawa Timur</t>
        </is>
      </c>
      <c r="Q172" t="inlineStr"/>
    </row>
    <row r="173">
      <c r="A173" t="inlineStr">
        <is>
          <t>WINANTI SARI</t>
        </is>
      </c>
      <c r="B173" t="inlineStr">
        <is>
          <t>Kab. Majalengka</t>
        </is>
      </c>
      <c r="C173" t="inlineStr">
        <is>
          <t>085321919447</t>
        </is>
      </c>
      <c r="D173" t="inlineStr">
        <is>
          <t>cv.winantisari@gmail.com</t>
        </is>
      </c>
      <c r="E173" t="inlineStr">
        <is>
          <t>https://lpjk.pu.go.id/search-badan-usaha-detail/c3NuSDhyK2ZWWklwNmd1Q1FIbzhrdz09</t>
        </is>
      </c>
      <c r="F173" t="n">
        <v>4</v>
      </c>
      <c r="G173" t="inlineStr">
        <is>
          <t>BS001, BS004</t>
        </is>
      </c>
      <c r="H173" t="inlineStr">
        <is>
          <t>14 September 2016</t>
        </is>
      </c>
      <c r="I173" s="2" t="n">
        <v>46206</v>
      </c>
      <c r="J173" t="inlineStr">
        <is>
          <t>Disetujui</t>
        </is>
      </c>
      <c r="K173" t="n">
        <v>30</v>
      </c>
      <c r="L173" t="inlineStr">
        <is>
          <t>3 Juli 2026</t>
        </is>
      </c>
      <c r="M173" t="inlineStr">
        <is>
          <t>Konstruksi Bangunan Sipil Jalan, Konstruksi Jaringan Irigasi dan Drainase</t>
        </is>
      </c>
      <c r="N173" t="inlineStr">
        <is>
          <t>K</t>
        </is>
      </c>
      <c r="O173" t="inlineStr">
        <is>
          <t>20230627</t>
        </is>
      </c>
      <c r="P173" t="inlineStr">
        <is>
          <t>Jawa Barat</t>
        </is>
      </c>
      <c r="Q173" t="inlineStr"/>
    </row>
    <row r="174">
      <c r="A174" t="inlineStr">
        <is>
          <t>ZHAFRAN SUKSES BERJAYA</t>
        </is>
      </c>
      <c r="B174" t="inlineStr">
        <is>
          <t>Kab. Bangka Barat</t>
        </is>
      </c>
      <c r="C174" t="inlineStr">
        <is>
          <t>087801797500</t>
        </is>
      </c>
      <c r="D174" t="inlineStr">
        <is>
          <t>zhafransuksesberjaya@gmail.com</t>
        </is>
      </c>
      <c r="E174" t="inlineStr">
        <is>
          <t>https://lpjk.pu.go.id/search-badan-usaha-detail/UjhvMlBtSmt0NHdmNnZmS3ZpblZLQT09</t>
        </is>
      </c>
      <c r="F174" t="n">
        <v>2</v>
      </c>
      <c r="G174" t="inlineStr">
        <is>
          <t>BG006, BS001</t>
        </is>
      </c>
      <c r="H174" t="inlineStr">
        <is>
          <t>17 Oktober 2019</t>
        </is>
      </c>
      <c r="I174" s="2" t="n">
        <v>46206</v>
      </c>
      <c r="J174" t="inlineStr">
        <is>
          <t>Disetujui</t>
        </is>
      </c>
      <c r="K174" t="n">
        <v>30</v>
      </c>
      <c r="L174" t="inlineStr">
        <is>
          <t>3 Juli 2026</t>
        </is>
      </c>
      <c r="M174" t="inlineStr">
        <is>
          <t>Konstruksi Bangunan Sipil Jalan, Konstruksi Gedung Pendidikan</t>
        </is>
      </c>
      <c r="N174" t="inlineStr">
        <is>
          <t>K</t>
        </is>
      </c>
      <c r="O174" t="inlineStr">
        <is>
          <t>20230606, 20230623</t>
        </is>
      </c>
      <c r="P174" t="inlineStr">
        <is>
          <t>Kepulauan Bangka Belitung</t>
        </is>
      </c>
      <c r="Q17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2026-06-03T02:34:53Z</dcterms:created>
  <dcterms:modified xsi:type="dcterms:W3CDTF">2026-06-03T02:34:53Z</dcterms:modified>
</cp:coreProperties>
</file>