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cols>
    <col width="33" customWidth="1" min="1" max="1"/>
    <col width="27" customWidth="1" min="2" max="2"/>
    <col width="16" customWidth="1" min="3" max="3"/>
    <col width="38" customWidth="1" min="4" max="4"/>
    <col width="50" customWidth="1" min="5" max="5"/>
    <col width="18" customWidth="1" min="6" max="6"/>
    <col width="49"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AUFAR PUTRA MANDIRI</t>
        </is>
      </c>
      <c r="B2" t="inlineStr">
        <is>
          <t>Kota Adm. Jakarta Timur</t>
        </is>
      </c>
      <c r="C2" t="inlineStr">
        <is>
          <t>0218561278</t>
        </is>
      </c>
      <c r="D2" t="inlineStr">
        <is>
          <t>aufarputramandiri@gmail.com</t>
        </is>
      </c>
      <c r="E2" t="inlineStr">
        <is>
          <t>https://lpjk.pu.go.id/search-badan-usaha-detail/S0ZUcFdYVW41Z3hTOC9pVEF4NDhpUT09</t>
        </is>
      </c>
      <c r="F2" t="n">
        <v>1</v>
      </c>
      <c r="G2" t="inlineStr">
        <is>
          <t>BG002</t>
        </is>
      </c>
      <c r="H2" t="inlineStr">
        <is>
          <t>12 September 2020</t>
        </is>
      </c>
      <c r="I2" s="2" t="n">
        <v>46369</v>
      </c>
      <c r="J2" t="inlineStr">
        <is>
          <t>Disetujui</t>
        </is>
      </c>
      <c r="K2" t="n">
        <v>87</v>
      </c>
      <c r="L2" t="inlineStr">
        <is>
          <t>13 Desember 2026</t>
        </is>
      </c>
      <c r="M2" t="inlineStr">
        <is>
          <t>Konstruksi Gedung Perkantoran</t>
        </is>
      </c>
      <c r="N2" t="inlineStr">
        <is>
          <t>K</t>
        </is>
      </c>
      <c r="O2" t="inlineStr">
        <is>
          <t>20231212</t>
        </is>
      </c>
      <c r="P2" t="inlineStr">
        <is>
          <t>DKI Jakarta</t>
        </is>
      </c>
      <c r="Q2" t="inlineStr"/>
    </row>
    <row r="3">
      <c r="A3" t="inlineStr">
        <is>
          <t>GLOBAL ANGKASA SOLUTION</t>
        </is>
      </c>
      <c r="B3" t="inlineStr">
        <is>
          <t>Kab. Bogor</t>
        </is>
      </c>
      <c r="C3" t="inlineStr">
        <is>
          <t>087765454226</t>
        </is>
      </c>
      <c r="D3" t="inlineStr">
        <is>
          <t>globalangkasasolution@gmail.com</t>
        </is>
      </c>
      <c r="E3" t="inlineStr">
        <is>
          <t>https://lpjk.pu.go.id/search-badan-usaha-detail/UExOaStwYlhEdGNxUk03Z1dUWmIxUT09</t>
        </is>
      </c>
      <c r="F3" t="n">
        <v>2</v>
      </c>
      <c r="G3" t="inlineStr">
        <is>
          <t>BG003, BG005</t>
        </is>
      </c>
      <c r="H3" t="inlineStr">
        <is>
          <t>5 Agustus 2021</t>
        </is>
      </c>
      <c r="I3" s="2" t="n">
        <v>46369</v>
      </c>
      <c r="J3" t="inlineStr">
        <is>
          <t>Disetujui</t>
        </is>
      </c>
      <c r="K3" t="n">
        <v>87</v>
      </c>
      <c r="L3" t="inlineStr">
        <is>
          <t>13 Desember 2026</t>
        </is>
      </c>
      <c r="M3" t="inlineStr">
        <is>
          <t>Konstruksi Gedung Industri, Konstruksi Gedung Kesehatan</t>
        </is>
      </c>
      <c r="N3" t="inlineStr">
        <is>
          <t>K</t>
        </is>
      </c>
      <c r="O3" t="inlineStr">
        <is>
          <t>20231204</t>
        </is>
      </c>
      <c r="P3" t="inlineStr">
        <is>
          <t>Jawa Barat</t>
        </is>
      </c>
      <c r="Q3" s="3">
        <f>HYPERLINK("https://wa.me/6287765454226?text=Selamat siang Bapak/Ibu pimpinan GLOBAL ANGKASA SOLUTION,%0A%0ASemoga Bapak/Ibu dalam keadaan baik.%0ABerdasarkan data LPJK, masa berlaku SBU perusahaan Bapak/Ibu akan berakhir sekitar 3 bulan lagi (pada 13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GUMILANG CAHAYA MANDIRI</t>
        </is>
      </c>
      <c r="B4" t="inlineStr">
        <is>
          <t>Kota Bekasi</t>
        </is>
      </c>
      <c r="C4" t="inlineStr">
        <is>
          <t>02184309217</t>
        </is>
      </c>
      <c r="D4" t="inlineStr">
        <is>
          <t>gumilang.cahaya.mandiri@gmail.com</t>
        </is>
      </c>
      <c r="E4" t="inlineStr">
        <is>
          <t>https://lpjk.pu.go.id/search-badan-usaha-detail/TktBb2dGNnlmTDg0TTRnNFc3QkZBZz09</t>
        </is>
      </c>
      <c r="F4" t="n">
        <v>2</v>
      </c>
      <c r="G4" t="inlineStr">
        <is>
          <t>BG004, BG009</t>
        </is>
      </c>
      <c r="H4" t="inlineStr">
        <is>
          <t>15 Oktober 2015</t>
        </is>
      </c>
      <c r="I4" s="2" t="n">
        <v>46369</v>
      </c>
      <c r="J4" t="inlineStr">
        <is>
          <t>Disetujui</t>
        </is>
      </c>
      <c r="K4" t="n">
        <v>87</v>
      </c>
      <c r="L4" t="inlineStr">
        <is>
          <t>13 Desember 2026</t>
        </is>
      </c>
      <c r="M4" t="inlineStr">
        <is>
          <t>Konstruksi Gedung Lainnya, Konstruksi Gedung Perbelanjaan</t>
        </is>
      </c>
      <c r="N4" t="inlineStr">
        <is>
          <t>K</t>
        </is>
      </c>
      <c r="O4" t="inlineStr">
        <is>
          <t>20231213</t>
        </is>
      </c>
      <c r="P4" t="inlineStr">
        <is>
          <t>Jawa Barat</t>
        </is>
      </c>
      <c r="Q4" t="inlineStr"/>
    </row>
    <row r="5">
      <c r="A5" t="inlineStr">
        <is>
          <t>MARGA TIRTA ABADI</t>
        </is>
      </c>
      <c r="B5" t="inlineStr">
        <is>
          <t>Kota Adm. Jakarta Timur</t>
        </is>
      </c>
      <c r="C5" t="inlineStr">
        <is>
          <t>081293470224</t>
        </is>
      </c>
      <c r="D5" t="inlineStr">
        <is>
          <t>margatirtaabadi@gmail.com</t>
        </is>
      </c>
      <c r="E5" t="inlineStr">
        <is>
          <t>https://lpjk.pu.go.id/search-badan-usaha-detail/blREd3E1R0ZScC9RaXR0bkIrbFlxdz09</t>
        </is>
      </c>
      <c r="F5" t="n">
        <v>1</v>
      </c>
      <c r="G5" t="inlineStr">
        <is>
          <t>BG001</t>
        </is>
      </c>
      <c r="H5" t="inlineStr">
        <is>
          <t>13 Juni 2023</t>
        </is>
      </c>
      <c r="I5" s="2" t="n">
        <v>46369</v>
      </c>
      <c r="J5" t="inlineStr">
        <is>
          <t>Disetujui</t>
        </is>
      </c>
      <c r="K5" t="n">
        <v>87</v>
      </c>
      <c r="L5" t="inlineStr">
        <is>
          <t>13 Desember 2026</t>
        </is>
      </c>
      <c r="M5" t="inlineStr">
        <is>
          <t>Konstruksi Gedung Hunian</t>
        </is>
      </c>
      <c r="N5" t="inlineStr">
        <is>
          <t>K</t>
        </is>
      </c>
      <c r="O5" t="inlineStr">
        <is>
          <t>20231212</t>
        </is>
      </c>
      <c r="P5" t="inlineStr">
        <is>
          <t>DKI Jakarta</t>
        </is>
      </c>
      <c r="Q5" s="3">
        <f>HYPERLINK("https://wa.me/6281293470224?text=Selamat siang Bapak/Ibu pimpinan MARGA TIRTA ABADI,%0A%0ASemoga Bapak/Ibu dalam keadaan baik.%0ABerdasarkan data LPJK, masa berlaku SBU perusahaan Bapak/Ibu akan berakhir sekitar 3 bulan lagi (pada 13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YUDI DIANA LESTARI</t>
        </is>
      </c>
      <c r="B6" t="inlineStr">
        <is>
          <t>Kota Adm. Jakarta Timur</t>
        </is>
      </c>
      <c r="C6" t="inlineStr">
        <is>
          <t>8607926</t>
        </is>
      </c>
      <c r="D6" t="inlineStr">
        <is>
          <t>faridaarif89@gmail.com</t>
        </is>
      </c>
      <c r="E6" t="inlineStr">
        <is>
          <t>https://lpjk.pu.go.id/search-badan-usaha-detail/c2N5YzFuMkNudFVxdVRhRFdDbU5zQT09</t>
        </is>
      </c>
      <c r="F6" t="n">
        <v>2</v>
      </c>
      <c r="G6" t="inlineStr">
        <is>
          <t>BG002, BS001</t>
        </is>
      </c>
      <c r="H6" t="inlineStr">
        <is>
          <t>26 Mei 2008</t>
        </is>
      </c>
      <c r="I6" s="2" t="n">
        <v>46369</v>
      </c>
      <c r="J6" t="inlineStr">
        <is>
          <t>Disetujui</t>
        </is>
      </c>
      <c r="K6" t="n">
        <v>87</v>
      </c>
      <c r="L6" t="inlineStr">
        <is>
          <t>13 Desember 2026</t>
        </is>
      </c>
      <c r="M6" t="inlineStr">
        <is>
          <t>Konstruksi Bangunan Sipil Jalan, Konstruksi Gedung Perkantoran</t>
        </is>
      </c>
      <c r="N6" t="inlineStr">
        <is>
          <t>K</t>
        </is>
      </c>
      <c r="O6" t="inlineStr">
        <is>
          <t>20231030, 20231207</t>
        </is>
      </c>
      <c r="P6" t="inlineStr">
        <is>
          <t>DKI Jakarta</t>
        </is>
      </c>
      <c r="Q6" s="3">
        <f>HYPERLINK("https://wa.me/628607926?text=Selamat siang Bapak/Ibu pimpinan YUDI DIANA LESTARI,%0A%0ASemoga Bapak/Ibu dalam keadaan baik.%0ABerdasarkan data LPJK, masa berlaku SBU perusahaan Bapak/Ibu akan berakhir sekitar 3 bulan lagi (pada 13 Desember 2026).%0ASaya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7">
      <c r="A7" t="inlineStr">
        <is>
          <t>ABIYYU KARYA KONSULTAN</t>
        </is>
      </c>
      <c r="B7" t="inlineStr">
        <is>
          <t>Kota Semarang</t>
        </is>
      </c>
      <c r="C7" t="inlineStr">
        <is>
          <t>08983428062</t>
        </is>
      </c>
      <c r="D7" t="inlineStr">
        <is>
          <t>abiyyukaryakonsultan.pt@gmail.com</t>
        </is>
      </c>
      <c r="E7" t="inlineStr">
        <is>
          <t>https://lpjk.pu.go.id/search-badan-usaha-detail/WENTZUF4MjdRV0d0dEx1NjhIWmRlQT09</t>
        </is>
      </c>
      <c r="F7" t="n">
        <v>1</v>
      </c>
      <c r="G7" t="inlineStr">
        <is>
          <t>RK001</t>
        </is>
      </c>
      <c r="H7" t="inlineStr">
        <is>
          <t>27 Oktober 2023</t>
        </is>
      </c>
      <c r="I7" s="2" t="n">
        <v>46369</v>
      </c>
      <c r="J7" t="inlineStr">
        <is>
          <t>Disetujui</t>
        </is>
      </c>
      <c r="K7" t="n">
        <v>87</v>
      </c>
      <c r="L7" t="inlineStr">
        <is>
          <t>13 Desember 2026</t>
        </is>
      </c>
      <c r="M7" t="inlineStr">
        <is>
          <t>Jasa Rekayasa Konstruksi Bangunan Gedung Hunian dan Non Hunian</t>
        </is>
      </c>
      <c r="N7" t="inlineStr">
        <is>
          <t>K</t>
        </is>
      </c>
      <c r="O7" t="inlineStr">
        <is>
          <t>20231207</t>
        </is>
      </c>
      <c r="P7" t="inlineStr">
        <is>
          <t>Jawa Tengah</t>
        </is>
      </c>
      <c r="Q7" t="inlineStr"/>
    </row>
    <row r="8">
      <c r="A8" t="inlineStr">
        <is>
          <t>ADIGUNA PRATAMA</t>
        </is>
      </c>
      <c r="B8" t="inlineStr">
        <is>
          <t>Kab. Malang</t>
        </is>
      </c>
      <c r="C8" t="inlineStr">
        <is>
          <t>0859106983439</t>
        </is>
      </c>
      <c r="D8" t="inlineStr">
        <is>
          <t>adigunapratamacv@gmail.com</t>
        </is>
      </c>
      <c r="E8" t="inlineStr">
        <is>
          <t>https://lpjk.pu.go.id/search-badan-usaha-detail/bW13VzU3azAvclZiLzJ2cEJ4bFZwQT09</t>
        </is>
      </c>
      <c r="F8" t="n">
        <v>1</v>
      </c>
      <c r="G8" t="inlineStr">
        <is>
          <t>BS006</t>
        </is>
      </c>
      <c r="H8" t="inlineStr">
        <is>
          <t>8 September 2023</t>
        </is>
      </c>
      <c r="I8" s="2" t="n">
        <v>46369</v>
      </c>
      <c r="J8" t="inlineStr">
        <is>
          <t>Disetujui</t>
        </is>
      </c>
      <c r="K8" t="n">
        <v>87</v>
      </c>
      <c r="L8" t="inlineStr">
        <is>
          <t>13 Desember 2026</t>
        </is>
      </c>
      <c r="M8" t="inlineStr">
        <is>
          <t>Konstruksi Bangunan Sipil Prasarana dan Sarana Sistem Pengolahan Limbah Padat, Cair, dan Gas</t>
        </is>
      </c>
      <c r="N8" t="inlineStr">
        <is>
          <t>K</t>
        </is>
      </c>
      <c r="O8" t="inlineStr">
        <is>
          <t>20231213</t>
        </is>
      </c>
      <c r="P8" t="inlineStr">
        <is>
          <t>Jawa Timur</t>
        </is>
      </c>
      <c r="Q8" t="inlineStr"/>
    </row>
    <row r="9">
      <c r="A9" t="inlineStr">
        <is>
          <t>ADRISTA HUTAMA PUTRA</t>
        </is>
      </c>
      <c r="B9" t="inlineStr">
        <is>
          <t>Kota Serang</t>
        </is>
      </c>
      <c r="C9" t="inlineStr">
        <is>
          <t>081807770659</t>
        </is>
      </c>
      <c r="D9" t="inlineStr">
        <is>
          <t>cv.adristahutama@gmail.com</t>
        </is>
      </c>
      <c r="E9" t="inlineStr">
        <is>
          <t>https://lpjk.pu.go.id/search-badan-usaha-detail/dWNWZ2RNUDFCcW00Z2lsV0oxUTREdz09</t>
        </is>
      </c>
      <c r="F9" t="n">
        <v>1</v>
      </c>
      <c r="G9" t="inlineStr">
        <is>
          <t>BG001</t>
        </is>
      </c>
      <c r="H9" t="inlineStr">
        <is>
          <t>28 Maret 2019</t>
        </is>
      </c>
      <c r="I9" s="2" t="n">
        <v>46369</v>
      </c>
      <c r="J9" t="inlineStr">
        <is>
          <t>Disetujui</t>
        </is>
      </c>
      <c r="K9" t="n">
        <v>87</v>
      </c>
      <c r="L9" t="inlineStr">
        <is>
          <t>13 Desember 2026</t>
        </is>
      </c>
      <c r="M9" t="inlineStr">
        <is>
          <t>Konstruksi Gedung Hunian</t>
        </is>
      </c>
      <c r="N9" t="inlineStr">
        <is>
          <t>K</t>
        </is>
      </c>
      <c r="O9" t="inlineStr">
        <is>
          <t>20231206</t>
        </is>
      </c>
      <c r="P9" t="inlineStr">
        <is>
          <t>Banten</t>
        </is>
      </c>
      <c r="Q9" t="inlineStr"/>
    </row>
    <row r="10">
      <c r="A10" t="inlineStr">
        <is>
          <t>AGRA BHUMANDALA</t>
        </is>
      </c>
      <c r="B10" t="inlineStr">
        <is>
          <t>Kota Semarang</t>
        </is>
      </c>
      <c r="C10" t="inlineStr">
        <is>
          <t>081227558641</t>
        </is>
      </c>
      <c r="D10" t="inlineStr">
        <is>
          <t>agrabhumandala.srg@gmail.com</t>
        </is>
      </c>
      <c r="E10" t="inlineStr">
        <is>
          <t>https://lpjk.pu.go.id/search-badan-usaha-detail/QldTWFkrYzNIcVIxb2tlclB2T0JuQT09</t>
        </is>
      </c>
      <c r="F10" t="n">
        <v>1</v>
      </c>
      <c r="G10" t="inlineStr">
        <is>
          <t>BG002</t>
        </is>
      </c>
      <c r="H10" t="inlineStr">
        <is>
          <t>16 Mei 2023</t>
        </is>
      </c>
      <c r="I10" s="2" t="n">
        <v>46369</v>
      </c>
      <c r="J10" t="inlineStr">
        <is>
          <t>Disetujui</t>
        </is>
      </c>
      <c r="K10" t="n">
        <v>87</v>
      </c>
      <c r="L10" t="inlineStr">
        <is>
          <t>13 Desember 2026</t>
        </is>
      </c>
      <c r="M10" t="inlineStr">
        <is>
          <t>Konstruksi Gedung Perkantoran</t>
        </is>
      </c>
      <c r="N10" t="inlineStr">
        <is>
          <t>K</t>
        </is>
      </c>
      <c r="O10" t="inlineStr">
        <is>
          <t>20231201</t>
        </is>
      </c>
      <c r="P10" t="inlineStr">
        <is>
          <t>Jawa Tengah</t>
        </is>
      </c>
      <c r="Q10" t="inlineStr"/>
    </row>
    <row r="11">
      <c r="A11" t="inlineStr">
        <is>
          <t>AGRAMAMANDIRI JAYA PERKASA</t>
        </is>
      </c>
      <c r="B11" t="inlineStr">
        <is>
          <t>Kota Pekanbaru</t>
        </is>
      </c>
      <c r="C11" t="inlineStr">
        <is>
          <t>07618651507</t>
        </is>
      </c>
      <c r="D11" t="inlineStr">
        <is>
          <t>agrama2707@gmail.com</t>
        </is>
      </c>
      <c r="E11" t="inlineStr">
        <is>
          <t>https://lpjk.pu.go.id/search-badan-usaha-detail/UVErcnlvT011OGl4Nlo0OENhTmgxQT09</t>
        </is>
      </c>
      <c r="F11" t="n">
        <v>1</v>
      </c>
      <c r="G11" t="inlineStr">
        <is>
          <t>BS010</t>
        </is>
      </c>
      <c r="H11" t="inlineStr">
        <is>
          <t>27 Juli 2020</t>
        </is>
      </c>
      <c r="I11" s="2" t="n">
        <v>46369</v>
      </c>
      <c r="J11" t="inlineStr">
        <is>
          <t>Pencabutan</t>
        </is>
      </c>
      <c r="K11" t="n">
        <v>87</v>
      </c>
      <c r="L11" t="inlineStr">
        <is>
          <t>13 Desember 2026</t>
        </is>
      </c>
      <c r="M11" t="inlineStr">
        <is>
          <t>Konstruksi Bangunan Prasarana Sumber Daya Air</t>
        </is>
      </c>
      <c r="N11" t="inlineStr">
        <is>
          <t>M</t>
        </is>
      </c>
      <c r="O11" t="inlineStr">
        <is>
          <t>20231213</t>
        </is>
      </c>
      <c r="P11" t="inlineStr">
        <is>
          <t>Riau</t>
        </is>
      </c>
      <c r="Q11" t="inlineStr"/>
    </row>
    <row r="12">
      <c r="A12" t="inlineStr">
        <is>
          <t>AIRMAS ASRI</t>
        </is>
      </c>
      <c r="B12" t="inlineStr">
        <is>
          <t>Kota Adm. Jakarta Pusat</t>
        </is>
      </c>
      <c r="C12" t="inlineStr">
        <is>
          <t>02131906688</t>
        </is>
      </c>
      <c r="D12" t="inlineStr">
        <is>
          <t>perijinanairmasasri@gmail.com</t>
        </is>
      </c>
      <c r="E12" t="inlineStr">
        <is>
          <t>https://lpjk.pu.go.id/search-badan-usaha-detail/aDdEd1Fpd1ZkdURoQ3dYOWRpYkZFZz09</t>
        </is>
      </c>
      <c r="F12" t="n">
        <v>4</v>
      </c>
      <c r="G12" t="inlineStr">
        <is>
          <t>AL004, AR001, AR002, AR003</t>
        </is>
      </c>
      <c r="H12" t="inlineStr">
        <is>
          <t>27 November 2008</t>
        </is>
      </c>
      <c r="I12" s="2" t="n">
        <v>46369</v>
      </c>
      <c r="J12" t="inlineStr">
        <is>
          <t>Disetujui</t>
        </is>
      </c>
      <c r="K12" t="n">
        <v>87</v>
      </c>
      <c r="L12" t="inlineStr">
        <is>
          <t>13 Desember 2026</t>
        </is>
      </c>
      <c r="M12" t="inlineStr">
        <is>
          <t>Jasa Arsitektural Bangunan Gedung Hunian dan Non Hunian, Jasa Arsitektural Lainnya, Jasa Desain Interior pada Bangunan Gedung dan Bangunan Sipil, Jasa Pengembangan Lingkungan Bangunan dan Lanskap</t>
        </is>
      </c>
      <c r="N12" t="inlineStr">
        <is>
          <t>B, K</t>
        </is>
      </c>
      <c r="O12" t="inlineStr">
        <is>
          <t>20231201</t>
        </is>
      </c>
      <c r="P12" t="inlineStr">
        <is>
          <t>DKI Jakarta</t>
        </is>
      </c>
      <c r="Q12" t="inlineStr"/>
    </row>
    <row r="13">
      <c r="A13" t="inlineStr">
        <is>
          <t>AKBAR GROUP SEJAHTERA</t>
        </is>
      </c>
      <c r="B13" t="inlineStr">
        <is>
          <t>Kota Palu</t>
        </is>
      </c>
      <c r="C13" t="inlineStr">
        <is>
          <t>082256015985</t>
        </is>
      </c>
      <c r="D13" t="inlineStr">
        <is>
          <t>akbar91group@gmail.com</t>
        </is>
      </c>
      <c r="E13" t="inlineStr">
        <is>
          <t>https://lpjk.pu.go.id/search-badan-usaha-detail/M0JreGVsbkpJeFBudzVzY201RnNmZz09</t>
        </is>
      </c>
      <c r="F13" t="n">
        <v>1</v>
      </c>
      <c r="G13" t="inlineStr">
        <is>
          <t>BS001</t>
        </is>
      </c>
      <c r="H13" t="inlineStr">
        <is>
          <t>10 Januari 2023</t>
        </is>
      </c>
      <c r="I13" s="2" t="n">
        <v>46369</v>
      </c>
      <c r="J13" t="inlineStr">
        <is>
          <t>Pencabutan</t>
        </is>
      </c>
      <c r="K13" t="n">
        <v>87</v>
      </c>
      <c r="L13" t="inlineStr">
        <is>
          <t>13 Desember 2026</t>
        </is>
      </c>
      <c r="M13" t="inlineStr">
        <is>
          <t>Konstruksi Bangunan Sipil Jalan</t>
        </is>
      </c>
      <c r="N13" t="inlineStr">
        <is>
          <t>K</t>
        </is>
      </c>
      <c r="O13" t="inlineStr">
        <is>
          <t>20231213</t>
        </is>
      </c>
      <c r="P13" t="inlineStr">
        <is>
          <t>Sulawesi Tengah</t>
        </is>
      </c>
      <c r="Q13" t="inlineStr"/>
    </row>
    <row r="14">
      <c r="A14" t="inlineStr">
        <is>
          <t>ALIF SUKSES ABADI</t>
        </is>
      </c>
      <c r="B14" t="inlineStr">
        <is>
          <t>Kab. Musi Banyuasin</t>
        </is>
      </c>
      <c r="C14" t="inlineStr">
        <is>
          <t>085269321111</t>
        </is>
      </c>
      <c r="D14" t="inlineStr">
        <is>
          <t>alifsuksesabadi1@gmail.com</t>
        </is>
      </c>
      <c r="E14" t="inlineStr">
        <is>
          <t>https://lpjk.pu.go.id/search-badan-usaha-detail/anlraGFnRXNudGNpajhnOFB1RWllUT09</t>
        </is>
      </c>
      <c r="F14" t="n">
        <v>4</v>
      </c>
      <c r="G14" t="inlineStr">
        <is>
          <t>BG001, BG006, BG009, BS016</t>
        </is>
      </c>
      <c r="H14" t="inlineStr">
        <is>
          <t>22 Februari 2023</t>
        </is>
      </c>
      <c r="I14" s="2" t="n">
        <v>46369</v>
      </c>
      <c r="J14" t="inlineStr">
        <is>
          <t>Disetujui</t>
        </is>
      </c>
      <c r="K14" t="n">
        <v>87</v>
      </c>
      <c r="L14" t="inlineStr">
        <is>
          <t>13 Desember 2026</t>
        </is>
      </c>
      <c r="M14" t="inlineStr">
        <is>
          <t>Konstruksi Bangunan Sipil Fasilitas Olah Raga, Konstruksi Gedung Hunian, Konstruksi Gedung Lainnya, Konstruksi Gedung Pendidikan</t>
        </is>
      </c>
      <c r="N14" t="inlineStr">
        <is>
          <t>K</t>
        </is>
      </c>
      <c r="O14" t="inlineStr">
        <is>
          <t>20231213</t>
        </is>
      </c>
      <c r="P14" t="inlineStr">
        <is>
          <t>Sumatera Selatan</t>
        </is>
      </c>
      <c r="Q14" t="inlineStr"/>
    </row>
    <row r="15">
      <c r="A15" t="inlineStr">
        <is>
          <t>ALKATEC MANDIRI KENCANA</t>
        </is>
      </c>
      <c r="B15" t="inlineStr">
        <is>
          <t>Kota Adm. Jakarta Selatan</t>
        </is>
      </c>
      <c r="C15" t="inlineStr">
        <is>
          <t>0215363454</t>
        </is>
      </c>
      <c r="D15" t="inlineStr">
        <is>
          <t>sdm@alkatec.net</t>
        </is>
      </c>
      <c r="E15" t="inlineStr">
        <is>
          <t>https://lpjk.pu.go.id/search-badan-usaha-detail/N21ib1dic2w4aE1VRjZHQzA3YnNwdz09</t>
        </is>
      </c>
      <c r="F15" t="n">
        <v>2</v>
      </c>
      <c r="G15" t="inlineStr">
        <is>
          <t>BS010</t>
        </is>
      </c>
      <c r="H15" t="inlineStr">
        <is>
          <t>27 September 2007</t>
        </is>
      </c>
      <c r="I15" s="2" t="n">
        <v>46369</v>
      </c>
      <c r="J15" t="inlineStr">
        <is>
          <t>Pembekuan</t>
        </is>
      </c>
      <c r="K15" t="n">
        <v>87</v>
      </c>
      <c r="L15" t="inlineStr">
        <is>
          <t>13 Desember 2026</t>
        </is>
      </c>
      <c r="M15" t="inlineStr">
        <is>
          <t>Konstruksi Bangunan Prasarana Sumber Daya Air</t>
        </is>
      </c>
      <c r="N15" t="inlineStr">
        <is>
          <t>M</t>
        </is>
      </c>
      <c r="O15" t="inlineStr">
        <is>
          <t>20231102</t>
        </is>
      </c>
      <c r="P15" t="inlineStr">
        <is>
          <t>DKI Jakarta</t>
        </is>
      </c>
      <c r="Q15" t="inlineStr"/>
    </row>
    <row r="16">
      <c r="A16" t="inlineStr">
        <is>
          <t>AMANG AGUS</t>
        </is>
      </c>
      <c r="B16" t="inlineStr">
        <is>
          <t>Kab. Kutai Timur</t>
        </is>
      </c>
      <c r="C16" t="inlineStr">
        <is>
          <t>081351663930</t>
        </is>
      </c>
      <c r="D16" t="inlineStr">
        <is>
          <t>amangagussangatta@gmail.com</t>
        </is>
      </c>
      <c r="E16" t="inlineStr">
        <is>
          <t>https://lpjk.pu.go.id/search-badan-usaha-detail/RXF2bmlUTEFtUTNOSU9GLytFZnprQT09</t>
        </is>
      </c>
      <c r="F16" t="n">
        <v>3</v>
      </c>
      <c r="G16" t="inlineStr">
        <is>
          <t>BG006, BG009, BS001</t>
        </is>
      </c>
      <c r="H16" t="inlineStr">
        <is>
          <t>19 Juli 2022</t>
        </is>
      </c>
      <c r="I16" s="2" t="n">
        <v>46369</v>
      </c>
      <c r="J16" t="inlineStr">
        <is>
          <t>Disetujui, Pencabutan</t>
        </is>
      </c>
      <c r="K16" t="n">
        <v>87</v>
      </c>
      <c r="L16" t="inlineStr">
        <is>
          <t>13 Desember 2026</t>
        </is>
      </c>
      <c r="M16" t="inlineStr">
        <is>
          <t>Konstruksi Bangunan Sipil Jalan, Konstruksi Gedung Lainnya, Konstruksi Gedung Pendidikan</t>
        </is>
      </c>
      <c r="N16" t="inlineStr">
        <is>
          <t>K</t>
        </is>
      </c>
      <c r="O16" t="inlineStr">
        <is>
          <t>20231211</t>
        </is>
      </c>
      <c r="P16" t="inlineStr">
        <is>
          <t>Kalimantan Timur</t>
        </is>
      </c>
      <c r="Q16" t="inlineStr"/>
    </row>
    <row r="17">
      <c r="A17" t="inlineStr">
        <is>
          <t>ANANDA UTAMA</t>
        </is>
      </c>
      <c r="B17" t="inlineStr">
        <is>
          <t>Kota Palopo</t>
        </is>
      </c>
      <c r="C17" t="inlineStr">
        <is>
          <t>08124285377</t>
        </is>
      </c>
      <c r="D17" t="inlineStr">
        <is>
          <t>anandautama55@yahoo.com</t>
        </is>
      </c>
      <c r="E17" t="inlineStr">
        <is>
          <t>https://lpjk.pu.go.id/search-badan-usaha-detail/azduUDNxTFhtR21adjI3dXNiQllmZz09</t>
        </is>
      </c>
      <c r="F17" t="n">
        <v>2</v>
      </c>
      <c r="G17" t="inlineStr">
        <is>
          <t>BS002</t>
        </is>
      </c>
      <c r="H17" t="inlineStr">
        <is>
          <t>28 Desember 1993</t>
        </is>
      </c>
      <c r="I17" s="2" t="n">
        <v>46369</v>
      </c>
      <c r="J17" t="inlineStr">
        <is>
          <t>Disetujui</t>
        </is>
      </c>
      <c r="K17" t="n">
        <v>87</v>
      </c>
      <c r="L17" t="inlineStr">
        <is>
          <t>13 Desember 2026</t>
        </is>
      </c>
      <c r="M17" t="inlineStr">
        <is>
          <t>Bangunan Sipil Jembatan, Jalan Layang, Fly Over, dan Underpass</t>
        </is>
      </c>
      <c r="N17" t="inlineStr">
        <is>
          <t>K</t>
        </is>
      </c>
      <c r="O17" t="inlineStr">
        <is>
          <t>20231029</t>
        </is>
      </c>
      <c r="P17" t="inlineStr">
        <is>
          <t>Sulawesi Selatan</t>
        </is>
      </c>
      <c r="Q17" t="inlineStr"/>
    </row>
    <row r="18">
      <c r="A18" t="inlineStr">
        <is>
          <t>ANTARA CONSULTANT</t>
        </is>
      </c>
      <c r="B18" t="inlineStr">
        <is>
          <t>Kab. Jombang</t>
        </is>
      </c>
      <c r="C18" t="inlineStr">
        <is>
          <t>081223276040</t>
        </is>
      </c>
      <c r="D18" t="inlineStr">
        <is>
          <t>cv.antara_consultant@yahoo.com</t>
        </is>
      </c>
      <c r="E18" t="inlineStr">
        <is>
          <t>https://lpjk.pu.go.id/search-badan-usaha-detail/RHprMmdCanpIdlljQWl6Nk1RSVJ2Zz09</t>
        </is>
      </c>
      <c r="F18" t="n">
        <v>6</v>
      </c>
      <c r="G18" t="inlineStr">
        <is>
          <t>RK001, RK002, RK003</t>
        </is>
      </c>
      <c r="H18" t="inlineStr">
        <is>
          <t>27 November 2023</t>
        </is>
      </c>
      <c r="I18" s="2" t="n">
        <v>46369</v>
      </c>
      <c r="J18" t="inlineStr">
        <is>
          <t>Disetujui</t>
        </is>
      </c>
      <c r="K18" t="n">
        <v>87</v>
      </c>
      <c r="L18" t="inlineStr">
        <is>
          <t>13 Desember 2026</t>
        </is>
      </c>
      <c r="M18" t="inlineStr">
        <is>
          <t>Jasa Rekayasa Konstruksi Bangunan Gedung Hunian dan Non Hunian, Jasa Rekayasa Pekerjaan Teknik Sipil Sumber Daya Air, Jasa Rekayasa Pekerjaan Teknik Sipil Transportasi</t>
        </is>
      </c>
      <c r="N18" t="inlineStr">
        <is>
          <t>K</t>
        </is>
      </c>
      <c r="O18" t="inlineStr">
        <is>
          <t>20231207</t>
        </is>
      </c>
      <c r="P18" t="inlineStr">
        <is>
          <t>Jawa Timur</t>
        </is>
      </c>
      <c r="Q18" t="inlineStr"/>
    </row>
    <row r="19">
      <c r="A19" t="inlineStr">
        <is>
          <t>ANUGERAH MULIA</t>
        </is>
      </c>
      <c r="B19" t="inlineStr">
        <is>
          <t>Kab. Katingan</t>
        </is>
      </c>
      <c r="C19" t="inlineStr">
        <is>
          <t>082153735533</t>
        </is>
      </c>
      <c r="D19" t="inlineStr">
        <is>
          <t>anugerahmulia17@gmail.com</t>
        </is>
      </c>
      <c r="E19" t="inlineStr">
        <is>
          <t>https://lpjk.pu.go.id/search-badan-usaha-detail/QW1hbU5QNUlML3ROYlRMelFTMjV4QT09</t>
        </is>
      </c>
      <c r="F19" t="n">
        <v>2</v>
      </c>
      <c r="G19" t="inlineStr">
        <is>
          <t>BS001, BS004</t>
        </is>
      </c>
      <c r="H19" t="inlineStr">
        <is>
          <t>18 Januari 2017</t>
        </is>
      </c>
      <c r="I19" s="2" t="n">
        <v>46369</v>
      </c>
      <c r="J19" t="inlineStr">
        <is>
          <t>Disetujui</t>
        </is>
      </c>
      <c r="K19" t="n">
        <v>87</v>
      </c>
      <c r="L19" t="inlineStr">
        <is>
          <t>13 Desember 2026</t>
        </is>
      </c>
      <c r="M19" t="inlineStr">
        <is>
          <t>Konstruksi Bangunan Sipil Jalan, Konstruksi Jaringan Irigasi dan Drainase</t>
        </is>
      </c>
      <c r="N19" t="inlineStr">
        <is>
          <t>K</t>
        </is>
      </c>
      <c r="O19" t="inlineStr">
        <is>
          <t>20231214</t>
        </is>
      </c>
      <c r="P19" t="inlineStr">
        <is>
          <t>Kalimantan Tengah</t>
        </is>
      </c>
      <c r="Q19" t="inlineStr"/>
    </row>
    <row r="20">
      <c r="A20" t="inlineStr">
        <is>
          <t>ANUGERAH PANCA</t>
        </is>
      </c>
      <c r="B20" t="inlineStr">
        <is>
          <t>Kota Makassar</t>
        </is>
      </c>
      <c r="C20" t="inlineStr">
        <is>
          <t>081342055553</t>
        </is>
      </c>
      <c r="D20" t="inlineStr">
        <is>
          <t>cv.anugerah_panca@yahoo.co.id</t>
        </is>
      </c>
      <c r="E20" t="inlineStr">
        <is>
          <t>https://lpjk.pu.go.id/search-badan-usaha-detail/SmZ2OGpxRWxaZ3ZKZVZpUlRYN2VwZz09</t>
        </is>
      </c>
      <c r="F20" t="n">
        <v>6</v>
      </c>
      <c r="G20" t="inlineStr">
        <is>
          <t>BG002, BG005, BG006, BS001, BS002, BS004</t>
        </is>
      </c>
      <c r="H20" t="inlineStr">
        <is>
          <t>15 Oktober 2012</t>
        </is>
      </c>
      <c r="I20" s="2" t="n">
        <v>46369</v>
      </c>
      <c r="J20" t="inlineStr">
        <is>
          <t>Disetujui</t>
        </is>
      </c>
      <c r="K20" t="n">
        <v>87</v>
      </c>
      <c r="L20" t="inlineStr">
        <is>
          <t>13 Desember 2026</t>
        </is>
      </c>
      <c r="M20" t="inlineStr">
        <is>
          <t>Bangunan Sipil Jembatan, Jalan Layang, Fly Over, dan Underpass, Konstruksi Bangunan Sipil Jalan, Konstruksi Gedung Kesehatan, Konstruksi Gedung Pendidikan, Konstruksi Gedung Perkantoran, Konstruksi Jaringan Irigasi dan Drainase</t>
        </is>
      </c>
      <c r="N20" t="inlineStr">
        <is>
          <t>K</t>
        </is>
      </c>
      <c r="O20" t="inlineStr">
        <is>
          <t>20231209, 20231212</t>
        </is>
      </c>
      <c r="P20" t="inlineStr">
        <is>
          <t>Sulawesi Selatan</t>
        </is>
      </c>
      <c r="Q20" t="inlineStr"/>
    </row>
    <row r="21">
      <c r="A21" t="inlineStr">
        <is>
          <t>ANUGERAH SUMBER HARAPAN</t>
        </is>
      </c>
      <c r="B21" t="inlineStr">
        <is>
          <t>Kota Batam</t>
        </is>
      </c>
      <c r="C21" t="inlineStr">
        <is>
          <t>0778408857</t>
        </is>
      </c>
      <c r="D21" t="inlineStr">
        <is>
          <t>anugerahsumberharapan@gmail.com</t>
        </is>
      </c>
      <c r="E21" t="inlineStr">
        <is>
          <t>https://lpjk.pu.go.id/search-badan-usaha-detail/QXJqRjJKQkRCdjlBQVRVV216b0YyZz09</t>
        </is>
      </c>
      <c r="F21" t="n">
        <v>1</v>
      </c>
      <c r="G21" t="inlineStr">
        <is>
          <t>BG001</t>
        </is>
      </c>
      <c r="H21" t="inlineStr">
        <is>
          <t>1 Januari 2018</t>
        </is>
      </c>
      <c r="I21" s="2" t="n">
        <v>46369</v>
      </c>
      <c r="J21" t="inlineStr">
        <is>
          <t>Disetujui</t>
        </is>
      </c>
      <c r="K21" t="n">
        <v>87</v>
      </c>
      <c r="L21" t="inlineStr">
        <is>
          <t>13 Desember 2026</t>
        </is>
      </c>
      <c r="M21" t="inlineStr">
        <is>
          <t>Konstruksi Gedung Hunian</t>
        </is>
      </c>
      <c r="N21" t="inlineStr">
        <is>
          <t>K</t>
        </is>
      </c>
      <c r="O21" t="inlineStr">
        <is>
          <t>20231211</t>
        </is>
      </c>
      <c r="P21" t="inlineStr">
        <is>
          <t>Kepulauan Riau</t>
        </is>
      </c>
      <c r="Q21" t="inlineStr"/>
    </row>
    <row r="22">
      <c r="A22" t="inlineStr">
        <is>
          <t>ANUGRAH PUTRA PROPERTY</t>
        </is>
      </c>
      <c r="B22" t="inlineStr">
        <is>
          <t>Kota Palembang</t>
        </is>
      </c>
      <c r="C22" t="inlineStr">
        <is>
          <t>08117879198</t>
        </is>
      </c>
      <c r="D22" t="inlineStr">
        <is>
          <t>ptanugrahputraproperty@gmail.com</t>
        </is>
      </c>
      <c r="E22" t="inlineStr">
        <is>
          <t>https://lpjk.pu.go.id/search-badan-usaha-detail/andtVjd5NXo0ZGk1WUI0T3VsOFhIZz09</t>
        </is>
      </c>
      <c r="F22" t="n">
        <v>4</v>
      </c>
      <c r="G22" t="inlineStr">
        <is>
          <t>BG001, BS001</t>
        </is>
      </c>
      <c r="H22" t="inlineStr">
        <is>
          <t>21 November 2023</t>
        </is>
      </c>
      <c r="I22" s="2" t="n">
        <v>46369</v>
      </c>
      <c r="J22" t="inlineStr">
        <is>
          <t>Disetujui</t>
        </is>
      </c>
      <c r="K22" t="n">
        <v>87</v>
      </c>
      <c r="L22" t="inlineStr">
        <is>
          <t>13 Desember 2026</t>
        </is>
      </c>
      <c r="M22" t="inlineStr">
        <is>
          <t>Konstruksi Bangunan Sipil Jalan, Konstruksi Gedung Hunian</t>
        </is>
      </c>
      <c r="N22" t="inlineStr">
        <is>
          <t>K</t>
        </is>
      </c>
      <c r="O22" t="inlineStr">
        <is>
          <t>20231213</t>
        </is>
      </c>
      <c r="P22" t="inlineStr">
        <is>
          <t>Sumatera Selatan</t>
        </is>
      </c>
      <c r="Q22" t="inlineStr"/>
    </row>
    <row r="23">
      <c r="A23" t="inlineStr">
        <is>
          <t>ARFIFA MERDEKA</t>
        </is>
      </c>
      <c r="B23" t="inlineStr">
        <is>
          <t>Kab. Purwakarta</t>
        </is>
      </c>
      <c r="C23" t="inlineStr">
        <is>
          <t>0878 7960 2903</t>
        </is>
      </c>
      <c r="D23" t="inlineStr">
        <is>
          <t>cv.arfifamerdeka@gmail.com</t>
        </is>
      </c>
      <c r="E23" t="inlineStr">
        <is>
          <t>https://lpjk.pu.go.id/search-badan-usaha-detail/MnNLQS9tYkRZQkNCMFZSQmNZelNrZz09</t>
        </is>
      </c>
      <c r="F23" t="n">
        <v>4</v>
      </c>
      <c r="G23" t="inlineStr">
        <is>
          <t>BG002, BS004</t>
        </is>
      </c>
      <c r="H23" t="inlineStr">
        <is>
          <t>22 Agustus 2019</t>
        </is>
      </c>
      <c r="I23" s="2" t="n">
        <v>46369</v>
      </c>
      <c r="J23" t="inlineStr">
        <is>
          <t>Disetujui</t>
        </is>
      </c>
      <c r="K23" t="n">
        <v>87</v>
      </c>
      <c r="L23" t="inlineStr">
        <is>
          <t>13 Desember 2026</t>
        </is>
      </c>
      <c r="M23" t="inlineStr">
        <is>
          <t>Konstruksi Gedung Perkantoran, Konstruksi Jaringan Irigasi dan Drainase</t>
        </is>
      </c>
      <c r="N23" t="inlineStr">
        <is>
          <t>K</t>
        </is>
      </c>
      <c r="O23" t="inlineStr">
        <is>
          <t>20231213</t>
        </is>
      </c>
      <c r="P23" t="inlineStr">
        <is>
          <t>Jawa Barat</t>
        </is>
      </c>
      <c r="Q23" t="inlineStr"/>
    </row>
    <row r="24">
      <c r="A24" t="inlineStr">
        <is>
          <t>ARINA ADICIPTA KONSULTAN</t>
        </is>
      </c>
      <c r="B24" t="inlineStr">
        <is>
          <t>Kota Makassar</t>
        </is>
      </c>
      <c r="C24" t="inlineStr">
        <is>
          <t>081342793952</t>
        </is>
      </c>
      <c r="D24" t="inlineStr">
        <is>
          <t>arina.konsultan@gmail.com</t>
        </is>
      </c>
      <c r="E24" t="inlineStr">
        <is>
          <t>https://lpjk.pu.go.id/search-badan-usaha-detail/V3I3ZGJLL29LcmdJbFpRQkVUQXE0UT09</t>
        </is>
      </c>
      <c r="F24" t="n">
        <v>4</v>
      </c>
      <c r="G24" t="inlineStr">
        <is>
          <t>AL001, AL002, AL003, AL004</t>
        </is>
      </c>
      <c r="H24" t="inlineStr">
        <is>
          <t>13 April 2016</t>
        </is>
      </c>
      <c r="I24" s="2" t="n">
        <v>46369</v>
      </c>
      <c r="J24" t="inlineStr">
        <is>
          <t>Disetujui</t>
        </is>
      </c>
      <c r="K24" t="n">
        <v>87</v>
      </c>
      <c r="L24" t="inlineStr">
        <is>
          <t>13 Desember 2026</t>
        </is>
      </c>
      <c r="M24" t="inlineStr">
        <is>
          <t>Jasa Pengembangan Lingkungan Bangunan dan Lanskap, Jasa Pengembangan Pemanfaatan Ruang, Jasa Pengembangan Perkotaan, Jasa Pengembangan Wilayah</t>
        </is>
      </c>
      <c r="N24" t="inlineStr">
        <is>
          <t>K</t>
        </is>
      </c>
      <c r="O24" t="inlineStr">
        <is>
          <t>20220323, 20220422, 20231128</t>
        </is>
      </c>
      <c r="P24" t="inlineStr">
        <is>
          <t>Sulawesi Selatan</t>
        </is>
      </c>
      <c r="Q24" t="inlineStr"/>
    </row>
    <row r="25">
      <c r="A25" t="inlineStr">
        <is>
          <t>ARISCO CIPTA GRAHA SARANA</t>
        </is>
      </c>
      <c r="B25" t="inlineStr">
        <is>
          <t>Kab. Banyuwangi</t>
        </is>
      </c>
      <c r="C25" t="inlineStr">
        <is>
          <t>0333420484</t>
        </is>
      </c>
      <c r="D25" t="inlineStr">
        <is>
          <t>ariscociptags@yahoo.com</t>
        </is>
      </c>
      <c r="E25" t="inlineStr">
        <is>
          <t>https://lpjk.pu.go.id/search-badan-usaha-detail/YWc5Z1VPei9BWlFPZFRoNEJ3T3ZmQT09</t>
        </is>
      </c>
      <c r="F25" t="n">
        <v>1</v>
      </c>
      <c r="G25" t="inlineStr">
        <is>
          <t>BS010</t>
        </is>
      </c>
      <c r="H25" t="inlineStr">
        <is>
          <t>28 Maret 2003</t>
        </is>
      </c>
      <c r="I25" s="2" t="n">
        <v>46369</v>
      </c>
      <c r="J25" t="inlineStr">
        <is>
          <t>Disetujui</t>
        </is>
      </c>
      <c r="K25" t="n">
        <v>87</v>
      </c>
      <c r="L25" t="inlineStr">
        <is>
          <t>13 Desember 2026</t>
        </is>
      </c>
      <c r="M25" t="inlineStr">
        <is>
          <t>Konstruksi Bangunan Prasarana Sumber Daya Air</t>
        </is>
      </c>
      <c r="N25" t="inlineStr">
        <is>
          <t>M</t>
        </is>
      </c>
      <c r="O25" t="inlineStr">
        <is>
          <t>20230612</t>
        </is>
      </c>
      <c r="P25" t="inlineStr">
        <is>
          <t>Jawa Timur</t>
        </is>
      </c>
      <c r="Q25" t="inlineStr"/>
    </row>
    <row r="26">
      <c r="A26" t="inlineStr">
        <is>
          <t>ARTHA ENGINEERING</t>
        </is>
      </c>
      <c r="B26" t="inlineStr">
        <is>
          <t>Kota Padang</t>
        </is>
      </c>
      <c r="C26" t="inlineStr">
        <is>
          <t>085264654444</t>
        </is>
      </c>
      <c r="D26" t="inlineStr">
        <is>
          <t>engineeringartha@gmail.com</t>
        </is>
      </c>
      <c r="E26" t="inlineStr">
        <is>
          <t>https://lpjk.pu.go.id/search-badan-usaha-detail/ODdocmdKVVFiQXFwMjhwVFBMRmZFQT09</t>
        </is>
      </c>
      <c r="F26" t="n">
        <v>1</v>
      </c>
      <c r="G26" t="inlineStr">
        <is>
          <t>BS004</t>
        </is>
      </c>
      <c r="H26" t="inlineStr">
        <is>
          <t>1 November 2023</t>
        </is>
      </c>
      <c r="I26" s="2" t="n">
        <v>46369</v>
      </c>
      <c r="J26" t="inlineStr">
        <is>
          <t>Pencabutan</t>
        </is>
      </c>
      <c r="K26" t="n">
        <v>87</v>
      </c>
      <c r="L26" t="inlineStr">
        <is>
          <t>13 Desember 2026</t>
        </is>
      </c>
      <c r="M26" t="inlineStr">
        <is>
          <t>Konstruksi Jaringan Irigasi dan Drainase</t>
        </is>
      </c>
      <c r="N26" t="inlineStr">
        <is>
          <t>K</t>
        </is>
      </c>
      <c r="O26" t="inlineStr">
        <is>
          <t>20231214</t>
        </is>
      </c>
      <c r="P26" t="inlineStr">
        <is>
          <t>Sumatera Barat</t>
        </is>
      </c>
      <c r="Q26" t="inlineStr"/>
    </row>
    <row r="27">
      <c r="A27" t="inlineStr">
        <is>
          <t>BANGUN INDAH</t>
        </is>
      </c>
      <c r="B27" t="inlineStr">
        <is>
          <t>Kab. Gunungkidul</t>
        </is>
      </c>
      <c r="C27" t="inlineStr">
        <is>
          <t>087839882308</t>
        </is>
      </c>
      <c r="D27" t="inlineStr">
        <is>
          <t>bangunindahcv@yahoo.com</t>
        </is>
      </c>
      <c r="E27" t="inlineStr">
        <is>
          <t>https://lpjk.pu.go.id/search-badan-usaha-detail/Z1Yxd2tmVFBzb1AvZ1pDdEpBWVlSUT09</t>
        </is>
      </c>
      <c r="F27" t="n">
        <v>1</v>
      </c>
      <c r="G27" t="inlineStr">
        <is>
          <t>BG002</t>
        </is>
      </c>
      <c r="H27" t="inlineStr">
        <is>
          <t>5 Oktober 2000</t>
        </is>
      </c>
      <c r="I27" s="2" t="n">
        <v>46369</v>
      </c>
      <c r="J27" t="inlineStr">
        <is>
          <t>Disetujui</t>
        </is>
      </c>
      <c r="K27" t="n">
        <v>87</v>
      </c>
      <c r="L27" t="inlineStr">
        <is>
          <t>13 Desember 2026</t>
        </is>
      </c>
      <c r="M27" t="inlineStr">
        <is>
          <t>Konstruksi Gedung Perkantoran</t>
        </is>
      </c>
      <c r="N27" t="inlineStr">
        <is>
          <t>K</t>
        </is>
      </c>
      <c r="O27" t="inlineStr">
        <is>
          <t>20231211</t>
        </is>
      </c>
      <c r="P27" t="inlineStr">
        <is>
          <t>DI Yogyakarta</t>
        </is>
      </c>
      <c r="Q27" t="inlineStr"/>
    </row>
    <row r="28">
      <c r="A28" t="inlineStr">
        <is>
          <t>BERINGIN KENCANA</t>
        </is>
      </c>
      <c r="B28" t="inlineStr">
        <is>
          <t>Kab. Cilacap</t>
        </is>
      </c>
      <c r="C28" t="inlineStr">
        <is>
          <t>082135971748</t>
        </is>
      </c>
      <c r="D28" t="inlineStr">
        <is>
          <t>cvberinginkencana@yahoo.com</t>
        </is>
      </c>
      <c r="E28" t="inlineStr">
        <is>
          <t>https://lpjk.pu.go.id/search-badan-usaha-detail/c3N3WG5tWndUNGdHWVBmcGVIR05XUT09</t>
        </is>
      </c>
      <c r="F28" t="n">
        <v>2</v>
      </c>
      <c r="G28" t="inlineStr">
        <is>
          <t>BG006, BS001</t>
        </is>
      </c>
      <c r="H28" t="inlineStr">
        <is>
          <t>31 Maret 1995</t>
        </is>
      </c>
      <c r="I28" s="2" t="n">
        <v>46369</v>
      </c>
      <c r="J28" t="inlineStr">
        <is>
          <t>Disetujui</t>
        </is>
      </c>
      <c r="K28" t="n">
        <v>87</v>
      </c>
      <c r="L28" t="inlineStr">
        <is>
          <t>13 Desember 2026</t>
        </is>
      </c>
      <c r="M28" t="inlineStr">
        <is>
          <t>Konstruksi Bangunan Sipil Jalan, Konstruksi Gedung Pendidikan</t>
        </is>
      </c>
      <c r="N28" t="inlineStr">
        <is>
          <t>K</t>
        </is>
      </c>
      <c r="O28" t="inlineStr">
        <is>
          <t>20231212</t>
        </is>
      </c>
      <c r="P28" t="inlineStr">
        <is>
          <t>Jawa Tengah</t>
        </is>
      </c>
      <c r="Q28" t="inlineStr"/>
    </row>
    <row r="29">
      <c r="A29" t="inlineStr">
        <is>
          <t>BERKAH NATA BANGUNAN</t>
        </is>
      </c>
      <c r="B29" t="inlineStr">
        <is>
          <t>Kota Tangerang Selatan</t>
        </is>
      </c>
      <c r="C29" t="inlineStr">
        <is>
          <t>02174791797</t>
        </is>
      </c>
      <c r="D29" t="inlineStr">
        <is>
          <t>berkahnatabangunan@gmail.com</t>
        </is>
      </c>
      <c r="E29" t="inlineStr">
        <is>
          <t>https://lpjk.pu.go.id/search-badan-usaha-detail/MzkrOUROVmZlY3JiMlpDa1JGRDk5UT09</t>
        </is>
      </c>
      <c r="F29" t="n">
        <v>6</v>
      </c>
      <c r="G29" t="inlineStr">
        <is>
          <t>BG003, BG004, BG007</t>
        </is>
      </c>
      <c r="H29" t="inlineStr">
        <is>
          <t>5 Juli 2023</t>
        </is>
      </c>
      <c r="I29" s="2" t="n">
        <v>46369</v>
      </c>
      <c r="J29" t="inlineStr">
        <is>
          <t>Disetujui</t>
        </is>
      </c>
      <c r="K29" t="n">
        <v>87</v>
      </c>
      <c r="L29" t="inlineStr">
        <is>
          <t>13 Desember 2026</t>
        </is>
      </c>
      <c r="M29" t="inlineStr">
        <is>
          <t>Konstruksi Gedung Industri, Konstruksi Gedung Penginapan, Konstruksi Gedung Perbelanjaan</t>
        </is>
      </c>
      <c r="N29" t="inlineStr">
        <is>
          <t>K</t>
        </is>
      </c>
      <c r="O29" t="inlineStr">
        <is>
          <t>20231213</t>
        </is>
      </c>
      <c r="P29" t="inlineStr">
        <is>
          <t>Banten</t>
        </is>
      </c>
      <c r="Q29" t="inlineStr"/>
    </row>
    <row r="30">
      <c r="A30" t="inlineStr">
        <is>
          <t>BERKAH YAYIUTI</t>
        </is>
      </c>
      <c r="B30" t="inlineStr">
        <is>
          <t>Kab. Grobogan</t>
        </is>
      </c>
      <c r="C30" t="inlineStr">
        <is>
          <t>082155506757</t>
        </is>
      </c>
      <c r="D30" t="inlineStr">
        <is>
          <t>cvberkahyayiuti@gmail.com</t>
        </is>
      </c>
      <c r="E30" t="inlineStr">
        <is>
          <t>https://lpjk.pu.go.id/search-badan-usaha-detail/aHhOWVZWRWoybVpYWjlENExFQ0QyZz09</t>
        </is>
      </c>
      <c r="F30" t="n">
        <v>12</v>
      </c>
      <c r="G30" t="inlineStr">
        <is>
          <t>BG002, BG004, BG005, BG006, BS001, BS004</t>
        </is>
      </c>
      <c r="H30" t="inlineStr">
        <is>
          <t>4 Desember 2023</t>
        </is>
      </c>
      <c r="I30" s="2" t="n">
        <v>46369</v>
      </c>
      <c r="J30" t="inlineStr">
        <is>
          <t>Disetujui</t>
        </is>
      </c>
      <c r="K30" t="n">
        <v>87</v>
      </c>
      <c r="L30" t="inlineStr">
        <is>
          <t>13 Desember 2026</t>
        </is>
      </c>
      <c r="M30" t="inlineStr">
        <is>
          <t>Konstruksi Bangunan Sipil Jalan, Konstruksi Gedung Kesehatan, Konstruksi Gedung Pendidikan, Konstruksi Gedung Perbelanjaan, Konstruksi Gedung Perkantoran, Konstruksi Jaringan Irigasi dan Drainase</t>
        </is>
      </c>
      <c r="N30" t="inlineStr">
        <is>
          <t>K</t>
        </is>
      </c>
      <c r="O30" t="inlineStr">
        <is>
          <t>20231213</t>
        </is>
      </c>
      <c r="P30" t="inlineStr">
        <is>
          <t>Jawa Tengah</t>
        </is>
      </c>
      <c r="Q30" t="inlineStr"/>
    </row>
    <row r="31">
      <c r="A31" t="inlineStr">
        <is>
          <t>BERLIAN ABADI</t>
        </is>
      </c>
      <c r="B31" t="inlineStr">
        <is>
          <t>Kota Mataram</t>
        </is>
      </c>
      <c r="C31" t="inlineStr">
        <is>
          <t>081907848424</t>
        </is>
      </c>
      <c r="D31" t="inlineStr">
        <is>
          <t>berlianabadirentcar@gmail.com</t>
        </is>
      </c>
      <c r="E31" t="inlineStr">
        <is>
          <t>https://lpjk.pu.go.id/search-badan-usaha-detail/N004NkczcytKNUNUOGR5UHdoZzBOUT09</t>
        </is>
      </c>
      <c r="F31" t="n">
        <v>2</v>
      </c>
      <c r="G31" t="inlineStr">
        <is>
          <t>BG002, BG009</t>
        </is>
      </c>
      <c r="H31" t="inlineStr">
        <is>
          <t>14 Januari 2009</t>
        </is>
      </c>
      <c r="I31" s="2" t="n">
        <v>46369</v>
      </c>
      <c r="J31" t="inlineStr">
        <is>
          <t>Pencabutan</t>
        </is>
      </c>
      <c r="K31" t="n">
        <v>87</v>
      </c>
      <c r="L31" t="inlineStr">
        <is>
          <t>13 Desember 2026</t>
        </is>
      </c>
      <c r="M31" t="inlineStr">
        <is>
          <t>Konstruksi Gedung Lainnya, Konstruksi Gedung Perkantoran</t>
        </is>
      </c>
      <c r="N31" t="inlineStr">
        <is>
          <t>K</t>
        </is>
      </c>
      <c r="O31" t="inlineStr">
        <is>
          <t>20231214</t>
        </is>
      </c>
      <c r="P31" t="inlineStr">
        <is>
          <t>Nusa Tenggara Barat</t>
        </is>
      </c>
      <c r="Q31" t="inlineStr"/>
    </row>
    <row r="32">
      <c r="A32" t="inlineStr">
        <is>
          <t>BETON PERKASA WIJAKSANA</t>
        </is>
      </c>
      <c r="B32" t="inlineStr">
        <is>
          <t>Kota Adm. Jakarta Pusat</t>
        </is>
      </c>
      <c r="C32" t="inlineStr">
        <is>
          <t>0215708613</t>
        </is>
      </c>
      <c r="D32" t="inlineStr">
        <is>
          <t>betonperkasa.bpw@gmail.com</t>
        </is>
      </c>
      <c r="E32" t="inlineStr">
        <is>
          <t>https://lpjk.pu.go.id/search-badan-usaha-detail/eFR4UjZqdTY0NEF6QlFHM3JZUGRHZz09</t>
        </is>
      </c>
      <c r="F32" t="n">
        <v>1</v>
      </c>
      <c r="G32" t="inlineStr">
        <is>
          <t>PL008</t>
        </is>
      </c>
      <c r="H32" t="inlineStr">
        <is>
          <t>31 Maret 1983</t>
        </is>
      </c>
      <c r="I32" s="2" t="n">
        <v>46369</v>
      </c>
      <c r="J32" t="inlineStr">
        <is>
          <t>Pencabutan</t>
        </is>
      </c>
      <c r="K32" t="n">
        <v>87</v>
      </c>
      <c r="L32" t="inlineStr">
        <is>
          <t>13 Desember 2026</t>
        </is>
      </c>
      <c r="M32" t="inlineStr">
        <is>
          <t>Pemasangan Perancah (Steiger)</t>
        </is>
      </c>
      <c r="N32" t="inlineStr">
        <is>
          <t>Spesialis</t>
        </is>
      </c>
      <c r="O32" t="inlineStr">
        <is>
          <t>20230921</t>
        </is>
      </c>
      <c r="P32" t="inlineStr">
        <is>
          <t>DKI Jakarta</t>
        </is>
      </c>
      <c r="Q32" t="inlineStr"/>
    </row>
    <row r="33">
      <c r="A33" t="inlineStr">
        <is>
          <t>BIMO MANDALA SAKTI</t>
        </is>
      </c>
      <c r="B33" t="inlineStr">
        <is>
          <t>Kota Kendari</t>
        </is>
      </c>
      <c r="C33" t="inlineStr">
        <is>
          <t>0811402299</t>
        </is>
      </c>
      <c r="D33" t="inlineStr">
        <is>
          <t>bimomandalasakti@gmail.com</t>
        </is>
      </c>
      <c r="E33" t="inlineStr">
        <is>
          <t>https://lpjk.pu.go.id/search-badan-usaha-detail/SjkybGRBeGNCd3lPY2xMQ2dsdlNvZz09</t>
        </is>
      </c>
      <c r="F33" t="n">
        <v>1</v>
      </c>
      <c r="G33" t="inlineStr">
        <is>
          <t>PB010</t>
        </is>
      </c>
      <c r="H33" t="inlineStr">
        <is>
          <t>13 Januari 2005</t>
        </is>
      </c>
      <c r="I33" s="2" t="n">
        <v>46369</v>
      </c>
      <c r="J33" t="inlineStr">
        <is>
          <t>Disetujui</t>
        </is>
      </c>
      <c r="K33" t="n">
        <v>87</v>
      </c>
      <c r="L33" t="inlineStr">
        <is>
          <t>13 Desember 2026</t>
        </is>
      </c>
      <c r="M33" t="inlineStr">
        <is>
          <t>Pekerjaan Lanskap, Pertamanan, dan Penanaman Vegetasi</t>
        </is>
      </c>
      <c r="N33" t="inlineStr">
        <is>
          <t>Spesialis</t>
        </is>
      </c>
      <c r="O33" t="inlineStr">
        <is>
          <t>20231207</t>
        </is>
      </c>
      <c r="P33" t="inlineStr">
        <is>
          <t>Sulawesi Tenggara</t>
        </is>
      </c>
      <c r="Q33" t="inlineStr"/>
    </row>
    <row r="34">
      <c r="A34" t="inlineStr">
        <is>
          <t>BINA MULIA</t>
        </is>
      </c>
      <c r="B34" t="inlineStr">
        <is>
          <t>Kab. Bireuen</t>
        </is>
      </c>
      <c r="C34" t="inlineStr">
        <is>
          <t>082361307332</t>
        </is>
      </c>
      <c r="D34" t="inlineStr">
        <is>
          <t>binamulia.cv@gmail.com</t>
        </is>
      </c>
      <c r="E34" t="inlineStr">
        <is>
          <t>https://lpjk.pu.go.id/search-badan-usaha-detail/em9xSGo3dHlCRzl4YjBEbFB0MmRVdz09</t>
        </is>
      </c>
      <c r="F34" t="n">
        <v>2</v>
      </c>
      <c r="G34" t="inlineStr">
        <is>
          <t>BG009, BS004</t>
        </is>
      </c>
      <c r="H34" t="inlineStr">
        <is>
          <t>11 Januari 2007</t>
        </is>
      </c>
      <c r="I34" s="2" t="n">
        <v>46369</v>
      </c>
      <c r="J34" t="inlineStr">
        <is>
          <t>Disetujui</t>
        </is>
      </c>
      <c r="K34" t="n">
        <v>87</v>
      </c>
      <c r="L34" t="inlineStr">
        <is>
          <t>13 Desember 2026</t>
        </is>
      </c>
      <c r="M34" t="inlineStr">
        <is>
          <t>Konstruksi Gedung Lainnya, Konstruksi Jaringan Irigasi dan Drainase</t>
        </is>
      </c>
      <c r="N34" t="inlineStr">
        <is>
          <t>K</t>
        </is>
      </c>
      <c r="O34" t="inlineStr">
        <is>
          <t>20231212, 20231213</t>
        </is>
      </c>
      <c r="P34" t="inlineStr">
        <is>
          <t>Aceh</t>
        </is>
      </c>
      <c r="Q34" t="inlineStr"/>
    </row>
    <row r="35">
      <c r="A35" t="inlineStr">
        <is>
          <t>BINTANG TERANG SEJAHTERA</t>
        </is>
      </c>
      <c r="B35" t="inlineStr">
        <is>
          <t>Kab. Jayawijaya</t>
        </is>
      </c>
      <c r="C35" t="inlineStr">
        <is>
          <t>082349992513</t>
        </is>
      </c>
      <c r="D35" t="inlineStr">
        <is>
          <t>ptbintangterangsejahtera02@gmail.com</t>
        </is>
      </c>
      <c r="E35" t="inlineStr">
        <is>
          <t>https://lpjk.pu.go.id/search-badan-usaha-detail/VU1kd0NidWRtZGlsOWF5aGIybXo0Zz09</t>
        </is>
      </c>
      <c r="F35" t="n">
        <v>2</v>
      </c>
      <c r="G35" t="inlineStr">
        <is>
          <t>BS005</t>
        </is>
      </c>
      <c r="H35" t="inlineStr">
        <is>
          <t>23 April 2007</t>
        </is>
      </c>
      <c r="I35" s="2" t="n">
        <v>46369</v>
      </c>
      <c r="J35" t="inlineStr">
        <is>
          <t>Disetujui</t>
        </is>
      </c>
      <c r="K35" t="n">
        <v>87</v>
      </c>
      <c r="L35" t="inlineStr">
        <is>
          <t>13 Desember 2026</t>
        </is>
      </c>
      <c r="M35" t="inlineStr">
        <is>
          <t>Konstruksi Bangunan Sipil Pengolahan Air Bersih</t>
        </is>
      </c>
      <c r="N35" t="inlineStr">
        <is>
          <t>K</t>
        </is>
      </c>
      <c r="O35" t="inlineStr">
        <is>
          <t>20231212</t>
        </is>
      </c>
      <c r="P35" t="inlineStr">
        <is>
          <t>Papua Pegunungan</t>
        </is>
      </c>
      <c r="Q35" t="inlineStr"/>
    </row>
    <row r="36">
      <c r="A36" t="inlineStr">
        <is>
          <t>BOEMI AGRO KHATULISTIWA</t>
        </is>
      </c>
      <c r="B36" t="inlineStr">
        <is>
          <t>Kota Bandar Lampung</t>
        </is>
      </c>
      <c r="C36" t="inlineStr">
        <is>
          <t>082180667954</t>
        </is>
      </c>
      <c r="D36" t="inlineStr">
        <is>
          <t>boemiagrokhatulistiwa@gmail.com</t>
        </is>
      </c>
      <c r="E36" t="inlineStr">
        <is>
          <t>https://lpjk.pu.go.id/search-badan-usaha-detail/UlpDc09lUGZjVXB5NkV3emx6aDBZUT09</t>
        </is>
      </c>
      <c r="F36" t="n">
        <v>4</v>
      </c>
      <c r="G36" t="inlineStr">
        <is>
          <t>BG003, BG009, BS001, BS004</t>
        </is>
      </c>
      <c r="H36" t="inlineStr">
        <is>
          <t>23 Oktober 2023</t>
        </is>
      </c>
      <c r="I36" s="2" t="n">
        <v>46369</v>
      </c>
      <c r="J36" t="inlineStr">
        <is>
          <t>Disetujui</t>
        </is>
      </c>
      <c r="K36" t="n">
        <v>87</v>
      </c>
      <c r="L36" t="inlineStr">
        <is>
          <t>13 Desember 2026</t>
        </is>
      </c>
      <c r="M36" t="inlineStr">
        <is>
          <t>Konstruksi Bangunan Sipil Jalan, Konstruksi Gedung Industri, Konstruksi Gedung Lainnya, Konstruksi Jaringan Irigasi dan Drainase</t>
        </is>
      </c>
      <c r="N36" t="inlineStr">
        <is>
          <t>K</t>
        </is>
      </c>
      <c r="O36" t="inlineStr">
        <is>
          <t>20231128</t>
        </is>
      </c>
      <c r="P36" t="inlineStr">
        <is>
          <t>Lampung</t>
        </is>
      </c>
      <c r="Q36" t="inlineStr"/>
    </row>
    <row r="37">
      <c r="A37" t="inlineStr">
        <is>
          <t>BORNEO PRIMARAYA UTAMA</t>
        </is>
      </c>
      <c r="B37" t="inlineStr">
        <is>
          <t>Kota Balikpapan</t>
        </is>
      </c>
      <c r="C37" t="inlineStr">
        <is>
          <t>082153693051</t>
        </is>
      </c>
      <c r="D37" t="inlineStr">
        <is>
          <t>ptborneoprimarayautama@gmail.com</t>
        </is>
      </c>
      <c r="E37" t="inlineStr">
        <is>
          <t>https://lpjk.pu.go.id/search-badan-usaha-detail/KzNwWFU0RmNITjFSV281d1hNTjVkZz09</t>
        </is>
      </c>
      <c r="F37" t="n">
        <v>1</v>
      </c>
      <c r="G37" t="inlineStr">
        <is>
          <t>BG009</t>
        </is>
      </c>
      <c r="H37" t="inlineStr">
        <is>
          <t>18 Agustus 2023</t>
        </is>
      </c>
      <c r="I37" s="2" t="n">
        <v>46369</v>
      </c>
      <c r="J37" t="inlineStr">
        <is>
          <t>Disetujui</t>
        </is>
      </c>
      <c r="K37" t="n">
        <v>87</v>
      </c>
      <c r="L37" t="inlineStr">
        <is>
          <t>13 Desember 2026</t>
        </is>
      </c>
      <c r="M37" t="inlineStr">
        <is>
          <t>Konstruksi Gedung Lainnya</t>
        </is>
      </c>
      <c r="N37" t="inlineStr">
        <is>
          <t>K</t>
        </is>
      </c>
      <c r="O37" t="inlineStr">
        <is>
          <t>20231211</t>
        </is>
      </c>
      <c r="P37" t="inlineStr">
        <is>
          <t>Kalimantan Timur</t>
        </is>
      </c>
      <c r="Q37" t="inlineStr"/>
    </row>
    <row r="38">
      <c r="A38" t="inlineStr">
        <is>
          <t>BRAHMA AMERTA SEJAHTERA</t>
        </is>
      </c>
      <c r="B38" t="inlineStr">
        <is>
          <t>Kab. Banjarnegara</t>
        </is>
      </c>
      <c r="C38" t="inlineStr">
        <is>
          <t>081212930272</t>
        </is>
      </c>
      <c r="D38" t="inlineStr">
        <is>
          <t>cvbramas2021@gmail.com</t>
        </is>
      </c>
      <c r="E38" t="inlineStr">
        <is>
          <t>https://lpjk.pu.go.id/search-badan-usaha-detail/VUMxT3JZUzh1T25OYVp0cGdYdEtSZz09</t>
        </is>
      </c>
      <c r="F38" t="n">
        <v>1</v>
      </c>
      <c r="G38" t="inlineStr">
        <is>
          <t>BS001</t>
        </is>
      </c>
      <c r="H38" t="inlineStr">
        <is>
          <t>7 Desember 2022</t>
        </is>
      </c>
      <c r="I38" s="2" t="n">
        <v>46369</v>
      </c>
      <c r="J38" t="inlineStr">
        <is>
          <t>Pencabutan</t>
        </is>
      </c>
      <c r="K38" t="n">
        <v>87</v>
      </c>
      <c r="L38" t="inlineStr">
        <is>
          <t>13 Desember 2026</t>
        </is>
      </c>
      <c r="M38" t="inlineStr">
        <is>
          <t>Konstruksi Bangunan Sipil Jalan</t>
        </is>
      </c>
      <c r="N38" t="inlineStr">
        <is>
          <t>K</t>
        </is>
      </c>
      <c r="O38" t="inlineStr">
        <is>
          <t>20231207</t>
        </is>
      </c>
      <c r="P38" t="inlineStr">
        <is>
          <t>Jawa Tengah</t>
        </is>
      </c>
      <c r="Q38" t="inlineStr"/>
    </row>
    <row r="39">
      <c r="A39" t="inlineStr">
        <is>
          <t>BUMI AMPERA RAJASA</t>
        </is>
      </c>
      <c r="B39" t="inlineStr">
        <is>
          <t>Kota Palembang</t>
        </is>
      </c>
      <c r="C39" t="inlineStr">
        <is>
          <t>08983041010</t>
        </is>
      </c>
      <c r="D39" t="inlineStr">
        <is>
          <t>bumiamperarajasa@gmail.com</t>
        </is>
      </c>
      <c r="E39" t="inlineStr">
        <is>
          <t>https://lpjk.pu.go.id/search-badan-usaha-detail/V242bHRrQ3B0MERudmNxTzBUUXgwUT09</t>
        </is>
      </c>
      <c r="F39" t="n">
        <v>1</v>
      </c>
      <c r="G39" t="inlineStr">
        <is>
          <t>BG001</t>
        </is>
      </c>
      <c r="H39" t="inlineStr">
        <is>
          <t>27 November 2023</t>
        </is>
      </c>
      <c r="I39" s="2" t="n">
        <v>46369</v>
      </c>
      <c r="J39" t="inlineStr">
        <is>
          <t>Disetujui</t>
        </is>
      </c>
      <c r="K39" t="n">
        <v>87</v>
      </c>
      <c r="L39" t="inlineStr">
        <is>
          <t>13 Desember 2026</t>
        </is>
      </c>
      <c r="M39" t="inlineStr">
        <is>
          <t>Konstruksi Gedung Hunian</t>
        </is>
      </c>
      <c r="N39" t="inlineStr">
        <is>
          <t>K</t>
        </is>
      </c>
      <c r="O39" t="inlineStr">
        <is>
          <t>20231213</t>
        </is>
      </c>
      <c r="P39" t="inlineStr">
        <is>
          <t>Sumatera Selatan</t>
        </is>
      </c>
      <c r="Q39" t="inlineStr"/>
    </row>
    <row r="40">
      <c r="A40" t="inlineStr">
        <is>
          <t>BUMI PERMAI NUSANTARA</t>
        </is>
      </c>
      <c r="B40" t="inlineStr">
        <is>
          <t>Kab. Sumba Barat Daya</t>
        </is>
      </c>
      <c r="C40" t="inlineStr">
        <is>
          <t>03872524111</t>
        </is>
      </c>
      <c r="D40" t="inlineStr">
        <is>
          <t>bumi.permai.nusantara@gmail.com</t>
        </is>
      </c>
      <c r="E40" t="inlineStr">
        <is>
          <t>https://lpjk.pu.go.id/search-badan-usaha-detail/anNrUllySDZkZ2QyZmNxUG0vSlM0UT09</t>
        </is>
      </c>
      <c r="F40" t="n">
        <v>1</v>
      </c>
      <c r="G40" t="inlineStr">
        <is>
          <t>BS001</t>
        </is>
      </c>
      <c r="H40" t="inlineStr">
        <is>
          <t>29 Januari 2004</t>
        </is>
      </c>
      <c r="I40" s="2" t="n">
        <v>46369</v>
      </c>
      <c r="J40" t="inlineStr">
        <is>
          <t>Pencabutan</t>
        </is>
      </c>
      <c r="K40" t="n">
        <v>87</v>
      </c>
      <c r="L40" t="inlineStr">
        <is>
          <t>13 Desember 2026</t>
        </is>
      </c>
      <c r="M40" t="inlineStr">
        <is>
          <t>Konstruksi Bangunan Sipil Jalan</t>
        </is>
      </c>
      <c r="N40" t="inlineStr">
        <is>
          <t>M</t>
        </is>
      </c>
      <c r="O40" t="inlineStr">
        <is>
          <t>20231208</t>
        </is>
      </c>
      <c r="P40" t="inlineStr">
        <is>
          <t>Nusa Tenggara Timur</t>
        </is>
      </c>
      <c r="Q40" t="inlineStr"/>
    </row>
    <row r="41">
      <c r="A41" t="inlineStr">
        <is>
          <t>CAHAYA PAPUA</t>
        </is>
      </c>
      <c r="B41" t="inlineStr">
        <is>
          <t>Kab. Yahukimo</t>
        </is>
      </c>
      <c r="C41" t="inlineStr">
        <is>
          <t>082198098989</t>
        </is>
      </c>
      <c r="D41" t="inlineStr">
        <is>
          <t>cvcahayapapua47@gmail.com</t>
        </is>
      </c>
      <c r="E41" t="inlineStr">
        <is>
          <t>https://lpjk.pu.go.id/search-badan-usaha-detail/a1hiKzdiMFBmR1VKNGhZREM2bTFsZz09</t>
        </is>
      </c>
      <c r="F41" t="n">
        <v>1</v>
      </c>
      <c r="G41" t="inlineStr">
        <is>
          <t>BG009</t>
        </is>
      </c>
      <c r="H41" t="inlineStr">
        <is>
          <t>26 Januari 2021</t>
        </is>
      </c>
      <c r="I41" s="2" t="n">
        <v>46369</v>
      </c>
      <c r="J41" t="inlineStr">
        <is>
          <t>Disetujui</t>
        </is>
      </c>
      <c r="K41" t="n">
        <v>87</v>
      </c>
      <c r="L41" t="inlineStr">
        <is>
          <t>13 Desember 2026</t>
        </is>
      </c>
      <c r="M41" t="inlineStr">
        <is>
          <t>Konstruksi Gedung Lainnya</t>
        </is>
      </c>
      <c r="N41" t="inlineStr">
        <is>
          <t>K</t>
        </is>
      </c>
      <c r="O41" t="inlineStr">
        <is>
          <t>20231127</t>
        </is>
      </c>
      <c r="P41" t="inlineStr">
        <is>
          <t>Papua Pegunungan</t>
        </is>
      </c>
      <c r="Q41" t="inlineStr"/>
    </row>
    <row r="42">
      <c r="A42" t="inlineStr">
        <is>
          <t>CAHAYA PRATAMA</t>
        </is>
      </c>
      <c r="B42" t="inlineStr">
        <is>
          <t>Kab. Gresik</t>
        </is>
      </c>
      <c r="C42" t="inlineStr">
        <is>
          <t>081357776159</t>
        </is>
      </c>
      <c r="D42" t="inlineStr">
        <is>
          <t>n.choliz1968@gmail.com</t>
        </is>
      </c>
      <c r="E42" t="inlineStr">
        <is>
          <t>https://lpjk.pu.go.id/search-badan-usaha-detail/SjlPVGxkSWdETURFTkI5MDNkU1NEZz09</t>
        </is>
      </c>
      <c r="F42" t="n">
        <v>1</v>
      </c>
      <c r="G42" t="inlineStr">
        <is>
          <t>BS004</t>
        </is>
      </c>
      <c r="H42" t="inlineStr">
        <is>
          <t>19 Agustus 1993</t>
        </is>
      </c>
      <c r="I42" s="2" t="n">
        <v>46369</v>
      </c>
      <c r="J42" t="inlineStr">
        <is>
          <t>Disetujui</t>
        </is>
      </c>
      <c r="K42" t="n">
        <v>87</v>
      </c>
      <c r="L42" t="inlineStr">
        <is>
          <t>13 Desember 2026</t>
        </is>
      </c>
      <c r="M42" t="inlineStr">
        <is>
          <t>Konstruksi Jaringan Irigasi dan Drainase</t>
        </is>
      </c>
      <c r="N42" t="inlineStr">
        <is>
          <t>K</t>
        </is>
      </c>
      <c r="O42" t="inlineStr">
        <is>
          <t>20220323</t>
        </is>
      </c>
      <c r="P42" t="inlineStr">
        <is>
          <t>Jawa Timur</t>
        </is>
      </c>
      <c r="Q42" t="inlineStr"/>
    </row>
    <row r="43">
      <c r="A43" t="inlineStr">
        <is>
          <t>CAHYA MANDIRI GEMILANG</t>
        </is>
      </c>
      <c r="B43" t="inlineStr">
        <is>
          <t>Kab. Gresik</t>
        </is>
      </c>
      <c r="C43" t="inlineStr">
        <is>
          <t>081259637911</t>
        </is>
      </c>
      <c r="D43" t="inlineStr">
        <is>
          <t>caman.gemilang@gmail.com</t>
        </is>
      </c>
      <c r="E43" t="inlineStr">
        <is>
          <t>https://lpjk.pu.go.id/search-badan-usaha-detail/ZDA5T0RPNlV3OTUxYnBlWGs3cisxdz09</t>
        </is>
      </c>
      <c r="F43" t="n">
        <v>2</v>
      </c>
      <c r="G43" t="inlineStr">
        <is>
          <t>IN001, IN004</t>
        </is>
      </c>
      <c r="H43" t="inlineStr">
        <is>
          <t>11 Mei 2020</t>
        </is>
      </c>
      <c r="I43" s="2" t="n">
        <v>46369</v>
      </c>
      <c r="J43" t="inlineStr">
        <is>
          <t>Pembekuan</t>
        </is>
      </c>
      <c r="K43" t="n">
        <v>87</v>
      </c>
      <c r="L43" t="inlineStr">
        <is>
          <t>13 Desember 2026</t>
        </is>
      </c>
      <c r="M43" t="inlineStr">
        <is>
          <t>Instalasi Mekanikal, Instalasi Minyak dan Gas</t>
        </is>
      </c>
      <c r="N43" t="inlineStr">
        <is>
          <t>Spesialis</t>
        </is>
      </c>
      <c r="O43" t="inlineStr">
        <is>
          <t>20231204, 20231206</t>
        </is>
      </c>
      <c r="P43" t="inlineStr">
        <is>
          <t>Jawa Timur</t>
        </is>
      </c>
      <c r="Q43" t="inlineStr"/>
    </row>
    <row r="44">
      <c r="A44" t="inlineStr">
        <is>
          <t>CIPTA GERHA BERKAH</t>
        </is>
      </c>
      <c r="B44" t="inlineStr">
        <is>
          <t>Kota Padang</t>
        </is>
      </c>
      <c r="C44" t="inlineStr">
        <is>
          <t>085382186797</t>
        </is>
      </c>
      <c r="D44" t="inlineStr">
        <is>
          <t>ptcgberkah@gmail.com</t>
        </is>
      </c>
      <c r="E44" t="inlineStr">
        <is>
          <t>https://lpjk.pu.go.id/search-badan-usaha-detail/K1JKdHJ4bDJTUXFoeUxZUi85SVFwUT09</t>
        </is>
      </c>
      <c r="F44" t="n">
        <v>4</v>
      </c>
      <c r="G44" t="inlineStr">
        <is>
          <t>BG001, BG009</t>
        </is>
      </c>
      <c r="H44" t="inlineStr">
        <is>
          <t>10 November 2023</t>
        </is>
      </c>
      <c r="I44" s="2" t="n">
        <v>46369</v>
      </c>
      <c r="J44" t="inlineStr">
        <is>
          <t>Disetujui</t>
        </is>
      </c>
      <c r="K44" t="n">
        <v>87</v>
      </c>
      <c r="L44" t="inlineStr">
        <is>
          <t>13 Desember 2026</t>
        </is>
      </c>
      <c r="M44" t="inlineStr">
        <is>
          <t>Konstruksi Gedung Hunian, Konstruksi Gedung Lainnya</t>
        </is>
      </c>
      <c r="N44" t="inlineStr">
        <is>
          <t>K</t>
        </is>
      </c>
      <c r="O44" t="inlineStr">
        <is>
          <t>20231211</t>
        </is>
      </c>
      <c r="P44" t="inlineStr">
        <is>
          <t>Sumatera Barat</t>
        </is>
      </c>
      <c r="Q44" t="inlineStr"/>
    </row>
    <row r="45">
      <c r="A45" t="inlineStr">
        <is>
          <t>CIPTA MIGUNA INDOJAYA</t>
        </is>
      </c>
      <c r="B45" t="inlineStr">
        <is>
          <t>Kota Tangerang</t>
        </is>
      </c>
      <c r="C45" t="inlineStr">
        <is>
          <t>02156954070</t>
        </is>
      </c>
      <c r="D45" t="inlineStr">
        <is>
          <t>marketingdecoexhibition@gmail.com</t>
        </is>
      </c>
      <c r="E45" t="inlineStr">
        <is>
          <t>https://lpjk.pu.go.id/search-badan-usaha-detail/VGhHWkEveE55ZzVDYXQ4NHdIU2NHQT09</t>
        </is>
      </c>
      <c r="F45" t="n">
        <v>4</v>
      </c>
      <c r="G45" t="inlineStr">
        <is>
          <t>PB004, PB009</t>
        </is>
      </c>
      <c r="H45" t="inlineStr">
        <is>
          <t>20 Juni 2023</t>
        </is>
      </c>
      <c r="I45" s="2" t="n">
        <v>46369</v>
      </c>
      <c r="J45" t="inlineStr">
        <is>
          <t>Pembekuan</t>
        </is>
      </c>
      <c r="K45" t="n">
        <v>87</v>
      </c>
      <c r="L45" t="inlineStr">
        <is>
          <t>13 Desember 2026</t>
        </is>
      </c>
      <c r="M45" t="inlineStr">
        <is>
          <t>Dekorasi Interior, Pembersihan dan Perapihan Bangunan Gedung dan/atau Bangunan Sipil</t>
        </is>
      </c>
      <c r="N45" t="inlineStr">
        <is>
          <t>Spesialis</t>
        </is>
      </c>
      <c r="O45" t="inlineStr">
        <is>
          <t>20231211</t>
        </is>
      </c>
      <c r="P45" t="inlineStr">
        <is>
          <t>Banten</t>
        </is>
      </c>
      <c r="Q45" t="inlineStr"/>
    </row>
    <row r="46">
      <c r="A46" t="inlineStr">
        <is>
          <t>CITRA GENERAL CONTRACTOR</t>
        </is>
      </c>
      <c r="B46" t="inlineStr">
        <is>
          <t>Kota Batam</t>
        </is>
      </c>
      <c r="C46" t="inlineStr">
        <is>
          <t>0778453572</t>
        </is>
      </c>
      <c r="D46" t="inlineStr">
        <is>
          <t>tietie@cvcgcbatam.com</t>
        </is>
      </c>
      <c r="E46" t="inlineStr">
        <is>
          <t>https://lpjk.pu.go.id/search-badan-usaha-detail/V0lRUGFyWWNxdzg0bVUxWmZrTFNFZz09</t>
        </is>
      </c>
      <c r="F46" t="n">
        <v>3</v>
      </c>
      <c r="G46" t="inlineStr">
        <is>
          <t>BG002, BG003, BS007</t>
        </is>
      </c>
      <c r="H46" t="inlineStr">
        <is>
          <t>27 Mei 1993</t>
        </is>
      </c>
      <c r="I46" s="2" t="n">
        <v>46369</v>
      </c>
      <c r="J46" t="inlineStr">
        <is>
          <t>Disetujui</t>
        </is>
      </c>
      <c r="K46" t="n">
        <v>87</v>
      </c>
      <c r="L46" t="inlineStr">
        <is>
          <t>13 Desember 2026</t>
        </is>
      </c>
      <c r="M46" t="inlineStr">
        <is>
          <t>Konstruksi Bangunan Sipil Elektrikal, Konstruksi Gedung Industri, Konstruksi Gedung Perkantoran</t>
        </is>
      </c>
      <c r="N46" t="inlineStr">
        <is>
          <t>K</t>
        </is>
      </c>
      <c r="O46" t="inlineStr">
        <is>
          <t>20231212</t>
        </is>
      </c>
      <c r="P46" t="inlineStr">
        <is>
          <t>Kepulauan Riau</t>
        </is>
      </c>
      <c r="Q46" t="inlineStr"/>
    </row>
    <row r="47">
      <c r="A47" t="inlineStr">
        <is>
          <t>CITRA SURYA USAHA MANDIRI</t>
        </is>
      </c>
      <c r="B47" t="inlineStr">
        <is>
          <t>Kab. Seruyan</t>
        </is>
      </c>
      <c r="C47" t="inlineStr">
        <is>
          <t>082150661433</t>
        </is>
      </c>
      <c r="D47" t="inlineStr">
        <is>
          <t>citrasuryausaha@gmail.com</t>
        </is>
      </c>
      <c r="E47" t="inlineStr">
        <is>
          <t>https://lpjk.pu.go.id/search-badan-usaha-detail/V0R1Yll6azNZYjFPNUJ2c2Z0Vk5Pdz09</t>
        </is>
      </c>
      <c r="F47" t="n">
        <v>1</v>
      </c>
      <c r="G47" t="inlineStr">
        <is>
          <t>BS002</t>
        </is>
      </c>
      <c r="H47" t="inlineStr">
        <is>
          <t>19 November 2013</t>
        </is>
      </c>
      <c r="I47" s="2" t="n">
        <v>46369</v>
      </c>
      <c r="J47" t="inlineStr">
        <is>
          <t>Disetujui</t>
        </is>
      </c>
      <c r="K47" t="n">
        <v>87</v>
      </c>
      <c r="L47" t="inlineStr">
        <is>
          <t>13 Desember 2026</t>
        </is>
      </c>
      <c r="M47" t="inlineStr">
        <is>
          <t>Bangunan Sipil Jembatan, Jalan Layang, Fly Over, dan Underpass</t>
        </is>
      </c>
      <c r="N47" t="inlineStr">
        <is>
          <t>K</t>
        </is>
      </c>
      <c r="O47" t="inlineStr">
        <is>
          <t>20231213</t>
        </is>
      </c>
      <c r="P47" t="inlineStr">
        <is>
          <t>Kalimantan Tengah</t>
        </is>
      </c>
      <c r="Q47" t="inlineStr"/>
    </row>
    <row r="48">
      <c r="A48" t="inlineStr">
        <is>
          <t>DUA EMPAT</t>
        </is>
      </c>
      <c r="B48" t="inlineStr">
        <is>
          <t>Kota Samarinda</t>
        </is>
      </c>
      <c r="C48" t="inlineStr">
        <is>
          <t>08125497944</t>
        </is>
      </c>
      <c r="D48" t="inlineStr">
        <is>
          <t>duaempat24.cv@gmail.com</t>
        </is>
      </c>
      <c r="E48" t="inlineStr">
        <is>
          <t>https://lpjk.pu.go.id/search-badan-usaha-detail/dWdETVA5dXBTUjNkMk1yWngyVkZHdz09</t>
        </is>
      </c>
      <c r="F48" t="n">
        <v>1</v>
      </c>
      <c r="G48" t="inlineStr">
        <is>
          <t>BS010</t>
        </is>
      </c>
      <c r="H48" t="inlineStr">
        <is>
          <t>22 Juni 2012</t>
        </is>
      </c>
      <c r="I48" s="2" t="n">
        <v>46369</v>
      </c>
      <c r="J48" t="inlineStr">
        <is>
          <t>Disetujui</t>
        </is>
      </c>
      <c r="K48" t="n">
        <v>87</v>
      </c>
      <c r="L48" t="inlineStr">
        <is>
          <t>13 Desember 2026</t>
        </is>
      </c>
      <c r="M48" t="inlineStr">
        <is>
          <t>Konstruksi Bangunan Prasarana Sumber Daya Air</t>
        </is>
      </c>
      <c r="N48" t="inlineStr">
        <is>
          <t>K</t>
        </is>
      </c>
      <c r="O48" t="inlineStr">
        <is>
          <t>20231213</t>
        </is>
      </c>
      <c r="P48" t="inlineStr">
        <is>
          <t>Kalimantan Timur</t>
        </is>
      </c>
      <c r="Q48" t="inlineStr"/>
    </row>
    <row r="49">
      <c r="A49" t="inlineStr">
        <is>
          <t>DUA MUARA PUTRA</t>
        </is>
      </c>
      <c r="B49" t="inlineStr">
        <is>
          <t>Kota Bandar Lampung</t>
        </is>
      </c>
      <c r="C49" t="inlineStr">
        <is>
          <t>-</t>
        </is>
      </c>
      <c r="D49" t="inlineStr">
        <is>
          <t>duamuaraputra@gmail.com</t>
        </is>
      </c>
      <c r="E49" t="inlineStr">
        <is>
          <t>https://lpjk.pu.go.id/search-badan-usaha-detail/MlFNbEswSEQzNEdRdVFGdnJJdmFaZz09</t>
        </is>
      </c>
      <c r="F49" t="n">
        <v>2</v>
      </c>
      <c r="G49" t="inlineStr">
        <is>
          <t>BS001, BS005</t>
        </is>
      </c>
      <c r="H49" t="inlineStr">
        <is>
          <t>11 November 2020</t>
        </is>
      </c>
      <c r="I49" s="2" t="n">
        <v>46369</v>
      </c>
      <c r="J49" t="inlineStr">
        <is>
          <t>Disetujui</t>
        </is>
      </c>
      <c r="K49" t="n">
        <v>87</v>
      </c>
      <c r="L49" t="inlineStr">
        <is>
          <t>13 Desember 2026</t>
        </is>
      </c>
      <c r="M49" t="inlineStr">
        <is>
          <t>Konstruksi Bangunan Sipil Jalan, Konstruksi Bangunan Sipil Pengolahan Air Bersih</t>
        </is>
      </c>
      <c r="N49" t="inlineStr">
        <is>
          <t>K</t>
        </is>
      </c>
      <c r="O49" t="inlineStr">
        <is>
          <t>20231212, 20231213</t>
        </is>
      </c>
      <c r="P49" t="inlineStr">
        <is>
          <t>Lampung</t>
        </is>
      </c>
      <c r="Q49" t="inlineStr"/>
    </row>
    <row r="50">
      <c r="A50" t="inlineStr">
        <is>
          <t>DUTA ARSITEK UTAMA</t>
        </is>
      </c>
      <c r="B50" t="inlineStr">
        <is>
          <t>Kota Adm. Jakarta Selatan</t>
        </is>
      </c>
      <c r="C50" t="inlineStr">
        <is>
          <t>02129490632</t>
        </is>
      </c>
      <c r="D50" t="inlineStr">
        <is>
          <t>dutaarsitekutama@gmail.com</t>
        </is>
      </c>
      <c r="E50" t="inlineStr">
        <is>
          <t>https://lpjk.pu.go.id/search-badan-usaha-detail/Zm5sUHJWeFd3V1B1QWRsYjNqa2M2eFNPOXNLZWF1Wko5ME45SzJBMFE0QT0</t>
        </is>
      </c>
      <c r="F50" t="n">
        <v>3</v>
      </c>
      <c r="G50" t="inlineStr">
        <is>
          <t>AR001, AR002, RK001</t>
        </is>
      </c>
      <c r="H50" t="inlineStr">
        <is>
          <t>20 Juli 2023</t>
        </is>
      </c>
      <c r="I50" s="2" t="n">
        <v>46369</v>
      </c>
      <c r="J50" t="inlineStr">
        <is>
          <t>Disetujui</t>
        </is>
      </c>
      <c r="K50" t="n">
        <v>87</v>
      </c>
      <c r="L50" t="inlineStr">
        <is>
          <t>13 Desember 2026</t>
        </is>
      </c>
      <c r="M50" t="inlineStr">
        <is>
          <t>Jasa Arsitektural Bangunan Gedung Hunian dan Non Hunian, Jasa Arsitektural Lainnya, Jasa Rekayasa Konstruksi Bangunan Gedung Hunian dan Non Hunian</t>
        </is>
      </c>
      <c r="N50" t="inlineStr">
        <is>
          <t>K</t>
        </is>
      </c>
      <c r="O50" t="inlineStr">
        <is>
          <t>20231204</t>
        </is>
      </c>
      <c r="P50" t="inlineStr">
        <is>
          <t>DKI Jakarta</t>
        </is>
      </c>
      <c r="Q50" t="inlineStr"/>
    </row>
    <row r="51">
      <c r="A51" t="inlineStr">
        <is>
          <t>DUTA SUKSES KONSTRUKSI</t>
        </is>
      </c>
      <c r="B51" t="inlineStr">
        <is>
          <t>Kab. Buru</t>
        </is>
      </c>
      <c r="C51" t="inlineStr">
        <is>
          <t>085244192798</t>
        </is>
      </c>
      <c r="D51" t="inlineStr">
        <is>
          <t>dutasukseskonstruksi.oss@gmail.com</t>
        </is>
      </c>
      <c r="E51" t="inlineStr">
        <is>
          <t>https://lpjk.pu.go.id/search-badan-usaha-detail/ZnhTWEdXQVZYdGZGUks5ZENiQXk1SDBGTFRiSklXZlRGQldJUWxlOExKTT0</t>
        </is>
      </c>
      <c r="F51" t="n">
        <v>1</v>
      </c>
      <c r="G51" t="inlineStr">
        <is>
          <t>BG006</t>
        </is>
      </c>
      <c r="H51" t="inlineStr">
        <is>
          <t>11 Februari 2026</t>
        </is>
      </c>
      <c r="I51" s="2" t="n">
        <v>46369</v>
      </c>
      <c r="J51" t="inlineStr">
        <is>
          <t>Disetujui</t>
        </is>
      </c>
      <c r="K51" t="n">
        <v>87</v>
      </c>
      <c r="L51" t="inlineStr">
        <is>
          <t>13 Desember 2026</t>
        </is>
      </c>
      <c r="M51" t="inlineStr">
        <is>
          <t>Konstruksi Gedung Pendidikan</t>
        </is>
      </c>
      <c r="N51" t="inlineStr">
        <is>
          <t>K</t>
        </is>
      </c>
      <c r="O51" t="inlineStr">
        <is>
          <t>20231214</t>
        </is>
      </c>
      <c r="P51" t="inlineStr">
        <is>
          <t>Maluku</t>
        </is>
      </c>
      <c r="Q51" t="inlineStr"/>
    </row>
    <row r="52">
      <c r="A52" t="inlineStr">
        <is>
          <t>ELTRAN INDONESIA</t>
        </is>
      </c>
      <c r="B52" t="inlineStr">
        <is>
          <t>Kota Bandung</t>
        </is>
      </c>
      <c r="C52" t="inlineStr">
        <is>
          <t>02273517098</t>
        </is>
      </c>
      <c r="D52" t="inlineStr">
        <is>
          <t>marketing@eltran.co.id</t>
        </is>
      </c>
      <c r="E52" t="inlineStr">
        <is>
          <t>https://lpjk.pu.go.id/search-badan-usaha-detail/cGNYemM3UTMweEpxbWJvOFh5cHcwZz09</t>
        </is>
      </c>
      <c r="F52" t="n">
        <v>1</v>
      </c>
      <c r="G52" t="inlineStr">
        <is>
          <t>IN014</t>
        </is>
      </c>
      <c r="H52" t="inlineStr">
        <is>
          <t>24 Mei 1997</t>
        </is>
      </c>
      <c r="I52" s="2" t="n">
        <v>46369</v>
      </c>
      <c r="J52" t="inlineStr">
        <is>
          <t>Pembekuan</t>
        </is>
      </c>
      <c r="K52" t="n">
        <v>87</v>
      </c>
      <c r="L52" t="inlineStr">
        <is>
          <t>13 Desember 2026</t>
        </is>
      </c>
      <c r="M52" t="inlineStr">
        <is>
          <t>Instalasi Meteorologi, Klimatologi dan Geofisika</t>
        </is>
      </c>
      <c r="N52" t="inlineStr">
        <is>
          <t>Spesialis</t>
        </is>
      </c>
      <c r="O52" t="inlineStr">
        <is>
          <t>20231214</t>
        </is>
      </c>
      <c r="P52" t="inlineStr">
        <is>
          <t>Jawa Barat</t>
        </is>
      </c>
      <c r="Q52" t="inlineStr"/>
    </row>
    <row r="53">
      <c r="A53" t="inlineStr">
        <is>
          <t>ENERGY REKA KARYA</t>
        </is>
      </c>
      <c r="B53" t="inlineStr">
        <is>
          <t>Kota Palembang</t>
        </is>
      </c>
      <c r="C53" t="inlineStr">
        <is>
          <t>081271173038</t>
        </is>
      </c>
      <c r="D53" t="inlineStr">
        <is>
          <t>ptenergyrekakarya@gmail.com</t>
        </is>
      </c>
      <c r="E53" t="inlineStr">
        <is>
          <t>https://lpjk.pu.go.id/search-badan-usaha-detail/dm4rM1hhUzVVZ3QzdENWNnRaTWdPUT09</t>
        </is>
      </c>
      <c r="F53" t="n">
        <v>1</v>
      </c>
      <c r="G53" t="inlineStr">
        <is>
          <t>BG001</t>
        </is>
      </c>
      <c r="H53" t="inlineStr">
        <is>
          <t>23 September 2023</t>
        </is>
      </c>
      <c r="I53" s="2" t="n">
        <v>46369</v>
      </c>
      <c r="J53" t="inlineStr">
        <is>
          <t>Disetujui</t>
        </is>
      </c>
      <c r="K53" t="n">
        <v>87</v>
      </c>
      <c r="L53" t="inlineStr">
        <is>
          <t>13 Desember 2026</t>
        </is>
      </c>
      <c r="M53" t="inlineStr">
        <is>
          <t>Konstruksi Gedung Hunian</t>
        </is>
      </c>
      <c r="N53" t="inlineStr">
        <is>
          <t>K</t>
        </is>
      </c>
      <c r="O53" t="inlineStr">
        <is>
          <t>20231214</t>
        </is>
      </c>
      <c r="P53" t="inlineStr">
        <is>
          <t>Sumatera Selatan</t>
        </is>
      </c>
      <c r="Q53" t="inlineStr"/>
    </row>
    <row r="54">
      <c r="A54" t="inlineStr">
        <is>
          <t>EVANTAMA NETWORK SYSTEM</t>
        </is>
      </c>
      <c r="B54" t="inlineStr">
        <is>
          <t>Kota Tangerang Selatan</t>
        </is>
      </c>
      <c r="C54" t="inlineStr">
        <is>
          <t>02153158009</t>
        </is>
      </c>
      <c r="D54" t="inlineStr">
        <is>
          <t>nona@nmm.co.id</t>
        </is>
      </c>
      <c r="E54" t="inlineStr">
        <is>
          <t>https://lpjk.pu.go.id/search-badan-usaha-detail/eTlwbmVHdGFGR1UxSmcwZ1NvQ2Erdz09</t>
        </is>
      </c>
      <c r="F54" t="n">
        <v>1</v>
      </c>
      <c r="G54" t="inlineStr">
        <is>
          <t>BG009</t>
        </is>
      </c>
      <c r="H54" t="inlineStr">
        <is>
          <t>17 Januari 2007</t>
        </is>
      </c>
      <c r="I54" s="2" t="n">
        <v>46369</v>
      </c>
      <c r="J54" t="inlineStr">
        <is>
          <t>Disetujui</t>
        </is>
      </c>
      <c r="K54" t="n">
        <v>87</v>
      </c>
      <c r="L54" t="inlineStr">
        <is>
          <t>13 Desember 2026</t>
        </is>
      </c>
      <c r="M54" t="inlineStr">
        <is>
          <t>Konstruksi Gedung Lainnya</t>
        </is>
      </c>
      <c r="N54" t="inlineStr">
        <is>
          <t>K</t>
        </is>
      </c>
      <c r="O54" t="inlineStr">
        <is>
          <t>20231213</t>
        </is>
      </c>
      <c r="P54" t="inlineStr">
        <is>
          <t>Banten</t>
        </is>
      </c>
      <c r="Q54" t="inlineStr"/>
    </row>
    <row r="55">
      <c r="A55" t="inlineStr">
        <is>
          <t>FOKUS INDO LIGHTING</t>
        </is>
      </c>
      <c r="B55" t="inlineStr">
        <is>
          <t>Kota Adm. Jakarta Utara</t>
        </is>
      </c>
      <c r="C55" t="inlineStr">
        <is>
          <t>0214612110</t>
        </is>
      </c>
      <c r="D55" t="inlineStr">
        <is>
          <t>marketing_fil@yahoo.co.id</t>
        </is>
      </c>
      <c r="E55" t="inlineStr">
        <is>
          <t>https://lpjk.pu.go.id/search-badan-usaha-detail/cjlSbWg1TENlMC9MRENmR3lZL1lRZz09</t>
        </is>
      </c>
      <c r="F55" t="n">
        <v>1</v>
      </c>
      <c r="G55" t="inlineStr">
        <is>
          <t>BS017</t>
        </is>
      </c>
      <c r="H55" t="inlineStr">
        <is>
          <t>10 Februari 2003</t>
        </is>
      </c>
      <c r="I55" s="2" t="n">
        <v>46369</v>
      </c>
      <c r="J55" t="inlineStr">
        <is>
          <t>Pencabutan</t>
        </is>
      </c>
      <c r="K55" t="n">
        <v>87</v>
      </c>
      <c r="L55" t="inlineStr">
        <is>
          <t>13 Desember 2026</t>
        </is>
      </c>
      <c r="M55" t="inlineStr">
        <is>
          <t>Konstruksi Bangunan Sipil Lainnya Ytdl</t>
        </is>
      </c>
      <c r="N55" t="inlineStr">
        <is>
          <t>B</t>
        </is>
      </c>
      <c r="O55" t="inlineStr">
        <is>
          <t>20231213</t>
        </is>
      </c>
      <c r="P55" t="inlineStr">
        <is>
          <t>DKI Jakarta</t>
        </is>
      </c>
      <c r="Q55" t="inlineStr"/>
    </row>
    <row r="56">
      <c r="A56" t="inlineStr">
        <is>
          <t>FORTUNA JAYA SUKSES</t>
        </is>
      </c>
      <c r="B56" t="inlineStr">
        <is>
          <t>Kota Batam</t>
        </is>
      </c>
      <c r="C56" t="inlineStr">
        <is>
          <t>-</t>
        </is>
      </c>
      <c r="D56" t="inlineStr">
        <is>
          <t>-</t>
        </is>
      </c>
      <c r="E56" t="inlineStr">
        <is>
          <t>https://lpjk.pu.go.id/search-badan-usaha-detail/OENYMUFVWjJaMUs4eXlpemlRN2d6QT09</t>
        </is>
      </c>
      <c r="F56" t="n">
        <v>1</v>
      </c>
      <c r="G56" t="inlineStr">
        <is>
          <t>BG001</t>
        </is>
      </c>
      <c r="H56" t="inlineStr">
        <is>
          <t>29 Agustus 2014</t>
        </is>
      </c>
      <c r="I56" s="2" t="n">
        <v>46369</v>
      </c>
      <c r="J56" t="inlineStr">
        <is>
          <t>Disetujui</t>
        </is>
      </c>
      <c r="K56" t="n">
        <v>87</v>
      </c>
      <c r="L56" t="inlineStr">
        <is>
          <t>13 Desember 2026</t>
        </is>
      </c>
      <c r="M56" t="inlineStr">
        <is>
          <t>Konstruksi Gedung Hunian</t>
        </is>
      </c>
      <c r="N56" t="inlineStr">
        <is>
          <t>K</t>
        </is>
      </c>
      <c r="O56" t="inlineStr">
        <is>
          <t>20231213</t>
        </is>
      </c>
      <c r="P56" t="inlineStr">
        <is>
          <t>Kepulauan Riau</t>
        </is>
      </c>
      <c r="Q56" t="inlineStr"/>
    </row>
    <row r="57">
      <c r="A57" t="inlineStr">
        <is>
          <t>GAJAHMUNGKUR INDONESIA PERKASA</t>
        </is>
      </c>
      <c r="B57" t="inlineStr">
        <is>
          <t>Kab. Gresik</t>
        </is>
      </c>
      <c r="C57" t="inlineStr">
        <is>
          <t>0313955066</t>
        </is>
      </c>
      <c r="D57" t="inlineStr">
        <is>
          <t>info@gamindo.co.id</t>
        </is>
      </c>
      <c r="E57" t="inlineStr">
        <is>
          <t>https://lpjk.pu.go.id/search-badan-usaha-detail/Qm9DY1FzcFNJd2pveld3ZEtKV3RTUT09</t>
        </is>
      </c>
      <c r="F57" t="n">
        <v>3</v>
      </c>
      <c r="G57" t="inlineStr">
        <is>
          <t>BG003, IN004, IN007</t>
        </is>
      </c>
      <c r="H57" t="inlineStr">
        <is>
          <t>15 Desember 2011</t>
        </is>
      </c>
      <c r="I57" s="2" t="n">
        <v>46369</v>
      </c>
      <c r="J57" t="inlineStr">
        <is>
          <t>Disetujui</t>
        </is>
      </c>
      <c r="K57" t="n">
        <v>87</v>
      </c>
      <c r="L57" t="inlineStr">
        <is>
          <t>13 Desember 2026</t>
        </is>
      </c>
      <c r="M57" t="inlineStr">
        <is>
          <t>Instalasi Minyak dan Gas, Instalasi Saluran Air (Plambing), Konstruksi Gedung Industri</t>
        </is>
      </c>
      <c r="N57" t="inlineStr">
        <is>
          <t>K, Spesialis</t>
        </is>
      </c>
      <c r="O57" t="inlineStr">
        <is>
          <t>20231213, 20231215</t>
        </is>
      </c>
      <c r="P57" t="inlineStr">
        <is>
          <t>Jawa Timur</t>
        </is>
      </c>
      <c r="Q57" t="inlineStr"/>
    </row>
    <row r="58">
      <c r="A58" t="inlineStr">
        <is>
          <t>GRAHA KONSTRUKSI NUSANTARA</t>
        </is>
      </c>
      <c r="B58" t="inlineStr">
        <is>
          <t>Kota Banda Aceh</t>
        </is>
      </c>
      <c r="C58" t="inlineStr">
        <is>
          <t>085260133200</t>
        </is>
      </c>
      <c r="D58" t="inlineStr">
        <is>
          <t>grahanusantara99@gmail.com</t>
        </is>
      </c>
      <c r="E58" t="inlineStr">
        <is>
          <t>https://lpjk.pu.go.id/search-badan-usaha-detail/eTFCV2E3OSt4aHZIazhHc3JqcWlqQT09</t>
        </is>
      </c>
      <c r="F58" t="n">
        <v>7</v>
      </c>
      <c r="G58" t="inlineStr">
        <is>
          <t>BG002, BG005, BG006, BG008, BS001, BS005, BS010</t>
        </is>
      </c>
      <c r="H58" t="inlineStr">
        <is>
          <t>5 Maret 2019</t>
        </is>
      </c>
      <c r="I58" s="2" t="n">
        <v>46369</v>
      </c>
      <c r="J58" t="inlineStr">
        <is>
          <t>Disetujui</t>
        </is>
      </c>
      <c r="K58" t="n">
        <v>87</v>
      </c>
      <c r="L58" t="inlineStr">
        <is>
          <t>13 Desember 2026</t>
        </is>
      </c>
      <c r="M58" t="inlineStr">
        <is>
          <t>Konstruksi Bangunan Prasarana Sumber Daya Air, Konstruksi Bangunan Sipil Jalan, Konstruksi Bangunan Sipil Pengolahan Air Bersih, Konstruksi Gedung Kesehatan, Konstruksi Gedung Pendidikan, Konstruksi Gedung Perkantoran, Konstruksi Gedung Tempat Hiburan dan Olahraga</t>
        </is>
      </c>
      <c r="N58" t="inlineStr">
        <is>
          <t>K</t>
        </is>
      </c>
      <c r="O58" t="inlineStr">
        <is>
          <t>20231213</t>
        </is>
      </c>
      <c r="P58" t="inlineStr">
        <is>
          <t>Aceh</t>
        </is>
      </c>
      <c r="Q58" t="inlineStr"/>
    </row>
    <row r="59">
      <c r="A59" t="inlineStr">
        <is>
          <t>GRAND CIPTA CONSULTING</t>
        </is>
      </c>
      <c r="B59" t="inlineStr">
        <is>
          <t>Kota Malang</t>
        </is>
      </c>
      <c r="C59" t="inlineStr">
        <is>
          <t>08114801742</t>
        </is>
      </c>
      <c r="D59" t="inlineStr">
        <is>
          <t>pt.grandciptaconsulting@gmail.com</t>
        </is>
      </c>
      <c r="E59" t="inlineStr">
        <is>
          <t>https://lpjk.pu.go.id/search-badan-usaha-detail/QTZPbFU4NjM2aXBpTU5GRms5b2Qzdz09</t>
        </is>
      </c>
      <c r="F59" t="n">
        <v>1</v>
      </c>
      <c r="G59" t="inlineStr">
        <is>
          <t>RK002</t>
        </is>
      </c>
      <c r="H59" t="inlineStr">
        <is>
          <t>17 Maret 1994</t>
        </is>
      </c>
      <c r="I59" s="2" t="n">
        <v>46369</v>
      </c>
      <c r="J59" t="inlineStr">
        <is>
          <t>Disetujui</t>
        </is>
      </c>
      <c r="K59" t="n">
        <v>87</v>
      </c>
      <c r="L59" t="inlineStr">
        <is>
          <t>13 Desember 2026</t>
        </is>
      </c>
      <c r="M59" t="inlineStr">
        <is>
          <t>Jasa Rekayasa Pekerjaan Teknik Sipil Sumber Daya Air</t>
        </is>
      </c>
      <c r="N59" t="inlineStr">
        <is>
          <t>K</t>
        </is>
      </c>
      <c r="O59" t="inlineStr">
        <is>
          <t>20231129</t>
        </is>
      </c>
      <c r="P59" t="inlineStr">
        <is>
          <t>Jawa Timur</t>
        </is>
      </c>
      <c r="Q59" t="inlineStr"/>
    </row>
    <row r="60">
      <c r="A60" t="inlineStr">
        <is>
          <t>HARINDA TRIJAYA MANDIRI</t>
        </is>
      </c>
      <c r="B60" t="inlineStr">
        <is>
          <t>Kab. Karawang</t>
        </is>
      </c>
      <c r="C60" t="inlineStr">
        <is>
          <t>081269881972</t>
        </is>
      </c>
      <c r="D60" t="inlineStr">
        <is>
          <t>harindatrijayamandiri@gmail.com</t>
        </is>
      </c>
      <c r="E60" t="inlineStr">
        <is>
          <t>https://lpjk.pu.go.id/search-badan-usaha-detail/aVgzT292MCttNitEMTRCd05UKzFydz09</t>
        </is>
      </c>
      <c r="F60" t="n">
        <v>3</v>
      </c>
      <c r="G60" t="inlineStr">
        <is>
          <t>BG002, BG005, BG009</t>
        </is>
      </c>
      <c r="H60" t="inlineStr">
        <is>
          <t>2 November 2023</t>
        </is>
      </c>
      <c r="I60" s="2" t="n">
        <v>46369</v>
      </c>
      <c r="J60" t="inlineStr">
        <is>
          <t>Disetujui</t>
        </is>
      </c>
      <c r="K60" t="n">
        <v>87</v>
      </c>
      <c r="L60" t="inlineStr">
        <is>
          <t>13 Desember 2026</t>
        </is>
      </c>
      <c r="M60" t="inlineStr">
        <is>
          <t>Konstruksi Gedung Kesehatan, Konstruksi Gedung Lainnya, Konstruksi Gedung Perkantoran</t>
        </is>
      </c>
      <c r="N60" t="inlineStr">
        <is>
          <t>K</t>
        </is>
      </c>
      <c r="O60" t="inlineStr">
        <is>
          <t>20231121, 20231123</t>
        </is>
      </c>
      <c r="P60" t="inlineStr">
        <is>
          <t>Jawa Barat</t>
        </is>
      </c>
      <c r="Q60" t="inlineStr"/>
    </row>
    <row r="61">
      <c r="A61" t="inlineStr">
        <is>
          <t>INDI REKAKONSUL</t>
        </is>
      </c>
      <c r="B61" t="inlineStr">
        <is>
          <t>Kota Ternate</t>
        </is>
      </c>
      <c r="C61" t="inlineStr">
        <is>
          <t>081355717909</t>
        </is>
      </c>
      <c r="D61" t="inlineStr">
        <is>
          <t>indirekakonsul@gmail.com</t>
        </is>
      </c>
      <c r="E61" t="inlineStr">
        <is>
          <t>https://lpjk.pu.go.id/search-badan-usaha-detail/c0U0RHFIWU9hWkRXL0MrVG1xZmlKQT09</t>
        </is>
      </c>
      <c r="F61" t="n">
        <v>1</v>
      </c>
      <c r="G61" t="inlineStr">
        <is>
          <t>RK002</t>
        </is>
      </c>
      <c r="H61" t="inlineStr">
        <is>
          <t>10 Januari 2019</t>
        </is>
      </c>
      <c r="I61" s="2" t="n">
        <v>46369</v>
      </c>
      <c r="J61" t="inlineStr">
        <is>
          <t>Disetujui</t>
        </is>
      </c>
      <c r="K61" t="n">
        <v>87</v>
      </c>
      <c r="L61" t="inlineStr">
        <is>
          <t>13 Desember 2026</t>
        </is>
      </c>
      <c r="M61" t="inlineStr">
        <is>
          <t>Jasa Rekayasa Pekerjaan Teknik Sipil Sumber Daya Air</t>
        </is>
      </c>
      <c r="N61" t="inlineStr">
        <is>
          <t>K</t>
        </is>
      </c>
      <c r="O61" t="inlineStr">
        <is>
          <t>20231014</t>
        </is>
      </c>
      <c r="P61" t="inlineStr">
        <is>
          <t>Maluku Utara</t>
        </is>
      </c>
      <c r="Q61" t="inlineStr"/>
    </row>
    <row r="62">
      <c r="A62" t="inlineStr">
        <is>
          <t>JOEL</t>
        </is>
      </c>
      <c r="B62" t="inlineStr">
        <is>
          <t>Kota Manado</t>
        </is>
      </c>
      <c r="C62" t="inlineStr">
        <is>
          <t>08114317171</t>
        </is>
      </c>
      <c r="D62" t="inlineStr">
        <is>
          <t>jimmy.rambi@gmail.com</t>
        </is>
      </c>
      <c r="E62" t="inlineStr">
        <is>
          <t>https://lpjk.pu.go.id/search-badan-usaha-detail/WkhhS0RjWmlBWUdOOW5vS0ROS2NPQT09</t>
        </is>
      </c>
      <c r="F62" t="n">
        <v>1</v>
      </c>
      <c r="G62" t="inlineStr">
        <is>
          <t>BG002</t>
        </is>
      </c>
      <c r="H62" t="inlineStr">
        <is>
          <t>15 Juni 2021</t>
        </is>
      </c>
      <c r="I62" s="2" t="n">
        <v>46369</v>
      </c>
      <c r="J62" t="inlineStr">
        <is>
          <t>Pencabutan</t>
        </is>
      </c>
      <c r="K62" t="n">
        <v>87</v>
      </c>
      <c r="L62" t="inlineStr">
        <is>
          <t>13 Desember 2026</t>
        </is>
      </c>
      <c r="M62" t="inlineStr">
        <is>
          <t>Konstruksi Gedung Perkantoran</t>
        </is>
      </c>
      <c r="N62" t="inlineStr">
        <is>
          <t>K</t>
        </is>
      </c>
      <c r="O62" t="inlineStr">
        <is>
          <t>20231213</t>
        </is>
      </c>
      <c r="P62" t="inlineStr">
        <is>
          <t>Sulawesi Utara</t>
        </is>
      </c>
      <c r="Q62" t="inlineStr"/>
    </row>
    <row r="63">
      <c r="A63" t="inlineStr">
        <is>
          <t>JUAN KARYA</t>
        </is>
      </c>
      <c r="B63" t="inlineStr">
        <is>
          <t>Kab. Semarang</t>
        </is>
      </c>
      <c r="C63" t="inlineStr">
        <is>
          <t>08122549107</t>
        </is>
      </c>
      <c r="D63" t="inlineStr">
        <is>
          <t>cvjuankarya@gmail.com</t>
        </is>
      </c>
      <c r="E63" t="inlineStr">
        <is>
          <t>https://lpjk.pu.go.id/search-badan-usaha-detail/b0JsOVpwNmkraUdkb05rczBKRHJaUT09</t>
        </is>
      </c>
      <c r="F63" t="n">
        <v>2</v>
      </c>
      <c r="G63" t="inlineStr">
        <is>
          <t>BG002, BG009</t>
        </is>
      </c>
      <c r="H63" t="inlineStr">
        <is>
          <t>31 Januari 2005</t>
        </is>
      </c>
      <c r="I63" s="2" t="n">
        <v>46369</v>
      </c>
      <c r="J63" t="inlineStr">
        <is>
          <t>Disetujui</t>
        </is>
      </c>
      <c r="K63" t="n">
        <v>87</v>
      </c>
      <c r="L63" t="inlineStr">
        <is>
          <t>13 Desember 2026</t>
        </is>
      </c>
      <c r="M63" t="inlineStr">
        <is>
          <t>Konstruksi Gedung Lainnya, Konstruksi Gedung Perkantoran</t>
        </is>
      </c>
      <c r="N63" t="inlineStr">
        <is>
          <t>K</t>
        </is>
      </c>
      <c r="O63" t="inlineStr">
        <is>
          <t>20231212</t>
        </is>
      </c>
      <c r="P63" t="inlineStr">
        <is>
          <t>Jawa Tengah</t>
        </is>
      </c>
      <c r="Q63" t="inlineStr"/>
    </row>
    <row r="64">
      <c r="A64" t="inlineStr">
        <is>
          <t>KELUARGA HIDAYAT</t>
        </is>
      </c>
      <c r="B64" t="inlineStr">
        <is>
          <t>Kab. Lombok Tengah</t>
        </is>
      </c>
      <c r="C64" t="inlineStr">
        <is>
          <t>-</t>
        </is>
      </c>
      <c r="D64" t="inlineStr">
        <is>
          <t>ekahidayatjunaidi777@gmail.com</t>
        </is>
      </c>
      <c r="E64" t="inlineStr">
        <is>
          <t>https://lpjk.pu.go.id/search-badan-usaha-detail/Qk8rVHhxajhlWlZZalp6YmtteVUyUT09</t>
        </is>
      </c>
      <c r="F64" t="n">
        <v>1</v>
      </c>
      <c r="G64" t="inlineStr">
        <is>
          <t>BG006</t>
        </is>
      </c>
      <c r="H64" t="inlineStr">
        <is>
          <t>29 Juli 2002</t>
        </is>
      </c>
      <c r="I64" s="2" t="n">
        <v>46369</v>
      </c>
      <c r="J64" t="inlineStr">
        <is>
          <t>Pencabutan</t>
        </is>
      </c>
      <c r="K64" t="n">
        <v>87</v>
      </c>
      <c r="L64" t="inlineStr">
        <is>
          <t>13 Desember 2026</t>
        </is>
      </c>
      <c r="M64" t="inlineStr">
        <is>
          <t>Konstruksi Gedung Pendidikan</t>
        </is>
      </c>
      <c r="N64" t="inlineStr">
        <is>
          <t>K</t>
        </is>
      </c>
      <c r="O64" t="inlineStr">
        <is>
          <t>20231211</t>
        </is>
      </c>
      <c r="P64" t="inlineStr">
        <is>
          <t>Nusa Tenggara Barat</t>
        </is>
      </c>
      <c r="Q64" t="inlineStr"/>
    </row>
    <row r="65">
      <c r="A65" t="inlineStr">
        <is>
          <t>KREASI PANCA SAKTI</t>
        </is>
      </c>
      <c r="B65" t="inlineStr">
        <is>
          <t>Kota Adm. Jakarta Utara</t>
        </is>
      </c>
      <c r="C65" t="inlineStr">
        <is>
          <t>081215498019</t>
        </is>
      </c>
      <c r="D65" t="inlineStr">
        <is>
          <t>kreasi.pancasakti@gmail.com</t>
        </is>
      </c>
      <c r="E65" t="inlineStr">
        <is>
          <t>https://lpjk.pu.go.id/search-badan-usaha-detail/dWIvMXRtenJySUdaZk1ERGkwdHFVdz09</t>
        </is>
      </c>
      <c r="F65" t="n">
        <v>1</v>
      </c>
      <c r="G65" t="inlineStr">
        <is>
          <t>BG009</t>
        </is>
      </c>
      <c r="H65" t="inlineStr">
        <is>
          <t>9 Mei 2023</t>
        </is>
      </c>
      <c r="I65" s="2" t="n">
        <v>46369</v>
      </c>
      <c r="J65" t="inlineStr">
        <is>
          <t>Disetujui</t>
        </is>
      </c>
      <c r="K65" t="n">
        <v>87</v>
      </c>
      <c r="L65" t="inlineStr">
        <is>
          <t>13 Desember 2026</t>
        </is>
      </c>
      <c r="M65" t="inlineStr">
        <is>
          <t>Konstruksi Gedung Lainnya</t>
        </is>
      </c>
      <c r="N65" t="inlineStr">
        <is>
          <t>K</t>
        </is>
      </c>
      <c r="O65" t="inlineStr">
        <is>
          <t>20231211</t>
        </is>
      </c>
      <c r="P65" t="inlineStr">
        <is>
          <t>DKI Jakarta</t>
        </is>
      </c>
      <c r="Q65" t="inlineStr"/>
    </row>
    <row r="66">
      <c r="A66" t="inlineStr">
        <is>
          <t>KURNIA KARYA ABADI</t>
        </is>
      </c>
      <c r="B66" t="inlineStr">
        <is>
          <t>Kota Surabaya</t>
        </is>
      </c>
      <c r="C66" t="inlineStr">
        <is>
          <t>08113213434</t>
        </is>
      </c>
      <c r="D66" t="inlineStr">
        <is>
          <t>kurniakaryaabadii@gmail.com</t>
        </is>
      </c>
      <c r="E66" t="inlineStr">
        <is>
          <t>https://lpjk.pu.go.id/search-badan-usaha-detail/TGhGVDQ4QnZnOGFHMnIvUTJiWUx3QT09</t>
        </is>
      </c>
      <c r="F66" t="n">
        <v>2</v>
      </c>
      <c r="G66" t="inlineStr">
        <is>
          <t>BG001, BG002</t>
        </is>
      </c>
      <c r="H66" t="inlineStr">
        <is>
          <t>3 Oktober 2019</t>
        </is>
      </c>
      <c r="I66" s="2" t="n">
        <v>46369</v>
      </c>
      <c r="J66" t="inlineStr">
        <is>
          <t>Disetujui</t>
        </is>
      </c>
      <c r="K66" t="n">
        <v>87</v>
      </c>
      <c r="L66" t="inlineStr">
        <is>
          <t>13 Desember 2026</t>
        </is>
      </c>
      <c r="M66" t="inlineStr">
        <is>
          <t>Konstruksi Gedung Hunian, Konstruksi Gedung Perkantoran</t>
        </is>
      </c>
      <c r="N66" t="inlineStr">
        <is>
          <t>K</t>
        </is>
      </c>
      <c r="O66" t="inlineStr">
        <is>
          <t>20231208</t>
        </is>
      </c>
      <c r="P66" t="inlineStr">
        <is>
          <t>Jawa Timur</t>
        </is>
      </c>
      <c r="Q66" t="inlineStr"/>
    </row>
    <row r="67">
      <c r="A67" t="inlineStr">
        <is>
          <t>LIGAGIRI</t>
        </is>
      </c>
      <c r="B67" t="inlineStr">
        <is>
          <t>Kab. Garut</t>
        </is>
      </c>
      <c r="C67" t="inlineStr">
        <is>
          <t>085223591590</t>
        </is>
      </c>
      <c r="D67" t="inlineStr">
        <is>
          <t>ligagiri.cv71@gmail.com</t>
        </is>
      </c>
      <c r="E67" t="inlineStr">
        <is>
          <t>https://lpjk.pu.go.id/search-badan-usaha-detail/VmZ6ZzJtOEFIWi9FVDdvMHZMTURjZz09</t>
        </is>
      </c>
      <c r="F67" t="n">
        <v>1</v>
      </c>
      <c r="G67" t="inlineStr">
        <is>
          <t>BS016</t>
        </is>
      </c>
      <c r="H67" t="inlineStr">
        <is>
          <t>30 Desember 1982</t>
        </is>
      </c>
      <c r="I67" s="2" t="n">
        <v>46369</v>
      </c>
      <c r="J67" t="inlineStr">
        <is>
          <t>Disetujui</t>
        </is>
      </c>
      <c r="K67" t="n">
        <v>87</v>
      </c>
      <c r="L67" t="inlineStr">
        <is>
          <t>13 Desember 2026</t>
        </is>
      </c>
      <c r="M67" t="inlineStr">
        <is>
          <t>Konstruksi Bangunan Sipil Fasilitas Olah Raga</t>
        </is>
      </c>
      <c r="N67" t="inlineStr">
        <is>
          <t>K</t>
        </is>
      </c>
      <c r="O67" t="inlineStr">
        <is>
          <t>20231212</t>
        </is>
      </c>
      <c r="P67" t="inlineStr">
        <is>
          <t>Jawa Barat</t>
        </is>
      </c>
      <c r="Q67" t="inlineStr"/>
    </row>
    <row r="68">
      <c r="A68" t="inlineStr">
        <is>
          <t>MEDIA TEKNIK PERSADA</t>
        </is>
      </c>
      <c r="B68" t="inlineStr">
        <is>
          <t>Kota Medan</t>
        </is>
      </c>
      <c r="C68" t="inlineStr">
        <is>
          <t>08116501354</t>
        </is>
      </c>
      <c r="D68" t="inlineStr">
        <is>
          <t>mediateknikpersada@gmail.com</t>
        </is>
      </c>
      <c r="E68" t="inlineStr">
        <is>
          <t>https://lpjk.pu.go.id/search-badan-usaha-detail/ei9hYi9RU29OeStOaFBUaDVodTVldz09</t>
        </is>
      </c>
      <c r="F68" t="n">
        <v>2</v>
      </c>
      <c r="G68" t="inlineStr">
        <is>
          <t>BG007, BG009</t>
        </is>
      </c>
      <c r="H68" t="inlineStr">
        <is>
          <t>7 Juni 2022</t>
        </is>
      </c>
      <c r="I68" s="2" t="n">
        <v>46369</v>
      </c>
      <c r="J68" t="inlineStr">
        <is>
          <t>Disetujui</t>
        </is>
      </c>
      <c r="K68" t="n">
        <v>87</v>
      </c>
      <c r="L68" t="inlineStr">
        <is>
          <t>13 Desember 2026</t>
        </is>
      </c>
      <c r="M68" t="inlineStr">
        <is>
          <t>Konstruksi Gedung Lainnya, Konstruksi Gedung Penginapan</t>
        </is>
      </c>
      <c r="N68" t="inlineStr">
        <is>
          <t>K</t>
        </is>
      </c>
      <c r="O68" t="inlineStr">
        <is>
          <t>20231214</t>
        </is>
      </c>
      <c r="P68" t="inlineStr">
        <is>
          <t>Sumatera Utara</t>
        </is>
      </c>
      <c r="Q68" t="inlineStr"/>
    </row>
    <row r="69">
      <c r="A69" t="inlineStr">
        <is>
          <t>MEGA SEMPURNA HANDAL KONSTRUKSI</t>
        </is>
      </c>
      <c r="B69" t="inlineStr">
        <is>
          <t>Kota Tangerang Selatan</t>
        </is>
      </c>
      <c r="C69" t="inlineStr">
        <is>
          <t>0542760533</t>
        </is>
      </c>
      <c r="D69" t="inlineStr">
        <is>
          <t>pt.mshk@gmail.com</t>
        </is>
      </c>
      <c r="E69" t="inlineStr">
        <is>
          <t>https://lpjk.pu.go.id/search-badan-usaha-detail/OUpuN2J1QUZFUnJJcXBKYXpTR0dSdz09</t>
        </is>
      </c>
      <c r="F69" t="n">
        <v>1</v>
      </c>
      <c r="G69" t="inlineStr">
        <is>
          <t>IN001</t>
        </is>
      </c>
      <c r="H69" t="inlineStr">
        <is>
          <t>11 Maret 2009</t>
        </is>
      </c>
      <c r="I69" s="2" t="n">
        <v>46369</v>
      </c>
      <c r="J69" t="inlineStr">
        <is>
          <t>Disetujui</t>
        </is>
      </c>
      <c r="K69" t="n">
        <v>87</v>
      </c>
      <c r="L69" t="inlineStr">
        <is>
          <t>13 Desember 2026</t>
        </is>
      </c>
      <c r="M69" t="inlineStr">
        <is>
          <t>Instalasi Mekanikal</t>
        </is>
      </c>
      <c r="N69" t="inlineStr">
        <is>
          <t>Spesialis</t>
        </is>
      </c>
      <c r="O69" t="inlineStr">
        <is>
          <t>20231206</t>
        </is>
      </c>
      <c r="P69" t="inlineStr">
        <is>
          <t>Banten</t>
        </is>
      </c>
      <c r="Q69" t="inlineStr"/>
    </row>
    <row r="70">
      <c r="A70" t="inlineStr">
        <is>
          <t>MEGATAMA KARYA</t>
        </is>
      </c>
      <c r="B70" t="inlineStr">
        <is>
          <t>Kota Denpasar</t>
        </is>
      </c>
      <c r="C70" t="inlineStr">
        <is>
          <t>08123920695</t>
        </is>
      </c>
      <c r="D70" t="inlineStr">
        <is>
          <t>pt.megatamakarya@gmail.com</t>
        </is>
      </c>
      <c r="E70" t="inlineStr">
        <is>
          <t>https://lpjk.pu.go.id/search-badan-usaha-detail/YzJVR0VoQmFWYkp2R3psZVNkUyt2dz09</t>
        </is>
      </c>
      <c r="F70" t="n">
        <v>2</v>
      </c>
      <c r="G70" t="inlineStr">
        <is>
          <t>BG008</t>
        </is>
      </c>
      <c r="H70" t="inlineStr">
        <is>
          <t>5 Juni 2004</t>
        </is>
      </c>
      <c r="I70" s="2" t="n">
        <v>46369</v>
      </c>
      <c r="J70" t="inlineStr">
        <is>
          <t>Disetujui</t>
        </is>
      </c>
      <c r="K70" t="n">
        <v>87</v>
      </c>
      <c r="L70" t="inlineStr">
        <is>
          <t>13 Desember 2026</t>
        </is>
      </c>
      <c r="M70" t="inlineStr">
        <is>
          <t>Konstruksi Gedung Tempat Hiburan dan Olahraga</t>
        </is>
      </c>
      <c r="N70" t="inlineStr">
        <is>
          <t>K</t>
        </is>
      </c>
      <c r="O70" t="inlineStr">
        <is>
          <t>20231214</t>
        </is>
      </c>
      <c r="P70" t="inlineStr">
        <is>
          <t>Bali</t>
        </is>
      </c>
      <c r="Q70" t="inlineStr"/>
    </row>
    <row r="71">
      <c r="A71" t="inlineStr">
        <is>
          <t>MEKAR JAYA ENGINEERING</t>
        </is>
      </c>
      <c r="B71" t="inlineStr">
        <is>
          <t>Kota Bandar Lampung</t>
        </is>
      </c>
      <c r="C71" t="inlineStr">
        <is>
          <t>081373142220</t>
        </is>
      </c>
      <c r="D71" t="inlineStr">
        <is>
          <t>pt.mje.info@gmail.com</t>
        </is>
      </c>
      <c r="E71" t="inlineStr">
        <is>
          <t>https://lpjk.pu.go.id/search-badan-usaha-detail/RDU5d0R4RjlpQ1h5eXZRZFVGaFM4QT09</t>
        </is>
      </c>
      <c r="F71" t="n">
        <v>2</v>
      </c>
      <c r="G71" t="inlineStr">
        <is>
          <t>BG003</t>
        </is>
      </c>
      <c r="H71" t="inlineStr">
        <is>
          <t>16 November 2021</t>
        </is>
      </c>
      <c r="I71" s="2" t="n">
        <v>46369</v>
      </c>
      <c r="J71" t="inlineStr">
        <is>
          <t>Disetujui</t>
        </is>
      </c>
      <c r="K71" t="n">
        <v>87</v>
      </c>
      <c r="L71" t="inlineStr">
        <is>
          <t>13 Desember 2026</t>
        </is>
      </c>
      <c r="M71" t="inlineStr">
        <is>
          <t>Konstruksi Gedung Industri</t>
        </is>
      </c>
      <c r="N71" t="inlineStr">
        <is>
          <t>K</t>
        </is>
      </c>
      <c r="O71" t="inlineStr">
        <is>
          <t>20231213</t>
        </is>
      </c>
      <c r="P71" t="inlineStr">
        <is>
          <t>Lampung</t>
        </is>
      </c>
      <c r="Q71" t="inlineStr"/>
    </row>
    <row r="72">
      <c r="A72" t="inlineStr">
        <is>
          <t>MERDEKA</t>
        </is>
      </c>
      <c r="B72" t="inlineStr">
        <is>
          <t>Kota Semarang</t>
        </is>
      </c>
      <c r="C72" t="inlineStr">
        <is>
          <t>081391075766</t>
        </is>
      </c>
      <c r="D72" t="inlineStr">
        <is>
          <t>juangmerdeka45@gmail.com</t>
        </is>
      </c>
      <c r="E72" t="inlineStr">
        <is>
          <t>https://lpjk.pu.go.id/search-badan-usaha-detail/cWZ2aCtLdFRQaEVxbTdCYXpkKzRidz09</t>
        </is>
      </c>
      <c r="F72" t="n">
        <v>2</v>
      </c>
      <c r="G72" t="inlineStr">
        <is>
          <t>BS004, BS010</t>
        </is>
      </c>
      <c r="H72" t="inlineStr">
        <is>
          <t>27 Januari 2012</t>
        </is>
      </c>
      <c r="I72" s="2" t="n">
        <v>46369</v>
      </c>
      <c r="J72" t="inlineStr">
        <is>
          <t>Disetujui</t>
        </is>
      </c>
      <c r="K72" t="n">
        <v>87</v>
      </c>
      <c r="L72" t="inlineStr">
        <is>
          <t>13 Desember 2026</t>
        </is>
      </c>
      <c r="M72" t="inlineStr">
        <is>
          <t>Konstruksi Bangunan Prasarana Sumber Daya Air, Konstruksi Jaringan Irigasi dan Drainase</t>
        </is>
      </c>
      <c r="N72" t="inlineStr">
        <is>
          <t>K</t>
        </is>
      </c>
      <c r="O72" t="inlineStr">
        <is>
          <t>20231204</t>
        </is>
      </c>
      <c r="P72" t="inlineStr">
        <is>
          <t>Jawa Tengah</t>
        </is>
      </c>
      <c r="Q72" t="inlineStr"/>
    </row>
    <row r="73">
      <c r="A73" t="inlineStr">
        <is>
          <t>MERSINO ELEKTRON ENGGENERING</t>
        </is>
      </c>
      <c r="B73" t="inlineStr">
        <is>
          <t>Kota Dumai</t>
        </is>
      </c>
      <c r="C73" t="inlineStr">
        <is>
          <t>08126847237</t>
        </is>
      </c>
      <c r="D73" t="inlineStr">
        <is>
          <t>mersinoelektronpt@yahoo.com</t>
        </is>
      </c>
      <c r="E73" t="inlineStr">
        <is>
          <t>https://lpjk.pu.go.id/search-badan-usaha-detail/WW1oakJuRHRkVGpoenE5cjU2NFplQT09</t>
        </is>
      </c>
      <c r="F73" t="n">
        <v>3</v>
      </c>
      <c r="G73" t="inlineStr">
        <is>
          <t>BG002, BG006, BS001</t>
        </is>
      </c>
      <c r="H73" t="inlineStr">
        <is>
          <t>4 Desember 2000</t>
        </is>
      </c>
      <c r="I73" s="2" t="n">
        <v>46369</v>
      </c>
      <c r="J73" t="inlineStr">
        <is>
          <t>Disetujui</t>
        </is>
      </c>
      <c r="K73" t="n">
        <v>87</v>
      </c>
      <c r="L73" t="inlineStr">
        <is>
          <t>13 Desember 2026</t>
        </is>
      </c>
      <c r="M73" t="inlineStr">
        <is>
          <t>Konstruksi Bangunan Sipil Jalan, Konstruksi Gedung Pendidikan, Konstruksi Gedung Perkantoran</t>
        </is>
      </c>
      <c r="N73" t="inlineStr">
        <is>
          <t>K</t>
        </is>
      </c>
      <c r="O73" t="inlineStr">
        <is>
          <t>20231205, 20231207</t>
        </is>
      </c>
      <c r="P73" t="inlineStr">
        <is>
          <t>Riau</t>
        </is>
      </c>
      <c r="Q73" t="inlineStr"/>
    </row>
    <row r="74">
      <c r="A74" t="inlineStr">
        <is>
          <t>MITRA ANOM</t>
        </is>
      </c>
      <c r="B74" t="inlineStr">
        <is>
          <t>Kab. Sumedang</t>
        </is>
      </c>
      <c r="C74" t="inlineStr">
        <is>
          <t>082129510556</t>
        </is>
      </c>
      <c r="D74" t="inlineStr">
        <is>
          <t>cvmitraanom@gmail.com</t>
        </is>
      </c>
      <c r="E74" t="inlineStr">
        <is>
          <t>https://lpjk.pu.go.id/search-badan-usaha-detail/eDRxSVlZN25wT21LNFlOSFM4NUtjQT09</t>
        </is>
      </c>
      <c r="F74" t="n">
        <v>3</v>
      </c>
      <c r="G74" t="inlineStr">
        <is>
          <t>BG005, BG009, BS004</t>
        </is>
      </c>
      <c r="H74" t="inlineStr">
        <is>
          <t>21 November 2008</t>
        </is>
      </c>
      <c r="I74" s="2" t="n">
        <v>46369</v>
      </c>
      <c r="J74" t="inlineStr">
        <is>
          <t>Disetujui</t>
        </is>
      </c>
      <c r="K74" t="n">
        <v>87</v>
      </c>
      <c r="L74" t="inlineStr">
        <is>
          <t>13 Desember 2026</t>
        </is>
      </c>
      <c r="M74" t="inlineStr">
        <is>
          <t>Konstruksi Gedung Kesehatan, Konstruksi Gedung Lainnya, Konstruksi Jaringan Irigasi dan Drainase</t>
        </is>
      </c>
      <c r="N74" t="inlineStr">
        <is>
          <t>K</t>
        </is>
      </c>
      <c r="O74" t="inlineStr">
        <is>
          <t>20231212</t>
        </is>
      </c>
      <c r="P74" t="inlineStr">
        <is>
          <t>Jawa Barat</t>
        </is>
      </c>
      <c r="Q74" t="inlineStr"/>
    </row>
    <row r="75">
      <c r="A75" t="inlineStr">
        <is>
          <t>NAGA MAS PANTURA</t>
        </is>
      </c>
      <c r="B75" t="inlineStr">
        <is>
          <t>Kab. Tangerang</t>
        </is>
      </c>
      <c r="C75" t="inlineStr">
        <is>
          <t>081316996372</t>
        </is>
      </c>
      <c r="D75" t="inlineStr">
        <is>
          <t>cvnagamaspantura@gmail.com</t>
        </is>
      </c>
      <c r="E75" t="inlineStr">
        <is>
          <t>https://lpjk.pu.go.id/search-badan-usaha-detail/NU9PVEFObmMzczhIYjVHSlRlUXgvUT09</t>
        </is>
      </c>
      <c r="F75" t="n">
        <v>3</v>
      </c>
      <c r="G75" t="inlineStr">
        <is>
          <t>BG009, BS001, BS004</t>
        </is>
      </c>
      <c r="H75" t="inlineStr">
        <is>
          <t>17 Juni 2022</t>
        </is>
      </c>
      <c r="I75" s="2" t="n">
        <v>46369</v>
      </c>
      <c r="J75" t="inlineStr">
        <is>
          <t>Disetujui</t>
        </is>
      </c>
      <c r="K75" t="n">
        <v>87</v>
      </c>
      <c r="L75" t="inlineStr">
        <is>
          <t>13 Desember 2026</t>
        </is>
      </c>
      <c r="M75" t="inlineStr">
        <is>
          <t>Konstruksi Bangunan Sipil Jalan, Konstruksi Gedung Lainnya, Konstruksi Jaringan Irigasi dan Drainase</t>
        </is>
      </c>
      <c r="N75" t="inlineStr">
        <is>
          <t>K</t>
        </is>
      </c>
      <c r="O75" t="inlineStr">
        <is>
          <t>20231214</t>
        </is>
      </c>
      <c r="P75" t="inlineStr">
        <is>
          <t>Banten</t>
        </is>
      </c>
      <c r="Q75" t="inlineStr"/>
    </row>
    <row r="76">
      <c r="A76" t="inlineStr">
        <is>
          <t>NAROTAMA PERSADA</t>
        </is>
      </c>
      <c r="B76" t="inlineStr">
        <is>
          <t>Kota Palembang</t>
        </is>
      </c>
      <c r="C76" t="inlineStr">
        <is>
          <t>083153897202</t>
        </is>
      </c>
      <c r="D76" t="inlineStr">
        <is>
          <t>narotamapersada25@gmail.com</t>
        </is>
      </c>
      <c r="E76" t="inlineStr">
        <is>
          <t>https://lpjk.pu.go.id/search-badan-usaha-detail/R29VS2tHTkJ2MjN0aGxwNzUzSmc1UT09</t>
        </is>
      </c>
      <c r="F76" t="n">
        <v>1</v>
      </c>
      <c r="G76" t="inlineStr">
        <is>
          <t>BS004</t>
        </is>
      </c>
      <c r="H76" t="inlineStr">
        <is>
          <t>13 Oktober 2023</t>
        </is>
      </c>
      <c r="I76" s="2" t="n">
        <v>46369</v>
      </c>
      <c r="J76" t="inlineStr">
        <is>
          <t>Pencabutan</t>
        </is>
      </c>
      <c r="K76" t="n">
        <v>87</v>
      </c>
      <c r="L76" t="inlineStr">
        <is>
          <t>13 Desember 2026</t>
        </is>
      </c>
      <c r="M76" t="inlineStr">
        <is>
          <t>Konstruksi Jaringan Irigasi dan Drainase</t>
        </is>
      </c>
      <c r="N76" t="inlineStr">
        <is>
          <t>K</t>
        </is>
      </c>
      <c r="O76" t="inlineStr">
        <is>
          <t>20231205</t>
        </is>
      </c>
      <c r="P76" t="inlineStr">
        <is>
          <t>Sumatera Selatan</t>
        </is>
      </c>
      <c r="Q76" t="inlineStr"/>
    </row>
    <row r="77">
      <c r="A77" t="inlineStr">
        <is>
          <t>PENTA OCEAN CONSTRUCTION</t>
        </is>
      </c>
      <c r="B77" t="inlineStr">
        <is>
          <t>Kota Adm. Jakarta Pusat</t>
        </is>
      </c>
      <c r="C77" t="inlineStr">
        <is>
          <t>0215705484</t>
        </is>
      </c>
      <c r="D77" t="inlineStr">
        <is>
          <t>penta@biz.net.id</t>
        </is>
      </c>
      <c r="E77" t="inlineStr">
        <is>
          <t>https://lpjk.pu.go.id/search-badan-usaha-detail/T1BlMkhVMjJDVHpEWWxxQWljQW5iQT09</t>
        </is>
      </c>
      <c r="F77" t="n">
        <v>1</v>
      </c>
      <c r="G77" t="inlineStr">
        <is>
          <t>BG003</t>
        </is>
      </c>
      <c r="H77" t="inlineStr">
        <is>
          <t>9 Maret 2015</t>
        </is>
      </c>
      <c r="I77" s="2" t="n">
        <v>46369</v>
      </c>
      <c r="J77" t="inlineStr">
        <is>
          <t>Disetujui</t>
        </is>
      </c>
      <c r="K77" t="n">
        <v>87</v>
      </c>
      <c r="L77" t="inlineStr">
        <is>
          <t>13 Desember 2026</t>
        </is>
      </c>
      <c r="M77" t="inlineStr">
        <is>
          <t>Konstruksi Gedung Industri</t>
        </is>
      </c>
      <c r="N77" t="inlineStr">
        <is>
          <t>B</t>
        </is>
      </c>
      <c r="O77" t="inlineStr">
        <is>
          <t>20230529</t>
        </is>
      </c>
      <c r="P77" t="inlineStr">
        <is>
          <t>DKI Jakarta</t>
        </is>
      </c>
      <c r="Q77" t="inlineStr"/>
    </row>
    <row r="78">
      <c r="A78" t="inlineStr">
        <is>
          <t>PETRA BHAKTI PRATAMA</t>
        </is>
      </c>
      <c r="B78" t="inlineStr">
        <is>
          <t>Kab. Aceh Tamiang</t>
        </is>
      </c>
      <c r="C78" t="inlineStr">
        <is>
          <t>081370339983</t>
        </is>
      </c>
      <c r="D78" t="inlineStr">
        <is>
          <t>petra_bhakti@yahoo.co.id</t>
        </is>
      </c>
      <c r="E78" t="inlineStr">
        <is>
          <t>https://lpjk.pu.go.id/search-badan-usaha-detail/NHpKd01YdE9vcW9tdG81L3dYYjNmdz09</t>
        </is>
      </c>
      <c r="F78" t="n">
        <v>1</v>
      </c>
      <c r="G78" t="inlineStr">
        <is>
          <t>BS001</t>
        </is>
      </c>
      <c r="H78" t="inlineStr">
        <is>
          <t>13 Agustus 2007</t>
        </is>
      </c>
      <c r="I78" s="2" t="n">
        <v>46369</v>
      </c>
      <c r="J78" t="inlineStr">
        <is>
          <t>Pencabutan</t>
        </is>
      </c>
      <c r="K78" t="n">
        <v>87</v>
      </c>
      <c r="L78" t="inlineStr">
        <is>
          <t>13 Desember 2026</t>
        </is>
      </c>
      <c r="M78" t="inlineStr">
        <is>
          <t>Konstruksi Bangunan Sipil Jalan</t>
        </is>
      </c>
      <c r="N78" t="inlineStr">
        <is>
          <t>K</t>
        </is>
      </c>
      <c r="O78" t="inlineStr">
        <is>
          <t>20231212</t>
        </is>
      </c>
      <c r="P78" t="inlineStr">
        <is>
          <t>Aceh</t>
        </is>
      </c>
      <c r="Q78" t="inlineStr"/>
    </row>
    <row r="79">
      <c r="A79" t="inlineStr">
        <is>
          <t>POWER MANDIRI NUSANTARA</t>
        </is>
      </c>
      <c r="B79" t="inlineStr">
        <is>
          <t>Kota Bandar Lampung</t>
        </is>
      </c>
      <c r="C79" t="inlineStr">
        <is>
          <t>081377919488</t>
        </is>
      </c>
      <c r="D79" t="inlineStr">
        <is>
          <t>ptpowermandirinusantara@gmail.com</t>
        </is>
      </c>
      <c r="E79" t="inlineStr">
        <is>
          <t>https://lpjk.pu.go.id/search-badan-usaha-detail/ZVllNjRMTGhKQkMzNGh4NS9NSkthQT09</t>
        </is>
      </c>
      <c r="F79" t="n">
        <v>2</v>
      </c>
      <c r="G79" t="inlineStr">
        <is>
          <t>BG002, BS001</t>
        </is>
      </c>
      <c r="H79" t="inlineStr">
        <is>
          <t>8 Agustus 2023</t>
        </is>
      </c>
      <c r="I79" s="2" t="n">
        <v>46369</v>
      </c>
      <c r="J79" t="inlineStr">
        <is>
          <t>Disetujui, Pencabutan</t>
        </is>
      </c>
      <c r="K79" t="n">
        <v>87</v>
      </c>
      <c r="L79" t="inlineStr">
        <is>
          <t>13 Desember 2026</t>
        </is>
      </c>
      <c r="M79" t="inlineStr">
        <is>
          <t>Konstruksi Bangunan Sipil Jalan, Konstruksi Gedung Perkantoran</t>
        </is>
      </c>
      <c r="N79" t="inlineStr">
        <is>
          <t>K</t>
        </is>
      </c>
      <c r="O79" t="inlineStr">
        <is>
          <t>20231212, 20231214</t>
        </is>
      </c>
      <c r="P79" t="inlineStr">
        <is>
          <t>Lampung</t>
        </is>
      </c>
      <c r="Q79" t="inlineStr"/>
    </row>
    <row r="80">
      <c r="A80" t="inlineStr">
        <is>
          <t>PRIMA KARYA UTAMA</t>
        </is>
      </c>
      <c r="B80" t="inlineStr">
        <is>
          <t>Kab. Karimun</t>
        </is>
      </c>
      <c r="C80" t="inlineStr">
        <is>
          <t>085287870707</t>
        </is>
      </c>
      <c r="D80" t="inlineStr">
        <is>
          <t>cv.primakaryautama@gmail.com</t>
        </is>
      </c>
      <c r="E80" t="inlineStr">
        <is>
          <t>https://lpjk.pu.go.id/search-badan-usaha-detail/a0ZFeWR2Q2RuVnFLN0tNRExVTkREZz09</t>
        </is>
      </c>
      <c r="F80" t="n">
        <v>1</v>
      </c>
      <c r="G80" t="inlineStr">
        <is>
          <t>BS011</t>
        </is>
      </c>
      <c r="H80" t="inlineStr">
        <is>
          <t>10 Januari 2002</t>
        </is>
      </c>
      <c r="I80" s="2" t="n">
        <v>46369</v>
      </c>
      <c r="J80" t="inlineStr">
        <is>
          <t>Pencabutan</t>
        </is>
      </c>
      <c r="K80" t="n">
        <v>87</v>
      </c>
      <c r="L80" t="inlineStr">
        <is>
          <t>13 Desember 2026</t>
        </is>
      </c>
      <c r="M80" t="inlineStr">
        <is>
          <t>Konstruksi Bangunan Pelabuhan Bukan Perikanan</t>
        </is>
      </c>
      <c r="N80" t="inlineStr">
        <is>
          <t>K</t>
        </is>
      </c>
      <c r="O80" t="inlineStr">
        <is>
          <t>20231214</t>
        </is>
      </c>
      <c r="P80" t="inlineStr">
        <is>
          <t>Kepulauan Riau</t>
        </is>
      </c>
      <c r="Q80" t="inlineStr"/>
    </row>
    <row r="81">
      <c r="A81" t="inlineStr">
        <is>
          <t>PUTRA JAYA BANTEN</t>
        </is>
      </c>
      <c r="B81" t="inlineStr">
        <is>
          <t>Kab. Serang</t>
        </is>
      </c>
      <c r="C81" t="inlineStr">
        <is>
          <t>087774385933</t>
        </is>
      </c>
      <c r="D81" t="inlineStr">
        <is>
          <t>putrajayabanten02@gmail.com</t>
        </is>
      </c>
      <c r="E81" t="inlineStr">
        <is>
          <t>https://lpjk.pu.go.id/search-badan-usaha-detail/OVRkUFQ1T2w5SHljVHFwQnlHZUNLZz09</t>
        </is>
      </c>
      <c r="F81" t="n">
        <v>2</v>
      </c>
      <c r="G81" t="inlineStr">
        <is>
          <t>BS016, BS017</t>
        </is>
      </c>
      <c r="H81" t="inlineStr">
        <is>
          <t>27 Desember 2022</t>
        </is>
      </c>
      <c r="I81" s="2" t="n">
        <v>46369</v>
      </c>
      <c r="J81" t="inlineStr">
        <is>
          <t>Disetujui</t>
        </is>
      </c>
      <c r="K81" t="n">
        <v>87</v>
      </c>
      <c r="L81" t="inlineStr">
        <is>
          <t>13 Desember 2026</t>
        </is>
      </c>
      <c r="M81" t="inlineStr">
        <is>
          <t>Konstruksi Bangunan Sipil Fasilitas Olah Raga, Konstruksi Bangunan Sipil Lainnya Ytdl</t>
        </is>
      </c>
      <c r="N81" t="inlineStr">
        <is>
          <t>K</t>
        </is>
      </c>
      <c r="O81" t="inlineStr">
        <is>
          <t>20231213</t>
        </is>
      </c>
      <c r="P81" t="inlineStr">
        <is>
          <t>Banten</t>
        </is>
      </c>
      <c r="Q81" t="inlineStr"/>
    </row>
    <row r="82">
      <c r="A82" t="inlineStr">
        <is>
          <t>PUTRA JOGJA ISTIMEWA</t>
        </is>
      </c>
      <c r="B82" t="inlineStr">
        <is>
          <t>Kab. Bantul</t>
        </is>
      </c>
      <c r="C82" t="inlineStr">
        <is>
          <t>081380500640</t>
        </is>
      </c>
      <c r="D82" t="inlineStr">
        <is>
          <t>ptputrajogjaistimewa@gmail.com</t>
        </is>
      </c>
      <c r="E82" t="inlineStr">
        <is>
          <t>https://lpjk.pu.go.id/search-badan-usaha-detail/QzdndmR3cFhZZ2VRczUzK001MkNlVXJhMXhkREE5eWpXVHJtWVl0cTJVaz0</t>
        </is>
      </c>
      <c r="F82" t="n">
        <v>2</v>
      </c>
      <c r="G82" t="inlineStr">
        <is>
          <t>BS011, BS012</t>
        </is>
      </c>
      <c r="H82" t="inlineStr">
        <is>
          <t>15 Juni 2023</t>
        </is>
      </c>
      <c r="I82" s="2" t="n">
        <v>46369</v>
      </c>
      <c r="J82" t="inlineStr">
        <is>
          <t>Disetujui</t>
        </is>
      </c>
      <c r="K82" t="n">
        <v>87</v>
      </c>
      <c r="L82" t="inlineStr">
        <is>
          <t>13 Desember 2026</t>
        </is>
      </c>
      <c r="M82" t="inlineStr">
        <is>
          <t>Konstruksi Bangunan Pelabuhan Bukan Perikanan, Konstruksi Bangunan Pelabuhan Perikanan</t>
        </is>
      </c>
      <c r="N82" t="inlineStr">
        <is>
          <t>K</t>
        </is>
      </c>
      <c r="O82" t="inlineStr">
        <is>
          <t>20231213</t>
        </is>
      </c>
      <c r="P82" t="inlineStr">
        <is>
          <t>DI Yogyakarta</t>
        </is>
      </c>
      <c r="Q82" t="inlineStr"/>
    </row>
    <row r="83">
      <c r="A83" t="inlineStr">
        <is>
          <t>RADJA BERSAUDARA</t>
        </is>
      </c>
      <c r="B83" t="inlineStr">
        <is>
          <t>Kab. Kepulauan Anambas</t>
        </is>
      </c>
      <c r="C83" t="inlineStr">
        <is>
          <t>0811699354</t>
        </is>
      </c>
      <c r="D83" t="inlineStr">
        <is>
          <t>raja.taufan84@gmail.com</t>
        </is>
      </c>
      <c r="E83" t="inlineStr">
        <is>
          <t>https://lpjk.pu.go.id/search-badan-usaha-detail/c2JTNy9heEdlMzBxUGFtdUI5MVgvUT09</t>
        </is>
      </c>
      <c r="F83" t="n">
        <v>3</v>
      </c>
      <c r="G83" t="inlineStr">
        <is>
          <t>BG001, BG002, BG009</t>
        </is>
      </c>
      <c r="H83" t="inlineStr">
        <is>
          <t>4 November 1999</t>
        </is>
      </c>
      <c r="I83" s="2" t="n">
        <v>46369</v>
      </c>
      <c r="J83" t="inlineStr">
        <is>
          <t>Disetujui</t>
        </is>
      </c>
      <c r="K83" t="n">
        <v>87</v>
      </c>
      <c r="L83" t="inlineStr">
        <is>
          <t>13 Desember 2026</t>
        </is>
      </c>
      <c r="M83" t="inlineStr">
        <is>
          <t>Konstruksi Gedung Hunian, Konstruksi Gedung Lainnya, Konstruksi Gedung Perkantoran</t>
        </is>
      </c>
      <c r="N83" t="inlineStr">
        <is>
          <t>K</t>
        </is>
      </c>
      <c r="O83" t="inlineStr">
        <is>
          <t>20231211</t>
        </is>
      </c>
      <c r="P83" t="inlineStr">
        <is>
          <t>Kepulauan Riau</t>
        </is>
      </c>
      <c r="Q83" t="inlineStr"/>
    </row>
    <row r="84">
      <c r="A84" t="inlineStr">
        <is>
          <t>RAIHAN SUKSES SEJAHTERA</t>
        </is>
      </c>
      <c r="B84" t="inlineStr">
        <is>
          <t>Kota Bandung</t>
        </is>
      </c>
      <c r="C84" t="inlineStr">
        <is>
          <t>081802202001</t>
        </is>
      </c>
      <c r="D84" t="inlineStr">
        <is>
          <t>cv.raihansuksessejahtera@gmail.com</t>
        </is>
      </c>
      <c r="E84" t="inlineStr">
        <is>
          <t>https://lpjk.pu.go.id/search-badan-usaha-detail/ak82Mk5qTHhnSWd4WjNRZ2ZnQk5TalNoeWhObTRsVGdIUWcwUFBpWUVsTT0</t>
        </is>
      </c>
      <c r="F84" t="n">
        <v>10</v>
      </c>
      <c r="G84" t="inlineStr">
        <is>
          <t>BG005, BG006, BG009, BS001, BS004</t>
        </is>
      </c>
      <c r="H84" t="inlineStr">
        <is>
          <t>17 Oktober 2025</t>
        </is>
      </c>
      <c r="I84" s="2" t="n">
        <v>46369</v>
      </c>
      <c r="J84" t="inlineStr">
        <is>
          <t>Disetujui</t>
        </is>
      </c>
      <c r="K84" t="n">
        <v>87</v>
      </c>
      <c r="L84" t="inlineStr">
        <is>
          <t>13 Desember 2026</t>
        </is>
      </c>
      <c r="M84" t="inlineStr">
        <is>
          <t>Konstruksi Bangunan Sipil Jalan, Konstruksi Gedung Kesehatan, Konstruksi Gedung Lainnya, Konstruksi Gedung Pendidikan, Konstruksi Jaringan Irigasi dan Drainase</t>
        </is>
      </c>
      <c r="N84" t="inlineStr">
        <is>
          <t>K</t>
        </is>
      </c>
      <c r="O84" t="inlineStr">
        <is>
          <t>20231117, 20231213, 20231214</t>
        </is>
      </c>
      <c r="P84" t="inlineStr">
        <is>
          <t>Jawa Barat</t>
        </is>
      </c>
      <c r="Q84" t="inlineStr"/>
    </row>
    <row r="85">
      <c r="A85" t="inlineStr">
        <is>
          <t>REMAJA KARYA</t>
        </is>
      </c>
      <c r="B85" t="inlineStr">
        <is>
          <t>Kab. Lumajang</t>
        </is>
      </c>
      <c r="C85" t="inlineStr">
        <is>
          <t>0334 893156</t>
        </is>
      </c>
      <c r="D85" t="inlineStr">
        <is>
          <t>cvremajakarya_lmj@yahoo.com</t>
        </is>
      </c>
      <c r="E85" t="inlineStr">
        <is>
          <t>https://lpjk.pu.go.id/search-badan-usaha-detail/eHpWOTdUM2Fxd05xSXJuTGdTd3JIdz09</t>
        </is>
      </c>
      <c r="F85" t="n">
        <v>1</v>
      </c>
      <c r="G85" t="inlineStr">
        <is>
          <t>BG002</t>
        </is>
      </c>
      <c r="H85" t="inlineStr">
        <is>
          <t>27 Januari 1981</t>
        </is>
      </c>
      <c r="I85" s="2" t="n">
        <v>46369</v>
      </c>
      <c r="J85" t="inlineStr">
        <is>
          <t>Disetujui</t>
        </is>
      </c>
      <c r="K85" t="n">
        <v>87</v>
      </c>
      <c r="L85" t="inlineStr">
        <is>
          <t>13 Desember 2026</t>
        </is>
      </c>
      <c r="M85" t="inlineStr">
        <is>
          <t>Konstruksi Gedung Perkantoran</t>
        </is>
      </c>
      <c r="N85" t="inlineStr">
        <is>
          <t>K</t>
        </is>
      </c>
      <c r="O85" t="inlineStr">
        <is>
          <t>20231205</t>
        </is>
      </c>
      <c r="P85" t="inlineStr">
        <is>
          <t>Jawa Timur</t>
        </is>
      </c>
      <c r="Q85" t="inlineStr"/>
    </row>
    <row r="86">
      <c r="A86" t="inlineStr">
        <is>
          <t>RIDHO GRAHA</t>
        </is>
      </c>
      <c r="B86" t="inlineStr">
        <is>
          <t>Kab. Lombok Timur</t>
        </is>
      </c>
      <c r="C86" t="inlineStr">
        <is>
          <t>085934797156</t>
        </is>
      </c>
      <c r="D86" t="inlineStr">
        <is>
          <t>cv.ridhograha@gmail.com</t>
        </is>
      </c>
      <c r="E86" t="inlineStr">
        <is>
          <t>https://lpjk.pu.go.id/search-badan-usaha-detail/QWRlUFhQbHI1MGdubXZSVzI2YkxmZz09</t>
        </is>
      </c>
      <c r="F86" t="n">
        <v>3</v>
      </c>
      <c r="G86" t="inlineStr">
        <is>
          <t>BS001, BS004, BS010</t>
        </is>
      </c>
      <c r="H86" t="inlineStr">
        <is>
          <t>2 Oktober 2017</t>
        </is>
      </c>
      <c r="I86" s="2" t="n">
        <v>46369</v>
      </c>
      <c r="J86" t="inlineStr">
        <is>
          <t>Disetujui</t>
        </is>
      </c>
      <c r="K86" t="n">
        <v>87</v>
      </c>
      <c r="L86" t="inlineStr">
        <is>
          <t>13 Desember 2026</t>
        </is>
      </c>
      <c r="M86" t="inlineStr">
        <is>
          <t>Konstruksi Bangunan Prasarana Sumber Daya Air, Konstruksi Bangunan Sipil Jalan, Konstruksi Jaringan Irigasi dan Drainase</t>
        </is>
      </c>
      <c r="N86" t="inlineStr">
        <is>
          <t>K</t>
        </is>
      </c>
      <c r="O86" t="inlineStr">
        <is>
          <t>20231209, 20231214</t>
        </is>
      </c>
      <c r="P86" t="inlineStr">
        <is>
          <t>Nusa Tenggara Barat</t>
        </is>
      </c>
      <c r="Q86" t="inlineStr"/>
    </row>
    <row r="87">
      <c r="A87" t="inlineStr">
        <is>
          <t>ROBBY BROTHERS</t>
        </is>
      </c>
      <c r="B87" t="inlineStr">
        <is>
          <t>Kab. Kampar</t>
        </is>
      </c>
      <c r="C87" t="inlineStr">
        <is>
          <t>081365466663</t>
        </is>
      </c>
      <c r="D87" t="inlineStr">
        <is>
          <t>robbybrothers123@gmail.com</t>
        </is>
      </c>
      <c r="E87" t="inlineStr">
        <is>
          <t>https://lpjk.pu.go.id/search-badan-usaha-detail/S2VISEtVNUpBa1psTWFUUkFwa05jZz09</t>
        </is>
      </c>
      <c r="F87" t="n">
        <v>1</v>
      </c>
      <c r="G87" t="inlineStr">
        <is>
          <t>BS010</t>
        </is>
      </c>
      <c r="H87" t="inlineStr">
        <is>
          <t>14 Oktober 1992</t>
        </is>
      </c>
      <c r="I87" s="2" t="n">
        <v>46369</v>
      </c>
      <c r="J87" t="inlineStr">
        <is>
          <t>Disetujui</t>
        </is>
      </c>
      <c r="K87" t="n">
        <v>87</v>
      </c>
      <c r="L87" t="inlineStr">
        <is>
          <t>13 Desember 2026</t>
        </is>
      </c>
      <c r="M87" t="inlineStr">
        <is>
          <t>Konstruksi Bangunan Prasarana Sumber Daya Air</t>
        </is>
      </c>
      <c r="N87" t="inlineStr">
        <is>
          <t>K</t>
        </is>
      </c>
      <c r="O87" t="inlineStr">
        <is>
          <t>20231214</t>
        </is>
      </c>
      <c r="P87" t="inlineStr">
        <is>
          <t>Riau</t>
        </is>
      </c>
      <c r="Q87" t="inlineStr"/>
    </row>
    <row r="88">
      <c r="A88" t="inlineStr">
        <is>
          <t>SAMPURNA INDO PERKASA</t>
        </is>
      </c>
      <c r="B88" t="inlineStr">
        <is>
          <t>Kota Adm. Jakarta Barat</t>
        </is>
      </c>
      <c r="C88" t="inlineStr">
        <is>
          <t>081977777009</t>
        </is>
      </c>
      <c r="D88" t="inlineStr">
        <is>
          <t>ariestotal2@gmail.com</t>
        </is>
      </c>
      <c r="E88" t="inlineStr">
        <is>
          <t>https://lpjk.pu.go.id/search-badan-usaha-detail/TDYxM0g2VHZ2djlTNXNwZHllazlGUT09</t>
        </is>
      </c>
      <c r="F88" t="n">
        <v>1</v>
      </c>
      <c r="G88" t="inlineStr">
        <is>
          <t>PB010</t>
        </is>
      </c>
      <c r="H88" t="inlineStr">
        <is>
          <t>6 November 2020</t>
        </is>
      </c>
      <c r="I88" s="2" t="n">
        <v>46369</v>
      </c>
      <c r="J88" t="inlineStr">
        <is>
          <t>Pembekuan</t>
        </is>
      </c>
      <c r="K88" t="n">
        <v>87</v>
      </c>
      <c r="L88" t="inlineStr">
        <is>
          <t>13 Desember 2026</t>
        </is>
      </c>
      <c r="M88" t="inlineStr">
        <is>
          <t>Pekerjaan Lanskap, Pertamanan, dan Penanaman Vegetasi</t>
        </is>
      </c>
      <c r="N88" t="inlineStr">
        <is>
          <t>Spesialis</t>
        </is>
      </c>
      <c r="O88" t="inlineStr">
        <is>
          <t>20231210</t>
        </is>
      </c>
      <c r="P88" t="inlineStr">
        <is>
          <t>DKI Jakarta</t>
        </is>
      </c>
      <c r="Q88" t="inlineStr"/>
    </row>
    <row r="89">
      <c r="A89" t="inlineStr">
        <is>
          <t>SEMBILAN ENAM</t>
        </is>
      </c>
      <c r="B89" t="inlineStr">
        <is>
          <t>Kab. Sukabumi</t>
        </is>
      </c>
      <c r="C89" t="inlineStr">
        <is>
          <t>082310465060</t>
        </is>
      </c>
      <c r="D89" t="inlineStr">
        <is>
          <t>cv_sembilan.enam@yahoo.co.id</t>
        </is>
      </c>
      <c r="E89" t="inlineStr">
        <is>
          <t>https://lpjk.pu.go.id/search-badan-usaha-detail/N3N4U2J2YnhsRzJIZmpKM1dzaHIzUT09</t>
        </is>
      </c>
      <c r="F89" t="n">
        <v>3</v>
      </c>
      <c r="G89" t="inlineStr">
        <is>
          <t>BS001, BS002, BS004</t>
        </is>
      </c>
      <c r="H89" t="inlineStr">
        <is>
          <t>2 Agustus 1996</t>
        </is>
      </c>
      <c r="I89" s="2" t="n">
        <v>46369</v>
      </c>
      <c r="J89" t="inlineStr">
        <is>
          <t>Disetujui</t>
        </is>
      </c>
      <c r="K89" t="n">
        <v>87</v>
      </c>
      <c r="L89" t="inlineStr">
        <is>
          <t>13 Desember 2026</t>
        </is>
      </c>
      <c r="M89" t="inlineStr">
        <is>
          <t>Bangunan Sipil Jembatan, Jalan Layang, Fly Over, dan Underpass, Konstruksi Bangunan Sipil Jalan, Konstruksi Jaringan Irigasi dan Drainase</t>
        </is>
      </c>
      <c r="N89" t="inlineStr">
        <is>
          <t>K</t>
        </is>
      </c>
      <c r="O89" t="inlineStr">
        <is>
          <t>20231214, 20231215, 20231216</t>
        </is>
      </c>
      <c r="P89" t="inlineStr">
        <is>
          <t>Jawa Barat</t>
        </is>
      </c>
      <c r="Q89" t="inlineStr"/>
    </row>
    <row r="90">
      <c r="A90" t="inlineStr">
        <is>
          <t>SENTOSA WELINDO BERSAMA</t>
        </is>
      </c>
      <c r="B90" t="inlineStr">
        <is>
          <t>Kota Adm. Jakarta Selatan</t>
        </is>
      </c>
      <c r="C90" t="inlineStr">
        <is>
          <t>081315195696</t>
        </is>
      </c>
      <c r="D90" t="inlineStr">
        <is>
          <t>pt.sentosawelindobersama@gmail.com</t>
        </is>
      </c>
      <c r="E90" t="inlineStr">
        <is>
          <t>https://lpjk.pu.go.id/search-badan-usaha-detail/UVpxWHg1MmxPMXZrdkdlUW52aHE0UT09</t>
        </is>
      </c>
      <c r="F90" t="n">
        <v>3</v>
      </c>
      <c r="G90" t="inlineStr">
        <is>
          <t>BG002, BG003, BG009</t>
        </is>
      </c>
      <c r="H90" t="inlineStr">
        <is>
          <t>2 Oktober 2023</t>
        </is>
      </c>
      <c r="I90" s="2" t="n">
        <v>46369</v>
      </c>
      <c r="J90" t="inlineStr">
        <is>
          <t>Disetujui</t>
        </is>
      </c>
      <c r="K90" t="n">
        <v>87</v>
      </c>
      <c r="L90" t="inlineStr">
        <is>
          <t>13 Desember 2026</t>
        </is>
      </c>
      <c r="M90" t="inlineStr">
        <is>
          <t>Konstruksi Gedung Industri, Konstruksi Gedung Lainnya, Konstruksi Gedung Perkantoran</t>
        </is>
      </c>
      <c r="N90" t="inlineStr">
        <is>
          <t>K</t>
        </is>
      </c>
      <c r="O90" t="inlineStr">
        <is>
          <t>20231212, 20231213</t>
        </is>
      </c>
      <c r="P90" t="inlineStr">
        <is>
          <t>DKI Jakarta</t>
        </is>
      </c>
      <c r="Q90" t="inlineStr"/>
    </row>
    <row r="91">
      <c r="A91" t="inlineStr">
        <is>
          <t>SHAKA MANDIRI TUNGGAL</t>
        </is>
      </c>
      <c r="B91" t="inlineStr">
        <is>
          <t>Kab. Bantul</t>
        </is>
      </c>
      <c r="C91" t="inlineStr">
        <is>
          <t>085870057154</t>
        </is>
      </c>
      <c r="D91" t="inlineStr">
        <is>
          <t>shakamandiritunggal@gmail.com</t>
        </is>
      </c>
      <c r="E91" t="inlineStr">
        <is>
          <t>https://lpjk.pu.go.id/search-badan-usaha-detail/RHVnT0dzN2xOWnQ4VXhiaHBncDRDdz09</t>
        </is>
      </c>
      <c r="F91" t="n">
        <v>4</v>
      </c>
      <c r="G91" t="inlineStr">
        <is>
          <t>BG006, BG009, BS001, BS004</t>
        </is>
      </c>
      <c r="H91" t="inlineStr">
        <is>
          <t>29 Agustus 2020</t>
        </is>
      </c>
      <c r="I91" s="2" t="n">
        <v>46369</v>
      </c>
      <c r="J91" t="inlineStr">
        <is>
          <t>Disetujui</t>
        </is>
      </c>
      <c r="K91" t="n">
        <v>87</v>
      </c>
      <c r="L91" t="inlineStr">
        <is>
          <t>13 Desember 2026</t>
        </is>
      </c>
      <c r="M91" t="inlineStr">
        <is>
          <t>Konstruksi Bangunan Sipil Jalan, Konstruksi Gedung Lainnya, Konstruksi Gedung Pendidikan, Konstruksi Jaringan Irigasi dan Drainase</t>
        </is>
      </c>
      <c r="N91" t="inlineStr">
        <is>
          <t>K</t>
        </is>
      </c>
      <c r="O91" t="inlineStr">
        <is>
          <t>20231201, 20231215</t>
        </is>
      </c>
      <c r="P91" t="inlineStr">
        <is>
          <t>DI Yogyakarta</t>
        </is>
      </c>
      <c r="Q91" t="inlineStr"/>
    </row>
    <row r="92">
      <c r="A92" t="inlineStr">
        <is>
          <t>SPATIUM ARTEM CONSULTANTS</t>
        </is>
      </c>
      <c r="B92" t="inlineStr">
        <is>
          <t>Kota Kupang</t>
        </is>
      </c>
      <c r="C92" t="inlineStr">
        <is>
          <t>082145563902</t>
        </is>
      </c>
      <c r="D92" t="inlineStr">
        <is>
          <t>spartemconsultans@gmail.com</t>
        </is>
      </c>
      <c r="E92" t="inlineStr">
        <is>
          <t>https://lpjk.pu.go.id/search-badan-usaha-detail/K1ZhS2ZsdGpOZEx3MmVBZ0pJU0d0dz09</t>
        </is>
      </c>
      <c r="F92" t="n">
        <v>1</v>
      </c>
      <c r="G92" t="inlineStr">
        <is>
          <t>AR001</t>
        </is>
      </c>
      <c r="H92" t="inlineStr">
        <is>
          <t>17 Januari 2023</t>
        </is>
      </c>
      <c r="I92" s="2" t="n">
        <v>46369</v>
      </c>
      <c r="J92" t="inlineStr">
        <is>
          <t>Disetujui</t>
        </is>
      </c>
      <c r="K92" t="n">
        <v>87</v>
      </c>
      <c r="L92" t="inlineStr">
        <is>
          <t>13 Desember 2026</t>
        </is>
      </c>
      <c r="M92" t="inlineStr">
        <is>
          <t>Jasa Arsitektural Bangunan Gedung Hunian dan Non Hunian</t>
        </is>
      </c>
      <c r="N92" t="inlineStr">
        <is>
          <t>K</t>
        </is>
      </c>
      <c r="O92" t="inlineStr">
        <is>
          <t>20231206</t>
        </is>
      </c>
      <c r="P92" t="inlineStr">
        <is>
          <t>Nusa Tenggara Timur</t>
        </is>
      </c>
      <c r="Q92" t="inlineStr"/>
    </row>
    <row r="93">
      <c r="A93" t="inlineStr">
        <is>
          <t>TATA BANGUN MEMBUMI</t>
        </is>
      </c>
      <c r="B93" t="inlineStr">
        <is>
          <t>Kota Semarang</t>
        </is>
      </c>
      <c r="C93" t="inlineStr">
        <is>
          <t>082242746886</t>
        </is>
      </c>
      <c r="D93" t="inlineStr">
        <is>
          <t>tatabangunmembumi@gmail.com</t>
        </is>
      </c>
      <c r="E93" t="inlineStr">
        <is>
          <t>https://lpjk.pu.go.id/search-badan-usaha-detail/RlQrd2grQjJMek1XOU92SVJvZmc4Zz09</t>
        </is>
      </c>
      <c r="F93" t="n">
        <v>5</v>
      </c>
      <c r="G93" t="inlineStr">
        <is>
          <t>BG001, BG002, BG005, BG006, BG009</t>
        </is>
      </c>
      <c r="H93" t="inlineStr">
        <is>
          <t>29 Agustus 2023</t>
        </is>
      </c>
      <c r="I93" s="2" t="n">
        <v>46369</v>
      </c>
      <c r="J93" t="inlineStr">
        <is>
          <t>Disetujui</t>
        </is>
      </c>
      <c r="K93" t="n">
        <v>87</v>
      </c>
      <c r="L93" t="inlineStr">
        <is>
          <t>13 Desember 2026</t>
        </is>
      </c>
      <c r="M93" t="inlineStr">
        <is>
          <t>Konstruksi Gedung Hunian, Konstruksi Gedung Kesehatan, Konstruksi Gedung Lainnya, Konstruksi Gedung Pendidikan, Konstruksi Gedung Perkantoran</t>
        </is>
      </c>
      <c r="N93" t="inlineStr">
        <is>
          <t>K</t>
        </is>
      </c>
      <c r="O93" t="inlineStr">
        <is>
          <t>20231208, 20231212</t>
        </is>
      </c>
      <c r="P93" t="inlineStr">
        <is>
          <t>Jawa Tengah</t>
        </is>
      </c>
      <c r="Q93" t="inlineStr"/>
    </row>
    <row r="94">
      <c r="A94" t="inlineStr">
        <is>
          <t>TELLUS MERIDIAN SURVEY</t>
        </is>
      </c>
      <c r="B94" t="inlineStr">
        <is>
          <t>Kota Bandung</t>
        </is>
      </c>
      <c r="C94" t="inlineStr">
        <is>
          <t>081222323600</t>
        </is>
      </c>
      <c r="D94" t="inlineStr">
        <is>
          <t>info@tellusmeridian.com</t>
        </is>
      </c>
      <c r="E94" t="inlineStr">
        <is>
          <t>https://lpjk.pu.go.id/search-badan-usaha-detail/TlFRMnR4ZFhXY0NremMvejBTQWZpZz09</t>
        </is>
      </c>
      <c r="F94" t="n">
        <v>1</v>
      </c>
      <c r="G94" t="inlineStr">
        <is>
          <t>IT003</t>
        </is>
      </c>
      <c r="H94" t="inlineStr">
        <is>
          <t>16 April 2014</t>
        </is>
      </c>
      <c r="I94" s="2" t="n">
        <v>46369</v>
      </c>
      <c r="J94" t="inlineStr">
        <is>
          <t>Disetujui</t>
        </is>
      </c>
      <c r="K94" t="n">
        <v>87</v>
      </c>
      <c r="L94" t="inlineStr">
        <is>
          <t>13 Desember 2026</t>
        </is>
      </c>
      <c r="M94" t="inlineStr">
        <is>
          <t>Jasa Konsultansi Ilmiah dan Teknis Permukaan Tanah dan Pembuatan Peta</t>
        </is>
      </c>
      <c r="N94" t="inlineStr">
        <is>
          <t>Spesialis</t>
        </is>
      </c>
      <c r="O94" t="inlineStr">
        <is>
          <t>20231005</t>
        </is>
      </c>
      <c r="P94" t="inlineStr">
        <is>
          <t>Jawa Barat</t>
        </is>
      </c>
      <c r="Q94" t="inlineStr"/>
    </row>
    <row r="95">
      <c r="A95" t="inlineStr">
        <is>
          <t>TIRTA USAHA MANDIRI</t>
        </is>
      </c>
      <c r="B95" t="inlineStr">
        <is>
          <t>Kab. Bone</t>
        </is>
      </c>
      <c r="C95" t="inlineStr">
        <is>
          <t>082339446845</t>
        </is>
      </c>
      <c r="D95" t="inlineStr">
        <is>
          <t>cv.tirtausahamandiri2022@gmail.com</t>
        </is>
      </c>
      <c r="E95" t="inlineStr">
        <is>
          <t>https://lpjk.pu.go.id/search-badan-usaha-detail/TTVpVm5EOEU3OEYrV25PVVRXNEdldz09</t>
        </is>
      </c>
      <c r="F95" t="n">
        <v>4</v>
      </c>
      <c r="G95" t="inlineStr">
        <is>
          <t>BG005, BG006, BS001, BS004</t>
        </is>
      </c>
      <c r="H95" t="inlineStr">
        <is>
          <t>16 November 2022</t>
        </is>
      </c>
      <c r="I95" s="2" t="n">
        <v>46369</v>
      </c>
      <c r="J95" t="inlineStr">
        <is>
          <t>Disetujui</t>
        </is>
      </c>
      <c r="K95" t="n">
        <v>87</v>
      </c>
      <c r="L95" t="inlineStr">
        <is>
          <t>13 Desember 2026</t>
        </is>
      </c>
      <c r="M95" t="inlineStr">
        <is>
          <t>Konstruksi Bangunan Sipil Jalan, Konstruksi Gedung Kesehatan, Konstruksi Gedung Pendidikan, Konstruksi Jaringan Irigasi dan Drainase</t>
        </is>
      </c>
      <c r="N95" t="inlineStr">
        <is>
          <t>K</t>
        </is>
      </c>
      <c r="O95" t="inlineStr">
        <is>
          <t>20231212</t>
        </is>
      </c>
      <c r="P95" t="inlineStr">
        <is>
          <t>Sulawesi Selatan</t>
        </is>
      </c>
      <c r="Q95" t="inlineStr"/>
    </row>
    <row r="96">
      <c r="A96" t="inlineStr">
        <is>
          <t>VALDA JAYA ARISTA</t>
        </is>
      </c>
      <c r="B96" t="inlineStr">
        <is>
          <t>Kab. Karawang</t>
        </is>
      </c>
      <c r="C96" t="inlineStr">
        <is>
          <t>081299018272</t>
        </is>
      </c>
      <c r="D96" t="inlineStr">
        <is>
          <t>pt.valdajayarista@gmail.com</t>
        </is>
      </c>
      <c r="E96" t="inlineStr">
        <is>
          <t>https://lpjk.pu.go.id/search-badan-usaha-detail/OW9DTEVuUDhmRkZkS3FjL1hSZG9JZz09</t>
        </is>
      </c>
      <c r="F96" t="n">
        <v>2</v>
      </c>
      <c r="G96" t="inlineStr">
        <is>
          <t>BG001, BS001</t>
        </is>
      </c>
      <c r="H96" t="inlineStr">
        <is>
          <t>31 Mei 2023</t>
        </is>
      </c>
      <c r="I96" s="2" t="n">
        <v>46369</v>
      </c>
      <c r="J96" t="inlineStr">
        <is>
          <t>Pencabutan</t>
        </is>
      </c>
      <c r="K96" t="n">
        <v>87</v>
      </c>
      <c r="L96" t="inlineStr">
        <is>
          <t>13 Desember 2026</t>
        </is>
      </c>
      <c r="M96" t="inlineStr">
        <is>
          <t>Konstruksi Bangunan Sipil Jalan, Konstruksi Gedung Hunian</t>
        </is>
      </c>
      <c r="N96" t="inlineStr">
        <is>
          <t>K</t>
        </is>
      </c>
      <c r="O96" t="inlineStr">
        <is>
          <t>20231212, 20231213</t>
        </is>
      </c>
      <c r="P96" t="inlineStr">
        <is>
          <t>Jawa Barat</t>
        </is>
      </c>
      <c r="Q96" t="inlineStr"/>
    </row>
    <row r="97">
      <c r="A97" t="inlineStr">
        <is>
          <t>WISNU CAKRA BUANA</t>
        </is>
      </c>
      <c r="B97" t="inlineStr">
        <is>
          <t>Kab. Blora</t>
        </is>
      </c>
      <c r="C97" t="inlineStr">
        <is>
          <t>085226164489</t>
        </is>
      </c>
      <c r="D97" t="inlineStr">
        <is>
          <t>wisnucakrabuana700@gmail.com</t>
        </is>
      </c>
      <c r="E97" t="inlineStr">
        <is>
          <t>https://lpjk.pu.go.id/search-badan-usaha-detail/R0JyQlhVc0wyeWJoZEJIYk5jY09hdz09</t>
        </is>
      </c>
      <c r="F97" t="n">
        <v>2</v>
      </c>
      <c r="G97" t="inlineStr">
        <is>
          <t>BS005, BS006</t>
        </is>
      </c>
      <c r="H97" t="inlineStr">
        <is>
          <t>11 Februari 2021</t>
        </is>
      </c>
      <c r="I97" s="2" t="n">
        <v>46369</v>
      </c>
      <c r="J97" t="inlineStr">
        <is>
          <t>Disetujui</t>
        </is>
      </c>
      <c r="K97" t="n">
        <v>87</v>
      </c>
      <c r="L97" t="inlineStr">
        <is>
          <t>13 Desember 2026</t>
        </is>
      </c>
      <c r="M97" t="inlineStr">
        <is>
          <t>Konstruksi Bangunan Sipil Pengolahan Air Bersih, Konstruksi Bangunan Sipil Prasarana dan Sarana Sistem Pengolahan Limbah Padat, Cair, dan Gas</t>
        </is>
      </c>
      <c r="N97" t="inlineStr">
        <is>
          <t>K</t>
        </is>
      </c>
      <c r="O97" t="inlineStr">
        <is>
          <t>20231213</t>
        </is>
      </c>
      <c r="P97" t="inlineStr">
        <is>
          <t>Jawa Tengah</t>
        </is>
      </c>
      <c r="Q97" t="inlineStr"/>
    </row>
    <row r="98">
      <c r="A98" t="inlineStr">
        <is>
          <t>YUDHA MANDIRI</t>
        </is>
      </c>
      <c r="B98" t="inlineStr">
        <is>
          <t>Kota Medan</t>
        </is>
      </c>
      <c r="C98" t="inlineStr">
        <is>
          <t>085275733438</t>
        </is>
      </c>
      <c r="D98" t="inlineStr">
        <is>
          <t>cv.yudhamandiri@macr2.com</t>
        </is>
      </c>
      <c r="E98" t="inlineStr">
        <is>
          <t>https://lpjk.pu.go.id/search-badan-usaha-detail/TG5pOXNZMUxsMllqQXJYdUJTL0EyQT09</t>
        </is>
      </c>
      <c r="F98" t="n">
        <v>3</v>
      </c>
      <c r="G98" t="inlineStr">
        <is>
          <t>BS001, BS004, BS005</t>
        </is>
      </c>
      <c r="H98" t="inlineStr">
        <is>
          <t>30 Desember 2010</t>
        </is>
      </c>
      <c r="I98" s="2" t="n">
        <v>46369</v>
      </c>
      <c r="J98" t="inlineStr">
        <is>
          <t>Disetujui</t>
        </is>
      </c>
      <c r="K98" t="n">
        <v>87</v>
      </c>
      <c r="L98" t="inlineStr">
        <is>
          <t>13 Desember 2026</t>
        </is>
      </c>
      <c r="M98" t="inlineStr">
        <is>
          <t>Konstruksi Bangunan Sipil Jalan, Konstruksi Bangunan Sipil Pengolahan Air Bersih, Konstruksi Jaringan Irigasi dan Drainase</t>
        </is>
      </c>
      <c r="N98" t="inlineStr">
        <is>
          <t>K</t>
        </is>
      </c>
      <c r="O98" t="inlineStr">
        <is>
          <t>20231205, 20231211, 20231212</t>
        </is>
      </c>
      <c r="P98" t="inlineStr">
        <is>
          <t>Sumatera Utara</t>
        </is>
      </c>
      <c r="Q9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6"/>
  <sheetViews>
    <sheetView workbookViewId="0">
      <selection activeCell="A1" sqref="A1"/>
    </sheetView>
  </sheetViews>
  <sheetFormatPr baseColWidth="8" defaultRowHeight="15"/>
  <cols>
    <col width="35" customWidth="1" min="1" max="1"/>
    <col width="27" customWidth="1" min="2" max="2"/>
    <col width="15" customWidth="1" min="3" max="3"/>
    <col width="39" customWidth="1" min="4" max="4"/>
    <col width="50" customWidth="1" min="5" max="5"/>
    <col width="18" customWidth="1" min="6" max="6"/>
    <col width="50" customWidth="1" min="7" max="7"/>
    <col width="20" customWidth="1" min="8" max="8"/>
    <col width="28" customWidth="1" min="9" max="9"/>
    <col width="23" customWidth="1" min="10" max="10"/>
    <col width="11" customWidth="1" min="11" max="11"/>
    <col width="18"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ARSYA PRATAMA RAYA</t>
        </is>
      </c>
      <c r="B2" t="inlineStr">
        <is>
          <t>Kota Bekasi</t>
        </is>
      </c>
      <c r="C2" t="inlineStr">
        <is>
          <t>082112353648</t>
        </is>
      </c>
      <c r="D2" t="inlineStr">
        <is>
          <t>ptarsyapratamaraya@gmail.com</t>
        </is>
      </c>
      <c r="E2" t="inlineStr">
        <is>
          <t>https://lpjk.pu.go.id/search-badan-usaha-detail/WW83Q0xjNmswZ1JjZXJZSlJ2UmhjUT09</t>
        </is>
      </c>
      <c r="F2" t="n">
        <v>1</v>
      </c>
      <c r="G2" t="inlineStr">
        <is>
          <t>BS004</t>
        </is>
      </c>
      <c r="H2" t="inlineStr">
        <is>
          <t>31 Mei 2018</t>
        </is>
      </c>
      <c r="I2" s="2" t="n">
        <v>46342</v>
      </c>
      <c r="J2" t="inlineStr">
        <is>
          <t>Pencabutan</t>
        </is>
      </c>
      <c r="K2" t="n">
        <v>60</v>
      </c>
      <c r="L2" t="inlineStr">
        <is>
          <t>16 November 2026</t>
        </is>
      </c>
      <c r="M2" t="inlineStr">
        <is>
          <t>Konstruksi Jaringan Irigasi dan Drainase</t>
        </is>
      </c>
      <c r="N2" t="inlineStr">
        <is>
          <t>M</t>
        </is>
      </c>
      <c r="O2" t="inlineStr">
        <is>
          <t>20231114</t>
        </is>
      </c>
      <c r="P2" t="inlineStr">
        <is>
          <t>Jawa Barat</t>
        </is>
      </c>
      <c r="Q2" s="3">
        <f>HYPERLINK("https://wa.me/6282112353648?text=*[PENGINGAT MASA BERLAKU SBU ARSYA PRATAMA RAYA]*%0A%0AYth. Pimpinan ARSYA PRATAMA RAYA,%0AMohon izin menginformasikan status SBU Anda di sistem LPJK:%0A%0A📄 SBU: BS004%0A📅 Expired: 16 November 2026 (60 Hari Lagi)%0A%0AKami tim PT. ESDEA Assistance Management siap men-support proses perpanjangan segera agar administrasi proyek tidak terhambat%0A%0AApakah boleh saya bantu siapkan estimasi biaya dan waktu pengerjaannya?.", "Hubungi")</f>
        <v/>
      </c>
    </row>
    <row r="3">
      <c r="A3" t="inlineStr">
        <is>
          <t>ATHAYA MANDIRI UTAMA</t>
        </is>
      </c>
      <c r="B3" t="inlineStr">
        <is>
          <t>Kota Bekasi</t>
        </is>
      </c>
      <c r="C3" t="inlineStr">
        <is>
          <t>085718575863</t>
        </is>
      </c>
      <c r="D3" t="inlineStr">
        <is>
          <t>athayamandiriutama2022@gmail.com</t>
        </is>
      </c>
      <c r="E3" t="inlineStr">
        <is>
          <t>https://lpjk.pu.go.id/search-badan-usaha-detail/YnFBalB5Wmx3K1A4dENjQnhQZ3V0QT09</t>
        </is>
      </c>
      <c r="F3" t="n">
        <v>1</v>
      </c>
      <c r="G3" t="inlineStr">
        <is>
          <t>BG002</t>
        </is>
      </c>
      <c r="H3" t="inlineStr">
        <is>
          <t>27 September 2022</t>
        </is>
      </c>
      <c r="I3" s="2" t="n">
        <v>46342</v>
      </c>
      <c r="J3" t="inlineStr">
        <is>
          <t>Disetujui</t>
        </is>
      </c>
      <c r="K3" t="n">
        <v>60</v>
      </c>
      <c r="L3" t="inlineStr">
        <is>
          <t>16 November 2026</t>
        </is>
      </c>
      <c r="M3" t="inlineStr">
        <is>
          <t>Konstruksi Gedung Perkantoran</t>
        </is>
      </c>
      <c r="N3" t="inlineStr">
        <is>
          <t>K</t>
        </is>
      </c>
      <c r="O3" t="inlineStr">
        <is>
          <t>20231115</t>
        </is>
      </c>
      <c r="P3" t="inlineStr">
        <is>
          <t>Jawa Barat</t>
        </is>
      </c>
      <c r="Q3" s="3">
        <f>HYPERLINK("https://wa.me/6285718575863?text=*[PENGINGAT MASA BERLAKU SBU ATHAYA MANDIRI UTAMA]*%0A%0AYth. Pimpinan ATHAYA MANDIRI UTAMA,%0AMohon izin menginformasikan status SBU Anda di sistem LPJK:%0A%0A📄 SBU: BG002%0A📅 Expired: 16 November 2026 (60 Hari Lagi)%0A%0AKami tim PT. ESDEA Assistance Management siap men-support proses perpanjangan segera agar administrasi proyek tidak terhambat%0A%0AApakah boleh saya bantu siapkan estimasi biaya dan waktu pengerjaannya?.", "Hubungi")</f>
        <v/>
      </c>
    </row>
    <row r="4">
      <c r="A4" t="inlineStr">
        <is>
          <t>DINAMIKA JAYA SEMESTA</t>
        </is>
      </c>
      <c r="B4" t="inlineStr">
        <is>
          <t>Kab. Bekasi</t>
        </is>
      </c>
      <c r="C4" t="inlineStr">
        <is>
          <t>081380591694</t>
        </is>
      </c>
      <c r="D4" t="inlineStr">
        <is>
          <t>dinamikajayasemesta.pt@yahoo.com</t>
        </is>
      </c>
      <c r="E4" t="inlineStr">
        <is>
          <t>https://lpjk.pu.go.id/search-badan-usaha-detail/dmVWSysvTzAwZEh0SjNTbGJUcitwQT09</t>
        </is>
      </c>
      <c r="F4" t="n">
        <v>6</v>
      </c>
      <c r="G4" t="inlineStr">
        <is>
          <t>BS002, BS004</t>
        </is>
      </c>
      <c r="H4" t="inlineStr">
        <is>
          <t>1 September 2023</t>
        </is>
      </c>
      <c r="I4" s="2" t="n">
        <v>46342</v>
      </c>
      <c r="J4" t="inlineStr">
        <is>
          <t>Disetujui</t>
        </is>
      </c>
      <c r="K4" t="n">
        <v>60</v>
      </c>
      <c r="L4" t="inlineStr">
        <is>
          <t>16 November 2026</t>
        </is>
      </c>
      <c r="M4" t="inlineStr">
        <is>
          <t>Bangunan Sipil Jembatan, Jalan Layang, Fly Over, dan Underpass, Konstruksi Jaringan Irigasi dan Drainase</t>
        </is>
      </c>
      <c r="N4" t="inlineStr">
        <is>
          <t>K</t>
        </is>
      </c>
      <c r="O4" t="inlineStr">
        <is>
          <t>20231116</t>
        </is>
      </c>
      <c r="P4" t="inlineStr">
        <is>
          <t>Jawa Barat</t>
        </is>
      </c>
      <c r="Q4" s="3">
        <f>HYPERLINK("https://wa.me/6281380591694?text=*[PENGINGAT MASA BERLAKU SBU DINAMIKA JAYA SEMESTA]*%0A%0AYth. Pimpinan DINAMIKA JAYA SEMESTA,%0AMohon izin menginformasikan status SBU Anda di sistem LPJK:%0A%0A📄 SBU: BS002, BS004%0A📅 Expired: 16 November 2026 (60 Hari Lagi)%0A%0AKami tim PT. ESDEA Assistance Management siap men-support proses perpanjangan segera agar administrasi proyek tidak terhambat%0A%0AApakah boleh saya bantu siapkan estimasi biaya dan waktu pengerjaannya?.", "Hubungi")</f>
        <v/>
      </c>
    </row>
    <row r="5">
      <c r="A5" t="inlineStr">
        <is>
          <t>INTER KREASI ADHITAMA</t>
        </is>
      </c>
      <c r="B5" t="inlineStr">
        <is>
          <t>Kab. Bogor</t>
        </is>
      </c>
      <c r="C5" t="inlineStr">
        <is>
          <t>02187953555</t>
        </is>
      </c>
      <c r="D5" t="inlineStr">
        <is>
          <t>ika.veroty@gmail.com</t>
        </is>
      </c>
      <c r="E5" t="inlineStr">
        <is>
          <t>https://lpjk.pu.go.id/search-badan-usaha-detail/S3gvWjNmd1hJdWVGT0lhUjh0YjVZQT09</t>
        </is>
      </c>
      <c r="F5" t="n">
        <v>1</v>
      </c>
      <c r="G5" t="inlineStr">
        <is>
          <t>PB004</t>
        </is>
      </c>
      <c r="H5" t="inlineStr">
        <is>
          <t>18 April 2012</t>
        </is>
      </c>
      <c r="I5" s="2" t="n">
        <v>46342</v>
      </c>
      <c r="J5" t="inlineStr">
        <is>
          <t>Disetujui</t>
        </is>
      </c>
      <c r="K5" t="n">
        <v>60</v>
      </c>
      <c r="L5" t="inlineStr">
        <is>
          <t>16 November 2026</t>
        </is>
      </c>
      <c r="M5" t="inlineStr">
        <is>
          <t>Dekorasi Interior</t>
        </is>
      </c>
      <c r="N5" t="inlineStr">
        <is>
          <t>Spesialis</t>
        </is>
      </c>
      <c r="O5" t="inlineStr">
        <is>
          <t>20231031</t>
        </is>
      </c>
      <c r="P5" t="inlineStr">
        <is>
          <t>Jawa Barat</t>
        </is>
      </c>
      <c r="Q5" t="inlineStr"/>
    </row>
    <row r="6">
      <c r="A6" t="inlineStr">
        <is>
          <t>POWERTECH NANO INDUSTRI</t>
        </is>
      </c>
      <c r="B6" t="inlineStr">
        <is>
          <t>Kab. Bogor</t>
        </is>
      </c>
      <c r="C6" t="inlineStr">
        <is>
          <t>08111772999</t>
        </is>
      </c>
      <c r="D6" t="inlineStr">
        <is>
          <t>powertechnanoindustri@gmail.com</t>
        </is>
      </c>
      <c r="E6" t="inlineStr">
        <is>
          <t>https://lpjk.pu.go.id/search-badan-usaha-detail/Y1JLd0pEUG9WM3dCZUN0TnFmaEgzZz09</t>
        </is>
      </c>
      <c r="F6" t="n">
        <v>8</v>
      </c>
      <c r="G6" t="inlineStr">
        <is>
          <t>BG002, BG003, BG004, BG005</t>
        </is>
      </c>
      <c r="H6" t="inlineStr">
        <is>
          <t>26 Februari 2023</t>
        </is>
      </c>
      <c r="I6" s="2" t="n">
        <v>46342</v>
      </c>
      <c r="J6" t="inlineStr">
        <is>
          <t>Disetujui</t>
        </is>
      </c>
      <c r="K6" t="n">
        <v>60</v>
      </c>
      <c r="L6" t="inlineStr">
        <is>
          <t>16 November 2026</t>
        </is>
      </c>
      <c r="M6" t="inlineStr">
        <is>
          <t>Konstruksi Gedung Industri, Konstruksi Gedung Kesehatan, Konstruksi Gedung Perbelanjaan, Konstruksi Gedung Perkantoran</t>
        </is>
      </c>
      <c r="N6" t="inlineStr">
        <is>
          <t>K</t>
        </is>
      </c>
      <c r="O6" t="inlineStr">
        <is>
          <t>20231115</t>
        </is>
      </c>
      <c r="P6" t="inlineStr">
        <is>
          <t>Jawa Barat</t>
        </is>
      </c>
      <c r="Q6" s="3">
        <f>HYPERLINK("https://wa.me/628111772999?text=*[PENGINGAT MASA BERLAKU SBU POWERTECH NANO INDUSTRI]*%0A%0AYth. Pimpinan POWERTECH NANO INDUSTRI,%0AMohon izin menginformasikan status SBU Anda di sistem LPJK:%0A%0A📄 SBU: BG002, BG003, BG004, BG005%0A📅 Expired: 16 November 2026 (60 Hari Lagi)%0A%0AKami tim PT. ESDEA Assistance Management siap men-support proses perpanjangan segera agar administrasi proyek tidak terhambat%0A%0AApakah boleh saya bantu siapkan estimasi biaya dan waktu pengerjaannya?.", "Hubungi")</f>
        <v/>
      </c>
    </row>
    <row r="7">
      <c r="A7" t="inlineStr">
        <is>
          <t>YASATAMA PARAMITRA</t>
        </is>
      </c>
      <c r="B7" t="inlineStr">
        <is>
          <t>Kota Depok</t>
        </is>
      </c>
      <c r="C7" t="inlineStr">
        <is>
          <t>02177972008</t>
        </is>
      </c>
      <c r="D7" t="inlineStr">
        <is>
          <t>yasatamapt@yahoo.com</t>
        </is>
      </c>
      <c r="E7" t="inlineStr">
        <is>
          <t>https://lpjk.pu.go.id/search-badan-usaha-detail/cVhka1c1WkZpVWRNSm8rRFI1UERHdz09</t>
        </is>
      </c>
      <c r="F7" t="n">
        <v>10</v>
      </c>
      <c r="G7" t="inlineStr">
        <is>
          <t>BG001, BG002, BG005, BG006, BG009</t>
        </is>
      </c>
      <c r="H7" t="inlineStr">
        <is>
          <t>2 Oktober 1995</t>
        </is>
      </c>
      <c r="I7" s="2" t="n">
        <v>46342</v>
      </c>
      <c r="J7" t="inlineStr">
        <is>
          <t>Disetujui</t>
        </is>
      </c>
      <c r="K7" t="n">
        <v>60</v>
      </c>
      <c r="L7" t="inlineStr">
        <is>
          <t>16 November 2026</t>
        </is>
      </c>
      <c r="M7" t="inlineStr">
        <is>
          <t>Konstruksi Gedung Hunian, Konstruksi Gedung Kesehatan, Konstruksi Gedung Lainnya, Konstruksi Gedung Pendidikan, Konstruksi Gedung Perkantoran</t>
        </is>
      </c>
      <c r="N7" t="inlineStr">
        <is>
          <t>K</t>
        </is>
      </c>
      <c r="O7" t="inlineStr">
        <is>
          <t>20231117</t>
        </is>
      </c>
      <c r="P7" t="inlineStr">
        <is>
          <t>Jawa Barat</t>
        </is>
      </c>
      <c r="Q7" t="inlineStr"/>
    </row>
    <row r="8">
      <c r="A8" t="inlineStr">
        <is>
          <t>ABINDO RAYA DARMA PERKASA</t>
        </is>
      </c>
      <c r="B8" t="inlineStr">
        <is>
          <t>Kab. Tangerang</t>
        </is>
      </c>
      <c r="C8" t="inlineStr">
        <is>
          <t>02122018388</t>
        </is>
      </c>
      <c r="D8" t="inlineStr">
        <is>
          <t>ktono3503@gmail.com</t>
        </is>
      </c>
      <c r="E8" t="inlineStr">
        <is>
          <t>https://lpjk.pu.go.id/search-badan-usaha-detail/UW42UkE0bmdDTUJycSswL1JieEthUT09</t>
        </is>
      </c>
      <c r="F8" t="n">
        <v>1</v>
      </c>
      <c r="G8" t="inlineStr">
        <is>
          <t>BG005</t>
        </is>
      </c>
      <c r="H8" t="inlineStr">
        <is>
          <t>23 November 2016</t>
        </is>
      </c>
      <c r="I8" s="2" t="n">
        <v>46342</v>
      </c>
      <c r="J8" t="inlineStr">
        <is>
          <t>Disetujui</t>
        </is>
      </c>
      <c r="K8" t="n">
        <v>60</v>
      </c>
      <c r="L8" t="inlineStr">
        <is>
          <t>16 November 2026</t>
        </is>
      </c>
      <c r="M8" t="inlineStr">
        <is>
          <t>Konstruksi Gedung Kesehatan</t>
        </is>
      </c>
      <c r="N8" t="inlineStr">
        <is>
          <t>K</t>
        </is>
      </c>
      <c r="O8" t="inlineStr">
        <is>
          <t>20231117</t>
        </is>
      </c>
      <c r="P8" t="inlineStr">
        <is>
          <t>Banten</t>
        </is>
      </c>
      <c r="Q8" t="inlineStr"/>
    </row>
    <row r="9">
      <c r="A9" t="inlineStr">
        <is>
          <t>AGUNG MORO</t>
        </is>
      </c>
      <c r="B9" t="inlineStr">
        <is>
          <t>Kab. Banyumas</t>
        </is>
      </c>
      <c r="C9" t="inlineStr">
        <is>
          <t>081219619329</t>
        </is>
      </c>
      <c r="D9" t="inlineStr">
        <is>
          <t>cvagungmoro@gmail.com</t>
        </is>
      </c>
      <c r="E9" t="inlineStr">
        <is>
          <t>https://lpjk.pu.go.id/search-badan-usaha-detail/RkZ3bFFvZHQ5WDZxbFRmaVZVbWN6Zz09</t>
        </is>
      </c>
      <c r="F9" t="n">
        <v>4</v>
      </c>
      <c r="G9" t="inlineStr">
        <is>
          <t>BG006, BS001</t>
        </is>
      </c>
      <c r="H9" t="inlineStr">
        <is>
          <t>22 Juni 2012</t>
        </is>
      </c>
      <c r="I9" s="2" t="n">
        <v>46342</v>
      </c>
      <c r="J9" t="inlineStr">
        <is>
          <t>Disetujui</t>
        </is>
      </c>
      <c r="K9" t="n">
        <v>60</v>
      </c>
      <c r="L9" t="inlineStr">
        <is>
          <t>16 November 2026</t>
        </is>
      </c>
      <c r="M9" t="inlineStr">
        <is>
          <t>Konstruksi Bangunan Sipil Jalan, Konstruksi Gedung Pendidikan</t>
        </is>
      </c>
      <c r="N9" t="inlineStr">
        <is>
          <t>K</t>
        </is>
      </c>
      <c r="O9" t="inlineStr">
        <is>
          <t>20231116, 20231120</t>
        </is>
      </c>
      <c r="P9" t="inlineStr">
        <is>
          <t>Jawa Tengah</t>
        </is>
      </c>
      <c r="Q9" t="inlineStr"/>
    </row>
    <row r="10">
      <c r="A10" t="inlineStr">
        <is>
          <t>AMAN LANCAR BERKAH</t>
        </is>
      </c>
      <c r="B10" t="inlineStr">
        <is>
          <t>Kota Salatiga</t>
        </is>
      </c>
      <c r="C10" t="inlineStr">
        <is>
          <t>085640776669</t>
        </is>
      </c>
      <c r="D10" t="inlineStr">
        <is>
          <t>cvamanlancarberkah@gmail.com</t>
        </is>
      </c>
      <c r="E10" t="inlineStr">
        <is>
          <t>https://lpjk.pu.go.id/search-badan-usaha-detail/WlFWY3MzdjkvWVhvZFZlWjVXd1UvZz09</t>
        </is>
      </c>
      <c r="F10" t="n">
        <v>1</v>
      </c>
      <c r="G10" t="inlineStr">
        <is>
          <t>BS006</t>
        </is>
      </c>
      <c r="H10" t="inlineStr">
        <is>
          <t>27 Januari 2023</t>
        </is>
      </c>
      <c r="I10" s="2" t="n">
        <v>46342</v>
      </c>
      <c r="J10" t="inlineStr">
        <is>
          <t>Dokumen Tidak Lengkap</t>
        </is>
      </c>
      <c r="K10" t="n">
        <v>60</v>
      </c>
      <c r="L10" t="inlineStr">
        <is>
          <t>16 November 2026</t>
        </is>
      </c>
      <c r="M10" t="inlineStr">
        <is>
          <t>Konstruksi Bangunan Sipil Prasarana dan Sarana Sistem Pengolahan Limbah Padat, Cair, dan Gas</t>
        </is>
      </c>
      <c r="N10" t="inlineStr">
        <is>
          <t>K</t>
        </is>
      </c>
      <c r="O10" t="inlineStr">
        <is>
          <t>20231113</t>
        </is>
      </c>
      <c r="P10" t="inlineStr">
        <is>
          <t>Jawa Tengah</t>
        </is>
      </c>
      <c r="Q10" t="inlineStr"/>
    </row>
    <row r="11">
      <c r="A11" t="inlineStr">
        <is>
          <t>AMANAHING MAHA KINASIH</t>
        </is>
      </c>
      <c r="B11" t="inlineStr">
        <is>
          <t>Kota Adm. Jakarta Barat</t>
        </is>
      </c>
      <c r="C11" t="inlineStr">
        <is>
          <t>0215492247</t>
        </is>
      </c>
      <c r="D11" t="inlineStr">
        <is>
          <t>diding@amanahing.co.id</t>
        </is>
      </c>
      <c r="E11" t="inlineStr">
        <is>
          <t>https://lpjk.pu.go.id/search-badan-usaha-detail/M1BRaUt2SzdZbk5QU0ZyNHlKMFdwdz09</t>
        </is>
      </c>
      <c r="F11" t="n">
        <v>3</v>
      </c>
      <c r="G11" t="inlineStr">
        <is>
          <t>BS009</t>
        </is>
      </c>
      <c r="H11" t="inlineStr">
        <is>
          <t>17 Januari 2012</t>
        </is>
      </c>
      <c r="I11" s="2" t="n">
        <v>46342</v>
      </c>
      <c r="J11" t="inlineStr">
        <is>
          <t>Disetujui</t>
        </is>
      </c>
      <c r="K11" t="n">
        <v>60</v>
      </c>
      <c r="L11" t="inlineStr">
        <is>
          <t>16 November 2026</t>
        </is>
      </c>
      <c r="M11" t="inlineStr">
        <is>
          <t>Konstruksi Sentral Telekomunikasi</t>
        </is>
      </c>
      <c r="N11" t="inlineStr">
        <is>
          <t>K</t>
        </is>
      </c>
      <c r="O11" t="inlineStr">
        <is>
          <t>20231115</t>
        </is>
      </c>
      <c r="P11" t="inlineStr">
        <is>
          <t>DKI Jakarta</t>
        </is>
      </c>
      <c r="Q11" t="inlineStr"/>
    </row>
    <row r="12">
      <c r="A12" t="inlineStr">
        <is>
          <t>ANNISA CIPTA KONSULTAN</t>
        </is>
      </c>
      <c r="B12" t="inlineStr">
        <is>
          <t>Kab. Siak</t>
        </is>
      </c>
      <c r="C12" t="inlineStr">
        <is>
          <t>082284424854</t>
        </is>
      </c>
      <c r="D12" t="inlineStr">
        <is>
          <t>annisaciptakonsultancv@gmail.com</t>
        </is>
      </c>
      <c r="E12" t="inlineStr">
        <is>
          <t>https://lpjk.pu.go.id/search-badan-usaha-detail/UGUydXZGMnZNdTRzMTYrZVhMRXlRQT09</t>
        </is>
      </c>
      <c r="F12" t="n">
        <v>1</v>
      </c>
      <c r="G12" t="inlineStr">
        <is>
          <t>RK001</t>
        </is>
      </c>
      <c r="H12" t="inlineStr">
        <is>
          <t>14 Juli 2018</t>
        </is>
      </c>
      <c r="I12" s="2" t="n">
        <v>46342</v>
      </c>
      <c r="J12" t="inlineStr">
        <is>
          <t>Disetujui</t>
        </is>
      </c>
      <c r="K12" t="n">
        <v>60</v>
      </c>
      <c r="L12" t="inlineStr">
        <is>
          <t>16 November 2026</t>
        </is>
      </c>
      <c r="M12" t="inlineStr">
        <is>
          <t>Jasa Rekayasa Konstruksi Bangunan Gedung Hunian dan Non Hunian</t>
        </is>
      </c>
      <c r="N12" t="inlineStr">
        <is>
          <t>K</t>
        </is>
      </c>
      <c r="O12" t="inlineStr">
        <is>
          <t>20231113</t>
        </is>
      </c>
      <c r="P12" t="inlineStr">
        <is>
          <t>Riau</t>
        </is>
      </c>
      <c r="Q12" t="inlineStr"/>
    </row>
    <row r="13">
      <c r="A13" t="inlineStr">
        <is>
          <t>ANUGERAH CAHAYA TEKNIK</t>
        </is>
      </c>
      <c r="B13" t="inlineStr">
        <is>
          <t>Kota Pasuruan</t>
        </is>
      </c>
      <c r="C13" t="inlineStr">
        <is>
          <t>085333338557</t>
        </is>
      </c>
      <c r="D13" t="inlineStr">
        <is>
          <t>adi.wijoyo67@gmail.com</t>
        </is>
      </c>
      <c r="E13" t="inlineStr">
        <is>
          <t>https://lpjk.pu.go.id/search-badan-usaha-detail/c1VndFRSQnh3UUlaTWhZam54cXBVZz09</t>
        </is>
      </c>
      <c r="F13" t="n">
        <v>1</v>
      </c>
      <c r="G13" t="inlineStr">
        <is>
          <t>BS001</t>
        </is>
      </c>
      <c r="H13" t="inlineStr">
        <is>
          <t>21 November 2019</t>
        </is>
      </c>
      <c r="I13" s="2" t="n">
        <v>46342</v>
      </c>
      <c r="J13" t="inlineStr">
        <is>
          <t>Disetujui</t>
        </is>
      </c>
      <c r="K13" t="n">
        <v>60</v>
      </c>
      <c r="L13" t="inlineStr">
        <is>
          <t>16 November 2026</t>
        </is>
      </c>
      <c r="M13" t="inlineStr">
        <is>
          <t>Konstruksi Bangunan Sipil Jalan</t>
        </is>
      </c>
      <c r="N13" t="inlineStr">
        <is>
          <t>K</t>
        </is>
      </c>
      <c r="O13" t="inlineStr">
        <is>
          <t>20231107</t>
        </is>
      </c>
      <c r="P13" t="inlineStr">
        <is>
          <t>Jawa Timur</t>
        </is>
      </c>
      <c r="Q13" t="inlineStr"/>
    </row>
    <row r="14">
      <c r="A14" t="inlineStr">
        <is>
          <t>ANUGERAHKARYA AGRASENTOSA</t>
        </is>
      </c>
      <c r="B14" t="inlineStr">
        <is>
          <t>Kota Malang</t>
        </is>
      </c>
      <c r="C14" t="inlineStr">
        <is>
          <t>0341366888</t>
        </is>
      </c>
      <c r="D14" t="inlineStr">
        <is>
          <t>akas_mlg@yahoo.co.id</t>
        </is>
      </c>
      <c r="E14" t="inlineStr">
        <is>
          <t>https://lpjk.pu.go.id/search-badan-usaha-detail/dWQ2MnUySVB3VmhmV2JIUmdqSWF3Zz09</t>
        </is>
      </c>
      <c r="F14" t="n">
        <v>1</v>
      </c>
      <c r="G14" t="inlineStr">
        <is>
          <t>BS001</t>
        </is>
      </c>
      <c r="H14" t="inlineStr">
        <is>
          <t>28 Oktober 1991</t>
        </is>
      </c>
      <c r="I14" s="2" t="n">
        <v>46342</v>
      </c>
      <c r="J14" t="inlineStr">
        <is>
          <t>Disetujui</t>
        </is>
      </c>
      <c r="K14" t="n">
        <v>60</v>
      </c>
      <c r="L14" t="inlineStr">
        <is>
          <t>16 November 2026</t>
        </is>
      </c>
      <c r="M14" t="inlineStr">
        <is>
          <t>Konstruksi Bangunan Sipil Jalan</t>
        </is>
      </c>
      <c r="N14" t="inlineStr">
        <is>
          <t>B</t>
        </is>
      </c>
      <c r="O14" t="inlineStr">
        <is>
          <t>20230525</t>
        </is>
      </c>
      <c r="P14" t="inlineStr">
        <is>
          <t>Jawa Timur</t>
        </is>
      </c>
      <c r="Q14" t="inlineStr"/>
    </row>
    <row r="15">
      <c r="A15" t="inlineStr">
        <is>
          <t>ANUGRAH LUHUR</t>
        </is>
      </c>
      <c r="B15" t="inlineStr">
        <is>
          <t>Kota Makassar</t>
        </is>
      </c>
      <c r="C15" t="inlineStr">
        <is>
          <t>081372653299</t>
        </is>
      </c>
      <c r="D15" t="inlineStr">
        <is>
          <t>anugrah_luhur@yahoo.co.id</t>
        </is>
      </c>
      <c r="E15" t="inlineStr">
        <is>
          <t>https://lpjk.pu.go.id/search-badan-usaha-detail/WGdTT0cvOE42amF1UkRYbnFla00vZz09</t>
        </is>
      </c>
      <c r="F15" t="n">
        <v>4</v>
      </c>
      <c r="G15" t="inlineStr">
        <is>
          <t>BG009, BS005</t>
        </is>
      </c>
      <c r="H15" t="inlineStr">
        <is>
          <t>26 Mei 2005</t>
        </is>
      </c>
      <c r="I15" s="2" t="n">
        <v>46342</v>
      </c>
      <c r="J15" t="inlineStr">
        <is>
          <t>Disetujui</t>
        </is>
      </c>
      <c r="K15" t="n">
        <v>60</v>
      </c>
      <c r="L15" t="inlineStr">
        <is>
          <t>16 November 2026</t>
        </is>
      </c>
      <c r="M15" t="inlineStr">
        <is>
          <t>Konstruksi Bangunan Sipil Pengolahan Air Bersih, Konstruksi Gedung Lainnya</t>
        </is>
      </c>
      <c r="N15" t="inlineStr">
        <is>
          <t>K</t>
        </is>
      </c>
      <c r="O15" t="inlineStr">
        <is>
          <t>20231111, 20231117</t>
        </is>
      </c>
      <c r="P15" t="inlineStr">
        <is>
          <t>Sulawesi Selatan</t>
        </is>
      </c>
      <c r="Q15" t="inlineStr"/>
    </row>
    <row r="16">
      <c r="A16" t="inlineStr">
        <is>
          <t>ARKANANTA KARYA KONSTRUKSI</t>
        </is>
      </c>
      <c r="B16" t="inlineStr">
        <is>
          <t>Kota Samarinda</t>
        </is>
      </c>
      <c r="C16" t="inlineStr">
        <is>
          <t>08125476643</t>
        </is>
      </c>
      <c r="D16" t="inlineStr">
        <is>
          <t>cv.arkanantakaryakonstruksi@gmail.com</t>
        </is>
      </c>
      <c r="E16" t="inlineStr">
        <is>
          <t>https://lpjk.pu.go.id/search-badan-usaha-detail/bElRMzdNcFFFbU9icVd4Wmt2ZXFpUT09</t>
        </is>
      </c>
      <c r="F16" t="n">
        <v>4</v>
      </c>
      <c r="G16" t="inlineStr">
        <is>
          <t>BG009</t>
        </is>
      </c>
      <c r="H16" t="inlineStr">
        <is>
          <t>6 Januari 2023</t>
        </is>
      </c>
      <c r="I16" s="2" t="n">
        <v>46342</v>
      </c>
      <c r="J16" t="inlineStr">
        <is>
          <t>Disetujui</t>
        </is>
      </c>
      <c r="K16" t="n">
        <v>60</v>
      </c>
      <c r="L16" t="inlineStr">
        <is>
          <t>16 November 2026</t>
        </is>
      </c>
      <c r="M16" t="inlineStr">
        <is>
          <t>Konstruksi Gedung Lainnya</t>
        </is>
      </c>
      <c r="N16" t="inlineStr">
        <is>
          <t>K</t>
        </is>
      </c>
      <c r="O16" t="inlineStr">
        <is>
          <t>20231117</t>
        </is>
      </c>
      <c r="P16" t="inlineStr">
        <is>
          <t>Kalimantan Timur</t>
        </is>
      </c>
      <c r="Q16" t="inlineStr"/>
    </row>
    <row r="17">
      <c r="A17" t="inlineStr">
        <is>
          <t>ARSY KARYA</t>
        </is>
      </c>
      <c r="B17" t="inlineStr">
        <is>
          <t>Kab. Jombang</t>
        </is>
      </c>
      <c r="C17" t="inlineStr">
        <is>
          <t>085859941446</t>
        </is>
      </c>
      <c r="D17" t="inlineStr">
        <is>
          <t>arsykarya@mail.com</t>
        </is>
      </c>
      <c r="E17" t="inlineStr">
        <is>
          <t>https://lpjk.pu.go.id/search-badan-usaha-detail/L2dSWTNEMmI4bzMyd3VyN1lONGlIUT09</t>
        </is>
      </c>
      <c r="F17" t="n">
        <v>2</v>
      </c>
      <c r="G17" t="inlineStr">
        <is>
          <t>BG005, BG006</t>
        </is>
      </c>
      <c r="H17" t="inlineStr">
        <is>
          <t>27 Oktober 2018</t>
        </is>
      </c>
      <c r="I17" s="2" t="n">
        <v>46342</v>
      </c>
      <c r="J17" t="inlineStr">
        <is>
          <t>Disetujui</t>
        </is>
      </c>
      <c r="K17" t="n">
        <v>60</v>
      </c>
      <c r="L17" t="inlineStr">
        <is>
          <t>16 November 2026</t>
        </is>
      </c>
      <c r="M17" t="inlineStr">
        <is>
          <t>Konstruksi Gedung Kesehatan, Konstruksi Gedung Pendidikan</t>
        </is>
      </c>
      <c r="N17" t="inlineStr">
        <is>
          <t>K</t>
        </is>
      </c>
      <c r="O17" t="inlineStr">
        <is>
          <t>20231114</t>
        </is>
      </c>
      <c r="P17" t="inlineStr">
        <is>
          <t>Jawa Timur</t>
        </is>
      </c>
      <c r="Q17" t="inlineStr"/>
    </row>
    <row r="18">
      <c r="A18" t="inlineStr">
        <is>
          <t>ARTEFAK ARKINDO MITRAKITA</t>
        </is>
      </c>
      <c r="B18" t="inlineStr">
        <is>
          <t>Kota Adm. Jakarta Barat</t>
        </is>
      </c>
      <c r="C18" t="inlineStr">
        <is>
          <t>082395553547</t>
        </is>
      </c>
      <c r="D18" t="inlineStr">
        <is>
          <t>artefakmitrakita@yahoo.com</t>
        </is>
      </c>
      <c r="E18" t="inlineStr">
        <is>
          <t>https://lpjk.pu.go.id/search-badan-usaha-detail/N2F5RGhUbW5HSHNnTG94RkVvYWFjUT09</t>
        </is>
      </c>
      <c r="F18" t="n">
        <v>3</v>
      </c>
      <c r="G18" t="inlineStr">
        <is>
          <t>AR001, AR002, RK001</t>
        </is>
      </c>
      <c r="H18" t="inlineStr">
        <is>
          <t>16 Juni 2016</t>
        </is>
      </c>
      <c r="I18" s="2" t="n">
        <v>46342</v>
      </c>
      <c r="J18" t="inlineStr">
        <is>
          <t>Disetujui</t>
        </is>
      </c>
      <c r="K18" t="n">
        <v>60</v>
      </c>
      <c r="L18" t="inlineStr">
        <is>
          <t>16 November 2026</t>
        </is>
      </c>
      <c r="M18" t="inlineStr">
        <is>
          <t>Jasa Arsitektural Bangunan Gedung Hunian dan Non Hunian, Jasa Arsitektural Lainnya, Jasa Rekayasa Konstruksi Bangunan Gedung Hunian dan Non Hunian</t>
        </is>
      </c>
      <c r="N18" t="inlineStr">
        <is>
          <t>K</t>
        </is>
      </c>
      <c r="O18" t="inlineStr">
        <is>
          <t>20231019, 20231023</t>
        </is>
      </c>
      <c r="P18" t="inlineStr">
        <is>
          <t>DKI Jakarta</t>
        </is>
      </c>
      <c r="Q18" t="inlineStr"/>
    </row>
    <row r="19">
      <c r="A19" t="inlineStr">
        <is>
          <t>AZZAM KANZA BERSAUDARA SEJAHTERA</t>
        </is>
      </c>
      <c r="B19" t="inlineStr">
        <is>
          <t>Kota Padang Sidempuan</t>
        </is>
      </c>
      <c r="C19" t="inlineStr">
        <is>
          <t>085275165060</t>
        </is>
      </c>
      <c r="D19" t="inlineStr">
        <is>
          <t>azzamkanza.cv@gmail.com</t>
        </is>
      </c>
      <c r="E19" t="inlineStr">
        <is>
          <t>https://lpjk.pu.go.id/search-badan-usaha-detail/R0I2T1hoRFJiMGdjWXVJYi9nN0hndz09</t>
        </is>
      </c>
      <c r="F19" t="n">
        <v>4</v>
      </c>
      <c r="G19" t="inlineStr">
        <is>
          <t>BG006, BG009, BS001, BS004</t>
        </is>
      </c>
      <c r="H19" t="inlineStr">
        <is>
          <t>9 Juni 2023</t>
        </is>
      </c>
      <c r="I19" s="2" t="n">
        <v>46342</v>
      </c>
      <c r="J19" t="inlineStr">
        <is>
          <t>Pencabutan</t>
        </is>
      </c>
      <c r="K19" t="n">
        <v>60</v>
      </c>
      <c r="L19" t="inlineStr">
        <is>
          <t>16 November 2026</t>
        </is>
      </c>
      <c r="M19" t="inlineStr">
        <is>
          <t>Konstruksi Bangunan Sipil Jalan, Konstruksi Gedung Lainnya, Konstruksi Gedung Pendidikan, Konstruksi Jaringan Irigasi dan Drainase</t>
        </is>
      </c>
      <c r="N19" t="inlineStr">
        <is>
          <t>K</t>
        </is>
      </c>
      <c r="O19" t="inlineStr">
        <is>
          <t>20231116, 20231118</t>
        </is>
      </c>
      <c r="P19" t="inlineStr">
        <is>
          <t>Sumatera Utara</t>
        </is>
      </c>
      <c r="Q19" t="inlineStr"/>
    </row>
    <row r="20">
      <c r="A20" t="inlineStr">
        <is>
          <t>BAKTI KARYA UTAMA</t>
        </is>
      </c>
      <c r="B20" t="inlineStr">
        <is>
          <t>Kab. Madiun</t>
        </is>
      </c>
      <c r="C20" t="inlineStr">
        <is>
          <t>08123441777</t>
        </is>
      </c>
      <c r="D20" t="inlineStr">
        <is>
          <t>bakti.karyautama@gmail.com</t>
        </is>
      </c>
      <c r="E20" t="inlineStr">
        <is>
          <t>https://lpjk.pu.go.id/search-badan-usaha-detail/NGVqYjdKVjBIeUdnaWVETEhGV3ZpUT09</t>
        </is>
      </c>
      <c r="F20" t="n">
        <v>1</v>
      </c>
      <c r="G20" t="inlineStr">
        <is>
          <t>BS005</t>
        </is>
      </c>
      <c r="H20" t="inlineStr">
        <is>
          <t>13 November 2013</t>
        </is>
      </c>
      <c r="I20" s="2" t="n">
        <v>46342</v>
      </c>
      <c r="J20" t="inlineStr">
        <is>
          <t>Pencabutan</t>
        </is>
      </c>
      <c r="K20" t="n">
        <v>60</v>
      </c>
      <c r="L20" t="inlineStr">
        <is>
          <t>16 November 2026</t>
        </is>
      </c>
      <c r="M20" t="inlineStr">
        <is>
          <t>Konstruksi Bangunan Sipil Pengolahan Air Bersih</t>
        </is>
      </c>
      <c r="N20" t="inlineStr">
        <is>
          <t>K</t>
        </is>
      </c>
      <c r="O20" t="inlineStr">
        <is>
          <t>20231116</t>
        </is>
      </c>
      <c r="P20" t="inlineStr">
        <is>
          <t>Jawa Timur</t>
        </is>
      </c>
      <c r="Q20" t="inlineStr"/>
    </row>
    <row r="21">
      <c r="A21" t="inlineStr">
        <is>
          <t>BAKTI PARAMUDA</t>
        </is>
      </c>
      <c r="B21" t="inlineStr">
        <is>
          <t>Kota Jambi</t>
        </is>
      </c>
      <c r="C21" t="inlineStr">
        <is>
          <t>085348237606</t>
        </is>
      </c>
      <c r="D21" t="inlineStr">
        <is>
          <t>baktiparamudaconsultan@gmail.com</t>
        </is>
      </c>
      <c r="E21" t="inlineStr">
        <is>
          <t>https://lpjk.pu.go.id/search-badan-usaha-detail/dktVbHNLcFN6RktKMk10a2VzR3pUQT09</t>
        </is>
      </c>
      <c r="F21" t="n">
        <v>4</v>
      </c>
      <c r="G21" t="inlineStr">
        <is>
          <t>AR001, RK001, RK002, RK003</t>
        </is>
      </c>
      <c r="H21" t="inlineStr">
        <is>
          <t>7 September 2000</t>
        </is>
      </c>
      <c r="I21" s="2" t="n">
        <v>46342</v>
      </c>
      <c r="J21" t="inlineStr">
        <is>
          <t>Disetujui</t>
        </is>
      </c>
      <c r="K21" t="n">
        <v>60</v>
      </c>
      <c r="L21" t="inlineStr">
        <is>
          <t>16 November 2026</t>
        </is>
      </c>
      <c r="M21" t="inlineStr">
        <is>
          <t>Jasa Arsitektural Bangunan Gedung Hunian dan Non Hunian, Jasa Rekayasa Konstruksi Bangunan Gedung Hunian dan Non Hunian, Jasa Rekayasa Pekerjaan Teknik Sipil Sumber Daya Air, Jasa Rekayasa Pekerjaan Teknik Sipil Transportasi</t>
        </is>
      </c>
      <c r="N21" t="inlineStr">
        <is>
          <t>K</t>
        </is>
      </c>
      <c r="O21" t="inlineStr">
        <is>
          <t>20231114</t>
        </is>
      </c>
      <c r="P21" t="inlineStr">
        <is>
          <t>Jambi</t>
        </is>
      </c>
      <c r="Q21" t="inlineStr"/>
    </row>
    <row r="22">
      <c r="A22" t="inlineStr">
        <is>
          <t>BANDAR BARU</t>
        </is>
      </c>
      <c r="B22" t="inlineStr">
        <is>
          <t>Kota Serang</t>
        </is>
      </c>
      <c r="C22" t="inlineStr">
        <is>
          <t>-</t>
        </is>
      </c>
      <c r="D22" t="inlineStr">
        <is>
          <t>cv.bandarbaru@yahoo.com</t>
        </is>
      </c>
      <c r="E22" t="inlineStr">
        <is>
          <t>https://lpjk.pu.go.id/search-badan-usaha-detail/OGNRL2pnVmRwL2tkd2ZiSnhoc0h3QT09</t>
        </is>
      </c>
      <c r="F22" t="n">
        <v>2</v>
      </c>
      <c r="G22" t="inlineStr">
        <is>
          <t>BG009</t>
        </is>
      </c>
      <c r="H22" t="inlineStr">
        <is>
          <t>31 Januari 2015</t>
        </is>
      </c>
      <c r="I22" s="2" t="n">
        <v>46342</v>
      </c>
      <c r="J22" t="inlineStr">
        <is>
          <t>Pencabutan</t>
        </is>
      </c>
      <c r="K22" t="n">
        <v>60</v>
      </c>
      <c r="L22" t="inlineStr">
        <is>
          <t>16 November 2026</t>
        </is>
      </c>
      <c r="M22" t="inlineStr">
        <is>
          <t>Konstruksi Gedung Lainnya</t>
        </is>
      </c>
      <c r="N22" t="inlineStr">
        <is>
          <t>K</t>
        </is>
      </c>
      <c r="O22" t="inlineStr">
        <is>
          <t>20230707</t>
        </is>
      </c>
      <c r="P22" t="inlineStr">
        <is>
          <t>Banten</t>
        </is>
      </c>
      <c r="Q22" t="inlineStr"/>
    </row>
    <row r="23">
      <c r="A23" t="inlineStr">
        <is>
          <t>BANGUN SENTOSA JAYA</t>
        </is>
      </c>
      <c r="B23" t="inlineStr">
        <is>
          <t>Kab. Aceh Besar</t>
        </is>
      </c>
      <c r="C23" t="inlineStr">
        <is>
          <t>081263901792</t>
        </is>
      </c>
      <c r="D23" t="inlineStr">
        <is>
          <t>cvbangunsentosajaya@gmail.com</t>
        </is>
      </c>
      <c r="E23" t="inlineStr">
        <is>
          <t>https://lpjk.pu.go.id/search-badan-usaha-detail/Z0FCbmtBb1JZL2xQeEt1U21XbGJiUT09</t>
        </is>
      </c>
      <c r="F23" t="n">
        <v>6</v>
      </c>
      <c r="G23" t="inlineStr">
        <is>
          <t>BG001, BG002, BG006, BG009, BS001, BS004</t>
        </is>
      </c>
      <c r="H23" t="inlineStr">
        <is>
          <t>5 Oktober 2023</t>
        </is>
      </c>
      <c r="I23" s="2" t="n">
        <v>46342</v>
      </c>
      <c r="J23" t="inlineStr">
        <is>
          <t>Disetujui</t>
        </is>
      </c>
      <c r="K23" t="n">
        <v>60</v>
      </c>
      <c r="L23" t="inlineStr">
        <is>
          <t>16 November 2026</t>
        </is>
      </c>
      <c r="M23" t="inlineStr">
        <is>
          <t>Konstruksi Bangunan Sipil Jalan, Konstruksi Gedung Hunian, Konstruksi Gedung Lainnya, Konstruksi Gedung Pendidikan, Konstruksi Gedung Perkantoran, Konstruksi Jaringan Irigasi dan Drainase</t>
        </is>
      </c>
      <c r="N23" t="inlineStr">
        <is>
          <t>K</t>
        </is>
      </c>
      <c r="O23" t="inlineStr">
        <is>
          <t>20231113, 20231114</t>
        </is>
      </c>
      <c r="P23" t="inlineStr">
        <is>
          <t>Aceh</t>
        </is>
      </c>
      <c r="Q23" t="inlineStr"/>
    </row>
    <row r="24">
      <c r="A24" t="inlineStr">
        <is>
          <t>BAYU PRAKARSA PRIMA</t>
        </is>
      </c>
      <c r="B24" t="inlineStr">
        <is>
          <t>Kota Semarang</t>
        </is>
      </c>
      <c r="C24" t="inlineStr">
        <is>
          <t>02476451987</t>
        </is>
      </c>
      <c r="D24" t="inlineStr">
        <is>
          <t>bayuprakarsaprima@gmail.com</t>
        </is>
      </c>
      <c r="E24" t="inlineStr">
        <is>
          <t>https://lpjk.pu.go.id/search-badan-usaha-detail/b3ZJZ2xPV0kyNWRYT1FmbnRBaW80dz09</t>
        </is>
      </c>
      <c r="F24" t="n">
        <v>1</v>
      </c>
      <c r="G24" t="inlineStr">
        <is>
          <t>RK001</t>
        </is>
      </c>
      <c r="H24" t="inlineStr">
        <is>
          <t>2 Juni 2021</t>
        </is>
      </c>
      <c r="I24" s="2" t="n">
        <v>46342</v>
      </c>
      <c r="J24" t="inlineStr">
        <is>
          <t>Disetujui</t>
        </is>
      </c>
      <c r="K24" t="n">
        <v>60</v>
      </c>
      <c r="L24" t="inlineStr">
        <is>
          <t>16 November 2026</t>
        </is>
      </c>
      <c r="M24" t="inlineStr">
        <is>
          <t>Jasa Rekayasa Konstruksi Bangunan Gedung Hunian dan Non Hunian</t>
        </is>
      </c>
      <c r="N24" t="inlineStr">
        <is>
          <t>K</t>
        </is>
      </c>
      <c r="O24" t="inlineStr">
        <is>
          <t>20231110</t>
        </is>
      </c>
      <c r="P24" t="inlineStr">
        <is>
          <t>Jawa Tengah</t>
        </is>
      </c>
      <c r="Q24" t="inlineStr"/>
    </row>
    <row r="25">
      <c r="A25" t="inlineStr">
        <is>
          <t>BERKAH ABABIL</t>
        </is>
      </c>
      <c r="B25" t="inlineStr">
        <is>
          <t>Kab. Banyuwangi</t>
        </is>
      </c>
      <c r="C25" t="inlineStr">
        <is>
          <t>087802183785</t>
        </is>
      </c>
      <c r="D25" t="inlineStr">
        <is>
          <t>berkahababil.cv@gmail.com</t>
        </is>
      </c>
      <c r="E25" t="inlineStr">
        <is>
          <t>https://lpjk.pu.go.id/search-badan-usaha-detail/ZEkrRHRxQ1REUFZhU3l4SXRHTm9mUT09</t>
        </is>
      </c>
      <c r="F25" t="n">
        <v>4</v>
      </c>
      <c r="G25" t="inlineStr">
        <is>
          <t>BG006, BG009</t>
        </is>
      </c>
      <c r="H25" t="inlineStr">
        <is>
          <t>14 November 2019</t>
        </is>
      </c>
      <c r="I25" s="2" t="n">
        <v>46342</v>
      </c>
      <c r="J25" t="inlineStr">
        <is>
          <t>Disetujui</t>
        </is>
      </c>
      <c r="K25" t="n">
        <v>60</v>
      </c>
      <c r="L25" t="inlineStr">
        <is>
          <t>16 November 2026</t>
        </is>
      </c>
      <c r="M25" t="inlineStr">
        <is>
          <t>Konstruksi Gedung Lainnya, Konstruksi Gedung Pendidikan</t>
        </is>
      </c>
      <c r="N25" t="inlineStr">
        <is>
          <t>K</t>
        </is>
      </c>
      <c r="O25" t="inlineStr">
        <is>
          <t>20231117</t>
        </is>
      </c>
      <c r="P25" t="inlineStr">
        <is>
          <t>Jawa Timur</t>
        </is>
      </c>
      <c r="Q25" t="inlineStr"/>
    </row>
    <row r="26">
      <c r="A26" t="inlineStr">
        <is>
          <t>BERKAH ALAM BERKARYA</t>
        </is>
      </c>
      <c r="B26" t="inlineStr">
        <is>
          <t>Kab. Sragen</t>
        </is>
      </c>
      <c r="C26" t="inlineStr">
        <is>
          <t>08812651910</t>
        </is>
      </c>
      <c r="D26" t="inlineStr">
        <is>
          <t>berkahalamberkarya@gmail.com</t>
        </is>
      </c>
      <c r="E26" t="inlineStr">
        <is>
          <t>https://lpjk.pu.go.id/search-badan-usaha-detail/TGhwRFNMUHQvWU1wdkU1T3JteEdFdz09</t>
        </is>
      </c>
      <c r="F26" t="n">
        <v>6</v>
      </c>
      <c r="G26" t="inlineStr">
        <is>
          <t>BG002, BG005, BG006</t>
        </is>
      </c>
      <c r="H26" t="inlineStr">
        <is>
          <t>5 Oktober 2023</t>
        </is>
      </c>
      <c r="I26" s="2" t="n">
        <v>46342</v>
      </c>
      <c r="J26" t="inlineStr">
        <is>
          <t>Disetujui</t>
        </is>
      </c>
      <c r="K26" t="n">
        <v>60</v>
      </c>
      <c r="L26" t="inlineStr">
        <is>
          <t>16 November 2026</t>
        </is>
      </c>
      <c r="M26" t="inlineStr">
        <is>
          <t>Konstruksi Gedung Kesehatan, Konstruksi Gedung Pendidikan, Konstruksi Gedung Perkantoran</t>
        </is>
      </c>
      <c r="N26" t="inlineStr">
        <is>
          <t>K</t>
        </is>
      </c>
      <c r="O26" t="inlineStr">
        <is>
          <t>20231116</t>
        </is>
      </c>
      <c r="P26" t="inlineStr">
        <is>
          <t>Jawa Tengah</t>
        </is>
      </c>
      <c r="Q26" t="inlineStr"/>
    </row>
    <row r="27">
      <c r="A27" t="inlineStr">
        <is>
          <t>BERKO</t>
        </is>
      </c>
      <c r="B27" t="inlineStr">
        <is>
          <t>Kota Ambon</t>
        </is>
      </c>
      <c r="C27" t="inlineStr">
        <is>
          <t>081356102153</t>
        </is>
      </c>
      <c r="D27" t="inlineStr">
        <is>
          <t>berko_cv@yahoo.co.id</t>
        </is>
      </c>
      <c r="E27" t="inlineStr">
        <is>
          <t>https://lpjk.pu.go.id/search-badan-usaha-detail/VEFSdEFIWGhSM3A3ZDhsY2FFVmJDQT09</t>
        </is>
      </c>
      <c r="F27" t="n">
        <v>1</v>
      </c>
      <c r="G27" t="inlineStr">
        <is>
          <t>AR001</t>
        </is>
      </c>
      <c r="H27" t="inlineStr">
        <is>
          <t>14 September 2007</t>
        </is>
      </c>
      <c r="I27" s="2" t="n">
        <v>46342</v>
      </c>
      <c r="J27" t="inlineStr">
        <is>
          <t>Disetujui</t>
        </is>
      </c>
      <c r="K27" t="n">
        <v>60</v>
      </c>
      <c r="L27" t="inlineStr">
        <is>
          <t>16 November 2026</t>
        </is>
      </c>
      <c r="M27" t="inlineStr">
        <is>
          <t>Jasa Arsitektural Bangunan Gedung Hunian dan Non Hunian</t>
        </is>
      </c>
      <c r="N27" t="inlineStr">
        <is>
          <t>K</t>
        </is>
      </c>
      <c r="O27" t="inlineStr">
        <is>
          <t>20231030</t>
        </is>
      </c>
      <c r="P27" t="inlineStr">
        <is>
          <t>Maluku</t>
        </is>
      </c>
      <c r="Q27" t="inlineStr"/>
    </row>
    <row r="28">
      <c r="A28" t="inlineStr">
        <is>
          <t>BINA KARYA UTAMA MANDIRI</t>
        </is>
      </c>
      <c r="B28" t="inlineStr">
        <is>
          <t>Kab. Batu Bara</t>
        </is>
      </c>
      <c r="C28" t="inlineStr">
        <is>
          <t>082165300705</t>
        </is>
      </c>
      <c r="D28" t="inlineStr">
        <is>
          <t>pt.bkum@yahoo.com</t>
        </is>
      </c>
      <c r="E28" t="inlineStr">
        <is>
          <t>https://lpjk.pu.go.id/search-badan-usaha-detail/c3c5Zms1dk5qVEhtdVNpUVNpTGtOZz09</t>
        </is>
      </c>
      <c r="F28" t="n">
        <v>1</v>
      </c>
      <c r="G28" t="inlineStr">
        <is>
          <t>BS007</t>
        </is>
      </c>
      <c r="H28" t="inlineStr">
        <is>
          <t>2 Juni 2023</t>
        </is>
      </c>
      <c r="I28" s="2" t="n">
        <v>46342</v>
      </c>
      <c r="J28" t="inlineStr">
        <is>
          <t>Pencabutan</t>
        </is>
      </c>
      <c r="K28" t="n">
        <v>60</v>
      </c>
      <c r="L28" t="inlineStr">
        <is>
          <t>16 November 2026</t>
        </is>
      </c>
      <c r="M28" t="inlineStr">
        <is>
          <t>Konstruksi Bangunan Sipil Elektrikal</t>
        </is>
      </c>
      <c r="N28" t="inlineStr">
        <is>
          <t>K</t>
        </is>
      </c>
      <c r="O28" t="inlineStr">
        <is>
          <t>20231116</t>
        </is>
      </c>
      <c r="P28" t="inlineStr">
        <is>
          <t>Sumatera Utara</t>
        </is>
      </c>
      <c r="Q28" t="inlineStr"/>
    </row>
    <row r="29">
      <c r="A29" t="inlineStr">
        <is>
          <t>BUMI PUTRI SILAMPARI</t>
        </is>
      </c>
      <c r="B29" t="inlineStr">
        <is>
          <t>Kota Bandung</t>
        </is>
      </c>
      <c r="C29" t="inlineStr">
        <is>
          <t>081932688378</t>
        </is>
      </c>
      <c r="D29" t="inlineStr">
        <is>
          <t>silamparibumiputri@gmail.com</t>
        </is>
      </c>
      <c r="E29" t="inlineStr">
        <is>
          <t>https://lpjk.pu.go.id/search-badan-usaha-detail/L3p2aURjMkNWNEdubThpRm8vR09XZz09</t>
        </is>
      </c>
      <c r="F29" t="n">
        <v>1</v>
      </c>
      <c r="G29" t="inlineStr">
        <is>
          <t>BG004</t>
        </is>
      </c>
      <c r="H29" t="inlineStr">
        <is>
          <t>22 Agustus 1992</t>
        </is>
      </c>
      <c r="I29" s="2" t="n">
        <v>46342</v>
      </c>
      <c r="J29" t="inlineStr">
        <is>
          <t>Pencabutan</t>
        </is>
      </c>
      <c r="K29" t="n">
        <v>60</v>
      </c>
      <c r="L29" t="inlineStr">
        <is>
          <t>16 November 2026</t>
        </is>
      </c>
      <c r="M29" t="inlineStr">
        <is>
          <t>Konstruksi Gedung Perbelanjaan</t>
        </is>
      </c>
      <c r="N29" t="inlineStr">
        <is>
          <t>M</t>
        </is>
      </c>
      <c r="O29" t="inlineStr">
        <is>
          <t>20231116</t>
        </is>
      </c>
      <c r="P29" t="inlineStr">
        <is>
          <t>Jawa Barat</t>
        </is>
      </c>
      <c r="Q29" t="inlineStr"/>
    </row>
    <row r="30">
      <c r="A30" t="inlineStr">
        <is>
          <t>BUNGSU BERKARYA</t>
        </is>
      </c>
      <c r="B30" t="inlineStr">
        <is>
          <t>Kota Cimahi</t>
        </is>
      </c>
      <c r="C30" t="inlineStr">
        <is>
          <t>0882001387396</t>
        </is>
      </c>
      <c r="D30" t="inlineStr">
        <is>
          <t>berkaryabungsu@gmail.com</t>
        </is>
      </c>
      <c r="E30" t="inlineStr">
        <is>
          <t>https://lpjk.pu.go.id/search-badan-usaha-detail/Vm93ZFF4Z3o5SG5ob2pjVEhGYStSZz09</t>
        </is>
      </c>
      <c r="F30" t="n">
        <v>5</v>
      </c>
      <c r="G30" t="inlineStr">
        <is>
          <t>BG005, BG006, BG009, BS001, BS006</t>
        </is>
      </c>
      <c r="H30" t="inlineStr">
        <is>
          <t>27 Februari 2023</t>
        </is>
      </c>
      <c r="I30" s="2" t="n">
        <v>46342</v>
      </c>
      <c r="J30" t="inlineStr">
        <is>
          <t>Pencabutan</t>
        </is>
      </c>
      <c r="K30" t="n">
        <v>60</v>
      </c>
      <c r="L30" t="inlineStr">
        <is>
          <t>16 November 2026</t>
        </is>
      </c>
      <c r="M30" t="inlineStr">
        <is>
          <t>Konstruksi Bangunan Sipil Jalan, Konstruksi Bangunan Sipil Prasarana dan Sarana Sistem Pengolahan Limbah Padat, Cair, dan Gas, Konstruksi Gedung Kesehatan, Konstruksi Gedung Lainnya, Konstruksi Gedung Pendidikan</t>
        </is>
      </c>
      <c r="N30" t="inlineStr">
        <is>
          <t>K</t>
        </is>
      </c>
      <c r="O30" t="inlineStr">
        <is>
          <t>20231114</t>
        </is>
      </c>
      <c r="P30" t="inlineStr">
        <is>
          <t>Jawa Barat</t>
        </is>
      </c>
      <c r="Q30" t="inlineStr"/>
    </row>
    <row r="31">
      <c r="A31" t="inlineStr">
        <is>
          <t>CAHAYA UTAMA</t>
        </is>
      </c>
      <c r="B31" t="inlineStr">
        <is>
          <t>Kab. Sumbawa Barat</t>
        </is>
      </c>
      <c r="C31" t="inlineStr">
        <is>
          <t>085238525815</t>
        </is>
      </c>
      <c r="D31" t="inlineStr">
        <is>
          <t>cvcahayautama0208@gmail.com</t>
        </is>
      </c>
      <c r="E31" t="inlineStr">
        <is>
          <t>https://lpjk.pu.go.id/search-badan-usaha-detail/czZSZW0wS0p1azJRWDdxdHZFdDFrQT09</t>
        </is>
      </c>
      <c r="F31" t="n">
        <v>4</v>
      </c>
      <c r="G31" t="inlineStr">
        <is>
          <t>BG005, BG006, BG009, BS001</t>
        </is>
      </c>
      <c r="H31" t="inlineStr">
        <is>
          <t>28 Juni 2016</t>
        </is>
      </c>
      <c r="I31" s="2" t="n">
        <v>46342</v>
      </c>
      <c r="J31" t="inlineStr">
        <is>
          <t>Disetujui</t>
        </is>
      </c>
      <c r="K31" t="n">
        <v>60</v>
      </c>
      <c r="L31" t="inlineStr">
        <is>
          <t>16 November 2026</t>
        </is>
      </c>
      <c r="M31" t="inlineStr">
        <is>
          <t>Konstruksi Bangunan Sipil Jalan, Konstruksi Gedung Kesehatan, Konstruksi Gedung Lainnya, Konstruksi Gedung Pendidikan</t>
        </is>
      </c>
      <c r="N31" t="inlineStr">
        <is>
          <t>K</t>
        </is>
      </c>
      <c r="O31" t="inlineStr">
        <is>
          <t>20231116</t>
        </is>
      </c>
      <c r="P31" t="inlineStr">
        <is>
          <t>Nusa Tenggara Barat</t>
        </is>
      </c>
      <c r="Q31" t="inlineStr"/>
    </row>
    <row r="32">
      <c r="A32" t="inlineStr">
        <is>
          <t>CAKRAWALA</t>
        </is>
      </c>
      <c r="B32" t="inlineStr">
        <is>
          <t>Kab. Seram Bagian Timur</t>
        </is>
      </c>
      <c r="C32" t="inlineStr">
        <is>
          <t>082123600366</t>
        </is>
      </c>
      <c r="D32" t="inlineStr">
        <is>
          <t>yeremiaspatty@gmail.com</t>
        </is>
      </c>
      <c r="E32" t="inlineStr">
        <is>
          <t>https://lpjk.pu.go.id/search-badan-usaha-detail/NXIxajcyMnAvbkZ0bkxFUUJJb3QxQT09</t>
        </is>
      </c>
      <c r="F32" t="n">
        <v>1</v>
      </c>
      <c r="G32" t="inlineStr">
        <is>
          <t>BS010</t>
        </is>
      </c>
      <c r="H32" t="inlineStr">
        <is>
          <t>9 Januari 2006</t>
        </is>
      </c>
      <c r="I32" s="2" t="n">
        <v>46342</v>
      </c>
      <c r="J32" t="inlineStr">
        <is>
          <t>Disetujui</t>
        </is>
      </c>
      <c r="K32" t="n">
        <v>60</v>
      </c>
      <c r="L32" t="inlineStr">
        <is>
          <t>16 November 2026</t>
        </is>
      </c>
      <c r="M32" t="inlineStr">
        <is>
          <t>Konstruksi Bangunan Prasarana Sumber Daya Air</t>
        </is>
      </c>
      <c r="N32" t="inlineStr">
        <is>
          <t>K</t>
        </is>
      </c>
      <c r="O32" t="inlineStr">
        <is>
          <t>20231117</t>
        </is>
      </c>
      <c r="P32" t="inlineStr">
        <is>
          <t>Maluku</t>
        </is>
      </c>
      <c r="Q32" t="inlineStr"/>
    </row>
    <row r="33">
      <c r="A33" t="inlineStr">
        <is>
          <t>CAKRAWALA ENERGI NUSANTARA</t>
        </is>
      </c>
      <c r="B33" t="inlineStr">
        <is>
          <t>Kota Adm. Jakarta Selatan</t>
        </is>
      </c>
      <c r="C33" t="inlineStr">
        <is>
          <t>02129406371</t>
        </is>
      </c>
      <c r="D33" t="inlineStr">
        <is>
          <t>INFO@CENTRA.CO.ID</t>
        </is>
      </c>
      <c r="E33" t="inlineStr">
        <is>
          <t>https://lpjk.pu.go.id/search-badan-usaha-detail/bTNTMDA5ajNHTUF1ZlBMcVBhcytnQT09</t>
        </is>
      </c>
      <c r="F33" t="n">
        <v>1</v>
      </c>
      <c r="G33" t="inlineStr">
        <is>
          <t>BS001</t>
        </is>
      </c>
      <c r="H33" t="inlineStr">
        <is>
          <t>11 Maret 2011</t>
        </is>
      </c>
      <c r="I33" s="2" t="n">
        <v>46342</v>
      </c>
      <c r="J33" t="inlineStr">
        <is>
          <t>Pencabutan</t>
        </is>
      </c>
      <c r="K33" t="n">
        <v>60</v>
      </c>
      <c r="L33" t="inlineStr">
        <is>
          <t>16 November 2026</t>
        </is>
      </c>
      <c r="M33" t="inlineStr">
        <is>
          <t>Konstruksi Bangunan Sipil Jalan</t>
        </is>
      </c>
      <c r="N33" t="inlineStr">
        <is>
          <t>M</t>
        </is>
      </c>
      <c r="O33" t="inlineStr">
        <is>
          <t>20231103</t>
        </is>
      </c>
      <c r="P33" t="inlineStr">
        <is>
          <t>DKI Jakarta</t>
        </is>
      </c>
      <c r="Q33" t="inlineStr"/>
    </row>
    <row r="34">
      <c r="A34" t="inlineStr">
        <is>
          <t>CAMPAKA JAYA</t>
        </is>
      </c>
      <c r="B34" t="inlineStr">
        <is>
          <t>Kab. Purwakarta</t>
        </is>
      </c>
      <c r="C34" t="inlineStr">
        <is>
          <t>0264201110</t>
        </is>
      </c>
      <c r="D34" t="inlineStr">
        <is>
          <t>cempakajaya_cv@yahoo.co.id</t>
        </is>
      </c>
      <c r="E34" t="inlineStr">
        <is>
          <t>https://lpjk.pu.go.id/search-badan-usaha-detail/ZTYrWlozOUFsUDJ0bGkycFhRVEMrUT09</t>
        </is>
      </c>
      <c r="F34" t="n">
        <v>8</v>
      </c>
      <c r="G34" t="inlineStr">
        <is>
          <t>BG002, BG004, BG005, BG006, BG009, BS001, BS002, BS004</t>
        </is>
      </c>
      <c r="H34" t="inlineStr">
        <is>
          <t>5 November 1993</t>
        </is>
      </c>
      <c r="I34" s="2" t="n">
        <v>46342</v>
      </c>
      <c r="J34" t="inlineStr">
        <is>
          <t>Disetujui</t>
        </is>
      </c>
      <c r="K34" t="n">
        <v>60</v>
      </c>
      <c r="L34" t="inlineStr">
        <is>
          <t>16 November 2026</t>
        </is>
      </c>
      <c r="M34" t="inlineStr">
        <is>
          <t>Bangunan Sipil Jembatan, Jalan Layang, Fly Over, dan Underpass, Konstruksi Bangunan Sipil Jalan, Konstruksi Gedung Kesehatan, Konstruksi Gedung Lainnya, Konstruksi Gedung Pendidikan, Konstruksi Gedung Perbelanjaan, Konstruksi Gedung Perkantoran, Konstruksi Jaringan Irigasi dan Drainase</t>
        </is>
      </c>
      <c r="N34" t="inlineStr">
        <is>
          <t>K</t>
        </is>
      </c>
      <c r="O34" t="inlineStr">
        <is>
          <t>20231109, 20231110</t>
        </is>
      </c>
      <c r="P34" t="inlineStr">
        <is>
          <t>Jawa Barat</t>
        </is>
      </c>
      <c r="Q34" t="inlineStr"/>
    </row>
    <row r="35">
      <c r="A35" t="inlineStr">
        <is>
          <t>CIPTA SARANA JAYA ABADI</t>
        </is>
      </c>
      <c r="B35" t="inlineStr">
        <is>
          <t>Kab. Jepara</t>
        </is>
      </c>
      <c r="C35" t="inlineStr">
        <is>
          <t>081283780827</t>
        </is>
      </c>
      <c r="D35" t="inlineStr">
        <is>
          <t>ciptasaranajayaabadi7@gmail.com</t>
        </is>
      </c>
      <c r="E35" t="inlineStr">
        <is>
          <t>https://lpjk.pu.go.id/search-badan-usaha-detail/dzJoOXJzL01NQllDV2ovKzVYRkNCZz09</t>
        </is>
      </c>
      <c r="F35" t="n">
        <v>2</v>
      </c>
      <c r="G35" t="inlineStr">
        <is>
          <t>BS001</t>
        </is>
      </c>
      <c r="H35" t="inlineStr">
        <is>
          <t>8 Agustus 2023</t>
        </is>
      </c>
      <c r="I35" s="2" t="n">
        <v>46342</v>
      </c>
      <c r="J35" t="inlineStr">
        <is>
          <t>Disetujui</t>
        </is>
      </c>
      <c r="K35" t="n">
        <v>60</v>
      </c>
      <c r="L35" t="inlineStr">
        <is>
          <t>16 November 2026</t>
        </is>
      </c>
      <c r="M35" t="inlineStr">
        <is>
          <t>Konstruksi Bangunan Sipil Jalan</t>
        </is>
      </c>
      <c r="N35" t="inlineStr">
        <is>
          <t>K</t>
        </is>
      </c>
      <c r="O35" t="inlineStr">
        <is>
          <t>20231109</t>
        </is>
      </c>
      <c r="P35" t="inlineStr">
        <is>
          <t>Jawa Tengah</t>
        </is>
      </c>
      <c r="Q35" t="inlineStr"/>
    </row>
    <row r="36">
      <c r="A36" t="inlineStr">
        <is>
          <t>CITA SELARAS MANDIRI</t>
        </is>
      </c>
      <c r="B36" t="inlineStr">
        <is>
          <t>Kota Yogyakarta</t>
        </is>
      </c>
      <c r="C36" t="inlineStr">
        <is>
          <t>085100336016</t>
        </is>
      </c>
      <c r="D36" t="inlineStr">
        <is>
          <t>selaras.cita@yahoo.co.id</t>
        </is>
      </c>
      <c r="E36" t="inlineStr">
        <is>
          <t>https://lpjk.pu.go.id/search-badan-usaha-detail/cXRyUDN4d2dKWmdJNTI0cUc1S2xXQT09</t>
        </is>
      </c>
      <c r="F36" t="n">
        <v>1</v>
      </c>
      <c r="G36" t="inlineStr">
        <is>
          <t>BG009</t>
        </is>
      </c>
      <c r="H36" t="inlineStr">
        <is>
          <t>8 Maret 2002</t>
        </is>
      </c>
      <c r="I36" s="2" t="n">
        <v>46342</v>
      </c>
      <c r="J36" t="inlineStr">
        <is>
          <t>Disetujui</t>
        </is>
      </c>
      <c r="K36" t="n">
        <v>60</v>
      </c>
      <c r="L36" t="inlineStr">
        <is>
          <t>16 November 2026</t>
        </is>
      </c>
      <c r="M36" t="inlineStr">
        <is>
          <t>Konstruksi Gedung Lainnya</t>
        </is>
      </c>
      <c r="N36" t="inlineStr">
        <is>
          <t>K</t>
        </is>
      </c>
      <c r="O36" t="inlineStr">
        <is>
          <t>20231116</t>
        </is>
      </c>
      <c r="P36" t="inlineStr">
        <is>
          <t>DI Yogyakarta</t>
        </is>
      </c>
      <c r="Q36" t="inlineStr"/>
    </row>
    <row r="37">
      <c r="A37" t="inlineStr">
        <is>
          <t>CITRA JAYA PERSADA</t>
        </is>
      </c>
      <c r="B37" t="inlineStr">
        <is>
          <t>Kab. Bandung Barat</t>
        </is>
      </c>
      <c r="C37" t="inlineStr">
        <is>
          <t>082117933916</t>
        </is>
      </c>
      <c r="D37" t="inlineStr">
        <is>
          <t>citrajp62@gmail.com</t>
        </is>
      </c>
      <c r="E37" t="inlineStr">
        <is>
          <t>https://lpjk.pu.go.id/search-badan-usaha-detail/blVwWDZYMzFPQ2dzNkZXS2MwZENiZz09</t>
        </is>
      </c>
      <c r="F37" t="n">
        <v>1</v>
      </c>
      <c r="G37" t="inlineStr">
        <is>
          <t>BG006</t>
        </is>
      </c>
      <c r="H37" t="inlineStr">
        <is>
          <t>25 Januari 2002</t>
        </is>
      </c>
      <c r="I37" s="2" t="n">
        <v>46342</v>
      </c>
      <c r="J37" t="inlineStr">
        <is>
          <t>Disetujui</t>
        </is>
      </c>
      <c r="K37" t="n">
        <v>60</v>
      </c>
      <c r="L37" t="inlineStr">
        <is>
          <t>16 November 2026</t>
        </is>
      </c>
      <c r="M37" t="inlineStr">
        <is>
          <t>Konstruksi Gedung Pendidikan</t>
        </is>
      </c>
      <c r="N37" t="inlineStr">
        <is>
          <t>K</t>
        </is>
      </c>
      <c r="O37" t="inlineStr">
        <is>
          <t>20231116</t>
        </is>
      </c>
      <c r="P37" t="inlineStr">
        <is>
          <t>Jawa Barat</t>
        </is>
      </c>
      <c r="Q37" t="inlineStr"/>
    </row>
    <row r="38">
      <c r="A38" t="inlineStr">
        <is>
          <t>DUA GARIS BIRU</t>
        </is>
      </c>
      <c r="B38" t="inlineStr">
        <is>
          <t>Kab. Indramayu</t>
        </is>
      </c>
      <c r="C38" t="inlineStr">
        <is>
          <t>0818238007</t>
        </is>
      </c>
      <c r="D38" t="inlineStr">
        <is>
          <t>duagarisbiru14@gmail.com</t>
        </is>
      </c>
      <c r="E38" t="inlineStr">
        <is>
          <t>https://lpjk.pu.go.id/search-badan-usaha-detail/RnpRV2tDYVhBUThqblFIdHJaTnV3dz09</t>
        </is>
      </c>
      <c r="F38" t="n">
        <v>1</v>
      </c>
      <c r="G38" t="inlineStr">
        <is>
          <t>BS010</t>
        </is>
      </c>
      <c r="H38" t="inlineStr">
        <is>
          <t>6 Maret 2023</t>
        </is>
      </c>
      <c r="I38" s="2" t="n">
        <v>46342</v>
      </c>
      <c r="J38" t="inlineStr">
        <is>
          <t>Disetujui</t>
        </is>
      </c>
      <c r="K38" t="n">
        <v>60</v>
      </c>
      <c r="L38" t="inlineStr">
        <is>
          <t>16 November 2026</t>
        </is>
      </c>
      <c r="M38" t="inlineStr">
        <is>
          <t>Konstruksi Bangunan Prasarana Sumber Daya Air</t>
        </is>
      </c>
      <c r="N38" t="inlineStr">
        <is>
          <t>K</t>
        </is>
      </c>
      <c r="O38" t="inlineStr">
        <is>
          <t>20231113</t>
        </is>
      </c>
      <c r="P38" t="inlineStr">
        <is>
          <t>Jawa Barat</t>
        </is>
      </c>
      <c r="Q38" t="inlineStr"/>
    </row>
    <row r="39">
      <c r="A39" t="inlineStr">
        <is>
          <t>DUA NUSA JAYA</t>
        </is>
      </c>
      <c r="B39" t="inlineStr">
        <is>
          <t>Kab. Batu Bara</t>
        </is>
      </c>
      <c r="C39" t="inlineStr">
        <is>
          <t>082170290812</t>
        </is>
      </c>
      <c r="D39" t="inlineStr">
        <is>
          <t>duanusajayalbs@gmail.com</t>
        </is>
      </c>
      <c r="E39" t="inlineStr">
        <is>
          <t>https://lpjk.pu.go.id/search-badan-usaha-detail/M1JxaGY4VW5yMldVT3hmdE42a0dVQT09</t>
        </is>
      </c>
      <c r="F39" t="n">
        <v>1</v>
      </c>
      <c r="G39" t="inlineStr">
        <is>
          <t>BG003</t>
        </is>
      </c>
      <c r="H39" t="inlineStr">
        <is>
          <t>14 Maret 2012</t>
        </is>
      </c>
      <c r="I39" s="2" t="n">
        <v>46342</v>
      </c>
      <c r="J39" t="inlineStr">
        <is>
          <t>Disetujui</t>
        </is>
      </c>
      <c r="K39" t="n">
        <v>60</v>
      </c>
      <c r="L39" t="inlineStr">
        <is>
          <t>16 November 2026</t>
        </is>
      </c>
      <c r="M39" t="inlineStr">
        <is>
          <t>Konstruksi Gedung Industri</t>
        </is>
      </c>
      <c r="N39" t="inlineStr">
        <is>
          <t>K</t>
        </is>
      </c>
      <c r="O39" t="inlineStr">
        <is>
          <t>20231109</t>
        </is>
      </c>
      <c r="P39" t="inlineStr">
        <is>
          <t>Sumatera Utara</t>
        </is>
      </c>
      <c r="Q39" t="inlineStr"/>
    </row>
    <row r="40">
      <c r="A40" t="inlineStr">
        <is>
          <t>DUA PUTRI</t>
        </is>
      </c>
      <c r="B40" t="inlineStr">
        <is>
          <t>Kab. Tuban</t>
        </is>
      </c>
      <c r="C40" t="inlineStr">
        <is>
          <t>085330748512</t>
        </is>
      </c>
      <c r="D40" t="inlineStr">
        <is>
          <t>cvdua.p@yahoo.com</t>
        </is>
      </c>
      <c r="E40" t="inlineStr">
        <is>
          <t>https://lpjk.pu.go.id/search-badan-usaha-detail/enNnUG52SitQNDFaU29heDBuMldXZz09</t>
        </is>
      </c>
      <c r="F40" t="n">
        <v>2</v>
      </c>
      <c r="G40" t="inlineStr">
        <is>
          <t>BS001, BS004</t>
        </is>
      </c>
      <c r="H40" t="inlineStr">
        <is>
          <t>13 Juli 2017</t>
        </is>
      </c>
      <c r="I40" s="2" t="n">
        <v>46342</v>
      </c>
      <c r="J40" t="inlineStr">
        <is>
          <t>Disetujui</t>
        </is>
      </c>
      <c r="K40" t="n">
        <v>60</v>
      </c>
      <c r="L40" t="inlineStr">
        <is>
          <t>16 November 2026</t>
        </is>
      </c>
      <c r="M40" t="inlineStr">
        <is>
          <t>Konstruksi Bangunan Sipil Jalan, Konstruksi Jaringan Irigasi dan Drainase</t>
        </is>
      </c>
      <c r="N40" t="inlineStr">
        <is>
          <t>K</t>
        </is>
      </c>
      <c r="O40" t="inlineStr">
        <is>
          <t>20231116</t>
        </is>
      </c>
      <c r="P40" t="inlineStr">
        <is>
          <t>Jawa Timur</t>
        </is>
      </c>
      <c r="Q40" t="inlineStr"/>
    </row>
    <row r="41">
      <c r="A41" t="inlineStr">
        <is>
          <t>DUA SEKAWAN</t>
        </is>
      </c>
      <c r="B41" t="inlineStr">
        <is>
          <t>Kota Kupang</t>
        </is>
      </c>
      <c r="C41" t="inlineStr">
        <is>
          <t>081261257828</t>
        </is>
      </c>
      <c r="D41" t="inlineStr">
        <is>
          <t>twosekawan@yahoo.com</t>
        </is>
      </c>
      <c r="E41" t="inlineStr">
        <is>
          <t>https://lpjk.pu.go.id/search-badan-usaha-detail/U1JLSE1BTlBCTS85R2I3NEZXemJ5dz09</t>
        </is>
      </c>
      <c r="F41" t="n">
        <v>1</v>
      </c>
      <c r="G41" t="inlineStr">
        <is>
          <t>IN001</t>
        </is>
      </c>
      <c r="H41" t="inlineStr">
        <is>
          <t>23 Maret 2004</t>
        </is>
      </c>
      <c r="I41" s="2" t="n">
        <v>46342</v>
      </c>
      <c r="J41" t="inlineStr">
        <is>
          <t>Pembekuan</t>
        </is>
      </c>
      <c r="K41" t="n">
        <v>60</v>
      </c>
      <c r="L41" t="inlineStr">
        <is>
          <t>16 November 2026</t>
        </is>
      </c>
      <c r="M41" t="inlineStr">
        <is>
          <t>Instalasi Mekanikal</t>
        </is>
      </c>
      <c r="N41" t="inlineStr">
        <is>
          <t>Spesialis</t>
        </is>
      </c>
      <c r="O41" t="inlineStr">
        <is>
          <t>20231026</t>
        </is>
      </c>
      <c r="P41" t="inlineStr">
        <is>
          <t>Nusa Tenggara Timur</t>
        </is>
      </c>
      <c r="Q41" t="inlineStr"/>
    </row>
    <row r="42">
      <c r="A42" t="inlineStr">
        <is>
          <t>DUTA AYU NUGRAHA</t>
        </is>
      </c>
      <c r="B42" t="inlineStr">
        <is>
          <t>Kota Medan</t>
        </is>
      </c>
      <c r="C42" t="inlineStr">
        <is>
          <t>081269713399</t>
        </is>
      </c>
      <c r="D42" t="inlineStr">
        <is>
          <t>dutaayunugraha.pt@gmail.com</t>
        </is>
      </c>
      <c r="E42" t="inlineStr">
        <is>
          <t>https://lpjk.pu.go.id/search-badan-usaha-detail/dWpQOEtMa3I2U3pTV3VJd3VhVUlvdz09</t>
        </is>
      </c>
      <c r="F42" t="n">
        <v>1</v>
      </c>
      <c r="G42" t="inlineStr">
        <is>
          <t>IN004</t>
        </is>
      </c>
      <c r="H42" t="inlineStr">
        <is>
          <t>30 Januari 2019</t>
        </is>
      </c>
      <c r="I42" s="2" t="n">
        <v>46342</v>
      </c>
      <c r="J42" t="inlineStr">
        <is>
          <t>Pembekuan</t>
        </is>
      </c>
      <c r="K42" t="n">
        <v>60</v>
      </c>
      <c r="L42" t="inlineStr">
        <is>
          <t>16 November 2026</t>
        </is>
      </c>
      <c r="M42" t="inlineStr">
        <is>
          <t>Instalasi Minyak dan Gas</t>
        </is>
      </c>
      <c r="N42" t="inlineStr">
        <is>
          <t>Spesialis</t>
        </is>
      </c>
      <c r="O42" t="inlineStr">
        <is>
          <t>20231109</t>
        </is>
      </c>
      <c r="P42" t="inlineStr">
        <is>
          <t>Sumatera Utara</t>
        </is>
      </c>
      <c r="Q42" t="inlineStr"/>
    </row>
    <row r="43">
      <c r="A43" t="inlineStr">
        <is>
          <t>DUTA RAMA</t>
        </is>
      </c>
      <c r="B43" t="inlineStr">
        <is>
          <t>Kota Surabaya</t>
        </is>
      </c>
      <c r="C43" t="inlineStr">
        <is>
          <t>0313980004</t>
        </is>
      </c>
      <c r="D43" t="inlineStr">
        <is>
          <t>dutaramapt@gmail.com</t>
        </is>
      </c>
      <c r="E43" t="inlineStr">
        <is>
          <t>https://lpjk.pu.go.id/search-badan-usaha-detail/MUJFRkVKeEpBTjB0UTlvdXBkaUpLUT09</t>
        </is>
      </c>
      <c r="F43" t="n">
        <v>1</v>
      </c>
      <c r="G43" t="inlineStr">
        <is>
          <t>BS005
(Proses Sanksi)</t>
        </is>
      </c>
      <c r="H43" t="inlineStr">
        <is>
          <t>16 Januari 2004</t>
        </is>
      </c>
      <c r="I43" s="2" t="n">
        <v>46342</v>
      </c>
      <c r="J43" t="inlineStr">
        <is>
          <t>Disetujui</t>
        </is>
      </c>
      <c r="K43" t="n">
        <v>60</v>
      </c>
      <c r="L43" t="inlineStr">
        <is>
          <t>16 November 2026</t>
        </is>
      </c>
      <c r="M43" t="inlineStr">
        <is>
          <t>Konstruksi Bangunan Sipil Pengolahan Air Bersih</t>
        </is>
      </c>
      <c r="N43" t="inlineStr">
        <is>
          <t>B</t>
        </is>
      </c>
      <c r="O43" t="inlineStr">
        <is>
          <t>20231106</t>
        </is>
      </c>
      <c r="P43" t="inlineStr">
        <is>
          <t>Jawa Timur</t>
        </is>
      </c>
      <c r="Q43" t="inlineStr"/>
    </row>
    <row r="44">
      <c r="A44" t="inlineStr">
        <is>
          <t>DUTASATRYA ADHIPERSADA</t>
        </is>
      </c>
      <c r="B44" t="inlineStr">
        <is>
          <t>Kota Banjarmasin</t>
        </is>
      </c>
      <c r="C44" t="inlineStr">
        <is>
          <t>081266831582</t>
        </is>
      </c>
      <c r="D44" t="inlineStr">
        <is>
          <t>dutasatrya_adhipersada@yahoo.com</t>
        </is>
      </c>
      <c r="E44" t="inlineStr">
        <is>
          <t>https://lpjk.pu.go.id/search-badan-usaha-detail/MVZJTFE4d2lmTDRnNGJ5aHVCLzNwUT09</t>
        </is>
      </c>
      <c r="F44" t="n">
        <v>1</v>
      </c>
      <c r="G44" t="inlineStr">
        <is>
          <t>BS001</t>
        </is>
      </c>
      <c r="H44" t="inlineStr">
        <is>
          <t>25 Oktober 1991</t>
        </is>
      </c>
      <c r="I44" s="2" t="n">
        <v>46342</v>
      </c>
      <c r="J44" t="inlineStr">
        <is>
          <t>Pencabutan</t>
        </is>
      </c>
      <c r="K44" t="n">
        <v>60</v>
      </c>
      <c r="L44" t="inlineStr">
        <is>
          <t>16 November 2026</t>
        </is>
      </c>
      <c r="M44" t="inlineStr">
        <is>
          <t>Konstruksi Bangunan Sipil Jalan</t>
        </is>
      </c>
      <c r="N44" t="inlineStr">
        <is>
          <t>B</t>
        </is>
      </c>
      <c r="O44" t="inlineStr">
        <is>
          <t>20231018</t>
        </is>
      </c>
      <c r="P44" t="inlineStr">
        <is>
          <t>Kalimantan Selatan</t>
        </is>
      </c>
      <c r="Q44" t="inlineStr"/>
    </row>
    <row r="45">
      <c r="A45" t="inlineStr">
        <is>
          <t>EDI RANTI JAYA</t>
        </is>
      </c>
      <c r="B45" t="inlineStr">
        <is>
          <t>Kota Semarang</t>
        </is>
      </c>
      <c r="C45" t="inlineStr">
        <is>
          <t>085740797734</t>
        </is>
      </c>
      <c r="D45" t="inlineStr">
        <is>
          <t>ediranti18@gmail.com</t>
        </is>
      </c>
      <c r="E45" t="inlineStr">
        <is>
          <t>https://lpjk.pu.go.id/search-badan-usaha-detail/UEh3RWhqanVsZjl1c3ZhKzBzSnMxQT09</t>
        </is>
      </c>
      <c r="F45" t="n">
        <v>1</v>
      </c>
      <c r="G45" t="inlineStr">
        <is>
          <t>BS004</t>
        </is>
      </c>
      <c r="H45" t="inlineStr">
        <is>
          <t>4 Januari 2017</t>
        </is>
      </c>
      <c r="I45" s="2" t="n">
        <v>46342</v>
      </c>
      <c r="J45" t="inlineStr">
        <is>
          <t>Disetujui</t>
        </is>
      </c>
      <c r="K45" t="n">
        <v>60</v>
      </c>
      <c r="L45" t="inlineStr">
        <is>
          <t>16 November 2026</t>
        </is>
      </c>
      <c r="M45" t="inlineStr">
        <is>
          <t>Konstruksi Jaringan Irigasi dan Drainase</t>
        </is>
      </c>
      <c r="N45" t="inlineStr">
        <is>
          <t>K</t>
        </is>
      </c>
      <c r="O45" t="inlineStr">
        <is>
          <t>20231114</t>
        </is>
      </c>
      <c r="P45" t="inlineStr">
        <is>
          <t>Jawa Tengah</t>
        </is>
      </c>
      <c r="Q45" t="inlineStr"/>
    </row>
    <row r="46">
      <c r="A46" t="inlineStr">
        <is>
          <t>FAMILY JOINT</t>
        </is>
      </c>
      <c r="B46" t="inlineStr">
        <is>
          <t>Kab. Deli Serdang</t>
        </is>
      </c>
      <c r="C46" t="inlineStr">
        <is>
          <t>0</t>
        </is>
      </c>
      <c r="D46" t="inlineStr">
        <is>
          <t>cvfamily2020@gmail.com</t>
        </is>
      </c>
      <c r="E46" t="inlineStr">
        <is>
          <t>https://lpjk.pu.go.id/search-badan-usaha-detail/Kzc3a3hteHhIMUFtekZxZ2dBODJ0QT09</t>
        </is>
      </c>
      <c r="F46" t="n">
        <v>2</v>
      </c>
      <c r="G46" t="inlineStr">
        <is>
          <t>BS001, BS004</t>
        </is>
      </c>
      <c r="H46" t="inlineStr">
        <is>
          <t>27 Januari 2021</t>
        </is>
      </c>
      <c r="I46" s="2" t="n">
        <v>46342</v>
      </c>
      <c r="J46" t="inlineStr">
        <is>
          <t>Disetujui</t>
        </is>
      </c>
      <c r="K46" t="n">
        <v>60</v>
      </c>
      <c r="L46" t="inlineStr">
        <is>
          <t>16 November 2026</t>
        </is>
      </c>
      <c r="M46" t="inlineStr">
        <is>
          <t>Konstruksi Bangunan Sipil Jalan, Konstruksi Jaringan Irigasi dan Drainase</t>
        </is>
      </c>
      <c r="N46" t="inlineStr">
        <is>
          <t>K</t>
        </is>
      </c>
      <c r="O46" t="inlineStr">
        <is>
          <t>20231103</t>
        </is>
      </c>
      <c r="P46" t="inlineStr">
        <is>
          <t>Sumatera Utara</t>
        </is>
      </c>
      <c r="Q46" t="inlineStr"/>
    </row>
    <row r="47">
      <c r="A47" t="inlineStr">
        <is>
          <t>FAUZAN PUTRA PERDANA</t>
        </is>
      </c>
      <c r="B47" t="inlineStr">
        <is>
          <t>Kab. Madiun</t>
        </is>
      </c>
      <c r="C47" t="inlineStr">
        <is>
          <t>081252025729</t>
        </is>
      </c>
      <c r="D47" t="inlineStr">
        <is>
          <t>cvfauzanpp@gmail.com</t>
        </is>
      </c>
      <c r="E47" t="inlineStr">
        <is>
          <t>https://lpjk.pu.go.id/search-badan-usaha-detail/TFV3VzJuZGhGSjI2QkZ3ajdjRG5HZz09</t>
        </is>
      </c>
      <c r="F47" t="n">
        <v>2</v>
      </c>
      <c r="G47" t="inlineStr">
        <is>
          <t>BS001</t>
        </is>
      </c>
      <c r="H47" t="inlineStr">
        <is>
          <t>23 Januari 2020</t>
        </is>
      </c>
      <c r="I47" s="2" t="n">
        <v>46342</v>
      </c>
      <c r="J47" t="inlineStr">
        <is>
          <t>Disetujui</t>
        </is>
      </c>
      <c r="K47" t="n">
        <v>60</v>
      </c>
      <c r="L47" t="inlineStr">
        <is>
          <t>16 November 2026</t>
        </is>
      </c>
      <c r="M47" t="inlineStr">
        <is>
          <t>Konstruksi Bangunan Sipil Jalan</t>
        </is>
      </c>
      <c r="N47" t="inlineStr">
        <is>
          <t>K</t>
        </is>
      </c>
      <c r="O47" t="inlineStr">
        <is>
          <t>20230911</t>
        </is>
      </c>
      <c r="P47" t="inlineStr">
        <is>
          <t>Jawa Timur</t>
        </is>
      </c>
      <c r="Q47" t="inlineStr"/>
    </row>
    <row r="48">
      <c r="A48" t="inlineStr">
        <is>
          <t>FORTUNA SEJAHTERA</t>
        </is>
      </c>
      <c r="B48" t="inlineStr">
        <is>
          <t>Kota Pontianak</t>
        </is>
      </c>
      <c r="C48" t="inlineStr">
        <is>
          <t>-</t>
        </is>
      </c>
      <c r="D48" t="inlineStr">
        <is>
          <t>fortunasejahtera2019@gmail.com</t>
        </is>
      </c>
      <c r="E48" t="inlineStr">
        <is>
          <t>https://lpjk.pu.go.id/search-badan-usaha-detail/MFQ3emZ6NTJNRlpMYWF3aGk0dUZJQT09</t>
        </is>
      </c>
      <c r="F48" t="n">
        <v>1</v>
      </c>
      <c r="G48" t="inlineStr">
        <is>
          <t>BS001</t>
        </is>
      </c>
      <c r="H48" t="inlineStr">
        <is>
          <t>20 Mei 2015</t>
        </is>
      </c>
      <c r="I48" s="2" t="n">
        <v>46342</v>
      </c>
      <c r="J48" t="inlineStr">
        <is>
          <t>Disetujui</t>
        </is>
      </c>
      <c r="K48" t="n">
        <v>60</v>
      </c>
      <c r="L48" t="inlineStr">
        <is>
          <t>16 November 2026</t>
        </is>
      </c>
      <c r="M48" t="inlineStr">
        <is>
          <t>Konstruksi Bangunan Sipil Jalan</t>
        </is>
      </c>
      <c r="N48" t="inlineStr">
        <is>
          <t>K</t>
        </is>
      </c>
      <c r="O48" t="inlineStr">
        <is>
          <t>20231116</t>
        </is>
      </c>
      <c r="P48" t="inlineStr">
        <is>
          <t>Kalimantan Barat</t>
        </is>
      </c>
      <c r="Q48" t="inlineStr"/>
    </row>
    <row r="49">
      <c r="A49" t="inlineStr">
        <is>
          <t>GAJAH BERSAUDARA</t>
        </is>
      </c>
      <c r="B49" t="inlineStr">
        <is>
          <t>Kab. Banyuwangi</t>
        </is>
      </c>
      <c r="C49" t="inlineStr">
        <is>
          <t>081913914998</t>
        </is>
      </c>
      <c r="D49" t="inlineStr">
        <is>
          <t>gajahbersama@gmail.com</t>
        </is>
      </c>
      <c r="E49" t="inlineStr">
        <is>
          <t>https://lpjk.pu.go.id/search-badan-usaha-detail/NXN4TUVrSEpHQUxvMlM2M1dWVlVqUT09</t>
        </is>
      </c>
      <c r="F49" t="n">
        <v>1</v>
      </c>
      <c r="G49" t="inlineStr">
        <is>
          <t>BS004</t>
        </is>
      </c>
      <c r="H49" t="inlineStr">
        <is>
          <t>4 Februari 2012</t>
        </is>
      </c>
      <c r="I49" s="2" t="n">
        <v>46342</v>
      </c>
      <c r="J49" t="inlineStr">
        <is>
          <t>Disetujui</t>
        </is>
      </c>
      <c r="K49" t="n">
        <v>60</v>
      </c>
      <c r="L49" t="inlineStr">
        <is>
          <t>16 November 2026</t>
        </is>
      </c>
      <c r="M49" t="inlineStr">
        <is>
          <t>Konstruksi Jaringan Irigasi dan Drainase</t>
        </is>
      </c>
      <c r="N49" t="inlineStr">
        <is>
          <t>K</t>
        </is>
      </c>
      <c r="O49" t="inlineStr">
        <is>
          <t>20231113</t>
        </is>
      </c>
      <c r="P49" t="inlineStr">
        <is>
          <t>Jawa Timur</t>
        </is>
      </c>
      <c r="Q49" t="inlineStr"/>
    </row>
    <row r="50">
      <c r="A50" t="inlineStr">
        <is>
          <t>GANESHA BINA UTAMA</t>
        </is>
      </c>
      <c r="B50" t="inlineStr">
        <is>
          <t>Kota Surabaya</t>
        </is>
      </c>
      <c r="C50" t="inlineStr">
        <is>
          <t>081803123169</t>
        </is>
      </c>
      <c r="D50" t="inlineStr">
        <is>
          <t>cv.ganeshabinautama@yahoo.com</t>
        </is>
      </c>
      <c r="E50" t="inlineStr">
        <is>
          <t>https://lpjk.pu.go.id/search-badan-usaha-detail/bDZEUXovUlR3N0gyaXNkU2FaTXFhQT09</t>
        </is>
      </c>
      <c r="F50" t="n">
        <v>6</v>
      </c>
      <c r="G50" t="inlineStr">
        <is>
          <t>BG005, BG006, BG009</t>
        </is>
      </c>
      <c r="H50" t="inlineStr">
        <is>
          <t>9 Januari 2015</t>
        </is>
      </c>
      <c r="I50" s="2" t="n">
        <v>46342</v>
      </c>
      <c r="J50" t="inlineStr">
        <is>
          <t>Disetujui</t>
        </is>
      </c>
      <c r="K50" t="n">
        <v>60</v>
      </c>
      <c r="L50" t="inlineStr">
        <is>
          <t>16 November 2026</t>
        </is>
      </c>
      <c r="M50" t="inlineStr">
        <is>
          <t>Konstruksi Gedung Kesehatan, Konstruksi Gedung Lainnya, Konstruksi Gedung Pendidikan</t>
        </is>
      </c>
      <c r="N50" t="inlineStr">
        <is>
          <t>K</t>
        </is>
      </c>
      <c r="O50" t="inlineStr">
        <is>
          <t>20231116</t>
        </is>
      </c>
      <c r="P50" t="inlineStr">
        <is>
          <t>Jawa Timur</t>
        </is>
      </c>
      <c r="Q50" t="inlineStr"/>
    </row>
    <row r="51">
      <c r="A51" t="inlineStr">
        <is>
          <t>GUNADHARMA MULTI INVESTAMA</t>
        </is>
      </c>
      <c r="B51" t="inlineStr">
        <is>
          <t>Kota Adm. Jakarta Selatan</t>
        </is>
      </c>
      <c r="C51" t="inlineStr">
        <is>
          <t>0217982227</t>
        </is>
      </c>
      <c r="D51" t="inlineStr">
        <is>
          <t>contact@gminetwork.co.id</t>
        </is>
      </c>
      <c r="E51" t="inlineStr">
        <is>
          <t>https://lpjk.pu.go.id/search-badan-usaha-detail/RFkyV0J2REFzQkJHNnJQVVo2ZUJWUT09</t>
        </is>
      </c>
      <c r="F51" t="n">
        <v>1</v>
      </c>
      <c r="G51" t="inlineStr">
        <is>
          <t>BS009</t>
        </is>
      </c>
      <c r="H51" t="inlineStr">
        <is>
          <t>20 April 2004</t>
        </is>
      </c>
      <c r="I51" s="2" t="n">
        <v>46342</v>
      </c>
      <c r="J51" t="inlineStr">
        <is>
          <t>Disetujui</t>
        </is>
      </c>
      <c r="K51" t="n">
        <v>60</v>
      </c>
      <c r="L51" t="inlineStr">
        <is>
          <t>16 November 2026</t>
        </is>
      </c>
      <c r="M51" t="inlineStr">
        <is>
          <t>Konstruksi Sentral Telekomunikasi</t>
        </is>
      </c>
      <c r="N51" t="inlineStr">
        <is>
          <t>M</t>
        </is>
      </c>
      <c r="O51" t="inlineStr">
        <is>
          <t>20231109</t>
        </is>
      </c>
      <c r="P51" t="inlineStr">
        <is>
          <t>DKI Jakarta</t>
        </is>
      </c>
      <c r="Q51" t="inlineStr"/>
    </row>
    <row r="52">
      <c r="A52" t="inlineStr">
        <is>
          <t>HALIMAH BERKAH AMANAH</t>
        </is>
      </c>
      <c r="B52" t="inlineStr">
        <is>
          <t>Kota Pekanbaru</t>
        </is>
      </c>
      <c r="C52" t="inlineStr">
        <is>
          <t>085271244838</t>
        </is>
      </c>
      <c r="D52" t="inlineStr">
        <is>
          <t>halimahba23@gmail.com</t>
        </is>
      </c>
      <c r="E52" t="inlineStr">
        <is>
          <t>https://lpjk.pu.go.id/search-badan-usaha-detail/WW0yN3VRRVFhWGVObjBYdGR0RlAvQT09</t>
        </is>
      </c>
      <c r="F52" t="n">
        <v>1</v>
      </c>
      <c r="G52" t="inlineStr">
        <is>
          <t>BS004</t>
        </is>
      </c>
      <c r="H52" t="inlineStr">
        <is>
          <t>7 November 2023</t>
        </is>
      </c>
      <c r="I52" s="2" t="n">
        <v>46342</v>
      </c>
      <c r="J52" t="inlineStr">
        <is>
          <t>Disetujui</t>
        </is>
      </c>
      <c r="K52" t="n">
        <v>60</v>
      </c>
      <c r="L52" t="inlineStr">
        <is>
          <t>16 November 2026</t>
        </is>
      </c>
      <c r="M52" t="inlineStr">
        <is>
          <t>Konstruksi Jaringan Irigasi dan Drainase</t>
        </is>
      </c>
      <c r="N52" t="inlineStr">
        <is>
          <t>K</t>
        </is>
      </c>
      <c r="O52" t="inlineStr">
        <is>
          <t>20231113</t>
        </is>
      </c>
      <c r="P52" t="inlineStr">
        <is>
          <t>Riau</t>
        </is>
      </c>
      <c r="Q52" t="inlineStr"/>
    </row>
    <row r="53">
      <c r="A53" t="inlineStr">
        <is>
          <t>HAPSARI</t>
        </is>
      </c>
      <c r="B53" t="inlineStr">
        <is>
          <t>Kab. Grobogan</t>
        </is>
      </c>
      <c r="C53" t="inlineStr">
        <is>
          <t>081390949820</t>
        </is>
      </c>
      <c r="D53" t="inlineStr">
        <is>
          <t>hapsari_pwd@yahoo.co.id</t>
        </is>
      </c>
      <c r="E53" t="inlineStr">
        <is>
          <t>https://lpjk.pu.go.id/search-badan-usaha-detail/Vnl3QjF1YnUyWTNjMWhQSXp2VzNYUT09</t>
        </is>
      </c>
      <c r="F53" t="n">
        <v>2</v>
      </c>
      <c r="G53" t="inlineStr">
        <is>
          <t>BG002, BG005</t>
        </is>
      </c>
      <c r="H53" t="inlineStr">
        <is>
          <t>15 Maret 1995</t>
        </is>
      </c>
      <c r="I53" s="2" t="n">
        <v>46342</v>
      </c>
      <c r="J53" t="inlineStr">
        <is>
          <t>Disetujui</t>
        </is>
      </c>
      <c r="K53" t="n">
        <v>60</v>
      </c>
      <c r="L53" t="inlineStr">
        <is>
          <t>16 November 2026</t>
        </is>
      </c>
      <c r="M53" t="inlineStr">
        <is>
          <t>Konstruksi Gedung Kesehatan, Konstruksi Gedung Perkantoran</t>
        </is>
      </c>
      <c r="N53" t="inlineStr">
        <is>
          <t>K</t>
        </is>
      </c>
      <c r="O53" t="inlineStr">
        <is>
          <t>20231102</t>
        </is>
      </c>
      <c r="P53" t="inlineStr">
        <is>
          <t>Jawa Tengah</t>
        </is>
      </c>
      <c r="Q53" t="inlineStr"/>
    </row>
    <row r="54">
      <c r="A54" t="inlineStr">
        <is>
          <t>INDAH DEWI</t>
        </is>
      </c>
      <c r="B54" t="inlineStr">
        <is>
          <t>Kota Tarakan</t>
        </is>
      </c>
      <c r="C54" t="inlineStr">
        <is>
          <t>082134412109</t>
        </is>
      </c>
      <c r="D54" t="inlineStr">
        <is>
          <t>pt.indahdewi2019@gmail.com</t>
        </is>
      </c>
      <c r="E54" t="inlineStr">
        <is>
          <t>https://lpjk.pu.go.id/search-badan-usaha-detail/bXdDelYxSitKbjZYVU9Bd3JMWFJtdz09</t>
        </is>
      </c>
      <c r="F54" t="n">
        <v>3</v>
      </c>
      <c r="G54" t="inlineStr">
        <is>
          <t>KK001, PL003, PL004</t>
        </is>
      </c>
      <c r="H54" t="inlineStr">
        <is>
          <t>23 September 2020</t>
        </is>
      </c>
      <c r="I54" s="2" t="n">
        <v>46342</v>
      </c>
      <c r="J54" t="inlineStr">
        <is>
          <t>Pembekuan</t>
        </is>
      </c>
      <c r="K54" t="n">
        <v>60</v>
      </c>
      <c r="L54" t="inlineStr">
        <is>
          <t>16 November 2026</t>
        </is>
      </c>
      <c r="M54" t="inlineStr">
        <is>
          <t>Pekerjaan Tanah, Penyiapan Lahan Konstruksi, Pondasi Konstruksi</t>
        </is>
      </c>
      <c r="N54" t="inlineStr">
        <is>
          <t>Spesialis</t>
        </is>
      </c>
      <c r="O54" t="inlineStr">
        <is>
          <t>20230928, 20231005</t>
        </is>
      </c>
      <c r="P54" t="inlineStr">
        <is>
          <t>Kalimantan Utara</t>
        </is>
      </c>
      <c r="Q54" t="inlineStr"/>
    </row>
    <row r="55">
      <c r="A55" t="inlineStr">
        <is>
          <t>INDEC INTERNUSA</t>
        </is>
      </c>
      <c r="B55" t="inlineStr">
        <is>
          <t>Kota Bandung</t>
        </is>
      </c>
      <c r="C55" t="inlineStr">
        <is>
          <t>082216627674</t>
        </is>
      </c>
      <c r="D55" t="inlineStr">
        <is>
          <t>indecinternusabdg@gmail.com</t>
        </is>
      </c>
      <c r="E55" t="inlineStr">
        <is>
          <t>https://lpjk.pu.go.id/search-badan-usaha-detail/eGxLV21MRkw4NzkybnVpZTJpVTJ0QT09</t>
        </is>
      </c>
      <c r="F55" t="n">
        <v>2</v>
      </c>
      <c r="G55" t="inlineStr">
        <is>
          <t>RK002, RK003</t>
        </is>
      </c>
      <c r="H55" t="inlineStr">
        <is>
          <t>16 September 1971</t>
        </is>
      </c>
      <c r="I55" s="2" t="n">
        <v>46342</v>
      </c>
      <c r="J55" t="inlineStr">
        <is>
          <t>Disetujui</t>
        </is>
      </c>
      <c r="K55" t="n">
        <v>60</v>
      </c>
      <c r="L55" t="inlineStr">
        <is>
          <t>16 November 2026</t>
        </is>
      </c>
      <c r="M55" t="inlineStr">
        <is>
          <t>Jasa Rekayasa Pekerjaan Teknik Sipil Sumber Daya Air, Jasa Rekayasa Pekerjaan Teknik Sipil Transportasi</t>
        </is>
      </c>
      <c r="N55" t="inlineStr">
        <is>
          <t>B</t>
        </is>
      </c>
      <c r="O55" t="inlineStr">
        <is>
          <t>20231102, 20231103</t>
        </is>
      </c>
      <c r="P55" t="inlineStr">
        <is>
          <t>Jawa Barat</t>
        </is>
      </c>
      <c r="Q55" t="inlineStr"/>
    </row>
    <row r="56">
      <c r="A56" t="inlineStr">
        <is>
          <t>INDOKARYA PRATAMA</t>
        </is>
      </c>
      <c r="B56" t="inlineStr">
        <is>
          <t>Kab. Jombang</t>
        </is>
      </c>
      <c r="C56" t="inlineStr">
        <is>
          <t>081330058011</t>
        </is>
      </c>
      <c r="D56" t="inlineStr">
        <is>
          <t>cvindokaryapratama2018@gmail.com</t>
        </is>
      </c>
      <c r="E56" t="inlineStr">
        <is>
          <t>https://lpjk.pu.go.id/search-badan-usaha-detail/aldSMzhMQkwzSEJCSzdFMjRIWTJtZz09</t>
        </is>
      </c>
      <c r="F56" t="n">
        <v>2</v>
      </c>
      <c r="G56" t="inlineStr">
        <is>
          <t>BG004</t>
        </is>
      </c>
      <c r="H56" t="inlineStr">
        <is>
          <t>1 Oktober 2018</t>
        </is>
      </c>
      <c r="I56" s="2" t="n">
        <v>46342</v>
      </c>
      <c r="J56" t="inlineStr">
        <is>
          <t>Disetujui</t>
        </is>
      </c>
      <c r="K56" t="n">
        <v>60</v>
      </c>
      <c r="L56" t="inlineStr">
        <is>
          <t>16 November 2026</t>
        </is>
      </c>
      <c r="M56" t="inlineStr">
        <is>
          <t>Konstruksi Gedung Perbelanjaan</t>
        </is>
      </c>
      <c r="N56" t="inlineStr">
        <is>
          <t>K</t>
        </is>
      </c>
      <c r="O56" t="inlineStr">
        <is>
          <t>20231113</t>
        </is>
      </c>
      <c r="P56" t="inlineStr">
        <is>
          <t>Jawa Timur</t>
        </is>
      </c>
      <c r="Q56" t="inlineStr"/>
    </row>
    <row r="57">
      <c r="A57" t="inlineStr">
        <is>
          <t>INDOPLAN INTI PATRIA</t>
        </is>
      </c>
      <c r="B57" t="inlineStr">
        <is>
          <t>Kab. Nunukan</t>
        </is>
      </c>
      <c r="C57" t="inlineStr">
        <is>
          <t>08125326102</t>
        </is>
      </c>
      <c r="D57" t="inlineStr">
        <is>
          <t>indoplanintipatria@gmail.com</t>
        </is>
      </c>
      <c r="E57" t="inlineStr">
        <is>
          <t>https://lpjk.pu.go.id/search-badan-usaha-detail/TjVXSXplVjIvVGNORFpEY01CdVBLQT09</t>
        </is>
      </c>
      <c r="F57" t="n">
        <v>1</v>
      </c>
      <c r="G57" t="inlineStr">
        <is>
          <t>RK001</t>
        </is>
      </c>
      <c r="H57" t="inlineStr">
        <is>
          <t>29 Juli 2010</t>
        </is>
      </c>
      <c r="I57" s="2" t="n">
        <v>46342</v>
      </c>
      <c r="J57" t="inlineStr">
        <is>
          <t>Disetujui</t>
        </is>
      </c>
      <c r="K57" t="n">
        <v>60</v>
      </c>
      <c r="L57" t="inlineStr">
        <is>
          <t>16 November 2026</t>
        </is>
      </c>
      <c r="M57" t="inlineStr">
        <is>
          <t>Jasa Rekayasa Konstruksi Bangunan Gedung Hunian dan Non Hunian</t>
        </is>
      </c>
      <c r="N57" t="inlineStr">
        <is>
          <t>K</t>
        </is>
      </c>
      <c r="O57" t="inlineStr">
        <is>
          <t>20231109</t>
        </is>
      </c>
      <c r="P57" t="inlineStr">
        <is>
          <t>Kalimantan Utara</t>
        </is>
      </c>
      <c r="Q57" t="inlineStr"/>
    </row>
    <row r="58">
      <c r="A58" t="inlineStr">
        <is>
          <t>JAYA MANDIRI INTERIOR</t>
        </is>
      </c>
      <c r="B58" t="inlineStr">
        <is>
          <t>Kab. Pringsewu</t>
        </is>
      </c>
      <c r="C58" t="inlineStr">
        <is>
          <t>07297081652</t>
        </is>
      </c>
      <c r="D58" t="inlineStr">
        <is>
          <t>jariinterior@gmail.com</t>
        </is>
      </c>
      <c r="E58" t="inlineStr">
        <is>
          <t>https://lpjk.pu.go.id/search-badan-usaha-detail/ckhyNE1mREZ4MldZL1hEdjNQaUxIdz09</t>
        </is>
      </c>
      <c r="F58" t="n">
        <v>1</v>
      </c>
      <c r="G58" t="inlineStr">
        <is>
          <t>PB004</t>
        </is>
      </c>
      <c r="H58" t="inlineStr">
        <is>
          <t>27 Juni 2023</t>
        </is>
      </c>
      <c r="I58" s="2" t="n">
        <v>46342</v>
      </c>
      <c r="J58" t="inlineStr">
        <is>
          <t>Disetujui</t>
        </is>
      </c>
      <c r="K58" t="n">
        <v>60</v>
      </c>
      <c r="L58" t="inlineStr">
        <is>
          <t>16 November 2026</t>
        </is>
      </c>
      <c r="M58" t="inlineStr">
        <is>
          <t>Dekorasi Interior</t>
        </is>
      </c>
      <c r="N58" t="inlineStr">
        <is>
          <t>Spesialis</t>
        </is>
      </c>
      <c r="O58" t="inlineStr">
        <is>
          <t>20231108</t>
        </is>
      </c>
      <c r="P58" t="inlineStr">
        <is>
          <t>Lampung</t>
        </is>
      </c>
      <c r="Q58" t="inlineStr"/>
    </row>
    <row r="59">
      <c r="A59" t="inlineStr">
        <is>
          <t>KAMIRA CIPTA KONSULTAN</t>
        </is>
      </c>
      <c r="B59" t="inlineStr">
        <is>
          <t>Kota Bandung</t>
        </is>
      </c>
      <c r="C59" t="inlineStr">
        <is>
          <t>082127251566</t>
        </is>
      </c>
      <c r="D59" t="inlineStr">
        <is>
          <t>kamiracipta.kons@gmail.com</t>
        </is>
      </c>
      <c r="E59" t="inlineStr">
        <is>
          <t>https://lpjk.pu.go.id/search-badan-usaha-detail/b2V4cVZmTEE0OVVjZ1pSTytiT2Fodz09</t>
        </is>
      </c>
      <c r="F59" t="n">
        <v>2</v>
      </c>
      <c r="G59" t="inlineStr">
        <is>
          <t>RK001, RK003</t>
        </is>
      </c>
      <c r="H59" t="inlineStr">
        <is>
          <t>9 Mei 2023</t>
        </is>
      </c>
      <c r="I59" s="2" t="n">
        <v>46342</v>
      </c>
      <c r="J59" t="inlineStr">
        <is>
          <t>Pencabutan</t>
        </is>
      </c>
      <c r="K59" t="n">
        <v>60</v>
      </c>
      <c r="L59" t="inlineStr">
        <is>
          <t>16 November 2026</t>
        </is>
      </c>
      <c r="M59" t="inlineStr">
        <is>
          <t>Jasa Rekayasa Konstruksi Bangunan Gedung Hunian dan Non Hunian, Jasa Rekayasa Pekerjaan Teknik Sipil Transportasi</t>
        </is>
      </c>
      <c r="N59" t="inlineStr">
        <is>
          <t>K</t>
        </is>
      </c>
      <c r="O59" t="inlineStr">
        <is>
          <t>20231006, 20231102</t>
        </is>
      </c>
      <c r="P59" t="inlineStr">
        <is>
          <t>Jawa Barat</t>
        </is>
      </c>
      <c r="Q59" t="inlineStr"/>
    </row>
    <row r="60">
      <c r="A60" t="inlineStr">
        <is>
          <t>KARUNIA PUTRA</t>
        </is>
      </c>
      <c r="B60" t="inlineStr">
        <is>
          <t>Kab. Probolinggo</t>
        </is>
      </c>
      <c r="C60" t="inlineStr">
        <is>
          <t>082143375609</t>
        </is>
      </c>
      <c r="D60" t="inlineStr">
        <is>
          <t>karuniaputrarizki@gmail.com</t>
        </is>
      </c>
      <c r="E60" t="inlineStr">
        <is>
          <t>https://lpjk.pu.go.id/search-badan-usaha-detail/V0ZYR0RTYVozSzBnSjVWUzFlV1JvUT09</t>
        </is>
      </c>
      <c r="F60" t="n">
        <v>3</v>
      </c>
      <c r="G60" t="inlineStr">
        <is>
          <t>BG005, BG006, BG009</t>
        </is>
      </c>
      <c r="H60" t="inlineStr">
        <is>
          <t>15 Januari 2021</t>
        </is>
      </c>
      <c r="I60" s="2" t="n">
        <v>46342</v>
      </c>
      <c r="J60" t="inlineStr">
        <is>
          <t>Disetujui</t>
        </is>
      </c>
      <c r="K60" t="n">
        <v>60</v>
      </c>
      <c r="L60" t="inlineStr">
        <is>
          <t>16 November 2026</t>
        </is>
      </c>
      <c r="M60" t="inlineStr">
        <is>
          <t>Konstruksi Gedung Kesehatan, Konstruksi Gedung Lainnya, Konstruksi Gedung Pendidikan</t>
        </is>
      </c>
      <c r="N60" t="inlineStr">
        <is>
          <t>K</t>
        </is>
      </c>
      <c r="O60" t="inlineStr">
        <is>
          <t>20231109, 20231113</t>
        </is>
      </c>
      <c r="P60" t="inlineStr">
        <is>
          <t>Jawa Timur</t>
        </is>
      </c>
      <c r="Q60" t="inlineStr"/>
    </row>
    <row r="61">
      <c r="A61" t="inlineStr">
        <is>
          <t>KARYA INDIKA KONSULTAN</t>
        </is>
      </c>
      <c r="B61" t="inlineStr">
        <is>
          <t>Kota Makassar</t>
        </is>
      </c>
      <c r="C61" t="inlineStr">
        <is>
          <t>081351601977</t>
        </is>
      </c>
      <c r="D61" t="inlineStr">
        <is>
          <t>karyaindikakonsultan@gmail.com</t>
        </is>
      </c>
      <c r="E61" t="inlineStr">
        <is>
          <t>https://lpjk.pu.go.id/search-badan-usaha-detail/c1FLNTU2Tkx6T294YjNGelpKUFRjUT09</t>
        </is>
      </c>
      <c r="F61" t="n">
        <v>4</v>
      </c>
      <c r="G61" t="inlineStr">
        <is>
          <t>RK001, RK002, RK003, RK005</t>
        </is>
      </c>
      <c r="H61" t="inlineStr">
        <is>
          <t>13 Oktober 2023</t>
        </is>
      </c>
      <c r="I61" s="2" t="n">
        <v>46342</v>
      </c>
      <c r="J61" t="inlineStr">
        <is>
          <t>Disetujui</t>
        </is>
      </c>
      <c r="K61" t="n">
        <v>60</v>
      </c>
      <c r="L61" t="inlineStr">
        <is>
          <t>16 November 2026</t>
        </is>
      </c>
      <c r="M61" t="inlineStr">
        <is>
          <t>Jasa Rekayasa Konstruksi Bangunan Gedung Hunian dan Non Hunian, Jasa Rekayasa Lainnya, Jasa Rekayasa Pekerjaan Teknik Sipil Sumber Daya Air, Jasa Rekayasa Pekerjaan Teknik Sipil Transportasi</t>
        </is>
      </c>
      <c r="N61" t="inlineStr">
        <is>
          <t>K</t>
        </is>
      </c>
      <c r="O61" t="inlineStr">
        <is>
          <t>20231027</t>
        </is>
      </c>
      <c r="P61" t="inlineStr">
        <is>
          <t>Sulawesi Selatan</t>
        </is>
      </c>
      <c r="Q61" t="inlineStr"/>
    </row>
    <row r="62">
      <c r="A62" t="inlineStr">
        <is>
          <t>KARYA SENTOSA CONTRACTOR</t>
        </is>
      </c>
      <c r="B62" t="inlineStr">
        <is>
          <t>Kab. Paser</t>
        </is>
      </c>
      <c r="C62" t="inlineStr">
        <is>
          <t>085347101875</t>
        </is>
      </c>
      <c r="D62" t="inlineStr">
        <is>
          <t>cvkaryasentosacontractor@gmail.com</t>
        </is>
      </c>
      <c r="E62" t="inlineStr">
        <is>
          <t>https://lpjk.pu.go.id/search-badan-usaha-detail/TGtxUGVTK3A0V0dWaTBaMFhtakFvdz09</t>
        </is>
      </c>
      <c r="F62" t="n">
        <v>1</v>
      </c>
      <c r="G62" t="inlineStr">
        <is>
          <t>BS005</t>
        </is>
      </c>
      <c r="H62" t="inlineStr">
        <is>
          <t>3 Juli 2023</t>
        </is>
      </c>
      <c r="I62" s="2" t="n">
        <v>46342</v>
      </c>
      <c r="J62" t="inlineStr">
        <is>
          <t>Disetujui</t>
        </is>
      </c>
      <c r="K62" t="n">
        <v>60</v>
      </c>
      <c r="L62" t="inlineStr">
        <is>
          <t>16 November 2026</t>
        </is>
      </c>
      <c r="M62" t="inlineStr">
        <is>
          <t>Konstruksi Bangunan Sipil Pengolahan Air Bersih</t>
        </is>
      </c>
      <c r="N62" t="inlineStr">
        <is>
          <t>K</t>
        </is>
      </c>
      <c r="O62" t="inlineStr">
        <is>
          <t>20231111</t>
        </is>
      </c>
      <c r="P62" t="inlineStr">
        <is>
          <t>Kalimantan Timur</t>
        </is>
      </c>
      <c r="Q62" t="inlineStr"/>
    </row>
    <row r="63">
      <c r="A63" t="inlineStr">
        <is>
          <t>KARYATAMA MANDIRI</t>
        </is>
      </c>
      <c r="B63" t="inlineStr">
        <is>
          <t>Kab. Padang Pariaman</t>
        </is>
      </c>
      <c r="C63" t="inlineStr">
        <is>
          <t>081286568877</t>
        </is>
      </c>
      <c r="D63" t="inlineStr">
        <is>
          <t>kar.tamamandiri@gmail.com</t>
        </is>
      </c>
      <c r="E63" t="inlineStr">
        <is>
          <t>https://lpjk.pu.go.id/search-badan-usaha-detail/Z0ZXN01jNGlWTGozTVl1Z25mbGNkUT09</t>
        </is>
      </c>
      <c r="F63" t="n">
        <v>2</v>
      </c>
      <c r="G63" t="inlineStr">
        <is>
          <t>BG001</t>
        </is>
      </c>
      <c r="H63" t="inlineStr">
        <is>
          <t>6 Oktober 1994</t>
        </is>
      </c>
      <c r="I63" s="2" t="n">
        <v>46342</v>
      </c>
      <c r="J63" t="inlineStr">
        <is>
          <t>Disetujui</t>
        </is>
      </c>
      <c r="K63" t="n">
        <v>60</v>
      </c>
      <c r="L63" t="inlineStr">
        <is>
          <t>16 November 2026</t>
        </is>
      </c>
      <c r="M63" t="inlineStr">
        <is>
          <t>Konstruksi Gedung Hunian</t>
        </is>
      </c>
      <c r="N63" t="inlineStr">
        <is>
          <t>K</t>
        </is>
      </c>
      <c r="O63" t="inlineStr">
        <is>
          <t>20231115</t>
        </is>
      </c>
      <c r="P63" t="inlineStr">
        <is>
          <t>Sumatera Barat</t>
        </is>
      </c>
      <c r="Q63" t="inlineStr"/>
    </row>
    <row r="64">
      <c r="A64" t="inlineStr">
        <is>
          <t>KEMBAR ABADI</t>
        </is>
      </c>
      <c r="B64" t="inlineStr">
        <is>
          <t>Kota Cirebon</t>
        </is>
      </c>
      <c r="C64" t="inlineStr">
        <is>
          <t>085220004306</t>
        </is>
      </c>
      <c r="D64" t="inlineStr">
        <is>
          <t>kembarabadi73@gmail.com</t>
        </is>
      </c>
      <c r="E64" t="inlineStr">
        <is>
          <t>https://lpjk.pu.go.id/search-badan-usaha-detail/c25zQm5RTlBTeEtEY29seVBuMzhaQT09</t>
        </is>
      </c>
      <c r="F64" t="n">
        <v>1</v>
      </c>
      <c r="G64" t="inlineStr">
        <is>
          <t>BS005</t>
        </is>
      </c>
      <c r="H64" t="inlineStr">
        <is>
          <t>15 Juni 2011</t>
        </is>
      </c>
      <c r="I64" s="2" t="n">
        <v>46342</v>
      </c>
      <c r="J64" t="inlineStr">
        <is>
          <t>Disetujui</t>
        </is>
      </c>
      <c r="K64" t="n">
        <v>60</v>
      </c>
      <c r="L64" t="inlineStr">
        <is>
          <t>16 November 2026</t>
        </is>
      </c>
      <c r="M64" t="inlineStr">
        <is>
          <t>Konstruksi Bangunan Sipil Pengolahan Air Bersih</t>
        </is>
      </c>
      <c r="N64" t="inlineStr">
        <is>
          <t>K</t>
        </is>
      </c>
      <c r="O64" t="inlineStr">
        <is>
          <t>20231117</t>
        </is>
      </c>
      <c r="P64" t="inlineStr">
        <is>
          <t>Jawa Barat</t>
        </is>
      </c>
      <c r="Q64" t="inlineStr"/>
    </row>
    <row r="65">
      <c r="A65" t="inlineStr">
        <is>
          <t>KENCANA LAYANA KONSULTAN</t>
        </is>
      </c>
      <c r="B65" t="inlineStr">
        <is>
          <t>Kota Kupang</t>
        </is>
      </c>
      <c r="C65" t="inlineStr">
        <is>
          <t>081239919199</t>
        </is>
      </c>
      <c r="D65" t="inlineStr">
        <is>
          <t>ptkencanalayana@gmail.com</t>
        </is>
      </c>
      <c r="E65" t="inlineStr">
        <is>
          <t>https://lpjk.pu.go.id/search-badan-usaha-detail/N3lkWW1xMFJMbUtRSVpJUjY1cHRIdz09</t>
        </is>
      </c>
      <c r="F65" t="n">
        <v>2</v>
      </c>
      <c r="G65" t="inlineStr">
        <is>
          <t>RK002, RK003</t>
        </is>
      </c>
      <c r="H65" t="inlineStr">
        <is>
          <t>23 November 2007</t>
        </is>
      </c>
      <c r="I65" s="2" t="n">
        <v>46342</v>
      </c>
      <c r="J65" t="inlineStr">
        <is>
          <t>Pencabutan</t>
        </is>
      </c>
      <c r="K65" t="n">
        <v>60</v>
      </c>
      <c r="L65" t="inlineStr">
        <is>
          <t>16 November 2026</t>
        </is>
      </c>
      <c r="M65" t="inlineStr">
        <is>
          <t>Jasa Rekayasa Pekerjaan Teknik Sipil Sumber Daya Air, Jasa Rekayasa Pekerjaan Teknik Sipil Transportasi</t>
        </is>
      </c>
      <c r="N65" t="inlineStr">
        <is>
          <t>M</t>
        </is>
      </c>
      <c r="O65" t="inlineStr">
        <is>
          <t>20231102</t>
        </is>
      </c>
      <c r="P65" t="inlineStr">
        <is>
          <t>Nusa Tenggara Timur</t>
        </is>
      </c>
      <c r="Q65" t="inlineStr"/>
    </row>
    <row r="66">
      <c r="A66" t="inlineStr">
        <is>
          <t>KENCANA MANDIRI SEJAHTERA TELECOM</t>
        </is>
      </c>
      <c r="B66" t="inlineStr">
        <is>
          <t>Kota Adm. Jakarta Barat</t>
        </is>
      </c>
      <c r="C66" t="inlineStr">
        <is>
          <t>02158356601</t>
        </is>
      </c>
      <c r="D66" t="inlineStr">
        <is>
          <t>kencana@kms-telecom.co.id</t>
        </is>
      </c>
      <c r="E66" t="inlineStr">
        <is>
          <t>https://lpjk.pu.go.id/search-badan-usaha-detail/K1RvVFgyVnJrVG1lZnFyTTEyM1lLdz09</t>
        </is>
      </c>
      <c r="F66" t="n">
        <v>2</v>
      </c>
      <c r="G66" t="inlineStr">
        <is>
          <t>BS007, BS009</t>
        </is>
      </c>
      <c r="H66" t="inlineStr">
        <is>
          <t>6 Maret 2006</t>
        </is>
      </c>
      <c r="I66" s="2" t="n">
        <v>46342</v>
      </c>
      <c r="J66" t="inlineStr">
        <is>
          <t>Disetujui</t>
        </is>
      </c>
      <c r="K66" t="n">
        <v>60</v>
      </c>
      <c r="L66" t="inlineStr">
        <is>
          <t>16 November 2026</t>
        </is>
      </c>
      <c r="M66" t="inlineStr">
        <is>
          <t>Konstruksi Bangunan Sipil Elektrikal, Konstruksi Sentral Telekomunikasi</t>
        </is>
      </c>
      <c r="N66" t="inlineStr">
        <is>
          <t>K</t>
        </is>
      </c>
      <c r="O66" t="inlineStr">
        <is>
          <t>20231117</t>
        </is>
      </c>
      <c r="P66" t="inlineStr">
        <is>
          <t>DKI Jakarta</t>
        </is>
      </c>
      <c r="Q66" t="inlineStr"/>
    </row>
    <row r="67">
      <c r="A67" t="inlineStr">
        <is>
          <t>KREASI SENI BANGSA</t>
        </is>
      </c>
      <c r="B67" t="inlineStr">
        <is>
          <t>Kota Tangerang Selatan</t>
        </is>
      </c>
      <c r="C67" t="inlineStr">
        <is>
          <t>02122326888</t>
        </is>
      </c>
      <c r="D67" t="inlineStr">
        <is>
          <t>dpojok02@gmail.com</t>
        </is>
      </c>
      <c r="E67" t="inlineStr">
        <is>
          <t>https://lpjk.pu.go.id/search-badan-usaha-detail/OUdVZXR6b3dWUTE5UXBpUXYrUXR1dz09</t>
        </is>
      </c>
      <c r="F67" t="n">
        <v>1</v>
      </c>
      <c r="G67" t="inlineStr">
        <is>
          <t>BG001</t>
        </is>
      </c>
      <c r="H67" t="inlineStr">
        <is>
          <t>4 Oktober 2019</t>
        </is>
      </c>
      <c r="I67" s="2" t="n">
        <v>46342</v>
      </c>
      <c r="J67" t="inlineStr">
        <is>
          <t>Disetujui</t>
        </is>
      </c>
      <c r="K67" t="n">
        <v>60</v>
      </c>
      <c r="L67" t="inlineStr">
        <is>
          <t>16 November 2026</t>
        </is>
      </c>
      <c r="M67" t="inlineStr">
        <is>
          <t>Konstruksi Gedung Hunian</t>
        </is>
      </c>
      <c r="N67" t="inlineStr">
        <is>
          <t>K</t>
        </is>
      </c>
      <c r="O67" t="inlineStr">
        <is>
          <t>20231102</t>
        </is>
      </c>
      <c r="P67" t="inlineStr">
        <is>
          <t>Banten</t>
        </is>
      </c>
      <c r="Q67" t="inlineStr"/>
    </row>
    <row r="68">
      <c r="A68" t="inlineStr">
        <is>
          <t>LINGGA CEMERLANG ABADI</t>
        </is>
      </c>
      <c r="B68" t="inlineStr">
        <is>
          <t>Kab. Dairi</t>
        </is>
      </c>
      <c r="C68" t="inlineStr">
        <is>
          <t>082164628086</t>
        </is>
      </c>
      <c r="D68" t="inlineStr">
        <is>
          <t>linggacemerlang82@gmail.com</t>
        </is>
      </c>
      <c r="E68" t="inlineStr">
        <is>
          <t>https://lpjk.pu.go.id/search-badan-usaha-detail/eDM3eXJpb3Z0a3VHaXI1WDN1UnRSdz09</t>
        </is>
      </c>
      <c r="F68" t="n">
        <v>1</v>
      </c>
      <c r="G68" t="inlineStr">
        <is>
          <t>BG001</t>
        </is>
      </c>
      <c r="H68" t="inlineStr">
        <is>
          <t>27 Maret 2023</t>
        </is>
      </c>
      <c r="I68" s="2" t="n">
        <v>46342</v>
      </c>
      <c r="J68" t="inlineStr">
        <is>
          <t>Pencabutan</t>
        </is>
      </c>
      <c r="K68" t="n">
        <v>60</v>
      </c>
      <c r="L68" t="inlineStr">
        <is>
          <t>16 November 2026</t>
        </is>
      </c>
      <c r="M68" t="inlineStr">
        <is>
          <t>Konstruksi Gedung Hunian</t>
        </is>
      </c>
      <c r="N68" t="inlineStr">
        <is>
          <t>K</t>
        </is>
      </c>
      <c r="O68" t="inlineStr">
        <is>
          <t>20231114</t>
        </is>
      </c>
      <c r="P68" t="inlineStr">
        <is>
          <t>Sumatera Utara</t>
        </is>
      </c>
      <c r="Q68" t="inlineStr"/>
    </row>
    <row r="69">
      <c r="A69" t="inlineStr">
        <is>
          <t>MAHESA SWARNABHUMI</t>
        </is>
      </c>
      <c r="B69" t="inlineStr">
        <is>
          <t>Kota Samarinda</t>
        </is>
      </c>
      <c r="C69" t="inlineStr">
        <is>
          <t>081253102126</t>
        </is>
      </c>
      <c r="D69" t="inlineStr">
        <is>
          <t>cv.mahesaswarnabhumi@gmail.com</t>
        </is>
      </c>
      <c r="E69" t="inlineStr">
        <is>
          <t>https://lpjk.pu.go.id/search-badan-usaha-detail/K1NJalNhZFhCYnNrY0duc29laFV4Zz09</t>
        </is>
      </c>
      <c r="F69" t="n">
        <v>1</v>
      </c>
      <c r="G69" t="inlineStr">
        <is>
          <t>BG009</t>
        </is>
      </c>
      <c r="H69" t="inlineStr">
        <is>
          <t>12 April 2023</t>
        </is>
      </c>
      <c r="I69" s="2" t="n">
        <v>46342</v>
      </c>
      <c r="J69" t="inlineStr">
        <is>
          <t>Pencabutan</t>
        </is>
      </c>
      <c r="K69" t="n">
        <v>60</v>
      </c>
      <c r="L69" t="inlineStr">
        <is>
          <t>16 November 2026</t>
        </is>
      </c>
      <c r="M69" t="inlineStr">
        <is>
          <t>Konstruksi Gedung Lainnya</t>
        </is>
      </c>
      <c r="N69" t="inlineStr">
        <is>
          <t>K</t>
        </is>
      </c>
      <c r="O69" t="inlineStr">
        <is>
          <t>20231116</t>
        </is>
      </c>
      <c r="P69" t="inlineStr">
        <is>
          <t>Kalimantan Timur</t>
        </is>
      </c>
      <c r="Q69" t="inlineStr"/>
    </row>
    <row r="70">
      <c r="A70" t="inlineStr">
        <is>
          <t>MAHIJA MANDAYA ABIKARYA</t>
        </is>
      </c>
      <c r="B70" t="inlineStr">
        <is>
          <t>Kab. Sleman</t>
        </is>
      </c>
      <c r="C70" t="inlineStr">
        <is>
          <t>08988334666</t>
        </is>
      </c>
      <c r="D70" t="inlineStr">
        <is>
          <t>mmabikarya@gmail.com</t>
        </is>
      </c>
      <c r="E70" t="inlineStr">
        <is>
          <t>https://lpjk.pu.go.id/search-badan-usaha-detail/NHNFdTFOVlpReUJXMjhqdGtLb2xMZz09</t>
        </is>
      </c>
      <c r="F70" t="n">
        <v>2</v>
      </c>
      <c r="G70" t="inlineStr">
        <is>
          <t>BS002, BS004</t>
        </is>
      </c>
      <c r="H70" t="inlineStr">
        <is>
          <t>26 Agustus 2021</t>
        </is>
      </c>
      <c r="I70" s="2" t="n">
        <v>46342</v>
      </c>
      <c r="J70" t="inlineStr">
        <is>
          <t>Pencabutan</t>
        </is>
      </c>
      <c r="K70" t="n">
        <v>60</v>
      </c>
      <c r="L70" t="inlineStr">
        <is>
          <t>16 November 2026</t>
        </is>
      </c>
      <c r="M70" t="inlineStr">
        <is>
          <t>Bangunan Sipil Jembatan, Jalan Layang, Fly Over, dan Underpass, Konstruksi Jaringan Irigasi dan Drainase</t>
        </is>
      </c>
      <c r="N70" t="inlineStr">
        <is>
          <t>K</t>
        </is>
      </c>
      <c r="O70" t="inlineStr">
        <is>
          <t>20230904, 20231113</t>
        </is>
      </c>
      <c r="P70" t="inlineStr">
        <is>
          <t>DI Yogyakarta</t>
        </is>
      </c>
      <c r="Q70" t="inlineStr"/>
    </row>
    <row r="71">
      <c r="A71" t="inlineStr">
        <is>
          <t>MAHKOTA BINA SUKSES</t>
        </is>
      </c>
      <c r="B71" t="inlineStr">
        <is>
          <t>Kota Batam</t>
        </is>
      </c>
      <c r="C71" t="inlineStr">
        <is>
          <t>08117019101</t>
        </is>
      </c>
      <c r="D71" t="inlineStr">
        <is>
          <t>suksesmbs@gmail.com</t>
        </is>
      </c>
      <c r="E71" t="inlineStr">
        <is>
          <t>https://lpjk.pu.go.id/search-badan-usaha-detail/SVN1cHJFakZpY3VTc09icEkrdXd6QT09</t>
        </is>
      </c>
      <c r="F71" t="n">
        <v>1</v>
      </c>
      <c r="G71" t="inlineStr">
        <is>
          <t>BG001</t>
        </is>
      </c>
      <c r="H71" t="inlineStr">
        <is>
          <t>22 September 2023</t>
        </is>
      </c>
      <c r="I71" s="2" t="n">
        <v>46342</v>
      </c>
      <c r="J71" t="inlineStr">
        <is>
          <t>Disetujui</t>
        </is>
      </c>
      <c r="K71" t="n">
        <v>60</v>
      </c>
      <c r="L71" t="inlineStr">
        <is>
          <t>16 November 2026</t>
        </is>
      </c>
      <c r="M71" t="inlineStr">
        <is>
          <t>Konstruksi Gedung Hunian</t>
        </is>
      </c>
      <c r="N71" t="inlineStr">
        <is>
          <t>K</t>
        </is>
      </c>
      <c r="O71" t="inlineStr">
        <is>
          <t>20231114</t>
        </is>
      </c>
      <c r="P71" t="inlineStr">
        <is>
          <t>Kepulauan Riau</t>
        </is>
      </c>
      <c r="Q71" t="inlineStr"/>
    </row>
    <row r="72">
      <c r="A72" t="inlineStr">
        <is>
          <t>MALABAR INTI KONSTRUKSI</t>
        </is>
      </c>
      <c r="B72" t="inlineStr">
        <is>
          <t>Kota Bandar Lampung</t>
        </is>
      </c>
      <c r="C72" t="inlineStr">
        <is>
          <t>085384227288</t>
        </is>
      </c>
      <c r="D72" t="inlineStr">
        <is>
          <t>konstruksimalabarinti@gmail.com</t>
        </is>
      </c>
      <c r="E72" t="inlineStr">
        <is>
          <t>https://lpjk.pu.go.id/search-badan-usaha-detail/YnA2enBzVWlFOVR1dktuK21ob2h2Zz09</t>
        </is>
      </c>
      <c r="F72" t="n">
        <v>1</v>
      </c>
      <c r="G72" t="inlineStr">
        <is>
          <t>BS004</t>
        </is>
      </c>
      <c r="H72" t="inlineStr">
        <is>
          <t>31 Desember 2018</t>
        </is>
      </c>
      <c r="I72" s="2" t="n">
        <v>46342</v>
      </c>
      <c r="J72" t="inlineStr">
        <is>
          <t>Disetujui</t>
        </is>
      </c>
      <c r="K72" t="n">
        <v>60</v>
      </c>
      <c r="L72" t="inlineStr">
        <is>
          <t>16 November 2026</t>
        </is>
      </c>
      <c r="M72" t="inlineStr">
        <is>
          <t>Konstruksi Jaringan Irigasi dan Drainase</t>
        </is>
      </c>
      <c r="N72" t="inlineStr">
        <is>
          <t>K</t>
        </is>
      </c>
      <c r="O72" t="inlineStr">
        <is>
          <t>20231113</t>
        </is>
      </c>
      <c r="P72" t="inlineStr">
        <is>
          <t>Lampung</t>
        </is>
      </c>
      <c r="Q72" t="inlineStr"/>
    </row>
    <row r="73">
      <c r="A73" t="inlineStr">
        <is>
          <t>MANDALA TUNGGAL PERKASA</t>
        </is>
      </c>
      <c r="B73" t="inlineStr">
        <is>
          <t>Kab. Tapanuli Selatan</t>
        </is>
      </c>
      <c r="C73" t="inlineStr">
        <is>
          <t>081360606059</t>
        </is>
      </c>
      <c r="D73" t="inlineStr">
        <is>
          <t>cv.mandalatunggalperkasa@gmail.com</t>
        </is>
      </c>
      <c r="E73" t="inlineStr">
        <is>
          <t>https://lpjk.pu.go.id/search-badan-usaha-detail/ZUdvQTBPbi84SkdNZHBYUVQwSzhFdz09</t>
        </is>
      </c>
      <c r="F73" t="n">
        <v>6</v>
      </c>
      <c r="G73" t="inlineStr">
        <is>
          <t>BG006, BS001, BS004</t>
        </is>
      </c>
      <c r="H73" t="inlineStr">
        <is>
          <t>2 November 2022</t>
        </is>
      </c>
      <c r="I73" s="2" t="n">
        <v>46342</v>
      </c>
      <c r="J73" t="inlineStr">
        <is>
          <t>Disetujui</t>
        </is>
      </c>
      <c r="K73" t="n">
        <v>60</v>
      </c>
      <c r="L73" t="inlineStr">
        <is>
          <t>16 November 2026</t>
        </is>
      </c>
      <c r="M73" t="inlineStr">
        <is>
          <t>Konstruksi Bangunan Sipil Jalan, Konstruksi Gedung Pendidikan, Konstruksi Jaringan Irigasi dan Drainase</t>
        </is>
      </c>
      <c r="N73" t="inlineStr">
        <is>
          <t>K</t>
        </is>
      </c>
      <c r="O73" t="inlineStr">
        <is>
          <t>20231115</t>
        </is>
      </c>
      <c r="P73" t="inlineStr">
        <is>
          <t>Sumatera Utara</t>
        </is>
      </c>
      <c r="Q73" t="inlineStr"/>
    </row>
    <row r="74">
      <c r="A74" t="inlineStr">
        <is>
          <t>MATA AIR</t>
        </is>
      </c>
      <c r="B74" t="inlineStr">
        <is>
          <t>Kota Sawahlunto</t>
        </is>
      </c>
      <c r="C74" t="inlineStr">
        <is>
          <t>081363486633</t>
        </is>
      </c>
      <c r="D74" t="inlineStr">
        <is>
          <t>mataaircv@yahoo.com</t>
        </is>
      </c>
      <c r="E74" t="inlineStr">
        <is>
          <t>https://lpjk.pu.go.id/search-badan-usaha-detail/cVRUNHpKSkpUZ0YrOGVjK3hTYjFwUT09</t>
        </is>
      </c>
      <c r="F74" t="n">
        <v>1</v>
      </c>
      <c r="G74" t="inlineStr">
        <is>
          <t>BS004</t>
        </is>
      </c>
      <c r="H74" t="inlineStr">
        <is>
          <t>3 Februari 2016</t>
        </is>
      </c>
      <c r="I74" s="2" t="n">
        <v>46342</v>
      </c>
      <c r="J74" t="inlineStr">
        <is>
          <t>Disetujui</t>
        </is>
      </c>
      <c r="K74" t="n">
        <v>60</v>
      </c>
      <c r="L74" t="inlineStr">
        <is>
          <t>16 November 2026</t>
        </is>
      </c>
      <c r="M74" t="inlineStr">
        <is>
          <t>Konstruksi Jaringan Irigasi dan Drainase</t>
        </is>
      </c>
      <c r="N74" t="inlineStr">
        <is>
          <t>K</t>
        </is>
      </c>
      <c r="O74" t="inlineStr">
        <is>
          <t>20231016</t>
        </is>
      </c>
      <c r="P74" t="inlineStr">
        <is>
          <t>Sumatera Barat</t>
        </is>
      </c>
      <c r="Q74" t="inlineStr"/>
    </row>
    <row r="75">
      <c r="A75" t="inlineStr">
        <is>
          <t>MAWARDIAS</t>
        </is>
      </c>
      <c r="B75" t="inlineStr">
        <is>
          <t>Kab. Banyuwangi</t>
        </is>
      </c>
      <c r="C75" t="inlineStr">
        <is>
          <t>081234551310</t>
        </is>
      </c>
      <c r="D75" t="inlineStr">
        <is>
          <t>cvmawardias@gmail.com</t>
        </is>
      </c>
      <c r="E75" t="inlineStr">
        <is>
          <t>https://lpjk.pu.go.id/search-badan-usaha-detail/S0ZWSXFacERjZTZPYy8vZ0ozS0hEdz09</t>
        </is>
      </c>
      <c r="F75" t="n">
        <v>4</v>
      </c>
      <c r="G75" t="inlineStr">
        <is>
          <t>BS001, BS004</t>
        </is>
      </c>
      <c r="H75" t="inlineStr">
        <is>
          <t>31 Oktober 2007</t>
        </is>
      </c>
      <c r="I75" s="2" t="n">
        <v>46342</v>
      </c>
      <c r="J75" t="inlineStr">
        <is>
          <t>Disetujui</t>
        </is>
      </c>
      <c r="K75" t="n">
        <v>60</v>
      </c>
      <c r="L75" t="inlineStr">
        <is>
          <t>16 November 2026</t>
        </is>
      </c>
      <c r="M75" t="inlineStr">
        <is>
          <t>Konstruksi Bangunan Sipil Jalan, Konstruksi Jaringan Irigasi dan Drainase</t>
        </is>
      </c>
      <c r="N75" t="inlineStr">
        <is>
          <t>K</t>
        </is>
      </c>
      <c r="O75" t="inlineStr">
        <is>
          <t>20231116</t>
        </is>
      </c>
      <c r="P75" t="inlineStr">
        <is>
          <t>Jawa Timur</t>
        </is>
      </c>
      <c r="Q75" t="inlineStr"/>
    </row>
    <row r="76">
      <c r="A76" t="inlineStr">
        <is>
          <t>MEGA KARYA NUSATAMA</t>
        </is>
      </c>
      <c r="B76" t="inlineStr">
        <is>
          <t>Kab. Buton Utara</t>
        </is>
      </c>
      <c r="C76" t="inlineStr">
        <is>
          <t>082349171576</t>
        </is>
      </c>
      <c r="D76" t="inlineStr">
        <is>
          <t>megakaryanusatama@gmail.com</t>
        </is>
      </c>
      <c r="E76" t="inlineStr">
        <is>
          <t>https://lpjk.pu.go.id/search-badan-usaha-detail/b05lb0lQVlUydUV2Q2NjYmQxUU1XQT09</t>
        </is>
      </c>
      <c r="F76" t="n">
        <v>2</v>
      </c>
      <c r="G76" t="inlineStr">
        <is>
          <t>BS001, BS004</t>
        </is>
      </c>
      <c r="H76" t="inlineStr">
        <is>
          <t>22 Februari 2023</t>
        </is>
      </c>
      <c r="I76" s="2" t="n">
        <v>46342</v>
      </c>
      <c r="J76" t="inlineStr">
        <is>
          <t>Disetujui</t>
        </is>
      </c>
      <c r="K76" t="n">
        <v>60</v>
      </c>
      <c r="L76" t="inlineStr">
        <is>
          <t>16 November 2026</t>
        </is>
      </c>
      <c r="M76" t="inlineStr">
        <is>
          <t>Konstruksi Bangunan Sipil Jalan, Konstruksi Jaringan Irigasi dan Drainase</t>
        </is>
      </c>
      <c r="N76" t="inlineStr">
        <is>
          <t>K</t>
        </is>
      </c>
      <c r="O76" t="inlineStr">
        <is>
          <t>20231115</t>
        </is>
      </c>
      <c r="P76" t="inlineStr">
        <is>
          <t>Sulawesi Tenggara</t>
        </is>
      </c>
      <c r="Q76" t="inlineStr"/>
    </row>
    <row r="77">
      <c r="A77" t="inlineStr">
        <is>
          <t>MEGA TIRTA KENCANA</t>
        </is>
      </c>
      <c r="B77" t="inlineStr">
        <is>
          <t>Kab. Cilacap</t>
        </is>
      </c>
      <c r="C77" t="inlineStr">
        <is>
          <t>0282520905</t>
        </is>
      </c>
      <c r="D77" t="inlineStr">
        <is>
          <t>cv.megatirtakencana@yahoo.com</t>
        </is>
      </c>
      <c r="E77" t="inlineStr">
        <is>
          <t>https://lpjk.pu.go.id/search-badan-usaha-detail/Q1Z6R3Rwa01PdS9VMUtWM29BVVRYUT09</t>
        </is>
      </c>
      <c r="F77" t="n">
        <v>2</v>
      </c>
      <c r="G77" t="inlineStr">
        <is>
          <t>BG002, BS010</t>
        </is>
      </c>
      <c r="H77" t="inlineStr">
        <is>
          <t>29 September 1999</t>
        </is>
      </c>
      <c r="I77" s="2" t="n">
        <v>46342</v>
      </c>
      <c r="J77" t="inlineStr">
        <is>
          <t>Disetujui</t>
        </is>
      </c>
      <c r="K77" t="n">
        <v>60</v>
      </c>
      <c r="L77" t="inlineStr">
        <is>
          <t>16 November 2026</t>
        </is>
      </c>
      <c r="M77" t="inlineStr">
        <is>
          <t>Konstruksi Bangunan Prasarana Sumber Daya Air, Konstruksi Gedung Perkantoran</t>
        </is>
      </c>
      <c r="N77" t="inlineStr">
        <is>
          <t>K</t>
        </is>
      </c>
      <c r="O77" t="inlineStr">
        <is>
          <t>20231101, 20231113</t>
        </is>
      </c>
      <c r="P77" t="inlineStr">
        <is>
          <t>Jawa Tengah</t>
        </is>
      </c>
      <c r="Q77" t="inlineStr"/>
    </row>
    <row r="78">
      <c r="A78" t="inlineStr">
        <is>
          <t>MEKAR JAYA</t>
        </is>
      </c>
      <c r="B78" t="inlineStr">
        <is>
          <t>Kab. Cirebon</t>
        </is>
      </c>
      <c r="C78" t="inlineStr">
        <is>
          <t>081212605530</t>
        </is>
      </c>
      <c r="D78" t="inlineStr">
        <is>
          <t>mekarjaya_cv@yahoo.com</t>
        </is>
      </c>
      <c r="E78" t="inlineStr">
        <is>
          <t>https://lpjk.pu.go.id/search-badan-usaha-detail/S1hTWXBOL1pkNUhYOFVJUVhwMGlGUT09</t>
        </is>
      </c>
      <c r="F78" t="n">
        <v>12</v>
      </c>
      <c r="G78" t="inlineStr">
        <is>
          <t>BG004, BG005, BG006, BS001, BS004, BS010</t>
        </is>
      </c>
      <c r="H78" t="inlineStr">
        <is>
          <t>20 November 2003</t>
        </is>
      </c>
      <c r="I78" s="2" t="n">
        <v>46342</v>
      </c>
      <c r="J78" t="inlineStr">
        <is>
          <t>Disetujui</t>
        </is>
      </c>
      <c r="K78" t="n">
        <v>60</v>
      </c>
      <c r="L78" t="inlineStr">
        <is>
          <t>16 November 2026</t>
        </is>
      </c>
      <c r="M78" t="inlineStr">
        <is>
          <t>Konstruksi Bangunan Prasarana Sumber Daya Air, Konstruksi Bangunan Sipil Jalan, Konstruksi Gedung Kesehatan, Konstruksi Gedung Pendidikan, Konstruksi Gedung Perbelanjaan, Konstruksi Jaringan Irigasi dan Drainase</t>
        </is>
      </c>
      <c r="N78" t="inlineStr">
        <is>
          <t>K</t>
        </is>
      </c>
      <c r="O78" t="inlineStr">
        <is>
          <t>20231115, 20231120</t>
        </is>
      </c>
      <c r="P78" t="inlineStr">
        <is>
          <t>Jawa Barat</t>
        </is>
      </c>
      <c r="Q78" t="inlineStr"/>
    </row>
    <row r="79">
      <c r="A79" t="inlineStr">
        <is>
          <t>MEKAR JAYA TEKNIK</t>
        </is>
      </c>
      <c r="B79" t="inlineStr">
        <is>
          <t>Kab. Sidoarjo</t>
        </is>
      </c>
      <c r="C79" t="inlineStr">
        <is>
          <t>0318530870</t>
        </is>
      </c>
      <c r="D79" t="inlineStr">
        <is>
          <t>mekarjayateknik@yahoo.co.id</t>
        </is>
      </c>
      <c r="E79" t="inlineStr">
        <is>
          <t>https://lpjk.pu.go.id/search-badan-usaha-detail/ZXV3dVY5b0xDbWxxbVlEM0RFYmFZZz09</t>
        </is>
      </c>
      <c r="F79" t="n">
        <v>4</v>
      </c>
      <c r="G79" t="inlineStr">
        <is>
          <t>BG003, IN004</t>
        </is>
      </c>
      <c r="H79" t="inlineStr">
        <is>
          <t>6 Februari 2013</t>
        </is>
      </c>
      <c r="I79" s="2" t="n">
        <v>46342</v>
      </c>
      <c r="J79" t="inlineStr">
        <is>
          <t>Disetujui</t>
        </is>
      </c>
      <c r="K79" t="n">
        <v>60</v>
      </c>
      <c r="L79" t="inlineStr">
        <is>
          <t>16 November 2026</t>
        </is>
      </c>
      <c r="M79" t="inlineStr">
        <is>
          <t>Instalasi Minyak dan Gas, Konstruksi Gedung Industri</t>
        </is>
      </c>
      <c r="N79" t="inlineStr">
        <is>
          <t>K, Spesialis</t>
        </is>
      </c>
      <c r="O79" t="inlineStr">
        <is>
          <t>20231114, 20231116</t>
        </is>
      </c>
      <c r="P79" t="inlineStr">
        <is>
          <t>Jawa Timur</t>
        </is>
      </c>
      <c r="Q79" t="inlineStr"/>
    </row>
    <row r="80">
      <c r="A80" t="inlineStr">
        <is>
          <t>MELATI PUTRI INDO</t>
        </is>
      </c>
      <c r="B80" t="inlineStr">
        <is>
          <t>Kota Bengkulu</t>
        </is>
      </c>
      <c r="C80" t="inlineStr">
        <is>
          <t>0811733937</t>
        </is>
      </c>
      <c r="D80" t="inlineStr">
        <is>
          <t>ptmelatiputriindo@gmail.com</t>
        </is>
      </c>
      <c r="E80" t="inlineStr">
        <is>
          <t>https://lpjk.pu.go.id/search-badan-usaha-detail/Y2ROZzdkSTlDNHZJK3k5OHFtRTZLQT09</t>
        </is>
      </c>
      <c r="F80" t="n">
        <v>1</v>
      </c>
      <c r="G80" t="inlineStr">
        <is>
          <t>BG001</t>
        </is>
      </c>
      <c r="H80" t="inlineStr">
        <is>
          <t>21 Desember 2015</t>
        </is>
      </c>
      <c r="I80" s="2" t="n">
        <v>46342</v>
      </c>
      <c r="J80" t="inlineStr">
        <is>
          <t>Disetujui</t>
        </is>
      </c>
      <c r="K80" t="n">
        <v>60</v>
      </c>
      <c r="L80" t="inlineStr">
        <is>
          <t>16 November 2026</t>
        </is>
      </c>
      <c r="M80" t="inlineStr">
        <is>
          <t>Konstruksi Gedung Hunian</t>
        </is>
      </c>
      <c r="N80" t="inlineStr">
        <is>
          <t>K</t>
        </is>
      </c>
      <c r="O80" t="inlineStr">
        <is>
          <t>20231115</t>
        </is>
      </c>
      <c r="P80" t="inlineStr">
        <is>
          <t>Bengkulu</t>
        </is>
      </c>
      <c r="Q80" t="inlineStr"/>
    </row>
    <row r="81">
      <c r="A81" t="inlineStr">
        <is>
          <t>MITRA ANOM</t>
        </is>
      </c>
      <c r="B81" t="inlineStr">
        <is>
          <t>Kab. Sumedang</t>
        </is>
      </c>
      <c r="C81" t="inlineStr">
        <is>
          <t>082129510556</t>
        </is>
      </c>
      <c r="D81" t="inlineStr">
        <is>
          <t>cvmitraanom@gmail.com</t>
        </is>
      </c>
      <c r="E81" t="inlineStr">
        <is>
          <t>https://lpjk.pu.go.id/search-badan-usaha-detail/eDRxSVlZN25wT21LNFlOSFM4NUtjQT09</t>
        </is>
      </c>
      <c r="F81" t="n">
        <v>2</v>
      </c>
      <c r="G81" t="inlineStr">
        <is>
          <t>BS001, BS005</t>
        </is>
      </c>
      <c r="H81" t="inlineStr">
        <is>
          <t>21 November 2008</t>
        </is>
      </c>
      <c r="I81" s="2" t="n">
        <v>46342</v>
      </c>
      <c r="J81" t="inlineStr">
        <is>
          <t>Disetujui</t>
        </is>
      </c>
      <c r="K81" t="n">
        <v>60</v>
      </c>
      <c r="L81" t="inlineStr">
        <is>
          <t>16 November 2026</t>
        </is>
      </c>
      <c r="M81" t="inlineStr">
        <is>
          <t>Konstruksi Bangunan Sipil Jalan, Konstruksi Bangunan Sipil Pengolahan Air Bersih</t>
        </is>
      </c>
      <c r="N81" t="inlineStr">
        <is>
          <t>K</t>
        </is>
      </c>
      <c r="O81" t="inlineStr">
        <is>
          <t>20231113</t>
        </is>
      </c>
      <c r="P81" t="inlineStr">
        <is>
          <t>Jawa Barat</t>
        </is>
      </c>
      <c r="Q81" t="inlineStr"/>
    </row>
    <row r="82">
      <c r="A82" t="inlineStr">
        <is>
          <t>MITRA KONTRAKTOR INDONESIA</t>
        </is>
      </c>
      <c r="B82" t="inlineStr">
        <is>
          <t>Kota Balikpapan</t>
        </is>
      </c>
      <c r="C82" t="inlineStr">
        <is>
          <t>081917611109</t>
        </is>
      </c>
      <c r="D82" t="inlineStr">
        <is>
          <t>mitrakontraktorindo@gmail.com</t>
        </is>
      </c>
      <c r="E82" t="inlineStr">
        <is>
          <t>https://lpjk.pu.go.id/search-badan-usaha-detail/SEVvSTNnSFREYXk5OVVuUjZDQXJjUT09</t>
        </is>
      </c>
      <c r="F82" t="n">
        <v>3</v>
      </c>
      <c r="G82" t="inlineStr">
        <is>
          <t>BG002, BG005, BG006</t>
        </is>
      </c>
      <c r="H82" t="inlineStr">
        <is>
          <t>31 Oktober 2022</t>
        </is>
      </c>
      <c r="I82" s="2" t="n">
        <v>46342</v>
      </c>
      <c r="J82" t="inlineStr">
        <is>
          <t>Disetujui</t>
        </is>
      </c>
      <c r="K82" t="n">
        <v>60</v>
      </c>
      <c r="L82" t="inlineStr">
        <is>
          <t>16 November 2026</t>
        </is>
      </c>
      <c r="M82" t="inlineStr">
        <is>
          <t>Konstruksi Gedung Kesehatan, Konstruksi Gedung Pendidikan, Konstruksi Gedung Perkantoran</t>
        </is>
      </c>
      <c r="N82" t="inlineStr">
        <is>
          <t>K</t>
        </is>
      </c>
      <c r="O82" t="inlineStr">
        <is>
          <t>20231117</t>
        </is>
      </c>
      <c r="P82" t="inlineStr">
        <is>
          <t>Kalimantan Timur</t>
        </is>
      </c>
      <c r="Q82" t="inlineStr"/>
    </row>
    <row r="83">
      <c r="A83" t="inlineStr">
        <is>
          <t>MODERN SURYA JAYA</t>
        </is>
      </c>
      <c r="B83" t="inlineStr">
        <is>
          <t>Kota Surabaya</t>
        </is>
      </c>
      <c r="C83" t="inlineStr">
        <is>
          <t>0318413366</t>
        </is>
      </c>
      <c r="D83" t="inlineStr">
        <is>
          <t>msj_sub@yahoo.co.id</t>
        </is>
      </c>
      <c r="E83" t="inlineStr">
        <is>
          <t>https://lpjk.pu.go.id/search-badan-usaha-detail/dnFIZTVGejRDV3kxQ1FJd3pOSndRdz09</t>
        </is>
      </c>
      <c r="F83" t="n">
        <v>1</v>
      </c>
      <c r="G83" t="inlineStr">
        <is>
          <t>BS003</t>
        </is>
      </c>
      <c r="H83" t="inlineStr">
        <is>
          <t>20 November 1976</t>
        </is>
      </c>
      <c r="I83" s="2" t="n">
        <v>46342</v>
      </c>
      <c r="J83" t="inlineStr">
        <is>
          <t>Disetujui</t>
        </is>
      </c>
      <c r="K83" t="n">
        <v>60</v>
      </c>
      <c r="L83" t="inlineStr">
        <is>
          <t>16 November 2026</t>
        </is>
      </c>
      <c r="M83" t="inlineStr">
        <is>
          <t>Konstruksi Jalan Rel</t>
        </is>
      </c>
      <c r="N83" t="inlineStr">
        <is>
          <t>B</t>
        </is>
      </c>
      <c r="O83" t="inlineStr">
        <is>
          <t>20231113</t>
        </is>
      </c>
      <c r="P83" t="inlineStr">
        <is>
          <t>Jawa Timur</t>
        </is>
      </c>
      <c r="Q83" t="inlineStr"/>
    </row>
    <row r="84">
      <c r="A84" t="inlineStr">
        <is>
          <t>MULTI PILAR MANDIRI</t>
        </is>
      </c>
      <c r="B84" t="inlineStr">
        <is>
          <t>Kab. Gresik</t>
        </is>
      </c>
      <c r="C84" t="inlineStr">
        <is>
          <t>0313980335</t>
        </is>
      </c>
      <c r="D84" t="inlineStr">
        <is>
          <t>ridharabbany4@gmail.com</t>
        </is>
      </c>
      <c r="E84" t="inlineStr">
        <is>
          <t>https://lpjk.pu.go.id/search-badan-usaha-detail/eFZrdW5haDNLWDVHNkNtRzhXL0dHdz09</t>
        </is>
      </c>
      <c r="F84" t="n">
        <v>1</v>
      </c>
      <c r="G84" t="inlineStr">
        <is>
          <t>BG003</t>
        </is>
      </c>
      <c r="H84" t="inlineStr">
        <is>
          <t>22 November 2012</t>
        </is>
      </c>
      <c r="I84" s="2" t="n">
        <v>46342</v>
      </c>
      <c r="J84" t="inlineStr">
        <is>
          <t>Disetujui</t>
        </is>
      </c>
      <c r="K84" t="n">
        <v>60</v>
      </c>
      <c r="L84" t="inlineStr">
        <is>
          <t>16 November 2026</t>
        </is>
      </c>
      <c r="M84" t="inlineStr">
        <is>
          <t>Konstruksi Gedung Industri</t>
        </is>
      </c>
      <c r="N84" t="inlineStr">
        <is>
          <t>M</t>
        </is>
      </c>
      <c r="O84" t="inlineStr">
        <is>
          <t>20231019</t>
        </is>
      </c>
      <c r="P84" t="inlineStr">
        <is>
          <t>Jawa Timur</t>
        </is>
      </c>
      <c r="Q84" t="inlineStr"/>
    </row>
    <row r="85">
      <c r="A85" t="inlineStr">
        <is>
          <t>NABILA MUTIARA SEJAHTERA</t>
        </is>
      </c>
      <c r="B85" t="inlineStr">
        <is>
          <t>Kab. Bima</t>
        </is>
      </c>
      <c r="C85" t="inlineStr">
        <is>
          <t>085339229035</t>
        </is>
      </c>
      <c r="D85" t="inlineStr">
        <is>
          <t>cvnabilamutiarasejahtera@gmail.com</t>
        </is>
      </c>
      <c r="E85" t="inlineStr">
        <is>
          <t>https://lpjk.pu.go.id/search-badan-usaha-detail/ZVB2aUNwZ3ZCYXNDY2pBZXMwWUcwZz09</t>
        </is>
      </c>
      <c r="F85" t="n">
        <v>4</v>
      </c>
      <c r="G85" t="inlineStr">
        <is>
          <t>BG006, BG009</t>
        </is>
      </c>
      <c r="H85" t="inlineStr">
        <is>
          <t>8 November 2023</t>
        </is>
      </c>
      <c r="I85" s="2" t="n">
        <v>46342</v>
      </c>
      <c r="J85" t="inlineStr">
        <is>
          <t>Disetujui</t>
        </is>
      </c>
      <c r="K85" t="n">
        <v>60</v>
      </c>
      <c r="L85" t="inlineStr">
        <is>
          <t>16 November 2026</t>
        </is>
      </c>
      <c r="M85" t="inlineStr">
        <is>
          <t>Konstruksi Gedung Lainnya, Konstruksi Gedung Pendidikan</t>
        </is>
      </c>
      <c r="N85" t="inlineStr">
        <is>
          <t>K</t>
        </is>
      </c>
      <c r="O85" t="inlineStr">
        <is>
          <t>20231114</t>
        </is>
      </c>
      <c r="P85" t="inlineStr">
        <is>
          <t>Nusa Tenggara Barat</t>
        </is>
      </c>
      <c r="Q85" t="inlineStr"/>
    </row>
    <row r="86">
      <c r="A86" t="inlineStr">
        <is>
          <t>NUGRAHA MURNI</t>
        </is>
      </c>
      <c r="B86" t="inlineStr">
        <is>
          <t>Kab. Kebumen</t>
        </is>
      </c>
      <c r="C86" t="inlineStr">
        <is>
          <t>0287381422</t>
        </is>
      </c>
      <c r="D86" t="inlineStr">
        <is>
          <t>nugrahamurni@gmail.com</t>
        </is>
      </c>
      <c r="E86" t="inlineStr">
        <is>
          <t>https://lpjk.pu.go.id/search-badan-usaha-detail/ODhzS0lOUnh1K3B6eVc4M0ZQSUgvZz09</t>
        </is>
      </c>
      <c r="F86" t="n">
        <v>6</v>
      </c>
      <c r="G86" t="inlineStr">
        <is>
          <t>BG001, BG006, BS004</t>
        </is>
      </c>
      <c r="H86" t="inlineStr">
        <is>
          <t>10 November 1992</t>
        </is>
      </c>
      <c r="I86" s="2" t="n">
        <v>46342</v>
      </c>
      <c r="J86" t="inlineStr">
        <is>
          <t>Disetujui</t>
        </is>
      </c>
      <c r="K86" t="n">
        <v>60</v>
      </c>
      <c r="L86" t="inlineStr">
        <is>
          <t>16 November 2026</t>
        </is>
      </c>
      <c r="M86" t="inlineStr">
        <is>
          <t>Konstruksi Gedung Hunian, Konstruksi Gedung Pendidikan, Konstruksi Jaringan Irigasi dan Drainase</t>
        </is>
      </c>
      <c r="N86" t="inlineStr">
        <is>
          <t>K</t>
        </is>
      </c>
      <c r="O86" t="inlineStr">
        <is>
          <t>20231114, 20231115</t>
        </is>
      </c>
      <c r="P86" t="inlineStr">
        <is>
          <t>Jawa Tengah</t>
        </is>
      </c>
      <c r="Q86" t="inlineStr"/>
    </row>
    <row r="87">
      <c r="A87" t="inlineStr">
        <is>
          <t>NURITA CAHAYA KENCANA</t>
        </is>
      </c>
      <c r="B87" t="inlineStr">
        <is>
          <t>Kota Surabaya</t>
        </is>
      </c>
      <c r="C87" t="inlineStr">
        <is>
          <t>081251799958</t>
        </is>
      </c>
      <c r="D87" t="inlineStr">
        <is>
          <t>nuritacahayakencana@gmail.com</t>
        </is>
      </c>
      <c r="E87" t="inlineStr">
        <is>
          <t>https://lpjk.pu.go.id/search-badan-usaha-detail/aXZvRnlnakxaR1l1VUQrK3lPNEEyZz09</t>
        </is>
      </c>
      <c r="F87" t="n">
        <v>1</v>
      </c>
      <c r="G87" t="inlineStr">
        <is>
          <t>BG006</t>
        </is>
      </c>
      <c r="H87" t="inlineStr">
        <is>
          <t>12 Juli 2022</t>
        </is>
      </c>
      <c r="I87" s="2" t="n">
        <v>46342</v>
      </c>
      <c r="J87" t="inlineStr">
        <is>
          <t>Disetujui</t>
        </is>
      </c>
      <c r="K87" t="n">
        <v>60</v>
      </c>
      <c r="L87" t="inlineStr">
        <is>
          <t>16 November 2026</t>
        </is>
      </c>
      <c r="M87" t="inlineStr">
        <is>
          <t>Konstruksi Gedung Pendidikan</t>
        </is>
      </c>
      <c r="N87" t="inlineStr">
        <is>
          <t>K</t>
        </is>
      </c>
      <c r="O87" t="inlineStr">
        <is>
          <t>20231115</t>
        </is>
      </c>
      <c r="P87" t="inlineStr">
        <is>
          <t>Jawa Timur</t>
        </is>
      </c>
      <c r="Q87" t="inlineStr"/>
    </row>
    <row r="88">
      <c r="A88" t="inlineStr">
        <is>
          <t>PATRA DINAMIKA KONSTRUKSI</t>
        </is>
      </c>
      <c r="B88" t="inlineStr">
        <is>
          <t>Kota Adm. Jakarta Barat</t>
        </is>
      </c>
      <c r="C88" t="inlineStr">
        <is>
          <t>0215671503</t>
        </is>
      </c>
      <c r="D88" t="inlineStr">
        <is>
          <t>a.daylami70@gmail.com</t>
        </is>
      </c>
      <c r="E88" t="inlineStr">
        <is>
          <t>https://lpjk.pu.go.id/search-badan-usaha-detail/WE9NSlpad2RMaHM5c3FybzNkdTQ3Zz09</t>
        </is>
      </c>
      <c r="F88" t="n">
        <v>1</v>
      </c>
      <c r="G88" t="inlineStr">
        <is>
          <t>BS007</t>
        </is>
      </c>
      <c r="H88" t="inlineStr">
        <is>
          <t>12 September 2023</t>
        </is>
      </c>
      <c r="I88" s="2" t="n">
        <v>46342</v>
      </c>
      <c r="J88" t="inlineStr">
        <is>
          <t>Disetujui</t>
        </is>
      </c>
      <c r="K88" t="n">
        <v>60</v>
      </c>
      <c r="L88" t="inlineStr">
        <is>
          <t>16 November 2026</t>
        </is>
      </c>
      <c r="M88" t="inlineStr">
        <is>
          <t>Konstruksi Bangunan Sipil Elektrikal</t>
        </is>
      </c>
      <c r="N88" t="inlineStr">
        <is>
          <t>K</t>
        </is>
      </c>
      <c r="O88" t="inlineStr">
        <is>
          <t>20231115</t>
        </is>
      </c>
      <c r="P88" t="inlineStr">
        <is>
          <t>DKI Jakarta</t>
        </is>
      </c>
      <c r="Q88" t="inlineStr"/>
    </row>
    <row r="89">
      <c r="A89" t="inlineStr">
        <is>
          <t>PELANGI ANTAR NUSA</t>
        </is>
      </c>
      <c r="B89" t="inlineStr">
        <is>
          <t>Kab. Banggai Laut</t>
        </is>
      </c>
      <c r="C89" t="inlineStr">
        <is>
          <t>082194005878</t>
        </is>
      </c>
      <c r="D89" t="inlineStr">
        <is>
          <t>nusapelangi68@gmail.com</t>
        </is>
      </c>
      <c r="E89" t="inlineStr">
        <is>
          <t>https://lpjk.pu.go.id/search-badan-usaha-detail/R0lXR2pUVUV6ZWJac3Q0OUtGd2VhUT09</t>
        </is>
      </c>
      <c r="F89" t="n">
        <v>10</v>
      </c>
      <c r="G89" t="inlineStr">
        <is>
          <t>BG001, BG002, BG004, BG005, BG006, BS001, BS002, BS005, BS010, BS011</t>
        </is>
      </c>
      <c r="H89" t="inlineStr">
        <is>
          <t>1 Desember 2015</t>
        </is>
      </c>
      <c r="I89" s="2" t="n">
        <v>46342</v>
      </c>
      <c r="J89" t="inlineStr">
        <is>
          <t>Disetujui</t>
        </is>
      </c>
      <c r="K89" t="n">
        <v>60</v>
      </c>
      <c r="L89" t="inlineStr">
        <is>
          <t>16 November 2026</t>
        </is>
      </c>
      <c r="M89" t="inlineStr">
        <is>
          <t>Bangunan Sipil Jembatan, Jalan Layang, Fly Over, dan Underpass, Konstruksi Bangunan Pelabuhan Bukan Perikanan, Konstruksi Bangunan Prasarana Sumber Daya Air, Konstruksi Bangunan Sipil Jalan, Konstruksi Bangunan Sipil Pengolahan Air Bersih, Konstruksi Gedung Hunian, Konstruksi Gedung Kesehatan, Konstruksi Gedung Pendidikan, Konstruksi Gedung Perbelanjaan, Konstruksi Gedung Perkantoran</t>
        </is>
      </c>
      <c r="N89" t="inlineStr">
        <is>
          <t>K</t>
        </is>
      </c>
      <c r="O89" t="inlineStr">
        <is>
          <t>20231116, 20231117, 20231121</t>
        </is>
      </c>
      <c r="P89" t="inlineStr">
        <is>
          <t>Sulawesi Tengah</t>
        </is>
      </c>
      <c r="Q89" t="inlineStr"/>
    </row>
    <row r="90">
      <c r="A90" t="inlineStr">
        <is>
          <t>PELITA SUCI</t>
        </is>
      </c>
      <c r="B90" t="inlineStr">
        <is>
          <t>Kota Bandung</t>
        </is>
      </c>
      <c r="C90" t="inlineStr">
        <is>
          <t>022-87241795</t>
        </is>
      </c>
      <c r="D90" t="inlineStr">
        <is>
          <t>pelitasuci@gmail.com</t>
        </is>
      </c>
      <c r="E90" t="inlineStr">
        <is>
          <t>https://lpjk.pu.go.id/search-badan-usaha-detail/dE1hL0p4UU40RW5ZbjAyUTk4a2k3QT09</t>
        </is>
      </c>
      <c r="F90" t="n">
        <v>1</v>
      </c>
      <c r="G90" t="inlineStr">
        <is>
          <t>BS001</t>
        </is>
      </c>
      <c r="H90" t="inlineStr">
        <is>
          <t>22 Agustus 1986</t>
        </is>
      </c>
      <c r="I90" s="2" t="n">
        <v>46342</v>
      </c>
      <c r="J90" t="inlineStr">
        <is>
          <t>Pencabutan</t>
        </is>
      </c>
      <c r="K90" t="n">
        <v>60</v>
      </c>
      <c r="L90" t="inlineStr">
        <is>
          <t>16 November 2026</t>
        </is>
      </c>
      <c r="M90" t="inlineStr">
        <is>
          <t>Konstruksi Bangunan Sipil Jalan</t>
        </is>
      </c>
      <c r="N90" t="inlineStr">
        <is>
          <t>K</t>
        </is>
      </c>
      <c r="O90" t="inlineStr">
        <is>
          <t>20231116</t>
        </is>
      </c>
      <c r="P90" t="inlineStr">
        <is>
          <t>Jawa Barat</t>
        </is>
      </c>
      <c r="Q90" t="inlineStr"/>
    </row>
    <row r="91">
      <c r="A91" t="inlineStr">
        <is>
          <t>PERMATA JAYA SENTOSA</t>
        </is>
      </c>
      <c r="B91" t="inlineStr">
        <is>
          <t>Kab. Kotawaringin Timur</t>
        </is>
      </c>
      <c r="C91" t="inlineStr">
        <is>
          <t>081352891669</t>
        </is>
      </c>
      <c r="D91" t="inlineStr">
        <is>
          <t>permatajaya023@gmail.com</t>
        </is>
      </c>
      <c r="E91" t="inlineStr">
        <is>
          <t>https://lpjk.pu.go.id/search-badan-usaha-detail/S21LN05VM3VudjZBOFJlbkZpRllRdz09</t>
        </is>
      </c>
      <c r="F91" t="n">
        <v>1</v>
      </c>
      <c r="G91" t="inlineStr">
        <is>
          <t>BG002</t>
        </is>
      </c>
      <c r="H91" t="inlineStr">
        <is>
          <t>12 September 2023</t>
        </is>
      </c>
      <c r="I91" s="2" t="n">
        <v>46342</v>
      </c>
      <c r="J91" t="inlineStr">
        <is>
          <t>Pencabutan</t>
        </is>
      </c>
      <c r="K91" t="n">
        <v>60</v>
      </c>
      <c r="L91" t="inlineStr">
        <is>
          <t>16 November 2026</t>
        </is>
      </c>
      <c r="M91" t="inlineStr">
        <is>
          <t>Konstruksi Gedung Perkantoran</t>
        </is>
      </c>
      <c r="N91" t="inlineStr">
        <is>
          <t>K</t>
        </is>
      </c>
      <c r="O91" t="inlineStr">
        <is>
          <t>20231109</t>
        </is>
      </c>
      <c r="P91" t="inlineStr">
        <is>
          <t>Kalimantan Tengah</t>
        </is>
      </c>
      <c r="Q91" t="inlineStr"/>
    </row>
    <row r="92">
      <c r="A92" t="inlineStr">
        <is>
          <t>PRIMA RV</t>
        </is>
      </c>
      <c r="B92" t="inlineStr">
        <is>
          <t>Kota Salatiga</t>
        </is>
      </c>
      <c r="C92" t="inlineStr">
        <is>
          <t>02983432377</t>
        </is>
      </c>
      <c r="D92" t="inlineStr">
        <is>
          <t>cvprimaxv@gmail.com</t>
        </is>
      </c>
      <c r="E92" t="inlineStr">
        <is>
          <t>https://lpjk.pu.go.id/search-badan-usaha-detail/elcwRW9TZGcraVlWZXYxa2NIcnFNUT09</t>
        </is>
      </c>
      <c r="F92" t="n">
        <v>1</v>
      </c>
      <c r="G92" t="inlineStr">
        <is>
          <t>BS004</t>
        </is>
      </c>
      <c r="H92" t="inlineStr">
        <is>
          <t>8 April 2023</t>
        </is>
      </c>
      <c r="I92" s="2" t="n">
        <v>46342</v>
      </c>
      <c r="J92" t="inlineStr">
        <is>
          <t>Pencabutan</t>
        </is>
      </c>
      <c r="K92" t="n">
        <v>60</v>
      </c>
      <c r="L92" t="inlineStr">
        <is>
          <t>16 November 2026</t>
        </is>
      </c>
      <c r="M92" t="inlineStr">
        <is>
          <t>Konstruksi Jaringan Irigasi dan Drainase</t>
        </is>
      </c>
      <c r="N92" t="inlineStr">
        <is>
          <t>K</t>
        </is>
      </c>
      <c r="O92" t="inlineStr">
        <is>
          <t>20230612</t>
        </is>
      </c>
      <c r="P92" t="inlineStr">
        <is>
          <t>Jawa Tengah</t>
        </is>
      </c>
      <c r="Q92" t="inlineStr"/>
    </row>
    <row r="93">
      <c r="A93" t="inlineStr">
        <is>
          <t>PUTRA ANUGRAH</t>
        </is>
      </c>
      <c r="B93" t="inlineStr">
        <is>
          <t>Kota Yogyakarta</t>
        </is>
      </c>
      <c r="C93" t="inlineStr">
        <is>
          <t>08122762277</t>
        </is>
      </c>
      <c r="D93" t="inlineStr">
        <is>
          <t>putraanugrahpb@yahoo.com</t>
        </is>
      </c>
      <c r="E93" t="inlineStr">
        <is>
          <t>https://lpjk.pu.go.id/search-badan-usaha-detail/WUNBc3EraVpWUzJlR1M2Tk5ySHFSdz09</t>
        </is>
      </c>
      <c r="F93" t="n">
        <v>3</v>
      </c>
      <c r="G93" t="inlineStr">
        <is>
          <t>BS004, BS005, BS006</t>
        </is>
      </c>
      <c r="H93" t="inlineStr">
        <is>
          <t>11 Juni 2007</t>
        </is>
      </c>
      <c r="I93" s="2" t="n">
        <v>46342</v>
      </c>
      <c r="J93" t="inlineStr">
        <is>
          <t>Disetujui</t>
        </is>
      </c>
      <c r="K93" t="n">
        <v>60</v>
      </c>
      <c r="L93" t="inlineStr">
        <is>
          <t>16 November 2026</t>
        </is>
      </c>
      <c r="M93" t="inlineStr">
        <is>
          <t>Konstruksi Bangunan Sipil Pengolahan Air Bersih, Konstruksi Bangunan Sipil Prasarana dan Sarana Sistem Pengolahan Limbah Padat, Cair, dan Gas, Konstruksi Jaringan Irigasi dan Drainase</t>
        </is>
      </c>
      <c r="N93" t="inlineStr">
        <is>
          <t>K</t>
        </is>
      </c>
      <c r="O93" t="inlineStr">
        <is>
          <t>20231114</t>
        </is>
      </c>
      <c r="P93" t="inlineStr">
        <is>
          <t>DI Yogyakarta</t>
        </is>
      </c>
      <c r="Q93" t="inlineStr"/>
    </row>
    <row r="94">
      <c r="A94" t="inlineStr">
        <is>
          <t>PUTRA POWER ENERGI</t>
        </is>
      </c>
      <c r="B94" t="inlineStr">
        <is>
          <t>Kota Medan</t>
        </is>
      </c>
      <c r="C94" t="inlineStr">
        <is>
          <t>081370100036</t>
        </is>
      </c>
      <c r="D94" t="inlineStr">
        <is>
          <t>putrapowerenergi1@gmail.com</t>
        </is>
      </c>
      <c r="E94" t="inlineStr">
        <is>
          <t>https://lpjk.pu.go.id/search-badan-usaha-detail/NGpOUktaWkk0SUdoeDFZNlJVZ09Odz09</t>
        </is>
      </c>
      <c r="F94" t="n">
        <v>1</v>
      </c>
      <c r="G94" t="inlineStr">
        <is>
          <t>BG002</t>
        </is>
      </c>
      <c r="H94" t="inlineStr">
        <is>
          <t>5 April 2016</t>
        </is>
      </c>
      <c r="I94" s="2" t="n">
        <v>46342</v>
      </c>
      <c r="J94" t="inlineStr">
        <is>
          <t>Disetujui</t>
        </is>
      </c>
      <c r="K94" t="n">
        <v>60</v>
      </c>
      <c r="L94" t="inlineStr">
        <is>
          <t>16 November 2026</t>
        </is>
      </c>
      <c r="M94" t="inlineStr">
        <is>
          <t>Konstruksi Gedung Perkantoran</t>
        </is>
      </c>
      <c r="N94" t="inlineStr">
        <is>
          <t>K</t>
        </is>
      </c>
      <c r="O94" t="inlineStr">
        <is>
          <t>20231024</t>
        </is>
      </c>
      <c r="P94" t="inlineStr">
        <is>
          <t>Sumatera Utara</t>
        </is>
      </c>
      <c r="Q94" t="inlineStr"/>
    </row>
    <row r="95">
      <c r="A95" t="inlineStr">
        <is>
          <t>PUTRI YALI MANDIRI</t>
        </is>
      </c>
      <c r="B95" t="inlineStr">
        <is>
          <t>Kab. Yalimo</t>
        </is>
      </c>
      <c r="C95" t="inlineStr">
        <is>
          <t>081344784841</t>
        </is>
      </c>
      <c r="D95" t="inlineStr">
        <is>
          <t>putriyalimandiri@gmail.com</t>
        </is>
      </c>
      <c r="E95" t="inlineStr">
        <is>
          <t>https://lpjk.pu.go.id/search-badan-usaha-detail/Nm45aHpCZkZ5VUZpcVlRenA0UUhTZz09</t>
        </is>
      </c>
      <c r="F95" t="n">
        <v>3</v>
      </c>
      <c r="G95" t="inlineStr">
        <is>
          <t>BG001, BG005, BG006</t>
        </is>
      </c>
      <c r="H95" t="inlineStr">
        <is>
          <t>17 Juli 2014</t>
        </is>
      </c>
      <c r="I95" s="2" t="n">
        <v>46342</v>
      </c>
      <c r="J95" t="inlineStr">
        <is>
          <t>Disetujui</t>
        </is>
      </c>
      <c r="K95" t="n">
        <v>60</v>
      </c>
      <c r="L95" t="inlineStr">
        <is>
          <t>16 November 2026</t>
        </is>
      </c>
      <c r="M95" t="inlineStr">
        <is>
          <t>Konstruksi Gedung Hunian, Konstruksi Gedung Kesehatan, Konstruksi Gedung Pendidikan</t>
        </is>
      </c>
      <c r="N95" t="inlineStr">
        <is>
          <t>K</t>
        </is>
      </c>
      <c r="O95" t="inlineStr">
        <is>
          <t>20231110, 20231115</t>
        </is>
      </c>
      <c r="P95" t="inlineStr">
        <is>
          <t>Papua Pegunungan</t>
        </is>
      </c>
      <c r="Q95" t="inlineStr"/>
    </row>
    <row r="96">
      <c r="A96" t="inlineStr">
        <is>
          <t>RAHMAT BANUA KONSULTAN</t>
        </is>
      </c>
      <c r="B96" t="inlineStr">
        <is>
          <t>Kab. Tapin</t>
        </is>
      </c>
      <c r="C96" t="inlineStr">
        <is>
          <t>081351499499</t>
        </is>
      </c>
      <c r="D96" t="inlineStr">
        <is>
          <t>cvrahmatbanua@gmail.som</t>
        </is>
      </c>
      <c r="E96" t="inlineStr">
        <is>
          <t>https://lpjk.pu.go.id/search-badan-usaha-detail/R281Sjk4WkxMTzcyUUxIak9JTXhaZz09</t>
        </is>
      </c>
      <c r="F96" t="n">
        <v>4</v>
      </c>
      <c r="G96" t="inlineStr">
        <is>
          <t>RK001, RK002</t>
        </is>
      </c>
      <c r="H96" t="inlineStr">
        <is>
          <t>25 Februari 2019</t>
        </is>
      </c>
      <c r="I96" s="2" t="n">
        <v>46342</v>
      </c>
      <c r="J96" t="inlineStr">
        <is>
          <t>Disetujui</t>
        </is>
      </c>
      <c r="K96" t="n">
        <v>60</v>
      </c>
      <c r="L96" t="inlineStr">
        <is>
          <t>16 November 2026</t>
        </is>
      </c>
      <c r="M96" t="inlineStr">
        <is>
          <t>Jasa Rekayasa Konstruksi Bangunan Gedung Hunian dan Non Hunian, Jasa Rekayasa Pekerjaan Teknik Sipil Sumber Daya Air</t>
        </is>
      </c>
      <c r="N96" t="inlineStr">
        <is>
          <t>K</t>
        </is>
      </c>
      <c r="O96" t="inlineStr">
        <is>
          <t>20230724, 20231101</t>
        </is>
      </c>
      <c r="P96" t="inlineStr">
        <is>
          <t>Kalimantan Selatan</t>
        </is>
      </c>
      <c r="Q96" t="inlineStr"/>
    </row>
    <row r="97">
      <c r="A97" t="inlineStr">
        <is>
          <t>RAIH PUTRA PERDANA</t>
        </is>
      </c>
      <c r="B97" t="inlineStr">
        <is>
          <t>Kab. Tangerang</t>
        </is>
      </c>
      <c r="C97" t="inlineStr">
        <is>
          <t>085691398310</t>
        </is>
      </c>
      <c r="D97" t="inlineStr">
        <is>
          <t>cv_rpp1321@yahoo.com</t>
        </is>
      </c>
      <c r="E97" t="inlineStr">
        <is>
          <t>https://lpjk.pu.go.id/search-badan-usaha-detail/blZpM0FobEdZVmlpNk1rRVpudStTZz09</t>
        </is>
      </c>
      <c r="F97" t="n">
        <v>1</v>
      </c>
      <c r="G97" t="inlineStr">
        <is>
          <t>BG006</t>
        </is>
      </c>
      <c r="H97" t="inlineStr">
        <is>
          <t>25 Oktober 2023</t>
        </is>
      </c>
      <c r="I97" s="2" t="n">
        <v>46342</v>
      </c>
      <c r="J97" t="inlineStr">
        <is>
          <t>Disetujui</t>
        </is>
      </c>
      <c r="K97" t="n">
        <v>60</v>
      </c>
      <c r="L97" t="inlineStr">
        <is>
          <t>16 November 2026</t>
        </is>
      </c>
      <c r="M97" t="inlineStr">
        <is>
          <t>Konstruksi Gedung Pendidikan</t>
        </is>
      </c>
      <c r="N97" t="inlineStr">
        <is>
          <t>K</t>
        </is>
      </c>
      <c r="O97" t="inlineStr">
        <is>
          <t>20231114</t>
        </is>
      </c>
      <c r="P97" t="inlineStr">
        <is>
          <t>Banten</t>
        </is>
      </c>
      <c r="Q97" t="inlineStr"/>
    </row>
    <row r="98">
      <c r="A98" t="inlineStr">
        <is>
          <t>RAKA MAKMUR</t>
        </is>
      </c>
      <c r="B98" t="inlineStr">
        <is>
          <t>Kab. Banyuwangi</t>
        </is>
      </c>
      <c r="C98" t="inlineStr">
        <is>
          <t>081231013333</t>
        </is>
      </c>
      <c r="D98" t="inlineStr">
        <is>
          <t>rakamakmur.cv@gmail.com</t>
        </is>
      </c>
      <c r="E98" t="inlineStr">
        <is>
          <t>https://lpjk.pu.go.id/search-badan-usaha-detail/ZDR5eUlkWlEvNUY0RnFaNDR6bVpVdz09</t>
        </is>
      </c>
      <c r="F98" t="n">
        <v>2</v>
      </c>
      <c r="G98" t="inlineStr">
        <is>
          <t>BG006, BG009</t>
        </is>
      </c>
      <c r="H98" t="inlineStr">
        <is>
          <t>19 Desember 2019</t>
        </is>
      </c>
      <c r="I98" s="2" t="n">
        <v>46342</v>
      </c>
      <c r="J98" t="inlineStr">
        <is>
          <t>Disetujui</t>
        </is>
      </c>
      <c r="K98" t="n">
        <v>60</v>
      </c>
      <c r="L98" t="inlineStr">
        <is>
          <t>16 November 2026</t>
        </is>
      </c>
      <c r="M98" t="inlineStr">
        <is>
          <t>Konstruksi Gedung Lainnya, Konstruksi Gedung Pendidikan</t>
        </is>
      </c>
      <c r="N98" t="inlineStr">
        <is>
          <t>K</t>
        </is>
      </c>
      <c r="O98" t="inlineStr">
        <is>
          <t>20231117</t>
        </is>
      </c>
      <c r="P98" t="inlineStr">
        <is>
          <t>Jawa Timur</t>
        </is>
      </c>
      <c r="Q98" t="inlineStr"/>
    </row>
    <row r="99">
      <c r="A99" t="inlineStr">
        <is>
          <t>RAKAN DROE</t>
        </is>
      </c>
      <c r="B99" t="inlineStr">
        <is>
          <t>Kab. Aceh Besar</t>
        </is>
      </c>
      <c r="C99" t="inlineStr">
        <is>
          <t>085260433554</t>
        </is>
      </c>
      <c r="D99" t="inlineStr">
        <is>
          <t>cv.rakandroe2019@gmail.com</t>
        </is>
      </c>
      <c r="E99" t="inlineStr">
        <is>
          <t>https://lpjk.pu.go.id/search-badan-usaha-detail/NlFTWTh3WU5QS0t6ZFExT2ZpRU1UZz09</t>
        </is>
      </c>
      <c r="F99" t="n">
        <v>6</v>
      </c>
      <c r="G99" t="inlineStr">
        <is>
          <t>BG005, BG006, BG009</t>
        </is>
      </c>
      <c r="H99" t="inlineStr">
        <is>
          <t>28 Desember 2006</t>
        </is>
      </c>
      <c r="I99" s="2" t="n">
        <v>46342</v>
      </c>
      <c r="J99" t="inlineStr">
        <is>
          <t>Disetujui</t>
        </is>
      </c>
      <c r="K99" t="n">
        <v>60</v>
      </c>
      <c r="L99" t="inlineStr">
        <is>
          <t>16 November 2026</t>
        </is>
      </c>
      <c r="M99" t="inlineStr">
        <is>
          <t>Konstruksi Gedung Kesehatan, Konstruksi Gedung Lainnya, Konstruksi Gedung Pendidikan</t>
        </is>
      </c>
      <c r="N99" t="inlineStr">
        <is>
          <t>K</t>
        </is>
      </c>
      <c r="O99" t="inlineStr">
        <is>
          <t>20231116, 20231117</t>
        </is>
      </c>
      <c r="P99" t="inlineStr">
        <is>
          <t>Aceh</t>
        </is>
      </c>
      <c r="Q99" t="inlineStr"/>
    </row>
    <row r="100">
      <c r="A100" t="inlineStr">
        <is>
          <t>RATU PANTEE KALUT</t>
        </is>
      </c>
      <c r="B100" t="inlineStr">
        <is>
          <t>Kab. Aceh Besar</t>
        </is>
      </c>
      <c r="C100" t="inlineStr">
        <is>
          <t>085248939980</t>
        </is>
      </c>
      <c r="D100" t="inlineStr">
        <is>
          <t>ratupanteekalut@gmail.com</t>
        </is>
      </c>
      <c r="E100" t="inlineStr">
        <is>
          <t>https://lpjk.pu.go.id/search-badan-usaha-detail/TEhxL2xxeW0vNHZ5ZXd0TnRwZkpkUT09</t>
        </is>
      </c>
      <c r="F100" t="n">
        <v>3</v>
      </c>
      <c r="G100" t="inlineStr">
        <is>
          <t>BG001, BG005, BG006</t>
        </is>
      </c>
      <c r="H100" t="inlineStr">
        <is>
          <t>20 Januari 2015</t>
        </is>
      </c>
      <c r="I100" s="2" t="n">
        <v>46342</v>
      </c>
      <c r="J100" t="inlineStr">
        <is>
          <t>Disetujui</t>
        </is>
      </c>
      <c r="K100" t="n">
        <v>60</v>
      </c>
      <c r="L100" t="inlineStr">
        <is>
          <t>16 November 2026</t>
        </is>
      </c>
      <c r="M100" t="inlineStr">
        <is>
          <t>Konstruksi Gedung Hunian, Konstruksi Gedung Kesehatan, Konstruksi Gedung Pendidikan</t>
        </is>
      </c>
      <c r="N100" t="inlineStr">
        <is>
          <t>K</t>
        </is>
      </c>
      <c r="O100" t="inlineStr">
        <is>
          <t>20231116</t>
        </is>
      </c>
      <c r="P100" t="inlineStr">
        <is>
          <t>Aceh</t>
        </is>
      </c>
      <c r="Q100" t="inlineStr"/>
    </row>
    <row r="101">
      <c r="A101" t="inlineStr">
        <is>
          <t>RUBY MAS</t>
        </is>
      </c>
      <c r="B101" t="inlineStr">
        <is>
          <t>Kab. Tegal</t>
        </is>
      </c>
      <c r="C101" t="inlineStr">
        <is>
          <t>08190261310</t>
        </is>
      </c>
      <c r="D101" t="inlineStr">
        <is>
          <t>cvrubymas@yahoo.com</t>
        </is>
      </c>
      <c r="E101" t="inlineStr">
        <is>
          <t>https://lpjk.pu.go.id/search-badan-usaha-detail/Nk5uVzY5NG5mVXloOTBEdGltU2xjZz09</t>
        </is>
      </c>
      <c r="F101" t="n">
        <v>2</v>
      </c>
      <c r="G101" t="inlineStr">
        <is>
          <t>BG006, BS005</t>
        </is>
      </c>
      <c r="H101" t="inlineStr">
        <is>
          <t>23 September 2014</t>
        </is>
      </c>
      <c r="I101" s="2" t="n">
        <v>46342</v>
      </c>
      <c r="J101" t="inlineStr">
        <is>
          <t>Disetujui</t>
        </is>
      </c>
      <c r="K101" t="n">
        <v>60</v>
      </c>
      <c r="L101" t="inlineStr">
        <is>
          <t>16 November 2026</t>
        </is>
      </c>
      <c r="M101" t="inlineStr">
        <is>
          <t>Konstruksi Bangunan Sipil Pengolahan Air Bersih, Konstruksi Gedung Pendidikan</t>
        </is>
      </c>
      <c r="N101" t="inlineStr">
        <is>
          <t>K</t>
        </is>
      </c>
      <c r="O101" t="inlineStr">
        <is>
          <t>20231114</t>
        </is>
      </c>
      <c r="P101" t="inlineStr">
        <is>
          <t>Jawa Tengah</t>
        </is>
      </c>
      <c r="Q101" t="inlineStr"/>
    </row>
    <row r="102">
      <c r="A102" t="inlineStr">
        <is>
          <t>SAGAWIN PUTRA</t>
        </is>
      </c>
      <c r="B102" t="inlineStr">
        <is>
          <t>Kota Sorong</t>
        </is>
      </c>
      <c r="C102" t="inlineStr">
        <is>
          <t>082194660276</t>
        </is>
      </c>
      <c r="D102" t="inlineStr">
        <is>
          <t>putrasagawin@gmail.com</t>
        </is>
      </c>
      <c r="E102" t="inlineStr">
        <is>
          <t>https://lpjk.pu.go.id/search-badan-usaha-detail/aHhtTUh3R1dyYmd1bk5DVU00NkREdz09</t>
        </is>
      </c>
      <c r="F102" t="n">
        <v>2</v>
      </c>
      <c r="G102" t="inlineStr">
        <is>
          <t>BS001, BS010</t>
        </is>
      </c>
      <c r="H102" t="inlineStr">
        <is>
          <t>9 Oktober 2023</t>
        </is>
      </c>
      <c r="I102" s="2" t="n">
        <v>46342</v>
      </c>
      <c r="J102" t="inlineStr">
        <is>
          <t>Disetujui, Pencabutan</t>
        </is>
      </c>
      <c r="K102" t="n">
        <v>60</v>
      </c>
      <c r="L102" t="inlineStr">
        <is>
          <t>16 November 2026</t>
        </is>
      </c>
      <c r="M102" t="inlineStr">
        <is>
          <t>Konstruksi Bangunan Prasarana Sumber Daya Air, Konstruksi Bangunan Sipil Jalan</t>
        </is>
      </c>
      <c r="N102" t="inlineStr">
        <is>
          <t>K</t>
        </is>
      </c>
      <c r="O102" t="inlineStr">
        <is>
          <t>20231111, 20231115</t>
        </is>
      </c>
      <c r="P102" t="inlineStr">
        <is>
          <t>Papua Barat Daya</t>
        </is>
      </c>
      <c r="Q102" t="inlineStr"/>
    </row>
    <row r="103">
      <c r="A103" t="inlineStr">
        <is>
          <t>SAHARA NIAGA NUSANTARA</t>
        </is>
      </c>
      <c r="B103" t="inlineStr">
        <is>
          <t>Kab. Bone</t>
        </is>
      </c>
      <c r="C103" t="inlineStr">
        <is>
          <t>85237192867</t>
        </is>
      </c>
      <c r="D103" t="inlineStr">
        <is>
          <t>jaya_makmur08@yahoo.com</t>
        </is>
      </c>
      <c r="E103" t="inlineStr">
        <is>
          <t>https://lpjk.pu.go.id/search-badan-usaha-detail/SlZaRG5aQ0htTE9ySlhTbWJNRFNuZz09</t>
        </is>
      </c>
      <c r="F103" t="n">
        <v>3</v>
      </c>
      <c r="G103" t="inlineStr">
        <is>
          <t>BG001, BG002, BG009</t>
        </is>
      </c>
      <c r="H103" t="inlineStr">
        <is>
          <t>24 April 2010</t>
        </is>
      </c>
      <c r="I103" s="2" t="n">
        <v>46342</v>
      </c>
      <c r="J103" t="inlineStr">
        <is>
          <t>Disetujui</t>
        </is>
      </c>
      <c r="K103" t="n">
        <v>60</v>
      </c>
      <c r="L103" t="inlineStr">
        <is>
          <t>16 November 2026</t>
        </is>
      </c>
      <c r="M103" t="inlineStr">
        <is>
          <t>Konstruksi Gedung Hunian, Konstruksi Gedung Lainnya, Konstruksi Gedung Perkantoran</t>
        </is>
      </c>
      <c r="N103" t="inlineStr">
        <is>
          <t>K</t>
        </is>
      </c>
      <c r="O103" t="inlineStr">
        <is>
          <t>20231117</t>
        </is>
      </c>
      <c r="P103" t="inlineStr">
        <is>
          <t>Sulawesi Selatan</t>
        </is>
      </c>
      <c r="Q103" t="inlineStr"/>
    </row>
    <row r="104">
      <c r="A104" t="inlineStr">
        <is>
          <t>SANGJAYA ABADI</t>
        </is>
      </c>
      <c r="B104" t="inlineStr">
        <is>
          <t>Kota Bandar Lampung</t>
        </is>
      </c>
      <c r="C104" t="inlineStr">
        <is>
          <t>082176116606</t>
        </is>
      </c>
      <c r="D104" t="inlineStr">
        <is>
          <t>sangjayaabadi11@yahoo.com</t>
        </is>
      </c>
      <c r="E104" t="inlineStr">
        <is>
          <t>https://lpjk.pu.go.id/search-badan-usaha-detail/alhaeGswVXI5NXlLWXRUQ0txTDNnQT09</t>
        </is>
      </c>
      <c r="F104" t="n">
        <v>1</v>
      </c>
      <c r="G104" t="inlineStr">
        <is>
          <t>BG001</t>
        </is>
      </c>
      <c r="H104" t="inlineStr">
        <is>
          <t>26 Februari 2015</t>
        </is>
      </c>
      <c r="I104" s="2" t="n">
        <v>46342</v>
      </c>
      <c r="J104" t="inlineStr">
        <is>
          <t>Disetujui</t>
        </is>
      </c>
      <c r="K104" t="n">
        <v>60</v>
      </c>
      <c r="L104" t="inlineStr">
        <is>
          <t>16 November 2026</t>
        </is>
      </c>
      <c r="M104" t="inlineStr">
        <is>
          <t>Konstruksi Gedung Hunian</t>
        </is>
      </c>
      <c r="N104" t="inlineStr">
        <is>
          <t>K</t>
        </is>
      </c>
      <c r="O104" t="inlineStr">
        <is>
          <t>20231117</t>
        </is>
      </c>
      <c r="P104" t="inlineStr">
        <is>
          <t>Lampung</t>
        </is>
      </c>
      <c r="Q104" t="inlineStr"/>
    </row>
    <row r="105">
      <c r="A105" t="inlineStr">
        <is>
          <t>SANTIKA PRATAMA</t>
        </is>
      </c>
      <c r="B105" t="inlineStr">
        <is>
          <t>Kab. Sumedang</t>
        </is>
      </c>
      <c r="C105" t="inlineStr">
        <is>
          <t>081321932999</t>
        </is>
      </c>
      <c r="D105" t="inlineStr">
        <is>
          <t>santikapratama782@gmail.com</t>
        </is>
      </c>
      <c r="E105" t="inlineStr">
        <is>
          <t>https://lpjk.pu.go.id/search-badan-usaha-detail/REpLcnNPZzFoc0M2SUNkMSt5ekVqdz09</t>
        </is>
      </c>
      <c r="F105" t="n">
        <v>8</v>
      </c>
      <c r="G105" t="inlineStr">
        <is>
          <t>BG004, BG005, BG006, BG009</t>
        </is>
      </c>
      <c r="H105" t="inlineStr">
        <is>
          <t>20 Desember 2010</t>
        </is>
      </c>
      <c r="I105" s="2" t="n">
        <v>46342</v>
      </c>
      <c r="J105" t="inlineStr">
        <is>
          <t>Disetujui</t>
        </is>
      </c>
      <c r="K105" t="n">
        <v>60</v>
      </c>
      <c r="L105" t="inlineStr">
        <is>
          <t>16 November 2026</t>
        </is>
      </c>
      <c r="M105" t="inlineStr">
        <is>
          <t>Konstruksi Gedung Kesehatan, Konstruksi Gedung Lainnya, Konstruksi Gedung Pendidikan, Konstruksi Gedung Perbelanjaan</t>
        </is>
      </c>
      <c r="N105" t="inlineStr">
        <is>
          <t>K</t>
        </is>
      </c>
      <c r="O105" t="inlineStr">
        <is>
          <t>20231113</t>
        </is>
      </c>
      <c r="P105" t="inlineStr">
        <is>
          <t>Jawa Barat</t>
        </is>
      </c>
      <c r="Q105" t="inlineStr"/>
    </row>
    <row r="106">
      <c r="A106" t="inlineStr">
        <is>
          <t>SATRIA</t>
        </is>
      </c>
      <c r="B106" t="inlineStr">
        <is>
          <t>Kab. Bojonegoro</t>
        </is>
      </c>
      <c r="C106" t="inlineStr">
        <is>
          <t>081359778486</t>
        </is>
      </c>
      <c r="D106" t="inlineStr">
        <is>
          <t>cv.satria13@gmail.com</t>
        </is>
      </c>
      <c r="E106" t="inlineStr">
        <is>
          <t>https://lpjk.pu.go.id/search-badan-usaha-detail/UDczRzdDZkM1VkJPbXE5bndQTnhGdz09</t>
        </is>
      </c>
      <c r="F106" t="n">
        <v>2</v>
      </c>
      <c r="G106" t="inlineStr">
        <is>
          <t>BS001, BS002</t>
        </is>
      </c>
      <c r="H106" t="inlineStr">
        <is>
          <t>15 November 2006</t>
        </is>
      </c>
      <c r="I106" s="2" t="n">
        <v>46342</v>
      </c>
      <c r="J106" t="inlineStr">
        <is>
          <t>Pencabutan</t>
        </is>
      </c>
      <c r="K106" t="n">
        <v>60</v>
      </c>
      <c r="L106" t="inlineStr">
        <is>
          <t>16 November 2026</t>
        </is>
      </c>
      <c r="M106" t="inlineStr">
        <is>
          <t>Bangunan Sipil Jembatan, Jalan Layang, Fly Over, dan Underpass, Konstruksi Bangunan Sipil Jalan</t>
        </is>
      </c>
      <c r="N106" t="inlineStr">
        <is>
          <t>K</t>
        </is>
      </c>
      <c r="O106" t="inlineStr">
        <is>
          <t>20231115, 20231120</t>
        </is>
      </c>
      <c r="P106" t="inlineStr">
        <is>
          <t>Jawa Timur</t>
        </is>
      </c>
      <c r="Q106" t="inlineStr"/>
    </row>
    <row r="107">
      <c r="A107" t="inlineStr">
        <is>
          <t>SEJAHTERA INTERCON</t>
        </is>
      </c>
      <c r="B107" t="inlineStr">
        <is>
          <t>Kota Palembang</t>
        </is>
      </c>
      <c r="C107" t="inlineStr">
        <is>
          <t>0811715725</t>
        </is>
      </c>
      <c r="D107" t="inlineStr">
        <is>
          <t>s_intercon@yahoo.com</t>
        </is>
      </c>
      <c r="E107" t="inlineStr">
        <is>
          <t>https://lpjk.pu.go.id/search-badan-usaha-detail/NS9YUGR6SUx1SVNaaWw4em4zRU1rQT09</t>
        </is>
      </c>
      <c r="F107" t="n">
        <v>1</v>
      </c>
      <c r="G107" t="inlineStr">
        <is>
          <t>BS007</t>
        </is>
      </c>
      <c r="H107" t="inlineStr">
        <is>
          <t>5 April 1995</t>
        </is>
      </c>
      <c r="I107" s="2" t="n">
        <v>46342</v>
      </c>
      <c r="J107" t="inlineStr">
        <is>
          <t>Disetujui</t>
        </is>
      </c>
      <c r="K107" t="n">
        <v>60</v>
      </c>
      <c r="L107" t="inlineStr">
        <is>
          <t>16 November 2026</t>
        </is>
      </c>
      <c r="M107" t="inlineStr">
        <is>
          <t>Konstruksi Bangunan Sipil Elektrikal</t>
        </is>
      </c>
      <c r="N107" t="inlineStr">
        <is>
          <t>B</t>
        </is>
      </c>
      <c r="O107" t="inlineStr">
        <is>
          <t>20231116</t>
        </is>
      </c>
      <c r="P107" t="inlineStr">
        <is>
          <t>Sumatera Selatan</t>
        </is>
      </c>
      <c r="Q107" t="inlineStr"/>
    </row>
    <row r="108">
      <c r="A108" t="inlineStr">
        <is>
          <t>SEJAHTERA JAYA ABADI</t>
        </is>
      </c>
      <c r="B108" t="inlineStr">
        <is>
          <t>Kab. Sidoarjo</t>
        </is>
      </c>
      <c r="C108" t="inlineStr">
        <is>
          <t>082196475842</t>
        </is>
      </c>
      <c r="D108" t="inlineStr">
        <is>
          <t>sejahteraabadi100@gmail.com</t>
        </is>
      </c>
      <c r="E108" t="inlineStr">
        <is>
          <t>https://lpjk.pu.go.id/search-badan-usaha-detail/ajVJY1N0OGNjdndCRW5KTzJkR1dYZz09</t>
        </is>
      </c>
      <c r="F108" t="n">
        <v>3</v>
      </c>
      <c r="G108" t="inlineStr">
        <is>
          <t>BG005, BG006, BG009</t>
        </is>
      </c>
      <c r="H108" t="inlineStr">
        <is>
          <t>19 April 2018</t>
        </is>
      </c>
      <c r="I108" s="2" t="n">
        <v>46342</v>
      </c>
      <c r="J108" t="inlineStr">
        <is>
          <t>Disetujui</t>
        </is>
      </c>
      <c r="K108" t="n">
        <v>60</v>
      </c>
      <c r="L108" t="inlineStr">
        <is>
          <t>16 November 2026</t>
        </is>
      </c>
      <c r="M108" t="inlineStr">
        <is>
          <t>Konstruksi Gedung Kesehatan, Konstruksi Gedung Lainnya, Konstruksi Gedung Pendidikan</t>
        </is>
      </c>
      <c r="N108" t="inlineStr">
        <is>
          <t>K</t>
        </is>
      </c>
      <c r="O108" t="inlineStr">
        <is>
          <t>20231115</t>
        </is>
      </c>
      <c r="P108" t="inlineStr">
        <is>
          <t>Jawa Timur</t>
        </is>
      </c>
      <c r="Q108" t="inlineStr"/>
    </row>
    <row r="109">
      <c r="A109" t="inlineStr">
        <is>
          <t>SEJAHTERA PERKASA BERSAMA</t>
        </is>
      </c>
      <c r="B109" t="inlineStr">
        <is>
          <t>Kota Palembang</t>
        </is>
      </c>
      <c r="C109" t="inlineStr">
        <is>
          <t>085267873834</t>
        </is>
      </c>
      <c r="D109" t="inlineStr">
        <is>
          <t>sejahteraa.bersama@gmail.com</t>
        </is>
      </c>
      <c r="E109" t="inlineStr">
        <is>
          <t>https://lpjk.pu.go.id/search-badan-usaha-detail/WVVUV2Rlc1NIMXZNbHlnMjN3OGNiUT09</t>
        </is>
      </c>
      <c r="F109" t="n">
        <v>2</v>
      </c>
      <c r="G109" t="inlineStr">
        <is>
          <t>BS002, BS003</t>
        </is>
      </c>
      <c r="H109" t="inlineStr">
        <is>
          <t>7 Desember 2012</t>
        </is>
      </c>
      <c r="I109" s="2" t="n">
        <v>46342</v>
      </c>
      <c r="J109" t="inlineStr">
        <is>
          <t>Disetujui</t>
        </is>
      </c>
      <c r="K109" t="n">
        <v>60</v>
      </c>
      <c r="L109" t="inlineStr">
        <is>
          <t>16 November 2026</t>
        </is>
      </c>
      <c r="M109" t="inlineStr">
        <is>
          <t>Bangunan Sipil Jembatan, Jalan Layang, Fly Over, dan Underpass, Konstruksi Jalan Rel</t>
        </is>
      </c>
      <c r="N109" t="inlineStr">
        <is>
          <t>K</t>
        </is>
      </c>
      <c r="O109" t="inlineStr">
        <is>
          <t>20231023</t>
        </is>
      </c>
      <c r="P109" t="inlineStr">
        <is>
          <t>Sumatera Selatan</t>
        </is>
      </c>
      <c r="Q109" t="inlineStr"/>
    </row>
    <row r="110">
      <c r="A110" t="inlineStr">
        <is>
          <t>SIMETRIS PULUNGINDO UTAMA</t>
        </is>
      </c>
      <c r="B110" t="inlineStr">
        <is>
          <t>Kota Medan</t>
        </is>
      </c>
      <c r="C110" t="inlineStr">
        <is>
          <t>-</t>
        </is>
      </c>
      <c r="D110" t="inlineStr">
        <is>
          <t>batusari92@gmail.com</t>
        </is>
      </c>
      <c r="E110" t="inlineStr">
        <is>
          <t>https://lpjk.pu.go.id/search-badan-usaha-detail/TnM0Tk1IZFBHVktXYy9NNWpvMitrQT09</t>
        </is>
      </c>
      <c r="F110" t="n">
        <v>1</v>
      </c>
      <c r="G110" t="inlineStr">
        <is>
          <t>RK002</t>
        </is>
      </c>
      <c r="H110" t="inlineStr">
        <is>
          <t>15 November 2019</t>
        </is>
      </c>
      <c r="I110" s="2" t="n">
        <v>46342</v>
      </c>
      <c r="J110" t="inlineStr">
        <is>
          <t>Pencabutan</t>
        </is>
      </c>
      <c r="K110" t="n">
        <v>60</v>
      </c>
      <c r="L110" t="inlineStr">
        <is>
          <t>16 November 2026</t>
        </is>
      </c>
      <c r="M110" t="inlineStr">
        <is>
          <t>Jasa Rekayasa Pekerjaan Teknik Sipil Sumber Daya Air</t>
        </is>
      </c>
      <c r="N110" t="inlineStr">
        <is>
          <t>K</t>
        </is>
      </c>
      <c r="O110" t="inlineStr">
        <is>
          <t>20231108</t>
        </is>
      </c>
      <c r="P110" t="inlineStr">
        <is>
          <t>Sumatera Utara</t>
        </is>
      </c>
      <c r="Q110" t="inlineStr"/>
    </row>
    <row r="111">
      <c r="A111" t="inlineStr">
        <is>
          <t>SINAR CAHAYA TERANG</t>
        </is>
      </c>
      <c r="B111" t="inlineStr">
        <is>
          <t>Kota Palangkaraya</t>
        </is>
      </c>
      <c r="C111" t="inlineStr">
        <is>
          <t>081347217277</t>
        </is>
      </c>
      <c r="D111" t="inlineStr">
        <is>
          <t>cvsinarcahayaterang@gmail.com</t>
        </is>
      </c>
      <c r="E111" t="inlineStr">
        <is>
          <t>https://lpjk.pu.go.id/search-badan-usaha-detail/ZHVFL2dEbW93ZktWQitwcU11UVVVQT09</t>
        </is>
      </c>
      <c r="F111" t="n">
        <v>2</v>
      </c>
      <c r="G111" t="inlineStr">
        <is>
          <t>BS001, BS004</t>
        </is>
      </c>
      <c r="H111" t="inlineStr">
        <is>
          <t>27 Januari 2020</t>
        </is>
      </c>
      <c r="I111" s="2" t="n">
        <v>46342</v>
      </c>
      <c r="J111" t="inlineStr">
        <is>
          <t>Pencabutan</t>
        </is>
      </c>
      <c r="K111" t="n">
        <v>60</v>
      </c>
      <c r="L111" t="inlineStr">
        <is>
          <t>16 November 2026</t>
        </is>
      </c>
      <c r="M111" t="inlineStr">
        <is>
          <t>Konstruksi Bangunan Sipil Jalan, Konstruksi Jaringan Irigasi dan Drainase</t>
        </is>
      </c>
      <c r="N111" t="inlineStr">
        <is>
          <t>K</t>
        </is>
      </c>
      <c r="O111" t="inlineStr">
        <is>
          <t>20231114, 20231115</t>
        </is>
      </c>
      <c r="P111" t="inlineStr">
        <is>
          <t>Kalimantan Tengah</t>
        </is>
      </c>
      <c r="Q111" t="inlineStr"/>
    </row>
    <row r="112">
      <c r="A112" t="inlineStr">
        <is>
          <t>SINAR PANCA</t>
        </is>
      </c>
      <c r="B112" t="inlineStr">
        <is>
          <t>Kota Adm. Jakarta Barat</t>
        </is>
      </c>
      <c r="C112" t="inlineStr">
        <is>
          <t>0215828169</t>
        </is>
      </c>
      <c r="D112" t="inlineStr">
        <is>
          <t>susans_5@yahoo.co.id</t>
        </is>
      </c>
      <c r="E112" t="inlineStr">
        <is>
          <t>https://lpjk.pu.go.id/search-badan-usaha-detail/bkJGVHlheC9VRnBadkNzVXNRU2Zpdz09</t>
        </is>
      </c>
      <c r="F112" t="n">
        <v>1</v>
      </c>
      <c r="G112" t="inlineStr">
        <is>
          <t>BG009</t>
        </is>
      </c>
      <c r="H112" t="inlineStr">
        <is>
          <t>28 Juni 2010</t>
        </is>
      </c>
      <c r="I112" s="2" t="n">
        <v>46342</v>
      </c>
      <c r="J112" t="inlineStr">
        <is>
          <t>Disetujui</t>
        </is>
      </c>
      <c r="K112" t="n">
        <v>60</v>
      </c>
      <c r="L112" t="inlineStr">
        <is>
          <t>16 November 2026</t>
        </is>
      </c>
      <c r="M112" t="inlineStr">
        <is>
          <t>Konstruksi Gedung Lainnya</t>
        </is>
      </c>
      <c r="N112" t="inlineStr">
        <is>
          <t>K</t>
        </is>
      </c>
      <c r="O112" t="inlineStr">
        <is>
          <t>20231116</t>
        </is>
      </c>
      <c r="P112" t="inlineStr">
        <is>
          <t>DKI Jakarta</t>
        </is>
      </c>
      <c r="Q112" t="inlineStr"/>
    </row>
    <row r="113">
      <c r="A113" t="inlineStr">
        <is>
          <t>SINERGI MITRA OPERASI REMBANG</t>
        </is>
      </c>
      <c r="B113" t="inlineStr">
        <is>
          <t>Kab. Rembang</t>
        </is>
      </c>
      <c r="C113" t="inlineStr">
        <is>
          <t>085775302999</t>
        </is>
      </c>
      <c r="D113" t="inlineStr">
        <is>
          <t>corp@smor.co.id</t>
        </is>
      </c>
      <c r="E113" t="inlineStr">
        <is>
          <t>https://lpjk.pu.go.id/search-badan-usaha-detail/S0Q3dFRqMUZqRlN5azFyazNXQlFjdz09</t>
        </is>
      </c>
      <c r="F113" t="n">
        <v>3</v>
      </c>
      <c r="G113" t="inlineStr">
        <is>
          <t>BG003, BG009, IN001</t>
        </is>
      </c>
      <c r="H113" t="inlineStr">
        <is>
          <t>12 Juni 2020</t>
        </is>
      </c>
      <c r="I113" s="2" t="n">
        <v>46342</v>
      </c>
      <c r="J113" t="inlineStr">
        <is>
          <t>Disetujui</t>
        </is>
      </c>
      <c r="K113" t="n">
        <v>60</v>
      </c>
      <c r="L113" t="inlineStr">
        <is>
          <t>16 November 2026</t>
        </is>
      </c>
      <c r="M113" t="inlineStr">
        <is>
          <t>Instalasi Mekanikal, Konstruksi Gedung Industri, Konstruksi Gedung Lainnya</t>
        </is>
      </c>
      <c r="N113" t="inlineStr">
        <is>
          <t>K, Spesialis</t>
        </is>
      </c>
      <c r="O113" t="inlineStr">
        <is>
          <t>20231113, 20231115</t>
        </is>
      </c>
      <c r="P113" t="inlineStr">
        <is>
          <t>Jawa Tengah</t>
        </is>
      </c>
      <c r="Q113" t="inlineStr"/>
    </row>
    <row r="114">
      <c r="A114" t="inlineStr">
        <is>
          <t>SINTESA ABHINAYA</t>
        </is>
      </c>
      <c r="B114" t="inlineStr">
        <is>
          <t>Kota Samarinda</t>
        </is>
      </c>
      <c r="C114" t="inlineStr">
        <is>
          <t>081348277376</t>
        </is>
      </c>
      <c r="D114" t="inlineStr">
        <is>
          <t>abhinayasintesa@gmail.com</t>
        </is>
      </c>
      <c r="E114" t="inlineStr">
        <is>
          <t>https://lpjk.pu.go.id/search-badan-usaha-detail/UThKeXpXZC9oT0pEZEpORWxKaXA3dz09</t>
        </is>
      </c>
      <c r="F114" t="n">
        <v>3</v>
      </c>
      <c r="G114" t="inlineStr">
        <is>
          <t>RK001, RK002, RK003</t>
        </is>
      </c>
      <c r="H114" t="inlineStr">
        <is>
          <t>14 Juli 2020</t>
        </is>
      </c>
      <c r="I114" s="2" t="n">
        <v>46342</v>
      </c>
      <c r="J114" t="inlineStr">
        <is>
          <t>Disetujui</t>
        </is>
      </c>
      <c r="K114" t="n">
        <v>60</v>
      </c>
      <c r="L114" t="inlineStr">
        <is>
          <t>16 November 2026</t>
        </is>
      </c>
      <c r="M114" t="inlineStr">
        <is>
          <t>Jasa Rekayasa Konstruksi Bangunan Gedung Hunian dan Non Hunian, Jasa Rekayasa Pekerjaan Teknik Sipil Sumber Daya Air, Jasa Rekayasa Pekerjaan Teknik Sipil Transportasi</t>
        </is>
      </c>
      <c r="N114" t="inlineStr">
        <is>
          <t>K</t>
        </is>
      </c>
      <c r="O114" t="inlineStr">
        <is>
          <t>20231113</t>
        </is>
      </c>
      <c r="P114" t="inlineStr">
        <is>
          <t>Kalimantan Timur</t>
        </is>
      </c>
      <c r="Q114" t="inlineStr"/>
    </row>
    <row r="115">
      <c r="A115" t="inlineStr">
        <is>
          <t>SOLUSI PRATAMA PERKASA</t>
        </is>
      </c>
      <c r="B115" t="inlineStr">
        <is>
          <t>Kota Semarang</t>
        </is>
      </c>
      <c r="C115" t="inlineStr">
        <is>
          <t>087731335493</t>
        </is>
      </c>
      <c r="D115" t="inlineStr">
        <is>
          <t>solusipratamaperkasa@gmail.com</t>
        </is>
      </c>
      <c r="E115" t="inlineStr">
        <is>
          <t>https://lpjk.pu.go.id/search-badan-usaha-detail/MWZPU0V5b2VvY3BvUjNLZzBJdHhsZz09</t>
        </is>
      </c>
      <c r="F115" t="n">
        <v>10</v>
      </c>
      <c r="G115" t="inlineStr">
        <is>
          <t>BG001, BG003, BG004, BG005, BG007</t>
        </is>
      </c>
      <c r="H115" t="inlineStr">
        <is>
          <t>26 September 2022</t>
        </is>
      </c>
      <c r="I115" s="2" t="n">
        <v>46342</v>
      </c>
      <c r="J115" t="inlineStr">
        <is>
          <t>Pencabutan</t>
        </is>
      </c>
      <c r="K115" t="n">
        <v>60</v>
      </c>
      <c r="L115" t="inlineStr">
        <is>
          <t>16 November 2026</t>
        </is>
      </c>
      <c r="M115" t="inlineStr">
        <is>
          <t>Konstruksi Gedung Hunian, Konstruksi Gedung Industri, Konstruksi Gedung Kesehatan, Konstruksi Gedung Penginapan, Konstruksi Gedung Perbelanjaan</t>
        </is>
      </c>
      <c r="N115" t="inlineStr">
        <is>
          <t>K</t>
        </is>
      </c>
      <c r="O115" t="inlineStr">
        <is>
          <t>20230316, 20230405</t>
        </is>
      </c>
      <c r="P115" t="inlineStr">
        <is>
          <t>Jawa Tengah</t>
        </is>
      </c>
      <c r="Q115" t="inlineStr"/>
    </row>
    <row r="116">
      <c r="A116" t="inlineStr">
        <is>
          <t>SRIWIJAYA SAMABUSA</t>
        </is>
      </c>
      <c r="B116" t="inlineStr">
        <is>
          <t>-</t>
        </is>
      </c>
      <c r="C116" t="inlineStr">
        <is>
          <t>081211229595</t>
        </is>
      </c>
      <c r="D116" t="inlineStr">
        <is>
          <t>sriwijayasamabusa.pt@gmail.com</t>
        </is>
      </c>
      <c r="E116" t="inlineStr">
        <is>
          <t>https://lpjk.pu.go.id/search-badan-usaha-detail/UWprVUdLaGVIaW9ZbHNjUWd5dUVxQT09</t>
        </is>
      </c>
      <c r="F116" t="n">
        <v>2</v>
      </c>
      <c r="G116" t="inlineStr">
        <is>
          <t>BS001, BS002</t>
        </is>
      </c>
      <c r="H116" t="inlineStr">
        <is>
          <t>13 Januari 1994</t>
        </is>
      </c>
      <c r="I116" s="2" t="n">
        <v>46342</v>
      </c>
      <c r="J116" t="inlineStr">
        <is>
          <t>Disetujui</t>
        </is>
      </c>
      <c r="K116" t="n">
        <v>60</v>
      </c>
      <c r="L116" t="inlineStr">
        <is>
          <t>16 November 2026</t>
        </is>
      </c>
      <c r="M116" t="inlineStr">
        <is>
          <t>Bangunan Sipil Jembatan, Jalan Layang, Fly Over, dan Underpass, Konstruksi Bangunan Sipil Jalan</t>
        </is>
      </c>
      <c r="N116" t="inlineStr">
        <is>
          <t>K</t>
        </is>
      </c>
      <c r="O116" t="inlineStr">
        <is>
          <t>20231020, 20231024</t>
        </is>
      </c>
      <c r="P116" t="inlineStr">
        <is>
          <t>Papua Tengah</t>
        </is>
      </c>
      <c r="Q116" t="inlineStr"/>
    </row>
    <row r="117">
      <c r="A117" t="inlineStr">
        <is>
          <t>STUDIO TIGA RUANG</t>
        </is>
      </c>
      <c r="B117" t="inlineStr">
        <is>
          <t>Kota Manado</t>
        </is>
      </c>
      <c r="C117" t="inlineStr">
        <is>
          <t>082231360625</t>
        </is>
      </c>
      <c r="D117" t="inlineStr">
        <is>
          <t>studiotigaruang@gmail.com</t>
        </is>
      </c>
      <c r="E117" t="inlineStr">
        <is>
          <t>https://lpjk.pu.go.id/search-badan-usaha-detail/bm8vNkU2eDM1bkw2UElZblZidUpJUT09</t>
        </is>
      </c>
      <c r="F117" t="n">
        <v>1</v>
      </c>
      <c r="G117" t="inlineStr">
        <is>
          <t>AR001</t>
        </is>
      </c>
      <c r="H117" t="inlineStr">
        <is>
          <t>6 April 2023</t>
        </is>
      </c>
      <c r="I117" s="2" t="n">
        <v>46342</v>
      </c>
      <c r="J117" t="inlineStr">
        <is>
          <t>Disetujui</t>
        </is>
      </c>
      <c r="K117" t="n">
        <v>60</v>
      </c>
      <c r="L117" t="inlineStr">
        <is>
          <t>16 November 2026</t>
        </is>
      </c>
      <c r="M117" t="inlineStr">
        <is>
          <t>Jasa Arsitektural Bangunan Gedung Hunian dan Non Hunian</t>
        </is>
      </c>
      <c r="N117" t="inlineStr">
        <is>
          <t>K</t>
        </is>
      </c>
      <c r="O117" t="inlineStr">
        <is>
          <t>20231102</t>
        </is>
      </c>
      <c r="P117" t="inlineStr">
        <is>
          <t>Sulawesi Utara</t>
        </is>
      </c>
      <c r="Q117" t="inlineStr"/>
    </row>
    <row r="118">
      <c r="A118" t="inlineStr">
        <is>
          <t>SUMBER KARYA</t>
        </is>
      </c>
      <c r="B118" t="inlineStr">
        <is>
          <t>Kab. Agam</t>
        </is>
      </c>
      <c r="C118" t="inlineStr">
        <is>
          <t>082387407880</t>
        </is>
      </c>
      <c r="D118" t="inlineStr">
        <is>
          <t>indratalago@yahoo.co.id</t>
        </is>
      </c>
      <c r="E118" t="inlineStr">
        <is>
          <t>https://lpjk.pu.go.id/search-badan-usaha-detail/dVltbFlVTm13OGhxL3pYdDRPUzhvUT09</t>
        </is>
      </c>
      <c r="F118" t="n">
        <v>1</v>
      </c>
      <c r="G118" t="inlineStr">
        <is>
          <t>BS004</t>
        </is>
      </c>
      <c r="H118" t="inlineStr">
        <is>
          <t>1 Mei 1972</t>
        </is>
      </c>
      <c r="I118" s="2" t="n">
        <v>46342</v>
      </c>
      <c r="J118" t="inlineStr">
        <is>
          <t>Disetujui</t>
        </is>
      </c>
      <c r="K118" t="n">
        <v>60</v>
      </c>
      <c r="L118" t="inlineStr">
        <is>
          <t>16 November 2026</t>
        </is>
      </c>
      <c r="M118" t="inlineStr">
        <is>
          <t>Konstruksi Jaringan Irigasi dan Drainase</t>
        </is>
      </c>
      <c r="N118" t="inlineStr">
        <is>
          <t>K</t>
        </is>
      </c>
      <c r="O118" t="inlineStr">
        <is>
          <t>20230820</t>
        </is>
      </c>
      <c r="P118" t="inlineStr">
        <is>
          <t>Sumatera Barat</t>
        </is>
      </c>
      <c r="Q118" t="inlineStr"/>
    </row>
    <row r="119">
      <c r="A119" t="inlineStr">
        <is>
          <t>TIGA PUTRA ARFAK BERKARYA</t>
        </is>
      </c>
      <c r="B119" t="inlineStr">
        <is>
          <t>Kab. Manokwari Selatan</t>
        </is>
      </c>
      <c r="C119" t="inlineStr">
        <is>
          <t>081216882663</t>
        </is>
      </c>
      <c r="D119" t="inlineStr">
        <is>
          <t>cvtigaputraarfakberkarya@gmail.com</t>
        </is>
      </c>
      <c r="E119" t="inlineStr">
        <is>
          <t>https://lpjk.pu.go.id/search-badan-usaha-detail/d1hNcGZiZmtVOEMwRGdzbGcvVUFYQT09</t>
        </is>
      </c>
      <c r="F119" t="n">
        <v>1</v>
      </c>
      <c r="G119" t="inlineStr">
        <is>
          <t>BG006</t>
        </is>
      </c>
      <c r="H119" t="inlineStr">
        <is>
          <t>12 Oktober 2023</t>
        </is>
      </c>
      <c r="I119" s="2" t="n">
        <v>46342</v>
      </c>
      <c r="J119" t="inlineStr">
        <is>
          <t>Pembekuan</t>
        </is>
      </c>
      <c r="K119" t="n">
        <v>60</v>
      </c>
      <c r="L119" t="inlineStr">
        <is>
          <t>16 November 2026</t>
        </is>
      </c>
      <c r="M119" t="inlineStr">
        <is>
          <t>Konstruksi Gedung Pendidikan</t>
        </is>
      </c>
      <c r="N119" t="inlineStr">
        <is>
          <t>K</t>
        </is>
      </c>
      <c r="O119" t="inlineStr">
        <is>
          <t>20231109</t>
        </is>
      </c>
      <c r="P119" t="inlineStr">
        <is>
          <t>Papua Barat</t>
        </is>
      </c>
      <c r="Q119" t="inlineStr"/>
    </row>
    <row r="120">
      <c r="A120" t="inlineStr">
        <is>
          <t>TIGA REJEKI BERSAUDARA</t>
        </is>
      </c>
      <c r="B120" t="inlineStr">
        <is>
          <t>Kota Serang</t>
        </is>
      </c>
      <c r="C120" t="inlineStr">
        <is>
          <t>082217564387</t>
        </is>
      </c>
      <c r="D120" t="inlineStr">
        <is>
          <t>cvtigarejekibersaudara@gmail.com</t>
        </is>
      </c>
      <c r="E120" t="inlineStr">
        <is>
          <t>https://lpjk.pu.go.id/search-badan-usaha-detail/b01xYUlkOVQ1TVE4b1pNV0pENE1QZz09</t>
        </is>
      </c>
      <c r="F120" t="n">
        <v>2</v>
      </c>
      <c r="G120" t="inlineStr">
        <is>
          <t>BG009, BS001</t>
        </is>
      </c>
      <c r="H120" t="inlineStr">
        <is>
          <t>23 Juni 2015</t>
        </is>
      </c>
      <c r="I120" s="2" t="n">
        <v>46342</v>
      </c>
      <c r="J120" t="inlineStr">
        <is>
          <t>Pencabutan</t>
        </is>
      </c>
      <c r="K120" t="n">
        <v>60</v>
      </c>
      <c r="L120" t="inlineStr">
        <is>
          <t>16 November 2026</t>
        </is>
      </c>
      <c r="M120" t="inlineStr">
        <is>
          <t>Konstruksi Bangunan Sipil Jalan, Konstruksi Gedung Lainnya</t>
        </is>
      </c>
      <c r="N120" t="inlineStr">
        <is>
          <t>K</t>
        </is>
      </c>
      <c r="O120" t="inlineStr">
        <is>
          <t>20231114, 20231115</t>
        </is>
      </c>
      <c r="P120" t="inlineStr">
        <is>
          <t>Banten</t>
        </is>
      </c>
      <c r="Q120" t="inlineStr"/>
    </row>
    <row r="121">
      <c r="A121" t="inlineStr">
        <is>
          <t>TIGA TUJUH SEJAHTERA</t>
        </is>
      </c>
      <c r="B121" t="inlineStr">
        <is>
          <t>Kota Mataram</t>
        </is>
      </c>
      <c r="C121" t="inlineStr">
        <is>
          <t>087863400054</t>
        </is>
      </c>
      <c r="D121" t="inlineStr">
        <is>
          <t>tigatujuhsejahtera@gmail.com</t>
        </is>
      </c>
      <c r="E121" t="inlineStr">
        <is>
          <t>https://lpjk.pu.go.id/search-badan-usaha-detail/YW9ZRjNXVnF5d08rU0NxdU5TeUExQT09</t>
        </is>
      </c>
      <c r="F121" t="n">
        <v>6</v>
      </c>
      <c r="G121" t="inlineStr">
        <is>
          <t>BG001, BG005, BG006, BG009, BS005, BS010</t>
        </is>
      </c>
      <c r="H121" t="inlineStr">
        <is>
          <t>1 September 2023</t>
        </is>
      </c>
      <c r="I121" s="2" t="n">
        <v>46342</v>
      </c>
      <c r="J121" t="inlineStr">
        <is>
          <t>Disetujui</t>
        </is>
      </c>
      <c r="K121" t="n">
        <v>60</v>
      </c>
      <c r="L121" t="inlineStr">
        <is>
          <t>16 November 2026</t>
        </is>
      </c>
      <c r="M121" t="inlineStr">
        <is>
          <t>Konstruksi Bangunan Prasarana Sumber Daya Air, Konstruksi Bangunan Sipil Pengolahan Air Bersih, Konstruksi Gedung Hunian, Konstruksi Gedung Kesehatan, Konstruksi Gedung Lainnya, Konstruksi Gedung Pendidikan</t>
        </is>
      </c>
      <c r="N121" t="inlineStr">
        <is>
          <t>K</t>
        </is>
      </c>
      <c r="O121" t="inlineStr">
        <is>
          <t>20231114, 20231116</t>
        </is>
      </c>
      <c r="P121" t="inlineStr">
        <is>
          <t>Nusa Tenggara Barat</t>
        </is>
      </c>
      <c r="Q121" t="inlineStr"/>
    </row>
    <row r="122">
      <c r="A122" t="inlineStr">
        <is>
          <t>TORASINA TEKNIK KONTRUKSI</t>
        </is>
      </c>
      <c r="B122" t="inlineStr">
        <is>
          <t>Kota Palopo</t>
        </is>
      </c>
      <c r="C122" t="inlineStr">
        <is>
          <t>085242377167</t>
        </is>
      </c>
      <c r="D122" t="inlineStr">
        <is>
          <t>torasinaplp@gmail.com</t>
        </is>
      </c>
      <c r="E122" t="inlineStr">
        <is>
          <t>https://lpjk.pu.go.id/search-badan-usaha-detail/c21EYUNmZi81aUpVc2xQL0FRUTFmZz09</t>
        </is>
      </c>
      <c r="F122" t="n">
        <v>1</v>
      </c>
      <c r="G122" t="inlineStr">
        <is>
          <t>BS001</t>
        </is>
      </c>
      <c r="H122" t="inlineStr">
        <is>
          <t>4 Oktober 2023</t>
        </is>
      </c>
      <c r="I122" s="2" t="n">
        <v>46342</v>
      </c>
      <c r="J122" t="inlineStr">
        <is>
          <t>Disetujui</t>
        </is>
      </c>
      <c r="K122" t="n">
        <v>60</v>
      </c>
      <c r="L122" t="inlineStr">
        <is>
          <t>16 November 2026</t>
        </is>
      </c>
      <c r="M122" t="inlineStr">
        <is>
          <t>Konstruksi Bangunan Sipil Jalan</t>
        </is>
      </c>
      <c r="N122" t="inlineStr">
        <is>
          <t>K</t>
        </is>
      </c>
      <c r="O122" t="inlineStr">
        <is>
          <t>20231117</t>
        </is>
      </c>
      <c r="P122" t="inlineStr">
        <is>
          <t>Sulawesi Selatan</t>
        </is>
      </c>
      <c r="Q122" t="inlineStr"/>
    </row>
    <row r="123">
      <c r="A123" t="inlineStr">
        <is>
          <t>TRI GAGAS DIMENSI</t>
        </is>
      </c>
      <c r="B123" t="inlineStr">
        <is>
          <t>Kota Mataram</t>
        </is>
      </c>
      <c r="C123" t="inlineStr">
        <is>
          <t>08175797223</t>
        </is>
      </c>
      <c r="D123" t="inlineStr">
        <is>
          <t>cv3gdimensi@yahoo.co.id</t>
        </is>
      </c>
      <c r="E123" t="inlineStr">
        <is>
          <t>https://lpjk.pu.go.id/search-badan-usaha-detail/NXhkcEpaVW9nVTd3bERYcHBNYVFyZz09</t>
        </is>
      </c>
      <c r="F123" t="n">
        <v>1</v>
      </c>
      <c r="G123" t="inlineStr">
        <is>
          <t>RK001</t>
        </is>
      </c>
      <c r="H123" t="inlineStr">
        <is>
          <t>14 Oktober 1993</t>
        </is>
      </c>
      <c r="I123" s="2" t="n">
        <v>46342</v>
      </c>
      <c r="J123" t="inlineStr">
        <is>
          <t>Disetujui</t>
        </is>
      </c>
      <c r="K123" t="n">
        <v>60</v>
      </c>
      <c r="L123" t="inlineStr">
        <is>
          <t>16 November 2026</t>
        </is>
      </c>
      <c r="M123" t="inlineStr">
        <is>
          <t>Jasa Rekayasa Konstruksi Bangunan Gedung Hunian dan Non Hunian</t>
        </is>
      </c>
      <c r="N123" t="inlineStr">
        <is>
          <t>K</t>
        </is>
      </c>
      <c r="O123" t="inlineStr">
        <is>
          <t>20231110</t>
        </is>
      </c>
      <c r="P123" t="inlineStr">
        <is>
          <t>Nusa Tenggara Barat</t>
        </is>
      </c>
      <c r="Q123" t="inlineStr"/>
    </row>
    <row r="124">
      <c r="A124" t="inlineStr">
        <is>
          <t>TRIDAYA BAKTI NUSA</t>
        </is>
      </c>
      <c r="B124" t="inlineStr">
        <is>
          <t>Kota Adm. Jakarta Selatan</t>
        </is>
      </c>
      <c r="C124" t="inlineStr">
        <is>
          <t>081283780827</t>
        </is>
      </c>
      <c r="D124" t="inlineStr">
        <is>
          <t>pttridayabaktinusa@gmail.com</t>
        </is>
      </c>
      <c r="E124" t="inlineStr">
        <is>
          <t>https://lpjk.pu.go.id/search-badan-usaha-detail/dHdKSmxDZjU2SlFucmp2VTlNa2NIZz09</t>
        </is>
      </c>
      <c r="F124" t="n">
        <v>2</v>
      </c>
      <c r="G124" t="inlineStr">
        <is>
          <t>BG002, BG009</t>
        </is>
      </c>
      <c r="H124" t="inlineStr">
        <is>
          <t>31 Juli 2023</t>
        </is>
      </c>
      <c r="I124" s="2" t="n">
        <v>46342</v>
      </c>
      <c r="J124" t="inlineStr">
        <is>
          <t>Pencabutan</t>
        </is>
      </c>
      <c r="K124" t="n">
        <v>60</v>
      </c>
      <c r="L124" t="inlineStr">
        <is>
          <t>16 November 2026</t>
        </is>
      </c>
      <c r="M124" t="inlineStr">
        <is>
          <t>Konstruksi Gedung Lainnya, Konstruksi Gedung Perkantoran</t>
        </is>
      </c>
      <c r="N124" t="inlineStr">
        <is>
          <t>K</t>
        </is>
      </c>
      <c r="O124" t="inlineStr">
        <is>
          <t>20231115</t>
        </is>
      </c>
      <c r="P124" t="inlineStr">
        <is>
          <t>DKI Jakarta</t>
        </is>
      </c>
      <c r="Q124" t="inlineStr"/>
    </row>
    <row r="125">
      <c r="A125" t="inlineStr">
        <is>
          <t>TRIKARYA VISI BERSAMA</t>
        </is>
      </c>
      <c r="B125" t="inlineStr">
        <is>
          <t>Kota Semarang</t>
        </is>
      </c>
      <c r="C125" t="inlineStr">
        <is>
          <t>081390039785</t>
        </is>
      </c>
      <c r="D125" t="inlineStr">
        <is>
          <t>cvtrikaryavisibersama@gmail.com</t>
        </is>
      </c>
      <c r="E125" t="inlineStr">
        <is>
          <t>https://lpjk.pu.go.id/search-badan-usaha-detail/WlJsdW81YUN2VlE4cjZVaSszNi92dz09</t>
        </is>
      </c>
      <c r="F125" t="n">
        <v>2</v>
      </c>
      <c r="G125" t="inlineStr">
        <is>
          <t>BG005, BG006</t>
        </is>
      </c>
      <c r="H125" t="inlineStr">
        <is>
          <t>21 Desember 2022</t>
        </is>
      </c>
      <c r="I125" s="2" t="n">
        <v>46342</v>
      </c>
      <c r="J125" t="inlineStr">
        <is>
          <t>Disetujui</t>
        </is>
      </c>
      <c r="K125" t="n">
        <v>60</v>
      </c>
      <c r="L125" t="inlineStr">
        <is>
          <t>16 November 2026</t>
        </is>
      </c>
      <c r="M125" t="inlineStr">
        <is>
          <t>Konstruksi Gedung Kesehatan, Konstruksi Gedung Pendidikan</t>
        </is>
      </c>
      <c r="N125" t="inlineStr">
        <is>
          <t>K</t>
        </is>
      </c>
      <c r="O125" t="inlineStr">
        <is>
          <t>20230114, 20231120</t>
        </is>
      </c>
      <c r="P125" t="inlineStr">
        <is>
          <t>Jawa Tengah</t>
        </is>
      </c>
      <c r="Q125" t="inlineStr"/>
    </row>
    <row r="126">
      <c r="A126" t="inlineStr">
        <is>
          <t>TUNAS MANDIRI</t>
        </is>
      </c>
      <c r="B126" t="inlineStr">
        <is>
          <t>Kota Palembang</t>
        </is>
      </c>
      <c r="C126" t="inlineStr">
        <is>
          <t>082182296776</t>
        </is>
      </c>
      <c r="D126" t="inlineStr">
        <is>
          <t>suaandri.sgc1@gmail.com</t>
        </is>
      </c>
      <c r="E126" t="inlineStr">
        <is>
          <t>https://lpjk.pu.go.id/search-badan-usaha-detail/Z0ptemp5NjNwTzk4aTQ0dkNaOWRaZz09</t>
        </is>
      </c>
      <c r="F126" t="n">
        <v>4</v>
      </c>
      <c r="G126" t="inlineStr">
        <is>
          <t>BG001, BG002, BG004, BG009</t>
        </is>
      </c>
      <c r="H126" t="inlineStr">
        <is>
          <t>4 Oktober 2023</t>
        </is>
      </c>
      <c r="I126" s="2" t="n">
        <v>46342</v>
      </c>
      <c r="J126" t="inlineStr">
        <is>
          <t>Disetujui</t>
        </is>
      </c>
      <c r="K126" t="n">
        <v>60</v>
      </c>
      <c r="L126" t="inlineStr">
        <is>
          <t>16 November 2026</t>
        </is>
      </c>
      <c r="M126" t="inlineStr">
        <is>
          <t>Konstruksi Gedung Hunian, Konstruksi Gedung Lainnya, Konstruksi Gedung Perbelanjaan, Konstruksi Gedung Perkantoran</t>
        </is>
      </c>
      <c r="N126" t="inlineStr">
        <is>
          <t>K</t>
        </is>
      </c>
      <c r="O126" t="inlineStr">
        <is>
          <t>20231115</t>
        </is>
      </c>
      <c r="P126" t="inlineStr">
        <is>
          <t>Sumatera Selatan</t>
        </is>
      </c>
      <c r="Q12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53"/>
  <sheetViews>
    <sheetView workbookViewId="0">
      <selection activeCell="A1" sqref="A1"/>
    </sheetView>
  </sheetViews>
  <sheetFormatPr baseColWidth="8" defaultRowHeight="15"/>
  <cols>
    <col width="36" customWidth="1" min="1" max="1"/>
    <col width="27" customWidth="1" min="2" max="2"/>
    <col width="16" customWidth="1" min="3" max="3"/>
    <col width="40" customWidth="1" min="4" max="4"/>
    <col width="50" customWidth="1" min="5" max="5"/>
    <col width="18" customWidth="1" min="6" max="6"/>
    <col width="50" customWidth="1" min="7" max="7"/>
    <col width="20" customWidth="1" min="8" max="8"/>
    <col width="28" customWidth="1" min="9" max="9"/>
    <col width="34" customWidth="1" min="10" max="10"/>
    <col width="11" customWidth="1" min="11" max="11"/>
    <col width="17" customWidth="1" min="12" max="12"/>
    <col width="50" customWidth="1" min="13" max="13"/>
    <col width="17" customWidth="1" min="14" max="14"/>
    <col width="4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ABDEE ANTUSIAS</t>
        </is>
      </c>
      <c r="B2" t="inlineStr">
        <is>
          <t>Kab. Bekasi</t>
        </is>
      </c>
      <c r="C2" t="inlineStr">
        <is>
          <t>081280361456</t>
        </is>
      </c>
      <c r="D2" t="inlineStr">
        <is>
          <t>abdie.antusias@gmail.com</t>
        </is>
      </c>
      <c r="E2" t="inlineStr">
        <is>
          <t>https://lpjk.pu.go.id/search-badan-usaha-detail/eEdUM2N6WUxlZ3NwSS9SVEtGVjNHQT09</t>
        </is>
      </c>
      <c r="F2" t="n">
        <v>1</v>
      </c>
      <c r="G2" t="inlineStr">
        <is>
          <t>BS004</t>
        </is>
      </c>
      <c r="H2" t="inlineStr">
        <is>
          <t>21 Desember 2009</t>
        </is>
      </c>
      <c r="I2" s="2" t="n">
        <v>46312</v>
      </c>
      <c r="J2" t="inlineStr">
        <is>
          <t>Disetujui</t>
        </is>
      </c>
      <c r="K2" t="n">
        <v>30</v>
      </c>
      <c r="L2" t="inlineStr">
        <is>
          <t>17 Oktober 2026</t>
        </is>
      </c>
      <c r="M2" t="inlineStr">
        <is>
          <t>Konstruksi Jaringan Irigasi dan Drainase</t>
        </is>
      </c>
      <c r="N2" t="inlineStr">
        <is>
          <t>K</t>
        </is>
      </c>
      <c r="O2" t="inlineStr">
        <is>
          <t>20231010</t>
        </is>
      </c>
      <c r="P2" t="inlineStr">
        <is>
          <t>Jawa Barat</t>
        </is>
      </c>
      <c r="Q2" s="3">
        <f>HYPERLINK("https://wa.me/6281280361456?text=*[Pengingat Masa Berlaku SBU ABDEE ANTUSIAS]*%0A%0AYth. Pimpinan ABDEE ANTUSIAS,%0AMohon izin menginformasikan status SBU Anda:%0A%0A📄 SBU: BS004%0A📅 Expired: 17 Oktober 2026 (30 Hari Lagi)%0A%0AKami tim PT. ESDEA Assistance Management siap men-support proses perpanjangan segera agar administrasi proyek tidak terhambat%0A%0AApakah boleh saya bantu siapkan estimasi biaya dan waktu pengerjaannya?.", "Hubungi")</f>
        <v/>
      </c>
    </row>
    <row r="3">
      <c r="A3" t="inlineStr">
        <is>
          <t>ADHIKARYA TEKNIK PERKASA</t>
        </is>
      </c>
      <c r="B3" t="inlineStr">
        <is>
          <t>Kota Adm. Jakarta Timur</t>
        </is>
      </c>
      <c r="C3" t="inlineStr">
        <is>
          <t>0214890787</t>
        </is>
      </c>
      <c r="D3" t="inlineStr">
        <is>
          <t>adhikarya_perkasa@yahoo.com</t>
        </is>
      </c>
      <c r="E3" t="inlineStr">
        <is>
          <t>https://lpjk.pu.go.id/search-badan-usaha-detail/bnd2RE9mdkp5UE5QK2NkTk5Yd1J3Zz09</t>
        </is>
      </c>
      <c r="F3" t="n">
        <v>3</v>
      </c>
      <c r="G3" t="inlineStr">
        <is>
          <t>BG003</t>
        </is>
      </c>
      <c r="H3" t="inlineStr">
        <is>
          <t>21 November 2003</t>
        </is>
      </c>
      <c r="I3" s="2" t="n">
        <v>46312</v>
      </c>
      <c r="J3" t="inlineStr">
        <is>
          <t>Disetujui</t>
        </is>
      </c>
      <c r="K3" t="n">
        <v>30</v>
      </c>
      <c r="L3" t="inlineStr">
        <is>
          <t>17 Oktober 2026</t>
        </is>
      </c>
      <c r="M3" t="inlineStr">
        <is>
          <t>Konstruksi Gedung Industri</t>
        </is>
      </c>
      <c r="N3" t="inlineStr">
        <is>
          <t>M</t>
        </is>
      </c>
      <c r="O3" t="inlineStr">
        <is>
          <t>20230905</t>
        </is>
      </c>
      <c r="P3" t="inlineStr">
        <is>
          <t>DKI Jakarta</t>
        </is>
      </c>
      <c r="Q3" t="inlineStr"/>
    </row>
    <row r="4">
      <c r="A4" t="inlineStr">
        <is>
          <t>ADINATA SURYA PRATAMA</t>
        </is>
      </c>
      <c r="B4" t="inlineStr">
        <is>
          <t>Kab. Bekasi</t>
        </is>
      </c>
      <c r="C4" t="inlineStr">
        <is>
          <t>08111343492</t>
        </is>
      </c>
      <c r="D4" t="inlineStr">
        <is>
          <t>adinataoffice@gmail.com</t>
        </is>
      </c>
      <c r="E4" t="inlineStr">
        <is>
          <t>https://lpjk.pu.go.id/search-badan-usaha-detail/K2podTBJemVuVjVIcC9oSnlld1BsUT09</t>
        </is>
      </c>
      <c r="F4" t="n">
        <v>2</v>
      </c>
      <c r="G4" t="inlineStr">
        <is>
          <t>RK001</t>
        </is>
      </c>
      <c r="H4" t="inlineStr">
        <is>
          <t>27 September 2011</t>
        </is>
      </c>
      <c r="I4" s="2" t="n">
        <v>46312</v>
      </c>
      <c r="J4" t="inlineStr">
        <is>
          <t>Disetujui</t>
        </is>
      </c>
      <c r="K4" t="n">
        <v>30</v>
      </c>
      <c r="L4" t="inlineStr">
        <is>
          <t>17 Oktober 2026</t>
        </is>
      </c>
      <c r="M4" t="inlineStr">
        <is>
          <t>Jasa Rekayasa Konstruksi Bangunan Gedung Hunian dan Non Hunian</t>
        </is>
      </c>
      <c r="N4" t="inlineStr">
        <is>
          <t>K</t>
        </is>
      </c>
      <c r="O4" t="inlineStr">
        <is>
          <t>20231010</t>
        </is>
      </c>
      <c r="P4" t="inlineStr">
        <is>
          <t>Jawa Barat</t>
        </is>
      </c>
      <c r="Q4" s="3">
        <f>HYPERLINK("https://wa.me/628111343492?text=*[Pengingat Masa Berlaku SBU ADINATA SURYA PRATAMA]*%0A%0AYth. Pimpinan ADINATA SURYA PRATAMA,%0AMohon izin menginformasikan status SBU Anda:%0A%0A📄 SBU: RK001%0A📅 Expired: 17 Oktober 2026 (30 Hari Lagi)%0A%0AKami tim PT. ESDEA Assistance Management siap men-support proses perpanjangan segera agar administrasi proyek tidak terhambat%0A%0AApakah boleh saya bantu siapkan estimasi biaya dan waktu pengerjaannya?.", "Hubungi")</f>
        <v/>
      </c>
    </row>
    <row r="5">
      <c r="A5" t="inlineStr">
        <is>
          <t>BELLA KARYA BERSINERGI MANDIRI</t>
        </is>
      </c>
      <c r="B5" t="inlineStr">
        <is>
          <t>Kota Depok</t>
        </is>
      </c>
      <c r="C5" t="inlineStr">
        <is>
          <t>082299411808</t>
        </is>
      </c>
      <c r="D5" t="inlineStr">
        <is>
          <t>bbersinergi@gmail.com</t>
        </is>
      </c>
      <c r="E5" t="inlineStr">
        <is>
          <t>https://lpjk.pu.go.id/search-badan-usaha-detail/a0YrK2gweGF1aTMxT1lvaitzdG5KZz09</t>
        </is>
      </c>
      <c r="F5" t="n">
        <v>3</v>
      </c>
      <c r="G5" t="inlineStr">
        <is>
          <t>BG006, BG009</t>
        </is>
      </c>
      <c r="H5" t="inlineStr">
        <is>
          <t>12 Februari 2019</t>
        </is>
      </c>
      <c r="I5" s="2" t="n">
        <v>46312</v>
      </c>
      <c r="J5" t="inlineStr">
        <is>
          <t>Disetujui</t>
        </is>
      </c>
      <c r="K5" t="n">
        <v>30</v>
      </c>
      <c r="L5" t="inlineStr">
        <is>
          <t>17 Oktober 2026</t>
        </is>
      </c>
      <c r="M5" t="inlineStr">
        <is>
          <t>Konstruksi Gedung Lainnya, Konstruksi Gedung Pendidikan</t>
        </is>
      </c>
      <c r="N5" t="inlineStr">
        <is>
          <t>K</t>
        </is>
      </c>
      <c r="O5" t="inlineStr">
        <is>
          <t>20230918</t>
        </is>
      </c>
      <c r="P5" t="inlineStr">
        <is>
          <t>Jawa Barat</t>
        </is>
      </c>
      <c r="Q5" s="3">
        <f>HYPERLINK("https://wa.me/6282299411808?text=*[Pengingat Masa Berlaku SBU BELLA KARYA BERSINERGI MANDIRI]*%0A%0AYth. Pimpinan BELLA KARYA BERSINERGI MANDIRI,%0AMohon izin menginformasikan status SBU Anda:%0A%0A📄 SBU: BG006, BG009%0A📅 Expired: 17 Oktober 2026 (30 Hari Lagi)%0A%0AKami tim PT. ESDEA Assistance Management siap men-support proses perpanjangan segera agar administrasi proyek tidak terhambat%0A%0AApakah boleh saya bantu siapkan estimasi biaya dan waktu pengerjaannya?.", "Hubungi")</f>
        <v/>
      </c>
    </row>
    <row r="6">
      <c r="A6" t="inlineStr">
        <is>
          <t>BINTANG KARYA KONSTRUKSI</t>
        </is>
      </c>
      <c r="B6" t="inlineStr">
        <is>
          <t>Kab. Bogor</t>
        </is>
      </c>
      <c r="C6" t="inlineStr">
        <is>
          <t>085716280300</t>
        </is>
      </c>
      <c r="D6" t="inlineStr">
        <is>
          <t>bkaryakonstruksi@gmail.com</t>
        </is>
      </c>
      <c r="E6" t="inlineStr">
        <is>
          <t>https://lpjk.pu.go.id/search-badan-usaha-detail/eWhrdS9obFE2bEp5bnJLekFrbTEzZz09</t>
        </is>
      </c>
      <c r="F6" t="n">
        <v>4</v>
      </c>
      <c r="G6" t="inlineStr">
        <is>
          <t>BG001, BS001</t>
        </is>
      </c>
      <c r="H6" t="inlineStr">
        <is>
          <t>18 Agustus 2023</t>
        </is>
      </c>
      <c r="I6" s="2" t="n">
        <v>46312</v>
      </c>
      <c r="J6" t="inlineStr">
        <is>
          <t>Disetujui</t>
        </is>
      </c>
      <c r="K6" t="n">
        <v>30</v>
      </c>
      <c r="L6" t="inlineStr">
        <is>
          <t>17 Oktober 2026</t>
        </is>
      </c>
      <c r="M6" t="inlineStr">
        <is>
          <t>Konstruksi Bangunan Sipil Jalan, Konstruksi Gedung Hunian</t>
        </is>
      </c>
      <c r="N6" t="inlineStr">
        <is>
          <t>K</t>
        </is>
      </c>
      <c r="O6" t="inlineStr">
        <is>
          <t>20231017</t>
        </is>
      </c>
      <c r="P6" t="inlineStr">
        <is>
          <t>Jawa Barat</t>
        </is>
      </c>
      <c r="Q6" s="3">
        <f>HYPERLINK("https://wa.me/6285716280300?text=*[Pengingat Masa Berlaku SBU BINTANG KARYA KONSTRUKSI]*%0A%0AYth. Pimpinan BINTANG KARYA KONSTRUKSI,%0AMohon izin menginformasikan status SBU Anda:%0A%0A📄 SBU: BG001, BS001%0A📅 Expired: 17 Oktober 2026 (30 Hari Lagi)%0A%0AKami tim PT. ESDEA Assistance Management siap men-support proses perpanjangan segera agar administrasi proyek tidak terhambat%0A%0AApakah boleh saya bantu siapkan estimasi biaya dan waktu pengerjaannya?.", "Hubungi")</f>
        <v/>
      </c>
    </row>
    <row r="7">
      <c r="A7" t="inlineStr">
        <is>
          <t>MARANTI TRENCHLESINDO ABADI</t>
        </is>
      </c>
      <c r="B7" t="inlineStr">
        <is>
          <t>Kab. Bekasi</t>
        </is>
      </c>
      <c r="C7" t="inlineStr">
        <is>
          <t>021893254465</t>
        </is>
      </c>
      <c r="D7" t="inlineStr">
        <is>
          <t>meranti.trenchlesindo@gmail.com</t>
        </is>
      </c>
      <c r="E7" t="inlineStr">
        <is>
          <t>https://lpjk.pu.go.id/search-badan-usaha-detail/SzFyM3ZpS1AwdWhTTWVGbzZXRVRsQT09</t>
        </is>
      </c>
      <c r="F7" t="n">
        <v>3</v>
      </c>
      <c r="G7" t="inlineStr">
        <is>
          <t>BG001</t>
        </is>
      </c>
      <c r="H7" t="inlineStr">
        <is>
          <t>4 November 2020</t>
        </is>
      </c>
      <c r="I7" s="2" t="n">
        <v>46312</v>
      </c>
      <c r="J7" t="inlineStr">
        <is>
          <t>Disetujui</t>
        </is>
      </c>
      <c r="K7" t="n">
        <v>30</v>
      </c>
      <c r="L7" t="inlineStr">
        <is>
          <t>17 Oktober 2026</t>
        </is>
      </c>
      <c r="M7" t="inlineStr">
        <is>
          <t>Konstruksi Gedung Hunian</t>
        </is>
      </c>
      <c r="N7" t="inlineStr">
        <is>
          <t>K</t>
        </is>
      </c>
      <c r="O7" t="inlineStr">
        <is>
          <t>20231013</t>
        </is>
      </c>
      <c r="P7" t="inlineStr">
        <is>
          <t>Jawa Barat</t>
        </is>
      </c>
      <c r="Q7" t="inlineStr"/>
    </row>
    <row r="8">
      <c r="A8" t="inlineStr">
        <is>
          <t>MITRA TIRTA SUKSES</t>
        </is>
      </c>
      <c r="B8" t="inlineStr">
        <is>
          <t>Kota Adm. Jakarta Timur</t>
        </is>
      </c>
      <c r="C8" t="inlineStr">
        <is>
          <t>02129474881</t>
        </is>
      </c>
      <c r="D8" t="inlineStr">
        <is>
          <t>pt.mitra.tirta.sukses@gmail.com</t>
        </is>
      </c>
      <c r="E8" t="inlineStr">
        <is>
          <t>https://lpjk.pu.go.id/search-badan-usaha-detail/WHdrRk9XWmdNK090WEcvTXJFU21GQT09</t>
        </is>
      </c>
      <c r="F8" t="n">
        <v>1</v>
      </c>
      <c r="G8" t="inlineStr">
        <is>
          <t>BS005</t>
        </is>
      </c>
      <c r="H8" t="inlineStr">
        <is>
          <t>26 Oktober 2010</t>
        </is>
      </c>
      <c r="I8" s="2" t="n">
        <v>46312</v>
      </c>
      <c r="J8" t="inlineStr">
        <is>
          <t>Disetujui</t>
        </is>
      </c>
      <c r="K8" t="n">
        <v>30</v>
      </c>
      <c r="L8" t="inlineStr">
        <is>
          <t>17 Oktober 2026</t>
        </is>
      </c>
      <c r="M8" t="inlineStr">
        <is>
          <t>Konstruksi Bangunan Sipil Pengolahan Air Bersih</t>
        </is>
      </c>
      <c r="N8" t="inlineStr">
        <is>
          <t>K</t>
        </is>
      </c>
      <c r="O8" t="inlineStr">
        <is>
          <t>20231017</t>
        </is>
      </c>
      <c r="P8" t="inlineStr">
        <is>
          <t>DKI Jakarta</t>
        </is>
      </c>
      <c r="Q8" t="inlineStr"/>
    </row>
    <row r="9">
      <c r="A9" t="inlineStr">
        <is>
          <t>NUSALINTAS PERSADA OPTINET</t>
        </is>
      </c>
      <c r="B9" t="inlineStr">
        <is>
          <t>Kota Depok</t>
        </is>
      </c>
      <c r="C9" t="inlineStr">
        <is>
          <t>081287032661</t>
        </is>
      </c>
      <c r="D9" t="inlineStr">
        <is>
          <t>lintasnuspersadaoptinet@gmail.com</t>
        </is>
      </c>
      <c r="E9" t="inlineStr">
        <is>
          <t>https://lpjk.pu.go.id/search-badan-usaha-detail/bjdQYzhxV2dyZHdVZnRIcFNqZTNrZz09</t>
        </is>
      </c>
      <c r="F9" t="n">
        <v>2</v>
      </c>
      <c r="G9" t="inlineStr">
        <is>
          <t>BS001</t>
        </is>
      </c>
      <c r="H9" t="inlineStr">
        <is>
          <t>27 Juni 2023</t>
        </is>
      </c>
      <c r="I9" s="2" t="n">
        <v>46312</v>
      </c>
      <c r="J9" t="inlineStr">
        <is>
          <t>Pencabutan</t>
        </is>
      </c>
      <c r="K9" t="n">
        <v>30</v>
      </c>
      <c r="L9" t="inlineStr">
        <is>
          <t>17 Oktober 2026</t>
        </is>
      </c>
      <c r="M9" t="inlineStr">
        <is>
          <t>Konstruksi Bangunan Sipil Jalan</t>
        </is>
      </c>
      <c r="N9" t="inlineStr">
        <is>
          <t>K</t>
        </is>
      </c>
      <c r="O9" t="inlineStr">
        <is>
          <t>20230726</t>
        </is>
      </c>
      <c r="P9" t="inlineStr">
        <is>
          <t>Jawa Barat</t>
        </is>
      </c>
      <c r="Q9" s="3">
        <f>HYPERLINK("https://wa.me/6281287032661?text=*[Pengingat Masa Berlaku SBU NUSALINTAS PERSADA OPTINET]*%0A%0AYth. Pimpinan NUSALINTAS PERSADA OPTINET,%0AMohon izin menginformasikan status SBU Anda:%0A%0A📄 SBU: BS001%0A📅 Expired: 17 Oktober 2026 (30 Hari Lagi)%0A%0AKami tim PT. ESDEA Assistance Management siap men-support proses perpanjangan segera agar administrasi proyek tidak terhambat%0A%0AApakah boleh saya bantu siapkan estimasi biaya dan waktu pengerjaannya?.", "Hubungi")</f>
        <v/>
      </c>
    </row>
    <row r="10">
      <c r="A10" t="inlineStr">
        <is>
          <t>PAGAR LUHUR LESTARI</t>
        </is>
      </c>
      <c r="B10" t="inlineStr">
        <is>
          <t>Kota Bekasi</t>
        </is>
      </c>
      <c r="C10" t="inlineStr">
        <is>
          <t>071388551515</t>
        </is>
      </c>
      <c r="D10" t="inlineStr">
        <is>
          <t>cvpagarluhurlestari@gmail.com</t>
        </is>
      </c>
      <c r="E10" t="inlineStr">
        <is>
          <t>https://lpjk.pu.go.id/search-badan-usaha-detail/ZitiTXhOMWhiT0M1SVp6ZnYrSXhGUT09</t>
        </is>
      </c>
      <c r="F10" t="n">
        <v>2</v>
      </c>
      <c r="G10" t="inlineStr">
        <is>
          <t>BG001, BG003</t>
        </is>
      </c>
      <c r="H10" t="inlineStr">
        <is>
          <t>13 Januari 2016</t>
        </is>
      </c>
      <c r="I10" s="2" t="n">
        <v>46312</v>
      </c>
      <c r="J10" t="inlineStr">
        <is>
          <t>Disetujui</t>
        </is>
      </c>
      <c r="K10" t="n">
        <v>30</v>
      </c>
      <c r="L10" t="inlineStr">
        <is>
          <t>17 Oktober 2026</t>
        </is>
      </c>
      <c r="M10" t="inlineStr">
        <is>
          <t>Konstruksi Gedung Hunian, Konstruksi Gedung Industri</t>
        </is>
      </c>
      <c r="N10" t="inlineStr">
        <is>
          <t>K</t>
        </is>
      </c>
      <c r="O10" t="inlineStr">
        <is>
          <t>20231017</t>
        </is>
      </c>
      <c r="P10" t="inlineStr">
        <is>
          <t>Jawa Barat</t>
        </is>
      </c>
      <c r="Q10" s="3">
        <f>HYPERLINK("https://wa.me/6271388551515?text=*[Pengingat Masa Berlaku SBU PAGAR LUHUR LESTARI]*%0A%0AYth. Pimpinan PAGAR LUHUR LESTARI,%0AMohon izin menginformasikan status SBU Anda:%0A%0A📄 SBU: BG001, BG003%0A📅 Expired: 17 Oktober 2026 (30 Hari Lagi)%0A%0AKami tim PT. ESDEA Assistance Management siap men-support proses perpanjangan segera agar administrasi proyek tidak terhambat%0A%0AApakah boleh saya bantu siapkan estimasi biaya dan waktu pengerjaannya?.", "Hubungi")</f>
        <v/>
      </c>
    </row>
    <row r="11">
      <c r="A11" t="inlineStr">
        <is>
          <t>SAHABAT PUTRA JAVA</t>
        </is>
      </c>
      <c r="B11" t="inlineStr">
        <is>
          <t>Kota Adm. Jakarta Timur</t>
        </is>
      </c>
      <c r="C11" t="inlineStr">
        <is>
          <t>02187787546</t>
        </is>
      </c>
      <c r="D11" t="inlineStr">
        <is>
          <t>ptsahabat_java@ymail.com</t>
        </is>
      </c>
      <c r="E11" t="inlineStr">
        <is>
          <t>https://lpjk.pu.go.id/search-badan-usaha-detail/VE44NU9QcFYvYXdLVk5mVkVpUG1nQT09</t>
        </is>
      </c>
      <c r="F11" t="n">
        <v>1</v>
      </c>
      <c r="G11" t="inlineStr">
        <is>
          <t>BG006</t>
        </is>
      </c>
      <c r="H11" t="inlineStr">
        <is>
          <t>28 Maret 2006</t>
        </is>
      </c>
      <c r="I11" s="2" t="n">
        <v>46312</v>
      </c>
      <c r="J11" t="inlineStr">
        <is>
          <t>Pencabutan</t>
        </is>
      </c>
      <c r="K11" t="n">
        <v>30</v>
      </c>
      <c r="L11" t="inlineStr">
        <is>
          <t>17 Oktober 2026</t>
        </is>
      </c>
      <c r="M11" t="inlineStr">
        <is>
          <t>Konstruksi Gedung Pendidikan</t>
        </is>
      </c>
      <c r="N11" t="inlineStr">
        <is>
          <t>K</t>
        </is>
      </c>
      <c r="O11" t="inlineStr">
        <is>
          <t>20231013</t>
        </is>
      </c>
      <c r="P11" t="inlineStr">
        <is>
          <t>DKI Jakarta</t>
        </is>
      </c>
      <c r="Q11" t="inlineStr"/>
    </row>
    <row r="12">
      <c r="A12" t="inlineStr">
        <is>
          <t>SERINTUNAN</t>
        </is>
      </c>
      <c r="B12" t="inlineStr">
        <is>
          <t>Kab. Bogor</t>
        </is>
      </c>
      <c r="C12" t="inlineStr">
        <is>
          <t>08128061344</t>
        </is>
      </c>
      <c r="D12" t="inlineStr">
        <is>
          <t>cvserintunan@gmail.com</t>
        </is>
      </c>
      <c r="E12" t="inlineStr">
        <is>
          <t>https://lpjk.pu.go.id/search-badan-usaha-detail/U082RUV0KzZuTnUvcFVkT2tJZkR5dz09</t>
        </is>
      </c>
      <c r="F12" t="n">
        <v>2</v>
      </c>
      <c r="G12" t="inlineStr">
        <is>
          <t>BG005, BS004</t>
        </is>
      </c>
      <c r="H12" t="inlineStr">
        <is>
          <t>27 Januari 1999</t>
        </is>
      </c>
      <c r="I12" s="2" t="n">
        <v>46312</v>
      </c>
      <c r="J12" t="inlineStr">
        <is>
          <t>Disetujui</t>
        </is>
      </c>
      <c r="K12" t="n">
        <v>30</v>
      </c>
      <c r="L12" t="inlineStr">
        <is>
          <t>17 Oktober 2026</t>
        </is>
      </c>
      <c r="M12" t="inlineStr">
        <is>
          <t>Konstruksi Gedung Kesehatan, Konstruksi Jaringan Irigasi dan Drainase</t>
        </is>
      </c>
      <c r="N12" t="inlineStr">
        <is>
          <t>K</t>
        </is>
      </c>
      <c r="O12" t="inlineStr">
        <is>
          <t>20231012</t>
        </is>
      </c>
      <c r="P12" t="inlineStr">
        <is>
          <t>Jawa Barat</t>
        </is>
      </c>
      <c r="Q12" s="3">
        <f>HYPERLINK("https://wa.me/628128061344?text=*[Pengingat Masa Berlaku SBU SERINTUNAN]*%0A%0AYth. Pimpinan SERINTUNAN,%0AMohon izin menginformasikan status SBU Anda:%0A%0A📄 SBU: BG005, BS004%0A📅 Expired: 17 Oktober 2026 (30 Hari Lagi)%0A%0AKami tim PT. ESDEA Assistance Management siap men-support proses perpanjangan segera agar administrasi proyek tidak terhambat%0A%0AApakah boleh saya bantu siapkan estimasi biaya dan waktu pengerjaannya?.", "Hubungi")</f>
        <v/>
      </c>
    </row>
    <row r="13">
      <c r="A13" t="inlineStr">
        <is>
          <t>SETARSA PUTRA MANDIRI</t>
        </is>
      </c>
      <c r="B13" t="inlineStr">
        <is>
          <t>Kota Depok</t>
        </is>
      </c>
      <c r="C13" t="inlineStr">
        <is>
          <t>081211144399</t>
        </is>
      </c>
      <c r="D13" t="inlineStr">
        <is>
          <t>mandirisetarsa@gmail.com</t>
        </is>
      </c>
      <c r="E13" t="inlineStr">
        <is>
          <t>https://lpjk.pu.go.id/search-badan-usaha-detail/ekZGNTBkQkdzT3dJOUV6eEttT2J4dz09</t>
        </is>
      </c>
      <c r="F13" t="n">
        <v>2</v>
      </c>
      <c r="G13" t="inlineStr">
        <is>
          <t>BG009, BS009</t>
        </is>
      </c>
      <c r="H13" t="inlineStr">
        <is>
          <t>27 Februari 2019</t>
        </is>
      </c>
      <c r="I13" s="2" t="n">
        <v>46312</v>
      </c>
      <c r="J13" t="inlineStr">
        <is>
          <t>Disetujui</t>
        </is>
      </c>
      <c r="K13" t="n">
        <v>30</v>
      </c>
      <c r="L13" t="inlineStr">
        <is>
          <t>17 Oktober 2026</t>
        </is>
      </c>
      <c r="M13" t="inlineStr">
        <is>
          <t>Konstruksi Gedung Lainnya, Konstruksi Sentral Telekomunikasi</t>
        </is>
      </c>
      <c r="N13" t="inlineStr">
        <is>
          <t>K</t>
        </is>
      </c>
      <c r="O13" t="inlineStr">
        <is>
          <t>20231013</t>
        </is>
      </c>
      <c r="P13" t="inlineStr">
        <is>
          <t>Jawa Barat</t>
        </is>
      </c>
      <c r="Q13" s="3">
        <f>HYPERLINK("https://wa.me/6281211144399?text=*[Pengingat Masa Berlaku SBU SETARSA PUTRA MANDIRI]*%0A%0AYth. Pimpinan SETARSA PUTRA MANDIRI,%0AMohon izin menginformasikan status SBU Anda:%0A%0A📄 SBU: BG009, BS009%0A📅 Expired: 17 Oktober 2026 (30 Hari Lagi)%0A%0AKami tim PT. ESDEA Assistance Management siap men-support proses perpanjangan segera agar administrasi proyek tidak terhambat%0A%0AApakah boleh saya bantu siapkan estimasi biaya dan waktu pengerjaannya?.", "Hubungi")</f>
        <v/>
      </c>
    </row>
    <row r="14">
      <c r="A14" t="inlineStr">
        <is>
          <t>SURYAJAYA GEMILANG INDONESIA</t>
        </is>
      </c>
      <c r="B14" t="inlineStr">
        <is>
          <t>Kab. Bekasi</t>
        </is>
      </c>
      <c r="C14" t="inlineStr">
        <is>
          <t>02121253754</t>
        </is>
      </c>
      <c r="D14" t="inlineStr">
        <is>
          <t>Suryajayagemilangofficial1@gmail.com</t>
        </is>
      </c>
      <c r="E14" t="inlineStr">
        <is>
          <t>https://lpjk.pu.go.id/search-badan-usaha-detail/a0RaSkxnZ29NTHVkTUpVWlpjUnBXZz09</t>
        </is>
      </c>
      <c r="F14" t="n">
        <v>1</v>
      </c>
      <c r="G14" t="inlineStr">
        <is>
          <t>KK011</t>
        </is>
      </c>
      <c r="H14" t="inlineStr">
        <is>
          <t>7 September 2020</t>
        </is>
      </c>
      <c r="I14" s="2" t="n">
        <v>46312</v>
      </c>
      <c r="J14" t="inlineStr">
        <is>
          <t>Disetujui</t>
        </is>
      </c>
      <c r="K14" t="n">
        <v>30</v>
      </c>
      <c r="L14" t="inlineStr">
        <is>
          <t>17 Oktober 2026</t>
        </is>
      </c>
      <c r="M14" t="inlineStr">
        <is>
          <t>Pemasangan Rangka dan Atap/Roof Covering</t>
        </is>
      </c>
      <c r="N14" t="inlineStr">
        <is>
          <t>Spesialis</t>
        </is>
      </c>
      <c r="O14" t="inlineStr">
        <is>
          <t>20231014</t>
        </is>
      </c>
      <c r="P14" t="inlineStr">
        <is>
          <t>Jawa Barat</t>
        </is>
      </c>
      <c r="Q14" t="inlineStr"/>
    </row>
    <row r="15">
      <c r="A15" t="inlineStr">
        <is>
          <t>TRI SUTA BARA</t>
        </is>
      </c>
      <c r="B15" t="inlineStr">
        <is>
          <t>Kab. Bekasi</t>
        </is>
      </c>
      <c r="C15" t="inlineStr">
        <is>
          <t>08578005197</t>
        </is>
      </c>
      <c r="D15" t="inlineStr">
        <is>
          <t>trisutabara@gmail.com</t>
        </is>
      </c>
      <c r="E15" t="inlineStr">
        <is>
          <t>https://lpjk.pu.go.id/search-badan-usaha-detail/clV1SUNYNTljYW9nOG1QdDBYVHgvZz09</t>
        </is>
      </c>
      <c r="F15" t="n">
        <v>1</v>
      </c>
      <c r="G15" t="inlineStr">
        <is>
          <t>RK001</t>
        </is>
      </c>
      <c r="H15" t="inlineStr">
        <is>
          <t>12 Juli 2021</t>
        </is>
      </c>
      <c r="I15" s="2" t="n">
        <v>46312</v>
      </c>
      <c r="J15" t="inlineStr">
        <is>
          <t>Disetujui</t>
        </is>
      </c>
      <c r="K15" t="n">
        <v>30</v>
      </c>
      <c r="L15" t="inlineStr">
        <is>
          <t>17 Oktober 2026</t>
        </is>
      </c>
      <c r="M15" t="inlineStr">
        <is>
          <t>Jasa Rekayasa Konstruksi Bangunan Gedung Hunian dan Non Hunian</t>
        </is>
      </c>
      <c r="N15" t="inlineStr">
        <is>
          <t>K</t>
        </is>
      </c>
      <c r="O15" t="inlineStr">
        <is>
          <t>20231009</t>
        </is>
      </c>
      <c r="P15" t="inlineStr">
        <is>
          <t>Jawa Barat</t>
        </is>
      </c>
      <c r="Q15" s="3">
        <f>HYPERLINK("https://wa.me/628578005197?text=*[Pengingat Masa Berlaku SBU TRI SUTA BARA]*%0A%0AYth. Pimpinan TRI SUTA BARA,%0AMohon izin menginformasikan status SBU Anda:%0A%0A📄 SBU: RK001%0A📅 Expired: 17 Oktober 2026 (30 Hari Lagi)%0A%0AKami tim PT. ESDEA Assistance Management siap men-support proses perpanjangan segera agar administrasi proyek tidak terhambat%0A%0AApakah boleh saya bantu siapkan estimasi biaya dan waktu pengerjaannya?.", "Hubungi")</f>
        <v/>
      </c>
    </row>
    <row r="16">
      <c r="A16" t="inlineStr">
        <is>
          <t>WORLD METAL INDUSTRI NATIONAL</t>
        </is>
      </c>
      <c r="B16" t="inlineStr">
        <is>
          <t>Kab. Bekasi</t>
        </is>
      </c>
      <c r="C16" t="inlineStr">
        <is>
          <t>082111866913</t>
        </is>
      </c>
      <c r="D16" t="inlineStr">
        <is>
          <t>worldmetalindustrinational@yahoo.co.id</t>
        </is>
      </c>
      <c r="E16" t="inlineStr">
        <is>
          <t>https://lpjk.pu.go.id/search-badan-usaha-detail/VVNUa1lJRk9XQmtPS3hEck96Q3ZKdz09</t>
        </is>
      </c>
      <c r="F16" t="n">
        <v>1</v>
      </c>
      <c r="G16" t="inlineStr">
        <is>
          <t>IN003</t>
        </is>
      </c>
      <c r="H16" t="inlineStr">
        <is>
          <t>21 Juni 2010</t>
        </is>
      </c>
      <c r="I16" s="2" t="n">
        <v>46312</v>
      </c>
      <c r="J16" t="inlineStr">
        <is>
          <t>Pembekuan</t>
        </is>
      </c>
      <c r="K16" t="n">
        <v>30</v>
      </c>
      <c r="L16" t="inlineStr">
        <is>
          <t>17 Oktober 2026</t>
        </is>
      </c>
      <c r="M16" t="inlineStr">
        <is>
          <t>Instalasi Peralatan Infrastruktur Pertambangan dan Manufaktur</t>
        </is>
      </c>
      <c r="N16" t="inlineStr">
        <is>
          <t>Spesialis</t>
        </is>
      </c>
      <c r="O16" t="inlineStr">
        <is>
          <t>20231018</t>
        </is>
      </c>
      <c r="P16" t="inlineStr">
        <is>
          <t>Jawa Barat</t>
        </is>
      </c>
      <c r="Q16" s="3">
        <f>HYPERLINK("https://wa.me/6282111866913?text=*[Pengingat Masa Berlaku SBU WORLD METAL INDUSTRI NATIONAL]*%0A%0AYth. Pimpinan WORLD METAL INDUSTRI NATIONAL,%0AMohon izin menginformasikan status SBU Anda:%0A%0A📄 SBU: IN003%0A📅 Expired: 17 Oktober 2026 (30 Hari Lagi)%0A%0AKami tim PT. ESDEA Assistance Management siap men-support proses perpanjangan segera agar administrasi proyek tidak terhambat%0A%0AApakah boleh saya bantu siapkan estimasi biaya dan waktu pengerjaannya?.", "Hubungi")</f>
        <v/>
      </c>
    </row>
    <row r="17">
      <c r="A17" t="inlineStr">
        <is>
          <t>ABDI NEGERIKU</t>
        </is>
      </c>
      <c r="B17" t="inlineStr">
        <is>
          <t>Kota Pasuruan</t>
        </is>
      </c>
      <c r="C17" t="inlineStr">
        <is>
          <t>081252461953</t>
        </is>
      </c>
      <c r="D17" t="inlineStr">
        <is>
          <t>abdi.negeriku10@gmail.com</t>
        </is>
      </c>
      <c r="E17" t="inlineStr">
        <is>
          <t>https://lpjk.pu.go.id/search-badan-usaha-detail/ODdJR2YrNVk1OGtSck1yMytOSDQvUT09</t>
        </is>
      </c>
      <c r="F17" t="n">
        <v>1</v>
      </c>
      <c r="G17" t="inlineStr">
        <is>
          <t>BG009</t>
        </is>
      </c>
      <c r="H17" t="inlineStr">
        <is>
          <t>7 Februari 2005</t>
        </is>
      </c>
      <c r="I17" s="2" t="n">
        <v>46312</v>
      </c>
      <c r="J17" t="inlineStr">
        <is>
          <t>Disetujui</t>
        </is>
      </c>
      <c r="K17" t="n">
        <v>30</v>
      </c>
      <c r="L17" t="inlineStr">
        <is>
          <t>17 Oktober 2026</t>
        </is>
      </c>
      <c r="M17" t="inlineStr">
        <is>
          <t>Konstruksi Gedung Lainnya</t>
        </is>
      </c>
      <c r="N17" t="inlineStr">
        <is>
          <t>K</t>
        </is>
      </c>
      <c r="O17" t="inlineStr">
        <is>
          <t>20231017</t>
        </is>
      </c>
      <c r="P17" t="inlineStr">
        <is>
          <t>Jawa Timur</t>
        </is>
      </c>
      <c r="Q17" t="inlineStr"/>
    </row>
    <row r="18">
      <c r="A18" t="inlineStr">
        <is>
          <t>ABROSAH</t>
        </is>
      </c>
      <c r="B18" t="inlineStr">
        <is>
          <t>Kota Bandung</t>
        </is>
      </c>
      <c r="C18" t="inlineStr">
        <is>
          <t>08122382399</t>
        </is>
      </c>
      <c r="D18" t="inlineStr">
        <is>
          <t>abrosahcv@yahoo.co.id</t>
        </is>
      </c>
      <c r="E18" t="inlineStr">
        <is>
          <t>https://lpjk.pu.go.id/search-badan-usaha-detail/TFloYitpYzJVN0o2R2V3L1lnU2dwUT09</t>
        </is>
      </c>
      <c r="F18" t="n">
        <v>2</v>
      </c>
      <c r="G18" t="inlineStr">
        <is>
          <t>BS001, BS004</t>
        </is>
      </c>
      <c r="H18" t="inlineStr">
        <is>
          <t>22 Agustus 1992</t>
        </is>
      </c>
      <c r="I18" s="2" t="n">
        <v>46312</v>
      </c>
      <c r="J18" t="inlineStr">
        <is>
          <t>Disetujui</t>
        </is>
      </c>
      <c r="K18" t="n">
        <v>30</v>
      </c>
      <c r="L18" t="inlineStr">
        <is>
          <t>17 Oktober 2026</t>
        </is>
      </c>
      <c r="M18" t="inlineStr">
        <is>
          <t>Konstruksi Bangunan Sipil Jalan, Konstruksi Jaringan Irigasi dan Drainase</t>
        </is>
      </c>
      <c r="N18" t="inlineStr">
        <is>
          <t>K</t>
        </is>
      </c>
      <c r="O18" t="inlineStr">
        <is>
          <t>20230927, 20231013</t>
        </is>
      </c>
      <c r="P18" t="inlineStr">
        <is>
          <t>Jawa Barat</t>
        </is>
      </c>
      <c r="Q18" t="inlineStr"/>
    </row>
    <row r="19">
      <c r="A19" t="inlineStr">
        <is>
          <t>AKRAM SAAID ALIIF</t>
        </is>
      </c>
      <c r="B19" t="inlineStr">
        <is>
          <t>Kota Samarinda</t>
        </is>
      </c>
      <c r="C19" t="inlineStr">
        <is>
          <t>0811589039</t>
        </is>
      </c>
      <c r="D19" t="inlineStr">
        <is>
          <t>cv.akramsaaidaliif@gmail.com</t>
        </is>
      </c>
      <c r="E19" t="inlineStr">
        <is>
          <t>https://lpjk.pu.go.id/search-badan-usaha-detail/SGpuYXQvVVUxdjVaZ2ROWXlQOW5sZz09</t>
        </is>
      </c>
      <c r="F19" t="n">
        <v>6</v>
      </c>
      <c r="G19" t="inlineStr">
        <is>
          <t>RK001, RK002, RK003</t>
        </is>
      </c>
      <c r="H19" t="inlineStr">
        <is>
          <t>15 Juni 2022</t>
        </is>
      </c>
      <c r="I19" s="2" t="n">
        <v>46312</v>
      </c>
      <c r="J19" t="inlineStr">
        <is>
          <t>Disetujui</t>
        </is>
      </c>
      <c r="K19" t="n">
        <v>30</v>
      </c>
      <c r="L19" t="inlineStr">
        <is>
          <t>17 Oktober 2026</t>
        </is>
      </c>
      <c r="M19" t="inlineStr">
        <is>
          <t>Jasa Rekayasa Konstruksi Bangunan Gedung Hunian dan Non Hunian, Jasa Rekayasa Pekerjaan Teknik Sipil Sumber Daya Air, Jasa Rekayasa Pekerjaan Teknik Sipil Transportasi</t>
        </is>
      </c>
      <c r="N19" t="inlineStr">
        <is>
          <t>K</t>
        </is>
      </c>
      <c r="O19" t="inlineStr">
        <is>
          <t>20231012</t>
        </is>
      </c>
      <c r="P19" t="inlineStr">
        <is>
          <t>Kalimantan Timur</t>
        </is>
      </c>
      <c r="Q19" t="inlineStr"/>
    </row>
    <row r="20">
      <c r="A20" t="inlineStr">
        <is>
          <t>ALIRAN MAS</t>
        </is>
      </c>
      <c r="B20" t="inlineStr">
        <is>
          <t>Kab. Kepulauan Mentawai</t>
        </is>
      </c>
      <c r="C20" t="inlineStr">
        <is>
          <t>081275341936</t>
        </is>
      </c>
      <c r="D20" t="inlineStr">
        <is>
          <t>aliranmas2000@gmail.com</t>
        </is>
      </c>
      <c r="E20" t="inlineStr">
        <is>
          <t>https://lpjk.pu.go.id/search-badan-usaha-detail/UnlwT0x1blVLVDFsN3lBZVlhRU1lQT09</t>
        </is>
      </c>
      <c r="F20" t="n">
        <v>1</v>
      </c>
      <c r="G20" t="inlineStr">
        <is>
          <t>BG009</t>
        </is>
      </c>
      <c r="H20" t="inlineStr">
        <is>
          <t>23 Agustus 2017</t>
        </is>
      </c>
      <c r="I20" s="2" t="n">
        <v>46312</v>
      </c>
      <c r="J20" t="inlineStr">
        <is>
          <t>Disetujui</t>
        </is>
      </c>
      <c r="K20" t="n">
        <v>30</v>
      </c>
      <c r="L20" t="inlineStr">
        <is>
          <t>17 Oktober 2026</t>
        </is>
      </c>
      <c r="M20" t="inlineStr">
        <is>
          <t>Konstruksi Gedung Lainnya</t>
        </is>
      </c>
      <c r="N20" t="inlineStr">
        <is>
          <t>K</t>
        </is>
      </c>
      <c r="O20" t="inlineStr">
        <is>
          <t>20231016</t>
        </is>
      </c>
      <c r="P20" t="inlineStr">
        <is>
          <t>Sumatera Barat</t>
        </is>
      </c>
      <c r="Q20" t="inlineStr"/>
    </row>
    <row r="21">
      <c r="A21" t="inlineStr">
        <is>
          <t>AMANDA PERDANA</t>
        </is>
      </c>
      <c r="B21" t="inlineStr">
        <is>
          <t>Kota Makassar</t>
        </is>
      </c>
      <c r="C21" t="inlineStr">
        <is>
          <t>081355213822</t>
        </is>
      </c>
      <c r="D21" t="inlineStr">
        <is>
          <t>amandaperdana035@gmail.com</t>
        </is>
      </c>
      <c r="E21" t="inlineStr">
        <is>
          <t>https://lpjk.pu.go.id/search-badan-usaha-detail/U0tMVFZUNE1QN3pNWGhDanpycTlkQT09</t>
        </is>
      </c>
      <c r="F21" t="n">
        <v>8</v>
      </c>
      <c r="G21" t="inlineStr">
        <is>
          <t>BG001, BG002, BG006, BG009</t>
        </is>
      </c>
      <c r="H21" t="inlineStr">
        <is>
          <t>15 Juni 2004</t>
        </is>
      </c>
      <c r="I21" s="2" t="n">
        <v>46312</v>
      </c>
      <c r="J21" t="inlineStr">
        <is>
          <t>Disetujui</t>
        </is>
      </c>
      <c r="K21" t="n">
        <v>30</v>
      </c>
      <c r="L21" t="inlineStr">
        <is>
          <t>17 Oktober 2026</t>
        </is>
      </c>
      <c r="M21" t="inlineStr">
        <is>
          <t>Konstruksi Gedung Hunian, Konstruksi Gedung Lainnya, Konstruksi Gedung Pendidikan, Konstruksi Gedung Perkantoran</t>
        </is>
      </c>
      <c r="N21" t="inlineStr">
        <is>
          <t>K</t>
        </is>
      </c>
      <c r="O21" t="inlineStr">
        <is>
          <t>20231012</t>
        </is>
      </c>
      <c r="P21" t="inlineStr">
        <is>
          <t>Sulawesi Selatan</t>
        </is>
      </c>
      <c r="Q21" t="inlineStr"/>
    </row>
    <row r="22">
      <c r="A22" t="inlineStr">
        <is>
          <t>AMANDI KARYA</t>
        </is>
      </c>
      <c r="B22" t="inlineStr">
        <is>
          <t>Kota Pontianak</t>
        </is>
      </c>
      <c r="C22" t="inlineStr">
        <is>
          <t>085252765177</t>
        </is>
      </c>
      <c r="D22" t="inlineStr">
        <is>
          <t>amandikarya@gmail.com</t>
        </is>
      </c>
      <c r="E22" t="inlineStr">
        <is>
          <t>https://lpjk.pu.go.id/search-badan-usaha-detail/TDlzbzJzKzBKNkJyWDdTeENlWGcyUT09</t>
        </is>
      </c>
      <c r="F22" t="n">
        <v>3</v>
      </c>
      <c r="G22" t="inlineStr">
        <is>
          <t>BG005, BG008, BG009</t>
        </is>
      </c>
      <c r="H22" t="inlineStr">
        <is>
          <t>18 Juli 2023</t>
        </is>
      </c>
      <c r="I22" s="2" t="n">
        <v>46312</v>
      </c>
      <c r="J22" t="inlineStr">
        <is>
          <t>Disetujui</t>
        </is>
      </c>
      <c r="K22" t="n">
        <v>30</v>
      </c>
      <c r="L22" t="inlineStr">
        <is>
          <t>17 Oktober 2026</t>
        </is>
      </c>
      <c r="M22" t="inlineStr">
        <is>
          <t>Konstruksi Gedung Kesehatan, Konstruksi Gedung Lainnya, Konstruksi Gedung Tempat Hiburan dan Olahraga</t>
        </is>
      </c>
      <c r="N22" t="inlineStr">
        <is>
          <t>K</t>
        </is>
      </c>
      <c r="O22" t="inlineStr">
        <is>
          <t>20231010</t>
        </is>
      </c>
      <c r="P22" t="inlineStr">
        <is>
          <t>Kalimantan Barat</t>
        </is>
      </c>
      <c r="Q22" t="inlineStr"/>
    </row>
    <row r="23">
      <c r="A23" t="inlineStr">
        <is>
          <t>ANANTA KARYA</t>
        </is>
      </c>
      <c r="B23" t="inlineStr">
        <is>
          <t>Kab. Jember</t>
        </is>
      </c>
      <c r="C23" t="inlineStr">
        <is>
          <t>085236371240</t>
        </is>
      </c>
      <c r="D23" t="inlineStr">
        <is>
          <t>anantakaryajember@gmail.com</t>
        </is>
      </c>
      <c r="E23" t="inlineStr">
        <is>
          <t>https://lpjk.pu.go.id/search-badan-usaha-detail/UUUwRG44d2dyaG9OOE1uOXZhR0xsdz09</t>
        </is>
      </c>
      <c r="F23" t="n">
        <v>8</v>
      </c>
      <c r="G23" t="inlineStr">
        <is>
          <t>BG001, BG002, BG003, BG004, BG009, BS001, BS002, BS004</t>
        </is>
      </c>
      <c r="H23" t="inlineStr">
        <is>
          <t>11 November 2016</t>
        </is>
      </c>
      <c r="I23" s="2" t="n">
        <v>46312</v>
      </c>
      <c r="J23" t="inlineStr">
        <is>
          <t>Disetujui</t>
        </is>
      </c>
      <c r="K23" t="n">
        <v>30</v>
      </c>
      <c r="L23" t="inlineStr">
        <is>
          <t>17 Oktober 2026</t>
        </is>
      </c>
      <c r="M23" t="inlineStr">
        <is>
          <t>Bangunan Sipil Jembatan, Jalan Layang, Fly Over, dan Underpass, Konstruksi Bangunan Sipil Jalan, Konstruksi Gedung Hunian, Konstruksi Gedung Industri, Konstruksi Gedung Lainnya, Konstruksi Gedung Perbelanjaan, Konstruksi Gedung Perkantoran, Konstruksi Jaringan Irigasi dan Drainase</t>
        </is>
      </c>
      <c r="N23" t="inlineStr">
        <is>
          <t>K</t>
        </is>
      </c>
      <c r="O23" t="inlineStr">
        <is>
          <t>20231010, 20231018</t>
        </is>
      </c>
      <c r="P23" t="inlineStr">
        <is>
          <t>Jawa Timur</t>
        </is>
      </c>
      <c r="Q23" t="inlineStr"/>
    </row>
    <row r="24">
      <c r="A24" t="inlineStr">
        <is>
          <t>ANEKA MATERIAL PERSADA</t>
        </is>
      </c>
      <c r="B24" t="inlineStr">
        <is>
          <t>Kota Adm. Jakarta Utara</t>
        </is>
      </c>
      <c r="C24" t="inlineStr">
        <is>
          <t>02164701032</t>
        </is>
      </c>
      <c r="D24" t="inlineStr">
        <is>
          <t>anekamaterialpersada@yahoo.co.id</t>
        </is>
      </c>
      <c r="E24" t="inlineStr">
        <is>
          <t>https://lpjk.pu.go.id/search-badan-usaha-detail/UG95Nk0yS2xpTC92ZERBNTM1Q0hLQT09</t>
        </is>
      </c>
      <c r="F24" t="n">
        <v>4</v>
      </c>
      <c r="G24" t="inlineStr">
        <is>
          <t>BG009, PB001</t>
        </is>
      </c>
      <c r="H24" t="inlineStr">
        <is>
          <t>2 Agustus 2021</t>
        </is>
      </c>
      <c r="I24" s="2" t="n">
        <v>46312</v>
      </c>
      <c r="J24" t="inlineStr">
        <is>
          <t>Disetujui, Pembekuan</t>
        </is>
      </c>
      <c r="K24" t="n">
        <v>30</v>
      </c>
      <c r="L24" t="inlineStr">
        <is>
          <t>17 Oktober 2026</t>
        </is>
      </c>
      <c r="M24" t="inlineStr">
        <is>
          <t>Konstruksi Gedung Lainnya, Pengerjaan Pemasangan Kaca dan Alumunium</t>
        </is>
      </c>
      <c r="N24" t="inlineStr">
        <is>
          <t>K, Spesialis</t>
        </is>
      </c>
      <c r="O24" t="inlineStr">
        <is>
          <t>20231013, 20231019</t>
        </is>
      </c>
      <c r="P24" t="inlineStr">
        <is>
          <t>DKI Jakarta</t>
        </is>
      </c>
      <c r="Q24" t="inlineStr"/>
    </row>
    <row r="25">
      <c r="A25" t="inlineStr">
        <is>
          <t>ANNISA PRIMA JAYA</t>
        </is>
      </c>
      <c r="B25" t="inlineStr">
        <is>
          <t>Kab. Kutai Timur</t>
        </is>
      </c>
      <c r="C25" t="inlineStr">
        <is>
          <t>081347776973</t>
        </is>
      </c>
      <c r="D25" t="inlineStr">
        <is>
          <t>cv.annisaprimajaya57@gmail.com</t>
        </is>
      </c>
      <c r="E25" t="inlineStr">
        <is>
          <t>https://lpjk.pu.go.id/search-badan-usaha-detail/NnJqakJ1b0ZPRk5mZVl2Q3M1SE9zZz09</t>
        </is>
      </c>
      <c r="F25" t="n">
        <v>3</v>
      </c>
      <c r="G25" t="inlineStr">
        <is>
          <t>BG002, BS001, BS004</t>
        </is>
      </c>
      <c r="H25" t="inlineStr">
        <is>
          <t>11 Juli 2007</t>
        </is>
      </c>
      <c r="I25" s="2" t="n">
        <v>46312</v>
      </c>
      <c r="J25" t="inlineStr">
        <is>
          <t>Pencabutan</t>
        </is>
      </c>
      <c r="K25" t="n">
        <v>30</v>
      </c>
      <c r="L25" t="inlineStr">
        <is>
          <t>17 Oktober 2026</t>
        </is>
      </c>
      <c r="M25" t="inlineStr">
        <is>
          <t>Konstruksi Bangunan Sipil Jalan, Konstruksi Gedung Perkantoran, Konstruksi Jaringan Irigasi dan Drainase</t>
        </is>
      </c>
      <c r="N25" t="inlineStr">
        <is>
          <t>K</t>
        </is>
      </c>
      <c r="O25" t="inlineStr">
        <is>
          <t>20231014</t>
        </is>
      </c>
      <c r="P25" t="inlineStr">
        <is>
          <t>Kalimantan Timur</t>
        </is>
      </c>
      <c r="Q25" t="inlineStr"/>
    </row>
    <row r="26">
      <c r="A26" t="inlineStr">
        <is>
          <t>ANNUR PUTRA</t>
        </is>
      </c>
      <c r="B26" t="inlineStr">
        <is>
          <t>Kab. Kutai Kartanegara</t>
        </is>
      </c>
      <c r="C26" t="inlineStr">
        <is>
          <t>08115999759</t>
        </is>
      </c>
      <c r="D26" t="inlineStr">
        <is>
          <t>annur_putra75@yahoo.com</t>
        </is>
      </c>
      <c r="E26" t="inlineStr">
        <is>
          <t>https://lpjk.pu.go.id/search-badan-usaha-detail/bU1DeDhWaFRlOVVoQjArdWVneS94dz09</t>
        </is>
      </c>
      <c r="F26" t="n">
        <v>1</v>
      </c>
      <c r="G26" t="inlineStr">
        <is>
          <t>BS002</t>
        </is>
      </c>
      <c r="H26" t="inlineStr">
        <is>
          <t>15 Januari 2010</t>
        </is>
      </c>
      <c r="I26" s="2" t="n">
        <v>46312</v>
      </c>
      <c r="J26" t="inlineStr">
        <is>
          <t>Disetujui</t>
        </is>
      </c>
      <c r="K26" t="n">
        <v>30</v>
      </c>
      <c r="L26" t="inlineStr">
        <is>
          <t>17 Oktober 2026</t>
        </is>
      </c>
      <c r="M26" t="inlineStr">
        <is>
          <t>Bangunan Sipil Jembatan, Jalan Layang, Fly Over, dan Underpass</t>
        </is>
      </c>
      <c r="N26" t="inlineStr">
        <is>
          <t>K</t>
        </is>
      </c>
      <c r="O26" t="inlineStr">
        <is>
          <t>20231017</t>
        </is>
      </c>
      <c r="P26" t="inlineStr">
        <is>
          <t>Kalimantan Timur</t>
        </is>
      </c>
      <c r="Q26" t="inlineStr"/>
    </row>
    <row r="27">
      <c r="A27" t="inlineStr">
        <is>
          <t>ANUGERAH JAYA</t>
        </is>
      </c>
      <c r="B27" t="inlineStr">
        <is>
          <t>Kab. Kotabaru</t>
        </is>
      </c>
      <c r="C27" t="inlineStr">
        <is>
          <t>081251513216</t>
        </is>
      </c>
      <c r="D27" t="inlineStr">
        <is>
          <t>cvanugerahjaya222@gmail.com</t>
        </is>
      </c>
      <c r="E27" t="inlineStr">
        <is>
          <t>https://lpjk.pu.go.id/search-badan-usaha-detail/OGNGdG1BdC9zWmpBcnpRaSt6eXFyUT09</t>
        </is>
      </c>
      <c r="F27" t="n">
        <v>1</v>
      </c>
      <c r="G27" t="inlineStr">
        <is>
          <t>BS001</t>
        </is>
      </c>
      <c r="H27" t="inlineStr">
        <is>
          <t>23 Oktober 2000</t>
        </is>
      </c>
      <c r="I27" s="2" t="n">
        <v>46312</v>
      </c>
      <c r="J27" t="inlineStr">
        <is>
          <t>Disetujui</t>
        </is>
      </c>
      <c r="K27" t="n">
        <v>30</v>
      </c>
      <c r="L27" t="inlineStr">
        <is>
          <t>17 Oktober 2026</t>
        </is>
      </c>
      <c r="M27" t="inlineStr">
        <is>
          <t>Konstruksi Bangunan Sipil Jalan</t>
        </is>
      </c>
      <c r="N27" t="inlineStr">
        <is>
          <t>K</t>
        </is>
      </c>
      <c r="O27" t="inlineStr">
        <is>
          <t>20231012</t>
        </is>
      </c>
      <c r="P27" t="inlineStr">
        <is>
          <t>Kalimantan Selatan</t>
        </is>
      </c>
      <c r="Q27" t="inlineStr"/>
    </row>
    <row r="28">
      <c r="A28" t="inlineStr">
        <is>
          <t>ANUGRAH JAYA ABADI</t>
        </is>
      </c>
      <c r="B28" t="inlineStr">
        <is>
          <t>Kab. Serdang Bedagai</t>
        </is>
      </c>
      <c r="C28" t="inlineStr">
        <is>
          <t>082370710695</t>
        </is>
      </c>
      <c r="D28" t="inlineStr">
        <is>
          <t>cvanugrahjayaabadi16@gmail.com</t>
        </is>
      </c>
      <c r="E28" t="inlineStr">
        <is>
          <t>https://lpjk.pu.go.id/search-badan-usaha-detail/eExzdWg2M1QrV04xRjRHZmR6Q2Zqdz09</t>
        </is>
      </c>
      <c r="F28" t="n">
        <v>2</v>
      </c>
      <c r="G28" t="inlineStr">
        <is>
          <t>BS004</t>
        </is>
      </c>
      <c r="H28" t="inlineStr">
        <is>
          <t>22 Januari 2018</t>
        </is>
      </c>
      <c r="I28" s="2" t="n">
        <v>46312</v>
      </c>
      <c r="J28" t="inlineStr">
        <is>
          <t>Disetujui</t>
        </is>
      </c>
      <c r="K28" t="n">
        <v>30</v>
      </c>
      <c r="L28" t="inlineStr">
        <is>
          <t>17 Oktober 2026</t>
        </is>
      </c>
      <c r="M28" t="inlineStr">
        <is>
          <t>Konstruksi Jaringan Irigasi dan Drainase</t>
        </is>
      </c>
      <c r="N28" t="inlineStr">
        <is>
          <t>K</t>
        </is>
      </c>
      <c r="O28" t="inlineStr">
        <is>
          <t>20231016</t>
        </is>
      </c>
      <c r="P28" t="inlineStr">
        <is>
          <t>Sumatera Utara</t>
        </is>
      </c>
      <c r="Q28" t="inlineStr"/>
    </row>
    <row r="29">
      <c r="A29" t="inlineStr">
        <is>
          <t>ARCHIGRAHA DESIGN CENTER</t>
        </is>
      </c>
      <c r="B29" t="inlineStr">
        <is>
          <t>Kota Jambi</t>
        </is>
      </c>
      <c r="C29" t="inlineStr">
        <is>
          <t>0821 7623 3158</t>
        </is>
      </c>
      <c r="D29" t="inlineStr">
        <is>
          <t>archigraha.design.center@gmail.com</t>
        </is>
      </c>
      <c r="E29" t="inlineStr">
        <is>
          <t>https://lpjk.pu.go.id/search-badan-usaha-detail/ODM4SVlaaFB1eHZMbWJDRHZrVG1wZz09</t>
        </is>
      </c>
      <c r="F29" t="n">
        <v>2</v>
      </c>
      <c r="G29" t="inlineStr">
        <is>
          <t>RK001, RK003</t>
        </is>
      </c>
      <c r="H29" t="inlineStr">
        <is>
          <t>19 Januari 2011</t>
        </is>
      </c>
      <c r="I29" s="2" t="n">
        <v>46312</v>
      </c>
      <c r="J29" t="inlineStr">
        <is>
          <t>Disetujui</t>
        </is>
      </c>
      <c r="K29" t="n">
        <v>30</v>
      </c>
      <c r="L29" t="inlineStr">
        <is>
          <t>17 Oktober 2026</t>
        </is>
      </c>
      <c r="M29" t="inlineStr">
        <is>
          <t>Jasa Rekayasa Konstruksi Bangunan Gedung Hunian dan Non Hunian, Jasa Rekayasa Pekerjaan Teknik Sipil Transportasi</t>
        </is>
      </c>
      <c r="N29" t="inlineStr">
        <is>
          <t>K</t>
        </is>
      </c>
      <c r="O29" t="inlineStr">
        <is>
          <t>20231004, 20231006</t>
        </is>
      </c>
      <c r="P29" t="inlineStr">
        <is>
          <t>Jambi</t>
        </is>
      </c>
      <c r="Q29" t="inlineStr"/>
    </row>
    <row r="30">
      <c r="A30" t="inlineStr">
        <is>
          <t>ARIES MUDA HUTAMA</t>
        </is>
      </c>
      <c r="B30" t="inlineStr">
        <is>
          <t>Kab. Sijunjung</t>
        </is>
      </c>
      <c r="C30" t="inlineStr">
        <is>
          <t>081266599852</t>
        </is>
      </c>
      <c r="D30" t="inlineStr">
        <is>
          <t>ariesmudahutama@gmail.com</t>
        </is>
      </c>
      <c r="E30" t="inlineStr">
        <is>
          <t>https://lpjk.pu.go.id/search-badan-usaha-detail/NlBiYTZ0VnNIUmo0REc0cVpHK0tXdz09</t>
        </is>
      </c>
      <c r="F30" t="n">
        <v>6</v>
      </c>
      <c r="G30" t="inlineStr">
        <is>
          <t>BG005, BG006, BG009</t>
        </is>
      </c>
      <c r="H30" t="inlineStr">
        <is>
          <t>5 Juni 2023</t>
        </is>
      </c>
      <c r="I30" s="2" t="n">
        <v>46312</v>
      </c>
      <c r="J30" t="inlineStr">
        <is>
          <t>Pencabutan</t>
        </is>
      </c>
      <c r="K30" t="n">
        <v>30</v>
      </c>
      <c r="L30" t="inlineStr">
        <is>
          <t>17 Oktober 2026</t>
        </is>
      </c>
      <c r="M30" t="inlineStr">
        <is>
          <t>Konstruksi Gedung Kesehatan, Konstruksi Gedung Lainnya, Konstruksi Gedung Pendidikan</t>
        </is>
      </c>
      <c r="N30" t="inlineStr">
        <is>
          <t>K</t>
        </is>
      </c>
      <c r="O30" t="inlineStr">
        <is>
          <t>20231009, 20231018</t>
        </is>
      </c>
      <c r="P30" t="inlineStr">
        <is>
          <t>Sumatera Barat</t>
        </is>
      </c>
      <c r="Q30" t="inlineStr"/>
    </row>
    <row r="31">
      <c r="A31" t="inlineStr">
        <is>
          <t>ARJUNA TRI SAKTI</t>
        </is>
      </c>
      <c r="B31" t="inlineStr">
        <is>
          <t>Kab. Indramayu</t>
        </is>
      </c>
      <c r="C31" t="inlineStr">
        <is>
          <t>081286252796</t>
        </is>
      </c>
      <c r="D31" t="inlineStr">
        <is>
          <t>jayalsbuid@gmail.com</t>
        </is>
      </c>
      <c r="E31" t="inlineStr">
        <is>
          <t>https://lpjk.pu.go.id/search-badan-usaha-detail/S2FVVzhQN3RsMU8zUlNyQ3RLMTBzdz09</t>
        </is>
      </c>
      <c r="F31" t="n">
        <v>2</v>
      </c>
      <c r="G31" t="inlineStr">
        <is>
          <t>BG009, BS004</t>
        </is>
      </c>
      <c r="H31" t="inlineStr">
        <is>
          <t>15 September 2021</t>
        </is>
      </c>
      <c r="I31" s="2" t="n">
        <v>46312</v>
      </c>
      <c r="J31" t="inlineStr">
        <is>
          <t>Disetujui</t>
        </is>
      </c>
      <c r="K31" t="n">
        <v>30</v>
      </c>
      <c r="L31" t="inlineStr">
        <is>
          <t>17 Oktober 2026</t>
        </is>
      </c>
      <c r="M31" t="inlineStr">
        <is>
          <t>Konstruksi Gedung Lainnya, Konstruksi Jaringan Irigasi dan Drainase</t>
        </is>
      </c>
      <c r="N31" t="inlineStr">
        <is>
          <t>K</t>
        </is>
      </c>
      <c r="O31" t="inlineStr">
        <is>
          <t>20231012</t>
        </is>
      </c>
      <c r="P31" t="inlineStr">
        <is>
          <t>Jawa Barat</t>
        </is>
      </c>
      <c r="Q31" t="inlineStr"/>
    </row>
    <row r="32">
      <c r="A32" t="inlineStr">
        <is>
          <t>ARTA PERMATA PARE</t>
        </is>
      </c>
      <c r="B32" t="inlineStr">
        <is>
          <t>Kota Samarinda</t>
        </is>
      </c>
      <c r="C32" t="inlineStr">
        <is>
          <t>082277664419</t>
        </is>
      </c>
      <c r="D32" t="inlineStr">
        <is>
          <t>artapermatapare.cv@gmail.com</t>
        </is>
      </c>
      <c r="E32" t="inlineStr">
        <is>
          <t>https://lpjk.pu.go.id/search-badan-usaha-detail/UXY3aFZ4Mk1BSnRFWXBZQ2RGRjl4QT09</t>
        </is>
      </c>
      <c r="F32" t="n">
        <v>2</v>
      </c>
      <c r="G32" t="inlineStr">
        <is>
          <t>BS001, BS002</t>
        </is>
      </c>
      <c r="H32" t="inlineStr">
        <is>
          <t>20 Februari 2023</t>
        </is>
      </c>
      <c r="I32" s="2" t="n">
        <v>46312</v>
      </c>
      <c r="J32" t="inlineStr">
        <is>
          <t>Disetujui, Dokumen Lengkap</t>
        </is>
      </c>
      <c r="K32" t="n">
        <v>30</v>
      </c>
      <c r="L32" t="inlineStr">
        <is>
          <t>17 Oktober 2026</t>
        </is>
      </c>
      <c r="M32" t="inlineStr">
        <is>
          <t>Bangunan Sipil Jembatan, Jalan Layang, Fly Over, dan Underpass, Konstruksi Bangunan Sipil Jalan</t>
        </is>
      </c>
      <c r="N32" t="inlineStr">
        <is>
          <t>K</t>
        </is>
      </c>
      <c r="O32" t="inlineStr">
        <is>
          <t>20231017</t>
        </is>
      </c>
      <c r="P32" t="inlineStr">
        <is>
          <t>Kalimantan Timur</t>
        </is>
      </c>
      <c r="Q32" t="inlineStr"/>
    </row>
    <row r="33">
      <c r="A33" t="inlineStr">
        <is>
          <t>ARTHA WAHYU AGUNG</t>
        </is>
      </c>
      <c r="B33" t="inlineStr">
        <is>
          <t>Kab. Tulungagung</t>
        </is>
      </c>
      <c r="C33" t="inlineStr">
        <is>
          <t>082171688503</t>
        </is>
      </c>
      <c r="D33" t="inlineStr">
        <is>
          <t>arthawahyuagung_cv@yahoo.com</t>
        </is>
      </c>
      <c r="E33" t="inlineStr">
        <is>
          <t>https://lpjk.pu.go.id/search-badan-usaha-detail/NDZ2d0hicFpaaldzVEdCaFF1UU5XUT09</t>
        </is>
      </c>
      <c r="F33" t="n">
        <v>2</v>
      </c>
      <c r="G33" t="inlineStr">
        <is>
          <t>BG006, BG009</t>
        </is>
      </c>
      <c r="H33" t="inlineStr">
        <is>
          <t>26 Januari 2016</t>
        </is>
      </c>
      <c r="I33" s="2" t="n">
        <v>46312</v>
      </c>
      <c r="J33" t="inlineStr">
        <is>
          <t>Disetujui</t>
        </is>
      </c>
      <c r="K33" t="n">
        <v>30</v>
      </c>
      <c r="L33" t="inlineStr">
        <is>
          <t>17 Oktober 2026</t>
        </is>
      </c>
      <c r="M33" t="inlineStr">
        <is>
          <t>Konstruksi Gedung Lainnya, Konstruksi Gedung Pendidikan</t>
        </is>
      </c>
      <c r="N33" t="inlineStr">
        <is>
          <t>K</t>
        </is>
      </c>
      <c r="O33" t="inlineStr">
        <is>
          <t>20231010, 20231017</t>
        </is>
      </c>
      <c r="P33" t="inlineStr">
        <is>
          <t>Jawa Timur</t>
        </is>
      </c>
      <c r="Q33" t="inlineStr"/>
    </row>
    <row r="34">
      <c r="A34" t="inlineStr">
        <is>
          <t>ASIA HARDA</t>
        </is>
      </c>
      <c r="B34" t="inlineStr">
        <is>
          <t>Kota Surabaya</t>
        </is>
      </c>
      <c r="C34" t="inlineStr">
        <is>
          <t>0811311598</t>
        </is>
      </c>
      <c r="D34" t="inlineStr">
        <is>
          <t>asiahardasurat@gmail.com</t>
        </is>
      </c>
      <c r="E34" t="inlineStr">
        <is>
          <t>https://lpjk.pu.go.id/search-badan-usaha-detail/eWhnaWw0NE5iVXhLRFIrWUd2QWZvQT09</t>
        </is>
      </c>
      <c r="F34" t="n">
        <v>3</v>
      </c>
      <c r="G34" t="inlineStr">
        <is>
          <t>RK001, RK002, RK003</t>
        </is>
      </c>
      <c r="H34" t="inlineStr">
        <is>
          <t>21 Mei 2013</t>
        </is>
      </c>
      <c r="I34" s="2" t="n">
        <v>46312</v>
      </c>
      <c r="J34" t="inlineStr">
        <is>
          <t>Disetujui</t>
        </is>
      </c>
      <c r="K34" t="n">
        <v>30</v>
      </c>
      <c r="L34" t="inlineStr">
        <is>
          <t>17 Oktober 2026</t>
        </is>
      </c>
      <c r="M34" t="inlineStr">
        <is>
          <t>Jasa Rekayasa Konstruksi Bangunan Gedung Hunian dan Non Hunian, Jasa Rekayasa Pekerjaan Teknik Sipil Sumber Daya Air, Jasa Rekayasa Pekerjaan Teknik Sipil Transportasi</t>
        </is>
      </c>
      <c r="N34" t="inlineStr">
        <is>
          <t>K</t>
        </is>
      </c>
      <c r="O34" t="inlineStr">
        <is>
          <t>20230925, 20231004</t>
        </is>
      </c>
      <c r="P34" t="inlineStr">
        <is>
          <t>Jawa Timur</t>
        </is>
      </c>
      <c r="Q34" t="inlineStr"/>
    </row>
    <row r="35">
      <c r="A35" t="inlineStr">
        <is>
          <t>ASKA MULIA ANOPAMA</t>
        </is>
      </c>
      <c r="B35" t="inlineStr">
        <is>
          <t>Kab. Sleman</t>
        </is>
      </c>
      <c r="C35" t="inlineStr">
        <is>
          <t>02742851913</t>
        </is>
      </c>
      <c r="D35" t="inlineStr">
        <is>
          <t>admaskaanopama@gmail.com</t>
        </is>
      </c>
      <c r="E35" t="inlineStr">
        <is>
          <t>https://lpjk.pu.go.id/search-badan-usaha-detail/ajVmWmF1dEdNQVo3NThodWQ5bERrUT09</t>
        </is>
      </c>
      <c r="F35" t="n">
        <v>1</v>
      </c>
      <c r="G35" t="inlineStr">
        <is>
          <t>AR002</t>
        </is>
      </c>
      <c r="H35" t="inlineStr">
        <is>
          <t>22 Oktober 2014</t>
        </is>
      </c>
      <c r="I35" s="2" t="n">
        <v>46312</v>
      </c>
      <c r="J35" t="inlineStr">
        <is>
          <t>Disetujui</t>
        </is>
      </c>
      <c r="K35" t="n">
        <v>30</v>
      </c>
      <c r="L35" t="inlineStr">
        <is>
          <t>17 Oktober 2026</t>
        </is>
      </c>
      <c r="M35" t="inlineStr">
        <is>
          <t>Jasa Arsitektural Lainnya</t>
        </is>
      </c>
      <c r="N35" t="inlineStr">
        <is>
          <t>K</t>
        </is>
      </c>
      <c r="O35" t="inlineStr">
        <is>
          <t>20231010</t>
        </is>
      </c>
      <c r="P35" t="inlineStr">
        <is>
          <t>DI Yogyakarta</t>
        </is>
      </c>
      <c r="Q35" t="inlineStr"/>
    </row>
    <row r="36">
      <c r="A36" t="inlineStr">
        <is>
          <t>AWAN INTAN KONSULTAN</t>
        </is>
      </c>
      <c r="B36" t="inlineStr">
        <is>
          <t>Kota Bandar Lampung</t>
        </is>
      </c>
      <c r="C36" t="inlineStr">
        <is>
          <t>081360704745</t>
        </is>
      </c>
      <c r="D36" t="inlineStr">
        <is>
          <t>awanintankonsultan@gmail.com</t>
        </is>
      </c>
      <c r="E36" t="inlineStr">
        <is>
          <t>https://lpjk.pu.go.id/search-badan-usaha-detail/a3ZoN055ZmdrRHZGdWx3cTZva0xjUT09</t>
        </is>
      </c>
      <c r="F36" t="n">
        <v>1</v>
      </c>
      <c r="G36" t="inlineStr">
        <is>
          <t>RK003</t>
        </is>
      </c>
      <c r="H36" t="inlineStr">
        <is>
          <t>31 Januari 2019</t>
        </is>
      </c>
      <c r="I36" s="2" t="n">
        <v>46312</v>
      </c>
      <c r="J36" t="inlineStr">
        <is>
          <t>Disetujui</t>
        </is>
      </c>
      <c r="K36" t="n">
        <v>30</v>
      </c>
      <c r="L36" t="inlineStr">
        <is>
          <t>17 Oktober 2026</t>
        </is>
      </c>
      <c r="M36" t="inlineStr">
        <is>
          <t>Jasa Rekayasa Pekerjaan Teknik Sipil Transportasi</t>
        </is>
      </c>
      <c r="N36" t="inlineStr">
        <is>
          <t>K</t>
        </is>
      </c>
      <c r="O36" t="inlineStr">
        <is>
          <t>20231006</t>
        </is>
      </c>
      <c r="P36" t="inlineStr">
        <is>
          <t>Lampung</t>
        </is>
      </c>
      <c r="Q36" t="inlineStr"/>
    </row>
    <row r="37">
      <c r="A37" t="inlineStr">
        <is>
          <t>BAGASKARA PRATALA MANUNGGAL</t>
        </is>
      </c>
      <c r="B37" t="inlineStr">
        <is>
          <t>Kab. Klaten</t>
        </is>
      </c>
      <c r="C37" t="inlineStr">
        <is>
          <t>081270411196</t>
        </is>
      </c>
      <c r="D37" t="inlineStr">
        <is>
          <t>bagaskarapratalamanunggal@gmail.com</t>
        </is>
      </c>
      <c r="E37" t="inlineStr">
        <is>
          <t>https://lpjk.pu.go.id/search-badan-usaha-detail/aUdYalY1QTVJK3ptQUxua1NuNjdEQT09</t>
        </is>
      </c>
      <c r="F37" t="n">
        <v>2</v>
      </c>
      <c r="G37" t="inlineStr">
        <is>
          <t>BS001</t>
        </is>
      </c>
      <c r="H37" t="inlineStr">
        <is>
          <t>19 Januari 2015</t>
        </is>
      </c>
      <c r="I37" s="2" t="n">
        <v>46312</v>
      </c>
      <c r="J37" t="inlineStr">
        <is>
          <t>Pencabutan</t>
        </is>
      </c>
      <c r="K37" t="n">
        <v>30</v>
      </c>
      <c r="L37" t="inlineStr">
        <is>
          <t>17 Oktober 2026</t>
        </is>
      </c>
      <c r="M37" t="inlineStr">
        <is>
          <t>Konstruksi Bangunan Sipil Jalan</t>
        </is>
      </c>
      <c r="N37" t="inlineStr">
        <is>
          <t>B</t>
        </is>
      </c>
      <c r="O37" t="inlineStr">
        <is>
          <t>20231016</t>
        </is>
      </c>
      <c r="P37" t="inlineStr">
        <is>
          <t>Jawa Tengah</t>
        </is>
      </c>
      <c r="Q37" t="inlineStr"/>
    </row>
    <row r="38">
      <c r="A38" t="inlineStr">
        <is>
          <t>BANGUN GAGAS KARYATAMA</t>
        </is>
      </c>
      <c r="B38" t="inlineStr">
        <is>
          <t>Kota Tangerang Selatan</t>
        </is>
      </c>
      <c r="C38" t="inlineStr">
        <is>
          <t>0217365963</t>
        </is>
      </c>
      <c r="D38" t="inlineStr">
        <is>
          <t>bagas.associates@gmail.com</t>
        </is>
      </c>
      <c r="E38" t="inlineStr">
        <is>
          <t>https://lpjk.pu.go.id/search-badan-usaha-detail/NXE3dEpVM1V5a3FnZVRGcmFXTEpIUT09</t>
        </is>
      </c>
      <c r="F38" t="n">
        <v>1</v>
      </c>
      <c r="G38" t="inlineStr">
        <is>
          <t>AR001</t>
        </is>
      </c>
      <c r="H38" t="inlineStr">
        <is>
          <t>30 Oktober 2003</t>
        </is>
      </c>
      <c r="I38" s="2" t="n">
        <v>46312</v>
      </c>
      <c r="J38" t="inlineStr">
        <is>
          <t>Disetujui</t>
        </is>
      </c>
      <c r="K38" t="n">
        <v>30</v>
      </c>
      <c r="L38" t="inlineStr">
        <is>
          <t>17 Oktober 2026</t>
        </is>
      </c>
      <c r="M38" t="inlineStr">
        <is>
          <t>Jasa Arsitektural Bangunan Gedung Hunian dan Non Hunian</t>
        </is>
      </c>
      <c r="N38" t="inlineStr">
        <is>
          <t>K</t>
        </is>
      </c>
      <c r="O38" t="inlineStr">
        <is>
          <t>20230911</t>
        </is>
      </c>
      <c r="P38" t="inlineStr">
        <is>
          <t>Banten</t>
        </is>
      </c>
      <c r="Q38" t="inlineStr"/>
    </row>
    <row r="39">
      <c r="A39" t="inlineStr">
        <is>
          <t>BANGUN PUTRA</t>
        </is>
      </c>
      <c r="B39" t="inlineStr">
        <is>
          <t>Kab. Kendal</t>
        </is>
      </c>
      <c r="C39" t="inlineStr">
        <is>
          <t>0294383667</t>
        </is>
      </c>
      <c r="D39" t="inlineStr">
        <is>
          <t>cvbangunputra12@gmail.com</t>
        </is>
      </c>
      <c r="E39" t="inlineStr">
        <is>
          <t>https://lpjk.pu.go.id/search-badan-usaha-detail/T05XbWZLS2tremN4aGVhUm1oZzJqUT09</t>
        </is>
      </c>
      <c r="F39" t="n">
        <v>2</v>
      </c>
      <c r="G39" t="inlineStr">
        <is>
          <t>BG009, BS001</t>
        </is>
      </c>
      <c r="H39" t="inlineStr">
        <is>
          <t>28 November 1998</t>
        </is>
      </c>
      <c r="I39" s="2" t="n">
        <v>46312</v>
      </c>
      <c r="J39" t="inlineStr">
        <is>
          <t>Disetujui</t>
        </is>
      </c>
      <c r="K39" t="n">
        <v>30</v>
      </c>
      <c r="L39" t="inlineStr">
        <is>
          <t>17 Oktober 2026</t>
        </is>
      </c>
      <c r="M39" t="inlineStr">
        <is>
          <t>Konstruksi Bangunan Sipil Jalan, Konstruksi Gedung Lainnya</t>
        </is>
      </c>
      <c r="N39" t="inlineStr">
        <is>
          <t>K</t>
        </is>
      </c>
      <c r="O39" t="inlineStr">
        <is>
          <t>20231017</t>
        </is>
      </c>
      <c r="P39" t="inlineStr">
        <is>
          <t>Jawa Tengah</t>
        </is>
      </c>
      <c r="Q39" t="inlineStr"/>
    </row>
    <row r="40">
      <c r="A40" t="inlineStr">
        <is>
          <t>BATARA GADA JAYA</t>
        </is>
      </c>
      <c r="B40" t="inlineStr">
        <is>
          <t>Kab. Kutai Kartanegara</t>
        </is>
      </c>
      <c r="C40" t="inlineStr">
        <is>
          <t>081253086818</t>
        </is>
      </c>
      <c r="D40" t="inlineStr">
        <is>
          <t>cvbataragadajaya@gmail.com</t>
        </is>
      </c>
      <c r="E40" t="inlineStr">
        <is>
          <t>https://lpjk.pu.go.id/search-badan-usaha-detail/TXV6NXBLcGlENmRKRm1Jd2RPN2NIdz09</t>
        </is>
      </c>
      <c r="F40" t="n">
        <v>1</v>
      </c>
      <c r="G40" t="inlineStr">
        <is>
          <t>BS001</t>
        </is>
      </c>
      <c r="H40" t="inlineStr">
        <is>
          <t>1 September 2023</t>
        </is>
      </c>
      <c r="I40" s="2" t="n">
        <v>46312</v>
      </c>
      <c r="J40" t="inlineStr">
        <is>
          <t>Disetujui</t>
        </is>
      </c>
      <c r="K40" t="n">
        <v>30</v>
      </c>
      <c r="L40" t="inlineStr">
        <is>
          <t>17 Oktober 2026</t>
        </is>
      </c>
      <c r="M40" t="inlineStr">
        <is>
          <t>Konstruksi Bangunan Sipil Jalan</t>
        </is>
      </c>
      <c r="N40" t="inlineStr">
        <is>
          <t>K</t>
        </is>
      </c>
      <c r="O40" t="inlineStr">
        <is>
          <t>20231013</t>
        </is>
      </c>
      <c r="P40" t="inlineStr">
        <is>
          <t>Kalimantan Timur</t>
        </is>
      </c>
      <c r="Q40" t="inlineStr"/>
    </row>
    <row r="41">
      <c r="A41" t="inlineStr">
        <is>
          <t>BAYURINI</t>
        </is>
      </c>
      <c r="B41" t="inlineStr">
        <is>
          <t>Kota Adm. Jakarta Barat</t>
        </is>
      </c>
      <c r="C41" t="inlineStr">
        <is>
          <t>021456548</t>
        </is>
      </c>
      <c r="D41" t="inlineStr">
        <is>
          <t>bayurini422@gmail.com</t>
        </is>
      </c>
      <c r="E41" t="inlineStr">
        <is>
          <t>https://lpjk.pu.go.id/search-badan-usaha-detail/RG9UZ1hyQ3B4K0hpVGNFcWYrM3FNdz09</t>
        </is>
      </c>
      <c r="F41" t="n">
        <v>2</v>
      </c>
      <c r="G41" t="inlineStr">
        <is>
          <t>BG001</t>
        </is>
      </c>
      <c r="H41" t="inlineStr">
        <is>
          <t>16 Agustus 2023</t>
        </is>
      </c>
      <c r="I41" s="2" t="n">
        <v>46312</v>
      </c>
      <c r="J41" t="inlineStr">
        <is>
          <t>Disetujui</t>
        </is>
      </c>
      <c r="K41" t="n">
        <v>30</v>
      </c>
      <c r="L41" t="inlineStr">
        <is>
          <t>17 Oktober 2026</t>
        </is>
      </c>
      <c r="M41" t="inlineStr">
        <is>
          <t>Konstruksi Gedung Hunian</t>
        </is>
      </c>
      <c r="N41" t="inlineStr">
        <is>
          <t>K</t>
        </is>
      </c>
      <c r="O41" t="inlineStr">
        <is>
          <t>20231009</t>
        </is>
      </c>
      <c r="P41" t="inlineStr">
        <is>
          <t>DKI Jakarta</t>
        </is>
      </c>
      <c r="Q41" t="inlineStr"/>
    </row>
    <row r="42">
      <c r="A42" t="inlineStr">
        <is>
          <t>BELKA CERIA PERSADA</t>
        </is>
      </c>
      <c r="B42" t="inlineStr">
        <is>
          <t>Kota Bandung</t>
        </is>
      </c>
      <c r="C42" t="inlineStr">
        <is>
          <t>02288880840</t>
        </is>
      </c>
      <c r="D42" t="inlineStr">
        <is>
          <t>belkaceriapersadapt@yahoo.com</t>
        </is>
      </c>
      <c r="E42" t="inlineStr">
        <is>
          <t>https://lpjk.pu.go.id/search-badan-usaha-detail/SEEvR3FjK3FJTURNWnpsWmJZbzY5dz09</t>
        </is>
      </c>
      <c r="F42" t="n">
        <v>4</v>
      </c>
      <c r="G42" t="inlineStr">
        <is>
          <t>BG002, BG005, BG009, BS004</t>
        </is>
      </c>
      <c r="H42" t="inlineStr">
        <is>
          <t>5 November 1994</t>
        </is>
      </c>
      <c r="I42" s="2" t="n">
        <v>46312</v>
      </c>
      <c r="J42" t="inlineStr">
        <is>
          <t>Disetujui</t>
        </is>
      </c>
      <c r="K42" t="n">
        <v>30</v>
      </c>
      <c r="L42" t="inlineStr">
        <is>
          <t>17 Oktober 2026</t>
        </is>
      </c>
      <c r="M42" t="inlineStr">
        <is>
          <t>Konstruksi Gedung Kesehatan, Konstruksi Gedung Lainnya, Konstruksi Gedung Perkantoran, Konstruksi Jaringan Irigasi dan Drainase</t>
        </is>
      </c>
      <c r="N42" t="inlineStr">
        <is>
          <t>K</t>
        </is>
      </c>
      <c r="O42" t="inlineStr">
        <is>
          <t>20231016, 20231017</t>
        </is>
      </c>
      <c r="P42" t="inlineStr">
        <is>
          <t>Jawa Barat</t>
        </is>
      </c>
      <c r="Q42" t="inlineStr"/>
    </row>
    <row r="43">
      <c r="A43" t="inlineStr">
        <is>
          <t>BELLAVEGA TERRA CONSULTANT</t>
        </is>
      </c>
      <c r="B43" t="inlineStr">
        <is>
          <t>Kota Pontianak</t>
        </is>
      </c>
      <c r="C43" t="inlineStr">
        <is>
          <t>085245772448</t>
        </is>
      </c>
      <c r="D43" t="inlineStr">
        <is>
          <t>bellavega.terra@gmail.com</t>
        </is>
      </c>
      <c r="E43" t="inlineStr">
        <is>
          <t>https://lpjk.pu.go.id/search-badan-usaha-detail/MTA2TWN0alVydFAxMHY5YjA5eGVYUT09</t>
        </is>
      </c>
      <c r="F43" t="n">
        <v>2</v>
      </c>
      <c r="G43" t="inlineStr">
        <is>
          <t>RK001, RK003</t>
        </is>
      </c>
      <c r="H43" t="inlineStr">
        <is>
          <t>24 Februari 2016</t>
        </is>
      </c>
      <c r="I43" s="2" t="n">
        <v>46312</v>
      </c>
      <c r="J43" t="inlineStr">
        <is>
          <t>Disetujui</t>
        </is>
      </c>
      <c r="K43" t="n">
        <v>30</v>
      </c>
      <c r="L43" t="inlineStr">
        <is>
          <t>17 Oktober 2026</t>
        </is>
      </c>
      <c r="M43" t="inlineStr">
        <is>
          <t>Jasa Rekayasa Konstruksi Bangunan Gedung Hunian dan Non Hunian, Jasa Rekayasa Pekerjaan Teknik Sipil Transportasi</t>
        </is>
      </c>
      <c r="N43" t="inlineStr">
        <is>
          <t>K</t>
        </is>
      </c>
      <c r="O43" t="inlineStr">
        <is>
          <t>20231006, 20231009</t>
        </is>
      </c>
      <c r="P43" t="inlineStr">
        <is>
          <t>Kalimantan Barat</t>
        </is>
      </c>
      <c r="Q43" t="inlineStr"/>
    </row>
    <row r="44">
      <c r="A44" t="inlineStr">
        <is>
          <t>BERKAH MANDIRI CONSULTANT</t>
        </is>
      </c>
      <c r="B44" t="inlineStr">
        <is>
          <t>Kota Samarinda</t>
        </is>
      </c>
      <c r="C44" t="inlineStr">
        <is>
          <t>082350859423</t>
        </is>
      </c>
      <c r="D44" t="inlineStr">
        <is>
          <t>berkahmandiriconsultant@gmail.com</t>
        </is>
      </c>
      <c r="E44" t="inlineStr">
        <is>
          <t>https://lpjk.pu.go.id/search-badan-usaha-detail/eGMxcFRCNjNHT3ZPcXFuTktnN2hsZz09</t>
        </is>
      </c>
      <c r="F44" t="n">
        <v>2</v>
      </c>
      <c r="G44" t="inlineStr">
        <is>
          <t>RK001</t>
        </is>
      </c>
      <c r="H44" t="inlineStr">
        <is>
          <t>17 Juni 2022</t>
        </is>
      </c>
      <c r="I44" s="2" t="n">
        <v>46312</v>
      </c>
      <c r="J44" t="inlineStr">
        <is>
          <t>Disetujui</t>
        </is>
      </c>
      <c r="K44" t="n">
        <v>30</v>
      </c>
      <c r="L44" t="inlineStr">
        <is>
          <t>17 Oktober 2026</t>
        </is>
      </c>
      <c r="M44" t="inlineStr">
        <is>
          <t>Jasa Rekayasa Konstruksi Bangunan Gedung Hunian dan Non Hunian</t>
        </is>
      </c>
      <c r="N44" t="inlineStr">
        <is>
          <t>K</t>
        </is>
      </c>
      <c r="O44" t="inlineStr">
        <is>
          <t>20230925</t>
        </is>
      </c>
      <c r="P44" t="inlineStr">
        <is>
          <t>Kalimantan Timur</t>
        </is>
      </c>
      <c r="Q44" t="inlineStr"/>
    </row>
    <row r="45">
      <c r="A45" t="inlineStr">
        <is>
          <t>BERKAH TENAGA MUDA</t>
        </is>
      </c>
      <c r="B45" t="inlineStr">
        <is>
          <t>Kab. Mojokerto</t>
        </is>
      </c>
      <c r="C45" t="inlineStr">
        <is>
          <t>081252214045</t>
        </is>
      </c>
      <c r="D45" t="inlineStr">
        <is>
          <t>cvberkahtenagamuda@gmail.com</t>
        </is>
      </c>
      <c r="E45" t="inlineStr">
        <is>
          <t>https://lpjk.pu.go.id/search-badan-usaha-detail/cGRqR1R3VnhNVnZhcW4rN25yc3kxQT09</t>
        </is>
      </c>
      <c r="F45" t="n">
        <v>2</v>
      </c>
      <c r="G45" t="inlineStr">
        <is>
          <t>BS001</t>
        </is>
      </c>
      <c r="H45" t="inlineStr">
        <is>
          <t>3 Agustus 2023</t>
        </is>
      </c>
      <c r="I45" s="2" t="n">
        <v>46312</v>
      </c>
      <c r="J45" t="inlineStr">
        <is>
          <t>Disetujui</t>
        </is>
      </c>
      <c r="K45" t="n">
        <v>30</v>
      </c>
      <c r="L45" t="inlineStr">
        <is>
          <t>17 Oktober 2026</t>
        </is>
      </c>
      <c r="M45" t="inlineStr">
        <is>
          <t>Konstruksi Bangunan Sipil Jalan</t>
        </is>
      </c>
      <c r="N45" t="inlineStr">
        <is>
          <t>K</t>
        </is>
      </c>
      <c r="O45" t="inlineStr">
        <is>
          <t>20231010</t>
        </is>
      </c>
      <c r="P45" t="inlineStr">
        <is>
          <t>Jawa Timur</t>
        </is>
      </c>
      <c r="Q45" t="inlineStr"/>
    </row>
    <row r="46">
      <c r="A46" t="inlineStr">
        <is>
          <t>BERKAT ABADI GROUP</t>
        </is>
      </c>
      <c r="B46" t="inlineStr">
        <is>
          <t>Kab. Tuban</t>
        </is>
      </c>
      <c r="C46" t="inlineStr">
        <is>
          <t>085779793788</t>
        </is>
      </c>
      <c r="D46" t="inlineStr">
        <is>
          <t>ptberkatabadigroup@gmail.com</t>
        </is>
      </c>
      <c r="E46" t="inlineStr">
        <is>
          <t>https://lpjk.pu.go.id/search-badan-usaha-detail/UThKZS9HTWlKek9ubUVSSW02YVRWUT09</t>
        </is>
      </c>
      <c r="F46" t="n">
        <v>6</v>
      </c>
      <c r="G46" t="inlineStr">
        <is>
          <t>BG003, BS002, BS004</t>
        </is>
      </c>
      <c r="H46" t="inlineStr">
        <is>
          <t>22 Agustus 2023</t>
        </is>
      </c>
      <c r="I46" s="2" t="n">
        <v>46312</v>
      </c>
      <c r="J46" t="inlineStr">
        <is>
          <t>Disetujui</t>
        </is>
      </c>
      <c r="K46" t="n">
        <v>30</v>
      </c>
      <c r="L46" t="inlineStr">
        <is>
          <t>17 Oktober 2026</t>
        </is>
      </c>
      <c r="M46" t="inlineStr">
        <is>
          <t>Bangunan Sipil Jembatan, Jalan Layang, Fly Over, dan Underpass, Konstruksi Gedung Industri, Konstruksi Jaringan Irigasi dan Drainase</t>
        </is>
      </c>
      <c r="N46" t="inlineStr">
        <is>
          <t>K</t>
        </is>
      </c>
      <c r="O46" t="inlineStr">
        <is>
          <t>20231017</t>
        </is>
      </c>
      <c r="P46" t="inlineStr">
        <is>
          <t>Jawa Timur</t>
        </is>
      </c>
      <c r="Q46" t="inlineStr"/>
    </row>
    <row r="47">
      <c r="A47" t="inlineStr">
        <is>
          <t>BERLIAN</t>
        </is>
      </c>
      <c r="B47" t="inlineStr">
        <is>
          <t>Kab. Bojonegoro</t>
        </is>
      </c>
      <c r="C47" t="inlineStr">
        <is>
          <t>0353332404</t>
        </is>
      </c>
      <c r="D47" t="inlineStr">
        <is>
          <t>berlian_cv@ymail.com</t>
        </is>
      </c>
      <c r="E47" t="inlineStr">
        <is>
          <t>https://lpjk.pu.go.id/search-badan-usaha-detail/d3c2dzZUWW1KKzFGVXd0VkViOHJVQT09</t>
        </is>
      </c>
      <c r="F47" t="n">
        <v>2</v>
      </c>
      <c r="G47" t="inlineStr">
        <is>
          <t>BS001, BS004</t>
        </is>
      </c>
      <c r="H47" t="inlineStr">
        <is>
          <t>6 Desember 2001</t>
        </is>
      </c>
      <c r="I47" s="2" t="n">
        <v>46312</v>
      </c>
      <c r="J47" t="inlineStr">
        <is>
          <t>Disetujui</t>
        </is>
      </c>
      <c r="K47" t="n">
        <v>30</v>
      </c>
      <c r="L47" t="inlineStr">
        <is>
          <t>17 Oktober 2026</t>
        </is>
      </c>
      <c r="M47" t="inlineStr">
        <is>
          <t>Konstruksi Bangunan Sipil Jalan, Konstruksi Jaringan Irigasi dan Drainase</t>
        </is>
      </c>
      <c r="N47" t="inlineStr">
        <is>
          <t>K</t>
        </is>
      </c>
      <c r="O47" t="inlineStr">
        <is>
          <t>20231011, 20231018</t>
        </is>
      </c>
      <c r="P47" t="inlineStr">
        <is>
          <t>Jawa Timur</t>
        </is>
      </c>
      <c r="Q47" t="inlineStr"/>
    </row>
    <row r="48">
      <c r="A48" t="inlineStr">
        <is>
          <t>BHAKTIMITRA BESAR INOFAM</t>
        </is>
      </c>
      <c r="B48" t="inlineStr">
        <is>
          <t>Kota Tangerang Selatan</t>
        </is>
      </c>
      <c r="C48" t="inlineStr">
        <is>
          <t>02153160529</t>
        </is>
      </c>
      <c r="D48" t="inlineStr">
        <is>
          <t>bhaktimitrainofam@gmail.com</t>
        </is>
      </c>
      <c r="E48" t="inlineStr">
        <is>
          <t>https://lpjk.pu.go.id/search-badan-usaha-detail/S2NGVVhtbDN5RnVMc2tZM3pidW5Ldz09</t>
        </is>
      </c>
      <c r="F48" t="n">
        <v>1</v>
      </c>
      <c r="G48" t="inlineStr">
        <is>
          <t>BG001</t>
        </is>
      </c>
      <c r="H48" t="inlineStr">
        <is>
          <t>21 Desember 2022</t>
        </is>
      </c>
      <c r="I48" s="2" t="n">
        <v>46312</v>
      </c>
      <c r="J48" t="inlineStr">
        <is>
          <t>Disetujui</t>
        </is>
      </c>
      <c r="K48" t="n">
        <v>30</v>
      </c>
      <c r="L48" t="inlineStr">
        <is>
          <t>17 Oktober 2026</t>
        </is>
      </c>
      <c r="M48" t="inlineStr">
        <is>
          <t>Konstruksi Gedung Hunian</t>
        </is>
      </c>
      <c r="N48" t="inlineStr">
        <is>
          <t>K</t>
        </is>
      </c>
      <c r="O48" t="inlineStr">
        <is>
          <t>20231018</t>
        </is>
      </c>
      <c r="P48" t="inlineStr">
        <is>
          <t>Banten</t>
        </is>
      </c>
      <c r="Q48" t="inlineStr"/>
    </row>
    <row r="49">
      <c r="A49" t="inlineStr">
        <is>
          <t>BINA SAHABAT SEJATI</t>
        </is>
      </c>
      <c r="B49" t="inlineStr">
        <is>
          <t>Kota Tangerang</t>
        </is>
      </c>
      <c r="C49" t="inlineStr">
        <is>
          <t>0215918575</t>
        </is>
      </c>
      <c r="D49" t="inlineStr">
        <is>
          <t>pt-bss@cbn.net.id</t>
        </is>
      </c>
      <c r="E49" t="inlineStr">
        <is>
          <t>https://lpjk.pu.go.id/search-badan-usaha-detail/NDRkQzdSNkl3ZmREdllYUXJ4Mkd0UT09</t>
        </is>
      </c>
      <c r="F49" t="n">
        <v>2</v>
      </c>
      <c r="G49" t="inlineStr">
        <is>
          <t>BG003, BG009</t>
        </is>
      </c>
      <c r="H49" t="inlineStr">
        <is>
          <t>4 Februari 2005</t>
        </is>
      </c>
      <c r="I49" s="2" t="n">
        <v>46312</v>
      </c>
      <c r="J49" t="inlineStr">
        <is>
          <t>Pencabutan</t>
        </is>
      </c>
      <c r="K49" t="n">
        <v>30</v>
      </c>
      <c r="L49" t="inlineStr">
        <is>
          <t>17 Oktober 2026</t>
        </is>
      </c>
      <c r="M49" t="inlineStr">
        <is>
          <t>Konstruksi Gedung Industri, Konstruksi Gedung Lainnya</t>
        </is>
      </c>
      <c r="N49" t="inlineStr">
        <is>
          <t>K</t>
        </is>
      </c>
      <c r="O49" t="inlineStr">
        <is>
          <t>20230905, 20231016</t>
        </is>
      </c>
      <c r="P49" t="inlineStr">
        <is>
          <t>Banten</t>
        </is>
      </c>
      <c r="Q49" t="inlineStr"/>
    </row>
    <row r="50">
      <c r="A50" t="inlineStr">
        <is>
          <t>BINTANG JAYA</t>
        </is>
      </c>
      <c r="B50" t="inlineStr">
        <is>
          <t>Kab. Nganjuk</t>
        </is>
      </c>
      <c r="C50" t="inlineStr">
        <is>
          <t>085331487395</t>
        </is>
      </c>
      <c r="D50" t="inlineStr">
        <is>
          <t>cv_bintangj@yahoo.com</t>
        </is>
      </c>
      <c r="E50" t="inlineStr">
        <is>
          <t>https://lpjk.pu.go.id/search-badan-usaha-detail/ZTZZaWdOdmJtaE92SFFPS0NDQVU3dz09</t>
        </is>
      </c>
      <c r="F50" t="n">
        <v>6</v>
      </c>
      <c r="G50" t="inlineStr">
        <is>
          <t>BS001, BS002, BS004</t>
        </is>
      </c>
      <c r="H50" t="inlineStr">
        <is>
          <t>15 Juli 2003</t>
        </is>
      </c>
      <c r="I50" s="2" t="n">
        <v>46312</v>
      </c>
      <c r="J50" t="inlineStr">
        <is>
          <t>Disetujui</t>
        </is>
      </c>
      <c r="K50" t="n">
        <v>30</v>
      </c>
      <c r="L50" t="inlineStr">
        <is>
          <t>17 Oktober 2026</t>
        </is>
      </c>
      <c r="M50" t="inlineStr">
        <is>
          <t>Bangunan Sipil Jembatan, Jalan Layang, Fly Over, dan Underpass, Konstruksi Bangunan Sipil Jalan, Konstruksi Jaringan Irigasi dan Drainase</t>
        </is>
      </c>
      <c r="N50" t="inlineStr">
        <is>
          <t>K</t>
        </is>
      </c>
      <c r="O50" t="inlineStr">
        <is>
          <t>20231007, 20231018</t>
        </is>
      </c>
      <c r="P50" t="inlineStr">
        <is>
          <t>Jawa Timur</t>
        </is>
      </c>
      <c r="Q50" t="inlineStr"/>
    </row>
    <row r="51">
      <c r="A51" t="inlineStr">
        <is>
          <t>BINTANG MULIA INDONESIA</t>
        </is>
      </c>
      <c r="B51" t="inlineStr">
        <is>
          <t>Kota Makassar</t>
        </is>
      </c>
      <c r="C51" t="inlineStr">
        <is>
          <t>08114442001</t>
        </is>
      </c>
      <c r="D51" t="inlineStr">
        <is>
          <t>bintangmuliaindonesia@gmail.com</t>
        </is>
      </c>
      <c r="E51" t="inlineStr">
        <is>
          <t>https://lpjk.pu.go.id/search-badan-usaha-detail/SDVRRFJ2ZTJ2NldHWlA4elJobVF2UT09</t>
        </is>
      </c>
      <c r="F51" t="n">
        <v>6</v>
      </c>
      <c r="G51" t="inlineStr">
        <is>
          <t>BG002, BG006, BG009</t>
        </is>
      </c>
      <c r="H51" t="inlineStr">
        <is>
          <t>22 Juni 2012</t>
        </is>
      </c>
      <c r="I51" s="2" t="n">
        <v>46312</v>
      </c>
      <c r="J51" t="inlineStr">
        <is>
          <t>Disetujui</t>
        </is>
      </c>
      <c r="K51" t="n">
        <v>30</v>
      </c>
      <c r="L51" t="inlineStr">
        <is>
          <t>17 Oktober 2026</t>
        </is>
      </c>
      <c r="M51" t="inlineStr">
        <is>
          <t>Konstruksi Gedung Lainnya, Konstruksi Gedung Pendidikan, Konstruksi Gedung Perkantoran</t>
        </is>
      </c>
      <c r="N51" t="inlineStr">
        <is>
          <t>K</t>
        </is>
      </c>
      <c r="O51" t="inlineStr">
        <is>
          <t>20231013, 20231017</t>
        </is>
      </c>
      <c r="P51" t="inlineStr">
        <is>
          <t>Sulawesi Selatan</t>
        </is>
      </c>
      <c r="Q51" t="inlineStr"/>
    </row>
    <row r="52">
      <c r="A52" t="inlineStr">
        <is>
          <t>BINTANG PERMAI</t>
        </is>
      </c>
      <c r="B52" t="inlineStr">
        <is>
          <t>Kota Pontianak</t>
        </is>
      </c>
      <c r="C52" t="inlineStr">
        <is>
          <t>083143876144</t>
        </is>
      </c>
      <c r="D52" t="inlineStr">
        <is>
          <t>cvbintangpermai2021@gmail.com</t>
        </is>
      </c>
      <c r="E52" t="inlineStr">
        <is>
          <t>https://lpjk.pu.go.id/search-badan-usaha-detail/V1QzQ2Z4bUl1RnBZQ3lPbjZERmVxQT09</t>
        </is>
      </c>
      <c r="F52" t="n">
        <v>2</v>
      </c>
      <c r="G52" t="inlineStr">
        <is>
          <t>BG009</t>
        </is>
      </c>
      <c r="H52" t="inlineStr">
        <is>
          <t>16 April 2021</t>
        </is>
      </c>
      <c r="I52" s="2" t="n">
        <v>46312</v>
      </c>
      <c r="J52" t="inlineStr">
        <is>
          <t>Disetujui</t>
        </is>
      </c>
      <c r="K52" t="n">
        <v>30</v>
      </c>
      <c r="L52" t="inlineStr">
        <is>
          <t>17 Oktober 2026</t>
        </is>
      </c>
      <c r="M52" t="inlineStr">
        <is>
          <t>Konstruksi Gedung Lainnya</t>
        </is>
      </c>
      <c r="N52" t="inlineStr">
        <is>
          <t>K</t>
        </is>
      </c>
      <c r="O52" t="inlineStr">
        <is>
          <t>20231013</t>
        </is>
      </c>
      <c r="P52" t="inlineStr">
        <is>
          <t>Kalimantan Barat</t>
        </is>
      </c>
      <c r="Q52" t="inlineStr"/>
    </row>
    <row r="53">
      <c r="A53" t="inlineStr">
        <is>
          <t>BINTANG SEJAHTERA UTAMA</t>
        </is>
      </c>
      <c r="B53" t="inlineStr">
        <is>
          <t>Kab. Gowa</t>
        </is>
      </c>
      <c r="C53" t="inlineStr">
        <is>
          <t>0411615868</t>
        </is>
      </c>
      <c r="D53" t="inlineStr">
        <is>
          <t>cvbintangsejahterautama@yahoo.co.id</t>
        </is>
      </c>
      <c r="E53" t="inlineStr">
        <is>
          <t>https://lpjk.pu.go.id/search-badan-usaha-detail/bzR4RXRzYXNQVTU5RDllelRCUzZ4dz09</t>
        </is>
      </c>
      <c r="F53" t="n">
        <v>8</v>
      </c>
      <c r="G53" t="inlineStr">
        <is>
          <t>BG001, BG002, BG006, BG009</t>
        </is>
      </c>
      <c r="H53" t="inlineStr">
        <is>
          <t>30 Juni 2008</t>
        </is>
      </c>
      <c r="I53" s="2" t="n">
        <v>46312</v>
      </c>
      <c r="J53" t="inlineStr">
        <is>
          <t>Disetujui</t>
        </is>
      </c>
      <c r="K53" t="n">
        <v>30</v>
      </c>
      <c r="L53" t="inlineStr">
        <is>
          <t>17 Oktober 2026</t>
        </is>
      </c>
      <c r="M53" t="inlineStr">
        <is>
          <t>Konstruksi Gedung Hunian, Konstruksi Gedung Lainnya, Konstruksi Gedung Pendidikan, Konstruksi Gedung Perkantoran</t>
        </is>
      </c>
      <c r="N53" t="inlineStr">
        <is>
          <t>K</t>
        </is>
      </c>
      <c r="O53" t="inlineStr">
        <is>
          <t>20231013</t>
        </is>
      </c>
      <c r="P53" t="inlineStr">
        <is>
          <t>Sulawesi Selatan</t>
        </is>
      </c>
      <c r="Q53" t="inlineStr"/>
    </row>
    <row r="54">
      <c r="A54" t="inlineStr">
        <is>
          <t>BINTANGTIMUR UTAMA SEJAHTERA</t>
        </is>
      </c>
      <c r="B54" t="inlineStr">
        <is>
          <t>Kota Surabaya</t>
        </is>
      </c>
      <c r="C54" t="inlineStr">
        <is>
          <t>0315044343</t>
        </is>
      </c>
      <c r="D54" t="inlineStr">
        <is>
          <t>btu_berkarya@yahoo.com</t>
        </is>
      </c>
      <c r="E54" t="inlineStr">
        <is>
          <t>https://lpjk.pu.go.id/search-badan-usaha-detail/NVpSSThOZ1FvWEhURFBMaCtrR2RNdz09</t>
        </is>
      </c>
      <c r="F54" t="n">
        <v>2</v>
      </c>
      <c r="G54" t="inlineStr">
        <is>
          <t>BG009</t>
        </is>
      </c>
      <c r="H54" t="inlineStr">
        <is>
          <t>12 Desember 2008</t>
        </is>
      </c>
      <c r="I54" s="2" t="n">
        <v>46312</v>
      </c>
      <c r="J54" t="inlineStr">
        <is>
          <t>Pencabutan</t>
        </is>
      </c>
      <c r="K54" t="n">
        <v>30</v>
      </c>
      <c r="L54" t="inlineStr">
        <is>
          <t>17 Oktober 2026</t>
        </is>
      </c>
      <c r="M54" t="inlineStr">
        <is>
          <t>Konstruksi Gedung Lainnya</t>
        </is>
      </c>
      <c r="N54" t="inlineStr">
        <is>
          <t>K</t>
        </is>
      </c>
      <c r="O54" t="inlineStr">
        <is>
          <t>20231016</t>
        </is>
      </c>
      <c r="P54" t="inlineStr">
        <is>
          <t>Jawa Timur</t>
        </is>
      </c>
      <c r="Q54" t="inlineStr"/>
    </row>
    <row r="55">
      <c r="A55" t="inlineStr">
        <is>
          <t>BUMI ETAM SEJAHTERA</t>
        </is>
      </c>
      <c r="B55" t="inlineStr">
        <is>
          <t>Kab. Kutai Timur</t>
        </is>
      </c>
      <c r="C55" t="inlineStr">
        <is>
          <t>081226883777</t>
        </is>
      </c>
      <c r="D55" t="inlineStr">
        <is>
          <t>cvbumietamsejahtera@gmail.com</t>
        </is>
      </c>
      <c r="E55" t="inlineStr">
        <is>
          <t>https://lpjk.pu.go.id/search-badan-usaha-detail/VGxSTGw3VVNzZVp0WndxWTNaNVlyZz09</t>
        </is>
      </c>
      <c r="F55" t="n">
        <v>5</v>
      </c>
      <c r="G55" t="inlineStr">
        <is>
          <t>BG004, BG006, BG009, BS001, BS004</t>
        </is>
      </c>
      <c r="H55" t="inlineStr">
        <is>
          <t>17 Februari 2023</t>
        </is>
      </c>
      <c r="I55" s="2" t="n">
        <v>46312</v>
      </c>
      <c r="J55" t="inlineStr">
        <is>
          <t>Disetujui</t>
        </is>
      </c>
      <c r="K55" t="n">
        <v>30</v>
      </c>
      <c r="L55" t="inlineStr">
        <is>
          <t>17 Oktober 2026</t>
        </is>
      </c>
      <c r="M55" t="inlineStr">
        <is>
          <t>Konstruksi Bangunan Sipil Jalan, Konstruksi Gedung Lainnya, Konstruksi Gedung Pendidikan, Konstruksi Gedung Perbelanjaan, Konstruksi Jaringan Irigasi dan Drainase</t>
        </is>
      </c>
      <c r="N55" t="inlineStr">
        <is>
          <t>K</t>
        </is>
      </c>
      <c r="O55" t="inlineStr">
        <is>
          <t>20231018</t>
        </is>
      </c>
      <c r="P55" t="inlineStr">
        <is>
          <t>Kalimantan Timur</t>
        </is>
      </c>
      <c r="Q55" t="inlineStr"/>
    </row>
    <row r="56">
      <c r="A56" t="inlineStr">
        <is>
          <t>CAHAYA TUNJUNG</t>
        </is>
      </c>
      <c r="B56" t="inlineStr">
        <is>
          <t>Kab. Lombok Tengah</t>
        </is>
      </c>
      <c r="C56" t="inlineStr">
        <is>
          <t>081917179640</t>
        </is>
      </c>
      <c r="D56" t="inlineStr">
        <is>
          <t>cahayatunjung@gmail.com</t>
        </is>
      </c>
      <c r="E56" t="inlineStr">
        <is>
          <t>https://lpjk.pu.go.id/search-badan-usaha-detail/L1cyMDh3WW1ySXpWTmQzcUQ5SFR4QT09</t>
        </is>
      </c>
      <c r="F56" t="n">
        <v>1</v>
      </c>
      <c r="G56" t="inlineStr">
        <is>
          <t>BG006</t>
        </is>
      </c>
      <c r="H56" t="inlineStr">
        <is>
          <t>20 Januari 2016</t>
        </is>
      </c>
      <c r="I56" s="2" t="n">
        <v>46312</v>
      </c>
      <c r="J56" t="inlineStr">
        <is>
          <t>Disetujui</t>
        </is>
      </c>
      <c r="K56" t="n">
        <v>30</v>
      </c>
      <c r="L56" t="inlineStr">
        <is>
          <t>17 Oktober 2026</t>
        </is>
      </c>
      <c r="M56" t="inlineStr">
        <is>
          <t>Konstruksi Gedung Pendidikan</t>
        </is>
      </c>
      <c r="N56" t="inlineStr">
        <is>
          <t>K</t>
        </is>
      </c>
      <c r="O56" t="inlineStr">
        <is>
          <t>20231010</t>
        </is>
      </c>
      <c r="P56" t="inlineStr">
        <is>
          <t>Nusa Tenggara Barat</t>
        </is>
      </c>
      <c r="Q56" t="inlineStr"/>
    </row>
    <row r="57">
      <c r="A57" t="inlineStr">
        <is>
          <t>CEMERLANG SAMUDRA KONTRINDO</t>
        </is>
      </c>
      <c r="B57" t="inlineStr">
        <is>
          <t>Kota Medan</t>
        </is>
      </c>
      <c r="C57" t="inlineStr">
        <is>
          <t>0614527251</t>
        </is>
      </c>
      <c r="D57" t="inlineStr">
        <is>
          <t>cskpt.medan@gmail.com</t>
        </is>
      </c>
      <c r="E57" t="inlineStr">
        <is>
          <t>https://lpjk.pu.go.id/search-badan-usaha-detail/TkQ5MTdTQ1QvRUk3WHpJZWk1VTA1dz09</t>
        </is>
      </c>
      <c r="F57" t="n">
        <v>1</v>
      </c>
      <c r="G57" t="inlineStr">
        <is>
          <t>BS011</t>
        </is>
      </c>
      <c r="H57" t="inlineStr">
        <is>
          <t>9 April 1998</t>
        </is>
      </c>
      <c r="I57" s="2" t="n">
        <v>46312</v>
      </c>
      <c r="J57" t="inlineStr">
        <is>
          <t>Disetujui</t>
        </is>
      </c>
      <c r="K57" t="n">
        <v>30</v>
      </c>
      <c r="L57" t="inlineStr">
        <is>
          <t>17 Oktober 2026</t>
        </is>
      </c>
      <c r="M57" t="inlineStr">
        <is>
          <t>Konstruksi Bangunan Pelabuhan Bukan Perikanan</t>
        </is>
      </c>
      <c r="N57" t="inlineStr">
        <is>
          <t>B</t>
        </is>
      </c>
      <c r="O57" t="inlineStr">
        <is>
          <t>20231004</t>
        </is>
      </c>
      <c r="P57" t="inlineStr">
        <is>
          <t>Sumatera Utara</t>
        </is>
      </c>
      <c r="Q57" t="inlineStr"/>
    </row>
    <row r="58">
      <c r="A58" t="inlineStr">
        <is>
          <t>CITRA SEJAHTERA MANDIRI</t>
        </is>
      </c>
      <c r="B58" t="inlineStr">
        <is>
          <t>Kab. Kotabaru</t>
        </is>
      </c>
      <c r="C58" t="inlineStr">
        <is>
          <t>082154962879</t>
        </is>
      </c>
      <c r="D58" t="inlineStr">
        <is>
          <t>cv.citrasejahteramandiri@yahoo.co.id</t>
        </is>
      </c>
      <c r="E58" t="inlineStr">
        <is>
          <t>https://lpjk.pu.go.id/search-badan-usaha-detail/aEY2Uk5LZEFCZmM1TUdXeEk0SkR2UT09</t>
        </is>
      </c>
      <c r="F58" t="n">
        <v>5</v>
      </c>
      <c r="G58" t="inlineStr">
        <is>
          <t>BG002, BG004, BG008, BG009, BS002</t>
        </is>
      </c>
      <c r="H58" t="inlineStr">
        <is>
          <t>26 Desember 2000</t>
        </is>
      </c>
      <c r="I58" s="2" t="n">
        <v>46312</v>
      </c>
      <c r="J58" t="inlineStr">
        <is>
          <t>Disetujui</t>
        </is>
      </c>
      <c r="K58" t="n">
        <v>30</v>
      </c>
      <c r="L58" t="inlineStr">
        <is>
          <t>17 Oktober 2026</t>
        </is>
      </c>
      <c r="M58" t="inlineStr">
        <is>
          <t>Bangunan Sipil Jembatan, Jalan Layang, Fly Over, dan Underpass, Konstruksi Gedung Lainnya, Konstruksi Gedung Perbelanjaan, Konstruksi Gedung Perkantoran, Konstruksi Gedung Tempat Hiburan dan Olahraga</t>
        </is>
      </c>
      <c r="N58" t="inlineStr">
        <is>
          <t>K</t>
        </is>
      </c>
      <c r="O58" t="inlineStr">
        <is>
          <t>20231014, 20231018</t>
        </is>
      </c>
      <c r="P58" t="inlineStr">
        <is>
          <t>Kalimantan Selatan</t>
        </is>
      </c>
      <c r="Q58" t="inlineStr"/>
    </row>
    <row r="59">
      <c r="A59" t="inlineStr">
        <is>
          <t>DELAPAN PILAR INTI SOLUSI</t>
        </is>
      </c>
      <c r="B59" t="inlineStr">
        <is>
          <t>Kota Tangerang Selatan</t>
        </is>
      </c>
      <c r="C59" t="inlineStr">
        <is>
          <t>0215373178</t>
        </is>
      </c>
      <c r="D59" t="inlineStr">
        <is>
          <t>delapanpilarintisolusi@gmail.com</t>
        </is>
      </c>
      <c r="E59" t="inlineStr">
        <is>
          <t>https://lpjk.pu.go.id/search-badan-usaha-detail/d2oyTW0yUTQzdHQ1YkRaK1NFZ2hJdz09</t>
        </is>
      </c>
      <c r="F59" t="n">
        <v>4</v>
      </c>
      <c r="G59" t="inlineStr">
        <is>
          <t>BG002, BG003</t>
        </is>
      </c>
      <c r="H59" t="inlineStr">
        <is>
          <t>21 Agustus 2023</t>
        </is>
      </c>
      <c r="I59" s="2" t="n">
        <v>46312</v>
      </c>
      <c r="J59" t="inlineStr">
        <is>
          <t>Disetujui</t>
        </is>
      </c>
      <c r="K59" t="n">
        <v>30</v>
      </c>
      <c r="L59" t="inlineStr">
        <is>
          <t>17 Oktober 2026</t>
        </is>
      </c>
      <c r="M59" t="inlineStr">
        <is>
          <t>Konstruksi Gedung Industri, Konstruksi Gedung Perkantoran</t>
        </is>
      </c>
      <c r="N59" t="inlineStr">
        <is>
          <t>K</t>
        </is>
      </c>
      <c r="O59" t="inlineStr">
        <is>
          <t>20231018</t>
        </is>
      </c>
      <c r="P59" t="inlineStr">
        <is>
          <t>Banten</t>
        </is>
      </c>
      <c r="Q59" t="inlineStr"/>
    </row>
    <row r="60">
      <c r="A60" t="inlineStr">
        <is>
          <t>DETAIL MERBANG SEULAWAH</t>
        </is>
      </c>
      <c r="B60" t="inlineStr">
        <is>
          <t>Kota Palembang</t>
        </is>
      </c>
      <c r="C60" t="inlineStr">
        <is>
          <t>082179583911</t>
        </is>
      </c>
      <c r="D60" t="inlineStr">
        <is>
          <t>cvdetailmerbangseulwah@gmail.com</t>
        </is>
      </c>
      <c r="E60" t="inlineStr">
        <is>
          <t>https://lpjk.pu.go.id/search-badan-usaha-detail/SzBDeDBxREVvV1BWc1htdjdiYUhSZz09</t>
        </is>
      </c>
      <c r="F60" t="n">
        <v>2</v>
      </c>
      <c r="G60" t="inlineStr">
        <is>
          <t>AR001, RK001</t>
        </is>
      </c>
      <c r="H60" t="inlineStr">
        <is>
          <t>11 Januari 2011</t>
        </is>
      </c>
      <c r="I60" s="2" t="n">
        <v>46312</v>
      </c>
      <c r="J60" t="inlineStr">
        <is>
          <t>Disetujui</t>
        </is>
      </c>
      <c r="K60" t="n">
        <v>30</v>
      </c>
      <c r="L60" t="inlineStr">
        <is>
          <t>17 Oktober 2026</t>
        </is>
      </c>
      <c r="M60" t="inlineStr">
        <is>
          <t>Jasa Arsitektural Bangunan Gedung Hunian dan Non Hunian, Jasa Rekayasa Konstruksi Bangunan Gedung Hunian dan Non Hunian</t>
        </is>
      </c>
      <c r="N60" t="inlineStr">
        <is>
          <t>K</t>
        </is>
      </c>
      <c r="O60" t="inlineStr">
        <is>
          <t>20231010, 20231013</t>
        </is>
      </c>
      <c r="P60" t="inlineStr">
        <is>
          <t>Sumatera Selatan</t>
        </is>
      </c>
      <c r="Q60" t="inlineStr"/>
    </row>
    <row r="61">
      <c r="A61" t="inlineStr">
        <is>
          <t>DIPTA HARSANA</t>
        </is>
      </c>
      <c r="B61" t="inlineStr">
        <is>
          <t>Kota Bukittinggi</t>
        </is>
      </c>
      <c r="C61" t="inlineStr">
        <is>
          <t>-</t>
        </is>
      </c>
      <c r="D61" t="inlineStr">
        <is>
          <t>diptaharsana@gmail.com</t>
        </is>
      </c>
      <c r="E61" t="inlineStr">
        <is>
          <t>https://lpjk.pu.go.id/search-badan-usaha-detail/WDlaL2JBQVFrT090bzhOV0lla29vUT09</t>
        </is>
      </c>
      <c r="F61" t="n">
        <v>3</v>
      </c>
      <c r="G61" t="inlineStr">
        <is>
          <t>BG002, BG006, BS001</t>
        </is>
      </c>
      <c r="H61" t="inlineStr">
        <is>
          <t>24 Mei 2023</t>
        </is>
      </c>
      <c r="I61" s="2" t="n">
        <v>46312</v>
      </c>
      <c r="J61" t="inlineStr">
        <is>
          <t>Disetujui</t>
        </is>
      </c>
      <c r="K61" t="n">
        <v>30</v>
      </c>
      <c r="L61" t="inlineStr">
        <is>
          <t>17 Oktober 2026</t>
        </is>
      </c>
      <c r="M61" t="inlineStr">
        <is>
          <t>Konstruksi Bangunan Sipil Jalan, Konstruksi Gedung Pendidikan, Konstruksi Gedung Perkantoran</t>
        </is>
      </c>
      <c r="N61" t="inlineStr">
        <is>
          <t>K</t>
        </is>
      </c>
      <c r="O61" t="inlineStr">
        <is>
          <t>20230908, 20231011</t>
        </is>
      </c>
      <c r="P61" t="inlineStr">
        <is>
          <t>Sumatera Barat</t>
        </is>
      </c>
      <c r="Q61" t="inlineStr"/>
    </row>
    <row r="62">
      <c r="A62" t="inlineStr">
        <is>
          <t>DITA KONSULTAN</t>
        </is>
      </c>
      <c r="B62" t="inlineStr">
        <is>
          <t>Kab. Sumbawa</t>
        </is>
      </c>
      <c r="C62" t="inlineStr">
        <is>
          <t>085239557575</t>
        </is>
      </c>
      <c r="D62" t="inlineStr">
        <is>
          <t>cvdita@gmail.com</t>
        </is>
      </c>
      <c r="E62" t="inlineStr">
        <is>
          <t>https://lpjk.pu.go.id/search-badan-usaha-detail/dmgvaE41OWEzZUM1cW5GQWUxMGdBZz09</t>
        </is>
      </c>
      <c r="F62" t="n">
        <v>1</v>
      </c>
      <c r="G62" t="inlineStr">
        <is>
          <t>RK002</t>
        </is>
      </c>
      <c r="H62" t="inlineStr">
        <is>
          <t>21 Agustus 2009</t>
        </is>
      </c>
      <c r="I62" s="2" t="n">
        <v>46312</v>
      </c>
      <c r="J62" t="inlineStr">
        <is>
          <t>Disetujui</t>
        </is>
      </c>
      <c r="K62" t="n">
        <v>30</v>
      </c>
      <c r="L62" t="inlineStr">
        <is>
          <t>17 Oktober 2026</t>
        </is>
      </c>
      <c r="M62" t="inlineStr">
        <is>
          <t>Jasa Rekayasa Pekerjaan Teknik Sipil Sumber Daya Air</t>
        </is>
      </c>
      <c r="N62" t="inlineStr">
        <is>
          <t>K</t>
        </is>
      </c>
      <c r="O62" t="inlineStr">
        <is>
          <t>20231003</t>
        </is>
      </c>
      <c r="P62" t="inlineStr">
        <is>
          <t>Nusa Tenggara Barat</t>
        </is>
      </c>
      <c r="Q62" t="inlineStr"/>
    </row>
    <row r="63">
      <c r="A63" t="inlineStr">
        <is>
          <t>DOA EMAK PERKASA</t>
        </is>
      </c>
      <c r="B63" t="inlineStr">
        <is>
          <t>Kab. Tangerang</t>
        </is>
      </c>
      <c r="C63" t="inlineStr">
        <is>
          <t>081295413440</t>
        </is>
      </c>
      <c r="D63" t="inlineStr">
        <is>
          <t>aimanhalimy@gmail.com</t>
        </is>
      </c>
      <c r="E63" t="inlineStr">
        <is>
          <t>https://lpjk.pu.go.id/search-badan-usaha-detail/RnQ3azhqRG1pNXhWa0JUK1N4ZE14dz09</t>
        </is>
      </c>
      <c r="F63" t="n">
        <v>2</v>
      </c>
      <c r="G63" t="inlineStr">
        <is>
          <t>BG005, BG009</t>
        </is>
      </c>
      <c r="H63" t="inlineStr">
        <is>
          <t>12 Januari 2018</t>
        </is>
      </c>
      <c r="I63" s="2" t="n">
        <v>46312</v>
      </c>
      <c r="J63" t="inlineStr">
        <is>
          <t>Disetujui</t>
        </is>
      </c>
      <c r="K63" t="n">
        <v>30</v>
      </c>
      <c r="L63" t="inlineStr">
        <is>
          <t>17 Oktober 2026</t>
        </is>
      </c>
      <c r="M63" t="inlineStr">
        <is>
          <t>Konstruksi Gedung Kesehatan, Konstruksi Gedung Lainnya</t>
        </is>
      </c>
      <c r="N63" t="inlineStr">
        <is>
          <t>K</t>
        </is>
      </c>
      <c r="O63" t="inlineStr">
        <is>
          <t>20230919, 20231011</t>
        </is>
      </c>
      <c r="P63" t="inlineStr">
        <is>
          <t>Banten</t>
        </is>
      </c>
      <c r="Q63" t="inlineStr"/>
    </row>
    <row r="64">
      <c r="A64" t="inlineStr">
        <is>
          <t>DUA MAHKOTA</t>
        </is>
      </c>
      <c r="B64" t="inlineStr">
        <is>
          <t>Kota Bandung</t>
        </is>
      </c>
      <c r="C64" t="inlineStr">
        <is>
          <t>081394498833</t>
        </is>
      </c>
      <c r="D64" t="inlineStr">
        <is>
          <t>dua.mahkota@yahoo.com</t>
        </is>
      </c>
      <c r="E64" t="inlineStr">
        <is>
          <t>https://lpjk.pu.go.id/search-badan-usaha-detail/QWR5MWZsWEZENGo4dXJnbjFxcEhPUT09</t>
        </is>
      </c>
      <c r="F64" t="n">
        <v>3</v>
      </c>
      <c r="G64" t="inlineStr">
        <is>
          <t>BG005, BG006, BG009</t>
        </is>
      </c>
      <c r="H64" t="inlineStr">
        <is>
          <t>23 Juni 2009</t>
        </is>
      </c>
      <c r="I64" s="2" t="n">
        <v>46312</v>
      </c>
      <c r="J64" t="inlineStr">
        <is>
          <t>Disetujui</t>
        </is>
      </c>
      <c r="K64" t="n">
        <v>30</v>
      </c>
      <c r="L64" t="inlineStr">
        <is>
          <t>17 Oktober 2026</t>
        </is>
      </c>
      <c r="M64" t="inlineStr">
        <is>
          <t>Konstruksi Gedung Kesehatan, Konstruksi Gedung Lainnya, Konstruksi Gedung Pendidikan</t>
        </is>
      </c>
      <c r="N64" t="inlineStr">
        <is>
          <t>K</t>
        </is>
      </c>
      <c r="O64" t="inlineStr">
        <is>
          <t>20230929, 20231020</t>
        </is>
      </c>
      <c r="P64" t="inlineStr">
        <is>
          <t>Jawa Barat</t>
        </is>
      </c>
      <c r="Q64" t="inlineStr"/>
    </row>
    <row r="65">
      <c r="A65" t="inlineStr">
        <is>
          <t>DUTA KONSTRUKSI KHATULISTIWA</t>
        </is>
      </c>
      <c r="B65" t="inlineStr">
        <is>
          <t>Kab. Kubu Raya</t>
        </is>
      </c>
      <c r="C65" t="inlineStr">
        <is>
          <t>089510569889</t>
        </is>
      </c>
      <c r="D65" t="inlineStr">
        <is>
          <t>dutakonstruksikhatulistiwa@gmail.com</t>
        </is>
      </c>
      <c r="E65" t="inlineStr">
        <is>
          <t>https://lpjk.pu.go.id/search-badan-usaha-detail/NVE0cTExcU03TUt4bVZjTFBTeUhiUT09</t>
        </is>
      </c>
      <c r="F65" t="n">
        <v>1</v>
      </c>
      <c r="G65" t="inlineStr">
        <is>
          <t>BG002</t>
        </is>
      </c>
      <c r="H65" t="inlineStr">
        <is>
          <t>22 Desember 2021</t>
        </is>
      </c>
      <c r="I65" s="2" t="n">
        <v>46312</v>
      </c>
      <c r="J65" t="inlineStr">
        <is>
          <t>Disetujui</t>
        </is>
      </c>
      <c r="K65" t="n">
        <v>30</v>
      </c>
      <c r="L65" t="inlineStr">
        <is>
          <t>17 Oktober 2026</t>
        </is>
      </c>
      <c r="M65" t="inlineStr">
        <is>
          <t>Konstruksi Gedung Perkantoran</t>
        </is>
      </c>
      <c r="N65" t="inlineStr">
        <is>
          <t>K</t>
        </is>
      </c>
      <c r="O65" t="inlineStr">
        <is>
          <t>20231012</t>
        </is>
      </c>
      <c r="P65" t="inlineStr">
        <is>
          <t>Kalimantan Barat</t>
        </is>
      </c>
      <c r="Q65" t="inlineStr"/>
    </row>
    <row r="66">
      <c r="A66" t="inlineStr">
        <is>
          <t>DYAH AYU</t>
        </is>
      </c>
      <c r="B66" t="inlineStr">
        <is>
          <t>Kota Bontang</t>
        </is>
      </c>
      <c r="C66" t="inlineStr">
        <is>
          <t>0811586668</t>
        </is>
      </c>
      <c r="D66" t="inlineStr">
        <is>
          <t>cv_dyahayu@yahoo.co.id</t>
        </is>
      </c>
      <c r="E66" t="inlineStr">
        <is>
          <t>https://lpjk.pu.go.id/search-badan-usaha-detail/TkN5a1hvM3dWV0ZTOVNMcTlJdWxtQT09</t>
        </is>
      </c>
      <c r="F66" t="n">
        <v>2</v>
      </c>
      <c r="G66" t="inlineStr">
        <is>
          <t>BG002, BG009</t>
        </is>
      </c>
      <c r="H66" t="inlineStr">
        <is>
          <t>11 April 2013</t>
        </is>
      </c>
      <c r="I66" s="2" t="n">
        <v>46312</v>
      </c>
      <c r="J66" t="inlineStr">
        <is>
          <t>Disetujui</t>
        </is>
      </c>
      <c r="K66" t="n">
        <v>30</v>
      </c>
      <c r="L66" t="inlineStr">
        <is>
          <t>17 Oktober 2026</t>
        </is>
      </c>
      <c r="M66" t="inlineStr">
        <is>
          <t>Konstruksi Gedung Lainnya, Konstruksi Gedung Perkantoran</t>
        </is>
      </c>
      <c r="N66" t="inlineStr">
        <is>
          <t>K</t>
        </is>
      </c>
      <c r="O66" t="inlineStr">
        <is>
          <t>20231016, 20231018</t>
        </is>
      </c>
      <c r="P66" t="inlineStr">
        <is>
          <t>Kalimantan Timur</t>
        </is>
      </c>
      <c r="Q66" t="inlineStr"/>
    </row>
    <row r="67">
      <c r="A67" t="inlineStr">
        <is>
          <t>FARHAN JASA PRATAMA</t>
        </is>
      </c>
      <c r="B67" t="inlineStr">
        <is>
          <t>Kota Ambon</t>
        </is>
      </c>
      <c r="C67" t="inlineStr">
        <is>
          <t>081247907424</t>
        </is>
      </c>
      <c r="D67" t="inlineStr">
        <is>
          <t>Pratamafarhanjasa@gmail.com</t>
        </is>
      </c>
      <c r="E67" t="inlineStr">
        <is>
          <t>https://lpjk.pu.go.id/search-badan-usaha-detail/NkJ6cmQ1SzBRVVZVT3hRYUtNYm9Edz09</t>
        </is>
      </c>
      <c r="F67" t="n">
        <v>3</v>
      </c>
      <c r="G67" t="inlineStr">
        <is>
          <t>BG005, BS004, BS010</t>
        </is>
      </c>
      <c r="H67" t="inlineStr">
        <is>
          <t>30 Agustus 2023</t>
        </is>
      </c>
      <c r="I67" s="2" t="n">
        <v>46312</v>
      </c>
      <c r="J67" t="inlineStr">
        <is>
          <t>Disetujui</t>
        </is>
      </c>
      <c r="K67" t="n">
        <v>30</v>
      </c>
      <c r="L67" t="inlineStr">
        <is>
          <t>17 Oktober 2026</t>
        </is>
      </c>
      <c r="M67" t="inlineStr">
        <is>
          <t>Konstruksi Bangunan Prasarana Sumber Daya Air, Konstruksi Gedung Kesehatan, Konstruksi Jaringan Irigasi dan Drainase</t>
        </is>
      </c>
      <c r="N67" t="inlineStr">
        <is>
          <t>K</t>
        </is>
      </c>
      <c r="O67" t="inlineStr">
        <is>
          <t>20231016</t>
        </is>
      </c>
      <c r="P67" t="inlineStr">
        <is>
          <t>Maluku</t>
        </is>
      </c>
      <c r="Q67" t="inlineStr"/>
    </row>
    <row r="68">
      <c r="A68" t="inlineStr">
        <is>
          <t>FARSYAH CIPTA BERSAMA</t>
        </is>
      </c>
      <c r="B68" t="inlineStr">
        <is>
          <t>Kota Bitung</t>
        </is>
      </c>
      <c r="C68" t="inlineStr">
        <is>
          <t>0</t>
        </is>
      </c>
      <c r="D68" t="inlineStr">
        <is>
          <t>cv.farsyahciptabersama@gmail.com</t>
        </is>
      </c>
      <c r="E68" t="inlineStr">
        <is>
          <t>https://lpjk.pu.go.id/search-badan-usaha-detail/bDY4VVl1MkwxMnZGNXRjaVp3Yzk5Zz09</t>
        </is>
      </c>
      <c r="F68" t="n">
        <v>2</v>
      </c>
      <c r="G68" t="inlineStr">
        <is>
          <t>BS001, BS004</t>
        </is>
      </c>
      <c r="H68" t="inlineStr">
        <is>
          <t>14 Januari 2020</t>
        </is>
      </c>
      <c r="I68" s="2" t="n">
        <v>46312</v>
      </c>
      <c r="J68" t="inlineStr">
        <is>
          <t>Disetujui</t>
        </is>
      </c>
      <c r="K68" t="n">
        <v>30</v>
      </c>
      <c r="L68" t="inlineStr">
        <is>
          <t>17 Oktober 2026</t>
        </is>
      </c>
      <c r="M68" t="inlineStr">
        <is>
          <t>Konstruksi Bangunan Sipil Jalan, Konstruksi Jaringan Irigasi dan Drainase</t>
        </is>
      </c>
      <c r="N68" t="inlineStr">
        <is>
          <t>K</t>
        </is>
      </c>
      <c r="O68" t="inlineStr">
        <is>
          <t>20231016</t>
        </is>
      </c>
      <c r="P68" t="inlineStr">
        <is>
          <t>Sulawesi Utara</t>
        </is>
      </c>
      <c r="Q68" t="inlineStr"/>
    </row>
    <row r="69">
      <c r="A69" t="inlineStr">
        <is>
          <t>GENESIS BERKAT USAHA</t>
        </is>
      </c>
      <c r="B69" t="inlineStr">
        <is>
          <t>Kota Semarang</t>
        </is>
      </c>
      <c r="C69" t="inlineStr">
        <is>
          <t>0247619547</t>
        </is>
      </c>
      <c r="D69" t="inlineStr">
        <is>
          <t>genesis.gbu@gmail.com</t>
        </is>
      </c>
      <c r="E69" t="inlineStr">
        <is>
          <t>https://lpjk.pu.go.id/search-badan-usaha-detail/UnpJZ2phMG5ZY005MkJaU09YclA4UT09</t>
        </is>
      </c>
      <c r="F69" t="n">
        <v>1</v>
      </c>
      <c r="G69" t="inlineStr">
        <is>
          <t>BS009</t>
        </is>
      </c>
      <c r="H69" t="inlineStr">
        <is>
          <t>17 Juli 2019</t>
        </is>
      </c>
      <c r="I69" s="2" t="n">
        <v>46312</v>
      </c>
      <c r="J69" t="inlineStr">
        <is>
          <t>Disetujui</t>
        </is>
      </c>
      <c r="K69" t="n">
        <v>30</v>
      </c>
      <c r="L69" t="inlineStr">
        <is>
          <t>17 Oktober 2026</t>
        </is>
      </c>
      <c r="M69" t="inlineStr">
        <is>
          <t>Konstruksi Sentral Telekomunikasi</t>
        </is>
      </c>
      <c r="N69" t="inlineStr">
        <is>
          <t>K</t>
        </is>
      </c>
      <c r="O69" t="inlineStr">
        <is>
          <t>20230918</t>
        </is>
      </c>
      <c r="P69" t="inlineStr">
        <is>
          <t>Jawa Tengah</t>
        </is>
      </c>
      <c r="Q69" t="inlineStr"/>
    </row>
    <row r="70">
      <c r="A70" t="inlineStr">
        <is>
          <t>GEUBRINA RACHMAT RIZKY</t>
        </is>
      </c>
      <c r="B70" t="inlineStr">
        <is>
          <t>Kota Medan</t>
        </is>
      </c>
      <c r="C70" t="inlineStr">
        <is>
          <t>085362246085</t>
        </is>
      </c>
      <c r="D70" t="inlineStr">
        <is>
          <t>geubrina.danarizky@gmail.com</t>
        </is>
      </c>
      <c r="E70" t="inlineStr">
        <is>
          <t>https://lpjk.pu.go.id/search-badan-usaha-detail/QWN2SHNlK2hHL1ptMGZ5Z1ZiR1VUUT09</t>
        </is>
      </c>
      <c r="F70" t="n">
        <v>1</v>
      </c>
      <c r="G70" t="inlineStr">
        <is>
          <t>BG009</t>
        </is>
      </c>
      <c r="H70" t="inlineStr">
        <is>
          <t>31 Mei 2006</t>
        </is>
      </c>
      <c r="I70" s="2" t="n">
        <v>46312</v>
      </c>
      <c r="J70" t="inlineStr">
        <is>
          <t>Disetujui</t>
        </is>
      </c>
      <c r="K70" t="n">
        <v>30</v>
      </c>
      <c r="L70" t="inlineStr">
        <is>
          <t>17 Oktober 2026</t>
        </is>
      </c>
      <c r="M70" t="inlineStr">
        <is>
          <t>Konstruksi Gedung Lainnya</t>
        </is>
      </c>
      <c r="N70" t="inlineStr">
        <is>
          <t>K</t>
        </is>
      </c>
      <c r="O70" t="inlineStr">
        <is>
          <t>20231018</t>
        </is>
      </c>
      <c r="P70" t="inlineStr">
        <is>
          <t>Sumatera Utara</t>
        </is>
      </c>
      <c r="Q70" t="inlineStr"/>
    </row>
    <row r="71">
      <c r="A71" t="inlineStr">
        <is>
          <t>GLOBAL 09</t>
        </is>
      </c>
      <c r="B71" t="inlineStr">
        <is>
          <t>Kab. Kutai Kartanegara</t>
        </is>
      </c>
      <c r="C71" t="inlineStr">
        <is>
          <t>085393344867</t>
        </is>
      </c>
      <c r="D71" t="inlineStr">
        <is>
          <t>helda.purnamasari2012@gmail.com</t>
        </is>
      </c>
      <c r="E71" t="inlineStr">
        <is>
          <t>https://lpjk.pu.go.id/search-badan-usaha-detail/MG55UWlvcVNGUzhzS0k3dFV1K3BiQT09</t>
        </is>
      </c>
      <c r="F71" t="n">
        <v>1</v>
      </c>
      <c r="G71" t="inlineStr">
        <is>
          <t>BS004</t>
        </is>
      </c>
      <c r="H71" t="inlineStr">
        <is>
          <t>21 Februari 2012</t>
        </is>
      </c>
      <c r="I71" s="2" t="n">
        <v>46312</v>
      </c>
      <c r="J71" t="inlineStr">
        <is>
          <t>Disetujui</t>
        </is>
      </c>
      <c r="K71" t="n">
        <v>30</v>
      </c>
      <c r="L71" t="inlineStr">
        <is>
          <t>17 Oktober 2026</t>
        </is>
      </c>
      <c r="M71" t="inlineStr">
        <is>
          <t>Konstruksi Jaringan Irigasi dan Drainase</t>
        </is>
      </c>
      <c r="N71" t="inlineStr">
        <is>
          <t>K</t>
        </is>
      </c>
      <c r="O71" t="inlineStr">
        <is>
          <t>20231016</t>
        </is>
      </c>
      <c r="P71" t="inlineStr">
        <is>
          <t>Kalimantan Timur</t>
        </is>
      </c>
      <c r="Q71" t="inlineStr"/>
    </row>
    <row r="72">
      <c r="A72" t="inlineStr">
        <is>
          <t>GLOBAL KREASI DEVELOPMENT</t>
        </is>
      </c>
      <c r="B72" t="inlineStr">
        <is>
          <t>Kab. Jember</t>
        </is>
      </c>
      <c r="C72" t="inlineStr">
        <is>
          <t>082264522616</t>
        </is>
      </c>
      <c r="D72" t="inlineStr">
        <is>
          <t>globalkreasidevelopmentpt@gmail.com</t>
        </is>
      </c>
      <c r="E72" t="inlineStr">
        <is>
          <t>https://lpjk.pu.go.id/search-badan-usaha-detail/VGNPVkNYem9NR1lzWG8wSFVleEYxUT09</t>
        </is>
      </c>
      <c r="F72" t="n">
        <v>2</v>
      </c>
      <c r="G72" t="inlineStr">
        <is>
          <t>BS001, BS004</t>
        </is>
      </c>
      <c r="H72" t="inlineStr">
        <is>
          <t>3 April 2023</t>
        </is>
      </c>
      <c r="I72" s="2" t="n">
        <v>46312</v>
      </c>
      <c r="J72" t="inlineStr">
        <is>
          <t>Disetujui</t>
        </is>
      </c>
      <c r="K72" t="n">
        <v>30</v>
      </c>
      <c r="L72" t="inlineStr">
        <is>
          <t>17 Oktober 2026</t>
        </is>
      </c>
      <c r="M72" t="inlineStr">
        <is>
          <t>Konstruksi Bangunan Sipil Jalan, Konstruksi Jaringan Irigasi dan Drainase</t>
        </is>
      </c>
      <c r="N72" t="inlineStr">
        <is>
          <t>K</t>
        </is>
      </c>
      <c r="O72" t="inlineStr">
        <is>
          <t>20231003, 20231009</t>
        </is>
      </c>
      <c r="P72" t="inlineStr">
        <is>
          <t>Jawa Timur</t>
        </is>
      </c>
      <c r="Q72" t="inlineStr"/>
    </row>
    <row r="73">
      <c r="A73" t="inlineStr">
        <is>
          <t>GRAHA SOLUSINDO</t>
        </is>
      </c>
      <c r="B73" t="inlineStr">
        <is>
          <t>Kota Tangerang Selatan</t>
        </is>
      </c>
      <c r="C73" t="inlineStr">
        <is>
          <t>0</t>
        </is>
      </c>
      <c r="D73" t="inlineStr">
        <is>
          <t>grahakaruniapratama66@gmail.com</t>
        </is>
      </c>
      <c r="E73" t="inlineStr">
        <is>
          <t>https://lpjk.pu.go.id/search-badan-usaha-detail/VmljRVRMWjE3U0VuSkM0NkRxM2taZz09</t>
        </is>
      </c>
      <c r="F73" t="n">
        <v>1</v>
      </c>
      <c r="G73" t="inlineStr">
        <is>
          <t>BG001</t>
        </is>
      </c>
      <c r="H73" t="inlineStr">
        <is>
          <t>25 Agustus 2000</t>
        </is>
      </c>
      <c r="I73" s="2" t="n">
        <v>46312</v>
      </c>
      <c r="J73" t="inlineStr">
        <is>
          <t>Disetujui</t>
        </is>
      </c>
      <c r="K73" t="n">
        <v>30</v>
      </c>
      <c r="L73" t="inlineStr">
        <is>
          <t>17 Oktober 2026</t>
        </is>
      </c>
      <c r="M73" t="inlineStr">
        <is>
          <t>Konstruksi Gedung Hunian</t>
        </is>
      </c>
      <c r="N73" t="inlineStr">
        <is>
          <t>K</t>
        </is>
      </c>
      <c r="O73" t="inlineStr">
        <is>
          <t>20231010</t>
        </is>
      </c>
      <c r="P73" t="inlineStr">
        <is>
          <t>Banten</t>
        </is>
      </c>
      <c r="Q73" t="inlineStr"/>
    </row>
    <row r="74">
      <c r="A74" t="inlineStr">
        <is>
          <t>GUMILANG SAJATI</t>
        </is>
      </c>
      <c r="B74" t="inlineStr">
        <is>
          <t>Kota Bandung</t>
        </is>
      </c>
      <c r="C74" t="inlineStr">
        <is>
          <t>0227107296</t>
        </is>
      </c>
      <c r="D74" t="inlineStr">
        <is>
          <t>gumilangsajati@yahoo.com</t>
        </is>
      </c>
      <c r="E74" t="inlineStr">
        <is>
          <t>https://lpjk.pu.go.id/search-badan-usaha-detail/elE1SXNrWkFXcTlLTzZNS2NhNXJzd1R1RTNjdlFjbUcwZzhrU1JpNUs0ST0</t>
        </is>
      </c>
      <c r="F74" t="n">
        <v>3</v>
      </c>
      <c r="G74" t="inlineStr">
        <is>
          <t>AL001, AL002, AL004</t>
        </is>
      </c>
      <c r="H74" t="inlineStr">
        <is>
          <t>17 Juli 2025</t>
        </is>
      </c>
      <c r="I74" s="2" t="n">
        <v>46312</v>
      </c>
      <c r="J74" t="inlineStr">
        <is>
          <t>Disetujui</t>
        </is>
      </c>
      <c r="K74" t="n">
        <v>30</v>
      </c>
      <c r="L74" t="inlineStr">
        <is>
          <t>17 Oktober 2026</t>
        </is>
      </c>
      <c r="M74" t="inlineStr">
        <is>
          <t>Jasa Pengembangan Lingkungan Bangunan dan Lanskap, Jasa Pengembangan Pemanfaatan Ruang, Jasa Pengembangan Wilayah</t>
        </is>
      </c>
      <c r="N74" t="inlineStr">
        <is>
          <t>K</t>
        </is>
      </c>
      <c r="O74" t="inlineStr">
        <is>
          <t>20231011</t>
        </is>
      </c>
      <c r="P74" t="inlineStr">
        <is>
          <t>Jawa Barat</t>
        </is>
      </c>
      <c r="Q74" t="inlineStr"/>
    </row>
    <row r="75">
      <c r="A75" t="inlineStr">
        <is>
          <t>GUSTI RANDA</t>
        </is>
      </c>
      <c r="B75" t="inlineStr">
        <is>
          <t>Kab. Tanjung Jabung Barat</t>
        </is>
      </c>
      <c r="C75" t="inlineStr">
        <is>
          <t>085272601976</t>
        </is>
      </c>
      <c r="D75" t="inlineStr">
        <is>
          <t>gusti7880@gmail.com</t>
        </is>
      </c>
      <c r="E75" t="inlineStr">
        <is>
          <t>https://lpjk.pu.go.id/search-badan-usaha-detail/WExMaXZIQkNXR2dXTW9aYzJ2a0lJZz09</t>
        </is>
      </c>
      <c r="F75" t="n">
        <v>1</v>
      </c>
      <c r="G75" t="inlineStr">
        <is>
          <t>BS005</t>
        </is>
      </c>
      <c r="H75" t="inlineStr">
        <is>
          <t>31 Agustus 2021</t>
        </is>
      </c>
      <c r="I75" s="2" t="n">
        <v>46312</v>
      </c>
      <c r="J75" t="inlineStr">
        <is>
          <t>Disetujui</t>
        </is>
      </c>
      <c r="K75" t="n">
        <v>30</v>
      </c>
      <c r="L75" t="inlineStr">
        <is>
          <t>17 Oktober 2026</t>
        </is>
      </c>
      <c r="M75" t="inlineStr">
        <is>
          <t>Konstruksi Bangunan Sipil Pengolahan Air Bersih</t>
        </is>
      </c>
      <c r="N75" t="inlineStr">
        <is>
          <t>K</t>
        </is>
      </c>
      <c r="O75" t="inlineStr">
        <is>
          <t>20231016</t>
        </is>
      </c>
      <c r="P75" t="inlineStr">
        <is>
          <t>Jambi</t>
        </is>
      </c>
      <c r="Q75" t="inlineStr"/>
    </row>
    <row r="76">
      <c r="A76" t="inlineStr">
        <is>
          <t>HARAPAN GROUP</t>
        </is>
      </c>
      <c r="B76" t="inlineStr">
        <is>
          <t>Kab. Tapin</t>
        </is>
      </c>
      <c r="C76" t="inlineStr">
        <is>
          <t>081348354635</t>
        </is>
      </c>
      <c r="D76" t="inlineStr">
        <is>
          <t>cvharapangroup4@gmail.com</t>
        </is>
      </c>
      <c r="E76" t="inlineStr">
        <is>
          <t>https://lpjk.pu.go.id/search-badan-usaha-detail/OXhRbkpTNVJ0aFJoM0ZqcThzQjJVdz09</t>
        </is>
      </c>
      <c r="F76" t="n">
        <v>5</v>
      </c>
      <c r="G76" t="inlineStr">
        <is>
          <t>BG006, BG009, BS001, BS004, BS010</t>
        </is>
      </c>
      <c r="H76" t="inlineStr">
        <is>
          <t>7 September 2023</t>
        </is>
      </c>
      <c r="I76" s="2" t="n">
        <v>46312</v>
      </c>
      <c r="J76" t="inlineStr">
        <is>
          <t>Disetujui</t>
        </is>
      </c>
      <c r="K76" t="n">
        <v>30</v>
      </c>
      <c r="L76" t="inlineStr">
        <is>
          <t>17 Oktober 2026</t>
        </is>
      </c>
      <c r="M76" t="inlineStr">
        <is>
          <t>Konstruksi Bangunan Prasarana Sumber Daya Air, Konstruksi Bangunan Sipil Jalan, Konstruksi Gedung Lainnya, Konstruksi Gedung Pendidikan, Konstruksi Jaringan Irigasi dan Drainase</t>
        </is>
      </c>
      <c r="N76" t="inlineStr">
        <is>
          <t>K</t>
        </is>
      </c>
      <c r="O76" t="inlineStr">
        <is>
          <t>20231017</t>
        </is>
      </c>
      <c r="P76" t="inlineStr">
        <is>
          <t>Kalimantan Selatan</t>
        </is>
      </c>
      <c r="Q76" t="inlineStr"/>
    </row>
    <row r="77">
      <c r="A77" t="inlineStr">
        <is>
          <t>HASILKARYA DELTANUGRAHA</t>
        </is>
      </c>
      <c r="B77" t="inlineStr">
        <is>
          <t>Kota Bandung</t>
        </is>
      </c>
      <c r="C77" t="inlineStr">
        <is>
          <t>08122013366</t>
        </is>
      </c>
      <c r="D77" t="inlineStr">
        <is>
          <t>hasilkaryadeltanugraha@yahoo.co.id</t>
        </is>
      </c>
      <c r="E77" t="inlineStr">
        <is>
          <t>https://lpjk.pu.go.id/search-badan-usaha-detail/Y1RkRzhOclNJVlpvNm5CQWlLYXBGQT09</t>
        </is>
      </c>
      <c r="F77" t="n">
        <v>1</v>
      </c>
      <c r="G77" t="inlineStr">
        <is>
          <t>BG003</t>
        </is>
      </c>
      <c r="H77" t="inlineStr">
        <is>
          <t>19 Mei 1994</t>
        </is>
      </c>
      <c r="I77" s="2" t="n">
        <v>46312</v>
      </c>
      <c r="J77" t="inlineStr">
        <is>
          <t>Disetujui</t>
        </is>
      </c>
      <c r="K77" t="n">
        <v>30</v>
      </c>
      <c r="L77" t="inlineStr">
        <is>
          <t>17 Oktober 2026</t>
        </is>
      </c>
      <c r="M77" t="inlineStr">
        <is>
          <t>Konstruksi Gedung Industri</t>
        </is>
      </c>
      <c r="N77" t="inlineStr">
        <is>
          <t>K</t>
        </is>
      </c>
      <c r="O77" t="inlineStr">
        <is>
          <t>20231010</t>
        </is>
      </c>
      <c r="P77" t="inlineStr">
        <is>
          <t>Jawa Barat</t>
        </is>
      </c>
      <c r="Q77" t="inlineStr"/>
    </row>
    <row r="78">
      <c r="A78" t="inlineStr">
        <is>
          <t>HIJAU DAMAI LESTARI</t>
        </is>
      </c>
      <c r="B78" t="inlineStr">
        <is>
          <t>Kab. Tapanuli Selatan</t>
        </is>
      </c>
      <c r="C78" t="inlineStr">
        <is>
          <t>081260513932</t>
        </is>
      </c>
      <c r="D78" t="inlineStr">
        <is>
          <t>cv.hdl.enterprise@gmail.com</t>
        </is>
      </c>
      <c r="E78" t="inlineStr">
        <is>
          <t>https://lpjk.pu.go.id/search-badan-usaha-detail/R0owcnhzMVFuU3RDMUFiZUdBUlJOdz09</t>
        </is>
      </c>
      <c r="F78" t="n">
        <v>4</v>
      </c>
      <c r="G78" t="inlineStr">
        <is>
          <t>BG002, BG003, BG008, BG009</t>
        </is>
      </c>
      <c r="H78" t="inlineStr">
        <is>
          <t>3 Maret 2018</t>
        </is>
      </c>
      <c r="I78" s="2" t="n">
        <v>46312</v>
      </c>
      <c r="J78" t="inlineStr">
        <is>
          <t>Pencabutan</t>
        </is>
      </c>
      <c r="K78" t="n">
        <v>30</v>
      </c>
      <c r="L78" t="inlineStr">
        <is>
          <t>17 Oktober 2026</t>
        </is>
      </c>
      <c r="M78" t="inlineStr">
        <is>
          <t>Konstruksi Gedung Industri, Konstruksi Gedung Lainnya, Konstruksi Gedung Perkantoran, Konstruksi Gedung Tempat Hiburan dan Olahraga</t>
        </is>
      </c>
      <c r="N78" t="inlineStr">
        <is>
          <t>K</t>
        </is>
      </c>
      <c r="O78" t="inlineStr">
        <is>
          <t>20231013, 20231016</t>
        </is>
      </c>
      <c r="P78" t="inlineStr">
        <is>
          <t>Sumatera Utara</t>
        </is>
      </c>
      <c r="Q78" t="inlineStr"/>
    </row>
    <row r="79">
      <c r="A79" t="inlineStr">
        <is>
          <t>HITA KARYA JASA</t>
        </is>
      </c>
      <c r="B79" t="inlineStr">
        <is>
          <t>Kota Pekalongan</t>
        </is>
      </c>
      <c r="C79" t="inlineStr">
        <is>
          <t>085742830877</t>
        </is>
      </c>
      <c r="D79" t="inlineStr">
        <is>
          <t>hitakaryajasa@gmail.com</t>
        </is>
      </c>
      <c r="E79" t="inlineStr">
        <is>
          <t>https://lpjk.pu.go.id/search-badan-usaha-detail/ZDNudDZicm0zL0lVeDhyNWd1SnFGMFRFQ1JNd0hqRmloRG4xMGxjamVRUT0</t>
        </is>
      </c>
      <c r="F79" t="n">
        <v>1</v>
      </c>
      <c r="G79" t="inlineStr">
        <is>
          <t>AR001</t>
        </is>
      </c>
      <c r="H79" t="inlineStr">
        <is>
          <t>23 Juli 2025</t>
        </is>
      </c>
      <c r="I79" s="2" t="n">
        <v>46312</v>
      </c>
      <c r="J79" t="inlineStr">
        <is>
          <t>Disetujui</t>
        </is>
      </c>
      <c r="K79" t="n">
        <v>30</v>
      </c>
      <c r="L79" t="inlineStr">
        <is>
          <t>17 Oktober 2026</t>
        </is>
      </c>
      <c r="M79" t="inlineStr">
        <is>
          <t>Jasa Arsitektural Bangunan Gedung Hunian dan Non Hunian</t>
        </is>
      </c>
      <c r="N79" t="inlineStr">
        <is>
          <t>K</t>
        </is>
      </c>
      <c r="O79" t="inlineStr">
        <is>
          <t>20231010</t>
        </is>
      </c>
      <c r="P79" t="inlineStr">
        <is>
          <t>Jawa Tengah</t>
        </is>
      </c>
      <c r="Q79" t="inlineStr"/>
    </row>
    <row r="80">
      <c r="A80" t="inlineStr">
        <is>
          <t>INDEPENDENT ENGINEERING CONSULTANT</t>
        </is>
      </c>
      <c r="B80" t="inlineStr">
        <is>
          <t>Kab. Luwu Utara</t>
        </is>
      </c>
      <c r="C80" t="inlineStr">
        <is>
          <t>081354974195</t>
        </is>
      </c>
      <c r="D80" t="inlineStr">
        <is>
          <t>independentconsult95@gmail.com</t>
        </is>
      </c>
      <c r="E80" t="inlineStr">
        <is>
          <t>https://lpjk.pu.go.id/search-badan-usaha-detail/UGhQczUyanFXc2dPUmREUmMwaU9oUT09</t>
        </is>
      </c>
      <c r="F80" t="n">
        <v>4</v>
      </c>
      <c r="G80" t="inlineStr">
        <is>
          <t>RK001, RK002, RK003, RK005</t>
        </is>
      </c>
      <c r="H80" t="inlineStr">
        <is>
          <t>7 Februari 2011</t>
        </is>
      </c>
      <c r="I80" s="2" t="n">
        <v>46312</v>
      </c>
      <c r="J80" t="inlineStr">
        <is>
          <t>Disetujui</t>
        </is>
      </c>
      <c r="K80" t="n">
        <v>30</v>
      </c>
      <c r="L80" t="inlineStr">
        <is>
          <t>17 Oktober 2026</t>
        </is>
      </c>
      <c r="M80" t="inlineStr">
        <is>
          <t>Jasa Rekayasa Konstruksi Bangunan Gedung Hunian dan Non Hunian, Jasa Rekayasa Lainnya, Jasa Rekayasa Pekerjaan Teknik Sipil Sumber Daya Air, Jasa Rekayasa Pekerjaan Teknik Sipil Transportasi</t>
        </is>
      </c>
      <c r="N80" t="inlineStr">
        <is>
          <t>K</t>
        </is>
      </c>
      <c r="O80" t="inlineStr">
        <is>
          <t>20231002</t>
        </is>
      </c>
      <c r="P80" t="inlineStr">
        <is>
          <t>Sulawesi Selatan</t>
        </is>
      </c>
      <c r="Q80" t="inlineStr"/>
    </row>
    <row r="81">
      <c r="A81" t="inlineStr">
        <is>
          <t>JAYA EMPAT PENJURU</t>
        </is>
      </c>
      <c r="B81" t="inlineStr">
        <is>
          <t>Kab. Tangerang</t>
        </is>
      </c>
      <c r="C81" t="inlineStr">
        <is>
          <t>087777100727</t>
        </is>
      </c>
      <c r="D81" t="inlineStr">
        <is>
          <t>jaya4penjuru@gmail.com</t>
        </is>
      </c>
      <c r="E81" t="inlineStr">
        <is>
          <t>https://lpjk.pu.go.id/search-badan-usaha-detail/YTl2WHlmeFFHYmVOdXRGcExFTW00Zz09</t>
        </is>
      </c>
      <c r="F81" t="n">
        <v>1</v>
      </c>
      <c r="G81" t="inlineStr">
        <is>
          <t>BG009</t>
        </is>
      </c>
      <c r="H81" t="inlineStr">
        <is>
          <t>30 Juli 2016</t>
        </is>
      </c>
      <c r="I81" s="2" t="n">
        <v>46312</v>
      </c>
      <c r="J81" t="inlineStr">
        <is>
          <t>Disetujui</t>
        </is>
      </c>
      <c r="K81" t="n">
        <v>30</v>
      </c>
      <c r="L81" t="inlineStr">
        <is>
          <t>17 Oktober 2026</t>
        </is>
      </c>
      <c r="M81" t="inlineStr">
        <is>
          <t>Konstruksi Gedung Lainnya</t>
        </is>
      </c>
      <c r="N81" t="inlineStr">
        <is>
          <t>K</t>
        </is>
      </c>
      <c r="O81" t="inlineStr">
        <is>
          <t>20231011</t>
        </is>
      </c>
      <c r="P81" t="inlineStr">
        <is>
          <t>Banten</t>
        </is>
      </c>
      <c r="Q81" t="inlineStr"/>
    </row>
    <row r="82">
      <c r="A82" t="inlineStr">
        <is>
          <t>JAYA RAYA SENTOSA TEHNIK</t>
        </is>
      </c>
      <c r="B82" t="inlineStr">
        <is>
          <t>Kota Adm. Jakarta Pusat</t>
        </is>
      </c>
      <c r="C82" t="inlineStr">
        <is>
          <t>02121476272</t>
        </is>
      </c>
      <c r="D82" t="inlineStr">
        <is>
          <t>jayarayasentosateknik@gmail.com</t>
        </is>
      </c>
      <c r="E82" t="inlineStr">
        <is>
          <t>https://lpjk.pu.go.id/search-badan-usaha-detail/R0lmL3R0a0dPcnpqcWxHeHlCQnZzQT09</t>
        </is>
      </c>
      <c r="F82" t="n">
        <v>1</v>
      </c>
      <c r="G82" t="inlineStr">
        <is>
          <t>BG001</t>
        </is>
      </c>
      <c r="H82" t="inlineStr">
        <is>
          <t>7 Desember 2016</t>
        </is>
      </c>
      <c r="I82" s="2" t="n">
        <v>46312</v>
      </c>
      <c r="J82" t="inlineStr">
        <is>
          <t>Disetujui</t>
        </is>
      </c>
      <c r="K82" t="n">
        <v>30</v>
      </c>
      <c r="L82" t="inlineStr">
        <is>
          <t>17 Oktober 2026</t>
        </is>
      </c>
      <c r="M82" t="inlineStr">
        <is>
          <t>Konstruksi Gedung Hunian</t>
        </is>
      </c>
      <c r="N82" t="inlineStr">
        <is>
          <t>K</t>
        </is>
      </c>
      <c r="O82" t="inlineStr">
        <is>
          <t>20231008</t>
        </is>
      </c>
      <c r="P82" t="inlineStr">
        <is>
          <t>DKI Jakarta</t>
        </is>
      </c>
      <c r="Q82" t="inlineStr"/>
    </row>
    <row r="83">
      <c r="A83" t="inlineStr">
        <is>
          <t>JAYAMIQEN KONSTRUKSI</t>
        </is>
      </c>
      <c r="B83" t="inlineStr">
        <is>
          <t>Kota Banjarmasin</t>
        </is>
      </c>
      <c r="C83" t="inlineStr">
        <is>
          <t>081349437597</t>
        </is>
      </c>
      <c r="D83" t="inlineStr">
        <is>
          <t>jayamiqen.cv@yahoo.com</t>
        </is>
      </c>
      <c r="E83" t="inlineStr">
        <is>
          <t>https://lpjk.pu.go.id/search-badan-usaha-detail/KzJnN25iUDVDV21uMkJmMTJINmtzQT09</t>
        </is>
      </c>
      <c r="F83" t="n">
        <v>5</v>
      </c>
      <c r="G83" t="inlineStr">
        <is>
          <t>BG001, BG002, BG005, BG006, BG009</t>
        </is>
      </c>
      <c r="H83" t="inlineStr">
        <is>
          <t>16 Januari 2016</t>
        </is>
      </c>
      <c r="I83" s="2" t="n">
        <v>46312</v>
      </c>
      <c r="J83" t="inlineStr">
        <is>
          <t>Disetujui</t>
        </is>
      </c>
      <c r="K83" t="n">
        <v>30</v>
      </c>
      <c r="L83" t="inlineStr">
        <is>
          <t>17 Oktober 2026</t>
        </is>
      </c>
      <c r="M83" t="inlineStr">
        <is>
          <t>Konstruksi Gedung Hunian, Konstruksi Gedung Kesehatan, Konstruksi Gedung Lainnya, Konstruksi Gedung Pendidikan, Konstruksi Gedung Perkantoran</t>
        </is>
      </c>
      <c r="N83" t="inlineStr">
        <is>
          <t>K</t>
        </is>
      </c>
      <c r="O83" t="inlineStr">
        <is>
          <t>20231006, 20231009</t>
        </is>
      </c>
      <c r="P83" t="inlineStr">
        <is>
          <t>Kalimantan Selatan</t>
        </is>
      </c>
      <c r="Q83" t="inlineStr"/>
    </row>
    <row r="84">
      <c r="A84" t="inlineStr">
        <is>
          <t>JOINT BANGUN NEGERI</t>
        </is>
      </c>
      <c r="B84" t="inlineStr">
        <is>
          <t>Kota Ambon</t>
        </is>
      </c>
      <c r="C84" t="inlineStr">
        <is>
          <t>085243065306</t>
        </is>
      </c>
      <c r="D84" t="inlineStr">
        <is>
          <t>cv.jointbangunnegeri@gmail.com</t>
        </is>
      </c>
      <c r="E84" t="inlineStr">
        <is>
          <t>https://lpjk.pu.go.id/search-badan-usaha-detail/UFhFMnE3KzlkWGY2U29nWmJNMFlUQT09</t>
        </is>
      </c>
      <c r="F84" t="n">
        <v>2</v>
      </c>
      <c r="G84" t="inlineStr">
        <is>
          <t>BG005, BG006</t>
        </is>
      </c>
      <c r="H84" t="inlineStr">
        <is>
          <t>28 Juli 2023</t>
        </is>
      </c>
      <c r="I84" s="2" t="n">
        <v>46312</v>
      </c>
      <c r="J84" t="inlineStr">
        <is>
          <t>Disetujui</t>
        </is>
      </c>
      <c r="K84" t="n">
        <v>30</v>
      </c>
      <c r="L84" t="inlineStr">
        <is>
          <t>17 Oktober 2026</t>
        </is>
      </c>
      <c r="M84" t="inlineStr">
        <is>
          <t>Konstruksi Gedung Kesehatan, Konstruksi Gedung Pendidikan</t>
        </is>
      </c>
      <c r="N84" t="inlineStr">
        <is>
          <t>K</t>
        </is>
      </c>
      <c r="O84" t="inlineStr">
        <is>
          <t>20231018</t>
        </is>
      </c>
      <c r="P84" t="inlineStr">
        <is>
          <t>Maluku</t>
        </is>
      </c>
      <c r="Q84" t="inlineStr"/>
    </row>
    <row r="85">
      <c r="A85" t="inlineStr">
        <is>
          <t>KARYA BANGUN NASIONAL</t>
        </is>
      </c>
      <c r="B85" t="inlineStr">
        <is>
          <t>Kota Pekalongan</t>
        </is>
      </c>
      <c r="C85" t="inlineStr">
        <is>
          <t>085729905066</t>
        </is>
      </c>
      <c r="D85" t="inlineStr">
        <is>
          <t>pt.Karyabangunnasional99@gmail.com</t>
        </is>
      </c>
      <c r="E85" t="inlineStr">
        <is>
          <t>https://lpjk.pu.go.id/search-badan-usaha-detail/ZFpSeThUNDI5YzVpZWRMa3BKUEJIZz09</t>
        </is>
      </c>
      <c r="F85" t="n">
        <v>1</v>
      </c>
      <c r="G85" t="inlineStr">
        <is>
          <t>BS010</t>
        </is>
      </c>
      <c r="H85" t="inlineStr">
        <is>
          <t>28 Agustus 2015</t>
        </is>
      </c>
      <c r="I85" s="2" t="n">
        <v>46312</v>
      </c>
      <c r="J85" t="inlineStr">
        <is>
          <t>Disetujui</t>
        </is>
      </c>
      <c r="K85" t="n">
        <v>30</v>
      </c>
      <c r="L85" t="inlineStr">
        <is>
          <t>17 Oktober 2026</t>
        </is>
      </c>
      <c r="M85" t="inlineStr">
        <is>
          <t>Konstruksi Bangunan Prasarana Sumber Daya Air</t>
        </is>
      </c>
      <c r="N85" t="inlineStr">
        <is>
          <t>K</t>
        </is>
      </c>
      <c r="O85" t="inlineStr">
        <is>
          <t>20231016</t>
        </is>
      </c>
      <c r="P85" t="inlineStr">
        <is>
          <t>Jawa Tengah</t>
        </is>
      </c>
      <c r="Q85" t="inlineStr"/>
    </row>
    <row r="86">
      <c r="A86" t="inlineStr">
        <is>
          <t>KARYA KASARI KONSULTAN</t>
        </is>
      </c>
      <c r="B86" t="inlineStr">
        <is>
          <t>Kab. Agam</t>
        </is>
      </c>
      <c r="C86" t="inlineStr">
        <is>
          <t>08126772662</t>
        </is>
      </c>
      <c r="D86" t="inlineStr">
        <is>
          <t>cv.karyakasarikonsultan@gmail.com</t>
        </is>
      </c>
      <c r="E86" t="inlineStr">
        <is>
          <t>https://lpjk.pu.go.id/search-badan-usaha-detail/VkhJZ0VqQ3lZeTNXdGZ3d01nZWlJQT09</t>
        </is>
      </c>
      <c r="F86" t="n">
        <v>2</v>
      </c>
      <c r="G86" t="inlineStr">
        <is>
          <t>RK001, RK002</t>
        </is>
      </c>
      <c r="H86" t="inlineStr">
        <is>
          <t>9 Januari 2012</t>
        </is>
      </c>
      <c r="I86" s="2" t="n">
        <v>46312</v>
      </c>
      <c r="J86" t="inlineStr">
        <is>
          <t>Disetujui</t>
        </is>
      </c>
      <c r="K86" t="n">
        <v>30</v>
      </c>
      <c r="L86" t="inlineStr">
        <is>
          <t>17 Oktober 2026</t>
        </is>
      </c>
      <c r="M86" t="inlineStr">
        <is>
          <t>Jasa Rekayasa Konstruksi Bangunan Gedung Hunian dan Non Hunian, Jasa Rekayasa Pekerjaan Teknik Sipil Sumber Daya Air</t>
        </is>
      </c>
      <c r="N86" t="inlineStr">
        <is>
          <t>K</t>
        </is>
      </c>
      <c r="O86" t="inlineStr">
        <is>
          <t>20230921</t>
        </is>
      </c>
      <c r="P86" t="inlineStr">
        <is>
          <t>Sumatera Barat</t>
        </is>
      </c>
      <c r="Q86" t="inlineStr"/>
    </row>
    <row r="87">
      <c r="A87" t="inlineStr">
        <is>
          <t>KARYA MUKTI</t>
        </is>
      </c>
      <c r="B87" t="inlineStr">
        <is>
          <t>Kota Magelang</t>
        </is>
      </c>
      <c r="C87" t="inlineStr">
        <is>
          <t>0293312413</t>
        </is>
      </c>
      <c r="D87" t="inlineStr">
        <is>
          <t>cvkaryamukti2002@gmail.com</t>
        </is>
      </c>
      <c r="E87" t="inlineStr">
        <is>
          <t>https://lpjk.pu.go.id/search-badan-usaha-detail/bGlYYnh6TVBlK00zVUhiUllaM3dnQT09</t>
        </is>
      </c>
      <c r="F87" t="n">
        <v>5</v>
      </c>
      <c r="G87" t="inlineStr">
        <is>
          <t>BG002, BG006, BG009, BS001, BS004</t>
        </is>
      </c>
      <c r="H87" t="inlineStr">
        <is>
          <t>22 April 2002</t>
        </is>
      </c>
      <c r="I87" s="2" t="n">
        <v>46312</v>
      </c>
      <c r="J87" t="inlineStr">
        <is>
          <t>Disetujui</t>
        </is>
      </c>
      <c r="K87" t="n">
        <v>30</v>
      </c>
      <c r="L87" t="inlineStr">
        <is>
          <t>17 Oktober 2026</t>
        </is>
      </c>
      <c r="M87" t="inlineStr">
        <is>
          <t>Konstruksi Bangunan Sipil Jalan, Konstruksi Gedung Lainnya, Konstruksi Gedung Pendidikan, Konstruksi Gedung Perkantoran, Konstruksi Jaringan Irigasi dan Drainase</t>
        </is>
      </c>
      <c r="N87" t="inlineStr">
        <is>
          <t>K</t>
        </is>
      </c>
      <c r="O87" t="inlineStr">
        <is>
          <t>20231012</t>
        </is>
      </c>
      <c r="P87" t="inlineStr">
        <is>
          <t>Jawa Tengah</t>
        </is>
      </c>
      <c r="Q87" t="inlineStr"/>
    </row>
    <row r="88">
      <c r="A88" t="inlineStr">
        <is>
          <t>KARYA NATAMA</t>
        </is>
      </c>
      <c r="B88" t="inlineStr">
        <is>
          <t>Kota Medan</t>
        </is>
      </c>
      <c r="C88" t="inlineStr">
        <is>
          <t>082279856026</t>
        </is>
      </c>
      <c r="D88" t="inlineStr">
        <is>
          <t>ckaryanatama@gmail.com</t>
        </is>
      </c>
      <c r="E88" t="inlineStr">
        <is>
          <t>https://lpjk.pu.go.id/search-badan-usaha-detail/UUp3TFVQRzRyV3Y1WlJQb29hV2p6QT09</t>
        </is>
      </c>
      <c r="F88" t="n">
        <v>2</v>
      </c>
      <c r="G88" t="inlineStr">
        <is>
          <t>BS001, BS004</t>
        </is>
      </c>
      <c r="H88" t="inlineStr">
        <is>
          <t>17 September 2019</t>
        </is>
      </c>
      <c r="I88" s="2" t="n">
        <v>46312</v>
      </c>
      <c r="J88" t="inlineStr">
        <is>
          <t>Disetujui, Pencabutan</t>
        </is>
      </c>
      <c r="K88" t="n">
        <v>30</v>
      </c>
      <c r="L88" t="inlineStr">
        <is>
          <t>17 Oktober 2026</t>
        </is>
      </c>
      <c r="M88" t="inlineStr">
        <is>
          <t>Konstruksi Bangunan Sipil Jalan, Konstruksi Jaringan Irigasi dan Drainase</t>
        </is>
      </c>
      <c r="N88" t="inlineStr">
        <is>
          <t>K</t>
        </is>
      </c>
      <c r="O88" t="inlineStr">
        <is>
          <t>20231017, 20231020</t>
        </is>
      </c>
      <c r="P88" t="inlineStr">
        <is>
          <t>Sumatera Utara</t>
        </is>
      </c>
      <c r="Q88" t="inlineStr"/>
    </row>
    <row r="89">
      <c r="A89" t="inlineStr">
        <is>
          <t>KARYA SEJATI</t>
        </is>
      </c>
      <c r="B89" t="inlineStr">
        <is>
          <t>Kab. Banyuwangi</t>
        </is>
      </c>
      <c r="C89" t="inlineStr">
        <is>
          <t>0812 5248 8488</t>
        </is>
      </c>
      <c r="D89" t="inlineStr">
        <is>
          <t>kary4.sejati@gmail.com</t>
        </is>
      </c>
      <c r="E89" t="inlineStr">
        <is>
          <t>https://lpjk.pu.go.id/search-badan-usaha-detail/YTlYR0RTRWhkRWxUc1oxc1B5QlNPdz09</t>
        </is>
      </c>
      <c r="F89" t="n">
        <v>1</v>
      </c>
      <c r="G89" t="inlineStr">
        <is>
          <t>BS001</t>
        </is>
      </c>
      <c r="H89" t="inlineStr">
        <is>
          <t>30 Mei 2000</t>
        </is>
      </c>
      <c r="I89" s="2" t="n">
        <v>46312</v>
      </c>
      <c r="J89" t="inlineStr">
        <is>
          <t>Disetujui</t>
        </is>
      </c>
      <c r="K89" t="n">
        <v>30</v>
      </c>
      <c r="L89" t="inlineStr">
        <is>
          <t>17 Oktober 2026</t>
        </is>
      </c>
      <c r="M89" t="inlineStr">
        <is>
          <t>Konstruksi Bangunan Sipil Jalan</t>
        </is>
      </c>
      <c r="N89" t="inlineStr">
        <is>
          <t>K</t>
        </is>
      </c>
      <c r="O89" t="inlineStr">
        <is>
          <t>20230906</t>
        </is>
      </c>
      <c r="P89" t="inlineStr">
        <is>
          <t>Jawa Timur</t>
        </is>
      </c>
      <c r="Q89" t="inlineStr"/>
    </row>
    <row r="90">
      <c r="A90" t="inlineStr">
        <is>
          <t>KARYA UHS INDONESIA</t>
        </is>
      </c>
      <c r="B90" t="inlineStr">
        <is>
          <t>Kota Adm. Jakarta Selatan</t>
        </is>
      </c>
      <c r="C90" t="inlineStr">
        <is>
          <t>02150812002</t>
        </is>
      </c>
      <c r="D90" t="inlineStr">
        <is>
          <t>uhsindonesia@gmail.com</t>
        </is>
      </c>
      <c r="E90" t="inlineStr">
        <is>
          <t>https://lpjk.pu.go.id/search-badan-usaha-detail/ZERJT0liYktaQmFvbWZIWlNGQjNFUT09</t>
        </is>
      </c>
      <c r="F90" t="n">
        <v>1</v>
      </c>
      <c r="G90" t="inlineStr">
        <is>
          <t>PB004</t>
        </is>
      </c>
      <c r="H90" t="inlineStr">
        <is>
          <t>22 September 2021</t>
        </is>
      </c>
      <c r="I90" s="2" t="n">
        <v>46312</v>
      </c>
      <c r="J90" t="inlineStr">
        <is>
          <t>Pencabutan</t>
        </is>
      </c>
      <c r="K90" t="n">
        <v>30</v>
      </c>
      <c r="L90" t="inlineStr">
        <is>
          <t>17 Oktober 2026</t>
        </is>
      </c>
      <c r="M90" t="inlineStr">
        <is>
          <t>Dekorasi Interior</t>
        </is>
      </c>
      <c r="N90" t="inlineStr">
        <is>
          <t>Spesialis</t>
        </is>
      </c>
      <c r="O90" t="inlineStr">
        <is>
          <t>20231013</t>
        </is>
      </c>
      <c r="P90" t="inlineStr">
        <is>
          <t>DKI Jakarta</t>
        </is>
      </c>
      <c r="Q90" t="inlineStr"/>
    </row>
    <row r="91">
      <c r="A91" t="inlineStr">
        <is>
          <t>KEMBANG PRANATA</t>
        </is>
      </c>
      <c r="B91" t="inlineStr">
        <is>
          <t>Kab. Boalemo</t>
        </is>
      </c>
      <c r="C91" t="inlineStr">
        <is>
          <t>085240307976</t>
        </is>
      </c>
      <c r="D91" t="inlineStr">
        <is>
          <t>kembangpranata@gmail.com</t>
        </is>
      </c>
      <c r="E91" t="inlineStr">
        <is>
          <t>https://lpjk.pu.go.id/search-badan-usaha-detail/RDBnWmRCcXUvS3VYaGVQOWdsS3lIQT09</t>
        </is>
      </c>
      <c r="F91" t="n">
        <v>1</v>
      </c>
      <c r="G91" t="inlineStr">
        <is>
          <t>BS001</t>
        </is>
      </c>
      <c r="H91" t="inlineStr">
        <is>
          <t>25 Agustus 2023</t>
        </is>
      </c>
      <c r="I91" s="2" t="n">
        <v>46312</v>
      </c>
      <c r="J91" t="inlineStr">
        <is>
          <t>Disetujui</t>
        </is>
      </c>
      <c r="K91" t="n">
        <v>30</v>
      </c>
      <c r="L91" t="inlineStr">
        <is>
          <t>17 Oktober 2026</t>
        </is>
      </c>
      <c r="M91" t="inlineStr">
        <is>
          <t>Konstruksi Bangunan Sipil Jalan</t>
        </is>
      </c>
      <c r="N91" t="inlineStr">
        <is>
          <t>K</t>
        </is>
      </c>
      <c r="O91" t="inlineStr">
        <is>
          <t>20231017</t>
        </is>
      </c>
      <c r="P91" t="inlineStr">
        <is>
          <t>Gorontalo</t>
        </is>
      </c>
      <c r="Q91" t="inlineStr"/>
    </row>
    <row r="92">
      <c r="A92" t="inlineStr">
        <is>
          <t>KHAIRAT</t>
        </is>
      </c>
      <c r="B92" t="inlineStr">
        <is>
          <t>Kab. Pasaman Barat</t>
        </is>
      </c>
      <c r="C92" t="inlineStr">
        <is>
          <t>082285673013</t>
        </is>
      </c>
      <c r="D92" t="inlineStr">
        <is>
          <t>cv.khairatpasamanbarat@gmail.com</t>
        </is>
      </c>
      <c r="E92" t="inlineStr">
        <is>
          <t>https://lpjk.pu.go.id/search-badan-usaha-detail/bmdmMlUyWFdBVForN0o1TkZiTUNZUT09</t>
        </is>
      </c>
      <c r="F92" t="n">
        <v>3</v>
      </c>
      <c r="G92" t="inlineStr">
        <is>
          <t>BG001, BG005, BG006</t>
        </is>
      </c>
      <c r="H92" t="inlineStr">
        <is>
          <t>31 Mei 2017</t>
        </is>
      </c>
      <c r="I92" s="2" t="n">
        <v>46312</v>
      </c>
      <c r="J92" t="inlineStr">
        <is>
          <t>Pencabutan</t>
        </is>
      </c>
      <c r="K92" t="n">
        <v>30</v>
      </c>
      <c r="L92" t="inlineStr">
        <is>
          <t>17 Oktober 2026</t>
        </is>
      </c>
      <c r="M92" t="inlineStr">
        <is>
          <t>Konstruksi Gedung Hunian, Konstruksi Gedung Kesehatan, Konstruksi Gedung Pendidikan</t>
        </is>
      </c>
      <c r="N92" t="inlineStr">
        <is>
          <t>K</t>
        </is>
      </c>
      <c r="O92" t="inlineStr">
        <is>
          <t>20231016</t>
        </is>
      </c>
      <c r="P92" t="inlineStr">
        <is>
          <t>Sumatera Barat</t>
        </is>
      </c>
      <c r="Q92" t="inlineStr"/>
    </row>
    <row r="93">
      <c r="A93" t="inlineStr">
        <is>
          <t>KHARISMA MULIA MANDIRI</t>
        </is>
      </c>
      <c r="B93" t="inlineStr">
        <is>
          <t>Kota Adm. Jakarta Barat</t>
        </is>
      </c>
      <c r="C93" t="inlineStr">
        <is>
          <t>082110689428</t>
        </is>
      </c>
      <c r="D93" t="inlineStr">
        <is>
          <t>kharismamuliamdr@gmail.com</t>
        </is>
      </c>
      <c r="E93" t="inlineStr">
        <is>
          <t>https://lpjk.pu.go.id/search-badan-usaha-detail/ZHBsV0JiT29JNk84NXp5ME50MzNidz09</t>
        </is>
      </c>
      <c r="F93" t="n">
        <v>8</v>
      </c>
      <c r="G93" t="inlineStr">
        <is>
          <t>BG001, BG003, BG004, BG009</t>
        </is>
      </c>
      <c r="H93" t="inlineStr">
        <is>
          <t>8 April 2003</t>
        </is>
      </c>
      <c r="I93" s="2" t="n">
        <v>46312</v>
      </c>
      <c r="J93" t="inlineStr">
        <is>
          <t>Disetujui</t>
        </is>
      </c>
      <c r="K93" t="n">
        <v>30</v>
      </c>
      <c r="L93" t="inlineStr">
        <is>
          <t>17 Oktober 2026</t>
        </is>
      </c>
      <c r="M93" t="inlineStr">
        <is>
          <t>Konstruksi Gedung Hunian, Konstruksi Gedung Industri, Konstruksi Gedung Lainnya, Konstruksi Gedung Perbelanjaan</t>
        </is>
      </c>
      <c r="N93" t="inlineStr">
        <is>
          <t>K</t>
        </is>
      </c>
      <c r="O93" t="inlineStr">
        <is>
          <t>20231015, 20231016</t>
        </is>
      </c>
      <c r="P93" t="inlineStr">
        <is>
          <t>DKI Jakarta</t>
        </is>
      </c>
      <c r="Q93" t="inlineStr"/>
    </row>
    <row r="94">
      <c r="A94" t="inlineStr">
        <is>
          <t>KREASI DISAIN</t>
        </is>
      </c>
      <c r="B94" t="inlineStr">
        <is>
          <t>Kab. Tangerang</t>
        </is>
      </c>
      <c r="C94" t="inlineStr">
        <is>
          <t>081272272373</t>
        </is>
      </c>
      <c r="D94" t="inlineStr">
        <is>
          <t>kreasidisain.adm@gmail.com</t>
        </is>
      </c>
      <c r="E94" t="inlineStr">
        <is>
          <t>https://lpjk.pu.go.id/search-badan-usaha-detail/US9pR0ZwUTExSVJ5UTZCdUNLNndjZz09</t>
        </is>
      </c>
      <c r="F94" t="n">
        <v>1</v>
      </c>
      <c r="G94" t="inlineStr">
        <is>
          <t>BG001</t>
        </is>
      </c>
      <c r="H94" t="inlineStr">
        <is>
          <t>26 Agustus 2023</t>
        </is>
      </c>
      <c r="I94" s="2" t="n">
        <v>46312</v>
      </c>
      <c r="J94" t="inlineStr">
        <is>
          <t>Disetujui</t>
        </is>
      </c>
      <c r="K94" t="n">
        <v>30</v>
      </c>
      <c r="L94" t="inlineStr">
        <is>
          <t>17 Oktober 2026</t>
        </is>
      </c>
      <c r="M94" t="inlineStr">
        <is>
          <t>Konstruksi Gedung Hunian</t>
        </is>
      </c>
      <c r="N94" t="inlineStr">
        <is>
          <t>K</t>
        </is>
      </c>
      <c r="O94" t="inlineStr">
        <is>
          <t>20231017</t>
        </is>
      </c>
      <c r="P94" t="inlineStr">
        <is>
          <t>Banten</t>
        </is>
      </c>
      <c r="Q94" t="inlineStr"/>
    </row>
    <row r="95">
      <c r="A95" t="inlineStr">
        <is>
          <t>KURNIA AKBAR</t>
        </is>
      </c>
      <c r="B95" t="inlineStr">
        <is>
          <t>Kab. Bangka Barat</t>
        </is>
      </c>
      <c r="C95" t="inlineStr">
        <is>
          <t>081994128908</t>
        </is>
      </c>
      <c r="D95" t="inlineStr">
        <is>
          <t>kurniaakbar1717@gmail.com</t>
        </is>
      </c>
      <c r="E95" t="inlineStr">
        <is>
          <t>https://lpjk.pu.go.id/search-badan-usaha-detail/c1NJMlVGSEFvVk55bjVRSGFkL1prdz09</t>
        </is>
      </c>
      <c r="F95" t="n">
        <v>1</v>
      </c>
      <c r="G95" t="inlineStr">
        <is>
          <t>BS001</t>
        </is>
      </c>
      <c r="H95" t="inlineStr">
        <is>
          <t>22 Oktober 2002</t>
        </is>
      </c>
      <c r="I95" s="2" t="n">
        <v>46312</v>
      </c>
      <c r="J95" t="inlineStr">
        <is>
          <t>Disetujui</t>
        </is>
      </c>
      <c r="K95" t="n">
        <v>30</v>
      </c>
      <c r="L95" t="inlineStr">
        <is>
          <t>17 Oktober 2026</t>
        </is>
      </c>
      <c r="M95" t="inlineStr">
        <is>
          <t>Konstruksi Bangunan Sipil Jalan</t>
        </is>
      </c>
      <c r="N95" t="inlineStr">
        <is>
          <t>K</t>
        </is>
      </c>
      <c r="O95" t="inlineStr">
        <is>
          <t>20231016</t>
        </is>
      </c>
      <c r="P95" t="inlineStr">
        <is>
          <t>Kepulauan Bangka Belitung</t>
        </is>
      </c>
      <c r="Q95" t="inlineStr"/>
    </row>
    <row r="96">
      <c r="A96" t="inlineStr">
        <is>
          <t>LAMINAR ENGINEERING CONSULTANT</t>
        </is>
      </c>
      <c r="B96" t="inlineStr">
        <is>
          <t>Kota Adm. Jakarta Selatan</t>
        </is>
      </c>
      <c r="C96" t="inlineStr">
        <is>
          <t>085714610511</t>
        </is>
      </c>
      <c r="D96" t="inlineStr">
        <is>
          <t>service@laminar-consultant.com</t>
        </is>
      </c>
      <c r="E96" t="inlineStr">
        <is>
          <t>https://lpjk.pu.go.id/search-badan-usaha-detail/bmVmb3pweW43SEpEUjJWUkxxMWNiUT09</t>
        </is>
      </c>
      <c r="F96" t="n">
        <v>2</v>
      </c>
      <c r="G96" t="inlineStr">
        <is>
          <t>RK001, RK002</t>
        </is>
      </c>
      <c r="H96" t="inlineStr">
        <is>
          <t>4 September 2023</t>
        </is>
      </c>
      <c r="I96" s="2" t="n">
        <v>46312</v>
      </c>
      <c r="J96" t="inlineStr">
        <is>
          <t>Disetujui</t>
        </is>
      </c>
      <c r="K96" t="n">
        <v>30</v>
      </c>
      <c r="L96" t="inlineStr">
        <is>
          <t>17 Oktober 2026</t>
        </is>
      </c>
      <c r="M96" t="inlineStr">
        <is>
          <t>Jasa Rekayasa Konstruksi Bangunan Gedung Hunian dan Non Hunian, Jasa Rekayasa Pekerjaan Teknik Sipil Sumber Daya Air</t>
        </is>
      </c>
      <c r="N96" t="inlineStr">
        <is>
          <t>K</t>
        </is>
      </c>
      <c r="O96" t="inlineStr">
        <is>
          <t>20230929</t>
        </is>
      </c>
      <c r="P96" t="inlineStr">
        <is>
          <t>DKI Jakarta</t>
        </is>
      </c>
      <c r="Q96" t="inlineStr"/>
    </row>
    <row r="97">
      <c r="A97" t="inlineStr">
        <is>
          <t>LOKAL UTAMA</t>
        </is>
      </c>
      <c r="B97" t="inlineStr">
        <is>
          <t>Kab. Sumbawa Barat</t>
        </is>
      </c>
      <c r="C97" t="inlineStr">
        <is>
          <t>081339639396</t>
        </is>
      </c>
      <c r="D97" t="inlineStr">
        <is>
          <t>lokalutama@yahoo.com</t>
        </is>
      </c>
      <c r="E97" t="inlineStr">
        <is>
          <t>https://lpjk.pu.go.id/search-badan-usaha-detail/M2czZ21PWHhLcHRuRW5XQ1VyZlpxUT09</t>
        </is>
      </c>
      <c r="F97" t="n">
        <v>2</v>
      </c>
      <c r="G97" t="inlineStr">
        <is>
          <t>BG006, BS004</t>
        </is>
      </c>
      <c r="H97" t="inlineStr">
        <is>
          <t>19 Oktober 2001</t>
        </is>
      </c>
      <c r="I97" s="2" t="n">
        <v>46312</v>
      </c>
      <c r="J97" t="inlineStr">
        <is>
          <t>Disetujui</t>
        </is>
      </c>
      <c r="K97" t="n">
        <v>30</v>
      </c>
      <c r="L97" t="inlineStr">
        <is>
          <t>17 Oktober 2026</t>
        </is>
      </c>
      <c r="M97" t="inlineStr">
        <is>
          <t>Konstruksi Gedung Pendidikan, Konstruksi Jaringan Irigasi dan Drainase</t>
        </is>
      </c>
      <c r="N97" t="inlineStr">
        <is>
          <t>K</t>
        </is>
      </c>
      <c r="O97" t="inlineStr">
        <is>
          <t>20230925, 20231006</t>
        </is>
      </c>
      <c r="P97" t="inlineStr">
        <is>
          <t>Nusa Tenggara Barat</t>
        </is>
      </c>
      <c r="Q97" t="inlineStr"/>
    </row>
    <row r="98">
      <c r="A98" t="inlineStr">
        <is>
          <t>MANGGALA</t>
        </is>
      </c>
      <c r="B98" t="inlineStr">
        <is>
          <t>Kota Denpasar</t>
        </is>
      </c>
      <c r="C98" t="inlineStr">
        <is>
          <t>081337324272</t>
        </is>
      </c>
      <c r="D98" t="inlineStr">
        <is>
          <t>cv.manggala20@ymail.com</t>
        </is>
      </c>
      <c r="E98" t="inlineStr">
        <is>
          <t>https://lpjk.pu.go.id/search-badan-usaha-detail/b3BtdTFYRG1kR1JDeHdNMzQrK2p4QT09</t>
        </is>
      </c>
      <c r="F98" t="n">
        <v>1</v>
      </c>
      <c r="G98" t="inlineStr">
        <is>
          <t>BG005</t>
        </is>
      </c>
      <c r="H98" t="inlineStr">
        <is>
          <t>31 Agustus 1984</t>
        </is>
      </c>
      <c r="I98" s="2" t="n">
        <v>46312</v>
      </c>
      <c r="J98" t="inlineStr">
        <is>
          <t>Disetujui</t>
        </is>
      </c>
      <c r="K98" t="n">
        <v>30</v>
      </c>
      <c r="L98" t="inlineStr">
        <is>
          <t>17 Oktober 2026</t>
        </is>
      </c>
      <c r="M98" t="inlineStr">
        <is>
          <t>Konstruksi Gedung Kesehatan</t>
        </is>
      </c>
      <c r="N98" t="inlineStr">
        <is>
          <t>K</t>
        </is>
      </c>
      <c r="O98" t="inlineStr">
        <is>
          <t>20231013</t>
        </is>
      </c>
      <c r="P98" t="inlineStr">
        <is>
          <t>Bali</t>
        </is>
      </c>
      <c r="Q98" t="inlineStr"/>
    </row>
    <row r="99">
      <c r="A99" t="inlineStr">
        <is>
          <t>MITRA BERINGIN</t>
        </is>
      </c>
      <c r="B99" t="inlineStr">
        <is>
          <t>Kota Makassar</t>
        </is>
      </c>
      <c r="C99" t="inlineStr">
        <is>
          <t>0811413357</t>
        </is>
      </c>
      <c r="D99" t="inlineStr">
        <is>
          <t>cv.mitraberingin1@gmail.com</t>
        </is>
      </c>
      <c r="E99" t="inlineStr">
        <is>
          <t>https://lpjk.pu.go.id/search-badan-usaha-detail/SEV2NGgxU3ZqbHBFM2FWU2xJV3RRdz09</t>
        </is>
      </c>
      <c r="F99" t="n">
        <v>1</v>
      </c>
      <c r="G99" t="inlineStr">
        <is>
          <t>BG001</t>
        </is>
      </c>
      <c r="H99" t="inlineStr">
        <is>
          <t>29 November 1994</t>
        </is>
      </c>
      <c r="I99" s="2" t="n">
        <v>46312</v>
      </c>
      <c r="J99" t="inlineStr">
        <is>
          <t>Disetujui</t>
        </is>
      </c>
      <c r="K99" t="n">
        <v>30</v>
      </c>
      <c r="L99" t="inlineStr">
        <is>
          <t>17 Oktober 2026</t>
        </is>
      </c>
      <c r="M99" t="inlineStr">
        <is>
          <t>Konstruksi Gedung Hunian</t>
        </is>
      </c>
      <c r="N99" t="inlineStr">
        <is>
          <t>K</t>
        </is>
      </c>
      <c r="O99" t="inlineStr">
        <is>
          <t>20231018</t>
        </is>
      </c>
      <c r="P99" t="inlineStr">
        <is>
          <t>Sulawesi Selatan</t>
        </is>
      </c>
      <c r="Q99" t="inlineStr"/>
    </row>
    <row r="100">
      <c r="A100" t="inlineStr">
        <is>
          <t>MITRA DINAMIS</t>
        </is>
      </c>
      <c r="B100" t="inlineStr">
        <is>
          <t>Kota Batam</t>
        </is>
      </c>
      <c r="C100" t="inlineStr">
        <is>
          <t>082277513388</t>
        </is>
      </c>
      <c r="D100" t="inlineStr">
        <is>
          <t>berthaprananda48@gmail.com</t>
        </is>
      </c>
      <c r="E100" t="inlineStr">
        <is>
          <t>https://lpjk.pu.go.id/search-badan-usaha-detail/aHd2MkRCaGRzSGlTQWNVNXFrNzZlQT09</t>
        </is>
      </c>
      <c r="F100" t="n">
        <v>1</v>
      </c>
      <c r="G100" t="inlineStr">
        <is>
          <t>IN007</t>
        </is>
      </c>
      <c r="H100" t="inlineStr">
        <is>
          <t>18 November 1995</t>
        </is>
      </c>
      <c r="I100" s="2" t="n">
        <v>46312</v>
      </c>
      <c r="J100" t="inlineStr">
        <is>
          <t>Disetujui</t>
        </is>
      </c>
      <c r="K100" t="n">
        <v>30</v>
      </c>
      <c r="L100" t="inlineStr">
        <is>
          <t>17 Oktober 2026</t>
        </is>
      </c>
      <c r="M100" t="inlineStr">
        <is>
          <t>Instalasi Saluran Air (Plambing)</t>
        </is>
      </c>
      <c r="N100" t="inlineStr">
        <is>
          <t>Spesialis</t>
        </is>
      </c>
      <c r="O100" t="inlineStr">
        <is>
          <t>20231012</t>
        </is>
      </c>
      <c r="P100" t="inlineStr">
        <is>
          <t>Kepulauan Riau</t>
        </is>
      </c>
      <c r="Q100" t="inlineStr"/>
    </row>
    <row r="101">
      <c r="A101" t="inlineStr">
        <is>
          <t>MITRA SARANA KARYA BANGSA</t>
        </is>
      </c>
      <c r="B101" t="inlineStr">
        <is>
          <t>Kota Adm. Jakarta Pusat</t>
        </is>
      </c>
      <c r="C101" t="inlineStr">
        <is>
          <t>02180631657</t>
        </is>
      </c>
      <c r="D101" t="inlineStr">
        <is>
          <t>miska@mitrakaryabangsa.com</t>
        </is>
      </c>
      <c r="E101" t="inlineStr">
        <is>
          <t>https://lpjk.pu.go.id/search-badan-usaha-detail/aldmMXBUTVY3R2tneml5N3BKSVdmZz09</t>
        </is>
      </c>
      <c r="F101" t="n">
        <v>1</v>
      </c>
      <c r="G101" t="inlineStr">
        <is>
          <t>BS009</t>
        </is>
      </c>
      <c r="H101" t="inlineStr">
        <is>
          <t>7 Agustus 2017</t>
        </is>
      </c>
      <c r="I101" s="2" t="n">
        <v>46312</v>
      </c>
      <c r="J101" t="inlineStr">
        <is>
          <t>Disetujui</t>
        </is>
      </c>
      <c r="K101" t="n">
        <v>30</v>
      </c>
      <c r="L101" t="inlineStr">
        <is>
          <t>17 Oktober 2026</t>
        </is>
      </c>
      <c r="M101" t="inlineStr">
        <is>
          <t>Konstruksi Sentral Telekomunikasi</t>
        </is>
      </c>
      <c r="N101" t="inlineStr">
        <is>
          <t>K</t>
        </is>
      </c>
      <c r="O101" t="inlineStr">
        <is>
          <t>20231018</t>
        </is>
      </c>
      <c r="P101" t="inlineStr">
        <is>
          <t>DKI Jakarta</t>
        </is>
      </c>
      <c r="Q101" t="inlineStr"/>
    </row>
    <row r="102">
      <c r="A102" t="inlineStr">
        <is>
          <t>MUSTIKA PADJADJARAN</t>
        </is>
      </c>
      <c r="B102" t="inlineStr">
        <is>
          <t>Kota Bandung</t>
        </is>
      </c>
      <c r="C102" t="inlineStr">
        <is>
          <t>081312164234</t>
        </is>
      </c>
      <c r="D102" t="inlineStr">
        <is>
          <t>mustikapadjadjaran16@gmail.com</t>
        </is>
      </c>
      <c r="E102" t="inlineStr">
        <is>
          <t>https://lpjk.pu.go.id/search-badan-usaha-detail/bmdXdlhncHlZeWZ5bHlhRTA5eXorUT09</t>
        </is>
      </c>
      <c r="F102" t="n">
        <v>2</v>
      </c>
      <c r="G102" t="inlineStr">
        <is>
          <t>BG002, BG009</t>
        </is>
      </c>
      <c r="H102" t="inlineStr">
        <is>
          <t>3 Februari 2020</t>
        </is>
      </c>
      <c r="I102" s="2" t="n">
        <v>46312</v>
      </c>
      <c r="J102" t="inlineStr">
        <is>
          <t>Disetujui</t>
        </is>
      </c>
      <c r="K102" t="n">
        <v>30</v>
      </c>
      <c r="L102" t="inlineStr">
        <is>
          <t>17 Oktober 2026</t>
        </is>
      </c>
      <c r="M102" t="inlineStr">
        <is>
          <t>Konstruksi Gedung Lainnya, Konstruksi Gedung Perkantoran</t>
        </is>
      </c>
      <c r="N102" t="inlineStr">
        <is>
          <t>K</t>
        </is>
      </c>
      <c r="O102" t="inlineStr">
        <is>
          <t>20231010</t>
        </is>
      </c>
      <c r="P102" t="inlineStr">
        <is>
          <t>Jawa Barat</t>
        </is>
      </c>
      <c r="Q102" t="inlineStr"/>
    </row>
    <row r="103">
      <c r="A103" t="inlineStr">
        <is>
          <t>MUTIARA MITRA MANDIRI SAROHA</t>
        </is>
      </c>
      <c r="B103" t="inlineStr">
        <is>
          <t>Kab. Cilacap</t>
        </is>
      </c>
      <c r="C103" t="inlineStr">
        <is>
          <t>0282542062</t>
        </is>
      </c>
      <c r="D103" t="inlineStr">
        <is>
          <t>mutiara.mitra@gmail.com</t>
        </is>
      </c>
      <c r="E103" t="inlineStr">
        <is>
          <t>https://lpjk.pu.go.id/search-badan-usaha-detail/NFdQS2ZRZlgwSUlnMTlmYWlVeFpWUT09</t>
        </is>
      </c>
      <c r="F103" t="n">
        <v>10</v>
      </c>
      <c r="G103" t="inlineStr">
        <is>
          <t>BG001, BG006, BG009, BS001, BS004</t>
        </is>
      </c>
      <c r="H103" t="inlineStr">
        <is>
          <t>14 Maret 2000</t>
        </is>
      </c>
      <c r="I103" s="2" t="n">
        <v>46312</v>
      </c>
      <c r="J103" t="inlineStr">
        <is>
          <t>Disetujui</t>
        </is>
      </c>
      <c r="K103" t="n">
        <v>30</v>
      </c>
      <c r="L103" t="inlineStr">
        <is>
          <t>17 Oktober 2026</t>
        </is>
      </c>
      <c r="M103" t="inlineStr">
        <is>
          <t>Konstruksi Bangunan Sipil Jalan, Konstruksi Gedung Hunian, Konstruksi Gedung Lainnya, Konstruksi Gedung Pendidikan, Konstruksi Jaringan Irigasi dan Drainase</t>
        </is>
      </c>
      <c r="N103" t="inlineStr">
        <is>
          <t>K</t>
        </is>
      </c>
      <c r="O103" t="inlineStr">
        <is>
          <t>20231012</t>
        </is>
      </c>
      <c r="P103" t="inlineStr">
        <is>
          <t>Jawa Tengah</t>
        </is>
      </c>
      <c r="Q103" t="inlineStr"/>
    </row>
    <row r="104">
      <c r="A104" t="inlineStr">
        <is>
          <t>NANO CONSTRUCTIONS</t>
        </is>
      </c>
      <c r="B104" t="inlineStr">
        <is>
          <t>Kab. Sragen</t>
        </is>
      </c>
      <c r="C104" t="inlineStr">
        <is>
          <t>081280804300</t>
        </is>
      </c>
      <c r="D104" t="inlineStr">
        <is>
          <t>cvnanoconstructions@gmail.com</t>
        </is>
      </c>
      <c r="E104" t="inlineStr">
        <is>
          <t>https://lpjk.pu.go.id/search-badan-usaha-detail/aWI0eC9SKy9CU3VCMDU1N1VMR29yQT09</t>
        </is>
      </c>
      <c r="F104" t="n">
        <v>1</v>
      </c>
      <c r="G104" t="inlineStr">
        <is>
          <t>BS001</t>
        </is>
      </c>
      <c r="H104" t="inlineStr">
        <is>
          <t>14 Oktober 2023</t>
        </is>
      </c>
      <c r="I104" s="2" t="n">
        <v>46312</v>
      </c>
      <c r="J104" t="inlineStr">
        <is>
          <t>Pencabutan</t>
        </is>
      </c>
      <c r="K104" t="n">
        <v>30</v>
      </c>
      <c r="L104" t="inlineStr">
        <is>
          <t>17 Oktober 2026</t>
        </is>
      </c>
      <c r="M104" t="inlineStr">
        <is>
          <t>Konstruksi Bangunan Sipil Jalan</t>
        </is>
      </c>
      <c r="N104" t="inlineStr">
        <is>
          <t>K</t>
        </is>
      </c>
      <c r="O104" t="inlineStr">
        <is>
          <t>20231017</t>
        </is>
      </c>
      <c r="P104" t="inlineStr">
        <is>
          <t>Jawa Tengah</t>
        </is>
      </c>
      <c r="Q104" t="inlineStr"/>
    </row>
    <row r="105">
      <c r="A105" t="inlineStr">
        <is>
          <t>OPTIMA MITRA PERKASA</t>
        </is>
      </c>
      <c r="B105" t="inlineStr">
        <is>
          <t>Kota Tangerang</t>
        </is>
      </c>
      <c r="C105" t="inlineStr">
        <is>
          <t>087878424322</t>
        </is>
      </c>
      <c r="D105" t="inlineStr">
        <is>
          <t>optimamitraperkasa@yahoo.com</t>
        </is>
      </c>
      <c r="E105" t="inlineStr">
        <is>
          <t>https://lpjk.pu.go.id/search-badan-usaha-detail/VEQxZEJtRktmTUFYK3JMNmE1M0Jndz09</t>
        </is>
      </c>
      <c r="F105" t="n">
        <v>3</v>
      </c>
      <c r="G105" t="inlineStr">
        <is>
          <t>BG001, BG002, BG009</t>
        </is>
      </c>
      <c r="H105" t="inlineStr">
        <is>
          <t>16 Juni 2016</t>
        </is>
      </c>
      <c r="I105" s="2" t="n">
        <v>46312</v>
      </c>
      <c r="J105" t="inlineStr">
        <is>
          <t>Disetujui</t>
        </is>
      </c>
      <c r="K105" t="n">
        <v>30</v>
      </c>
      <c r="L105" t="inlineStr">
        <is>
          <t>17 Oktober 2026</t>
        </is>
      </c>
      <c r="M105" t="inlineStr">
        <is>
          <t>Konstruksi Gedung Hunian, Konstruksi Gedung Lainnya, Konstruksi Gedung Perkantoran</t>
        </is>
      </c>
      <c r="N105" t="inlineStr">
        <is>
          <t>K</t>
        </is>
      </c>
      <c r="O105" t="inlineStr">
        <is>
          <t>20231018</t>
        </is>
      </c>
      <c r="P105" t="inlineStr">
        <is>
          <t>Banten</t>
        </is>
      </c>
      <c r="Q105" t="inlineStr"/>
    </row>
    <row r="106">
      <c r="A106" t="inlineStr">
        <is>
          <t>PANDORA</t>
        </is>
      </c>
      <c r="B106" t="inlineStr">
        <is>
          <t>Kota Sorong</t>
        </is>
      </c>
      <c r="C106" t="inlineStr">
        <is>
          <t>081385976073</t>
        </is>
      </c>
      <c r="D106" t="inlineStr">
        <is>
          <t>dolfisworot@gmail.com</t>
        </is>
      </c>
      <c r="E106" t="inlineStr">
        <is>
          <t>https://lpjk.pu.go.id/search-badan-usaha-detail/TlVyN3pYMVdhNnErekxrZEt2d005Zz09</t>
        </is>
      </c>
      <c r="F106" t="n">
        <v>1</v>
      </c>
      <c r="G106" t="inlineStr">
        <is>
          <t>BG005</t>
        </is>
      </c>
      <c r="H106" t="inlineStr">
        <is>
          <t>5 April 2016</t>
        </is>
      </c>
      <c r="I106" s="2" t="n">
        <v>46312</v>
      </c>
      <c r="J106" t="inlineStr">
        <is>
          <t>Disetujui</t>
        </is>
      </c>
      <c r="K106" t="n">
        <v>30</v>
      </c>
      <c r="L106" t="inlineStr">
        <is>
          <t>17 Oktober 2026</t>
        </is>
      </c>
      <c r="M106" t="inlineStr">
        <is>
          <t>Konstruksi Gedung Kesehatan</t>
        </is>
      </c>
      <c r="N106" t="inlineStr">
        <is>
          <t>K</t>
        </is>
      </c>
      <c r="O106" t="inlineStr">
        <is>
          <t>20231009</t>
        </is>
      </c>
      <c r="P106" t="inlineStr">
        <is>
          <t>Papua Barat</t>
        </is>
      </c>
      <c r="Q106" t="inlineStr"/>
    </row>
    <row r="107">
      <c r="A107" t="inlineStr">
        <is>
          <t>PERDANA</t>
        </is>
      </c>
      <c r="B107" t="inlineStr">
        <is>
          <t>Kab. Bojonegoro</t>
        </is>
      </c>
      <c r="C107" t="inlineStr">
        <is>
          <t>082234869197</t>
        </is>
      </c>
      <c r="D107" t="inlineStr">
        <is>
          <t>cv.perdana50@yahoo.co.id</t>
        </is>
      </c>
      <c r="E107" t="inlineStr">
        <is>
          <t>https://lpjk.pu.go.id/search-badan-usaha-detail/L0kzdmxJTGNSWTJXT25jK1dNMUNFUT09</t>
        </is>
      </c>
      <c r="F107" t="n">
        <v>2</v>
      </c>
      <c r="G107" t="inlineStr">
        <is>
          <t>BS004, BS010</t>
        </is>
      </c>
      <c r="H107" t="inlineStr">
        <is>
          <t>22 September 1986</t>
        </is>
      </c>
      <c r="I107" s="2" t="n">
        <v>46312</v>
      </c>
      <c r="J107" t="inlineStr">
        <is>
          <t>Disetujui</t>
        </is>
      </c>
      <c r="K107" t="n">
        <v>30</v>
      </c>
      <c r="L107" t="inlineStr">
        <is>
          <t>17 Oktober 2026</t>
        </is>
      </c>
      <c r="M107" t="inlineStr">
        <is>
          <t>Konstruksi Bangunan Prasarana Sumber Daya Air, Konstruksi Jaringan Irigasi dan Drainase</t>
        </is>
      </c>
      <c r="N107" t="inlineStr">
        <is>
          <t>K</t>
        </is>
      </c>
      <c r="O107" t="inlineStr">
        <is>
          <t>20231006, 20231009</t>
        </is>
      </c>
      <c r="P107" t="inlineStr">
        <is>
          <t>Jawa Timur</t>
        </is>
      </c>
      <c r="Q107" t="inlineStr"/>
    </row>
    <row r="108">
      <c r="A108" t="inlineStr">
        <is>
          <t>PERDANA KARYA</t>
        </is>
      </c>
      <c r="B108" t="inlineStr">
        <is>
          <t>Kab. Belu</t>
        </is>
      </c>
      <c r="C108" t="inlineStr">
        <is>
          <t>081336553333</t>
        </is>
      </c>
      <c r="D108" t="inlineStr">
        <is>
          <t>ptperdanakarya@gmail.com</t>
        </is>
      </c>
      <c r="E108" t="inlineStr">
        <is>
          <t>https://lpjk.pu.go.id/search-badan-usaha-detail/NDREd3Q4SGZXaWttbFVMZ1NDeVVSdz09</t>
        </is>
      </c>
      <c r="F108" t="n">
        <v>1</v>
      </c>
      <c r="G108" t="inlineStr">
        <is>
          <t>BS001</t>
        </is>
      </c>
      <c r="H108" t="inlineStr">
        <is>
          <t>20 Februari 2004</t>
        </is>
      </c>
      <c r="I108" s="2" t="n">
        <v>46312</v>
      </c>
      <c r="J108" t="inlineStr">
        <is>
          <t>Pembekuan</t>
        </is>
      </c>
      <c r="K108" t="n">
        <v>30</v>
      </c>
      <c r="L108" t="inlineStr">
        <is>
          <t>17 Oktober 2026</t>
        </is>
      </c>
      <c r="M108" t="inlineStr">
        <is>
          <t>Konstruksi Bangunan Sipil Jalan</t>
        </is>
      </c>
      <c r="N108" t="inlineStr">
        <is>
          <t>M</t>
        </is>
      </c>
      <c r="O108" t="inlineStr">
        <is>
          <t>20231018</t>
        </is>
      </c>
      <c r="P108" t="inlineStr">
        <is>
          <t>Nusa Tenggara Timur</t>
        </is>
      </c>
      <c r="Q108" t="inlineStr"/>
    </row>
    <row r="109">
      <c r="A109" t="inlineStr">
        <is>
          <t>PERMATA</t>
        </is>
      </c>
      <c r="B109" t="inlineStr">
        <is>
          <t>Kab. Bandung Barat</t>
        </is>
      </c>
      <c r="C109" t="inlineStr">
        <is>
          <t>082121206969</t>
        </is>
      </c>
      <c r="D109" t="inlineStr">
        <is>
          <t>cvpermatakbb@gmail.com</t>
        </is>
      </c>
      <c r="E109" t="inlineStr">
        <is>
          <t>https://lpjk.pu.go.id/search-badan-usaha-detail/UHdEdzQrcHJnZmpzY2tYSmk5ZWFMUT09</t>
        </is>
      </c>
      <c r="F109" t="n">
        <v>1</v>
      </c>
      <c r="G109" t="inlineStr">
        <is>
          <t>BS006</t>
        </is>
      </c>
      <c r="H109" t="inlineStr">
        <is>
          <t>31 Januari 2011</t>
        </is>
      </c>
      <c r="I109" s="2" t="n">
        <v>46312</v>
      </c>
      <c r="J109" t="inlineStr">
        <is>
          <t>Disetujui</t>
        </is>
      </c>
      <c r="K109" t="n">
        <v>30</v>
      </c>
      <c r="L109" t="inlineStr">
        <is>
          <t>17 Oktober 2026</t>
        </is>
      </c>
      <c r="M109" t="inlineStr">
        <is>
          <t>Konstruksi Bangunan Sipil Prasarana dan Sarana Sistem Pengolahan Limbah Padat, Cair, dan Gas</t>
        </is>
      </c>
      <c r="N109" t="inlineStr">
        <is>
          <t>K</t>
        </is>
      </c>
      <c r="O109" t="inlineStr">
        <is>
          <t>20231016</t>
        </is>
      </c>
      <c r="P109" t="inlineStr">
        <is>
          <t>Jawa Barat</t>
        </is>
      </c>
      <c r="Q109" t="inlineStr"/>
    </row>
    <row r="110">
      <c r="A110" t="inlineStr">
        <is>
          <t>PILAR BANGUN</t>
        </is>
      </c>
      <c r="B110" t="inlineStr">
        <is>
          <t>Kab. Trenggalek</t>
        </is>
      </c>
      <c r="C110" t="inlineStr">
        <is>
          <t>081335337337</t>
        </is>
      </c>
      <c r="D110" t="inlineStr">
        <is>
          <t>ridwanpilar1980@gmail.com</t>
        </is>
      </c>
      <c r="E110" t="inlineStr">
        <is>
          <t>https://lpjk.pu.go.id/search-badan-usaha-detail/SGVDZHFzQVR0aC9jdThtUCtlbW42Zz09</t>
        </is>
      </c>
      <c r="F110" t="n">
        <v>3</v>
      </c>
      <c r="G110" t="inlineStr">
        <is>
          <t>BG006, BG009, BS005</t>
        </is>
      </c>
      <c r="H110" t="inlineStr">
        <is>
          <t>15 Januari 2018</t>
        </is>
      </c>
      <c r="I110" s="2" t="n">
        <v>46312</v>
      </c>
      <c r="J110" t="inlineStr">
        <is>
          <t>Disetujui</t>
        </is>
      </c>
      <c r="K110" t="n">
        <v>30</v>
      </c>
      <c r="L110" t="inlineStr">
        <is>
          <t>17 Oktober 2026</t>
        </is>
      </c>
      <c r="M110" t="inlineStr">
        <is>
          <t>Konstruksi Bangunan Sipil Pengolahan Air Bersih, Konstruksi Gedung Lainnya, Konstruksi Gedung Pendidikan</t>
        </is>
      </c>
      <c r="N110" t="inlineStr">
        <is>
          <t>K</t>
        </is>
      </c>
      <c r="O110" t="inlineStr">
        <is>
          <t>20231011, 20231012</t>
        </is>
      </c>
      <c r="P110" t="inlineStr">
        <is>
          <t>Jawa Timur</t>
        </is>
      </c>
      <c r="Q110" t="inlineStr"/>
    </row>
    <row r="111">
      <c r="A111" t="inlineStr">
        <is>
          <t>PRIMA BANGKIT GEMILANG</t>
        </is>
      </c>
      <c r="B111" t="inlineStr">
        <is>
          <t>Kota Adm. Jakarta Selatan</t>
        </is>
      </c>
      <c r="C111" t="inlineStr">
        <is>
          <t>02122832757</t>
        </is>
      </c>
      <c r="D111" t="inlineStr">
        <is>
          <t>cv.primabangkitgemilang@gmail.com</t>
        </is>
      </c>
      <c r="E111" t="inlineStr">
        <is>
          <t>https://lpjk.pu.go.id/search-badan-usaha-detail/V0d3NEw2L3RHN0EwZk1SZU02ZEszUT09</t>
        </is>
      </c>
      <c r="F111" t="n">
        <v>6</v>
      </c>
      <c r="G111" t="inlineStr">
        <is>
          <t>BG001, BG002, BG005, BG006, BS001, BS004</t>
        </is>
      </c>
      <c r="H111" t="inlineStr">
        <is>
          <t>12 September 2012</t>
        </is>
      </c>
      <c r="I111" s="2" t="n">
        <v>46312</v>
      </c>
      <c r="J111" t="inlineStr">
        <is>
          <t>Disetujui</t>
        </is>
      </c>
      <c r="K111" t="n">
        <v>30</v>
      </c>
      <c r="L111" t="inlineStr">
        <is>
          <t>17 Oktober 2026</t>
        </is>
      </c>
      <c r="M111" t="inlineStr">
        <is>
          <t>Konstruksi Bangunan Sipil Jalan, Konstruksi Gedung Hunian, Konstruksi Gedung Kesehatan, Konstruksi Gedung Pendidikan, Konstruksi Gedung Perkantoran, Konstruksi Jaringan Irigasi dan Drainase</t>
        </is>
      </c>
      <c r="N111" t="inlineStr">
        <is>
          <t>K</t>
        </is>
      </c>
      <c r="O111" t="inlineStr">
        <is>
          <t>20231010</t>
        </is>
      </c>
      <c r="P111" t="inlineStr">
        <is>
          <t>DKI Jakarta</t>
        </is>
      </c>
      <c r="Q111" t="inlineStr"/>
    </row>
    <row r="112">
      <c r="A112" t="inlineStr">
        <is>
          <t>PUJA ANDALAS</t>
        </is>
      </c>
      <c r="B112" t="inlineStr">
        <is>
          <t>Kota Jambi</t>
        </is>
      </c>
      <c r="C112" t="inlineStr">
        <is>
          <t>085266061401</t>
        </is>
      </c>
      <c r="D112" t="inlineStr">
        <is>
          <t>cv.pujaandalas2021@gmail.com</t>
        </is>
      </c>
      <c r="E112" t="inlineStr">
        <is>
          <t>https://lpjk.pu.go.id/search-badan-usaha-detail/QUdJdWxKbEQzUjBIZ1JIaHZPa1gvdz09</t>
        </is>
      </c>
      <c r="F112" t="n">
        <v>1</v>
      </c>
      <c r="G112" t="inlineStr">
        <is>
          <t>BS007</t>
        </is>
      </c>
      <c r="H112" t="inlineStr">
        <is>
          <t>21 Oktober 2021</t>
        </is>
      </c>
      <c r="I112" s="2" t="n">
        <v>46312</v>
      </c>
      <c r="J112" t="inlineStr">
        <is>
          <t>Disetujui</t>
        </is>
      </c>
      <c r="K112" t="n">
        <v>30</v>
      </c>
      <c r="L112" t="inlineStr">
        <is>
          <t>17 Oktober 2026</t>
        </is>
      </c>
      <c r="M112" t="inlineStr">
        <is>
          <t>Konstruksi Bangunan Sipil Elektrikal</t>
        </is>
      </c>
      <c r="N112" t="inlineStr">
        <is>
          <t>K</t>
        </is>
      </c>
      <c r="O112" t="inlineStr">
        <is>
          <t>20231016</t>
        </is>
      </c>
      <c r="P112" t="inlineStr">
        <is>
          <t>Jambi</t>
        </is>
      </c>
      <c r="Q112" t="inlineStr"/>
    </row>
    <row r="113">
      <c r="A113" t="inlineStr">
        <is>
          <t>PUTRI KEDUA MANDIRI</t>
        </is>
      </c>
      <c r="B113" t="inlineStr">
        <is>
          <t>Kota Balikpapan</t>
        </is>
      </c>
      <c r="C113" t="inlineStr">
        <is>
          <t>081299429999</t>
        </is>
      </c>
      <c r="D113" t="inlineStr">
        <is>
          <t>putrikeduamandiri.cv@gmail.com</t>
        </is>
      </c>
      <c r="E113" t="inlineStr">
        <is>
          <t>https://lpjk.pu.go.id/search-badan-usaha-detail/WVl3WXJnSkk4QTJZVlRFS3NiZFB5QT09</t>
        </is>
      </c>
      <c r="F113" t="n">
        <v>2</v>
      </c>
      <c r="G113" t="inlineStr">
        <is>
          <t>BG005, BG006</t>
        </is>
      </c>
      <c r="H113" t="inlineStr">
        <is>
          <t>8 Agustus 2019</t>
        </is>
      </c>
      <c r="I113" s="2" t="n">
        <v>46312</v>
      </c>
      <c r="J113" t="inlineStr">
        <is>
          <t>Disetujui</t>
        </is>
      </c>
      <c r="K113" t="n">
        <v>30</v>
      </c>
      <c r="L113" t="inlineStr">
        <is>
          <t>17 Oktober 2026</t>
        </is>
      </c>
      <c r="M113" t="inlineStr">
        <is>
          <t>Konstruksi Gedung Kesehatan, Konstruksi Gedung Pendidikan</t>
        </is>
      </c>
      <c r="N113" t="inlineStr">
        <is>
          <t>K</t>
        </is>
      </c>
      <c r="O113" t="inlineStr">
        <is>
          <t>20231018</t>
        </is>
      </c>
      <c r="P113" t="inlineStr">
        <is>
          <t>Kalimantan Timur</t>
        </is>
      </c>
      <c r="Q113" t="inlineStr"/>
    </row>
    <row r="114">
      <c r="A114" t="inlineStr">
        <is>
          <t>QANITA DEWI</t>
        </is>
      </c>
      <c r="B114" t="inlineStr">
        <is>
          <t>Kab. Cirebon</t>
        </is>
      </c>
      <c r="C114" t="inlineStr">
        <is>
          <t>08112444542</t>
        </is>
      </c>
      <c r="D114" t="inlineStr">
        <is>
          <t>qanitadewi3@gmail.com</t>
        </is>
      </c>
      <c r="E114" t="inlineStr">
        <is>
          <t>https://lpjk.pu.go.id/search-badan-usaha-detail/K2FBdkxaQk9uTHh1TDlqTW9COGkydz09</t>
        </is>
      </c>
      <c r="F114" t="n">
        <v>1</v>
      </c>
      <c r="G114" t="inlineStr">
        <is>
          <t>BS005</t>
        </is>
      </c>
      <c r="H114" t="inlineStr">
        <is>
          <t>10 Januari 2015</t>
        </is>
      </c>
      <c r="I114" s="2" t="n">
        <v>46312</v>
      </c>
      <c r="J114" t="inlineStr">
        <is>
          <t>Disetujui</t>
        </is>
      </c>
      <c r="K114" t="n">
        <v>30</v>
      </c>
      <c r="L114" t="inlineStr">
        <is>
          <t>17 Oktober 2026</t>
        </is>
      </c>
      <c r="M114" t="inlineStr">
        <is>
          <t>Konstruksi Bangunan Sipil Pengolahan Air Bersih</t>
        </is>
      </c>
      <c r="N114" t="inlineStr">
        <is>
          <t>K</t>
        </is>
      </c>
      <c r="O114" t="inlineStr">
        <is>
          <t>20231015</t>
        </is>
      </c>
      <c r="P114" t="inlineStr">
        <is>
          <t>Jawa Barat</t>
        </is>
      </c>
      <c r="Q114" t="inlineStr"/>
    </row>
    <row r="115">
      <c r="A115" t="inlineStr">
        <is>
          <t>RADEN SRIWIJAYA SUKSES</t>
        </is>
      </c>
      <c r="B115" t="inlineStr">
        <is>
          <t>Kota Palembang</t>
        </is>
      </c>
      <c r="C115" t="inlineStr">
        <is>
          <t>-</t>
        </is>
      </c>
      <c r="D115" t="inlineStr">
        <is>
          <t>cv.radensriwijayasukses@gmail.com</t>
        </is>
      </c>
      <c r="E115" t="inlineStr">
        <is>
          <t>https://lpjk.pu.go.id/search-badan-usaha-detail/ZWVaN3V2TWtXWmJDSnZlUGZkVFdIZz09</t>
        </is>
      </c>
      <c r="F115" t="n">
        <v>2</v>
      </c>
      <c r="G115" t="inlineStr">
        <is>
          <t>BS001, BS004</t>
        </is>
      </c>
      <c r="H115" t="inlineStr">
        <is>
          <t>21 Mei 2021</t>
        </is>
      </c>
      <c r="I115" s="2" t="n">
        <v>46312</v>
      </c>
      <c r="J115" t="inlineStr">
        <is>
          <t>Disetujui</t>
        </is>
      </c>
      <c r="K115" t="n">
        <v>30</v>
      </c>
      <c r="L115" t="inlineStr">
        <is>
          <t>17 Oktober 2026</t>
        </is>
      </c>
      <c r="M115" t="inlineStr">
        <is>
          <t>Konstruksi Bangunan Sipil Jalan, Konstruksi Jaringan Irigasi dan Drainase</t>
        </is>
      </c>
      <c r="N115" t="inlineStr">
        <is>
          <t>K</t>
        </is>
      </c>
      <c r="O115" t="inlineStr">
        <is>
          <t>20231012</t>
        </is>
      </c>
      <c r="P115" t="inlineStr">
        <is>
          <t>Sumatera Selatan</t>
        </is>
      </c>
      <c r="Q115" t="inlineStr"/>
    </row>
    <row r="116">
      <c r="A116" t="inlineStr">
        <is>
          <t>RADJASA</t>
        </is>
      </c>
      <c r="B116" t="inlineStr">
        <is>
          <t>Kab. Lampung Selatan</t>
        </is>
      </c>
      <c r="C116" t="inlineStr">
        <is>
          <t>-</t>
        </is>
      </c>
      <c r="D116" t="inlineStr">
        <is>
          <t>cv.radjasa@gmail.com</t>
        </is>
      </c>
      <c r="E116" t="inlineStr">
        <is>
          <t>https://lpjk.pu.go.id/search-badan-usaha-detail/cmRvUzBRNGY2MzZHazQ1VmN6b2hPdz09</t>
        </is>
      </c>
      <c r="F116" t="n">
        <v>2</v>
      </c>
      <c r="G116" t="inlineStr">
        <is>
          <t>BG002</t>
        </is>
      </c>
      <c r="H116" t="inlineStr">
        <is>
          <t>26 Mei 2023</t>
        </is>
      </c>
      <c r="I116" s="2" t="n">
        <v>46312</v>
      </c>
      <c r="J116" t="inlineStr">
        <is>
          <t>Disetujui</t>
        </is>
      </c>
      <c r="K116" t="n">
        <v>30</v>
      </c>
      <c r="L116" t="inlineStr">
        <is>
          <t>17 Oktober 2026</t>
        </is>
      </c>
      <c r="M116" t="inlineStr">
        <is>
          <t>Konstruksi Gedung Perkantoran</t>
        </is>
      </c>
      <c r="N116" t="inlineStr">
        <is>
          <t>K</t>
        </is>
      </c>
      <c r="O116" t="inlineStr">
        <is>
          <t>20231016</t>
        </is>
      </c>
      <c r="P116" t="inlineStr">
        <is>
          <t>Lampung</t>
        </is>
      </c>
      <c r="Q116" t="inlineStr"/>
    </row>
    <row r="117">
      <c r="A117" t="inlineStr">
        <is>
          <t>RAJAWALI MITRA KONSULTAN</t>
        </is>
      </c>
      <c r="B117" t="inlineStr">
        <is>
          <t>Kota Jambi</t>
        </is>
      </c>
      <c r="C117" t="inlineStr">
        <is>
          <t>085267025526</t>
        </is>
      </c>
      <c r="D117" t="inlineStr">
        <is>
          <t>cv.rajawalimitrakonsultan@gmail.com</t>
        </is>
      </c>
      <c r="E117" t="inlineStr">
        <is>
          <t>https://lpjk.pu.go.id/search-badan-usaha-detail/UVF2T2d2cXo3V1lvN1dmR2J2cmg2UT09</t>
        </is>
      </c>
      <c r="F117" t="n">
        <v>6</v>
      </c>
      <c r="G117" t="inlineStr">
        <is>
          <t>RK001, RK002, RK003</t>
        </is>
      </c>
      <c r="H117" t="inlineStr">
        <is>
          <t>20 Februari 2020</t>
        </is>
      </c>
      <c r="I117" s="2" t="n">
        <v>46312</v>
      </c>
      <c r="J117" t="inlineStr">
        <is>
          <t>Disetujui</t>
        </is>
      </c>
      <c r="K117" t="n">
        <v>30</v>
      </c>
      <c r="L117" t="inlineStr">
        <is>
          <t>17 Oktober 2026</t>
        </is>
      </c>
      <c r="M117" t="inlineStr">
        <is>
          <t>Jasa Rekayasa Konstruksi Bangunan Gedung Hunian dan Non Hunian, Jasa Rekayasa Pekerjaan Teknik Sipil Sumber Daya Air, Jasa Rekayasa Pekerjaan Teknik Sipil Transportasi</t>
        </is>
      </c>
      <c r="N117" t="inlineStr">
        <is>
          <t>K</t>
        </is>
      </c>
      <c r="O117" t="inlineStr">
        <is>
          <t>20230928, 20230929</t>
        </is>
      </c>
      <c r="P117" t="inlineStr">
        <is>
          <t>Jambi</t>
        </is>
      </c>
      <c r="Q117" t="inlineStr"/>
    </row>
    <row r="118">
      <c r="A118" t="inlineStr">
        <is>
          <t>RAPIMIX</t>
        </is>
      </c>
      <c r="B118" t="inlineStr">
        <is>
          <t>Kota Medan</t>
        </is>
      </c>
      <c r="C118" t="inlineStr">
        <is>
          <t>081311335858</t>
        </is>
      </c>
      <c r="D118" t="inlineStr">
        <is>
          <t>cvrapimix32@gmail.com</t>
        </is>
      </c>
      <c r="E118" t="inlineStr">
        <is>
          <t>https://lpjk.pu.go.id/search-badan-usaha-detail/RDVoRVEyTHlDUHJXelpTd2NBQzllaU51VmVvc2hHV0tqMHdtaUxoQ2J5dz0</t>
        </is>
      </c>
      <c r="F118" t="n">
        <v>2</v>
      </c>
      <c r="G118" t="inlineStr">
        <is>
          <t>BS001, BS002</t>
        </is>
      </c>
      <c r="H118" t="inlineStr">
        <is>
          <t>19 Januari 2026</t>
        </is>
      </c>
      <c r="I118" s="2" t="n">
        <v>46312</v>
      </c>
      <c r="J118" t="inlineStr">
        <is>
          <t>Disetujui</t>
        </is>
      </c>
      <c r="K118" t="n">
        <v>30</v>
      </c>
      <c r="L118" t="inlineStr">
        <is>
          <t>17 Oktober 2026</t>
        </is>
      </c>
      <c r="M118" t="inlineStr">
        <is>
          <t>Bangunan Sipil Jembatan, Jalan Layang, Fly Over, dan Underpass, Konstruksi Bangunan Sipil Jalan</t>
        </is>
      </c>
      <c r="N118" t="inlineStr">
        <is>
          <t>K</t>
        </is>
      </c>
      <c r="O118" t="inlineStr">
        <is>
          <t>20231012</t>
        </is>
      </c>
      <c r="P118" t="inlineStr">
        <is>
          <t>Sumatera Utara</t>
        </is>
      </c>
      <c r="Q118" t="inlineStr"/>
    </row>
    <row r="119">
      <c r="A119" t="inlineStr">
        <is>
          <t>RAYHAN PUTRA PERDANA</t>
        </is>
      </c>
      <c r="B119" t="inlineStr">
        <is>
          <t>Kota Bandar Lampung</t>
        </is>
      </c>
      <c r="C119" t="inlineStr">
        <is>
          <t>081379243166</t>
        </is>
      </c>
      <c r="D119" t="inlineStr">
        <is>
          <t>rayhanputraperdana.pt@yahoo.com</t>
        </is>
      </c>
      <c r="E119" t="inlineStr">
        <is>
          <t>https://lpjk.pu.go.id/search-badan-usaha-detail/djcvaTcwdlBGTkEvRXZTWVN4SHdoZz09</t>
        </is>
      </c>
      <c r="F119" t="n">
        <v>2</v>
      </c>
      <c r="G119" t="inlineStr">
        <is>
          <t>BS004, BS010</t>
        </is>
      </c>
      <c r="H119" t="inlineStr">
        <is>
          <t>30 Januari 1990</t>
        </is>
      </c>
      <c r="I119" s="2" t="n">
        <v>46312</v>
      </c>
      <c r="J119" t="inlineStr">
        <is>
          <t>Disetujui</t>
        </is>
      </c>
      <c r="K119" t="n">
        <v>30</v>
      </c>
      <c r="L119" t="inlineStr">
        <is>
          <t>17 Oktober 2026</t>
        </is>
      </c>
      <c r="M119" t="inlineStr">
        <is>
          <t>Konstruksi Bangunan Prasarana Sumber Daya Air, Konstruksi Jaringan Irigasi dan Drainase</t>
        </is>
      </c>
      <c r="N119" t="inlineStr">
        <is>
          <t>M</t>
        </is>
      </c>
      <c r="O119" t="inlineStr">
        <is>
          <t>20231006</t>
        </is>
      </c>
      <c r="P119" t="inlineStr">
        <is>
          <t>Lampung</t>
        </is>
      </c>
      <c r="Q119" t="inlineStr"/>
    </row>
    <row r="120">
      <c r="A120" t="inlineStr">
        <is>
          <t>SADA BORNAS</t>
        </is>
      </c>
      <c r="B120" t="inlineStr">
        <is>
          <t>Kab. Deli Serdang</t>
        </is>
      </c>
      <c r="C120" t="inlineStr">
        <is>
          <t>081375966435</t>
        </is>
      </c>
      <c r="D120" t="inlineStr">
        <is>
          <t>sada.bornas12@gmail.com</t>
        </is>
      </c>
      <c r="E120" t="inlineStr">
        <is>
          <t>https://lpjk.pu.go.id/search-badan-usaha-detail/TFBEYVRuTTBHRXVxbGpWcDhGdGF4UT09</t>
        </is>
      </c>
      <c r="F120" t="n">
        <v>5</v>
      </c>
      <c r="G120" t="inlineStr">
        <is>
          <t>BS004, BS006</t>
        </is>
      </c>
      <c r="H120" t="inlineStr">
        <is>
          <t>15 Januari 2024</t>
        </is>
      </c>
      <c r="I120" s="2" t="n">
        <v>46312</v>
      </c>
      <c r="J120" t="inlineStr">
        <is>
          <t>Disetujui</t>
        </is>
      </c>
      <c r="K120" t="n">
        <v>30</v>
      </c>
      <c r="L120" t="inlineStr">
        <is>
          <t>17 Oktober 2026</t>
        </is>
      </c>
      <c r="M120" t="inlineStr">
        <is>
          <t>Konstruksi Bangunan Sipil Prasarana dan Sarana Sistem Pengolahan Limbah Padat, Cair, dan Gas, Konstruksi Jaringan Irigasi dan Drainase</t>
        </is>
      </c>
      <c r="N120" t="inlineStr">
        <is>
          <t>K</t>
        </is>
      </c>
      <c r="O120" t="inlineStr">
        <is>
          <t>20231003, 20231005</t>
        </is>
      </c>
      <c r="P120" t="inlineStr">
        <is>
          <t>Sumatera Utara</t>
        </is>
      </c>
      <c r="Q120" t="inlineStr"/>
    </row>
    <row r="121">
      <c r="A121" t="inlineStr">
        <is>
          <t>SAGITA ANDAL UTAMA</t>
        </is>
      </c>
      <c r="B121" t="inlineStr">
        <is>
          <t>Kab. Cirebon</t>
        </is>
      </c>
      <c r="C121" t="inlineStr">
        <is>
          <t>081223069993</t>
        </is>
      </c>
      <c r="D121" t="inlineStr">
        <is>
          <t>sagitaandalutama@yahoo.co.id</t>
        </is>
      </c>
      <c r="E121" t="inlineStr">
        <is>
          <t>https://lpjk.pu.go.id/search-badan-usaha-detail/OTFhaUd5WUxxeS9LeVJGdktqWmhjQT09</t>
        </is>
      </c>
      <c r="F121" t="n">
        <v>2</v>
      </c>
      <c r="G121" t="inlineStr">
        <is>
          <t>BG009, BS001</t>
        </is>
      </c>
      <c r="H121" t="inlineStr">
        <is>
          <t>23 Oktober 2002</t>
        </is>
      </c>
      <c r="I121" s="2" t="n">
        <v>46312</v>
      </c>
      <c r="J121" t="inlineStr">
        <is>
          <t>Disetujui</t>
        </is>
      </c>
      <c r="K121" t="n">
        <v>30</v>
      </c>
      <c r="L121" t="inlineStr">
        <is>
          <t>17 Oktober 2026</t>
        </is>
      </c>
      <c r="M121" t="inlineStr">
        <is>
          <t>Konstruksi Bangunan Sipil Jalan, Konstruksi Gedung Lainnya</t>
        </is>
      </c>
      <c r="N121" t="inlineStr">
        <is>
          <t>K</t>
        </is>
      </c>
      <c r="O121" t="inlineStr">
        <is>
          <t>20231017</t>
        </is>
      </c>
      <c r="P121" t="inlineStr">
        <is>
          <t>Jawa Barat</t>
        </is>
      </c>
      <c r="Q121" t="inlineStr"/>
    </row>
    <row r="122">
      <c r="A122" t="inlineStr">
        <is>
          <t>SAKANEERING</t>
        </is>
      </c>
      <c r="B122" t="inlineStr">
        <is>
          <t>Kota Makassar</t>
        </is>
      </c>
      <c r="C122" t="inlineStr">
        <is>
          <t>08114604278</t>
        </is>
      </c>
      <c r="D122" t="inlineStr">
        <is>
          <t>sakaneering48@gmail.com</t>
        </is>
      </c>
      <c r="E122" t="inlineStr">
        <is>
          <t>https://lpjk.pu.go.id/search-badan-usaha-detail/TFhoYVoyTTJFYUNVWFJYR2M2bUxRUT09</t>
        </is>
      </c>
      <c r="F122" t="n">
        <v>5</v>
      </c>
      <c r="G122" t="inlineStr">
        <is>
          <t>BG002, BG005, BG006, BG008, BG009</t>
        </is>
      </c>
      <c r="H122" t="inlineStr">
        <is>
          <t>14 Juni 2019</t>
        </is>
      </c>
      <c r="I122" s="2" t="n">
        <v>46312</v>
      </c>
      <c r="J122" t="inlineStr">
        <is>
          <t>Disetujui</t>
        </is>
      </c>
      <c r="K122" t="n">
        <v>30</v>
      </c>
      <c r="L122" t="inlineStr">
        <is>
          <t>17 Oktober 2026</t>
        </is>
      </c>
      <c r="M122" t="inlineStr">
        <is>
          <t>Konstruksi Gedung Kesehatan, Konstruksi Gedung Lainnya, Konstruksi Gedung Pendidikan, Konstruksi Gedung Perkantoran, Konstruksi Gedung Tempat Hiburan dan Olahraga</t>
        </is>
      </c>
      <c r="N122" t="inlineStr">
        <is>
          <t>K</t>
        </is>
      </c>
      <c r="O122" t="inlineStr">
        <is>
          <t>20230518, 20230519, 20231012</t>
        </is>
      </c>
      <c r="P122" t="inlineStr">
        <is>
          <t>Sulawesi Selatan</t>
        </is>
      </c>
      <c r="Q122" t="inlineStr"/>
    </row>
    <row r="123">
      <c r="A123" t="inlineStr">
        <is>
          <t>SARANA BAJA PERKASA</t>
        </is>
      </c>
      <c r="B123" t="inlineStr">
        <is>
          <t>Kota Medan</t>
        </is>
      </c>
      <c r="C123" t="inlineStr">
        <is>
          <t>82362689147</t>
        </is>
      </c>
      <c r="D123" t="inlineStr">
        <is>
          <t>rina@sbpmdn.com</t>
        </is>
      </c>
      <c r="E123" t="inlineStr">
        <is>
          <t>https://lpjk.pu.go.id/search-badan-usaha-detail/Qmx0enZybFJrVVVYTFlhY3FnV0J3UT09</t>
        </is>
      </c>
      <c r="F123" t="n">
        <v>1</v>
      </c>
      <c r="G123" t="inlineStr">
        <is>
          <t>PL003</t>
        </is>
      </c>
      <c r="H123" t="inlineStr">
        <is>
          <t>31 Mei 1994</t>
        </is>
      </c>
      <c r="I123" s="2" t="n">
        <v>46312</v>
      </c>
      <c r="J123" t="inlineStr">
        <is>
          <t>Pembekuan</t>
        </is>
      </c>
      <c r="K123" t="n">
        <v>30</v>
      </c>
      <c r="L123" t="inlineStr">
        <is>
          <t>17 Oktober 2026</t>
        </is>
      </c>
      <c r="M123" t="inlineStr">
        <is>
          <t>Penyiapan Lahan Konstruksi</t>
        </is>
      </c>
      <c r="N123" t="inlineStr">
        <is>
          <t>Spesialis</t>
        </is>
      </c>
      <c r="O123" t="inlineStr">
        <is>
          <t>20231013</t>
        </is>
      </c>
      <c r="P123" t="inlineStr">
        <is>
          <t>Sumatera Utara</t>
        </is>
      </c>
      <c r="Q123" t="inlineStr"/>
    </row>
    <row r="124">
      <c r="A124" t="inlineStr">
        <is>
          <t>SARANA PERKASA</t>
        </is>
      </c>
      <c r="B124" t="inlineStr">
        <is>
          <t>Kota Palembang</t>
        </is>
      </c>
      <c r="C124" t="inlineStr">
        <is>
          <t>082179008791</t>
        </is>
      </c>
      <c r="D124" t="inlineStr">
        <is>
          <t>suharyantoo1009@gmail.com</t>
        </is>
      </c>
      <c r="E124" t="inlineStr">
        <is>
          <t>https://lpjk.pu.go.id/search-badan-usaha-detail/UU5Tb1lCcGZxUGljWGpxN1BWaks0dz09</t>
        </is>
      </c>
      <c r="F124" t="n">
        <v>1</v>
      </c>
      <c r="G124" t="inlineStr">
        <is>
          <t>BS001</t>
        </is>
      </c>
      <c r="H124" t="inlineStr">
        <is>
          <t>9 September 2005</t>
        </is>
      </c>
      <c r="I124" s="2" t="n">
        <v>46312</v>
      </c>
      <c r="J124" t="inlineStr">
        <is>
          <t>Disetujui</t>
        </is>
      </c>
      <c r="K124" t="n">
        <v>30</v>
      </c>
      <c r="L124" t="inlineStr">
        <is>
          <t>17 Oktober 2026</t>
        </is>
      </c>
      <c r="M124" t="inlineStr">
        <is>
          <t>Konstruksi Bangunan Sipil Jalan</t>
        </is>
      </c>
      <c r="N124" t="inlineStr">
        <is>
          <t>K</t>
        </is>
      </c>
      <c r="O124" t="inlineStr">
        <is>
          <t>20231013</t>
        </is>
      </c>
      <c r="P124" t="inlineStr">
        <is>
          <t>Sumatera Selatan</t>
        </is>
      </c>
      <c r="Q124" t="inlineStr"/>
    </row>
    <row r="125">
      <c r="A125" t="inlineStr">
        <is>
          <t>SATRIA PRATAMA PERKASA</t>
        </is>
      </c>
      <c r="B125" t="inlineStr">
        <is>
          <t>Kab. Musi Rawas</t>
        </is>
      </c>
      <c r="C125" t="inlineStr">
        <is>
          <t>082179479823</t>
        </is>
      </c>
      <c r="D125" t="inlineStr">
        <is>
          <t>cv.satriapratamaperkasa@yahoo.com</t>
        </is>
      </c>
      <c r="E125" t="inlineStr">
        <is>
          <t>https://lpjk.pu.go.id/search-badan-usaha-detail/S045bmJyWWVERTJlVlZPdCtNOFNEdz09</t>
        </is>
      </c>
      <c r="F125" t="n">
        <v>1</v>
      </c>
      <c r="G125" t="inlineStr">
        <is>
          <t>BG009</t>
        </is>
      </c>
      <c r="H125" t="inlineStr">
        <is>
          <t>28 Agustus 2023</t>
        </is>
      </c>
      <c r="I125" s="2" t="n">
        <v>46312</v>
      </c>
      <c r="J125" t="inlineStr">
        <is>
          <t>Disetujui</t>
        </is>
      </c>
      <c r="K125" t="n">
        <v>30</v>
      </c>
      <c r="L125" t="inlineStr">
        <is>
          <t>17 Oktober 2026</t>
        </is>
      </c>
      <c r="M125" t="inlineStr">
        <is>
          <t>Konstruksi Gedung Lainnya</t>
        </is>
      </c>
      <c r="N125" t="inlineStr">
        <is>
          <t>K</t>
        </is>
      </c>
      <c r="O125" t="inlineStr">
        <is>
          <t>20231017</t>
        </is>
      </c>
      <c r="P125" t="inlineStr">
        <is>
          <t>Sumatera Selatan</t>
        </is>
      </c>
      <c r="Q125" t="inlineStr"/>
    </row>
    <row r="126">
      <c r="A126" t="inlineStr">
        <is>
          <t>SEBELAS MEI</t>
        </is>
      </c>
      <c r="B126" t="inlineStr">
        <is>
          <t>Kab. Demak</t>
        </is>
      </c>
      <c r="C126" t="inlineStr">
        <is>
          <t>082221045326</t>
        </is>
      </c>
      <c r="D126" t="inlineStr">
        <is>
          <t>cv.sebelasmei@yahoo.com</t>
        </is>
      </c>
      <c r="E126" t="inlineStr">
        <is>
          <t>https://lpjk.pu.go.id/search-badan-usaha-detail/Vkxwc1NWQzhYTGFoZHRYM1F5cXlvZz09</t>
        </is>
      </c>
      <c r="F126" t="n">
        <v>1</v>
      </c>
      <c r="G126" t="inlineStr">
        <is>
          <t>BG009</t>
        </is>
      </c>
      <c r="H126" t="inlineStr">
        <is>
          <t>19 Agustus 2013</t>
        </is>
      </c>
      <c r="I126" s="2" t="n">
        <v>46312</v>
      </c>
      <c r="J126" t="inlineStr">
        <is>
          <t>Disetujui</t>
        </is>
      </c>
      <c r="K126" t="n">
        <v>30</v>
      </c>
      <c r="L126" t="inlineStr">
        <is>
          <t>17 Oktober 2026</t>
        </is>
      </c>
      <c r="M126" t="inlineStr">
        <is>
          <t>Konstruksi Gedung Lainnya</t>
        </is>
      </c>
      <c r="N126" t="inlineStr">
        <is>
          <t>K</t>
        </is>
      </c>
      <c r="O126" t="inlineStr">
        <is>
          <t>20231016</t>
        </is>
      </c>
      <c r="P126" t="inlineStr">
        <is>
          <t>Jawa Tengah</t>
        </is>
      </c>
      <c r="Q126" t="inlineStr"/>
    </row>
    <row r="127">
      <c r="A127" t="inlineStr">
        <is>
          <t>SEKAR JAGAD INDO RAYA</t>
        </is>
      </c>
      <c r="B127" t="inlineStr">
        <is>
          <t>Kab. Kudus</t>
        </is>
      </c>
      <c r="C127" t="inlineStr">
        <is>
          <t>081227454343</t>
        </is>
      </c>
      <c r="D127" t="inlineStr">
        <is>
          <t>sekarjagadindorayacv@gmail.com</t>
        </is>
      </c>
      <c r="E127" t="inlineStr">
        <is>
          <t>https://lpjk.pu.go.id/search-badan-usaha-detail/d1U5elliZElua0hkaDF4QTJUYUQ2dz09</t>
        </is>
      </c>
      <c r="F127" t="n">
        <v>10</v>
      </c>
      <c r="G127" t="inlineStr">
        <is>
          <t>BG001, BG002, BG005, BG006, BG009</t>
        </is>
      </c>
      <c r="H127" t="inlineStr">
        <is>
          <t>15 Februari 2023</t>
        </is>
      </c>
      <c r="I127" s="2" t="n">
        <v>46312</v>
      </c>
      <c r="J127" t="inlineStr">
        <is>
          <t>Disetujui</t>
        </is>
      </c>
      <c r="K127" t="n">
        <v>30</v>
      </c>
      <c r="L127" t="inlineStr">
        <is>
          <t>17 Oktober 2026</t>
        </is>
      </c>
      <c r="M127" t="inlineStr">
        <is>
          <t>Konstruksi Gedung Hunian, Konstruksi Gedung Kesehatan, Konstruksi Gedung Lainnya, Konstruksi Gedung Pendidikan, Konstruksi Gedung Perkantoran</t>
        </is>
      </c>
      <c r="N127" t="inlineStr">
        <is>
          <t>K</t>
        </is>
      </c>
      <c r="O127" t="inlineStr">
        <is>
          <t>20231016</t>
        </is>
      </c>
      <c r="P127" t="inlineStr">
        <is>
          <t>Jawa Tengah</t>
        </is>
      </c>
      <c r="Q127" t="inlineStr"/>
    </row>
    <row r="128">
      <c r="A128" t="inlineStr">
        <is>
          <t>SELAMAT KARYA BERSAMA</t>
        </is>
      </c>
      <c r="B128" t="inlineStr">
        <is>
          <t>Kab. Kutai Timur</t>
        </is>
      </c>
      <c r="C128" t="inlineStr">
        <is>
          <t>082148347685</t>
        </is>
      </c>
      <c r="D128" t="inlineStr">
        <is>
          <t>cv.selamatkaryabersama@gmail.com</t>
        </is>
      </c>
      <c r="E128" t="inlineStr">
        <is>
          <t>https://lpjk.pu.go.id/search-badan-usaha-detail/Y3kzem9zUXJvUkxWS1oxaUQ3MUFKUT09</t>
        </is>
      </c>
      <c r="F128" t="n">
        <v>1</v>
      </c>
      <c r="G128" t="inlineStr">
        <is>
          <t>BS001</t>
        </is>
      </c>
      <c r="H128" t="inlineStr">
        <is>
          <t>24 Juli 2023</t>
        </is>
      </c>
      <c r="I128" s="2" t="n">
        <v>46312</v>
      </c>
      <c r="J128" t="inlineStr">
        <is>
          <t>Disetujui</t>
        </is>
      </c>
      <c r="K128" t="n">
        <v>30</v>
      </c>
      <c r="L128" t="inlineStr">
        <is>
          <t>17 Oktober 2026</t>
        </is>
      </c>
      <c r="M128" t="inlineStr">
        <is>
          <t>Konstruksi Bangunan Sipil Jalan</t>
        </is>
      </c>
      <c r="N128" t="inlineStr">
        <is>
          <t>K</t>
        </is>
      </c>
      <c r="O128" t="inlineStr">
        <is>
          <t>20231016</t>
        </is>
      </c>
      <c r="P128" t="inlineStr">
        <is>
          <t>Kalimantan Timur</t>
        </is>
      </c>
      <c r="Q128" t="inlineStr"/>
    </row>
    <row r="129">
      <c r="A129" t="inlineStr">
        <is>
          <t>SENTOSA LAJU SEJAHTERA</t>
        </is>
      </c>
      <c r="B129" t="inlineStr">
        <is>
          <t>Kab. Sidoarjo</t>
        </is>
      </c>
      <c r="C129" t="inlineStr">
        <is>
          <t>0317879848</t>
        </is>
      </c>
      <c r="D129" t="inlineStr">
        <is>
          <t>sentosalajusejahterapt@gmail.com</t>
        </is>
      </c>
      <c r="E129" t="inlineStr">
        <is>
          <t>https://lpjk.pu.go.id/search-badan-usaha-detail/Y2E5Lzg5OEEvZVdYMzU5cDdmakpndz09</t>
        </is>
      </c>
      <c r="F129" t="n">
        <v>1</v>
      </c>
      <c r="G129" t="inlineStr">
        <is>
          <t>PA001</t>
        </is>
      </c>
      <c r="H129" t="inlineStr">
        <is>
          <t>24 Juli 2023</t>
        </is>
      </c>
      <c r="I129" s="2" t="n">
        <v>46312</v>
      </c>
      <c r="J129" t="inlineStr">
        <is>
          <t>Pembekuan</t>
        </is>
      </c>
      <c r="K129" t="n">
        <v>30</v>
      </c>
      <c r="L129" t="inlineStr">
        <is>
          <t>17 Oktober 2026</t>
        </is>
      </c>
      <c r="M129" t="inlineStr">
        <is>
          <t>Penyewaan Peralatan Konstruksi</t>
        </is>
      </c>
      <c r="N129" t="inlineStr">
        <is>
          <t>Spesialis</t>
        </is>
      </c>
      <c r="O129" t="inlineStr">
        <is>
          <t>20231017</t>
        </is>
      </c>
      <c r="P129" t="inlineStr">
        <is>
          <t>Jawa Timur</t>
        </is>
      </c>
      <c r="Q129" t="inlineStr"/>
    </row>
    <row r="130">
      <c r="A130" t="inlineStr">
        <is>
          <t>SINAR MENTARI</t>
        </is>
      </c>
      <c r="B130" t="inlineStr">
        <is>
          <t>Kota Bandung</t>
        </is>
      </c>
      <c r="C130" t="inlineStr">
        <is>
          <t>08122059695</t>
        </is>
      </c>
      <c r="D130" t="inlineStr">
        <is>
          <t>mentaricvsinar@gmail.com</t>
        </is>
      </c>
      <c r="E130" t="inlineStr">
        <is>
          <t>https://lpjk.pu.go.id/search-badan-usaha-detail/dE9PdzEyYlptVEFXblNhR01xakZ5UT09</t>
        </is>
      </c>
      <c r="F130" t="n">
        <v>1</v>
      </c>
      <c r="G130" t="inlineStr">
        <is>
          <t>BG006</t>
        </is>
      </c>
      <c r="H130" t="inlineStr">
        <is>
          <t>24 Januari 2023</t>
        </is>
      </c>
      <c r="I130" s="2" t="n">
        <v>46312</v>
      </c>
      <c r="J130" t="inlineStr">
        <is>
          <t>Disetujui</t>
        </is>
      </c>
      <c r="K130" t="n">
        <v>30</v>
      </c>
      <c r="L130" t="inlineStr">
        <is>
          <t>17 Oktober 2026</t>
        </is>
      </c>
      <c r="M130" t="inlineStr">
        <is>
          <t>Konstruksi Gedung Pendidikan</t>
        </is>
      </c>
      <c r="N130" t="inlineStr">
        <is>
          <t>K</t>
        </is>
      </c>
      <c r="O130" t="inlineStr">
        <is>
          <t>20231017</t>
        </is>
      </c>
      <c r="P130" t="inlineStr">
        <is>
          <t>Jawa Barat</t>
        </is>
      </c>
      <c r="Q130" t="inlineStr"/>
    </row>
    <row r="131">
      <c r="A131" t="inlineStr">
        <is>
          <t>SINDO WAHANA</t>
        </is>
      </c>
      <c r="B131" t="inlineStr">
        <is>
          <t>Kota Adm. Jakarta Barat</t>
        </is>
      </c>
      <c r="C131" t="inlineStr">
        <is>
          <t>0216926636</t>
        </is>
      </c>
      <c r="D131" t="inlineStr">
        <is>
          <t>sindowahana72@gmail.com</t>
        </is>
      </c>
      <c r="E131" t="inlineStr">
        <is>
          <t>https://lpjk.pu.go.id/search-badan-usaha-detail/WUttT3o0ZE1GQmRoUkZSdWdKQURqdz09</t>
        </is>
      </c>
      <c r="F131" t="n">
        <v>6</v>
      </c>
      <c r="G131" t="inlineStr">
        <is>
          <t>BG002, BG005, BG006, BG009, IN001, IN007</t>
        </is>
      </c>
      <c r="H131" t="inlineStr">
        <is>
          <t>3 Maret 1992</t>
        </is>
      </c>
      <c r="I131" s="2" t="n">
        <v>46312</v>
      </c>
      <c r="J131" t="inlineStr">
        <is>
          <t>Disetujui, Pembekuan, Pencabutan</t>
        </is>
      </c>
      <c r="K131" t="n">
        <v>30</v>
      </c>
      <c r="L131" t="inlineStr">
        <is>
          <t>17 Oktober 2026</t>
        </is>
      </c>
      <c r="M131" t="inlineStr">
        <is>
          <t>Instalasi Mekanikal, Instalasi Saluran Air (Plambing), Konstruksi Gedung Kesehatan, Konstruksi Gedung Lainnya, Konstruksi Gedung Pendidikan, Konstruksi Gedung Perkantoran</t>
        </is>
      </c>
      <c r="N131" t="inlineStr">
        <is>
          <t>K, M, Spesialis</t>
        </is>
      </c>
      <c r="O131" t="inlineStr">
        <is>
          <t>20231012, 20231017, 20231020, 20231022</t>
        </is>
      </c>
      <c r="P131" t="inlineStr">
        <is>
          <t>DKI Jakarta</t>
        </is>
      </c>
      <c r="Q131" t="inlineStr"/>
    </row>
    <row r="132">
      <c r="A132" t="inlineStr">
        <is>
          <t>SINERGITAS BANGUN GRAHA</t>
        </is>
      </c>
      <c r="B132" t="inlineStr">
        <is>
          <t>Kota Adm. Jakarta Utara</t>
        </is>
      </c>
      <c r="C132" t="inlineStr">
        <is>
          <t>08159365289</t>
        </is>
      </c>
      <c r="D132" t="inlineStr">
        <is>
          <t>sinergitasbangungraha@gmail.com</t>
        </is>
      </c>
      <c r="E132" t="inlineStr">
        <is>
          <t>https://lpjk.pu.go.id/search-badan-usaha-detail/OTdOdW0rbE1RRkxoRU9HcTRmR1puZz09</t>
        </is>
      </c>
      <c r="F132" t="n">
        <v>3</v>
      </c>
      <c r="G132" t="inlineStr">
        <is>
          <t>BG001, BG003, BG009</t>
        </is>
      </c>
      <c r="H132" t="inlineStr">
        <is>
          <t>24 Maret 2020</t>
        </is>
      </c>
      <c r="I132" s="2" t="n">
        <v>46312</v>
      </c>
      <c r="J132" t="inlineStr">
        <is>
          <t>Disetujui</t>
        </is>
      </c>
      <c r="K132" t="n">
        <v>30</v>
      </c>
      <c r="L132" t="inlineStr">
        <is>
          <t>17 Oktober 2026</t>
        </is>
      </c>
      <c r="M132" t="inlineStr">
        <is>
          <t>Konstruksi Gedung Hunian, Konstruksi Gedung Industri, Konstruksi Gedung Lainnya</t>
        </is>
      </c>
      <c r="N132" t="inlineStr">
        <is>
          <t>K</t>
        </is>
      </c>
      <c r="O132" t="inlineStr">
        <is>
          <t>20231010</t>
        </is>
      </c>
      <c r="P132" t="inlineStr">
        <is>
          <t>DKI Jakarta</t>
        </is>
      </c>
      <c r="Q132" t="inlineStr"/>
    </row>
    <row r="133">
      <c r="A133" t="inlineStr">
        <is>
          <t>SIWA KARYATAMA</t>
        </is>
      </c>
      <c r="B133" t="inlineStr">
        <is>
          <t>Kota Kendari</t>
        </is>
      </c>
      <c r="C133" t="inlineStr">
        <is>
          <t>085343598808</t>
        </is>
      </c>
      <c r="D133" t="inlineStr">
        <is>
          <t>siwakaryatama.cv@gmail.com</t>
        </is>
      </c>
      <c r="E133" t="inlineStr">
        <is>
          <t>https://lpjk.pu.go.id/search-badan-usaha-detail/NVVuNEhwdDZpK1ZQZElHRnR0bGx2dz09</t>
        </is>
      </c>
      <c r="F133" t="n">
        <v>5</v>
      </c>
      <c r="G133" t="inlineStr">
        <is>
          <t>BG002, BG005, BG009, BS001, BS004</t>
        </is>
      </c>
      <c r="H133" t="inlineStr">
        <is>
          <t>8 Januari 2019</t>
        </is>
      </c>
      <c r="I133" s="2" t="n">
        <v>46312</v>
      </c>
      <c r="J133" t="inlineStr">
        <is>
          <t>Disetujui</t>
        </is>
      </c>
      <c r="K133" t="n">
        <v>30</v>
      </c>
      <c r="L133" t="inlineStr">
        <is>
          <t>17 Oktober 2026</t>
        </is>
      </c>
      <c r="M133" t="inlineStr">
        <is>
          <t>Konstruksi Bangunan Sipil Jalan, Konstruksi Gedung Kesehatan, Konstruksi Gedung Lainnya, Konstruksi Gedung Perkantoran, Konstruksi Jaringan Irigasi dan Drainase</t>
        </is>
      </c>
      <c r="N133" t="inlineStr">
        <is>
          <t>K</t>
        </is>
      </c>
      <c r="O133" t="inlineStr">
        <is>
          <t>20231004, 20231011</t>
        </is>
      </c>
      <c r="P133" t="inlineStr">
        <is>
          <t>Sulawesi Tenggara</t>
        </is>
      </c>
      <c r="Q133" t="inlineStr"/>
    </row>
    <row r="134">
      <c r="A134" t="inlineStr">
        <is>
          <t>SUMBER JATI</t>
        </is>
      </c>
      <c r="B134" t="inlineStr">
        <is>
          <t>Kab. Kediri</t>
        </is>
      </c>
      <c r="C134" t="inlineStr">
        <is>
          <t>085856768882</t>
        </is>
      </c>
      <c r="D134" t="inlineStr">
        <is>
          <t>sumberjaticv.kediri@yahoo.com</t>
        </is>
      </c>
      <c r="E134" t="inlineStr">
        <is>
          <t>https://lpjk.pu.go.id/search-badan-usaha-detail/elFSREV4OUVpV2F3YWUrdXVqcjZadz09</t>
        </is>
      </c>
      <c r="F134" t="n">
        <v>1</v>
      </c>
      <c r="G134" t="inlineStr">
        <is>
          <t>BS004</t>
        </is>
      </c>
      <c r="H134" t="inlineStr">
        <is>
          <t>22 Juni 1976</t>
        </is>
      </c>
      <c r="I134" s="2" t="n">
        <v>46312</v>
      </c>
      <c r="J134" t="inlineStr">
        <is>
          <t>Disetujui</t>
        </is>
      </c>
      <c r="K134" t="n">
        <v>30</v>
      </c>
      <c r="L134" t="inlineStr">
        <is>
          <t>17 Oktober 2026</t>
        </is>
      </c>
      <c r="M134" t="inlineStr">
        <is>
          <t>Konstruksi Jaringan Irigasi dan Drainase</t>
        </is>
      </c>
      <c r="N134" t="inlineStr">
        <is>
          <t>K</t>
        </is>
      </c>
      <c r="O134" t="inlineStr">
        <is>
          <t>20231010</t>
        </is>
      </c>
      <c r="P134" t="inlineStr">
        <is>
          <t>Jawa Timur</t>
        </is>
      </c>
      <c r="Q134" t="inlineStr"/>
    </row>
    <row r="135">
      <c r="A135" t="inlineStr">
        <is>
          <t>SURYA JAYA KONSTRUKSI</t>
        </is>
      </c>
      <c r="B135" t="inlineStr">
        <is>
          <t>Kota Samarinda</t>
        </is>
      </c>
      <c r="C135" t="inlineStr">
        <is>
          <t>082250080809</t>
        </is>
      </c>
      <c r="D135" t="inlineStr">
        <is>
          <t>cvsuryajayakonstruksi2022@gmail.com</t>
        </is>
      </c>
      <c r="E135" t="inlineStr">
        <is>
          <t>https://lpjk.pu.go.id/search-badan-usaha-detail/UnpZZWJSVUUyMVdFRXVmdzFrdFA4Zz09</t>
        </is>
      </c>
      <c r="F135" t="n">
        <v>2</v>
      </c>
      <c r="G135" t="inlineStr">
        <is>
          <t>BG001, BG009</t>
        </is>
      </c>
      <c r="H135" t="inlineStr">
        <is>
          <t>15 Agustus 2013</t>
        </is>
      </c>
      <c r="I135" s="2" t="n">
        <v>46312</v>
      </c>
      <c r="J135" t="inlineStr">
        <is>
          <t>Disetujui</t>
        </is>
      </c>
      <c r="K135" t="n">
        <v>30</v>
      </c>
      <c r="L135" t="inlineStr">
        <is>
          <t>17 Oktober 2026</t>
        </is>
      </c>
      <c r="M135" t="inlineStr">
        <is>
          <t>Konstruksi Gedung Hunian, Konstruksi Gedung Lainnya</t>
        </is>
      </c>
      <c r="N135" t="inlineStr">
        <is>
          <t>K</t>
        </is>
      </c>
      <c r="O135" t="inlineStr">
        <is>
          <t>20231014</t>
        </is>
      </c>
      <c r="P135" t="inlineStr">
        <is>
          <t>Kalimantan Timur</t>
        </is>
      </c>
      <c r="Q135" t="inlineStr"/>
    </row>
    <row r="136">
      <c r="A136" t="inlineStr">
        <is>
          <t>THAN PRIMA JAYA</t>
        </is>
      </c>
      <c r="B136" t="inlineStr">
        <is>
          <t>Kab. Kutai Barat</t>
        </is>
      </c>
      <c r="C136" t="inlineStr">
        <is>
          <t>081255467762</t>
        </is>
      </c>
      <c r="D136" t="inlineStr">
        <is>
          <t>cvthanprimajaya44@gmail.com</t>
        </is>
      </c>
      <c r="E136" t="inlineStr">
        <is>
          <t>https://lpjk.pu.go.id/search-badan-usaha-detail/THROWk02U3o3RStUa1BnQ0diNUh0QT09</t>
        </is>
      </c>
      <c r="F136" t="n">
        <v>1</v>
      </c>
      <c r="G136" t="inlineStr">
        <is>
          <t>BS001</t>
        </is>
      </c>
      <c r="H136" t="inlineStr">
        <is>
          <t>19 September 2023</t>
        </is>
      </c>
      <c r="I136" s="2" t="n">
        <v>46312</v>
      </c>
      <c r="J136" t="inlineStr">
        <is>
          <t>Disetujui</t>
        </is>
      </c>
      <c r="K136" t="n">
        <v>30</v>
      </c>
      <c r="L136" t="inlineStr">
        <is>
          <t>17 Oktober 2026</t>
        </is>
      </c>
      <c r="M136" t="inlineStr">
        <is>
          <t>Konstruksi Bangunan Sipil Jalan</t>
        </is>
      </c>
      <c r="N136" t="inlineStr">
        <is>
          <t>K</t>
        </is>
      </c>
      <c r="O136" t="inlineStr">
        <is>
          <t>20231012</t>
        </is>
      </c>
      <c r="P136" t="inlineStr">
        <is>
          <t>Kalimantan Timur</t>
        </is>
      </c>
      <c r="Q136" t="inlineStr"/>
    </row>
    <row r="137">
      <c r="A137" t="inlineStr">
        <is>
          <t>THREE CAHAYA ABADI</t>
        </is>
      </c>
      <c r="B137" t="inlineStr">
        <is>
          <t>Kota Kupang</t>
        </is>
      </c>
      <c r="C137" t="inlineStr">
        <is>
          <t>081239098472</t>
        </is>
      </c>
      <c r="D137" t="inlineStr">
        <is>
          <t>cvthreecahayaabadi@gmail.com</t>
        </is>
      </c>
      <c r="E137" t="inlineStr">
        <is>
          <t>https://lpjk.pu.go.id/search-badan-usaha-detail/QWN0TGhBRnNCZ1h4aDdsSjJubnVFZz09</t>
        </is>
      </c>
      <c r="F137" t="n">
        <v>2</v>
      </c>
      <c r="G137" t="inlineStr">
        <is>
          <t>BG005, BG006</t>
        </is>
      </c>
      <c r="H137" t="inlineStr">
        <is>
          <t>18 Oktober 2022</t>
        </is>
      </c>
      <c r="I137" s="2" t="n">
        <v>46312</v>
      </c>
      <c r="J137" t="inlineStr">
        <is>
          <t>Disetujui</t>
        </is>
      </c>
      <c r="K137" t="n">
        <v>30</v>
      </c>
      <c r="L137" t="inlineStr">
        <is>
          <t>17 Oktober 2026</t>
        </is>
      </c>
      <c r="M137" t="inlineStr">
        <is>
          <t>Konstruksi Gedung Kesehatan, Konstruksi Gedung Pendidikan</t>
        </is>
      </c>
      <c r="N137" t="inlineStr">
        <is>
          <t>K</t>
        </is>
      </c>
      <c r="O137" t="inlineStr">
        <is>
          <t>20231006, 20231010</t>
        </is>
      </c>
      <c r="P137" t="inlineStr">
        <is>
          <t>Nusa Tenggara Timur</t>
        </is>
      </c>
      <c r="Q137" t="inlineStr"/>
    </row>
    <row r="138">
      <c r="A138" t="inlineStr">
        <is>
          <t>TIGA PILAR SELARAS</t>
        </is>
      </c>
      <c r="B138" t="inlineStr">
        <is>
          <t>Kota Batam</t>
        </is>
      </c>
      <c r="C138" t="inlineStr">
        <is>
          <t>081267085109</t>
        </is>
      </c>
      <c r="D138" t="inlineStr">
        <is>
          <t>cvtigapilarselaras@gmail.com</t>
        </is>
      </c>
      <c r="E138" t="inlineStr">
        <is>
          <t>https://lpjk.pu.go.id/search-badan-usaha-detail/K3lEOXFKTkN3dGRTeDBYY2d3WDNDdz09</t>
        </is>
      </c>
      <c r="F138" t="n">
        <v>4</v>
      </c>
      <c r="G138" t="inlineStr">
        <is>
          <t>BG006, BG009, BS001, BS004</t>
        </is>
      </c>
      <c r="H138" t="inlineStr">
        <is>
          <t>7 September 2023</t>
        </is>
      </c>
      <c r="I138" s="2" t="n">
        <v>46312</v>
      </c>
      <c r="J138" t="inlineStr">
        <is>
          <t>Disetujui</t>
        </is>
      </c>
      <c r="K138" t="n">
        <v>30</v>
      </c>
      <c r="L138" t="inlineStr">
        <is>
          <t>17 Oktober 2026</t>
        </is>
      </c>
      <c r="M138" t="inlineStr">
        <is>
          <t>Konstruksi Bangunan Sipil Jalan, Konstruksi Gedung Lainnya, Konstruksi Gedung Pendidikan, Konstruksi Jaringan Irigasi dan Drainase</t>
        </is>
      </c>
      <c r="N138" t="inlineStr">
        <is>
          <t>K</t>
        </is>
      </c>
      <c r="O138" t="inlineStr">
        <is>
          <t>20231012, 20231016, 20231018</t>
        </is>
      </c>
      <c r="P138" t="inlineStr">
        <is>
          <t>Kepulauan Riau</t>
        </is>
      </c>
      <c r="Q138" t="inlineStr"/>
    </row>
    <row r="139">
      <c r="A139" t="inlineStr">
        <is>
          <t>TRI MANUNGGAL SAKTI</t>
        </is>
      </c>
      <c r="B139" t="inlineStr">
        <is>
          <t>Kota Denpasar</t>
        </is>
      </c>
      <c r="C139" t="inlineStr">
        <is>
          <t>0361226517</t>
        </is>
      </c>
      <c r="D139" t="inlineStr">
        <is>
          <t>trimanunggal.marketing@gmail.com</t>
        </is>
      </c>
      <c r="E139" t="inlineStr">
        <is>
          <t>https://lpjk.pu.go.id/search-badan-usaha-detail/NytkSUUrd04rSGFDL2JSUXRUK0xRQT09</t>
        </is>
      </c>
      <c r="F139" t="n">
        <v>1</v>
      </c>
      <c r="G139" t="inlineStr">
        <is>
          <t>BS010</t>
        </is>
      </c>
      <c r="H139" t="inlineStr">
        <is>
          <t>4 Februari 2002</t>
        </is>
      </c>
      <c r="I139" s="2" t="n">
        <v>46312</v>
      </c>
      <c r="J139" t="inlineStr">
        <is>
          <t>Pencabutan</t>
        </is>
      </c>
      <c r="K139" t="n">
        <v>30</v>
      </c>
      <c r="L139" t="inlineStr">
        <is>
          <t>17 Oktober 2026</t>
        </is>
      </c>
      <c r="M139" t="inlineStr">
        <is>
          <t>Konstruksi Bangunan Prasarana Sumber Daya Air</t>
        </is>
      </c>
      <c r="N139" t="inlineStr">
        <is>
          <t>M</t>
        </is>
      </c>
      <c r="O139" t="inlineStr">
        <is>
          <t>20230921</t>
        </is>
      </c>
      <c r="P139" t="inlineStr">
        <is>
          <t>Bali</t>
        </is>
      </c>
      <c r="Q139" t="inlineStr"/>
    </row>
    <row r="140">
      <c r="A140" t="inlineStr">
        <is>
          <t>TRIDAYA BAKTI NUSA</t>
        </is>
      </c>
      <c r="B140" t="inlineStr">
        <is>
          <t>Kota Adm. Jakarta Selatan</t>
        </is>
      </c>
      <c r="C140" t="inlineStr">
        <is>
          <t>081283780827</t>
        </is>
      </c>
      <c r="D140" t="inlineStr">
        <is>
          <t>pttridayabaktinusa@gmail.com</t>
        </is>
      </c>
      <c r="E140" t="inlineStr">
        <is>
          <t>https://lpjk.pu.go.id/search-badan-usaha-detail/dHdKSmxDZjU2SlFucmp2VTlNa2NIZz09</t>
        </is>
      </c>
      <c r="F140" t="n">
        <v>3</v>
      </c>
      <c r="G140" t="inlineStr">
        <is>
          <t>BG001, BG005, BG006</t>
        </is>
      </c>
      <c r="H140" t="inlineStr">
        <is>
          <t>31 Juli 2023</t>
        </is>
      </c>
      <c r="I140" s="2" t="n">
        <v>46312</v>
      </c>
      <c r="J140" t="inlineStr">
        <is>
          <t>Pencabutan</t>
        </is>
      </c>
      <c r="K140" t="n">
        <v>30</v>
      </c>
      <c r="L140" t="inlineStr">
        <is>
          <t>17 Oktober 2026</t>
        </is>
      </c>
      <c r="M140" t="inlineStr">
        <is>
          <t>Konstruksi Gedung Hunian, Konstruksi Gedung Kesehatan, Konstruksi Gedung Pendidikan</t>
        </is>
      </c>
      <c r="N140" t="inlineStr">
        <is>
          <t>K</t>
        </is>
      </c>
      <c r="O140" t="inlineStr">
        <is>
          <t>20230822, 20231015</t>
        </is>
      </c>
      <c r="P140" t="inlineStr">
        <is>
          <t>DKI Jakarta</t>
        </is>
      </c>
      <c r="Q140" t="inlineStr"/>
    </row>
    <row r="141">
      <c r="A141" t="inlineStr">
        <is>
          <t>TRIDUTA MITRAPARAMA</t>
        </is>
      </c>
      <c r="B141" t="inlineStr">
        <is>
          <t>Kota Adm. Jakarta Selatan</t>
        </is>
      </c>
      <c r="C141" t="inlineStr">
        <is>
          <t>02127871763</t>
        </is>
      </c>
      <c r="D141" t="inlineStr">
        <is>
          <t>triduta_pt@yahoo.com</t>
        </is>
      </c>
      <c r="E141" t="inlineStr">
        <is>
          <t>https://lpjk.pu.go.id/search-badan-usaha-detail/VHdKb1ZPOTQ5SUR2SWhoLzRuRWdZQT09</t>
        </is>
      </c>
      <c r="F141" t="n">
        <v>2</v>
      </c>
      <c r="G141" t="inlineStr">
        <is>
          <t>RK003, RT001</t>
        </is>
      </c>
      <c r="H141" t="inlineStr">
        <is>
          <t>29 Juni 1992</t>
        </is>
      </c>
      <c r="I141" s="2" t="n">
        <v>46312</v>
      </c>
      <c r="J141" t="inlineStr">
        <is>
          <t>Disetujui</t>
        </is>
      </c>
      <c r="K141" t="n">
        <v>30</v>
      </c>
      <c r="L141" t="inlineStr">
        <is>
          <t>17 Oktober 2026</t>
        </is>
      </c>
      <c r="M141" t="inlineStr">
        <is>
          <t>Jasa Pelayanan Studi Investasi Infrastruktur, Jasa Rekayasa Pekerjaan Teknik Sipil Transportasi</t>
        </is>
      </c>
      <c r="N141" t="inlineStr">
        <is>
          <t>K, M</t>
        </is>
      </c>
      <c r="O141" t="inlineStr">
        <is>
          <t>20231011</t>
        </is>
      </c>
      <c r="P141" t="inlineStr">
        <is>
          <t>DKI Jakarta</t>
        </is>
      </c>
      <c r="Q141" t="inlineStr"/>
    </row>
    <row r="142">
      <c r="A142" t="inlineStr">
        <is>
          <t>TRIGUNA INTERNUSA PRATAMA</t>
        </is>
      </c>
      <c r="B142" t="inlineStr">
        <is>
          <t>Kota Adm. Jakarta Pusat</t>
        </is>
      </c>
      <c r="C142" t="inlineStr">
        <is>
          <t>02123579802</t>
        </is>
      </c>
      <c r="D142" t="inlineStr">
        <is>
          <t>tip@trigunainternusa.com</t>
        </is>
      </c>
      <c r="E142" t="inlineStr">
        <is>
          <t>https://lpjk.pu.go.id/search-badan-usaha-detail/dXNTZGROWXpNMUlaOHpselhBanNJZz09</t>
        </is>
      </c>
      <c r="F142" t="n">
        <v>1</v>
      </c>
      <c r="G142" t="inlineStr">
        <is>
          <t>IN004</t>
        </is>
      </c>
      <c r="H142" t="inlineStr">
        <is>
          <t>20 Januari 2003</t>
        </is>
      </c>
      <c r="I142" s="2" t="n">
        <v>46312</v>
      </c>
      <c r="J142" t="inlineStr">
        <is>
          <t>Pembekuan</t>
        </is>
      </c>
      <c r="K142" t="n">
        <v>30</v>
      </c>
      <c r="L142" t="inlineStr">
        <is>
          <t>17 Oktober 2026</t>
        </is>
      </c>
      <c r="M142" t="inlineStr">
        <is>
          <t>Instalasi Minyak dan Gas</t>
        </is>
      </c>
      <c r="N142" t="inlineStr">
        <is>
          <t>Spesialis</t>
        </is>
      </c>
      <c r="O142" t="inlineStr">
        <is>
          <t>20231011</t>
        </is>
      </c>
      <c r="P142" t="inlineStr">
        <is>
          <t>DKI Jakarta</t>
        </is>
      </c>
      <c r="Q142" t="inlineStr"/>
    </row>
    <row r="143">
      <c r="A143" t="inlineStr">
        <is>
          <t>TRIMITRA SELARAS RAHARJA</t>
        </is>
      </c>
      <c r="B143" t="inlineStr">
        <is>
          <t>Kota Adm. Jakarta Utara</t>
        </is>
      </c>
      <c r="C143" t="inlineStr">
        <is>
          <t>02166690617</t>
        </is>
      </c>
      <c r="D143" t="inlineStr">
        <is>
          <t>trimitra_sr@yahoo.com</t>
        </is>
      </c>
      <c r="E143" t="inlineStr">
        <is>
          <t>https://lpjk.pu.go.id/search-badan-usaha-detail/Z29mSFNBdEw1ck5oTlF3MjYzSytUUT09</t>
        </is>
      </c>
      <c r="F143" t="n">
        <v>2</v>
      </c>
      <c r="G143" t="inlineStr">
        <is>
          <t>BG003</t>
        </is>
      </c>
      <c r="H143" t="inlineStr">
        <is>
          <t>10 Juli 2023</t>
        </is>
      </c>
      <c r="I143" s="2" t="n">
        <v>46312</v>
      </c>
      <c r="J143" t="inlineStr">
        <is>
          <t>Disetujui</t>
        </is>
      </c>
      <c r="K143" t="n">
        <v>30</v>
      </c>
      <c r="L143" t="inlineStr">
        <is>
          <t>17 Oktober 2026</t>
        </is>
      </c>
      <c r="M143" t="inlineStr">
        <is>
          <t>Konstruksi Gedung Industri</t>
        </is>
      </c>
      <c r="N143" t="inlineStr">
        <is>
          <t>K</t>
        </is>
      </c>
      <c r="O143" t="inlineStr">
        <is>
          <t>20230824</t>
        </is>
      </c>
      <c r="P143" t="inlineStr">
        <is>
          <t>DKI Jakarta</t>
        </is>
      </c>
      <c r="Q143" t="inlineStr"/>
    </row>
    <row r="144">
      <c r="A144" t="inlineStr">
        <is>
          <t>TRION KARYA OPTIMIS</t>
        </is>
      </c>
      <c r="B144" t="inlineStr">
        <is>
          <t>Kota Palembang</t>
        </is>
      </c>
      <c r="C144" t="inlineStr">
        <is>
          <t>08111600024</t>
        </is>
      </c>
      <c r="D144" t="inlineStr">
        <is>
          <t>trionkarya@yahoo.com</t>
        </is>
      </c>
      <c r="E144" t="inlineStr">
        <is>
          <t>https://lpjk.pu.go.id/search-badan-usaha-detail/d0o1b1JlaWZ2OVNhVGEyS0lKY3IrQT09</t>
        </is>
      </c>
      <c r="F144" t="n">
        <v>1</v>
      </c>
      <c r="G144" t="inlineStr">
        <is>
          <t>BS001</t>
        </is>
      </c>
      <c r="H144" t="inlineStr">
        <is>
          <t>2 Oktober 2019</t>
        </is>
      </c>
      <c r="I144" s="2" t="n">
        <v>46312</v>
      </c>
      <c r="J144" t="inlineStr">
        <is>
          <t>Disetujui</t>
        </is>
      </c>
      <c r="K144" t="n">
        <v>30</v>
      </c>
      <c r="L144" t="inlineStr">
        <is>
          <t>17 Oktober 2026</t>
        </is>
      </c>
      <c r="M144" t="inlineStr">
        <is>
          <t>Konstruksi Bangunan Sipil Jalan</t>
        </is>
      </c>
      <c r="N144" t="inlineStr">
        <is>
          <t>K</t>
        </is>
      </c>
      <c r="O144" t="inlineStr">
        <is>
          <t>20231018</t>
        </is>
      </c>
      <c r="P144" t="inlineStr">
        <is>
          <t>Sumatera Selatan</t>
        </is>
      </c>
      <c r="Q144" t="inlineStr"/>
    </row>
    <row r="145">
      <c r="A145" t="inlineStr">
        <is>
          <t>TRIPLE ASEJAHTERA</t>
        </is>
      </c>
      <c r="B145" t="inlineStr">
        <is>
          <t>Kab. Lamongan</t>
        </is>
      </c>
      <c r="C145" t="inlineStr">
        <is>
          <t>0895378792255</t>
        </is>
      </c>
      <c r="D145" t="inlineStr">
        <is>
          <t>hj.musjrifah@gmail.com</t>
        </is>
      </c>
      <c r="E145" t="inlineStr">
        <is>
          <t>https://lpjk.pu.go.id/search-badan-usaha-detail/TWNqS0VUYUZMaW02TWRhdFJOR3ZwQT09</t>
        </is>
      </c>
      <c r="F145" t="n">
        <v>2</v>
      </c>
      <c r="G145" t="inlineStr">
        <is>
          <t>BG005, BG006</t>
        </is>
      </c>
      <c r="H145" t="inlineStr">
        <is>
          <t>23 Juli 2018</t>
        </is>
      </c>
      <c r="I145" s="2" t="n">
        <v>46312</v>
      </c>
      <c r="J145" t="inlineStr">
        <is>
          <t>Disetujui</t>
        </is>
      </c>
      <c r="K145" t="n">
        <v>30</v>
      </c>
      <c r="L145" t="inlineStr">
        <is>
          <t>17 Oktober 2026</t>
        </is>
      </c>
      <c r="M145" t="inlineStr">
        <is>
          <t>Konstruksi Gedung Kesehatan, Konstruksi Gedung Pendidikan</t>
        </is>
      </c>
      <c r="N145" t="inlineStr">
        <is>
          <t>K</t>
        </is>
      </c>
      <c r="O145" t="inlineStr">
        <is>
          <t>20231011</t>
        </is>
      </c>
      <c r="P145" t="inlineStr">
        <is>
          <t>Jawa Timur</t>
        </is>
      </c>
      <c r="Q145" t="inlineStr"/>
    </row>
    <row r="146">
      <c r="A146" t="inlineStr">
        <is>
          <t>TUAH AGUNG ANUGRAH</t>
        </is>
      </c>
      <c r="B146" t="inlineStr">
        <is>
          <t>Kota Pekanbaru</t>
        </is>
      </c>
      <c r="C146" t="inlineStr">
        <is>
          <t>-</t>
        </is>
      </c>
      <c r="D146" t="inlineStr">
        <is>
          <t>tuahagunganugrah@gmail.com</t>
        </is>
      </c>
      <c r="E146" t="inlineStr">
        <is>
          <t>https://lpjk.pu.go.id/search-badan-usaha-detail/a1RJSUhOSkFqTDhNcjJ1bEo3RVhSZz09</t>
        </is>
      </c>
      <c r="F146" t="n">
        <v>1</v>
      </c>
      <c r="G146" t="inlineStr">
        <is>
          <t>RK002</t>
        </is>
      </c>
      <c r="H146" t="inlineStr">
        <is>
          <t>6 Februari 2001</t>
        </is>
      </c>
      <c r="I146" s="2" t="n">
        <v>46312</v>
      </c>
      <c r="J146" t="inlineStr">
        <is>
          <t>Disetujui</t>
        </is>
      </c>
      <c r="K146" t="n">
        <v>30</v>
      </c>
      <c r="L146" t="inlineStr">
        <is>
          <t>17 Oktober 2026</t>
        </is>
      </c>
      <c r="M146" t="inlineStr">
        <is>
          <t>Jasa Rekayasa Pekerjaan Teknik Sipil Sumber Daya Air</t>
        </is>
      </c>
      <c r="N146" t="inlineStr">
        <is>
          <t>B</t>
        </is>
      </c>
      <c r="O146" t="inlineStr">
        <is>
          <t>20231011</t>
        </is>
      </c>
      <c r="P146" t="inlineStr">
        <is>
          <t>Riau</t>
        </is>
      </c>
      <c r="Q146" t="inlineStr"/>
    </row>
    <row r="147">
      <c r="A147" t="inlineStr">
        <is>
          <t>TUNAS SATRIA MULTI KARYA</t>
        </is>
      </c>
      <c r="B147" t="inlineStr">
        <is>
          <t>Kab. Banyumas</t>
        </is>
      </c>
      <c r="C147" t="inlineStr">
        <is>
          <t>0281626249</t>
        </is>
      </c>
      <c r="D147" t="inlineStr">
        <is>
          <t>tunassatriamultikarya@gmail.com</t>
        </is>
      </c>
      <c r="E147" t="inlineStr">
        <is>
          <t>https://lpjk.pu.go.id/search-badan-usaha-detail/TWpYUTFwYU5tMmQwSWRGdGd6Q1BVdz09</t>
        </is>
      </c>
      <c r="F147" t="n">
        <v>1</v>
      </c>
      <c r="G147" t="inlineStr">
        <is>
          <t>RK001</t>
        </is>
      </c>
      <c r="H147" t="inlineStr">
        <is>
          <t>30 September 2013</t>
        </is>
      </c>
      <c r="I147" s="2" t="n">
        <v>46312</v>
      </c>
      <c r="J147" t="inlineStr">
        <is>
          <t>Disetujui</t>
        </is>
      </c>
      <c r="K147" t="n">
        <v>30</v>
      </c>
      <c r="L147" t="inlineStr">
        <is>
          <t>17 Oktober 2026</t>
        </is>
      </c>
      <c r="M147" t="inlineStr">
        <is>
          <t>Jasa Rekayasa Konstruksi Bangunan Gedung Hunian dan Non Hunian</t>
        </is>
      </c>
      <c r="N147" t="inlineStr">
        <is>
          <t>K</t>
        </is>
      </c>
      <c r="O147" t="inlineStr">
        <is>
          <t>20231009</t>
        </is>
      </c>
      <c r="P147" t="inlineStr">
        <is>
          <t>Jawa Tengah</t>
        </is>
      </c>
      <c r="Q147" t="inlineStr"/>
    </row>
    <row r="148">
      <c r="A148" t="inlineStr">
        <is>
          <t>VIRGO LESTARI PERMAI</t>
        </is>
      </c>
      <c r="B148" t="inlineStr">
        <is>
          <t>Kab. Paser</t>
        </is>
      </c>
      <c r="C148" t="inlineStr">
        <is>
          <t>081350389069</t>
        </is>
      </c>
      <c r="D148" t="inlineStr">
        <is>
          <t>cvvirgolestaripermai@gmail.com</t>
        </is>
      </c>
      <c r="E148" t="inlineStr">
        <is>
          <t>https://lpjk.pu.go.id/search-badan-usaha-detail/NldzTzc1ZTdMNUVSZXExK2lZM25ndz09</t>
        </is>
      </c>
      <c r="F148" t="n">
        <v>1</v>
      </c>
      <c r="G148" t="inlineStr">
        <is>
          <t>BS010</t>
        </is>
      </c>
      <c r="H148" t="inlineStr">
        <is>
          <t>23 November 2022</t>
        </is>
      </c>
      <c r="I148" s="2" t="n">
        <v>46312</v>
      </c>
      <c r="J148" t="inlineStr">
        <is>
          <t>Disetujui</t>
        </is>
      </c>
      <c r="K148" t="n">
        <v>30</v>
      </c>
      <c r="L148" t="inlineStr">
        <is>
          <t>17 Oktober 2026</t>
        </is>
      </c>
      <c r="M148" t="inlineStr">
        <is>
          <t>Konstruksi Bangunan Prasarana Sumber Daya Air</t>
        </is>
      </c>
      <c r="N148" t="inlineStr">
        <is>
          <t>K</t>
        </is>
      </c>
      <c r="O148" t="inlineStr">
        <is>
          <t>20231018</t>
        </is>
      </c>
      <c r="P148" t="inlineStr">
        <is>
          <t>Kalimantan Timur</t>
        </is>
      </c>
      <c r="Q148" t="inlineStr"/>
    </row>
    <row r="149">
      <c r="A149" t="inlineStr">
        <is>
          <t>WAHANA NUANSA INDONESIA</t>
        </is>
      </c>
      <c r="B149" t="inlineStr">
        <is>
          <t>Kab. Tangerang</t>
        </is>
      </c>
      <c r="C149" t="inlineStr">
        <is>
          <t>02155662873</t>
        </is>
      </c>
      <c r="D149" t="inlineStr">
        <is>
          <t>pt.wahananuansaindonesia17@gmail.com</t>
        </is>
      </c>
      <c r="E149" t="inlineStr">
        <is>
          <t>https://lpjk.pu.go.id/search-badan-usaha-detail/OS9RTlBnMUNreUx0alRRNURqOHUrZz09</t>
        </is>
      </c>
      <c r="F149" t="n">
        <v>1</v>
      </c>
      <c r="G149" t="inlineStr">
        <is>
          <t>BG003</t>
        </is>
      </c>
      <c r="H149" t="inlineStr">
        <is>
          <t>17 Maret 2017</t>
        </is>
      </c>
      <c r="I149" s="2" t="n">
        <v>46312</v>
      </c>
      <c r="J149" t="inlineStr">
        <is>
          <t>Pencabutan</t>
        </is>
      </c>
      <c r="K149" t="n">
        <v>30</v>
      </c>
      <c r="L149" t="inlineStr">
        <is>
          <t>17 Oktober 2026</t>
        </is>
      </c>
      <c r="M149" t="inlineStr">
        <is>
          <t>Konstruksi Gedung Industri</t>
        </is>
      </c>
      <c r="N149" t="inlineStr">
        <is>
          <t>M</t>
        </is>
      </c>
      <c r="O149" t="inlineStr">
        <is>
          <t>20230915</t>
        </is>
      </c>
      <c r="P149" t="inlineStr">
        <is>
          <t>Banten</t>
        </is>
      </c>
      <c r="Q149" t="inlineStr"/>
    </row>
    <row r="150">
      <c r="A150" t="inlineStr">
        <is>
          <t>WAHYU PUTRA</t>
        </is>
      </c>
      <c r="B150" t="inlineStr">
        <is>
          <t>Kab. Banyumas</t>
        </is>
      </c>
      <c r="C150" t="inlineStr">
        <is>
          <t>02816843205</t>
        </is>
      </c>
      <c r="D150" t="inlineStr">
        <is>
          <t>wahyu_putracv@yahoo.com</t>
        </is>
      </c>
      <c r="E150" t="inlineStr">
        <is>
          <t>https://lpjk.pu.go.id/search-badan-usaha-detail/dHRiS3c1eGlnUWkxcXpUQktxenB1UT09</t>
        </is>
      </c>
      <c r="F150" t="n">
        <v>1</v>
      </c>
      <c r="G150" t="inlineStr">
        <is>
          <t>BS004</t>
        </is>
      </c>
      <c r="H150" t="inlineStr">
        <is>
          <t>2 November 1995</t>
        </is>
      </c>
      <c r="I150" s="2" t="n">
        <v>46312</v>
      </c>
      <c r="J150" t="inlineStr">
        <is>
          <t>Disetujui</t>
        </is>
      </c>
      <c r="K150" t="n">
        <v>30</v>
      </c>
      <c r="L150" t="inlineStr">
        <is>
          <t>17 Oktober 2026</t>
        </is>
      </c>
      <c r="M150" t="inlineStr">
        <is>
          <t>Konstruksi Jaringan Irigasi dan Drainase</t>
        </is>
      </c>
      <c r="N150" t="inlineStr">
        <is>
          <t>K</t>
        </is>
      </c>
      <c r="O150" t="inlineStr">
        <is>
          <t>20231012</t>
        </is>
      </c>
      <c r="P150" t="inlineStr">
        <is>
          <t>Jawa Tengah</t>
        </is>
      </c>
      <c r="Q150" t="inlineStr"/>
    </row>
    <row r="151">
      <c r="A151" t="inlineStr">
        <is>
          <t>WAN CIPTA PROPERTI</t>
        </is>
      </c>
      <c r="B151" t="inlineStr">
        <is>
          <t>Kota Adm. Jakarta Selatan</t>
        </is>
      </c>
      <c r="C151" t="inlineStr">
        <is>
          <t>081236101286</t>
        </is>
      </c>
      <c r="D151" t="inlineStr">
        <is>
          <t>pt.wancipta@gmail.com</t>
        </is>
      </c>
      <c r="E151" t="inlineStr">
        <is>
          <t>https://lpjk.pu.go.id/search-badan-usaha-detail/TEFuQVBMdjhsSVlPaEJHTmpleHlYUT09</t>
        </is>
      </c>
      <c r="F151" t="n">
        <v>2</v>
      </c>
      <c r="G151" t="inlineStr">
        <is>
          <t>BG001, BG002</t>
        </is>
      </c>
      <c r="H151" t="inlineStr">
        <is>
          <t>24 Februari 2021</t>
        </is>
      </c>
      <c r="I151" s="2" t="n">
        <v>46312</v>
      </c>
      <c r="J151" t="inlineStr">
        <is>
          <t>Disetujui</t>
        </is>
      </c>
      <c r="K151" t="n">
        <v>30</v>
      </c>
      <c r="L151" t="inlineStr">
        <is>
          <t>17 Oktober 2026</t>
        </is>
      </c>
      <c r="M151" t="inlineStr">
        <is>
          <t>Konstruksi Gedung Hunian, Konstruksi Gedung Perkantoran</t>
        </is>
      </c>
      <c r="N151" t="inlineStr">
        <is>
          <t>K</t>
        </is>
      </c>
      <c r="O151" t="inlineStr">
        <is>
          <t>20230718</t>
        </is>
      </c>
      <c r="P151" t="inlineStr">
        <is>
          <t>DKI Jakarta</t>
        </is>
      </c>
      <c r="Q151" t="inlineStr"/>
    </row>
    <row r="152">
      <c r="A152" t="inlineStr">
        <is>
          <t>WIRATAMA PERKASA</t>
        </is>
      </c>
      <c r="B152" t="inlineStr">
        <is>
          <t>Kota Balikpapan</t>
        </is>
      </c>
      <c r="C152" t="inlineStr">
        <is>
          <t>082158633533</t>
        </is>
      </c>
      <c r="D152" t="inlineStr">
        <is>
          <t>wiratamaperkasacv@gmail.com</t>
        </is>
      </c>
      <c r="E152" t="inlineStr">
        <is>
          <t>https://lpjk.pu.go.id/search-badan-usaha-detail/eUt5aVRiZVhPN0s5VDVzNDhrREd1UT09</t>
        </is>
      </c>
      <c r="F152" t="n">
        <v>2</v>
      </c>
      <c r="G152" t="inlineStr">
        <is>
          <t>BG006</t>
        </is>
      </c>
      <c r="H152" t="inlineStr">
        <is>
          <t>10 Mei 2019</t>
        </is>
      </c>
      <c r="I152" s="2" t="n">
        <v>46312</v>
      </c>
      <c r="J152" t="inlineStr">
        <is>
          <t>Disetujui</t>
        </is>
      </c>
      <c r="K152" t="n">
        <v>30</v>
      </c>
      <c r="L152" t="inlineStr">
        <is>
          <t>17 Oktober 2026</t>
        </is>
      </c>
      <c r="M152" t="inlineStr">
        <is>
          <t>Konstruksi Gedung Pendidikan</t>
        </is>
      </c>
      <c r="N152" t="inlineStr">
        <is>
          <t>K</t>
        </is>
      </c>
      <c r="O152" t="inlineStr">
        <is>
          <t>20231018</t>
        </is>
      </c>
      <c r="P152" t="inlineStr">
        <is>
          <t>Kalimantan Timur</t>
        </is>
      </c>
      <c r="Q152" t="inlineStr"/>
    </row>
    <row r="153">
      <c r="A153" t="inlineStr">
        <is>
          <t>YUMAR MUSTIKA JAYA</t>
        </is>
      </c>
      <c r="B153" t="inlineStr">
        <is>
          <t>Kota Balikpapan</t>
        </is>
      </c>
      <c r="C153" t="inlineStr">
        <is>
          <t>085752915351</t>
        </is>
      </c>
      <c r="D153" t="inlineStr">
        <is>
          <t>yumarmustikajaya@gmail.com</t>
        </is>
      </c>
      <c r="E153" t="inlineStr">
        <is>
          <t>https://lpjk.pu.go.id/search-badan-usaha-detail/RmZ1N0tYN2N5ZGNrN1pUeTFUd2hZUT09</t>
        </is>
      </c>
      <c r="F153" t="n">
        <v>1</v>
      </c>
      <c r="G153" t="inlineStr">
        <is>
          <t>BG002</t>
        </is>
      </c>
      <c r="H153" t="inlineStr">
        <is>
          <t>7 Juni 2023</t>
        </is>
      </c>
      <c r="I153" s="2" t="n">
        <v>46312</v>
      </c>
      <c r="J153" t="inlineStr">
        <is>
          <t>Disetujui</t>
        </is>
      </c>
      <c r="K153" t="n">
        <v>30</v>
      </c>
      <c r="L153" t="inlineStr">
        <is>
          <t>17 Oktober 2026</t>
        </is>
      </c>
      <c r="M153" t="inlineStr">
        <is>
          <t>Konstruksi Gedung Perkantoran</t>
        </is>
      </c>
      <c r="N153" t="inlineStr">
        <is>
          <t>K</t>
        </is>
      </c>
      <c r="O153" t="inlineStr">
        <is>
          <t>20231018</t>
        </is>
      </c>
      <c r="P153" t="inlineStr">
        <is>
          <t>Kalimantan Timur</t>
        </is>
      </c>
      <c r="Q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2026-09-17T02:25:45Z</dcterms:created>
  <dcterms:modified xsi:type="dcterms:W3CDTF">2026-09-17T02:25:45Z</dcterms:modified>
</cp:coreProperties>
</file>